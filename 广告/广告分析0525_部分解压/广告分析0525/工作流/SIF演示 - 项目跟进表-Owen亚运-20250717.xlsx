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735" activeTab="3"/>
  </bookViews>
  <sheets>
    <sheet name="SC定价表" sheetId="1" r:id="rId1"/>
    <sheet name="目标&amp;经营分析" sheetId="2" r:id="rId2"/>
    <sheet name="测评" sheetId="3" r:id="rId3"/>
    <sheet name="英国XX仪 日常跟踪表" sheetId="4" r:id="rId4"/>
    <sheet name="Coupon" sheetId="5" r:id="rId5"/>
    <sheet name="活动排期核算" sheetId="6" r:id="rId6"/>
    <sheet name="差评记录" sheetId="7" r:id="rId7"/>
    <sheet name="刷单节奏" sheetId="8" r:id="rId8"/>
    <sheet name="绿标节奏跟进表" sheetId="9" r:id="rId9"/>
    <sheet name="红人促销（站外）" sheetId="10" r:id="rId10"/>
    <sheet name="红人促销（站内）" sheetId="11" r:id="rId11"/>
    <sheet name="备货计划表" sheetId="12" r:id="rId12"/>
    <sheet name="库存监控表" sheetId="13" state="hidden" r:id="rId13"/>
    <sheet name="ERP数据" sheetId="14" r:id="rId14"/>
  </sheets>
  <definedNames>
    <definedName name="_xlnm._FilterDatabase" localSheetId="2" hidden="1">测评!$A$1:$T$184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1752499004508237</author>
  </authors>
  <commentList>
    <comment ref="J7" authorId="0">
      <text>
        <r>
          <rPr>
            <b/>
            <sz val="9"/>
            <color rgb="FF000000"/>
            <rFont val="宋体"/>
            <scheme val="minor"/>
            <charset val="0"/>
          </rPr>
          <t>Administrator:</t>
        </r>
        <r>
          <rPr>
            <sz val="9"/>
            <color rgb="FF000000"/>
            <rFont val="宋体"/>
            <scheme val="minor"/>
            <charset val="0"/>
          </rPr>
          <t xml:space="preserve">
FBA费用5.19 EU 吸尘器：彩盒-33.5*26.5*25cm/2.3KG                         外箱 4台装   36.5*56*53cm/10KG
， 每件商品的月度仓储费   0.61
英国1-9月仓储费0.6英镑  10-12月 1.07英镑  FBA旺季仓储占比1%</t>
        </r>
      </text>
    </comment>
    <comment ref="O7" authorId="0">
      <text>
        <r>
          <rPr>
            <b/>
            <sz val="9"/>
            <color rgb="FF000000"/>
            <rFont val="宋体"/>
            <scheme val="minor"/>
            <charset val="0"/>
          </rPr>
          <t>Administrator:</t>
        </r>
        <r>
          <rPr>
            <sz val="9"/>
            <color rgb="FF000000"/>
            <rFont val="宋体"/>
            <scheme val="minor"/>
            <charset val="0"/>
          </rPr>
          <t xml:space="preserve">
英国1-9月仓储费0.6英镑  10-12月 1.07英镑
F
BA旺季仓储占比1%
</t>
        </r>
      </text>
    </comment>
  </commentList>
</comments>
</file>

<file path=xl/comments2.xml><?xml version="1.0" encoding="utf-8"?>
<comments xmlns="http://schemas.openxmlformats.org/spreadsheetml/2006/main">
  <authors>
    <author>1752499004514890</author>
  </authors>
  <commentList>
    <comment ref="B5" authorId="0">
      <text>
        <r>
          <rPr>
            <sz val="9"/>
            <color rgb="FF000000"/>
            <rFont val="宋体"/>
            <scheme val="minor"/>
            <charset val="0"/>
          </rPr>
          <t>绿色、蓝色手工填写
黄色公式</t>
        </r>
      </text>
    </comment>
    <comment ref="D7" authorId="0">
      <text>
        <r>
          <rPr>
            <sz val="9"/>
            <color rgb="FF000000"/>
            <rFont val="宋体"/>
            <scheme val="minor"/>
            <charset val="0"/>
          </rPr>
          <t>划线价能否出来</t>
        </r>
      </text>
    </comment>
    <comment ref="C10" authorId="0">
      <text>
        <r>
          <rPr>
            <sz val="9"/>
            <color rgb="FF000000"/>
            <rFont val="宋体"/>
            <scheme val="minor"/>
            <charset val="0"/>
          </rPr>
          <t>2个绿标</t>
        </r>
      </text>
    </comment>
    <comment ref="D10" authorId="0">
      <text>
        <r>
          <rPr>
            <sz val="9"/>
            <color rgb="FF000000"/>
            <rFont val="宋体"/>
            <scheme val="minor"/>
            <charset val="0"/>
          </rPr>
          <t>8个绿标</t>
        </r>
      </text>
    </comment>
    <comment ref="C12" authorId="0">
      <text>
        <r>
          <rPr>
            <sz val="9"/>
            <color rgb="FF000000"/>
            <rFont val="宋体"/>
            <scheme val="minor"/>
            <charset val="0"/>
          </rPr>
          <t>vine-2
免评-1</t>
        </r>
      </text>
    </comment>
    <comment ref="D12" authorId="0">
      <text>
        <r>
          <rPr>
            <sz val="9"/>
            <color rgb="FF000000"/>
            <rFont val="宋体"/>
            <scheme val="minor"/>
            <charset val="0"/>
          </rPr>
          <t>vine-8
定制-4
留评-2
免评-1</t>
        </r>
      </text>
    </comment>
    <comment ref="E12" authorId="0">
      <text>
        <r>
          <rPr>
            <sz val="9"/>
            <color rgb="FF000000"/>
            <rFont val="宋体"/>
            <scheme val="minor"/>
            <charset val="0"/>
          </rPr>
          <t>留评-2
免评-2
广告+自然 2  5单</t>
        </r>
      </text>
    </comment>
    <comment ref="F12" authorId="0">
      <text>
        <r>
          <rPr>
            <sz val="9"/>
            <color rgb="FF000000"/>
            <rFont val="宋体"/>
            <scheme val="minor"/>
            <charset val="0"/>
          </rPr>
          <t xml:space="preserve">留评-2    5单
广告+自然 5
</t>
        </r>
      </text>
    </comment>
    <comment ref="G12" authorId="0">
      <text>
        <r>
          <rPr>
            <sz val="9"/>
            <color rgb="FF000000"/>
            <rFont val="宋体"/>
            <scheme val="minor"/>
            <charset val="0"/>
          </rPr>
          <t>广告+自然-10    6单
留评-1</t>
        </r>
      </text>
    </comment>
    <comment ref="H12" authorId="0">
      <text>
        <r>
          <rPr>
            <sz val="9"/>
            <color rgb="FF000000"/>
            <rFont val="宋体"/>
            <scheme val="minor"/>
            <charset val="0"/>
          </rPr>
          <t>广告+自然-14   7单
留评-1</t>
        </r>
      </text>
    </comment>
    <comment ref="I12" authorId="0">
      <text>
        <r>
          <rPr>
            <sz val="9"/>
            <color rgb="FF000000"/>
            <rFont val="宋体"/>
            <scheme val="minor"/>
            <charset val="0"/>
          </rPr>
          <t>广告+自然-14   9单
留评-1</t>
        </r>
      </text>
    </comment>
    <comment ref="J12" authorId="0">
      <text>
        <r>
          <rPr>
            <sz val="9"/>
            <color rgb="FF000000"/>
            <rFont val="宋体"/>
            <scheme val="minor"/>
            <charset val="0"/>
          </rPr>
          <t>PD 广告+自然-21   12单
留评-1</t>
        </r>
      </text>
    </comment>
    <comment ref="K12" authorId="0">
      <text>
        <r>
          <rPr>
            <sz val="9"/>
            <color rgb="FF000000"/>
            <rFont val="宋体"/>
            <scheme val="minor"/>
            <charset val="0"/>
          </rPr>
          <t>14单</t>
        </r>
      </text>
    </comment>
    <comment ref="L12" authorId="0">
      <text>
        <r>
          <rPr>
            <sz val="9"/>
            <color rgb="FF000000"/>
            <rFont val="宋体"/>
            <scheme val="minor"/>
            <charset val="0"/>
          </rPr>
          <t xml:space="preserve">17单 </t>
        </r>
      </text>
    </comment>
    <comment ref="D27" authorId="0">
      <text>
        <r>
          <rPr>
            <sz val="9"/>
            <color rgb="FF000000"/>
            <rFont val="宋体"/>
            <scheme val="minor"/>
            <charset val="0"/>
          </rPr>
          <t>6测评+2直评</t>
        </r>
      </text>
    </comment>
  </commentList>
</comments>
</file>

<file path=xl/comments3.xml><?xml version="1.0" encoding="utf-8"?>
<comments xmlns="http://schemas.openxmlformats.org/spreadsheetml/2006/main">
  <authors>
    <author>1752499004536732</author>
  </authors>
  <commentList>
    <comment ref="D1" authorId="0">
      <text>
        <r>
          <rPr>
            <sz val="12"/>
            <color rgb="FF000000"/>
            <rFont val="宋体"/>
            <scheme val="minor"/>
            <charset val="0"/>
          </rPr>
          <t>买家支付金额</t>
        </r>
      </text>
    </comment>
    <comment ref="C20" authorId="0">
      <text>
        <r>
          <rPr>
            <sz val="9"/>
            <color rgb="FF000000"/>
            <rFont val="宋体"/>
            <scheme val="minor"/>
            <charset val="0"/>
          </rPr>
          <t>是广告订单</t>
        </r>
      </text>
    </comment>
    <comment ref="C23" authorId="0">
      <text>
        <r>
          <rPr>
            <sz val="9"/>
            <color rgb="FF000000"/>
            <rFont val="宋体"/>
            <scheme val="minor"/>
            <charset val="0"/>
          </rPr>
          <t>是免评单 不是广告单</t>
        </r>
      </text>
    </comment>
  </commentList>
</comments>
</file>

<file path=xl/comments4.xml><?xml version="1.0" encoding="utf-8"?>
<comments xmlns="http://schemas.openxmlformats.org/spreadsheetml/2006/main">
  <authors>
    <author>Administrator</author>
    <author>1752499004556056</author>
  </authors>
  <commentList>
    <comment ref="CL1" authorId="0">
      <text>
        <r>
          <rPr>
            <b/>
            <sz val="9"/>
            <rFont val="宋体"/>
            <charset val="134"/>
          </rPr>
          <t>Administrator:</t>
        </r>
        <r>
          <rPr>
            <sz val="9"/>
            <rFont val="宋体"/>
            <charset val="134"/>
          </rPr>
          <t xml:space="preserve">
关键词 排位检测，每3个小时监测一次排位 实时检查异常
观察广告排名对 自然排名的拉升效果，吸力值，
①关键词 词根 词频词频 关键词广告出单，对大词 词根都有一定拉升，核心关键词长尾词词根出单对大词 核心词根有显著拉升效果，词根词频统计
②整体广告出单 对整个链接的关键词收录，关键词权重 整体链接的转化率有帮助，结合站外woot BD LD站外站内 流量灌溉 对亚马逊整体关键词收录数 关键词，排名（）整体BSR 整体排名 自然排名 广告排名都有影响 亚马逊站内推荐流量同样对自然排名有显著影响
③广告转化率 广告出单对自然出单关键词有影响，促进核心关键词自然排名上升，点击率 转化率对ECPM有影响 促使BSR排名上升，ASIN自然排名滚动率，精准竞争难度，
④自然位，查看竞品广告结构 SP广告关键词最近1-2天内 减少投放预算，曝光，流量在减少的 去抢空挡 投放，可能对方断货或者控制广告，ACOS等调整，捡漏
⑤关键词ABA在上升阶段，顺势而为，乘风而行，做到事半功倍 借势 ，
猜想 通过这个关键词下单，广告下单，然后留了好评，完整订单POP,会不会也一样可以给自然流量，总之，亚马逊自然位，很多原因，是我们运营核心所在，技能好 功底所在，善于做自然流量自然位置，利润所在，（一般法一部分广告有利润，ACOS CPA,一部分卖家广告保本或亏，自然单有利润，持平或在覆盖有盈余，）</t>
        </r>
      </text>
    </comment>
    <comment ref="CZ1" authorId="0">
      <text>
        <r>
          <rPr>
            <b/>
            <sz val="9"/>
            <rFont val="宋体"/>
            <charset val="134"/>
          </rPr>
          <t>第一部分：自然排名的基本原理：BSR排名、自然排名和广告排名的三角关系：2个因素
A.1 链接质量因素，A.2 用户行为数据的权重，第二部分：快速获得自然排名的策略详解，一、测评策略 埋词QA文案，二、站外推广策略，三、关键词上首页策略 四、广告刷大词策略广告位拉升自然位  五、WOOT策略 六、低价螺旋策略（适合标品）
广告位拉升自然位，关键词下广告出单，关键词词根出单对该词根/大词拉升效果显著，整体广告转化率，广告出单，出单频率出单时间，
因素1：搜索词的流量精准度 因素2：产品力， 因素3：类目竞争情况
自然单来源于自然流量，自然流量来源于自然排名，而自然排名的形成与提升源于系统对于asin的绩效表现。
那么系统是基于什么逻辑来对每个asin进行排序排名的？
利益即态度，简单来理解，利益在哪里，态度就偏向哪里。
这里引入一个ECPM（effective cost per mille）的概念，即千次展现的预估收益，这个也好理解，因为老板肯定得看给他多次机会的综合表现，而不是一锤定生死。
ECPM=1000次展现*ctr*cvr*客单价*抽佣比例+FBA费用
这个公式在数学概念里，1000次展现、客单价、抽佣比例、FBA费用都是常数的概念。而ctr、cvr，是一组离散的数值，因为在不同的竞争环境，不同的消费者决策下，存在随性性，随意称作随机变量。
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
Administrator:</t>
        </r>
        <r>
          <rPr>
            <sz val="9"/>
            <rFont val="宋体"/>
            <charset val="134"/>
          </rPr>
          <t xml:space="preserve">
Administrator:
关键词 排位检测，每3个小时监测一次排位 实时检查异常
观察广告排名对 自然排名的拉升效果，吸力值，
①关键词 词根 词频词频 关键词广告出单，对大词 词根都有一定拉升，核心关键词长尾词词根出单对大词 核心词根有显著拉升效果，词根词频统计
②整体广告出单 对整个链接的关键词收录，关键词权重 整体链接的转化率有帮助，结合站外woot BD LD站外站内 流量灌溉 对亚马逊整体关键词收录数 关键词，排名（）整体BSR 整体排名 自然排名 广告排名都有影响 亚马逊站内推荐流量同样对自然排名有显著影响
③广告转化率 广告出单对自然出单关键词有影响，促进核心关键词自然排名上升，点击率 转化率对ECPM有影响 促使BSR排名上升，ASIN自然排名滚动率，精准竞争难度，
④自然位，查看竞品广告结构 SP广告关键词最近1-2天内 减少投放预算，曝光，流量在减少的 去抢空挡 投放，可能对方断货或者控制广告，ACOS等调整，捡漏
⑤关键词ABA在上升阶段，顺势而为，乘风而行，做到事半功倍 借势 ，
猜想 通过这个关键词下单，广告下单，然后留了好评，完整订单POP,会不会也一样可以给自然流量，总之，亚马逊自然位，很多原因，是我们运营核心所在，技能好 功底所在，善于做自然流量自然位置，利润所在，（一般法一部分广告有利润，ACOS CPA,一部分卖家广告保本或亏，自然单有利润，持平或在覆盖有盈余，）
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
</t>
        </r>
      </text>
    </comment>
    <comment ref="DD1" authorId="1">
      <text>
        <r>
          <rPr>
            <sz val="12"/>
            <color rgb="FF000000"/>
            <rFont val="宋体"/>
            <scheme val="minor"/>
            <charset val="0"/>
          </rPr>
          <t>自然位赢得率，自然流量份额  SIF说法是根据该关键词在亚马逊前台搜索，在自然位上，根据 关键词的搜索量*a,自然位置 *b,曝光时长*c，3个常数 按照一定比例（SIF的算法 不公开）进行加权，排名 得分，得到自然流量份额，也是SIF 反查关键词流量 ，流量得分
关键词的搜索量大小，占比 常数a  假设80%
关键词在自然位，自然位前后排名 占比常数b 假设10%
关键词曝光时长   占比常数c             假设50%
关键词的搜索量  流量大小，常数a  占比40%，
根据我们自己的ASIN 在固定一个时间段，自然流量 假设100 （Z）
用Z除以自然位赢得率（自然流量份额）  Z/0.68%=得到整个品类的自然搜索量（整个品类的自然流量） 14705，一个一个按照竞品ASIN 的自然流量份额（自然流量占比）   得到每一个ASIN的自然流量，</t>
        </r>
      </text>
    </comment>
    <comment ref="DL1" authorId="0">
      <text>
        <r>
          <rPr>
            <b/>
            <sz val="9"/>
            <rFont val="宋体"/>
            <charset val="134"/>
          </rPr>
          <t>Administrator:</t>
        </r>
        <r>
          <rPr>
            <sz val="9"/>
            <rFont val="宋体"/>
            <charset val="134"/>
          </rPr>
          <t xml:space="preserve">
文字自然位滚动率
定义:
关键词下自然位ASIN的滚动频率;根据关键词下自然位数量、自然位ASIN数量等数据综合计算得出。
滚动率越大说明关键词下ASIN排名变动频繁,ASIN容易出现自然排名,同时也代表着自然排名不是很稳定,有可能被竞品快速取代;
滚动率越小说明关键词下ASIN排名固化可能需要差异化竞争,但如果能够占据高排名则可获得稳定的自然流量,
更新频率:每周一更新</t>
        </r>
      </text>
    </comment>
    <comment ref="DP1" authorId="0">
      <text>
        <r>
          <rPr>
            <b/>
            <sz val="9"/>
            <rFont val="宋体"/>
            <charset val="134"/>
          </rPr>
          <t>Administrator:</t>
        </r>
        <r>
          <rPr>
            <sz val="9"/>
            <rFont val="宋体"/>
            <charset val="134"/>
          </rPr>
          <t xml:space="preserve">
竟争难度
定义:关键词的竞争难度;根据关键词的搜索量、竞争度、广告竞争度等数据综合计算得出,分数越高表示该关键词的竞争越激烈。
应用价值:该数据可以辅助您找到对您有竞争力优势的词,比如搜索量大、竞争难度小的关键词。
更新频率:每周一更新</t>
        </r>
      </text>
    </comment>
    <comment ref="EL1" authorId="1">
      <text>
        <r>
          <rPr>
            <sz val="9"/>
            <color rgb="FF000000"/>
            <rFont val="宋体"/>
            <scheme val="minor"/>
            <charset val="0"/>
          </rPr>
          <t>平均每广告订单的推广成本（Cost Per Action），也叫CPO（Cost Per Order）。
CPA = 广告费/广告订单量=CPC*广告点击量/广告订单量=CPC*(广告点击量/广告订单量)=CPC/广告点击转化率。
如果CPC使用关键词的平均值（近似于建议竞价的中位数），广告点击转化率也使用关键词的平均点击转化率，就可以得到：CPA≈建议竞价/点击转化率。
由于建议竞价有最小、中位数和最大，所以CPA也提供最小、中位数和最大值。</t>
        </r>
      </text>
    </comment>
    <comment ref="ER1" authorId="1">
      <text>
        <r>
          <rPr>
            <sz val="9"/>
            <color rgb="FF000000"/>
            <rFont val="宋体"/>
            <scheme val="minor"/>
            <charset val="0"/>
          </rPr>
          <t>ACOS=广告花费/广告销售额=CPC*广告点击量/(广告订单量*客单价)=CPC*(广告点击量/广告订单量)/客单价=(CPC/广告点击转化率)/客单价≈CPA/客单价。
假设该关键词下的产品每个订单的平均购买量都只有一件，且订单价就是售价（不提供额外折扣），那么客单价≈产品售价。推到整个关键词，则关键词下的产品均价≈客单价均价。所以关键词的平均ACOS≈CPA/产品均价。
关键词下的产品均价根据关键词下Top 48自然位的产品的价格计算而来。最小ACOS对应最大的产品单价，最大的ACOS对应最小的产品单价。
除此之外，你可以自定义毛利率，我们会根据你提供的毛利率来与ACOS做减法，来计算广告盈亏预估</t>
        </r>
      </text>
    </comment>
    <comment ref="FH1" authorId="1">
      <text>
        <r>
          <rPr>
            <sz val="12"/>
            <color rgb="FF000000"/>
            <rFont val="宋体"/>
            <scheme val="minor"/>
            <charset val="0"/>
          </rPr>
          <t>ECPM=1000次展现*CTR*CVR*客单价*抽佣比例+FBA费用
回到对CTR和CVR的定量测算，也是同理，我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t>
        </r>
      </text>
    </comment>
    <comment ref="BH2" authorId="1">
      <text>
        <r>
          <rPr>
            <sz val="9"/>
            <color rgb="FF000000"/>
            <rFont val="宋体"/>
            <scheme val="minor"/>
            <charset val="0"/>
          </rPr>
          <t>=IFERROR((单个产品的站外毛利$ *站外出单数)+（单个广告订单毛利P1$*广告订单数)+(实际自然订单*单个产品的自然订单毛利P1$)+测评亏损-退款率*总销售额,0)</t>
        </r>
      </text>
    </comment>
    <comment ref="CE2" authorId="1">
      <text>
        <r>
          <rPr>
            <sz val="12"/>
            <color rgb="FF000000"/>
            <rFont val="宋体"/>
            <scheme val="minor"/>
            <charset val="0"/>
          </rPr>
          <t>品类平均转化率，中位数，品牌指标-绩效，品类中位数，顾客转化率，在这个类目，按周维度，月维度，品类中位数，平均转化率， ASINjp竞品 查极目</t>
        </r>
      </text>
    </comment>
    <comment ref="CL2" authorId="0">
      <text>
        <r>
          <rPr>
            <b/>
            <sz val="9"/>
            <rFont val="宋体"/>
            <charset val="134"/>
          </rPr>
          <t>Administrator:</t>
        </r>
        <r>
          <rPr>
            <sz val="9"/>
            <rFont val="宋体"/>
            <charset val="134"/>
          </rPr>
          <t xml:space="preserve">
关键词 排位检测，每3个小时监测一次排位 实时检查异常</t>
        </r>
      </text>
    </comment>
    <comment ref="DB2" authorId="0">
      <text>
        <r>
          <rPr>
            <b/>
            <sz val="9"/>
            <rFont val="宋体"/>
            <charset val="134"/>
          </rPr>
          <t>Administrator:</t>
        </r>
        <r>
          <rPr>
            <sz val="9"/>
            <rFont val="宋体"/>
            <charset val="134"/>
          </rPr>
          <t xml:space="preserve">
第一部分：自然排名的基本原理：BSR排名、自然排名和广告排名的三角关系：2个因素
A.1 链接质量因素，A.2 用户行为数据的权重，第二部分：快速获得自然排名的策略详解，一、测评策略 埋词QA文案，二、站外推广策略，三、关键词上首页策略 四、广告刷大词策略广告位拉升自然位  五、WOOT策略 六、低价螺旋策略（适合标品）
广告位拉升自然位，关键词下广告出单，关键词词根出单对该词根/大词拉升效果显著，整体广告转化率，广告出单，出单频率出单时间，
因素1：搜索词的流量精准度 因素2：产品力， 因素3：类目竞争情况
自然单来源于自然流量，自然流量来源于自然排名，而自然排名的形成与提升源于系统对于asin的绩效表现。
那么系统是基于什么逻辑来对每个asin进行排序排名的？
利益即态度，简单来理解，利益在哪里，态度就偏向哪里。
这里引入一个ECPM（effective cost per mille）的概念，即千次展现的预估收益，这个也好理解，因为老板肯定得看给他多次机会的综合表现，而不是一锤定生死。
ECPM=1000次展现*ctr*cvr*客单价*抽佣比例+FBA费用
这个公式在数学概念里，1000次展现、客单价、抽佣比例、FBA费用都是常数的概念。而ctr、cvr，是一组离散的数值，因为在不同的竞争环境，不同的消费者决策下，存在随性性，随意称作随机变量。
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
Administrator:
Administrator:
关键词 排位检测，每3个小时监测一次排位 实时检查异常
观察广告排名对 自然排名的拉升效果，吸力值，
①关键词 词根 词频词频 关键词广告出单，对大词 词根都有一定拉升，核心关键词长尾词词根出单对大词 核心词根有显著拉升效果，词根词频统计
②整体广告出单 对整个链接的关键词收录，关键词权重 整体链接的转化率有帮助，结合站外woot BD LD站外站内 流量灌溉 对亚马逊整体关键词收录数 关键词，排名（）整体BSR 整体排名 自然排名 广告排名都有影响 亚马逊站内推荐流量同样对自然排名有显著影响
③广告转化率 广告出单对自然出单关键词有影响，促进核心关键词自然排名上升，点击率 转化率对ECPM有影响 促使BSR排名上升，ASIN自然排名滚动率，精准竞争难度，
④自然位，查看竞品广告结构 SP广告关键词最近1-2天内 减少投放预算，曝光，流量在减少的 去抢空挡 投放，可能对方断货或者控制广告，ACOS等调整，捡漏
⑤关键词ABA在上升阶段，顺势而为，乘风而行，做到事半功倍 借势 ，
猜想 通过这个关键词下单，广告下单，然后留了好评，完整订单POP,会不会也一样可以给自然流量，总之，亚马逊自然位，很多原因，是我们运营核心所在，技能好 功底所在，善于做自然流量自然位置，利润所在，（一般法一部分广告有利润，ACOS CPA,一部分卖家广告保本或亏，自然单有利润，持平或在覆盖有盈余，）
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
</t>
        </r>
      </text>
    </comment>
    <comment ref="DP2" authorId="0">
      <text>
        <r>
          <rPr>
            <b/>
            <sz val="9"/>
            <rFont val="宋体"/>
            <charset val="134"/>
          </rPr>
          <t>Administrator:</t>
        </r>
        <r>
          <rPr>
            <sz val="9"/>
            <rFont val="宋体"/>
            <charset val="134"/>
          </rPr>
          <t xml:space="preserve">
文字自然位滚动率
定义:
关键词下自然位ASIN的滚动频率;根据关键词下自然位数量、自然位ASIN数量等数据综合计算得出。
滚动率越大说明关键词下ASIN排名变动频繁,ASIN容易出现自然排名,同时也代表着自然排名不是很稳定,有可能被竞品快速取代;
滚动率越小说明关键词下ASIN排名固化可能需要差异化竞争,但如果能够占据高排名则可获得稳定的自然流量,
更新频率:每周一更新</t>
        </r>
      </text>
    </comment>
    <comment ref="ER2" authorId="1">
      <text>
        <r>
          <rPr>
            <sz val="9"/>
            <color rgb="FF000000"/>
            <rFont val="宋体"/>
            <scheme val="minor"/>
            <charset val="0"/>
          </rPr>
          <t>广告盈亏预估=自定义毛利率-ACOS，红色代表预估亏损，绿色代表预估盈利；可以综合判断该关键词是否值得投入。
点击转化率 建议竞价，CPA ，产品均价，ACOS 广告盈亏预估</t>
        </r>
      </text>
    </comment>
    <comment ref="FG2" authorId="1">
      <text>
        <r>
          <rPr>
            <sz val="12"/>
            <color rgb="FF000000"/>
            <rFont val="宋体"/>
            <scheme val="minor"/>
            <charset val="0"/>
          </rPr>
          <t>ECPM=CTR*CVR*r    r是一个常数
这里引入一个ECPM（effective cost per mille）的概念，即千次展现的预估收益，
ECPM=1000次展现*ctr*cvr*客单价*抽佣比例+FBA费用
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
在电商领域期望的定义：   
期望=f(p,q)
p=product也就是产品，产品的图片、文案精准度、评价星级和数量、价格决定了点击率的高低，q=query也就是搜索词，搜索词和产品的相关性同样决定点击率的高低。方差的定义为：
方差=f(点击数）
【指导意义】期望的定义：产品的素质天然的决定了点击率的高低，这也从最底层的数学逻辑证明了“7分选品3分运营”的正确性，另外前台的客户视角可以看见的部分，包括主图、文案精准度、评价星级数量、价格合理性，这几块的构建能力，是至关重要的。    
方差的定义，带来的启示，也就是除了上面提到的硬实力，我们还可以通过快速增加点击次数的方式，来降低方差，从而使“期望-r方差”的数值结果更大化，间接的提升排名（这也在数学层面解释了关键词上首页有效的原因，通过大量点击，短期内降低方差） 
当然了，期望才是决定因素，方差只是次要因素，因为点击次数的增加只是阶段性的帮助算法更快的了解到真实的点击率，而真实的点击率还是由产品及其硬实力决定。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t>
        </r>
      </text>
    </comment>
    <comment ref="FQ2" authorId="1">
      <text>
        <r>
          <rPr>
            <sz val="9"/>
            <color rgb="FF000000"/>
            <rFont val="宋体"/>
            <scheme val="minor"/>
            <charset val="0"/>
          </rPr>
          <t>单个产品的站外毛利$ *站外出单数)+（单个广告订单毛利P1$*广告订单数)+(实际自然订单*单个产品的自然订单毛利P1$)+测评亏损-退款率*总销售额
=IFERROR((单个产品的站外毛利$ *站外出单数)+（单个广告订单毛利P1$*广告订单数)+(实际自然订单*单个产品的自然订单毛利P1$)+测评亏损-退款率*总销售额,0)
站外的钱+广告订单的毛利+自然订单的毛利+测评亏的钱+退款亏的钱</t>
        </r>
      </text>
    </comment>
    <comment ref="FW2" authorId="1">
      <text>
        <r>
          <rPr>
            <sz val="12"/>
            <color rgb="FF000000"/>
            <rFont val="宋体"/>
            <scheme val="minor"/>
            <charset val="0"/>
          </rPr>
          <t>Administrator:
亚马逊仓的库存</t>
        </r>
      </text>
    </comment>
    <comment ref="FX2" authorId="1">
      <text>
        <r>
          <rPr>
            <sz val="12"/>
            <color rgb="FF000000"/>
            <rFont val="宋体"/>
            <scheme val="minor"/>
            <charset val="0"/>
          </rPr>
          <t>Administrator:
在库</t>
        </r>
      </text>
    </comment>
    <comment ref="A162" authorId="1">
      <text>
        <r>
          <rPr>
            <sz val="9"/>
            <color rgb="FF000000"/>
            <rFont val="宋体"/>
            <scheme val="minor"/>
            <charset val="0"/>
          </rPr>
          <t xml:space="preserve">汇总 这一行不编辑，增加行 插入就行 </t>
        </r>
      </text>
    </comment>
  </commentList>
</comments>
</file>

<file path=xl/comments5.xml><?xml version="1.0" encoding="utf-8"?>
<comments xmlns="http://schemas.openxmlformats.org/spreadsheetml/2006/main">
  <authors>
    <author>1752499004760931</author>
  </authors>
  <commentList>
    <comment ref="H5" authorId="0">
      <text>
        <r>
          <rPr>
            <sz val="12"/>
            <color rgb="FF000000"/>
            <rFont val="宋体"/>
            <scheme val="minor"/>
            <charset val="0"/>
          </rPr>
          <t>开始/结束</t>
        </r>
      </text>
    </comment>
  </commentList>
</comments>
</file>

<file path=xl/sharedStrings.xml><?xml version="1.0" encoding="utf-8"?>
<sst xmlns="http://schemas.openxmlformats.org/spreadsheetml/2006/main" count="1968" uniqueCount="601">
  <si>
    <t>VC活动价</t>
  </si>
  <si>
    <t>汇率</t>
  </si>
  <si>
    <t>报价比例</t>
  </si>
  <si>
    <t>售价欧元
含税</t>
  </si>
  <si>
    <t>售价欧元
不含税</t>
  </si>
  <si>
    <t>报价欧元
不含税</t>
  </si>
  <si>
    <t>采购价</t>
  </si>
  <si>
    <t>头程</t>
  </si>
  <si>
    <t>国内总成本</t>
  </si>
  <si>
    <t>装箱数量</t>
  </si>
  <si>
    <t>移仓费/个</t>
  </si>
  <si>
    <t>换标费
0/个</t>
  </si>
  <si>
    <t>入库费/箱/2</t>
  </si>
  <si>
    <t>装箱费
/箱</t>
  </si>
  <si>
    <t>箱唛
0/张/箱</t>
  </si>
  <si>
    <t>出库费
0/箱</t>
  </si>
  <si>
    <t>二程运费
7.5/箱</t>
  </si>
  <si>
    <t>入库总费用</t>
  </si>
  <si>
    <t>入库单个费用</t>
  </si>
  <si>
    <t>利润P0</t>
  </si>
  <si>
    <t>回款扣点</t>
  </si>
  <si>
    <t>广告费占比</t>
  </si>
  <si>
    <t>广告费</t>
  </si>
  <si>
    <t>活动促销比例</t>
  </si>
  <si>
    <t>活动促销/欧元</t>
  </si>
  <si>
    <t>最低活动价/欧元
不含税</t>
  </si>
  <si>
    <t>最低活动价/欧元
含税</t>
  </si>
  <si>
    <t>利润P3</t>
  </si>
  <si>
    <t>P1--VC</t>
  </si>
  <si>
    <t>P1--SC</t>
  </si>
  <si>
    <t>P3对应的投资回报率=P3/国内成本</t>
  </si>
  <si>
    <t>国内成本占比</t>
  </si>
  <si>
    <t>一期回款金额70%/美金</t>
  </si>
  <si>
    <t>一期回款毛利P2=回款-国内总成本-海外仓费用</t>
  </si>
  <si>
    <t>一期回款比例=一期回款/商品成本</t>
  </si>
  <si>
    <t>一期回款比例=一期回款/（国内+海外仓）</t>
  </si>
  <si>
    <t>一期投资回报=70^%部分的毛利/成本</t>
  </si>
  <si>
    <t>营销费/cost</t>
  </si>
  <si>
    <t>英国XX仪卡航</t>
  </si>
  <si>
    <t>英国XX仪铁路</t>
  </si>
  <si>
    <t>英国XX仪海运</t>
  </si>
  <si>
    <t>SC站内推广</t>
  </si>
  <si>
    <t>国家</t>
  </si>
  <si>
    <t>国家代码</t>
  </si>
  <si>
    <t>有无VAT</t>
  </si>
  <si>
    <t>成本价(0边利)</t>
  </si>
  <si>
    <t>建议价(20%边利)</t>
  </si>
  <si>
    <t>实际定价</t>
  </si>
  <si>
    <t>FBA Fee</t>
  </si>
  <si>
    <t>佣金比例</t>
  </si>
  <si>
    <t>VAT</t>
  </si>
  <si>
    <t>预估退货率</t>
  </si>
  <si>
    <t>推广费率</t>
  </si>
  <si>
    <t>FBA仓储费</t>
  </si>
  <si>
    <t>其他费用</t>
  </si>
  <si>
    <t>长</t>
  </si>
  <si>
    <t>宽</t>
  </si>
  <si>
    <t>高</t>
  </si>
  <si>
    <t>包装后实重</t>
  </si>
  <si>
    <t>体积重</t>
  </si>
  <si>
    <t>计费重</t>
  </si>
  <si>
    <t>运输方式</t>
  </si>
  <si>
    <t>运费单价</t>
  </si>
  <si>
    <t>运费</t>
  </si>
  <si>
    <t>利润/USD</t>
  </si>
  <si>
    <t>利润率/USD</t>
  </si>
  <si>
    <t>英国XX仪日常价走海运</t>
  </si>
  <si>
    <t>UK</t>
  </si>
  <si>
    <t>有</t>
  </si>
  <si>
    <t>海运</t>
  </si>
  <si>
    <t>英国XX仪活动价走海运</t>
  </si>
  <si>
    <t>英国XX仪最底价走海运</t>
  </si>
  <si>
    <t>英国XX仪最底价走铁路</t>
  </si>
  <si>
    <t>铁路</t>
  </si>
  <si>
    <t>站外推广</t>
  </si>
  <si>
    <t>折扣力度</t>
  </si>
  <si>
    <t>XX仪站外</t>
  </si>
  <si>
    <t>Woot</t>
  </si>
  <si>
    <t>售价欧元</t>
  </si>
  <si>
    <t>报价欧元</t>
  </si>
  <si>
    <t>利润/RMB</t>
  </si>
  <si>
    <t>Woot利润率</t>
  </si>
  <si>
    <t>活动价</t>
  </si>
  <si>
    <t>XX仪</t>
  </si>
  <si>
    <t>/</t>
  </si>
  <si>
    <r>
      <rPr>
        <sz val="13"/>
        <rFont val="宋体"/>
        <charset val="134"/>
      </rPr>
      <t>里程碑</t>
    </r>
    <r>
      <rPr>
        <sz val="9"/>
        <rFont val="宋体"/>
        <charset val="134"/>
      </rPr>
      <t>（以英镑核算）</t>
    </r>
    <r>
      <rPr>
        <sz val="9"/>
        <rFont val="Calibri"/>
        <charset val="134"/>
      </rPr>
      <t>ASIN</t>
    </r>
  </si>
  <si>
    <r>
      <rPr>
        <b/>
        <sz val="9.75"/>
        <color rgb="FF000000"/>
        <rFont val="Calibri"/>
        <charset val="134"/>
      </rPr>
      <t>第一阶段（SC推广为主</t>
    </r>
    <r>
      <rPr>
        <b/>
        <sz val="9.75"/>
        <color rgb="FF000000"/>
        <rFont val="Calibri"/>
        <charset val="134"/>
      </rPr>
      <t>‎</t>
    </r>
    <r>
      <rPr>
        <b/>
        <sz val="9.75"/>
        <color rgb="FF000000"/>
        <rFont val="Calibri"/>
        <charset val="134"/>
      </rPr>
      <t>）</t>
    </r>
  </si>
  <si>
    <r>
      <rPr>
        <b/>
        <sz val="9.75"/>
        <color rgb="FF000000"/>
        <rFont val="Calibri"/>
        <charset val="134"/>
      </rPr>
      <t xml:space="preserve">第二阶段（ po在途，SC/VC过渡期 </t>
    </r>
    <r>
      <rPr>
        <b/>
        <sz val="9.75"/>
        <color rgb="FF000000"/>
        <rFont val="Calibri"/>
        <charset val="134"/>
      </rPr>
      <t>‎</t>
    </r>
    <r>
      <rPr>
        <b/>
        <sz val="9.75"/>
        <color rgb="FF000000"/>
        <rFont val="Calibri"/>
        <charset val="134"/>
      </rPr>
      <t>）</t>
    </r>
  </si>
  <si>
    <r>
      <rPr>
        <b/>
        <sz val="9.75"/>
        <color rgb="FF000000"/>
        <rFont val="Calibri"/>
        <charset val="134"/>
      </rPr>
      <t xml:space="preserve">第三阶段（ VC主推 BD活动 </t>
    </r>
    <r>
      <rPr>
        <b/>
        <sz val="9.75"/>
        <color rgb="FF000000"/>
        <rFont val="Calibri"/>
        <charset val="134"/>
      </rPr>
      <t>‎</t>
    </r>
    <r>
      <rPr>
        <b/>
        <sz val="9.75"/>
        <color rgb="FF000000"/>
        <rFont val="Calibri"/>
        <charset val="134"/>
      </rPr>
      <t>）</t>
    </r>
  </si>
  <si>
    <r>
      <rPr>
        <b/>
        <sz val="9.75"/>
        <color rgb="FF000000"/>
        <rFont val="Calibri"/>
        <charset val="134"/>
      </rPr>
      <t xml:space="preserve">第四阶段（  VC主推 BD活动 </t>
    </r>
    <r>
      <rPr>
        <b/>
        <sz val="9.75"/>
        <color rgb="FF000000"/>
        <rFont val="Calibri"/>
        <charset val="134"/>
      </rPr>
      <t>‎</t>
    </r>
    <r>
      <rPr>
        <b/>
        <sz val="9.75"/>
        <color rgb="FF000000"/>
        <rFont val="Calibri"/>
        <charset val="134"/>
      </rPr>
      <t xml:space="preserve"> </t>
    </r>
    <r>
      <rPr>
        <b/>
        <sz val="9.75"/>
        <color rgb="FF000000"/>
        <rFont val="Calibri"/>
        <charset val="134"/>
      </rPr>
      <t>‎</t>
    </r>
    <r>
      <rPr>
        <b/>
        <sz val="9.75"/>
        <color rgb="FF000000"/>
        <rFont val="Calibri"/>
        <charset val="134"/>
      </rPr>
      <t>）</t>
    </r>
  </si>
  <si>
    <r>
      <rPr>
        <b/>
        <sz val="9.75"/>
        <color rgb="FF000000"/>
        <rFont val="Calibri"/>
        <charset val="134"/>
      </rPr>
      <t xml:space="preserve">第五阶段（  VC主推 BD活动 </t>
    </r>
    <r>
      <rPr>
        <b/>
        <sz val="9.75"/>
        <color rgb="FF000000"/>
        <rFont val="Calibri"/>
        <charset val="134"/>
      </rPr>
      <t>‎</t>
    </r>
    <r>
      <rPr>
        <b/>
        <sz val="9.75"/>
        <color rgb="FF000000"/>
        <rFont val="Calibri"/>
        <charset val="134"/>
      </rPr>
      <t xml:space="preserve"> </t>
    </r>
    <r>
      <rPr>
        <b/>
        <sz val="9.75"/>
        <color rgb="FF000000"/>
        <rFont val="Calibri"/>
        <charset val="134"/>
      </rPr>
      <t>‎</t>
    </r>
    <r>
      <rPr>
        <b/>
        <sz val="9.75"/>
        <color rgb="FF000000"/>
        <rFont val="Calibri"/>
        <charset val="134"/>
      </rPr>
      <t>）</t>
    </r>
  </si>
  <si>
    <r>
      <rPr>
        <b/>
        <sz val="9.75"/>
        <color rgb="FF000000"/>
        <rFont val="Calibri"/>
        <charset val="134"/>
      </rPr>
      <t xml:space="preserve">第六阶段（  VC主推 BD活动 </t>
    </r>
    <r>
      <rPr>
        <b/>
        <sz val="9.75"/>
        <color rgb="FF000000"/>
        <rFont val="Calibri"/>
        <charset val="134"/>
      </rPr>
      <t>‎</t>
    </r>
    <r>
      <rPr>
        <b/>
        <sz val="9.75"/>
        <color rgb="FF000000"/>
        <rFont val="Calibri"/>
        <charset val="134"/>
      </rPr>
      <t xml:space="preserve"> </t>
    </r>
    <r>
      <rPr>
        <b/>
        <sz val="9.75"/>
        <color rgb="FF000000"/>
        <rFont val="Calibri"/>
        <charset val="134"/>
      </rPr>
      <t>‎</t>
    </r>
    <r>
      <rPr>
        <b/>
        <sz val="9.75"/>
        <color rgb="FF000000"/>
        <rFont val="Calibri"/>
        <charset val="134"/>
      </rPr>
      <t>）</t>
    </r>
  </si>
  <si>
    <t>1. 此阶段为SC售卖，主要目的为完善listing基本面，同时刺激销量来PO单；
2. SC根据推广计划表备足1个月库存，同时VC根据预测销量8周备货量分批次发往海外仓；
3. SC根据以目标为主的运营端流程完善基本面，包括前期评论布局，关键词库建立，网红视频等；
4. 根据推广计划制定营销策略，以达到目标单量从而刺激VCPO来单；
5. 预估VC上架时间，提前至少23天提报BD，一次性把能报的都报上，后续可随时取消和调整；</t>
  </si>
  <si>
    <t>1. 后台关注货件入海外仓时间，提前预约入库，提醒仓库人员上架；
2. 一旦入库上架成功，及时通知Spotter业务开启PO接单；
3. 每周一和每周四关注PO来单情况，确认可用库存，24h内完成接单；
4. 关注货件实际提货时间，及实际运输时长及到仓时间；
5. VCPO库存一旦入仓，就会抢走SC购物车，但此时前台处于预售阶段，会影响转化，SC可尝试适当降低价格抢回购物车，降级幅度不得低于VC活动价；
6. 若第一周未来PO单，可同步创建手动订单刺激来PO，注意手动订单上架77天内未卖完会有罚款；</t>
  </si>
  <si>
    <t>1. 切换购物车到VC，重新在广告子账号开广告推广，由于广告权重清零，这期间广告效果波动较大，需要盯紧广告预算和转化，尽快调整到稳定的状态；
2. 现在BD时长为28天，中间间隔3天，然后又是28天BD，BD价格为报价的90%（大促及节假日折扣要求为85%）；
3. 根据销量预测，PO来单及现有库存情况及时补货；
4. SC库存保留半个月左右库存，在秒杀间隔期根据库存情况及时调整购物车，或及时从海外仓补货到FBA仓；
5. 关注库存转运及其他导致库存不可售等异常情况；</t>
  </si>
  <si>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</si>
  <si>
    <t>销售周期</t>
  </si>
  <si>
    <t>第一周</t>
  </si>
  <si>
    <t>第二周</t>
  </si>
  <si>
    <t>第三周</t>
  </si>
  <si>
    <t>第四周</t>
  </si>
  <si>
    <t>具体时间</t>
  </si>
  <si>
    <t>日期</t>
  </si>
  <si>
    <t>5.19-5.25</t>
  </si>
  <si>
    <t>5.26-6.1</t>
  </si>
  <si>
    <t>6.2-6.8</t>
  </si>
  <si>
    <t>6.9-6.15</t>
  </si>
  <si>
    <t>6.16-6.22</t>
  </si>
  <si>
    <t>6.23-6.29</t>
  </si>
  <si>
    <t>6.30-7.6</t>
  </si>
  <si>
    <t>7.7-7.13</t>
  </si>
  <si>
    <t>7.14-7.20</t>
  </si>
  <si>
    <t>7.21-7.27</t>
  </si>
  <si>
    <t>7.28-8.3</t>
  </si>
  <si>
    <t>8.4-8.10</t>
  </si>
  <si>
    <t>8.11-8.17</t>
  </si>
  <si>
    <t>8.18-8.24</t>
  </si>
  <si>
    <t>8.25-8.31</t>
  </si>
  <si>
    <t>9.1-9.7</t>
  </si>
  <si>
    <t>9.8-9.14</t>
  </si>
  <si>
    <t>9.15-9.21</t>
  </si>
  <si>
    <t>9.22-9.28</t>
  </si>
  <si>
    <t>9.29-10.5</t>
  </si>
  <si>
    <t>10.6-10.12</t>
  </si>
  <si>
    <t>10.13-10.19</t>
  </si>
  <si>
    <t>10.20-10.26</t>
  </si>
  <si>
    <t>10.27-11.2</t>
  </si>
  <si>
    <t>目标竞对</t>
  </si>
  <si>
    <t>竞对综合信息（附上链接）</t>
  </si>
  <si>
    <t>1. 竞对第一个月销量: 529-750  目前260月销 品名21名
2.竞对第一个月结束时排名:376-24 稳定在前21名
3.竞对第一个月是否有参加站外,站外效果有多少倍: 没有站外  0倍
4.竞对是否有woot等活动资格，跑活动时销量提升多少倍: 无
5.竞对链接：
https://www.amazon.co.uk/dp/ASIN</t>
  </si>
  <si>
    <t>1.竞对第一个月销量:200-300 目前150月销，排名50以内 42
2.竞对第一个月结束时排名:48
3.竞对第一个月是否有参加站外,站外效果有多少倍: 是否有BD 7DD秒杀
4.竞对是否有woot等活动资格，跑活动时销量提升多少倍: 
5.竞对链接：
https://www.amazon.co.uk/dp/B08BLTZQ7R
https://www.amazon.de/dp/B0DQT1MKZ3</t>
  </si>
  <si>
    <t>售价</t>
  </si>
  <si>
    <r>
      <rPr>
        <sz val="10"/>
        <color rgb="FF000000"/>
        <rFont val="宋体"/>
        <charset val="134"/>
      </rPr>
      <t>销售定价（日常价）</t>
    </r>
  </si>
  <si>
    <t>成交价
（活动价/促销价）</t>
  </si>
  <si>
    <t>产品排名</t>
  </si>
  <si>
    <r>
      <rPr>
        <sz val="10"/>
        <color rgb="FF000000"/>
        <rFont val="Calibri"/>
        <charset val="134"/>
      </rPr>
      <t>目标排名</t>
    </r>
  </si>
  <si>
    <r>
      <rPr>
        <sz val="10"/>
        <color rgb="FF000000"/>
        <rFont val="Calibri"/>
        <charset val="134"/>
      </rPr>
      <t>实际排名(取周均值)</t>
    </r>
  </si>
  <si>
    <t>销量</t>
  </si>
  <si>
    <r>
      <rPr>
        <sz val="10"/>
        <color rgb="FF000000"/>
        <rFont val="Calibri"/>
        <charset val="134"/>
      </rPr>
      <t>目标总销售额</t>
    </r>
  </si>
  <si>
    <r>
      <rPr>
        <sz val="10"/>
        <color rgb="FF000000"/>
        <rFont val="Calibri"/>
        <charset val="134"/>
      </rPr>
      <t>实际总销售额</t>
    </r>
  </si>
  <si>
    <r>
      <rPr>
        <sz val="10"/>
        <color rgb="FF000000"/>
        <rFont val="Calibri"/>
        <charset val="134"/>
      </rPr>
      <t>目标总销量</t>
    </r>
  </si>
  <si>
    <r>
      <rPr>
        <sz val="10"/>
        <color rgb="FF000000"/>
        <rFont val="Calibri"/>
        <charset val="134"/>
      </rPr>
      <t>实际总销量</t>
    </r>
  </si>
  <si>
    <r>
      <rPr>
        <sz val="10"/>
        <color rgb="FF000000"/>
        <rFont val="Calibri"/>
        <charset val="134"/>
      </rPr>
      <t>目标日均</t>
    </r>
  </si>
  <si>
    <t>实际日均</t>
  </si>
  <si>
    <r>
      <rPr>
        <sz val="10"/>
        <color rgb="FF000000"/>
        <rFont val="Calibri"/>
        <charset val="134"/>
      </rPr>
      <t>预计PO单量</t>
    </r>
  </si>
  <si>
    <t>-</t>
  </si>
  <si>
    <r>
      <rPr>
        <sz val="10"/>
        <color rgb="FF000000"/>
        <rFont val="Calibri"/>
        <charset val="134"/>
      </rPr>
      <t>实际PO单量</t>
    </r>
  </si>
  <si>
    <t>利润</t>
  </si>
  <si>
    <r>
      <rPr>
        <sz val="10"/>
        <color rgb="FF000000"/>
        <rFont val="宋体"/>
        <charset val="134"/>
      </rPr>
      <t>目标利润额</t>
    </r>
  </si>
  <si>
    <r>
      <rPr>
        <sz val="10"/>
        <color rgb="FF000000"/>
        <rFont val="Calibri"/>
        <charset val="134"/>
      </rPr>
      <t>实际利润额</t>
    </r>
  </si>
  <si>
    <r>
      <rPr>
        <sz val="10"/>
        <color rgb="FF000000"/>
        <rFont val="Calibri"/>
        <charset val="134"/>
      </rPr>
      <t>目标利润率</t>
    </r>
  </si>
  <si>
    <r>
      <rPr>
        <sz val="10"/>
        <color rgb="FF000000"/>
        <rFont val="Calibri"/>
        <charset val="134"/>
      </rPr>
      <t>实际利润率</t>
    </r>
  </si>
  <si>
    <t>营销推广</t>
  </si>
  <si>
    <t>预计广告花费</t>
  </si>
  <si>
    <t>实际广告花费</t>
  </si>
  <si>
    <t>预计站外花费</t>
  </si>
  <si>
    <t>实际站外花费</t>
  </si>
  <si>
    <t>预计测评费用</t>
  </si>
  <si>
    <t>实际测评费用</t>
  </si>
  <si>
    <t>预计总费用汇总</t>
  </si>
  <si>
    <t>实际总费用汇总</t>
  </si>
  <si>
    <t>营销占比</t>
  </si>
  <si>
    <t>预计广告占比</t>
  </si>
  <si>
    <t>实际广告占比</t>
  </si>
  <si>
    <t>预计站外占比</t>
  </si>
  <si>
    <t>实际站外占比</t>
  </si>
  <si>
    <t>预计测评费用占比</t>
  </si>
  <si>
    <t>实际测评费用占比</t>
  </si>
  <si>
    <t>预计总费用占比</t>
  </si>
  <si>
    <t>实际总费用占比</t>
  </si>
  <si>
    <t>预计成本中心</t>
  </si>
  <si>
    <t>采购成本（122.57）</t>
  </si>
  <si>
    <t>头程成本（32.9）</t>
  </si>
  <si>
    <t>二程成本</t>
  </si>
  <si>
    <t>尾程成本（5.19）</t>
  </si>
  <si>
    <t>佣金成本</t>
  </si>
  <si>
    <t>仓储成本</t>
  </si>
  <si>
    <t>退货成本</t>
  </si>
  <si>
    <t>其它成本</t>
  </si>
  <si>
    <t>总成本汇总</t>
  </si>
  <si>
    <t>实际成本中心</t>
  </si>
  <si>
    <t>成本占比</t>
  </si>
  <si>
    <t>采购占比</t>
  </si>
  <si>
    <t>头程占比</t>
  </si>
  <si>
    <t>二程占比</t>
  </si>
  <si>
    <t>尾程占比</t>
  </si>
  <si>
    <t>佣金占比</t>
  </si>
  <si>
    <t>仓租占比</t>
  </si>
  <si>
    <t>退货占比</t>
  </si>
  <si>
    <t>其它占比</t>
  </si>
  <si>
    <t>总占比汇总</t>
  </si>
  <si>
    <t>库存</t>
  </si>
  <si>
    <t>周总库存盘点</t>
  </si>
  <si>
    <r>
      <rPr>
        <sz val="10"/>
        <color rgb="FF000000"/>
        <rFont val="Calibri"/>
        <charset val="134"/>
      </rPr>
      <t>总库存资金</t>
    </r>
  </si>
  <si>
    <t>总预算</t>
  </si>
  <si>
    <r>
      <rPr>
        <sz val="10"/>
        <color rgb="FF000000"/>
        <rFont val="Calibri"/>
        <charset val="134"/>
      </rPr>
      <t>预计资金占用</t>
    </r>
  </si>
  <si>
    <r>
      <rPr>
        <sz val="10"/>
        <color rgb="FF000000"/>
        <rFont val="Calibri"/>
        <charset val="134"/>
      </rPr>
      <t>实际资金占用</t>
    </r>
  </si>
  <si>
    <t>类别</t>
  </si>
  <si>
    <t>提交时间</t>
  </si>
  <si>
    <t>订单号</t>
  </si>
  <si>
    <t>订单价格</t>
  </si>
  <si>
    <t>返款比率</t>
  </si>
  <si>
    <t>佣金币种</t>
  </si>
  <si>
    <t>佣金价格</t>
  </si>
  <si>
    <t>备注</t>
  </si>
  <si>
    <t>下单日期</t>
  </si>
  <si>
    <t>回评时间</t>
  </si>
  <si>
    <t>星级</t>
  </si>
  <si>
    <t>reveiw链接</t>
  </si>
  <si>
    <t>删评时间</t>
  </si>
  <si>
    <t>ASIN</t>
  </si>
  <si>
    <t>品名</t>
  </si>
  <si>
    <t>直评</t>
  </si>
  <si>
    <t>5星</t>
  </si>
  <si>
    <t xml:space="preserve">
</t>
  </si>
  <si>
    <t>3常规留评VP,2绿标VINE,1直评，2rating</t>
  </si>
  <si>
    <t>绿标</t>
  </si>
  <si>
    <t>定制图文</t>
  </si>
  <si>
    <t>￥</t>
  </si>
  <si>
    <t>直评4个 定制评论4个 自己留评2个 免评2个</t>
  </si>
  <si>
    <t>5.28新增需求留评2 免评2个</t>
  </si>
  <si>
    <t>定制图文 思欣测评需求表没有登记过</t>
  </si>
  <si>
    <t>常规留评</t>
  </si>
  <si>
    <t>常规留评 思欣测评需求表没有登记过</t>
  </si>
  <si>
    <t>免评</t>
  </si>
  <si>
    <t>取消订单</t>
  </si>
  <si>
    <t>广告订单</t>
  </si>
  <si>
    <t>免评    不是广告，是测评</t>
  </si>
  <si>
    <t>测评</t>
  </si>
  <si>
    <t>除螨仪英国  35个单：  绿标2个，2个免评单取消 +16个测评完成+15个广告                          广告订单19个，     广告转化率</t>
  </si>
  <si>
    <t>常规订单</t>
  </si>
  <si>
    <t>测评订单</t>
  </si>
  <si>
    <t>时间</t>
  </si>
  <si>
    <t>星期</t>
  </si>
  <si>
    <t>工作内容</t>
  </si>
  <si>
    <t>FBA价</t>
  </si>
  <si>
    <t>划线价
折扣</t>
  </si>
  <si>
    <t>CP</t>
  </si>
  <si>
    <t>最低
成交价</t>
  </si>
  <si>
    <t>SC最低
成交价毛利率</t>
  </si>
  <si>
    <t>VC采购价毛利率</t>
  </si>
  <si>
    <t>移动</t>
  </si>
  <si>
    <t>PC</t>
  </si>
  <si>
    <t>访问</t>
  </si>
  <si>
    <t>总转化率</t>
  </si>
  <si>
    <t>实际自然订单</t>
  </si>
  <si>
    <t>自然订单</t>
  </si>
  <si>
    <t>总订单</t>
  </si>
  <si>
    <t>VC订单</t>
  </si>
  <si>
    <t>测评计划出单</t>
  </si>
  <si>
    <t>测评总出单</t>
  </si>
  <si>
    <t>测评完成率</t>
  </si>
  <si>
    <t>Vine</t>
  </si>
  <si>
    <t>销售额</t>
  </si>
  <si>
    <t>核心词ABA排名</t>
  </si>
  <si>
    <t>广告位</t>
  </si>
  <si>
    <t>sif前三页关键词收录数量</t>
  </si>
  <si>
    <t>大类排名</t>
  </si>
  <si>
    <t>小类排名</t>
  </si>
  <si>
    <t>评论数</t>
  </si>
  <si>
    <t>评分</t>
  </si>
  <si>
    <t>QA数</t>
  </si>
  <si>
    <t>首页无差评</t>
  </si>
  <si>
    <t>广告数据</t>
  </si>
  <si>
    <t>毛利数据</t>
  </si>
  <si>
    <t>站外 &amp;流量占比分析</t>
  </si>
  <si>
    <r>
      <rPr>
        <b/>
        <sz val="9"/>
        <rFont val="宋体"/>
        <charset val="134"/>
      </rPr>
      <t>核心词</t>
    </r>
    <r>
      <rPr>
        <b/>
        <sz val="9"/>
        <rFont val="BlinkMacSystemFont"/>
        <charset val="134"/>
      </rPr>
      <t>ABA</t>
    </r>
    <r>
      <rPr>
        <b/>
        <sz val="9"/>
        <rFont val="宋体"/>
        <charset val="134"/>
      </rPr>
      <t xml:space="preserve">排名关键词 </t>
    </r>
    <r>
      <rPr>
        <b/>
        <sz val="9"/>
        <color rgb="FFFF0000"/>
        <rFont val="宋体"/>
        <charset val="134"/>
      </rPr>
      <t>（排位检测，①每3个小时监测一次排位 ②实时检查异常）</t>
    </r>
  </si>
  <si>
    <t>拉升 情况（吸力值）</t>
  </si>
  <si>
    <t>自然位赢得率</t>
  </si>
  <si>
    <t>%</t>
  </si>
  <si>
    <t>自然位滚动率</t>
  </si>
  <si>
    <t>竞争难度</t>
  </si>
  <si>
    <t>广告点击转化率</t>
  </si>
  <si>
    <t>广告搜索转化率</t>
  </si>
  <si>
    <t>广告整体CPC</t>
  </si>
  <si>
    <t>广告整体 CPA</t>
  </si>
  <si>
    <t>客单价+毛利率</t>
  </si>
  <si>
    <t>广告盈亏平衡点 测试</t>
  </si>
  <si>
    <t>点击率 &amp; 转化率</t>
  </si>
  <si>
    <t>如何提升自然排名和自然订单</t>
  </si>
  <si>
    <t>BSR排名</t>
  </si>
  <si>
    <t>如何提升链接的自然订单占比</t>
  </si>
  <si>
    <t>查推荐专栏</t>
  </si>
  <si>
    <t>库存监控</t>
  </si>
  <si>
    <r>
      <rPr>
        <b/>
        <sz val="9"/>
        <rFont val="BlinkMacSystemFont"/>
        <charset val="134"/>
      </rPr>
      <t>ASIN</t>
    </r>
    <r>
      <rPr>
        <b/>
        <sz val="9"/>
        <rFont val="宋体"/>
        <charset val="134"/>
      </rPr>
      <t>每小时</t>
    </r>
    <r>
      <rPr>
        <b/>
        <sz val="9"/>
        <rFont val="BlinkMacSystemFont"/>
        <charset val="134"/>
      </rPr>
      <t xml:space="preserve"> </t>
    </r>
    <r>
      <rPr>
        <b/>
        <sz val="9"/>
        <rFont val="宋体"/>
        <charset val="134"/>
      </rPr>
      <t>坑位快照</t>
    </r>
  </si>
  <si>
    <t>SP</t>
  </si>
  <si>
    <t>点赞数</t>
  </si>
  <si>
    <t>曝光</t>
  </si>
  <si>
    <t>点击</t>
  </si>
  <si>
    <t>点击率</t>
  </si>
  <si>
    <t>订单</t>
  </si>
  <si>
    <t>CPC</t>
  </si>
  <si>
    <t>ACOS</t>
  </si>
  <si>
    <t>广告转化</t>
  </si>
  <si>
    <t>广告订单占比</t>
  </si>
  <si>
    <t>花费（$）</t>
  </si>
  <si>
    <t>广告花费占比</t>
  </si>
  <si>
    <t>CPA</t>
  </si>
  <si>
    <t>广告销售额</t>
  </si>
  <si>
    <t>退款率</t>
  </si>
  <si>
    <t>广告订单毛利P1$</t>
  </si>
  <si>
    <t>自然订单毛利P1$</t>
  </si>
  <si>
    <t>总订单毛利P1$</t>
  </si>
  <si>
    <t>总订单毛利率P1</t>
  </si>
  <si>
    <t>国内总成本$</t>
  </si>
  <si>
    <t>回款金额</t>
  </si>
  <si>
    <t>测评亏损</t>
  </si>
  <si>
    <t>站外毛利$</t>
  </si>
  <si>
    <t>站外出单</t>
  </si>
  <si>
    <t>站外售价</t>
  </si>
  <si>
    <t>站外折扣</t>
  </si>
  <si>
    <t>自然订单占比</t>
  </si>
  <si>
    <t>广告流量占比</t>
  </si>
  <si>
    <t>广告流量</t>
  </si>
  <si>
    <t>总流量</t>
  </si>
  <si>
    <t>自然流量</t>
  </si>
  <si>
    <t>自然转化</t>
  </si>
  <si>
    <t>实际自然转化率</t>
  </si>
  <si>
    <t>自然订单转化率(除测评站外)</t>
  </si>
  <si>
    <t>实际自然占比</t>
  </si>
  <si>
    <r>
      <rPr>
        <b/>
        <sz val="9"/>
        <rFont val="宋体"/>
        <charset val="134"/>
      </rPr>
      <t>广告</t>
    </r>
    <r>
      <rPr>
        <b/>
        <sz val="9"/>
        <rFont val="BlinkMacSystemFont"/>
        <charset val="134"/>
      </rPr>
      <t>/</t>
    </r>
    <r>
      <rPr>
        <b/>
        <sz val="9"/>
        <rFont val="宋体"/>
        <charset val="134"/>
      </rPr>
      <t>自然</t>
    </r>
  </si>
  <si>
    <t>广告转化率</t>
  </si>
  <si>
    <t>类目平均转化率</t>
  </si>
  <si>
    <t>竞品1转化率</t>
  </si>
  <si>
    <t>竞品1广告转化率</t>
  </si>
  <si>
    <t>竞品1自然转化率</t>
  </si>
  <si>
    <t>竞品2转化率</t>
  </si>
  <si>
    <t>竞品2广告转化率</t>
  </si>
  <si>
    <t>竞品2自然转化率</t>
  </si>
  <si>
    <r>
      <rPr>
        <b/>
        <sz val="9"/>
        <rFont val="BlinkMacSystemFont"/>
        <charset val="134"/>
      </rPr>
      <t>keyword</t>
    </r>
    <r>
      <rPr>
        <b/>
        <sz val="9"/>
        <rFont val="宋体"/>
        <charset val="134"/>
      </rPr>
      <t>自然位</t>
    </r>
  </si>
  <si>
    <r>
      <rPr>
        <b/>
        <sz val="9"/>
        <rFont val="BlinkMacSystemFont"/>
        <charset val="134"/>
      </rPr>
      <t>keyword</t>
    </r>
    <r>
      <rPr>
        <b/>
        <sz val="9"/>
        <rFont val="宋体"/>
        <charset val="134"/>
      </rPr>
      <t>广告位</t>
    </r>
  </si>
  <si>
    <r>
      <rPr>
        <b/>
        <sz val="9"/>
        <rFont val="BlinkMacSystemFont"/>
        <charset val="134"/>
      </rPr>
      <t>keyword2</t>
    </r>
    <r>
      <rPr>
        <b/>
        <sz val="9"/>
        <rFont val="宋体"/>
        <charset val="134"/>
      </rPr>
      <t>自然位</t>
    </r>
  </si>
  <si>
    <r>
      <rPr>
        <b/>
        <sz val="9"/>
        <rFont val="BlinkMacSystemFont"/>
        <charset val="134"/>
      </rPr>
      <t>keyword2</t>
    </r>
    <r>
      <rPr>
        <b/>
        <sz val="9"/>
        <rFont val="宋体"/>
        <charset val="134"/>
      </rPr>
      <t>广告位</t>
    </r>
  </si>
  <si>
    <r>
      <rPr>
        <b/>
        <sz val="9"/>
        <rFont val="BlinkMacSystemFont"/>
        <charset val="134"/>
      </rPr>
      <t>keyword3</t>
    </r>
    <r>
      <rPr>
        <b/>
        <sz val="9"/>
        <rFont val="宋体"/>
        <charset val="134"/>
      </rPr>
      <t>自然位</t>
    </r>
  </si>
  <si>
    <r>
      <rPr>
        <b/>
        <sz val="9"/>
        <rFont val="BlinkMacSystemFont"/>
        <charset val="134"/>
      </rPr>
      <t>keyword3</t>
    </r>
    <r>
      <rPr>
        <b/>
        <sz val="9"/>
        <rFont val="宋体"/>
        <charset val="134"/>
      </rPr>
      <t>广告位</t>
    </r>
  </si>
  <si>
    <r>
      <rPr>
        <b/>
        <sz val="9"/>
        <rFont val="BlinkMacSystemFont"/>
        <charset val="134"/>
      </rPr>
      <t>keyword4</t>
    </r>
    <r>
      <rPr>
        <b/>
        <sz val="9"/>
        <rFont val="宋体"/>
        <charset val="134"/>
      </rPr>
      <t>自然位</t>
    </r>
  </si>
  <si>
    <r>
      <rPr>
        <b/>
        <sz val="9"/>
        <rFont val="BlinkMacSystemFont"/>
        <charset val="134"/>
      </rPr>
      <t>keyword4</t>
    </r>
    <r>
      <rPr>
        <b/>
        <sz val="9"/>
        <rFont val="宋体"/>
        <charset val="134"/>
      </rPr>
      <t>广告位</t>
    </r>
  </si>
  <si>
    <t>广告流量对自然流量拉升情况</t>
  </si>
  <si>
    <t>广告位对自然位拉升 情况</t>
  </si>
  <si>
    <t>~吸力值</t>
  </si>
  <si>
    <t>keyword</t>
  </si>
  <si>
    <t>keyword自然位滚动率</t>
  </si>
  <si>
    <r>
      <rPr>
        <b/>
        <sz val="9"/>
        <rFont val="BlinkMacSystemFont"/>
        <charset val="134"/>
      </rPr>
      <t>keyword</t>
    </r>
    <r>
      <rPr>
        <b/>
        <sz val="9"/>
        <rFont val="宋体"/>
        <charset val="134"/>
      </rPr>
      <t>广告点击转化率</t>
    </r>
  </si>
  <si>
    <r>
      <rPr>
        <b/>
        <sz val="9"/>
        <rFont val="BlinkMacSystemFont"/>
        <charset val="134"/>
      </rPr>
      <t>keyword</t>
    </r>
    <r>
      <rPr>
        <b/>
        <sz val="9"/>
        <rFont val="宋体"/>
        <charset val="134"/>
      </rPr>
      <t>广告搜索转化率</t>
    </r>
  </si>
  <si>
    <r>
      <rPr>
        <b/>
        <sz val="9"/>
        <rFont val="BlinkMacSystemFont"/>
        <charset val="134"/>
      </rPr>
      <t>keyword</t>
    </r>
    <r>
      <rPr>
        <b/>
        <sz val="9"/>
        <rFont val="宋体"/>
        <charset val="134"/>
      </rPr>
      <t>建议竞价</t>
    </r>
  </si>
  <si>
    <t>keywords广告搜索转化率</t>
  </si>
  <si>
    <r>
      <rPr>
        <b/>
        <sz val="9"/>
        <rFont val="BlinkMacSystemFont"/>
        <charset val="134"/>
      </rPr>
      <t>keywords</t>
    </r>
    <r>
      <rPr>
        <b/>
        <sz val="9"/>
        <rFont val="宋体"/>
        <charset val="134"/>
      </rPr>
      <t>广告搜索转化率</t>
    </r>
  </si>
  <si>
    <t>整个链接的CTR</t>
  </si>
  <si>
    <t>广告的CTR</t>
  </si>
  <si>
    <t>自然的CTR</t>
  </si>
  <si>
    <t>整个链接的CVR</t>
  </si>
  <si>
    <t>广告的CVR</t>
  </si>
  <si>
    <t>自然的CVR</t>
  </si>
  <si>
    <t>模型运营：“一周上首页”：揭秘亚马逊新品如何实现大词自然排名飙升与关键</t>
  </si>
  <si>
    <t>千次展现的预估收益
ECPM</t>
  </si>
  <si>
    <t>1000次展现</t>
  </si>
  <si>
    <r>
      <rPr>
        <b/>
        <sz val="9"/>
        <rFont val="宋体"/>
        <charset val="134"/>
      </rPr>
      <t>整体</t>
    </r>
    <r>
      <rPr>
        <b/>
        <sz val="9"/>
        <rFont val="BlinkMacSystemFont"/>
        <charset val="134"/>
      </rPr>
      <t>CTR</t>
    </r>
  </si>
  <si>
    <r>
      <rPr>
        <b/>
        <sz val="9"/>
        <rFont val="宋体"/>
        <charset val="134"/>
      </rPr>
      <t>整体</t>
    </r>
    <r>
      <rPr>
        <b/>
        <sz val="9"/>
        <rFont val="BlinkMacSystemFont"/>
        <charset val="134"/>
      </rPr>
      <t>CVR</t>
    </r>
  </si>
  <si>
    <t>客单价</t>
  </si>
  <si>
    <t>佣金（抽佣比例）</t>
  </si>
  <si>
    <t>FBA费用</t>
  </si>
  <si>
    <t>广告花费</t>
  </si>
  <si>
    <t>其他因素</t>
  </si>
  <si>
    <t>获得的推荐专栏</t>
  </si>
  <si>
    <t>VC仓库存</t>
  </si>
  <si>
    <t>海外仓库存</t>
  </si>
  <si>
    <t>总库存</t>
  </si>
  <si>
    <t>VC可用天数</t>
  </si>
  <si>
    <t>SP广告卡位 赢得率</t>
  </si>
  <si>
    <t>星期六</t>
  </si>
  <si>
    <t>ECPM</t>
  </si>
  <si>
    <t>星期日</t>
  </si>
  <si>
    <t>链接上架</t>
  </si>
  <si>
    <t>星期一</t>
  </si>
  <si>
    <t>确定主图文案</t>
  </si>
  <si>
    <t>星期二</t>
  </si>
  <si>
    <t>确定A+图文案</t>
  </si>
  <si>
    <t>星期三</t>
  </si>
  <si>
    <t>红人视频</t>
  </si>
  <si>
    <t>星期四</t>
  </si>
  <si>
    <t>QA20对上架，动画-注意文案合规性问题</t>
  </si>
  <si>
    <t>星期五</t>
  </si>
  <si>
    <t>绿标回评 2个</t>
  </si>
  <si>
    <t>做划线价</t>
  </si>
  <si>
    <t>欧洲小站点A+优化 链接检查</t>
  </si>
  <si>
    <t>动画，外模视频到位 上架主图，A+视频做视频广告</t>
  </si>
  <si>
    <t>2个测评下单 139.95</t>
  </si>
  <si>
    <t>收集关键词 广告准备 ，明天做广告</t>
  </si>
  <si>
    <t>优惠券设置15%  开始做广告，出现划线价，以及30天最低标签</t>
  </si>
  <si>
    <t>开始做广告</t>
  </si>
  <si>
    <t>视频广告</t>
  </si>
  <si>
    <t>广告订单1</t>
  </si>
  <si>
    <t>广告CPC竞价</t>
  </si>
  <si>
    <t>增加广告预算</t>
  </si>
  <si>
    <t>增加视频广告</t>
  </si>
  <si>
    <t>广告出单1个</t>
  </si>
  <si>
    <t>XXX仪英国  17个单：  绿标2个，广告订单4个，1个免评单取消 +10个测评完成  广告转化率</t>
  </si>
  <si>
    <t>调整广告价格增加视频广告</t>
  </si>
  <si>
    <t>调整广告价格</t>
  </si>
  <si>
    <t>10个测评单，2个绿标，4个广告订单，1个订单取消</t>
  </si>
  <si>
    <t>SP广告预算</t>
  </si>
  <si>
    <t>广告CPC竞价广告单1个</t>
  </si>
  <si>
    <t>ACOS≈CPA/客单价。</t>
  </si>
  <si>
    <t>广告订单2</t>
  </si>
  <si>
    <t>ACOS≈CPA/产品均价</t>
  </si>
  <si>
    <t>广告订单3</t>
  </si>
  <si>
    <t>广告单1个</t>
  </si>
  <si>
    <t>广告单3个</t>
  </si>
  <si>
    <t>广告单2个</t>
  </si>
  <si>
    <t>控制广告预算，控制ACOS</t>
  </si>
  <si>
    <t>控制ACOS</t>
  </si>
  <si>
    <t>广告优化</t>
  </si>
  <si>
    <t xml:space="preserve">Q&amp;A数   QA图片视频， </t>
  </si>
  <si>
    <t>评论数，星级，评论的质量： 前台首页无差评 3星，以及点赞数量（前3个评论，首页）</t>
  </si>
  <si>
    <t>汇总</t>
  </si>
  <si>
    <t>站点</t>
  </si>
  <si>
    <t>折扣</t>
  </si>
  <si>
    <t>折前利润</t>
  </si>
  <si>
    <t>折后利润</t>
  </si>
  <si>
    <t>文本</t>
  </si>
  <si>
    <t>开始时间</t>
  </si>
  <si>
    <t>结束时间</t>
  </si>
  <si>
    <t>状态</t>
  </si>
  <si>
    <t>英国</t>
  </si>
  <si>
    <t>暂停</t>
  </si>
  <si>
    <t>电动xx日常价</t>
  </si>
  <si>
    <t>DE</t>
  </si>
  <si>
    <t>活动类型</t>
  </si>
  <si>
    <t>活动名称</t>
  </si>
  <si>
    <t>周期</t>
  </si>
  <si>
    <t>活动价格</t>
  </si>
  <si>
    <t>毛利率（预留广告空间）</t>
  </si>
  <si>
    <t>排名</t>
  </si>
  <si>
    <t>预算广告上限</t>
  </si>
  <si>
    <t>差评时间</t>
  </si>
  <si>
    <t>差评链接</t>
  </si>
  <si>
    <t>处理结果</t>
  </si>
  <si>
    <t>计划刷单节奏跟进表</t>
  </si>
  <si>
    <t>指标</t>
  </si>
  <si>
    <t>周五</t>
  </si>
  <si>
    <t>周六</t>
  </si>
  <si>
    <t>周天</t>
  </si>
  <si>
    <t>周一</t>
  </si>
  <si>
    <t>周二</t>
  </si>
  <si>
    <t>周三</t>
  </si>
  <si>
    <t>周四</t>
  </si>
  <si>
    <t>计划刷单数量</t>
  </si>
  <si>
    <t>实际刷单数量</t>
  </si>
  <si>
    <t>竞对转化率</t>
  </si>
  <si>
    <t>类目转化率</t>
  </si>
  <si>
    <t>3-4%</t>
  </si>
  <si>
    <t>目标转化率</t>
  </si>
  <si>
    <t>实际转化率</t>
  </si>
  <si>
    <t>是否需要补单</t>
  </si>
  <si>
    <t>绿标计划节奏跟进表</t>
  </si>
  <si>
    <t>名称</t>
  </si>
  <si>
    <t>德国</t>
  </si>
  <si>
    <t>法国</t>
  </si>
  <si>
    <t>意大利</t>
  </si>
  <si>
    <t>西班牙</t>
  </si>
  <si>
    <t>其他站点</t>
  </si>
  <si>
    <t>FR</t>
  </si>
  <si>
    <t>IT</t>
  </si>
  <si>
    <t>ES</t>
  </si>
  <si>
    <t>OTHER</t>
  </si>
  <si>
    <t>计划中</t>
  </si>
  <si>
    <t>已领取</t>
  </si>
  <si>
    <t>已回评</t>
  </si>
  <si>
    <t>待领取</t>
  </si>
  <si>
    <t>佣金比率</t>
  </si>
  <si>
    <t>产品热度（站外）</t>
  </si>
  <si>
    <t>带货数量（站外）</t>
  </si>
  <si>
    <t>视频链接</t>
  </si>
  <si>
    <t>播放</t>
  </si>
  <si>
    <t>点赞</t>
  </si>
  <si>
    <t>互动</t>
  </si>
  <si>
    <t>已经提交需求</t>
  </si>
  <si>
    <t>https://shimo.im/sheets/R13j887geRuXZrk5/WRWrU   (https://shimo.im/sheets/R13j887geRuXZrk5/WRWrU)   站外推广需求大家也可以填一下这个表给我们，我们这边提前储备红人资源</t>
  </si>
  <si>
    <r>
      <rPr>
        <u/>
        <sz val="10"/>
        <color rgb="FF3861AF"/>
        <rFont val="宋体"/>
        <charset val="134"/>
      </rPr>
      <t>https://shimo.im/sheets/R13j887geRuXZrk5/WRWrU(https://shimo.im/sheets/R13j887geRuXZrk5/WRWrU)</t>
    </r>
    <r>
      <rPr>
        <sz val="10"/>
        <rFont val="宋体"/>
        <charset val="134"/>
      </rPr>
      <t xml:space="preserve">  </t>
    </r>
  </si>
  <si>
    <t>领取量</t>
  </si>
  <si>
    <t>红人（站内）</t>
  </si>
  <si>
    <t>带货数量（站内）</t>
  </si>
  <si>
    <t>5/8</t>
  </si>
  <si>
    <t>基础资料</t>
  </si>
  <si>
    <t>库存信息</t>
  </si>
  <si>
    <t>备货量参考数据</t>
  </si>
  <si>
    <t>发货需求</t>
  </si>
  <si>
    <t>申请备货日期</t>
  </si>
  <si>
    <t>账号</t>
  </si>
  <si>
    <t>Asin</t>
  </si>
  <si>
    <t>系统SKU</t>
  </si>
  <si>
    <t>产品中文名</t>
  </si>
  <si>
    <t>产品定位</t>
  </si>
  <si>
    <t>工厂余货（采购中）</t>
  </si>
  <si>
    <t>VC在途数量</t>
  </si>
  <si>
    <t>海外仓库存数量</t>
  </si>
  <si>
    <t>VC亚马逊仓数量</t>
  </si>
  <si>
    <t>总库存数量</t>
  </si>
  <si>
    <t>一周销量</t>
  </si>
  <si>
    <t>两周销量</t>
  </si>
  <si>
    <t>当月销量</t>
  </si>
  <si>
    <t>当下在售产品的利润率</t>
  </si>
  <si>
    <t>产品退款率</t>
  </si>
  <si>
    <t>加权销量（日均）</t>
  </si>
  <si>
    <t>根据历史数据该产品到货时间段的销量预估（平均/天）</t>
  </si>
  <si>
    <t>接收仓</t>
  </si>
  <si>
    <t>预计发货时间</t>
  </si>
  <si>
    <t>预计到货时间</t>
  </si>
  <si>
    <t>运输时间</t>
  </si>
  <si>
    <t>采购天数</t>
  </si>
  <si>
    <t>上架天数</t>
  </si>
  <si>
    <t>安全天数</t>
  </si>
  <si>
    <t>在途+在库可售天数</t>
  </si>
  <si>
    <t>本次备货可售天数</t>
  </si>
  <si>
    <t>备货的合理性</t>
  </si>
  <si>
    <t>建议备货数量</t>
  </si>
  <si>
    <t>申请备货数量</t>
  </si>
  <si>
    <t>申请备货总金额</t>
  </si>
  <si>
    <t>历史是否申请过折扣 清库等</t>
  </si>
  <si>
    <t>店铺库容</t>
  </si>
  <si>
    <t>最终备货数量</t>
  </si>
  <si>
    <t>最终的备货金额</t>
  </si>
  <si>
    <t>发货计划（写清楚什么阶段发多少货走什么渠道，一次备货需在一个月内发完）</t>
  </si>
  <si>
    <t>目前在途库存有340</t>
  </si>
  <si>
    <t>VC</t>
  </si>
  <si>
    <t>XXX仪（欧规）</t>
  </si>
  <si>
    <t>聚焦款</t>
  </si>
  <si>
    <t>直发海外仓</t>
  </si>
  <si>
    <t>否</t>
  </si>
  <si>
    <t>第一批：计划3.30发货320个卡航，预计4.20 到海外仓；    最新动态 11月-22号 排队清关中
第二批：计划 3.30发货640个 铁路 预计5.15 到海外仓；
第三批：计划4.15发货200个海运，预计6.15 到海外仓；    最新动态 11-3已开船，预计12-6到港</t>
  </si>
  <si>
    <t>FBA在途数量</t>
  </si>
  <si>
    <t>FBA在库数量</t>
  </si>
  <si>
    <t>第三方海外仓数量</t>
  </si>
  <si>
    <r>
      <rPr>
        <sz val="9"/>
        <color rgb="FF000000"/>
        <rFont val="Calibri"/>
        <charset val="134"/>
      </rPr>
      <t>发货需求（分别在什么时间段发走多少数量</t>
    </r>
    <r>
      <rPr>
        <sz val="9"/>
        <color rgb="FFFF0000"/>
        <rFont val="Calibri"/>
        <charset val="134"/>
      </rPr>
      <t>）/</t>
    </r>
    <r>
      <rPr>
        <b/>
        <sz val="9"/>
        <color rgb="FFFF0000"/>
        <rFont val="Calibri"/>
        <charset val="134"/>
      </rPr>
      <t>考虑旺季三倍仓租</t>
    </r>
  </si>
  <si>
    <t>目前在库途库存160</t>
  </si>
  <si>
    <t>SC</t>
  </si>
  <si>
    <t>卡航</t>
  </si>
  <si>
    <t>工厂发FBA仓</t>
  </si>
  <si>
    <t>第一批：计划3.30发货200个卡航，预计4.20 到FBA仓；   最新动态    11月-22号 排队清关中
第二批：计划4.15发货200个铁路，预计5.15 到FBA仓；   最新动态    11-3已开船，预计12-6到港</t>
  </si>
  <si>
    <t>{SC + VC  和物流承运方式选择}电动 装箱数54       XXX仪装箱数4</t>
  </si>
  <si>
    <t> ① 电动  SC432空运     VC1080 （卡航540  铁路540）  备注：有一箱少12</t>
  </si>
  <si>
    <t xml:space="preserve"> ② XXX仪SC360铁路          VC1140 （卡航340  海运800） </t>
  </si>
  <si>
    <t xml:space="preserve"> ③ 电动 英国SC270 空运      VC540铁路   备注： 有一箱少10</t>
  </si>
  <si>
    <t xml:space="preserve"> ④ XXX仪英国SC160卡航           VC340铁路</t>
  </si>
  <si>
    <t>VCSKU</t>
  </si>
  <si>
    <t>产品名称</t>
  </si>
  <si>
    <t>采购</t>
  </si>
  <si>
    <t>PO出货</t>
  </si>
  <si>
    <t>VC销售</t>
  </si>
  <si>
    <t>多渠道出货</t>
  </si>
  <si>
    <t>云仓结存</t>
  </si>
  <si>
    <t>VC仓结存</t>
  </si>
  <si>
    <t>在途</t>
  </si>
  <si>
    <t>在途周转周</t>
  </si>
  <si>
    <t>运营端</t>
  </si>
  <si>
    <t>PO端-实际接单</t>
  </si>
  <si>
    <t>预估PO单</t>
  </si>
  <si>
    <t>合计周转天数</t>
  </si>
  <si>
    <t>渠道天数</t>
  </si>
  <si>
    <t>库存是否正常</t>
  </si>
  <si>
    <t>7天</t>
  </si>
  <si>
    <t>14天</t>
  </si>
  <si>
    <t>30天</t>
  </si>
  <si>
    <t>日均销量</t>
  </si>
  <si>
    <t>可售周转天数</t>
  </si>
  <si>
    <t>周均销量</t>
  </si>
  <si>
    <t>可售周转周</t>
  </si>
  <si>
    <t>预计来PO单</t>
  </si>
  <si>
    <t>加权预估PO单</t>
  </si>
  <si>
    <t>国内到海外仓天数</t>
  </si>
  <si>
    <t>海外仓到VC仓天数</t>
  </si>
  <si>
    <t>00131-1610-0360</t>
  </si>
  <si>
    <t>除螨仪</t>
  </si>
  <si>
    <t>{SC + VC  和物流承运方式选择}电动牙刷装箱数54       除螨仪装箱数4</t>
  </si>
  <si>
    <t> ① 电动牙刷 SC432空运     VC1080 （卡航540  铁路540）  备注：有一箱少12</t>
  </si>
  <si>
    <t xml:space="preserve"> ② 除螨仪SC360铁路          VC1140 （卡航340  海运800） </t>
  </si>
  <si>
    <t xml:space="preserve"> ③ 电动牙刷英国SC270 空运      VC540铁路   备注： 有一箱少10</t>
  </si>
  <si>
    <t xml:space="preserve"> ④ 除螨仪英国SC160卡航           VC340铁路</t>
  </si>
  <si>
    <t>币种</t>
  </si>
  <si>
    <t>毛利润</t>
  </si>
  <si>
    <t>毛利率</t>
  </si>
  <si>
    <t>Sessions-移动端</t>
  </si>
  <si>
    <t>Sessions-浏览器</t>
  </si>
  <si>
    <t>Sessions</t>
  </si>
  <si>
    <t>小类目排名</t>
  </si>
  <si>
    <t>大类目排名</t>
  </si>
  <si>
    <t>转化率</t>
  </si>
  <si>
    <t>评分数</t>
  </si>
  <si>
    <t>广告曝光量</t>
  </si>
  <si>
    <t>广告点击量</t>
  </si>
  <si>
    <t>广告点击率</t>
  </si>
  <si>
    <t>ACoS</t>
  </si>
  <si>
    <t>ACoAS</t>
  </si>
  <si>
    <t>广告订单量</t>
  </si>
  <si>
    <t>广告订单量占比</t>
  </si>
  <si>
    <t>运营笔记</t>
  </si>
  <si>
    <t xml:space="preserve">核心词ABA排名①ca </t>
  </si>
  <si>
    <t xml:space="preserve">核心词ABA排名② </t>
  </si>
  <si>
    <t xml:space="preserve">核心词ABA排名③ </t>
  </si>
  <si>
    <t xml:space="preserve">核心词ABA排名④ </t>
  </si>
  <si>
    <t>EUR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</si>
</sst>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0.00_ "/>
    <numFmt numFmtId="178" formatCode="0_ "/>
    <numFmt numFmtId="179" formatCode="aaaa;@"/>
    <numFmt numFmtId="180" formatCode="0.0%"/>
    <numFmt numFmtId="181" formatCode="m&quot;月&quot;d&quot;日&quot;;@"/>
    <numFmt numFmtId="182" formatCode="0.00_);[Red]\(0.00\)"/>
    <numFmt numFmtId="183" formatCode="\$#,##0.00;\-\$#,##0.00"/>
    <numFmt numFmtId="184" formatCode="0.00_);\(0.00\)"/>
    <numFmt numFmtId="185" formatCode="#,##0.0_);[Red]\(#,##0.0\)"/>
    <numFmt numFmtId="186" formatCode="0.0_);\(0.0\)"/>
    <numFmt numFmtId="187" formatCode="0.000_ "/>
  </numFmts>
  <fonts count="77">
    <font>
      <sz val="9"/>
      <name val="等线"/>
      <charset val="64"/>
    </font>
    <font>
      <b/>
      <sz val="12"/>
      <name val="等线"/>
      <charset val="134"/>
    </font>
    <font>
      <sz val="10"/>
      <name val="等线"/>
      <charset val="134"/>
    </font>
    <font>
      <sz val="9"/>
      <name val="等线"/>
      <charset val="134"/>
    </font>
    <font>
      <b/>
      <sz val="10"/>
      <name val="等线"/>
      <charset val="134"/>
    </font>
    <font>
      <sz val="10"/>
      <color rgb="FFFF0000"/>
      <name val="等线"/>
      <charset val="134"/>
    </font>
    <font>
      <b/>
      <sz val="9"/>
      <name val="等线"/>
      <charset val="134"/>
    </font>
    <font>
      <b/>
      <u/>
      <sz val="9"/>
      <color rgb="FFFF0000"/>
      <name val="等线"/>
      <charset val="134"/>
    </font>
    <font>
      <sz val="9"/>
      <color rgb="FFFF0000"/>
      <name val="等线"/>
      <charset val="134"/>
    </font>
    <font>
      <sz val="9"/>
      <color rgb="FFF54A45"/>
      <name val="等线"/>
      <charset val="134"/>
    </font>
    <font>
      <b/>
      <sz val="10"/>
      <name val="arial"/>
      <charset val="134"/>
    </font>
    <font>
      <b/>
      <sz val="9"/>
      <name val="BlinkMacSystemFont"/>
      <charset val="134"/>
    </font>
    <font>
      <sz val="9"/>
      <name val="BlinkMacSystemFont"/>
      <charset val="134"/>
    </font>
    <font>
      <u/>
      <sz val="11"/>
      <color rgb="FF0000FF"/>
      <name val="宋体"/>
      <charset val="0"/>
      <scheme val="minor"/>
    </font>
    <font>
      <b/>
      <sz val="10"/>
      <color rgb="FFC00000"/>
      <name val="等线"/>
      <charset val="134"/>
    </font>
    <font>
      <sz val="9"/>
      <name val="宋体"/>
      <charset val="134"/>
    </font>
    <font>
      <b/>
      <sz val="10"/>
      <name val="Arial"/>
      <charset val="134"/>
    </font>
    <font>
      <b/>
      <sz val="11"/>
      <name val="Arial"/>
      <charset val="134"/>
    </font>
    <font>
      <sz val="8"/>
      <color rgb="FF000000"/>
      <name val="等线"/>
      <charset val="134"/>
    </font>
    <font>
      <b/>
      <sz val="11"/>
      <color rgb="FF000000"/>
      <name val="Arial"/>
      <charset val="134"/>
    </font>
    <font>
      <b/>
      <sz val="9"/>
      <color rgb="FF6425D0"/>
      <name val="等线"/>
      <charset val="134"/>
    </font>
    <font>
      <b/>
      <sz val="9"/>
      <color rgb="FFFF0000"/>
      <name val="等线"/>
      <charset val="134"/>
    </font>
    <font>
      <b/>
      <sz val="9"/>
      <name val="宋体"/>
      <charset val="134"/>
    </font>
    <font>
      <sz val="10"/>
      <name val="BlinkMacSystemFont"/>
      <charset val="134"/>
    </font>
    <font>
      <sz val="10"/>
      <name val="宋体"/>
      <charset val="134"/>
    </font>
    <font>
      <u/>
      <sz val="10"/>
      <color rgb="FF3861AF"/>
      <name val="BlinkMacSystemFont"/>
      <charset val="134"/>
    </font>
    <font>
      <b/>
      <sz val="8"/>
      <color rgb="FF000000"/>
      <name val="等线"/>
      <charset val="134"/>
    </font>
    <font>
      <b/>
      <sz val="9"/>
      <color rgb="FFF54A45"/>
      <name val="等线"/>
      <charset val="134"/>
    </font>
    <font>
      <b/>
      <sz val="8"/>
      <name val="BlinkMacSystemFont"/>
      <charset val="134"/>
    </font>
    <font>
      <sz val="8"/>
      <name val="等线"/>
      <charset val="134"/>
    </font>
    <font>
      <b/>
      <sz val="10"/>
      <color rgb="FFF54A45"/>
      <name val="等线"/>
      <charset val="134"/>
    </font>
    <font>
      <b/>
      <sz val="10"/>
      <color rgb="FF000000"/>
      <name val="Arial"/>
      <charset val="134"/>
    </font>
    <font>
      <u/>
      <sz val="9"/>
      <color rgb="FF3861AF"/>
      <name val="BlinkMacSystemFont"/>
      <charset val="134"/>
    </font>
    <font>
      <sz val="9"/>
      <color rgb="FFFF0000"/>
      <name val="BlinkMacSystemFont"/>
      <charset val="134"/>
    </font>
    <font>
      <sz val="9"/>
      <color rgb="FF41464B"/>
      <name val="等线"/>
      <charset val="134"/>
    </font>
    <font>
      <sz val="9"/>
      <color rgb="FF000000"/>
      <name val="等线"/>
      <charset val="134"/>
    </font>
    <font>
      <sz val="8"/>
      <color rgb="FFFF0000"/>
      <name val="等线"/>
      <charset val="134"/>
    </font>
    <font>
      <sz val="13"/>
      <name val="宋体"/>
      <charset val="134"/>
    </font>
    <font>
      <sz val="7"/>
      <name val="等线"/>
      <charset val="134"/>
    </font>
    <font>
      <b/>
      <sz val="9"/>
      <color rgb="FF800080"/>
      <name val="等线"/>
      <charset val="134"/>
    </font>
    <font>
      <b/>
      <sz val="9"/>
      <name val="Calibri"/>
      <charset val="134"/>
    </font>
    <font>
      <b/>
      <sz val="9"/>
      <color rgb="FF000000"/>
      <name val="Calibri"/>
      <charset val="134"/>
    </font>
    <font>
      <b/>
      <sz val="9"/>
      <color rgb="FFFFFFFF"/>
      <name val="等线"/>
      <charset val="134"/>
    </font>
    <font>
      <sz val="12"/>
      <name val="等线"/>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Calibri"/>
      <charset val="134"/>
    </font>
    <font>
      <sz val="9"/>
      <color rgb="FFFF0000"/>
      <name val="Calibri"/>
      <charset val="134"/>
    </font>
    <font>
      <b/>
      <sz val="9"/>
      <color rgb="FFFF0000"/>
      <name val="Calibri"/>
      <charset val="134"/>
    </font>
    <font>
      <sz val="10"/>
      <color rgb="FF000000"/>
      <name val="Calibri"/>
      <charset val="134"/>
    </font>
    <font>
      <b/>
      <sz val="9"/>
      <color rgb="FFFF0000"/>
      <name val="宋体"/>
      <charset val="134"/>
    </font>
    <font>
      <u/>
      <sz val="10"/>
      <color rgb="FF3861AF"/>
      <name val="宋体"/>
      <charset val="134"/>
    </font>
    <font>
      <b/>
      <sz val="9.75"/>
      <color rgb="FF000000"/>
      <name val="Calibri"/>
      <charset val="134"/>
    </font>
    <font>
      <sz val="9"/>
      <name val="Calibri"/>
      <charset val="134"/>
    </font>
    <font>
      <sz val="10"/>
      <color rgb="FF000000"/>
      <name val="宋体"/>
      <charset val="134"/>
    </font>
    <font>
      <b/>
      <sz val="9"/>
      <color rgb="FF000000"/>
      <name val="宋体"/>
      <charset val="0"/>
      <scheme val="minor"/>
    </font>
    <font>
      <sz val="9"/>
      <color rgb="FF000000"/>
      <name val="宋体"/>
      <charset val="0"/>
      <scheme val="minor"/>
    </font>
    <font>
      <sz val="12"/>
      <color rgb="FF000000"/>
      <name val="宋体"/>
      <charset val="0"/>
      <scheme val="minor"/>
    </font>
    <font>
      <b/>
      <sz val="9"/>
      <name val="宋体"/>
      <charset val="134"/>
    </font>
    <font>
      <sz val="9"/>
      <name val="宋体"/>
      <charset val="134"/>
    </font>
  </fonts>
  <fills count="60">
    <fill>
      <patternFill patternType="none"/>
    </fill>
    <fill>
      <patternFill patternType="gray125"/>
    </fill>
    <fill>
      <patternFill patternType="solid">
        <fgColor rgb="FFFFC000"/>
        <bgColor indexed="64"/>
      </patternFill>
    </fill>
    <fill>
      <patternFill patternType="solid">
        <fgColor rgb="FF7030A0"/>
        <bgColor indexed="64"/>
      </patternFill>
    </fill>
    <fill>
      <patternFill patternType="solid">
        <fgColor rgb="FFCFCFCF"/>
        <bgColor indexed="64"/>
      </patternFill>
    </fill>
    <fill>
      <patternFill patternType="solid">
        <fgColor rgb="FFACE5E1"/>
        <bgColor indexed="64"/>
      </patternFill>
    </fill>
    <fill>
      <patternFill patternType="solid">
        <fgColor rgb="FFFBE6D5"/>
        <bgColor indexed="64"/>
      </patternFill>
    </fill>
    <fill>
      <patternFill patternType="solid">
        <fgColor rgb="FFF4B7BE"/>
        <bgColor indexed="64"/>
      </patternFill>
    </fill>
    <fill>
      <patternFill patternType="solid">
        <fgColor rgb="FFFFFF00"/>
        <bgColor indexed="64"/>
      </patternFill>
    </fill>
    <fill>
      <patternFill patternType="solid">
        <fgColor rgb="FFB5C7EA"/>
        <bgColor indexed="64"/>
      </patternFill>
    </fill>
    <fill>
      <patternFill patternType="solid">
        <fgColor rgb="FFF2BA02"/>
        <bgColor indexed="64"/>
      </patternFill>
    </fill>
    <fill>
      <patternFill patternType="solid">
        <fgColor rgb="FFE3F1D9"/>
        <bgColor indexed="64"/>
      </patternFill>
    </fill>
    <fill>
      <patternFill patternType="solid">
        <fgColor rgb="FFEE822F"/>
        <bgColor indexed="64"/>
      </patternFill>
    </fill>
    <fill>
      <patternFill patternType="solid">
        <fgColor rgb="FFFFF3CA"/>
        <bgColor indexed="64"/>
      </patternFill>
    </fill>
    <fill>
      <patternFill patternType="solid">
        <fgColor rgb="FFFFD900"/>
        <bgColor indexed="64"/>
      </patternFill>
    </fill>
    <fill>
      <patternFill patternType="solid">
        <fgColor rgb="FF98FA1C"/>
        <bgColor indexed="64"/>
      </patternFill>
    </fill>
    <fill>
      <patternFill patternType="solid">
        <fgColor rgb="FFC7E4B3"/>
        <bgColor indexed="64"/>
      </patternFill>
    </fill>
    <fill>
      <patternFill patternType="solid">
        <fgColor rgb="FF70AD46"/>
        <bgColor indexed="64"/>
      </patternFill>
    </fill>
    <fill>
      <patternFill patternType="solid">
        <fgColor rgb="FFFDEADA"/>
        <bgColor indexed="64"/>
      </patternFill>
    </fill>
    <fill>
      <patternFill patternType="solid">
        <fgColor rgb="FF75BD42"/>
        <bgColor indexed="64"/>
      </patternFill>
    </fill>
    <fill>
      <patternFill patternType="solid">
        <fgColor rgb="FFF9DBDE"/>
        <bgColor indexed="64"/>
      </patternFill>
    </fill>
    <fill>
      <patternFill patternType="solid">
        <fgColor rgb="FFFF0000"/>
        <bgColor indexed="64"/>
      </patternFill>
    </fill>
    <fill>
      <patternFill patternType="solid">
        <fgColor rgb="FFECE2FE"/>
        <bgColor indexed="64"/>
      </patternFill>
    </fill>
    <fill>
      <patternFill patternType="solid">
        <fgColor rgb="FF37D9F0"/>
        <bgColor indexed="64"/>
      </patternFill>
    </fill>
    <fill>
      <patternFill patternType="solid">
        <fgColor rgb="FFB3ECE7"/>
        <bgColor indexed="64"/>
      </patternFill>
    </fill>
    <fill>
      <patternFill patternType="solid">
        <fgColor rgb="FFD5F2F0"/>
        <bgColor indexed="64"/>
      </patternFill>
    </fill>
    <fill>
      <patternFill patternType="solid">
        <fgColor rgb="FF3A5E21"/>
        <bgColor indexed="64"/>
      </patternFill>
    </fill>
    <fill>
      <patternFill patternType="solid">
        <fgColor rgb="FFC00000"/>
        <bgColor indexed="64"/>
      </patternFill>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top style="thin">
        <color rgb="FF2B2B2B"/>
      </top>
      <bottom/>
      <diagonal/>
    </border>
    <border>
      <left/>
      <right/>
      <top style="thin">
        <color rgb="FF2B2B2B"/>
      </top>
      <bottom/>
      <diagonal/>
    </border>
    <border>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CCCCCC"/>
      </left>
      <right style="thin">
        <color rgb="FFCCCCCC"/>
      </right>
      <top style="thin">
        <color rgb="FFCCCCCC"/>
      </top>
      <bottom style="thin">
        <color rgb="FFCCCCCC"/>
      </bottom>
      <diagonal/>
    </border>
    <border>
      <left style="thin">
        <color rgb="FF2B2B2B"/>
      </left>
      <right/>
      <top/>
      <bottom style="thin">
        <color rgb="FF2B2B2B"/>
      </bottom>
      <diagonal/>
    </border>
    <border>
      <left/>
      <right/>
      <top style="thin">
        <color rgb="FF2B2B2B"/>
      </top>
      <bottom style="thin">
        <color rgb="FF2B2B2B"/>
      </bottom>
      <diagonal/>
    </border>
    <border>
      <left style="thin">
        <color rgb="FF1F2329"/>
      </left>
      <right style="thin">
        <color rgb="FF1F2329"/>
      </right>
      <top style="thin">
        <color rgb="FF1F2329"/>
      </top>
      <bottom style="thin">
        <color rgb="FF1F2329"/>
      </bottom>
      <diagonal/>
    </border>
    <border>
      <left/>
      <right style="thin">
        <color rgb="FFCCCCCC"/>
      </right>
      <top style="thin">
        <color rgb="FFCCCCCC"/>
      </top>
      <bottom style="thin">
        <color rgb="FFCCCCCC"/>
      </bottom>
      <diagonal/>
    </border>
    <border>
      <left style="thin">
        <color rgb="FF2B2B2B"/>
      </left>
      <right style="thin">
        <color rgb="FF2B2B2B"/>
      </right>
      <top/>
      <bottom/>
      <diagonal/>
    </border>
    <border>
      <left style="thin">
        <color rgb="FF2B2B2B"/>
      </left>
      <right style="thin">
        <color rgb="FF2B2B2B"/>
      </right>
      <top/>
      <bottom style="thin">
        <color rgb="FF2B2B2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4" fillId="0" borderId="0" applyFont="0" applyFill="0" applyBorder="0" applyAlignment="0" applyProtection="0">
      <alignment vertical="center"/>
    </xf>
    <xf numFmtId="44" fontId="44" fillId="0" borderId="0" applyFont="0" applyFill="0" applyBorder="0" applyAlignment="0" applyProtection="0">
      <alignment vertical="center"/>
    </xf>
    <xf numFmtId="9" fontId="44" fillId="0" borderId="0" applyFont="0" applyFill="0" applyBorder="0" applyAlignment="0" applyProtection="0">
      <alignment vertical="center"/>
    </xf>
    <xf numFmtId="41" fontId="44" fillId="0" borderId="0" applyFont="0" applyFill="0" applyBorder="0" applyAlignment="0" applyProtection="0">
      <alignment vertical="center"/>
    </xf>
    <xf numFmtId="42" fontId="44" fillId="0" borderId="0" applyFont="0" applyFill="0" applyBorder="0" applyAlignment="0" applyProtection="0">
      <alignment vertical="center"/>
    </xf>
    <xf numFmtId="0" fontId="13"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4" fillId="29" borderId="15"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6" applyNumberFormat="0" applyFill="0" applyAlignment="0" applyProtection="0">
      <alignment vertical="center"/>
    </xf>
    <xf numFmtId="0" fontId="50" fillId="0" borderId="16" applyNumberFormat="0" applyFill="0" applyAlignment="0" applyProtection="0">
      <alignment vertical="center"/>
    </xf>
    <xf numFmtId="0" fontId="51" fillId="0" borderId="17" applyNumberFormat="0" applyFill="0" applyAlignment="0" applyProtection="0">
      <alignment vertical="center"/>
    </xf>
    <xf numFmtId="0" fontId="51" fillId="0" borderId="0" applyNumberFormat="0" applyFill="0" applyBorder="0" applyAlignment="0" applyProtection="0">
      <alignment vertical="center"/>
    </xf>
    <xf numFmtId="0" fontId="52" fillId="30" borderId="18" applyNumberFormat="0" applyAlignment="0" applyProtection="0">
      <alignment vertical="center"/>
    </xf>
    <xf numFmtId="0" fontId="53" fillId="31" borderId="19" applyNumberFormat="0" applyAlignment="0" applyProtection="0">
      <alignment vertical="center"/>
    </xf>
    <xf numFmtId="0" fontId="54" fillId="31" borderId="18" applyNumberFormat="0" applyAlignment="0" applyProtection="0">
      <alignment vertical="center"/>
    </xf>
    <xf numFmtId="0" fontId="55" fillId="32" borderId="20" applyNumberFormat="0" applyAlignment="0" applyProtection="0">
      <alignment vertical="center"/>
    </xf>
    <xf numFmtId="0" fontId="56" fillId="0" borderId="21" applyNumberFormat="0" applyFill="0" applyAlignment="0" applyProtection="0">
      <alignment vertical="center"/>
    </xf>
    <xf numFmtId="0" fontId="57" fillId="0" borderId="22" applyNumberFormat="0" applyFill="0" applyAlignment="0" applyProtection="0">
      <alignment vertical="center"/>
    </xf>
    <xf numFmtId="0" fontId="58" fillId="33" borderId="0" applyNumberFormat="0" applyBorder="0" applyAlignment="0" applyProtection="0">
      <alignment vertical="center"/>
    </xf>
    <xf numFmtId="0" fontId="59" fillId="34" borderId="0" applyNumberFormat="0" applyBorder="0" applyAlignment="0" applyProtection="0">
      <alignment vertical="center"/>
    </xf>
    <xf numFmtId="0" fontId="60" fillId="35" borderId="0" applyNumberFormat="0" applyBorder="0" applyAlignment="0" applyProtection="0">
      <alignment vertical="center"/>
    </xf>
    <xf numFmtId="0" fontId="61" fillId="36" borderId="0" applyNumberFormat="0" applyBorder="0" applyAlignment="0" applyProtection="0">
      <alignment vertical="center"/>
    </xf>
    <xf numFmtId="0" fontId="62" fillId="37" borderId="0" applyNumberFormat="0" applyBorder="0" applyAlignment="0" applyProtection="0">
      <alignment vertical="center"/>
    </xf>
    <xf numFmtId="0" fontId="62" fillId="38" borderId="0" applyNumberFormat="0" applyBorder="0" applyAlignment="0" applyProtection="0">
      <alignment vertical="center"/>
    </xf>
    <xf numFmtId="0" fontId="61" fillId="39" borderId="0" applyNumberFormat="0" applyBorder="0" applyAlignment="0" applyProtection="0">
      <alignment vertical="center"/>
    </xf>
    <xf numFmtId="0" fontId="61" fillId="40" borderId="0" applyNumberFormat="0" applyBorder="0" applyAlignment="0" applyProtection="0">
      <alignment vertical="center"/>
    </xf>
    <xf numFmtId="0" fontId="62" fillId="41" borderId="0" applyNumberFormat="0" applyBorder="0" applyAlignment="0" applyProtection="0">
      <alignment vertical="center"/>
    </xf>
    <xf numFmtId="0" fontId="62" fillId="42" borderId="0" applyNumberFormat="0" applyBorder="0" applyAlignment="0" applyProtection="0">
      <alignment vertical="center"/>
    </xf>
    <xf numFmtId="0" fontId="61" fillId="43" borderId="0" applyNumberFormat="0" applyBorder="0" applyAlignment="0" applyProtection="0">
      <alignment vertical="center"/>
    </xf>
    <xf numFmtId="0" fontId="61" fillId="44" borderId="0" applyNumberFormat="0" applyBorder="0" applyAlignment="0" applyProtection="0">
      <alignment vertical="center"/>
    </xf>
    <xf numFmtId="0" fontId="62" fillId="45" borderId="0" applyNumberFormat="0" applyBorder="0" applyAlignment="0" applyProtection="0">
      <alignment vertical="center"/>
    </xf>
    <xf numFmtId="0" fontId="62" fillId="46" borderId="0" applyNumberFormat="0" applyBorder="0" applyAlignment="0" applyProtection="0">
      <alignment vertical="center"/>
    </xf>
    <xf numFmtId="0" fontId="61" fillId="47" borderId="0" applyNumberFormat="0" applyBorder="0" applyAlignment="0" applyProtection="0">
      <alignment vertical="center"/>
    </xf>
    <xf numFmtId="0" fontId="61" fillId="48" borderId="0" applyNumberFormat="0" applyBorder="0" applyAlignment="0" applyProtection="0">
      <alignment vertical="center"/>
    </xf>
    <xf numFmtId="0" fontId="62" fillId="49" borderId="0" applyNumberFormat="0" applyBorder="0" applyAlignment="0" applyProtection="0">
      <alignment vertical="center"/>
    </xf>
    <xf numFmtId="0" fontId="62" fillId="50" borderId="0" applyNumberFormat="0" applyBorder="0" applyAlignment="0" applyProtection="0">
      <alignment vertical="center"/>
    </xf>
    <xf numFmtId="0" fontId="61" fillId="51" borderId="0" applyNumberFormat="0" applyBorder="0" applyAlignment="0" applyProtection="0">
      <alignment vertical="center"/>
    </xf>
    <xf numFmtId="0" fontId="61" fillId="52" borderId="0" applyNumberFormat="0" applyBorder="0" applyAlignment="0" applyProtection="0">
      <alignment vertical="center"/>
    </xf>
    <xf numFmtId="0" fontId="62" fillId="53" borderId="0" applyNumberFormat="0" applyBorder="0" applyAlignment="0" applyProtection="0">
      <alignment vertical="center"/>
    </xf>
    <xf numFmtId="0" fontId="62" fillId="54" borderId="0" applyNumberFormat="0" applyBorder="0" applyAlignment="0" applyProtection="0">
      <alignment vertical="center"/>
    </xf>
    <xf numFmtId="0" fontId="61" fillId="55" borderId="0" applyNumberFormat="0" applyBorder="0" applyAlignment="0" applyProtection="0">
      <alignment vertical="center"/>
    </xf>
    <xf numFmtId="0" fontId="61" fillId="56" borderId="0" applyNumberFormat="0" applyBorder="0" applyAlignment="0" applyProtection="0">
      <alignment vertical="center"/>
    </xf>
    <xf numFmtId="0" fontId="62" fillId="57" borderId="0" applyNumberFormat="0" applyBorder="0" applyAlignment="0" applyProtection="0">
      <alignment vertical="center"/>
    </xf>
    <xf numFmtId="0" fontId="62" fillId="58" borderId="0" applyNumberFormat="0" applyBorder="0" applyAlignment="0" applyProtection="0">
      <alignment vertical="center"/>
    </xf>
    <xf numFmtId="0" fontId="61" fillId="59" borderId="0" applyNumberFormat="0" applyBorder="0" applyAlignment="0" applyProtection="0">
      <alignment vertical="center"/>
    </xf>
  </cellStyleXfs>
  <cellXfs count="395">
    <xf numFmtId="0" fontId="0" fillId="0" borderId="0" xfId="0" applyFont="1">
      <alignment vertical="center"/>
    </xf>
    <xf numFmtId="0" fontId="1" fillId="0" borderId="1" xfId="0" applyFont="1" applyBorder="1" applyAlignment="1">
      <alignment horizontal="center" vertical="center" wrapText="1"/>
    </xf>
    <xf numFmtId="0" fontId="2" fillId="0" borderId="0" xfId="0" applyFont="1">
      <alignment vertical="center"/>
    </xf>
    <xf numFmtId="58" fontId="2" fillId="0" borderId="0" xfId="0" applyNumberFormat="1" applyFont="1" applyAlignment="1">
      <alignment horizontal="center" vertical="center"/>
    </xf>
    <xf numFmtId="0" fontId="2"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10" fontId="3" fillId="0" borderId="0" xfId="0" applyNumberFormat="1" applyFont="1" applyAlignment="1">
      <alignment horizontal="center" vertical="center"/>
    </xf>
    <xf numFmtId="0" fontId="3" fillId="0" borderId="0" xfId="0" applyFont="1">
      <alignmen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58" fontId="4" fillId="0" borderId="2" xfId="0" applyNumberFormat="1" applyFont="1" applyBorder="1" applyAlignment="1">
      <alignment horizontal="center" vertical="center"/>
    </xf>
    <xf numFmtId="58" fontId="4" fillId="0" borderId="3"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2" fillId="0" borderId="1" xfId="0" applyFont="1" applyBorder="1" applyAlignment="1">
      <alignment horizontal="left" vertical="center"/>
    </xf>
    <xf numFmtId="58"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lignment vertical="center"/>
    </xf>
    <xf numFmtId="0" fontId="5" fillId="0" borderId="1" xfId="0" applyFont="1" applyBorder="1">
      <alignment vertical="center"/>
    </xf>
    <xf numFmtId="0" fontId="3" fillId="4" borderId="4" xfId="0" applyFont="1" applyFill="1" applyBorder="1" applyAlignment="1">
      <alignment horizontal="center" wrapText="1"/>
    </xf>
    <xf numFmtId="0" fontId="3" fillId="4" borderId="5" xfId="0" applyFont="1" applyFill="1" applyBorder="1" applyAlignment="1">
      <alignment horizontal="center"/>
    </xf>
    <xf numFmtId="0" fontId="3" fillId="4" borderId="5" xfId="0" applyFont="1" applyFill="1" applyBorder="1" applyAlignment="1">
      <alignment horizontal="center" wrapText="1"/>
    </xf>
    <xf numFmtId="0" fontId="3" fillId="4" borderId="5" xfId="0" applyFont="1" applyFill="1" applyBorder="1" applyAlignment="1">
      <alignment horizontal="left"/>
    </xf>
    <xf numFmtId="0" fontId="3" fillId="4" borderId="6" xfId="0" applyFont="1" applyFill="1" applyBorder="1" applyAlignment="1">
      <alignment horizontal="center"/>
    </xf>
    <xf numFmtId="0" fontId="3" fillId="5" borderId="4" xfId="0" applyFont="1" applyFill="1" applyBorder="1" applyAlignment="1">
      <alignment horizontal="center"/>
    </xf>
    <xf numFmtId="0" fontId="3" fillId="5" borderId="5" xfId="0" applyFont="1" applyFill="1" applyBorder="1" applyAlignment="1">
      <alignment horizontal="center"/>
    </xf>
    <xf numFmtId="0" fontId="3" fillId="5" borderId="6" xfId="0" applyFont="1" applyFill="1" applyBorder="1" applyAlignment="1">
      <alignment horizontal="center"/>
    </xf>
    <xf numFmtId="0" fontId="3" fillId="6" borderId="7" xfId="0" applyFont="1" applyFill="1" applyBorder="1" applyAlignment="1">
      <alignment horizontal="center"/>
    </xf>
    <xf numFmtId="0" fontId="3" fillId="6" borderId="7" xfId="0" applyFont="1" applyFill="1" applyBorder="1" applyAlignment="1">
      <alignment horizontal="center" wrapText="1"/>
    </xf>
    <xf numFmtId="176" fontId="3" fillId="6" borderId="7" xfId="0" applyNumberFormat="1" applyFont="1" applyFill="1" applyBorder="1" applyAlignment="1">
      <alignment horizontal="center"/>
    </xf>
    <xf numFmtId="0" fontId="6" fillId="7" borderId="7"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76" fontId="7" fillId="6" borderId="1" xfId="0" applyNumberFormat="1" applyFont="1" applyFill="1" applyBorder="1" applyAlignment="1">
      <alignment horizontal="center" vertical="center" wrapText="1"/>
    </xf>
    <xf numFmtId="0" fontId="7" fillId="10"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14" fontId="3" fillId="11"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11"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10" fontId="3" fillId="11" borderId="1" xfId="0" applyNumberFormat="1" applyFont="1" applyFill="1" applyBorder="1" applyAlignment="1">
      <alignment horizontal="center" vertical="center"/>
    </xf>
    <xf numFmtId="177" fontId="3" fillId="11" borderId="1" xfId="0" applyNumberFormat="1" applyFont="1" applyFill="1" applyBorder="1" applyAlignment="1">
      <alignment horizontal="center" vertical="center"/>
    </xf>
    <xf numFmtId="0" fontId="3" fillId="11" borderId="1" xfId="0" applyFont="1" applyFill="1" applyBorder="1" applyAlignment="1">
      <alignment horizontal="left" vertical="center"/>
    </xf>
    <xf numFmtId="31" fontId="3" fillId="11" borderId="1" xfId="0" applyNumberFormat="1" applyFont="1" applyFill="1" applyBorder="1" applyAlignment="1">
      <alignment horizontal="center" vertical="center"/>
    </xf>
    <xf numFmtId="176" fontId="3" fillId="11" borderId="1" xfId="0" applyNumberFormat="1" applyFont="1" applyFill="1" applyBorder="1" applyAlignment="1">
      <alignment horizontal="center" vertical="center"/>
    </xf>
    <xf numFmtId="178" fontId="8" fillId="11" borderId="1" xfId="0" applyNumberFormat="1" applyFont="1" applyFill="1" applyBorder="1" applyAlignment="1">
      <alignment horizontal="center" vertical="center"/>
    </xf>
    <xf numFmtId="178" fontId="3" fillId="11" borderId="1" xfId="0" applyNumberFormat="1" applyFont="1" applyFill="1" applyBorder="1" applyAlignment="1">
      <alignment horizontal="center" vertical="center"/>
    </xf>
    <xf numFmtId="0" fontId="9" fillId="11" borderId="1" xfId="0" applyFont="1" applyFill="1" applyBorder="1" applyAlignment="1">
      <alignment horizontal="left" vertical="center" wrapText="1"/>
    </xf>
    <xf numFmtId="0" fontId="5" fillId="0" borderId="0" xfId="0" applyFont="1">
      <alignment vertical="center"/>
    </xf>
    <xf numFmtId="0" fontId="10" fillId="0" borderId="8" xfId="0" applyNumberFormat="1" applyFont="1" applyBorder="1" applyAlignment="1">
      <alignment wrapText="1"/>
    </xf>
    <xf numFmtId="0" fontId="11" fillId="0" borderId="0" xfId="0" applyNumberFormat="1" applyFont="1" applyAlignment="1"/>
    <xf numFmtId="0" fontId="12" fillId="0" borderId="0" xfId="0" applyNumberFormat="1" applyFont="1" applyAlignment="1"/>
    <xf numFmtId="49" fontId="12" fillId="0" borderId="0" xfId="0" applyNumberFormat="1" applyFont="1" applyAlignment="1"/>
    <xf numFmtId="14" fontId="3" fillId="0" borderId="0" xfId="0" applyNumberFormat="1" applyFont="1">
      <alignment vertical="center"/>
    </xf>
    <xf numFmtId="0" fontId="13" fillId="0" borderId="0" xfId="6">
      <alignment vertical="center"/>
    </xf>
    <xf numFmtId="0" fontId="3" fillId="0" borderId="0" xfId="0" applyNumberFormat="1" applyFont="1">
      <alignment vertical="center"/>
    </xf>
    <xf numFmtId="0" fontId="4" fillId="13" borderId="1" xfId="0" applyNumberFormat="1" applyFont="1" applyFill="1" applyBorder="1" applyAlignment="1">
      <alignment horizontal="center" vertical="center"/>
    </xf>
    <xf numFmtId="0" fontId="3" fillId="0" borderId="1" xfId="0" applyNumberFormat="1" applyFont="1" applyBorder="1" applyAlignment="1"/>
    <xf numFmtId="0" fontId="2" fillId="0" borderId="1" xfId="0" applyNumberFormat="1" applyFont="1" applyBorder="1" applyAlignment="1">
      <alignment horizontal="center" vertical="center"/>
    </xf>
    <xf numFmtId="179" fontId="2" fillId="0" borderId="1" xfId="0" applyNumberFormat="1" applyFont="1" applyBorder="1" applyAlignment="1">
      <alignment horizontal="center" vertical="center"/>
    </xf>
    <xf numFmtId="0" fontId="2" fillId="0" borderId="1" xfId="0" applyNumberFormat="1" applyFont="1" applyBorder="1" applyAlignment="1">
      <alignment horizontal="center" vertical="center" wrapText="1"/>
    </xf>
    <xf numFmtId="0" fontId="2" fillId="0" borderId="7" xfId="0" applyNumberFormat="1" applyFont="1" applyBorder="1" applyAlignment="1">
      <alignment horizontal="center" vertical="center"/>
    </xf>
    <xf numFmtId="9" fontId="2" fillId="0" borderId="1" xfId="0" applyNumberFormat="1" applyFont="1" applyBorder="1" applyAlignment="1">
      <alignment horizontal="center" vertical="center"/>
    </xf>
    <xf numFmtId="0" fontId="2" fillId="14"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1" xfId="0" applyNumberFormat="1" applyFont="1" applyBorder="1" applyAlignment="1">
      <alignment horizontal="center" vertical="center"/>
    </xf>
    <xf numFmtId="0" fontId="3" fillId="0" borderId="0" xfId="0" applyNumberFormat="1" applyFont="1" applyAlignment="1"/>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9" fontId="2" fillId="0" borderId="2" xfId="0" applyNumberFormat="1" applyFont="1" applyBorder="1" applyAlignment="1">
      <alignment horizontal="center" vertical="center"/>
    </xf>
    <xf numFmtId="9" fontId="2" fillId="0" borderId="9" xfId="0" applyNumberFormat="1" applyFont="1" applyBorder="1" applyAlignment="1">
      <alignment horizontal="center" vertical="center" wrapText="1"/>
    </xf>
    <xf numFmtId="0" fontId="15" fillId="0" borderId="0" xfId="0" applyNumberFormat="1" applyFont="1" applyAlignment="1"/>
    <xf numFmtId="0" fontId="12" fillId="0" borderId="0" xfId="0" applyFont="1" applyAlignment="1"/>
    <xf numFmtId="0" fontId="10" fillId="15" borderId="8" xfId="0" applyNumberFormat="1" applyFont="1" applyFill="1" applyBorder="1" applyAlignment="1">
      <alignment horizontal="center" wrapText="1"/>
    </xf>
    <xf numFmtId="0" fontId="16" fillId="15" borderId="8" xfId="0" applyNumberFormat="1" applyFont="1" applyFill="1" applyBorder="1" applyAlignment="1">
      <alignment horizontal="center" wrapText="1"/>
    </xf>
    <xf numFmtId="0" fontId="17" fillId="15" borderId="8" xfId="0" applyNumberFormat="1" applyFont="1" applyFill="1" applyBorder="1" applyAlignment="1">
      <alignment horizontal="center" wrapText="1"/>
    </xf>
    <xf numFmtId="9" fontId="3" fillId="0" borderId="0" xfId="0" applyNumberFormat="1" applyFont="1" applyAlignment="1">
      <alignment horizontal="center" vertical="center"/>
    </xf>
    <xf numFmtId="14" fontId="3" fillId="0" borderId="0" xfId="0" applyNumberFormat="1" applyFont="1" applyAlignment="1">
      <alignment horizontal="center" vertical="center"/>
    </xf>
    <xf numFmtId="14" fontId="18" fillId="0" borderId="0" xfId="0" applyNumberFormat="1" applyFont="1" applyAlignment="1">
      <alignment horizontal="center" vertical="center"/>
    </xf>
    <xf numFmtId="0" fontId="19" fillId="0" borderId="0" xfId="0" applyNumberFormat="1" applyFont="1" applyAlignment="1">
      <alignment horizontal="center" wrapText="1"/>
    </xf>
    <xf numFmtId="0" fontId="0" fillId="0" borderId="0" xfId="0" applyFont="1" applyAlignment="1">
      <alignment horizontal="center" vertical="center"/>
    </xf>
    <xf numFmtId="10" fontId="0" fillId="0" borderId="0" xfId="0" applyNumberFormat="1" applyFont="1" applyAlignment="1">
      <alignment horizontal="center" vertical="center"/>
    </xf>
    <xf numFmtId="10" fontId="0" fillId="0" borderId="0" xfId="0" applyNumberFormat="1" applyFont="1">
      <alignment vertical="center"/>
    </xf>
    <xf numFmtId="180" fontId="0" fillId="0" borderId="0" xfId="0" applyNumberFormat="1" applyFont="1">
      <alignment vertical="center"/>
    </xf>
    <xf numFmtId="181" fontId="6" fillId="11" borderId="1" xfId="0" applyNumberFormat="1"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1" borderId="1" xfId="0" applyFont="1" applyFill="1" applyBorder="1" applyAlignment="1">
      <alignment horizontal="center" vertical="center"/>
    </xf>
    <xf numFmtId="0" fontId="6" fillId="16" borderId="1" xfId="0" applyFont="1" applyFill="1" applyBorder="1" applyAlignment="1">
      <alignment horizontal="center" vertical="center" wrapText="1"/>
    </xf>
    <xf numFmtId="182" fontId="6" fillId="16" borderId="1" xfId="0" applyNumberFormat="1" applyFont="1" applyFill="1" applyBorder="1" applyAlignment="1">
      <alignment horizontal="center" vertical="center" wrapText="1"/>
    </xf>
    <xf numFmtId="10" fontId="6" fillId="16" borderId="1" xfId="0" applyNumberFormat="1" applyFont="1" applyFill="1" applyBorder="1" applyAlignment="1">
      <alignment horizontal="center" vertical="center" wrapText="1"/>
    </xf>
    <xf numFmtId="177" fontId="6" fillId="16" borderId="1" xfId="0" applyNumberFormat="1" applyFont="1" applyFill="1" applyBorder="1" applyAlignment="1">
      <alignment horizontal="center" vertical="center" wrapText="1"/>
    </xf>
    <xf numFmtId="0" fontId="20" fillId="16" borderId="1" xfId="0" applyFont="1" applyFill="1" applyBorder="1" applyAlignment="1">
      <alignment horizontal="center" vertical="center" wrapText="1"/>
    </xf>
    <xf numFmtId="9" fontId="20" fillId="16" borderId="1" xfId="0" applyNumberFormat="1" applyFont="1" applyFill="1" applyBorder="1" applyAlignment="1">
      <alignment horizontal="center" vertical="center" wrapText="1"/>
    </xf>
    <xf numFmtId="178" fontId="20" fillId="16" borderId="1" xfId="0" applyNumberFormat="1" applyFont="1" applyFill="1" applyBorder="1" applyAlignment="1">
      <alignment horizontal="center" vertical="center" wrapText="1"/>
    </xf>
    <xf numFmtId="0" fontId="6" fillId="14"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9" fontId="20" fillId="17" borderId="1" xfId="0" applyNumberFormat="1" applyFont="1" applyFill="1" applyBorder="1" applyAlignment="1">
      <alignment horizontal="center" vertical="center" wrapText="1"/>
    </xf>
    <xf numFmtId="177" fontId="20" fillId="16" borderId="1" xfId="0" applyNumberFormat="1" applyFont="1" applyFill="1" applyBorder="1" applyAlignment="1">
      <alignment horizontal="center" vertical="center" wrapText="1"/>
    </xf>
    <xf numFmtId="0" fontId="21" fillId="16" borderId="1" xfId="0" applyFont="1" applyFill="1" applyBorder="1" applyAlignment="1">
      <alignment horizontal="center" vertical="center" wrapText="1"/>
    </xf>
    <xf numFmtId="0" fontId="6"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6" fillId="19" borderId="1" xfId="0" applyNumberFormat="1" applyFont="1" applyFill="1" applyBorder="1" applyAlignment="1">
      <alignment horizontal="center" vertical="center" wrapText="1"/>
    </xf>
    <xf numFmtId="10" fontId="6" fillId="8" borderId="1" xfId="0" applyNumberFormat="1" applyFont="1" applyFill="1" applyBorder="1" applyAlignment="1">
      <alignment horizontal="center" vertical="center" wrapText="1"/>
    </xf>
    <xf numFmtId="183" fontId="6" fillId="8" borderId="1" xfId="0" applyNumberFormat="1" applyFont="1" applyFill="1" applyBorder="1" applyAlignment="1">
      <alignment horizontal="center" vertical="center" wrapText="1"/>
    </xf>
    <xf numFmtId="177" fontId="6" fillId="5" borderId="1" xfId="0" applyNumberFormat="1" applyFont="1" applyFill="1" applyBorder="1" applyAlignment="1">
      <alignment horizontal="center" vertical="center" wrapText="1"/>
    </xf>
    <xf numFmtId="10" fontId="6" fillId="5" borderId="1" xfId="0" applyNumberFormat="1" applyFont="1" applyFill="1" applyBorder="1" applyAlignment="1">
      <alignment horizontal="center" vertical="center" wrapText="1"/>
    </xf>
    <xf numFmtId="180" fontId="6" fillId="5" borderId="1" xfId="0" applyNumberFormat="1" applyFont="1" applyFill="1" applyBorder="1" applyAlignment="1">
      <alignment horizontal="center" vertical="center" wrapText="1"/>
    </xf>
    <xf numFmtId="10" fontId="11" fillId="20" borderId="10" xfId="0" applyNumberFormat="1" applyFont="1" applyFill="1" applyBorder="1" applyAlignment="1">
      <alignment horizontal="center" vertical="center" wrapText="1"/>
    </xf>
    <xf numFmtId="0" fontId="11" fillId="20" borderId="10" xfId="0" applyNumberFormat="1" applyFont="1" applyFill="1" applyBorder="1" applyAlignment="1">
      <alignment horizontal="center" vertical="center" wrapText="1"/>
    </xf>
    <xf numFmtId="0" fontId="22" fillId="16" borderId="1" xfId="0" applyNumberFormat="1" applyFont="1" applyFill="1" applyBorder="1" applyAlignment="1">
      <alignment horizontal="center" vertical="center" wrapText="1"/>
    </xf>
    <xf numFmtId="0" fontId="11" fillId="16" borderId="1" xfId="0" applyNumberFormat="1" applyFont="1" applyFill="1" applyBorder="1" applyAlignment="1">
      <alignment horizontal="center" vertical="center" wrapText="1"/>
    </xf>
    <xf numFmtId="0" fontId="23" fillId="0" borderId="0" xfId="0" applyNumberFormat="1" applyFont="1" applyAlignment="1">
      <alignment horizontal="left" vertical="center"/>
    </xf>
    <xf numFmtId="0" fontId="11" fillId="20" borderId="10" xfId="0" applyNumberFormat="1" applyFont="1" applyFill="1" applyBorder="1" applyAlignment="1">
      <alignment horizontal="right" vertical="center" wrapText="1"/>
    </xf>
    <xf numFmtId="0" fontId="11" fillId="20" borderId="10" xfId="0" applyFont="1" applyFill="1" applyBorder="1" applyAlignment="1">
      <alignment horizontal="center" vertical="center" wrapText="1"/>
    </xf>
    <xf numFmtId="0" fontId="22" fillId="20" borderId="10" xfId="0" applyNumberFormat="1" applyFont="1" applyFill="1" applyBorder="1" applyAlignment="1">
      <alignment horizontal="center" vertical="center" wrapText="1"/>
    </xf>
    <xf numFmtId="0" fontId="24" fillId="0" borderId="0" xfId="0" applyNumberFormat="1" applyFont="1" applyAlignment="1">
      <alignment horizontal="left" vertical="center"/>
    </xf>
    <xf numFmtId="0" fontId="3" fillId="0" borderId="0" xfId="0" applyFont="1" applyAlignment="1">
      <alignment horizontal="left"/>
    </xf>
    <xf numFmtId="9" fontId="11" fillId="20" borderId="10" xfId="0" applyNumberFormat="1" applyFont="1" applyFill="1" applyBorder="1" applyAlignment="1">
      <alignment horizontal="center" vertical="center" wrapText="1"/>
    </xf>
    <xf numFmtId="0" fontId="25" fillId="0" borderId="0" xfId="0" applyNumberFormat="1" applyFont="1" applyAlignment="1">
      <alignment horizontal="left" vertical="center"/>
    </xf>
    <xf numFmtId="0" fontId="11" fillId="21" borderId="10" xfId="0" applyNumberFormat="1" applyFont="1" applyFill="1" applyBorder="1" applyAlignment="1">
      <alignment horizontal="center" vertical="center" wrapText="1"/>
    </xf>
    <xf numFmtId="180" fontId="11" fillId="20" borderId="10" xfId="0" applyNumberFormat="1" applyFont="1" applyFill="1" applyBorder="1" applyAlignment="1">
      <alignment horizontal="center" vertical="center" wrapText="1"/>
    </xf>
    <xf numFmtId="0" fontId="6" fillId="20" borderId="10" xfId="0" applyFont="1" applyFill="1" applyBorder="1" applyAlignment="1">
      <alignment horizontal="left" vertical="center" wrapText="1"/>
    </xf>
    <xf numFmtId="0" fontId="22" fillId="20" borderId="10" xfId="0" applyFont="1" applyFill="1" applyBorder="1" applyAlignment="1">
      <alignment horizontal="center" vertical="center" wrapText="1"/>
    </xf>
    <xf numFmtId="0" fontId="26" fillId="0" borderId="0" xfId="0" applyNumberFormat="1" applyFont="1">
      <alignment vertical="center"/>
    </xf>
    <xf numFmtId="0" fontId="6" fillId="18" borderId="1" xfId="0" applyNumberFormat="1" applyFont="1" applyFill="1" applyBorder="1" applyAlignment="1">
      <alignment horizontal="center" vertical="center" wrapText="1"/>
    </xf>
    <xf numFmtId="0" fontId="6" fillId="14" borderId="1" xfId="0" applyNumberFormat="1" applyFont="1" applyFill="1" applyBorder="1" applyAlignment="1">
      <alignment horizontal="center" vertical="center" wrapText="1"/>
    </xf>
    <xf numFmtId="10" fontId="20" fillId="19" borderId="1" xfId="0" applyNumberFormat="1" applyFont="1" applyFill="1" applyBorder="1" applyAlignment="1">
      <alignment horizontal="center" vertical="center" wrapText="1"/>
    </xf>
    <xf numFmtId="182" fontId="20" fillId="19" borderId="1" xfId="0" applyNumberFormat="1" applyFont="1" applyFill="1" applyBorder="1" applyAlignment="1">
      <alignment horizontal="center" vertical="center" wrapText="1"/>
    </xf>
    <xf numFmtId="9" fontId="20" fillId="19" borderId="1" xfId="0" applyNumberFormat="1" applyFont="1" applyFill="1" applyBorder="1" applyAlignment="1">
      <alignment horizontal="center" vertical="center" wrapText="1"/>
    </xf>
    <xf numFmtId="178" fontId="20" fillId="19" borderId="1" xfId="0" applyNumberFormat="1" applyFont="1" applyFill="1" applyBorder="1" applyAlignment="1">
      <alignment horizontal="center" vertical="center" wrapText="1"/>
    </xf>
    <xf numFmtId="178" fontId="20" fillId="14" borderId="1" xfId="0" applyNumberFormat="1" applyFont="1" applyFill="1" applyBorder="1" applyAlignment="1">
      <alignment horizontal="center" vertical="center" wrapText="1"/>
    </xf>
    <xf numFmtId="10" fontId="20" fillId="8" borderId="1" xfId="0" applyNumberFormat="1" applyFont="1" applyFill="1" applyBorder="1" applyAlignment="1">
      <alignment horizontal="center" vertical="center" wrapText="1"/>
    </xf>
    <xf numFmtId="183" fontId="20" fillId="8" borderId="1" xfId="0" applyNumberFormat="1" applyFont="1" applyFill="1" applyBorder="1" applyAlignment="1">
      <alignment horizontal="center" vertical="center" wrapText="1"/>
    </xf>
    <xf numFmtId="183" fontId="27" fillId="8" borderId="1" xfId="0" applyNumberFormat="1" applyFont="1" applyFill="1" applyBorder="1" applyAlignment="1">
      <alignment horizontal="center" vertical="center" wrapText="1"/>
    </xf>
    <xf numFmtId="183" fontId="20" fillId="2" borderId="1" xfId="0" applyNumberFormat="1" applyFont="1" applyFill="1" applyBorder="1" applyAlignment="1">
      <alignment horizontal="center" vertical="center" wrapText="1"/>
    </xf>
    <xf numFmtId="0" fontId="20" fillId="8" borderId="1" xfId="0" applyFont="1" applyFill="1" applyBorder="1" applyAlignment="1">
      <alignment horizontal="center" vertical="center" wrapText="1"/>
    </xf>
    <xf numFmtId="178" fontId="27" fillId="8" borderId="1" xfId="0" applyNumberFormat="1" applyFont="1" applyFill="1" applyBorder="1" applyAlignment="1">
      <alignment horizontal="center" vertical="center" wrapText="1"/>
    </xf>
    <xf numFmtId="178" fontId="20" fillId="8" borderId="1" xfId="0" applyNumberFormat="1" applyFont="1" applyFill="1" applyBorder="1" applyAlignment="1">
      <alignment horizontal="center" vertical="center" wrapText="1"/>
    </xf>
    <xf numFmtId="178" fontId="6" fillId="8" borderId="1" xfId="0" applyNumberFormat="1" applyFont="1" applyFill="1" applyBorder="1" applyAlignment="1">
      <alignment horizontal="center" vertical="center" wrapText="1"/>
    </xf>
    <xf numFmtId="177" fontId="6" fillId="5" borderId="7" xfId="0" applyNumberFormat="1"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1" xfId="0" applyFont="1" applyFill="1" applyBorder="1" applyAlignment="1">
      <alignment horizontal="center" vertical="center" wrapText="1"/>
    </xf>
    <xf numFmtId="10" fontId="20" fillId="5" borderId="1" xfId="0" applyNumberFormat="1" applyFont="1" applyFill="1" applyBorder="1" applyAlignment="1">
      <alignment horizontal="center" vertical="center" wrapText="1"/>
    </xf>
    <xf numFmtId="0" fontId="20" fillId="5" borderId="1" xfId="0" applyFont="1" applyFill="1" applyBorder="1" applyAlignment="1">
      <alignment horizontal="center" vertical="center" wrapText="1"/>
    </xf>
    <xf numFmtId="180" fontId="20" fillId="5" borderId="1" xfId="0" applyNumberFormat="1" applyFont="1" applyFill="1" applyBorder="1" applyAlignment="1">
      <alignment horizontal="center" vertical="center" wrapText="1"/>
    </xf>
    <xf numFmtId="10" fontId="11" fillId="20" borderId="3" xfId="0" applyNumberFormat="1" applyFont="1" applyFill="1" applyBorder="1" applyAlignment="1">
      <alignment horizontal="center" vertical="center" wrapText="1"/>
    </xf>
    <xf numFmtId="10" fontId="28" fillId="20" borderId="3" xfId="0" applyNumberFormat="1" applyFont="1" applyFill="1" applyBorder="1" applyAlignment="1">
      <alignment horizontal="center" vertical="center" wrapText="1"/>
    </xf>
    <xf numFmtId="0" fontId="22" fillId="20" borderId="3" xfId="0" applyNumberFormat="1" applyFont="1" applyFill="1" applyBorder="1" applyAlignment="1">
      <alignment horizontal="center" vertical="center" wrapText="1"/>
    </xf>
    <xf numFmtId="0" fontId="11" fillId="20" borderId="3" xfId="0" applyNumberFormat="1" applyFont="1" applyFill="1" applyBorder="1" applyAlignment="1">
      <alignment horizontal="center" vertical="center" wrapText="1"/>
    </xf>
    <xf numFmtId="0" fontId="11" fillId="16" borderId="1" xfId="0" applyFont="1" applyFill="1" applyBorder="1" applyAlignment="1">
      <alignment horizontal="center" wrapText="1"/>
    </xf>
    <xf numFmtId="0" fontId="11" fillId="16"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22" fillId="20" borderId="1" xfId="0" applyFont="1" applyFill="1" applyBorder="1" applyAlignment="1">
      <alignment horizontal="center" vertical="center" wrapText="1"/>
    </xf>
    <xf numFmtId="0" fontId="24" fillId="0" borderId="0" xfId="0" applyFont="1" applyAlignment="1">
      <alignment horizontal="left" vertical="center"/>
    </xf>
    <xf numFmtId="0" fontId="11" fillId="20" borderId="1" xfId="0" applyNumberFormat="1" applyFont="1" applyFill="1" applyBorder="1" applyAlignment="1">
      <alignment horizontal="center" vertical="center" wrapText="1"/>
    </xf>
    <xf numFmtId="0" fontId="22" fillId="20" borderId="1" xfId="0" applyNumberFormat="1" applyFont="1" applyFill="1" applyBorder="1" applyAlignment="1">
      <alignment horizontal="center" vertical="center" wrapText="1"/>
    </xf>
    <xf numFmtId="10" fontId="11" fillId="20" borderId="1" xfId="0" applyNumberFormat="1" applyFont="1" applyFill="1" applyBorder="1" applyAlignment="1">
      <alignment horizontal="center" vertical="center" wrapText="1"/>
    </xf>
    <xf numFmtId="9" fontId="11" fillId="20" borderId="1" xfId="0" applyNumberFormat="1" applyFont="1" applyFill="1" applyBorder="1" applyAlignment="1">
      <alignment horizontal="center" vertical="center" wrapText="1"/>
    </xf>
    <xf numFmtId="180" fontId="22" fillId="20" borderId="1" xfId="0" applyNumberFormat="1" applyFont="1" applyFill="1" applyBorder="1" applyAlignment="1">
      <alignment horizontal="center" vertical="center" wrapText="1"/>
    </xf>
    <xf numFmtId="0" fontId="6" fillId="20" borderId="1" xfId="0" applyFont="1" applyFill="1" applyBorder="1" applyAlignment="1">
      <alignment horizontal="left" vertical="center" wrapText="1"/>
    </xf>
    <xf numFmtId="0" fontId="11" fillId="20" borderId="3" xfId="0" applyFont="1" applyFill="1" applyBorder="1" applyAlignment="1">
      <alignment horizontal="center" vertical="center" wrapText="1"/>
    </xf>
    <xf numFmtId="181" fontId="3" fillId="0" borderId="1" xfId="0" applyNumberFormat="1" applyFont="1" applyBorder="1" applyAlignment="1">
      <alignment horizontal="center" vertical="center"/>
    </xf>
    <xf numFmtId="0" fontId="3" fillId="0" borderId="1" xfId="0" applyFont="1" applyBorder="1" applyAlignment="1">
      <alignment horizontal="left" vertical="center"/>
    </xf>
    <xf numFmtId="0" fontId="3" fillId="0" borderId="1" xfId="0" applyNumberFormat="1" applyFont="1" applyBorder="1" applyAlignment="1">
      <alignment horizontal="center" vertical="center"/>
    </xf>
    <xf numFmtId="182" fontId="3" fillId="0" borderId="1" xfId="0" applyNumberFormat="1" applyFont="1" applyBorder="1" applyAlignment="1">
      <alignment horizontal="center" vertical="center"/>
    </xf>
    <xf numFmtId="9" fontId="3" fillId="0" borderId="1" xfId="0" applyNumberFormat="1" applyFont="1" applyBorder="1" applyAlignment="1">
      <alignment horizontal="center" vertical="center"/>
    </xf>
    <xf numFmtId="40" fontId="3" fillId="0" borderId="1" xfId="0" applyNumberFormat="1" applyFont="1" applyBorder="1" applyAlignment="1">
      <alignment horizontal="center" vertical="center"/>
    </xf>
    <xf numFmtId="177" fontId="3" fillId="0" borderId="1" xfId="0" applyNumberFormat="1" applyFont="1" applyBorder="1" applyAlignment="1">
      <alignment horizontal="center" vertical="center"/>
    </xf>
    <xf numFmtId="178" fontId="3" fillId="0" borderId="1" xfId="0" applyNumberFormat="1" applyFont="1" applyBorder="1" applyAlignment="1">
      <alignment horizontal="center" vertical="center"/>
    </xf>
    <xf numFmtId="3" fontId="3" fillId="0" borderId="1" xfId="0" applyNumberFormat="1" applyFont="1" applyBorder="1" applyAlignment="1">
      <alignment horizontal="center" vertical="center"/>
    </xf>
    <xf numFmtId="3" fontId="3" fillId="0" borderId="1" xfId="0" applyNumberFormat="1" applyFont="1" applyBorder="1" applyAlignment="1">
      <alignment horizontal="center" vertical="center" wrapText="1"/>
    </xf>
    <xf numFmtId="10" fontId="3" fillId="0" borderId="1" xfId="0" applyNumberFormat="1" applyFont="1" applyBorder="1" applyAlignment="1">
      <alignment horizontal="center" vertical="center"/>
    </xf>
    <xf numFmtId="26" fontId="3" fillId="0" borderId="1" xfId="0" applyNumberFormat="1" applyFont="1" applyBorder="1" applyAlignment="1">
      <alignment horizontal="center" vertical="center" wrapText="1"/>
    </xf>
    <xf numFmtId="9" fontId="3" fillId="0" borderId="1" xfId="0" applyNumberFormat="1" applyFont="1" applyBorder="1" applyAlignment="1">
      <alignment horizontal="center" vertical="center" wrapText="1"/>
    </xf>
    <xf numFmtId="180" fontId="3" fillId="0" borderId="1" xfId="0" applyNumberFormat="1" applyFont="1" applyBorder="1" applyAlignment="1">
      <alignment horizontal="center" vertical="center"/>
    </xf>
    <xf numFmtId="183" fontId="3" fillId="0" borderId="1" xfId="0" applyNumberFormat="1" applyFont="1" applyBorder="1" applyAlignment="1">
      <alignment horizontal="center" vertical="center"/>
    </xf>
    <xf numFmtId="183" fontId="6" fillId="0" borderId="1" xfId="0" applyNumberFormat="1" applyFont="1" applyBorder="1" applyAlignment="1">
      <alignment horizontal="center" vertical="center"/>
    </xf>
    <xf numFmtId="0" fontId="29" fillId="0" borderId="0" xfId="0" applyFont="1" applyAlignment="1">
      <alignment horizontal="center" vertical="center"/>
    </xf>
    <xf numFmtId="9" fontId="3" fillId="0" borderId="0" xfId="0" applyNumberFormat="1" applyFont="1" applyAlignment="1">
      <alignment horizontal="center"/>
    </xf>
    <xf numFmtId="10" fontId="3" fillId="0" borderId="0" xfId="0" applyNumberFormat="1" applyFont="1" applyAlignment="1">
      <alignment horizontal="center"/>
    </xf>
    <xf numFmtId="0" fontId="3" fillId="0" borderId="0" xfId="0" applyFont="1" applyAlignment="1">
      <alignment horizontal="center"/>
    </xf>
    <xf numFmtId="10" fontId="3" fillId="0" borderId="0" xfId="0" applyNumberFormat="1" applyFont="1" applyAlignment="1">
      <alignment horizontal="left"/>
    </xf>
    <xf numFmtId="9" fontId="3" fillId="0" borderId="0" xfId="0" applyNumberFormat="1" applyFont="1" applyAlignment="1">
      <alignment horizontal="left"/>
    </xf>
    <xf numFmtId="180" fontId="3" fillId="0" borderId="0" xfId="0" applyNumberFormat="1" applyFont="1" applyAlignment="1">
      <alignment horizontal="left"/>
    </xf>
    <xf numFmtId="0" fontId="2" fillId="0" borderId="0" xfId="0" applyFont="1" applyAlignment="1">
      <alignment horizontal="left"/>
    </xf>
    <xf numFmtId="0" fontId="3" fillId="0" borderId="0" xfId="0" applyNumberFormat="1" applyFont="1" applyAlignment="1">
      <alignment horizontal="left"/>
    </xf>
    <xf numFmtId="0" fontId="3" fillId="0" borderId="0" xfId="0" applyFont="1" applyAlignment="1">
      <alignment horizontal="left" vertical="center"/>
    </xf>
    <xf numFmtId="10" fontId="3" fillId="0" borderId="0" xfId="0" applyNumberFormat="1" applyFont="1" applyAlignment="1">
      <alignment horizontal="left" vertical="center"/>
    </xf>
    <xf numFmtId="0" fontId="3" fillId="0" borderId="7" xfId="0" applyFont="1" applyBorder="1" applyAlignment="1">
      <alignment horizontal="left" vertical="center"/>
    </xf>
    <xf numFmtId="182" fontId="3" fillId="0" borderId="0" xfId="0" applyNumberFormat="1" applyFont="1" applyAlignment="1">
      <alignment horizontal="left"/>
    </xf>
    <xf numFmtId="0" fontId="3" fillId="0" borderId="0" xfId="0" applyFont="1" applyAlignment="1"/>
    <xf numFmtId="10" fontId="9" fillId="0" borderId="0" xfId="0" applyNumberFormat="1" applyFont="1" applyAlignment="1">
      <alignment horizontal="center"/>
    </xf>
    <xf numFmtId="10" fontId="9" fillId="0" borderId="0" xfId="0" applyNumberFormat="1" applyFont="1" applyAlignment="1">
      <alignment horizontal="left"/>
    </xf>
    <xf numFmtId="0" fontId="9" fillId="0" borderId="0" xfId="0" applyFont="1" applyAlignment="1">
      <alignment horizontal="left"/>
    </xf>
    <xf numFmtId="9" fontId="9" fillId="0" borderId="0" xfId="0" applyNumberFormat="1" applyFont="1" applyAlignment="1">
      <alignment horizontal="left"/>
    </xf>
    <xf numFmtId="180" fontId="9" fillId="0" borderId="0" xfId="0" applyNumberFormat="1" applyFont="1" applyAlignment="1">
      <alignment horizontal="left"/>
    </xf>
    <xf numFmtId="182" fontId="2" fillId="0" borderId="1" xfId="0" applyNumberFormat="1" applyFont="1" applyBorder="1" applyAlignment="1">
      <alignment horizontal="center" vertical="center"/>
    </xf>
    <xf numFmtId="178" fontId="2" fillId="0" borderId="1" xfId="0" applyNumberFormat="1" applyFont="1" applyBorder="1" applyAlignment="1">
      <alignment horizontal="center" vertical="center"/>
    </xf>
    <xf numFmtId="177" fontId="2"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9" fontId="3" fillId="0" borderId="0" xfId="0" applyNumberFormat="1" applyFont="1" applyAlignment="1">
      <alignment horizontal="left" vertical="center"/>
    </xf>
    <xf numFmtId="180" fontId="3" fillId="0" borderId="0" xfId="0" applyNumberFormat="1" applyFont="1" applyAlignment="1">
      <alignment horizontal="left" vertical="center"/>
    </xf>
    <xf numFmtId="10" fontId="3" fillId="0" borderId="0" xfId="0" applyNumberFormat="1" applyFont="1" applyAlignment="1"/>
    <xf numFmtId="9" fontId="3" fillId="0" borderId="0" xfId="0" applyNumberFormat="1" applyFont="1" applyAlignment="1"/>
    <xf numFmtId="180" fontId="3" fillId="0" borderId="0" xfId="0" applyNumberFormat="1" applyFont="1" applyAlignment="1"/>
    <xf numFmtId="181" fontId="30" fillId="22" borderId="11" xfId="0" applyNumberFormat="1" applyFont="1" applyFill="1" applyBorder="1" applyAlignment="1">
      <alignment horizontal="center" vertical="center"/>
    </xf>
    <xf numFmtId="0" fontId="2" fillId="22" borderId="1" xfId="0" applyFont="1" applyFill="1" applyBorder="1" applyAlignment="1">
      <alignment horizontal="center" vertical="center"/>
    </xf>
    <xf numFmtId="182" fontId="2" fillId="22" borderId="1" xfId="0" applyNumberFormat="1" applyFont="1" applyFill="1" applyBorder="1" applyAlignment="1">
      <alignment horizontal="center" vertical="center"/>
    </xf>
    <xf numFmtId="9" fontId="2" fillId="22" borderId="1" xfId="0" applyNumberFormat="1" applyFont="1" applyFill="1" applyBorder="1" applyAlignment="1">
      <alignment horizontal="center" vertical="center"/>
    </xf>
    <xf numFmtId="177" fontId="2" fillId="22" borderId="1" xfId="0" applyNumberFormat="1" applyFont="1" applyFill="1" applyBorder="1" applyAlignment="1">
      <alignment horizontal="center" vertical="center"/>
    </xf>
    <xf numFmtId="178" fontId="2" fillId="22" borderId="1" xfId="0" applyNumberFormat="1" applyFont="1" applyFill="1" applyBorder="1" applyAlignment="1">
      <alignment horizontal="center" vertical="center"/>
    </xf>
    <xf numFmtId="3" fontId="2" fillId="22" borderId="1" xfId="0" applyNumberFormat="1" applyFont="1" applyFill="1" applyBorder="1" applyAlignment="1">
      <alignment horizontal="center" vertical="center"/>
    </xf>
    <xf numFmtId="10" fontId="2" fillId="22" borderId="1" xfId="0" applyNumberFormat="1" applyFont="1" applyFill="1" applyBorder="1" applyAlignment="1">
      <alignment horizontal="center" vertical="center"/>
    </xf>
    <xf numFmtId="26" fontId="2" fillId="22" borderId="1" xfId="0" applyNumberFormat="1" applyFont="1" applyFill="1" applyBorder="1" applyAlignment="1">
      <alignment horizontal="center" vertical="center"/>
    </xf>
    <xf numFmtId="184" fontId="3" fillId="0" borderId="1" xfId="0" applyNumberFormat="1" applyFont="1" applyBorder="1" applyAlignment="1">
      <alignment horizontal="center" vertical="center"/>
    </xf>
    <xf numFmtId="183" fontId="2" fillId="22" borderId="1" xfId="0" applyNumberFormat="1" applyFont="1" applyFill="1" applyBorder="1" applyAlignment="1">
      <alignment horizontal="center" vertical="center"/>
    </xf>
    <xf numFmtId="10" fontId="3" fillId="0" borderId="3" xfId="0" applyNumberFormat="1" applyFont="1" applyBorder="1" applyAlignment="1">
      <alignment horizontal="center" vertical="center"/>
    </xf>
    <xf numFmtId="0" fontId="3" fillId="0" borderId="3" xfId="0" applyFont="1" applyBorder="1" applyAlignment="1">
      <alignment horizontal="center" vertical="center"/>
    </xf>
    <xf numFmtId="10" fontId="3" fillId="22" borderId="0" xfId="0" applyNumberFormat="1" applyFont="1" applyFill="1" applyAlignment="1">
      <alignment horizontal="center" vertical="center"/>
    </xf>
    <xf numFmtId="10" fontId="3" fillId="22" borderId="0" xfId="0" applyNumberFormat="1" applyFont="1" applyFill="1" applyAlignment="1">
      <alignment horizontal="left" vertical="center"/>
    </xf>
    <xf numFmtId="0" fontId="3" fillId="22" borderId="0" xfId="0" applyFont="1" applyFill="1" applyAlignment="1">
      <alignment horizontal="left" vertical="center"/>
    </xf>
    <xf numFmtId="9" fontId="3" fillId="22" borderId="0" xfId="0" applyNumberFormat="1" applyFont="1" applyFill="1" applyAlignment="1">
      <alignment horizontal="left" vertical="center"/>
    </xf>
    <xf numFmtId="180" fontId="3" fillId="22" borderId="0" xfId="0" applyNumberFormat="1" applyFont="1" applyFill="1" applyAlignment="1">
      <alignment horizontal="left" vertical="center"/>
    </xf>
    <xf numFmtId="181"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wrapText="1"/>
    </xf>
    <xf numFmtId="26" fontId="2" fillId="0" borderId="1" xfId="0" applyNumberFormat="1" applyFont="1" applyBorder="1" applyAlignment="1">
      <alignment horizontal="center" vertical="center" wrapText="1"/>
    </xf>
    <xf numFmtId="9" fontId="2" fillId="0" borderId="1" xfId="0" applyNumberFormat="1" applyFont="1" applyBorder="1" applyAlignment="1">
      <alignment horizontal="center" vertical="center" wrapText="1"/>
    </xf>
    <xf numFmtId="183" fontId="2" fillId="0" borderId="1" xfId="0" applyNumberFormat="1" applyFont="1" applyBorder="1" applyAlignment="1">
      <alignment horizontal="center" vertical="center"/>
    </xf>
    <xf numFmtId="183" fontId="4" fillId="0" borderId="1" xfId="0" applyNumberFormat="1" applyFont="1" applyBorder="1" applyAlignment="1">
      <alignment horizontal="center" vertical="center"/>
    </xf>
    <xf numFmtId="10" fontId="3" fillId="0" borderId="0" xfId="0" applyNumberFormat="1" applyFont="1">
      <alignment vertical="center"/>
    </xf>
    <xf numFmtId="180" fontId="3" fillId="0" borderId="0" xfId="0" applyNumberFormat="1" applyFont="1">
      <alignment vertical="center"/>
    </xf>
    <xf numFmtId="182" fontId="3" fillId="0" borderId="0" xfId="0" applyNumberFormat="1" applyFont="1">
      <alignment vertical="center"/>
    </xf>
    <xf numFmtId="9" fontId="3" fillId="0" borderId="0" xfId="0" applyNumberFormat="1" applyFont="1">
      <alignment vertical="center"/>
    </xf>
    <xf numFmtId="0" fontId="19" fillId="23" borderId="1" xfId="0" applyFont="1" applyFill="1" applyBorder="1" applyAlignment="1">
      <alignment horizontal="center" vertical="center" wrapText="1"/>
    </xf>
    <xf numFmtId="0" fontId="19" fillId="23" borderId="1" xfId="0" applyNumberFormat="1" applyFont="1" applyFill="1" applyBorder="1" applyAlignment="1">
      <alignment horizontal="center" vertical="center" wrapText="1"/>
    </xf>
    <xf numFmtId="0" fontId="31" fillId="23" borderId="1" xfId="0" applyNumberFormat="1" applyFont="1" applyFill="1" applyBorder="1" applyAlignment="1">
      <alignment horizontal="center" vertical="center" wrapText="1"/>
    </xf>
    <xf numFmtId="0" fontId="31" fillId="23" borderId="1" xfId="0" applyFont="1" applyFill="1" applyBorder="1" applyAlignment="1">
      <alignment horizontal="center" vertical="center" wrapText="1"/>
    </xf>
    <xf numFmtId="0" fontId="16" fillId="0" borderId="12" xfId="0" applyFont="1" applyBorder="1" applyAlignment="1">
      <alignment horizontal="center" vertical="center" wrapText="1"/>
    </xf>
    <xf numFmtId="0" fontId="12" fillId="0" borderId="0" xfId="0" applyFont="1">
      <alignment vertical="center"/>
    </xf>
    <xf numFmtId="0" fontId="12" fillId="0" borderId="0" xfId="0" applyNumberFormat="1" applyFont="1">
      <alignment vertical="center"/>
    </xf>
    <xf numFmtId="14"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0" fontId="12" fillId="0" borderId="1" xfId="0" applyNumberFormat="1" applyFont="1" applyBorder="1" applyAlignment="1">
      <alignment horizontal="center" vertical="center"/>
    </xf>
    <xf numFmtId="0" fontId="32" fillId="0" borderId="1" xfId="0" applyFont="1" applyBorder="1" applyAlignment="1"/>
    <xf numFmtId="0" fontId="12" fillId="0" borderId="0" xfId="0" applyFont="1" applyAlignment="1">
      <alignment vertical="center" wrapText="1"/>
    </xf>
    <xf numFmtId="0" fontId="12" fillId="0" borderId="1" xfId="0" applyNumberFormat="1" applyFont="1" applyBorder="1" applyAlignment="1"/>
    <xf numFmtId="0" fontId="12" fillId="0" borderId="1" xfId="0" applyFont="1" applyBorder="1" applyAlignment="1"/>
    <xf numFmtId="0" fontId="32" fillId="0" borderId="1" xfId="0" applyFont="1" applyBorder="1">
      <alignment vertical="center"/>
    </xf>
    <xf numFmtId="0" fontId="33" fillId="0" borderId="1" xfId="0" applyFont="1" applyBorder="1" applyAlignment="1">
      <alignment horizontal="center" vertical="center"/>
    </xf>
    <xf numFmtId="0" fontId="12" fillId="0" borderId="1" xfId="0" applyFont="1" applyBorder="1" applyAlignment="1">
      <alignment horizontal="left" vertical="center"/>
    </xf>
    <xf numFmtId="0" fontId="12" fillId="0" borderId="1" xfId="0" applyFont="1" applyBorder="1">
      <alignment vertical="center"/>
    </xf>
    <xf numFmtId="0" fontId="3" fillId="0" borderId="1" xfId="0" applyFont="1" applyBorder="1">
      <alignment vertical="center"/>
    </xf>
    <xf numFmtId="0" fontId="33" fillId="0" borderId="1" xfId="0" applyNumberFormat="1" applyFont="1" applyBorder="1" applyAlignment="1">
      <alignment horizontal="center" vertical="center"/>
    </xf>
    <xf numFmtId="0" fontId="3" fillId="0" borderId="1" xfId="0" applyNumberFormat="1" applyFont="1" applyBorder="1">
      <alignment vertical="center"/>
    </xf>
    <xf numFmtId="0" fontId="8" fillId="0" borderId="1" xfId="0" applyFont="1" applyBorder="1" applyAlignment="1">
      <alignment horizontal="center" vertical="center"/>
    </xf>
    <xf numFmtId="0" fontId="34" fillId="0" borderId="1" xfId="0" applyNumberFormat="1" applyFont="1" applyBorder="1" applyAlignment="1">
      <alignment horizontal="center" vertical="center"/>
    </xf>
    <xf numFmtId="0" fontId="35" fillId="0" borderId="0" xfId="0" applyFont="1">
      <alignment vertical="center"/>
    </xf>
    <xf numFmtId="0" fontId="8" fillId="0" borderId="1" xfId="0" applyFont="1" applyBorder="1">
      <alignment vertical="center"/>
    </xf>
    <xf numFmtId="0" fontId="8" fillId="0" borderId="1" xfId="0" applyNumberFormat="1" applyFont="1" applyBorder="1">
      <alignment vertical="center"/>
    </xf>
    <xf numFmtId="0" fontId="12" fillId="0" borderId="1" xfId="0" applyNumberFormat="1" applyFont="1" applyBorder="1" applyAlignment="1">
      <alignment horizontal="left" vertical="center"/>
    </xf>
    <xf numFmtId="0" fontId="36" fillId="0" borderId="0" xfId="0" applyNumberFormat="1" applyFont="1" applyAlignment="1">
      <alignment horizontal="center" vertical="center"/>
    </xf>
    <xf numFmtId="0" fontId="3" fillId="0" borderId="1" xfId="0" applyNumberFormat="1" applyFont="1" applyBorder="1" applyAlignment="1">
      <alignment horizontal="left" vertical="center"/>
    </xf>
    <xf numFmtId="14" fontId="12" fillId="0" borderId="0" xfId="0" applyNumberFormat="1" applyFont="1" applyAlignment="1">
      <alignment horizontal="center" vertical="center"/>
    </xf>
    <xf numFmtId="0" fontId="37" fillId="0" borderId="1" xfId="0" applyFont="1" applyBorder="1" applyAlignment="1">
      <alignment horizontal="center" vertical="center"/>
    </xf>
    <xf numFmtId="0" fontId="6" fillId="0" borderId="1" xfId="0" applyFont="1" applyBorder="1" applyAlignment="1">
      <alignment horizontal="center" vertical="center" wrapText="1"/>
    </xf>
    <xf numFmtId="58" fontId="6" fillId="24" borderId="1" xfId="0" applyNumberFormat="1" applyFont="1" applyFill="1" applyBorder="1" applyAlignment="1">
      <alignment horizontal="center" vertical="center"/>
    </xf>
    <xf numFmtId="0" fontId="1" fillId="24" borderId="1" xfId="0" applyFont="1" applyFill="1" applyBorder="1" applyAlignment="1">
      <alignment horizontal="center" vertical="center"/>
    </xf>
    <xf numFmtId="58" fontId="6" fillId="20" borderId="1" xfId="0" applyNumberFormat="1" applyFont="1" applyFill="1" applyBorder="1" applyAlignment="1">
      <alignment horizontal="center" vertical="center"/>
    </xf>
    <xf numFmtId="0" fontId="1" fillId="20" borderId="1" xfId="0" applyFont="1" applyFill="1" applyBorder="1" applyAlignment="1">
      <alignment horizontal="center" vertical="center"/>
    </xf>
    <xf numFmtId="58" fontId="6" fillId="9"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58" fontId="6" fillId="11"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58" fontId="6" fillId="6" borderId="1" xfId="0" applyNumberFormat="1" applyFont="1" applyFill="1" applyBorder="1" applyAlignment="1">
      <alignment horizontal="center" vertical="center"/>
    </xf>
    <xf numFmtId="0" fontId="1" fillId="6" borderId="1" xfId="0" applyFont="1" applyFill="1" applyBorder="1" applyAlignment="1">
      <alignment horizontal="center" vertical="center"/>
    </xf>
    <xf numFmtId="0" fontId="1" fillId="0" borderId="1" xfId="0" applyFont="1" applyBorder="1" applyAlignment="1">
      <alignment horizontal="center" vertical="center"/>
    </xf>
    <xf numFmtId="58" fontId="38" fillId="24" borderId="1" xfId="0" applyNumberFormat="1" applyFont="1" applyFill="1" applyBorder="1" applyAlignment="1">
      <alignment horizontal="left" vertical="top" wrapText="1"/>
    </xf>
    <xf numFmtId="58" fontId="38" fillId="24" borderId="1" xfId="0" applyNumberFormat="1" applyFont="1" applyFill="1" applyBorder="1" applyAlignment="1">
      <alignment horizontal="left" vertical="top"/>
    </xf>
    <xf numFmtId="58" fontId="38" fillId="20" borderId="1" xfId="0" applyNumberFormat="1" applyFont="1" applyFill="1" applyBorder="1" applyAlignment="1">
      <alignment horizontal="left" vertical="top" wrapText="1"/>
    </xf>
    <xf numFmtId="58" fontId="38" fillId="20" borderId="1" xfId="0" applyNumberFormat="1" applyFont="1" applyFill="1" applyBorder="1" applyAlignment="1">
      <alignment horizontal="left" vertical="top"/>
    </xf>
    <xf numFmtId="58" fontId="38" fillId="9" borderId="1" xfId="0" applyNumberFormat="1" applyFont="1" applyFill="1" applyBorder="1" applyAlignment="1">
      <alignment horizontal="left" vertical="top" wrapText="1"/>
    </xf>
    <xf numFmtId="58" fontId="38" fillId="11" borderId="1" xfId="0" applyNumberFormat="1" applyFont="1" applyFill="1" applyBorder="1" applyAlignment="1">
      <alignment horizontal="left" vertical="top" wrapText="1"/>
    </xf>
    <xf numFmtId="58" fontId="38" fillId="6" borderId="1" xfId="0" applyNumberFormat="1" applyFont="1" applyFill="1" applyBorder="1" applyAlignment="1">
      <alignment horizontal="left" vertical="top" wrapText="1"/>
    </xf>
    <xf numFmtId="0" fontId="6" fillId="0" borderId="0" xfId="0" applyFont="1" applyAlignment="1">
      <alignment vertical="top"/>
    </xf>
    <xf numFmtId="0" fontId="6" fillId="0" borderId="1" xfId="0" applyFont="1" applyBorder="1" applyAlignment="1">
      <alignment horizontal="center" vertical="center"/>
    </xf>
    <xf numFmtId="58" fontId="6" fillId="21" borderId="1" xfId="0" applyNumberFormat="1" applyFont="1" applyFill="1" applyBorder="1" applyAlignment="1">
      <alignment horizontal="center" vertical="center"/>
    </xf>
    <xf numFmtId="0" fontId="2" fillId="24" borderId="1" xfId="0" applyFont="1" applyFill="1" applyBorder="1" applyAlignment="1">
      <alignment horizontal="center" vertical="center"/>
    </xf>
    <xf numFmtId="58" fontId="2" fillId="20" borderId="1" xfId="0" applyNumberFormat="1" applyFont="1" applyFill="1" applyBorder="1" applyAlignment="1">
      <alignment horizontal="center" vertical="center" wrapText="1"/>
    </xf>
    <xf numFmtId="58" fontId="2" fillId="21" borderId="1" xfId="0" applyNumberFormat="1" applyFont="1" applyFill="1" applyBorder="1" applyAlignment="1">
      <alignment horizontal="center" vertical="center" wrapText="1"/>
    </xf>
    <xf numFmtId="58" fontId="2" fillId="9" borderId="1" xfId="0" applyNumberFormat="1" applyFont="1" applyFill="1" applyBorder="1" applyAlignment="1">
      <alignment horizontal="center" vertical="center"/>
    </xf>
    <xf numFmtId="58" fontId="2" fillId="21" borderId="1" xfId="0" applyNumberFormat="1" applyFont="1" applyFill="1" applyBorder="1" applyAlignment="1">
      <alignment horizontal="center" vertical="center"/>
    </xf>
    <xf numFmtId="58" fontId="2" fillId="11" borderId="1" xfId="0" applyNumberFormat="1" applyFont="1" applyFill="1" applyBorder="1" applyAlignment="1">
      <alignment horizontal="center" vertical="center"/>
    </xf>
    <xf numFmtId="58" fontId="2" fillId="20" borderId="1" xfId="0" applyNumberFormat="1" applyFont="1" applyFill="1" applyBorder="1" applyAlignment="1">
      <alignment horizontal="center" vertical="center"/>
    </xf>
    <xf numFmtId="58" fontId="2" fillId="6" borderId="1" xfId="0" applyNumberFormat="1" applyFont="1" applyFill="1" applyBorder="1" applyAlignment="1">
      <alignment horizontal="center" vertical="center"/>
    </xf>
    <xf numFmtId="0" fontId="39" fillId="0" borderId="2" xfId="0" applyFont="1" applyBorder="1" applyAlignment="1">
      <alignment vertical="top" wrapText="1"/>
    </xf>
    <xf numFmtId="0" fontId="6" fillId="0" borderId="10" xfId="0" applyFont="1" applyBorder="1" applyAlignment="1">
      <alignment horizontal="left" vertical="top" wrapText="1"/>
    </xf>
    <xf numFmtId="0" fontId="6" fillId="0" borderId="3" xfId="0" applyFont="1" applyBorder="1" applyAlignment="1">
      <alignment horizontal="left" vertical="top" wrapText="1"/>
    </xf>
    <xf numFmtId="58" fontId="3" fillId="20" borderId="2" xfId="0" applyNumberFormat="1" applyFont="1" applyFill="1" applyBorder="1" applyAlignment="1">
      <alignment horizontal="left" vertical="center" wrapText="1"/>
    </xf>
    <xf numFmtId="58" fontId="3" fillId="20" borderId="10" xfId="0" applyNumberFormat="1" applyFont="1" applyFill="1" applyBorder="1" applyAlignment="1">
      <alignment horizontal="left" vertical="center" wrapText="1"/>
    </xf>
    <xf numFmtId="58" fontId="3" fillId="20" borderId="3" xfId="0" applyNumberFormat="1" applyFont="1" applyFill="1" applyBorder="1" applyAlignment="1">
      <alignment horizontal="left" vertical="center" wrapText="1"/>
    </xf>
    <xf numFmtId="58" fontId="3" fillId="9" borderId="2" xfId="0" applyNumberFormat="1" applyFont="1" applyFill="1" applyBorder="1" applyAlignment="1">
      <alignment horizontal="center" vertical="center"/>
    </xf>
    <xf numFmtId="58" fontId="3" fillId="9" borderId="10" xfId="0" applyNumberFormat="1" applyFont="1" applyFill="1" applyBorder="1" applyAlignment="1">
      <alignment horizontal="center" vertical="center"/>
    </xf>
    <xf numFmtId="58" fontId="3" fillId="9" borderId="3" xfId="0" applyNumberFormat="1" applyFont="1" applyFill="1" applyBorder="1" applyAlignment="1">
      <alignment horizontal="center" vertical="center"/>
    </xf>
    <xf numFmtId="58" fontId="3" fillId="11" borderId="2" xfId="0" applyNumberFormat="1" applyFont="1" applyFill="1" applyBorder="1" applyAlignment="1">
      <alignment horizontal="center" vertical="center"/>
    </xf>
    <xf numFmtId="58" fontId="3" fillId="11" borderId="10" xfId="0" applyNumberFormat="1" applyFont="1" applyFill="1" applyBorder="1" applyAlignment="1">
      <alignment horizontal="center" vertical="center"/>
    </xf>
    <xf numFmtId="58" fontId="3" fillId="11" borderId="3" xfId="0" applyNumberFormat="1" applyFont="1" applyFill="1" applyBorder="1" applyAlignment="1">
      <alignment horizontal="center" vertical="center"/>
    </xf>
    <xf numFmtId="58" fontId="3" fillId="20" borderId="2" xfId="0" applyNumberFormat="1" applyFont="1" applyFill="1" applyBorder="1" applyAlignment="1">
      <alignment horizontal="center" vertical="center"/>
    </xf>
    <xf numFmtId="58" fontId="3" fillId="20" borderId="10" xfId="0" applyNumberFormat="1" applyFont="1" applyFill="1" applyBorder="1" applyAlignment="1">
      <alignment horizontal="center" vertical="center"/>
    </xf>
    <xf numFmtId="58" fontId="3" fillId="20" borderId="3" xfId="0" applyNumberFormat="1" applyFont="1" applyFill="1" applyBorder="1" applyAlignment="1">
      <alignment horizontal="center" vertical="center"/>
    </xf>
    <xf numFmtId="58" fontId="3" fillId="6" borderId="2" xfId="0" applyNumberFormat="1" applyFont="1" applyFill="1" applyBorder="1" applyAlignment="1">
      <alignment horizontal="center" vertical="center"/>
    </xf>
    <xf numFmtId="58" fontId="3" fillId="6" borderId="10" xfId="0" applyNumberFormat="1" applyFont="1" applyFill="1" applyBorder="1" applyAlignment="1">
      <alignment horizontal="center" vertical="center"/>
    </xf>
    <xf numFmtId="58" fontId="3" fillId="6" borderId="3" xfId="0" applyNumberFormat="1" applyFont="1" applyFill="1" applyBorder="1" applyAlignment="1">
      <alignment horizontal="center" vertical="center"/>
    </xf>
    <xf numFmtId="4" fontId="6" fillId="0" borderId="1" xfId="0" applyNumberFormat="1" applyFont="1" applyBorder="1" applyAlignment="1">
      <alignment horizontal="center" vertical="center"/>
    </xf>
    <xf numFmtId="4" fontId="40" fillId="15" borderId="1" xfId="0" applyNumberFormat="1" applyFont="1" applyFill="1" applyBorder="1" applyAlignment="1">
      <alignment horizontal="center" vertical="center" wrapText="1"/>
    </xf>
    <xf numFmtId="4" fontId="3" fillId="25" borderId="1" xfId="0" applyNumberFormat="1" applyFont="1" applyFill="1" applyBorder="1" applyAlignment="1">
      <alignment horizontal="center" vertical="center"/>
    </xf>
    <xf numFmtId="4" fontId="41" fillId="15" borderId="1" xfId="0" applyNumberFormat="1" applyFont="1" applyFill="1" applyBorder="1" applyAlignment="1">
      <alignment horizontal="center" vertical="center" wrapText="1"/>
    </xf>
    <xf numFmtId="4" fontId="3" fillId="0" borderId="1" xfId="0" applyNumberFormat="1" applyFont="1" applyBorder="1" applyAlignment="1">
      <alignment horizontal="center" vertical="center"/>
    </xf>
    <xf numFmtId="4" fontId="3" fillId="21" borderId="1" xfId="0" applyNumberFormat="1" applyFont="1" applyFill="1" applyBorder="1" applyAlignment="1">
      <alignment horizontal="center" vertical="center"/>
    </xf>
    <xf numFmtId="0" fontId="6" fillId="15" borderId="1" xfId="0" applyFont="1" applyFill="1" applyBorder="1" applyAlignment="1">
      <alignment horizontal="center" vertical="center" wrapText="1"/>
    </xf>
    <xf numFmtId="0" fontId="3" fillId="25" borderId="1" xfId="0" applyFont="1" applyFill="1" applyBorder="1" applyAlignment="1">
      <alignment horizontal="center" vertical="center"/>
    </xf>
    <xf numFmtId="178" fontId="6" fillId="15" borderId="1" xfId="0" applyNumberFormat="1" applyFont="1" applyFill="1" applyBorder="1" applyAlignment="1">
      <alignment horizontal="center" vertical="center" wrapText="1"/>
    </xf>
    <xf numFmtId="178" fontId="3" fillId="25" borderId="1" xfId="0" applyNumberFormat="1" applyFont="1" applyFill="1" applyBorder="1" applyAlignment="1">
      <alignment horizontal="center" vertical="center"/>
    </xf>
    <xf numFmtId="178" fontId="6" fillId="23" borderId="1" xfId="0" applyNumberFormat="1" applyFont="1" applyFill="1" applyBorder="1" applyAlignment="1">
      <alignment horizontal="center" vertical="center" wrapText="1"/>
    </xf>
    <xf numFmtId="0" fontId="3" fillId="25" borderId="1" xfId="0" applyNumberFormat="1" applyFont="1" applyFill="1" applyBorder="1" applyAlignment="1">
      <alignment horizontal="center" vertical="center"/>
    </xf>
    <xf numFmtId="178" fontId="3" fillId="21" borderId="1" xfId="0" applyNumberFormat="1" applyFont="1" applyFill="1" applyBorder="1" applyAlignment="1">
      <alignment horizontal="center" vertical="center"/>
    </xf>
    <xf numFmtId="178" fontId="41" fillId="8" borderId="1" xfId="0" applyNumberFormat="1" applyFont="1" applyFill="1" applyBorder="1" applyAlignment="1">
      <alignment horizontal="center" vertical="center" wrapText="1"/>
    </xf>
    <xf numFmtId="178" fontId="2" fillId="25" borderId="1" xfId="0" applyNumberFormat="1" applyFont="1" applyFill="1" applyBorder="1" applyAlignment="1">
      <alignment horizontal="center" vertical="center"/>
    </xf>
    <xf numFmtId="0" fontId="6" fillId="0" borderId="7" xfId="0" applyFont="1" applyBorder="1" applyAlignment="1">
      <alignment horizontal="center" vertical="center"/>
    </xf>
    <xf numFmtId="178" fontId="40" fillId="8" borderId="1" xfId="0" applyNumberFormat="1" applyFont="1" applyFill="1" applyBorder="1" applyAlignment="1">
      <alignment horizontal="center" vertical="center" wrapText="1"/>
    </xf>
    <xf numFmtId="178" fontId="3" fillId="25" borderId="3" xfId="0" applyNumberFormat="1" applyFont="1" applyFill="1" applyBorder="1" applyAlignment="1">
      <alignment horizontal="center" vertical="center"/>
    </xf>
    <xf numFmtId="0" fontId="6" fillId="0" borderId="13" xfId="0" applyFont="1" applyBorder="1" applyAlignment="1">
      <alignment horizontal="center" vertical="center"/>
    </xf>
    <xf numFmtId="178" fontId="3" fillId="0" borderId="3" xfId="0" applyNumberFormat="1" applyFont="1" applyBorder="1" applyAlignment="1">
      <alignment horizontal="center" vertical="center"/>
    </xf>
    <xf numFmtId="0" fontId="6" fillId="8" borderId="1" xfId="0" applyFont="1" applyFill="1" applyBorder="1" applyAlignment="1">
      <alignment horizontal="center" vertical="center" wrapText="1"/>
    </xf>
    <xf numFmtId="10" fontId="3" fillId="25" borderId="3" xfId="0" applyNumberFormat="1" applyFont="1" applyFill="1" applyBorder="1" applyAlignment="1">
      <alignment horizontal="center" vertical="center" wrapText="1"/>
    </xf>
    <xf numFmtId="0" fontId="6" fillId="0" borderId="14" xfId="0" applyFont="1" applyBorder="1" applyAlignment="1">
      <alignment horizontal="center" vertical="center"/>
    </xf>
    <xf numFmtId="0" fontId="41" fillId="15" borderId="7" xfId="0" applyFont="1" applyFill="1" applyBorder="1" applyAlignment="1">
      <alignment horizontal="center" vertical="center" wrapText="1"/>
    </xf>
    <xf numFmtId="0" fontId="6" fillId="0" borderId="2" xfId="0" applyFont="1" applyBorder="1" applyAlignment="1">
      <alignment horizontal="center" vertical="center"/>
    </xf>
    <xf numFmtId="10" fontId="6" fillId="0" borderId="2" xfId="0" applyNumberFormat="1" applyFont="1" applyBorder="1" applyAlignment="1">
      <alignment horizontal="center" vertical="center"/>
    </xf>
    <xf numFmtId="0" fontId="41" fillId="8" borderId="7" xfId="0" applyFont="1" applyFill="1" applyBorder="1" applyAlignment="1">
      <alignment horizontal="center" vertical="center" wrapText="1"/>
    </xf>
    <xf numFmtId="185" fontId="41" fillId="8" borderId="7" xfId="0" applyNumberFormat="1" applyFont="1" applyFill="1" applyBorder="1" applyAlignment="1">
      <alignment horizontal="center" vertical="center" wrapText="1"/>
    </xf>
    <xf numFmtId="10" fontId="3" fillId="25" borderId="1" xfId="0" applyNumberFormat="1" applyFont="1" applyFill="1" applyBorder="1" applyAlignment="1">
      <alignment horizontal="center" vertical="center"/>
    </xf>
    <xf numFmtId="185" fontId="6" fillId="0" borderId="2" xfId="0" applyNumberFormat="1" applyFont="1" applyBorder="1" applyAlignment="1">
      <alignment horizontal="center" vertical="center"/>
    </xf>
    <xf numFmtId="185" fontId="3" fillId="25" borderId="1" xfId="0" applyNumberFormat="1" applyFont="1" applyFill="1" applyBorder="1" applyAlignment="1">
      <alignment horizontal="center" vertical="center"/>
    </xf>
    <xf numFmtId="185" fontId="3" fillId="0" borderId="0" xfId="0" applyNumberFormat="1" applyFont="1">
      <alignment vertical="center"/>
    </xf>
    <xf numFmtId="185" fontId="41" fillId="15" borderId="7" xfId="0" applyNumberFormat="1" applyFont="1" applyFill="1" applyBorder="1" applyAlignment="1">
      <alignment horizontal="center" vertical="center" wrapText="1"/>
    </xf>
    <xf numFmtId="186" fontId="3" fillId="25" borderId="1" xfId="0" applyNumberFormat="1" applyFont="1" applyFill="1" applyBorder="1" applyAlignment="1">
      <alignment horizontal="center" vertical="center"/>
    </xf>
    <xf numFmtId="186" fontId="3" fillId="0" borderId="0" xfId="0" applyNumberFormat="1" applyFont="1">
      <alignment vertical="center"/>
    </xf>
    <xf numFmtId="186" fontId="3" fillId="0" borderId="0" xfId="0" applyNumberFormat="1" applyFont="1" applyAlignment="1"/>
    <xf numFmtId="180" fontId="3" fillId="25" borderId="1" xfId="0" applyNumberFormat="1" applyFont="1" applyFill="1" applyBorder="1" applyAlignment="1">
      <alignment horizontal="center" vertical="center"/>
    </xf>
    <xf numFmtId="0" fontId="41" fillId="15" borderId="1" xfId="0" applyFont="1" applyFill="1" applyBorder="1" applyAlignment="1">
      <alignment horizontal="center" vertical="center" wrapText="1"/>
    </xf>
    <xf numFmtId="177" fontId="3" fillId="25" borderId="1" xfId="0" applyNumberFormat="1" applyFont="1" applyFill="1" applyBorder="1" applyAlignment="1">
      <alignment horizontal="center" vertical="center"/>
    </xf>
    <xf numFmtId="177" fontId="14" fillId="0" borderId="0" xfId="0" applyNumberFormat="1" applyFont="1">
      <alignment vertical="center"/>
    </xf>
    <xf numFmtId="0" fontId="6" fillId="2" borderId="7" xfId="0" applyFont="1" applyFill="1" applyBorder="1" applyAlignment="1">
      <alignment horizontal="center" vertical="center" wrapText="1"/>
    </xf>
    <xf numFmtId="0" fontId="42" fillId="26" borderId="7" xfId="0" applyFont="1" applyFill="1" applyBorder="1" applyAlignment="1">
      <alignment horizontal="center" vertical="center" wrapText="1"/>
    </xf>
    <xf numFmtId="0" fontId="42" fillId="3" borderId="7" xfId="0" applyFont="1" applyFill="1" applyBorder="1" applyAlignment="1">
      <alignment horizontal="center" vertical="center" wrapText="1"/>
    </xf>
    <xf numFmtId="180" fontId="42" fillId="26" borderId="7" xfId="0" applyNumberFormat="1" applyFont="1" applyFill="1" applyBorder="1" applyAlignment="1">
      <alignment horizontal="center" vertical="center" wrapText="1"/>
    </xf>
    <xf numFmtId="0" fontId="42" fillId="27" borderId="7"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184" fontId="2" fillId="0" borderId="1" xfId="0" applyNumberFormat="1" applyFont="1" applyBorder="1" applyAlignment="1">
      <alignment horizontal="center" vertical="center" wrapText="1"/>
    </xf>
    <xf numFmtId="182"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wrapText="1"/>
    </xf>
    <xf numFmtId="187" fontId="2" fillId="28" borderId="1" xfId="0" applyNumberFormat="1" applyFont="1" applyFill="1" applyBorder="1" applyAlignment="1">
      <alignment horizontal="center" vertical="center" wrapText="1"/>
    </xf>
    <xf numFmtId="10" fontId="2" fillId="0" borderId="1" xfId="0" applyNumberFormat="1" applyFont="1" applyBorder="1" applyAlignment="1">
      <alignment horizontal="center" vertical="center" wrapText="1"/>
    </xf>
    <xf numFmtId="0" fontId="43" fillId="0" borderId="0" xfId="0" applyFont="1" applyAlignment="1">
      <alignment horizontal="left" vertical="center" wrapText="1"/>
    </xf>
    <xf numFmtId="4" fontId="43" fillId="0" borderId="0" xfId="0" applyNumberFormat="1" applyFont="1" applyAlignment="1">
      <alignment horizontal="center" vertical="center" wrapText="1"/>
    </xf>
    <xf numFmtId="9" fontId="43" fillId="0" borderId="0" xfId="0" applyNumberFormat="1" applyFont="1" applyAlignment="1">
      <alignment horizontal="center" vertical="center" wrapText="1"/>
    </xf>
    <xf numFmtId="0" fontId="43" fillId="0" borderId="0" xfId="0" applyFont="1" applyAlignment="1">
      <alignment horizontal="center" vertical="center" wrapText="1"/>
    </xf>
    <xf numFmtId="184" fontId="43" fillId="0" borderId="0" xfId="0" applyNumberFormat="1" applyFont="1" applyAlignment="1">
      <alignment horizontal="center" vertical="center" wrapText="1"/>
    </xf>
    <xf numFmtId="182" fontId="43" fillId="0" borderId="0" xfId="0" applyNumberFormat="1" applyFont="1" applyAlignment="1">
      <alignment horizontal="center" vertical="center" wrapText="1"/>
    </xf>
    <xf numFmtId="177" fontId="43" fillId="0" borderId="0" xfId="0" applyNumberFormat="1" applyFont="1" applyAlignment="1">
      <alignment horizontal="center" vertical="center" wrapText="1"/>
    </xf>
    <xf numFmtId="10" fontId="43" fillId="0" borderId="0" xfId="0" applyNumberFormat="1" applyFont="1" applyAlignment="1">
      <alignment horizontal="center" vertical="center" wrapText="1"/>
    </xf>
    <xf numFmtId="0" fontId="6" fillId="2" borderId="1" xfId="0" applyFont="1" applyFill="1" applyBorder="1" applyAlignment="1">
      <alignment horizontal="center" vertical="center" wrapText="1"/>
    </xf>
    <xf numFmtId="0" fontId="42" fillId="26" borderId="1" xfId="0" applyFont="1" applyFill="1" applyBorder="1" applyAlignment="1">
      <alignment horizontal="center" vertical="center" wrapText="1"/>
    </xf>
    <xf numFmtId="0" fontId="42" fillId="3" borderId="1" xfId="0" applyFont="1" applyFill="1" applyBorder="1" applyAlignment="1">
      <alignment horizontal="center" vertical="center" wrapText="1"/>
    </xf>
    <xf numFmtId="180" fontId="42" fillId="26" borderId="1" xfId="0" applyNumberFormat="1" applyFont="1" applyFill="1" applyBorder="1" applyAlignment="1">
      <alignment horizontal="center" vertical="center" wrapText="1"/>
    </xf>
    <xf numFmtId="0" fontId="42" fillId="27" borderId="1" xfId="0" applyFont="1" applyFill="1" applyBorder="1" applyAlignment="1">
      <alignment horizontal="center" vertical="center" wrapText="1"/>
    </xf>
    <xf numFmtId="184" fontId="2" fillId="28" borderId="1" xfId="0" applyNumberFormat="1" applyFont="1" applyFill="1" applyBorder="1" applyAlignment="1">
      <alignment horizontal="center" vertical="center" wrapText="1"/>
    </xf>
    <xf numFmtId="180" fontId="2" fillId="0" borderId="1" xfId="0" applyNumberFormat="1" applyFont="1" applyBorder="1" applyAlignment="1">
      <alignment horizontal="center" vertical="center" wrapText="1"/>
    </xf>
    <xf numFmtId="10" fontId="2" fillId="0" borderId="0" xfId="0" applyNumberFormat="1" applyFont="1" applyAlignment="1">
      <alignment horizontal="center" vertical="center" wrapText="1"/>
    </xf>
    <xf numFmtId="10" fontId="2" fillId="0" borderId="0" xfId="0" applyNumberFormat="1" applyFont="1">
      <alignment vertical="center"/>
    </xf>
    <xf numFmtId="10" fontId="2" fillId="0" borderId="0" xfId="0" applyNumberFormat="1" applyFont="1" applyAlignment="1"/>
    <xf numFmtId="10" fontId="42" fillId="27" borderId="7" xfId="0" applyNumberFormat="1" applyFont="1" applyFill="1" applyBorder="1" applyAlignment="1">
      <alignment horizontal="center" vertical="center" wrapText="1"/>
    </xf>
    <xf numFmtId="0" fontId="9" fillId="28"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b val="0"/>
        <i val="0"/>
        <strike val="0"/>
        <u val="none"/>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10</xdr:row>
      <xdr:rowOff>0</xdr:rowOff>
    </xdr:from>
    <xdr:to>
      <xdr:col>14</xdr:col>
      <xdr:colOff>1367690</xdr:colOff>
      <xdr:row>38</xdr:row>
      <xdr:rowOff>64770</xdr:rowOff>
    </xdr:to>
    <xdr:pic>
      <xdr:nvPicPr>
        <xdr:cNvPr id="2" name="图片 1"/>
        <xdr:cNvPicPr>
          <a:picLocks noChangeAspect="1"/>
        </xdr:cNvPicPr>
      </xdr:nvPicPr>
      <xdr:blipFill>
        <a:blip r:embed="rId1"/>
        <a:stretch>
          <a:fillRect/>
        </a:stretch>
      </xdr:blipFill>
      <xdr:spPr>
        <a:xfrm>
          <a:off x="1207770" y="3403600"/>
          <a:ext cx="21096605" cy="607441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4" Type="http://schemas.openxmlformats.org/officeDocument/2006/relationships/hyperlink" Target="https://shimo.im/docx/KlkKvJbZyouGvJqd" TargetMode="External"/><Relationship Id="rId3" Type="http://schemas.openxmlformats.org/officeDocument/2006/relationships/hyperlink" Target="https://shimo.im/docx/5bqndxpZ1JSlNDAy" TargetMode="External"/><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hyperlink" Target="https://shimo.im/sheets/R13j887geRuXZrk5/WRWrU   (https://shimo.im/sheets/R13j887geRuXZrk5/WRWrU)   &#31449;&#22806;&#25512;&#24191;&#38656;&#27714;&#22823;&#23478;&#20063;&#21487;&#20197;&#22635;&#19968;&#19979;&#36825;&#20010;&#34920;&#32473;&#25105;&#20204;&#65292;&#25105;&#20204;&#36825;&#36793;&#25552;&#21069;&#20648;&#22791;&#32418;&#20154;&#36164;&#28304;"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7"/>
  <sheetViews>
    <sheetView topLeftCell="A13" workbookViewId="0">
      <selection activeCell="C21" sqref="C21"/>
    </sheetView>
  </sheetViews>
  <sheetFormatPr defaultColWidth="17" defaultRowHeight="11.4"/>
  <cols>
    <col min="1" max="1" width="27.2395833333333" customWidth="1"/>
    <col min="2" max="4" width="13.3645833333333" customWidth="1"/>
    <col min="5" max="5" width="16.59375" customWidth="1"/>
    <col min="6" max="7" width="21.4166666666667" customWidth="1"/>
    <col min="8" max="11" width="16.59375" customWidth="1"/>
    <col min="12" max="12" width="14.9791666666667" customWidth="1"/>
    <col min="13" max="16" width="16.59375" customWidth="1"/>
    <col min="17" max="18" width="13.3645833333333" customWidth="1"/>
    <col min="19" max="19" width="11.75" customWidth="1"/>
    <col min="20" max="21" width="13.3645833333333" customWidth="1"/>
    <col min="22" max="23" width="14.9791666666667" customWidth="1"/>
    <col min="24" max="24" width="13.3645833333333" customWidth="1"/>
    <col min="25" max="27" width="14.9791666666667" customWidth="1"/>
    <col min="28" max="30" width="16.59375" customWidth="1"/>
    <col min="31" max="33" width="21.4166666666667" customWidth="1"/>
    <col min="34" max="34" width="26.2604166666667" customWidth="1"/>
    <col min="35" max="35" width="23.03125" customWidth="1"/>
    <col min="36" max="36" width="24.6458333333333" customWidth="1"/>
    <col min="37" max="37" width="23.03125" customWidth="1"/>
    <col min="38" max="38" width="21.4166666666667" customWidth="1"/>
  </cols>
  <sheetData>
    <row r="1" ht="44.35" customHeight="1" spans="1:38">
      <c r="A1" s="364" t="s">
        <v>0</v>
      </c>
      <c r="B1" s="365" t="s">
        <v>1</v>
      </c>
      <c r="C1" s="365" t="s">
        <v>2</v>
      </c>
      <c r="D1" s="365" t="s">
        <v>3</v>
      </c>
      <c r="E1" s="365" t="s">
        <v>4</v>
      </c>
      <c r="F1" s="366" t="s">
        <v>5</v>
      </c>
      <c r="G1" s="365" t="s">
        <v>6</v>
      </c>
      <c r="H1" s="365" t="s">
        <v>7</v>
      </c>
      <c r="I1" s="365" t="s">
        <v>8</v>
      </c>
      <c r="J1" s="365" t="s">
        <v>9</v>
      </c>
      <c r="K1" s="365" t="s">
        <v>10</v>
      </c>
      <c r="L1" s="365" t="s">
        <v>11</v>
      </c>
      <c r="M1" s="365" t="s">
        <v>12</v>
      </c>
      <c r="N1" s="365" t="s">
        <v>13</v>
      </c>
      <c r="O1" s="367" t="s">
        <v>14</v>
      </c>
      <c r="P1" s="365" t="s">
        <v>15</v>
      </c>
      <c r="Q1" s="365" t="s">
        <v>16</v>
      </c>
      <c r="R1" s="366" t="s">
        <v>17</v>
      </c>
      <c r="S1" s="365" t="s">
        <v>18</v>
      </c>
      <c r="T1" s="365" t="s">
        <v>19</v>
      </c>
      <c r="U1" s="365" t="s">
        <v>20</v>
      </c>
      <c r="V1" s="365" t="s">
        <v>21</v>
      </c>
      <c r="W1" s="365" t="s">
        <v>22</v>
      </c>
      <c r="X1" s="365" t="s">
        <v>23</v>
      </c>
      <c r="Y1" s="365" t="s">
        <v>24</v>
      </c>
      <c r="Z1" s="366" t="s">
        <v>25</v>
      </c>
      <c r="AA1" s="366" t="s">
        <v>26</v>
      </c>
      <c r="AB1" s="368" t="s">
        <v>27</v>
      </c>
      <c r="AC1" s="368" t="s">
        <v>28</v>
      </c>
      <c r="AD1" s="368" t="s">
        <v>29</v>
      </c>
      <c r="AE1" s="365" t="s">
        <v>30</v>
      </c>
      <c r="AF1" s="365" t="s">
        <v>31</v>
      </c>
      <c r="AG1" s="365" t="s">
        <v>32</v>
      </c>
      <c r="AH1" s="365" t="s">
        <v>33</v>
      </c>
      <c r="AI1" s="365" t="s">
        <v>34</v>
      </c>
      <c r="AJ1" s="365" t="s">
        <v>35</v>
      </c>
      <c r="AK1" s="365" t="s">
        <v>36</v>
      </c>
      <c r="AL1" s="365" t="s">
        <v>37</v>
      </c>
    </row>
    <row r="2" ht="30.95" customHeight="1" spans="1:38">
      <c r="A2" s="14" t="s">
        <v>38</v>
      </c>
      <c r="B2" s="369">
        <v>8.5</v>
      </c>
      <c r="C2" s="238">
        <v>0.8632</v>
      </c>
      <c r="D2" s="14">
        <v>119.99</v>
      </c>
      <c r="E2" s="14">
        <f>D2*0.84</f>
        <v>100.7916</v>
      </c>
      <c r="F2" s="370">
        <f>E2*C2</f>
        <v>87.00330912</v>
      </c>
      <c r="G2" s="370">
        <f>138.5/1.13</f>
        <v>122.566371681416</v>
      </c>
      <c r="H2" s="370">
        <v>67.7</v>
      </c>
      <c r="I2" s="370">
        <f>SUM(G2:H2)</f>
        <v>190.266371681416</v>
      </c>
      <c r="J2" s="14">
        <v>4</v>
      </c>
      <c r="K2" s="371">
        <v>0</v>
      </c>
      <c r="L2" s="371">
        <v>0</v>
      </c>
      <c r="M2" s="371">
        <v>0</v>
      </c>
      <c r="N2" s="371">
        <v>0</v>
      </c>
      <c r="O2" s="371">
        <v>0</v>
      </c>
      <c r="P2" s="371">
        <v>0</v>
      </c>
      <c r="Q2" s="371">
        <v>7.5</v>
      </c>
      <c r="R2" s="371">
        <f>SUM(M2:Q2)+(K2+L2)*J2</f>
        <v>7.5</v>
      </c>
      <c r="S2" s="371">
        <f>R2/J2*B2</f>
        <v>15.9375</v>
      </c>
      <c r="T2" s="371">
        <f>F2*B2-I2-S2</f>
        <v>533.324255838584</v>
      </c>
      <c r="U2" s="238">
        <v>0.02</v>
      </c>
      <c r="V2" s="238">
        <v>0.15</v>
      </c>
      <c r="W2" s="372">
        <f>D2*V2*B2</f>
        <v>152.98725</v>
      </c>
      <c r="X2" s="238">
        <v>0.15</v>
      </c>
      <c r="Y2" s="372">
        <f>D2*X2</f>
        <v>17.9985</v>
      </c>
      <c r="Z2" s="373">
        <f>D2-Y2</f>
        <v>101.9915</v>
      </c>
      <c r="AA2" s="373">
        <f>Z2/0.84</f>
        <v>121.418452380952</v>
      </c>
      <c r="AB2" s="371">
        <f>T2-F2*U2*B2-W2-Y2*B2</f>
        <v>212.559193288184</v>
      </c>
      <c r="AC2" s="374">
        <f>AB2/(F2*B2)</f>
        <v>0.287425434379351</v>
      </c>
      <c r="AD2" s="374">
        <f>AB2/(E2*B2)</f>
        <v>0.248105634956256</v>
      </c>
      <c r="AE2" s="374">
        <f>AB2/I2</f>
        <v>1.11716637790358</v>
      </c>
      <c r="AF2" s="374">
        <f>I2/B2/F2</f>
        <v>0.257280777567545</v>
      </c>
      <c r="AG2" s="371">
        <f>F2*0.7</f>
        <v>60.902316384</v>
      </c>
      <c r="AH2" s="371">
        <f>AG2*B2-S2-I2</f>
        <v>311.465817582584</v>
      </c>
      <c r="AI2" s="374">
        <f>AG2*B2/I2</f>
        <v>2.72076292142046</v>
      </c>
      <c r="AJ2" s="374">
        <f>AG2*B2/(I2+S2)</f>
        <v>2.51047511883675</v>
      </c>
      <c r="AK2" s="374">
        <f>AH2/I2</f>
        <v>1.63699877613741</v>
      </c>
      <c r="AL2" s="374">
        <f>(W2/B2+Y2)/F2</f>
        <v>0.413742883622402</v>
      </c>
    </row>
    <row r="3" ht="27.85" customHeight="1" spans="1:38">
      <c r="A3" s="14" t="s">
        <v>39</v>
      </c>
      <c r="B3" s="369">
        <v>8.5</v>
      </c>
      <c r="C3" s="238">
        <v>0.8632</v>
      </c>
      <c r="D3" s="14">
        <v>119.99</v>
      </c>
      <c r="E3" s="14">
        <f>D3*0.84</f>
        <v>100.7916</v>
      </c>
      <c r="F3" s="370">
        <f>E3*C3</f>
        <v>87.00330912</v>
      </c>
      <c r="G3" s="370">
        <f>138.5/1.13</f>
        <v>122.566371681416</v>
      </c>
      <c r="H3" s="370">
        <v>55.14</v>
      </c>
      <c r="I3" s="370">
        <f>SUM(G3:H3)</f>
        <v>177.706371681416</v>
      </c>
      <c r="J3" s="14">
        <v>4</v>
      </c>
      <c r="K3" s="371">
        <v>0</v>
      </c>
      <c r="L3" s="371">
        <v>0</v>
      </c>
      <c r="M3" s="371">
        <v>0</v>
      </c>
      <c r="N3" s="371">
        <v>0</v>
      </c>
      <c r="O3" s="371">
        <v>0</v>
      </c>
      <c r="P3" s="371">
        <v>0</v>
      </c>
      <c r="Q3" s="371">
        <v>7.5</v>
      </c>
      <c r="R3" s="371">
        <f>SUM(M3:Q3)+(K3+L3)*J3</f>
        <v>7.5</v>
      </c>
      <c r="S3" s="371">
        <f>R3/J3*B3</f>
        <v>15.9375</v>
      </c>
      <c r="T3" s="371">
        <f>F3*B3-I3-S3</f>
        <v>545.884255838584</v>
      </c>
      <c r="U3" s="238">
        <v>0.02</v>
      </c>
      <c r="V3" s="238">
        <v>0.15</v>
      </c>
      <c r="W3" s="372">
        <f>D3*V3*B3</f>
        <v>152.98725</v>
      </c>
      <c r="X3" s="238">
        <v>0.15</v>
      </c>
      <c r="Y3" s="372">
        <f>D3*X3</f>
        <v>17.9985</v>
      </c>
      <c r="Z3" s="373">
        <f>D3-Y3</f>
        <v>101.9915</v>
      </c>
      <c r="AA3" s="373">
        <f>Z3/0.84</f>
        <v>121.418452380952</v>
      </c>
      <c r="AB3" s="371">
        <f>T3-F3*U3*B3-W3-Y3*B3</f>
        <v>225.119193288184</v>
      </c>
      <c r="AC3" s="374">
        <f>AB3/(F3*B3)</f>
        <v>0.304409237337759</v>
      </c>
      <c r="AD3" s="374">
        <f>AB3/(E3*B3)</f>
        <v>0.262766053669953</v>
      </c>
      <c r="AE3" s="374">
        <f>AB3/I3</f>
        <v>1.26680428595868</v>
      </c>
      <c r="AF3" s="374">
        <f>I3/B3/F3</f>
        <v>0.240296974609137</v>
      </c>
      <c r="AG3" s="371">
        <f>F3*0.7</f>
        <v>60.902316384</v>
      </c>
      <c r="AH3" s="371">
        <f>AG3*B3-S3-I3</f>
        <v>324.025817582584</v>
      </c>
      <c r="AI3" s="374">
        <f>AG3*B3/I3</f>
        <v>2.9130620605549</v>
      </c>
      <c r="AJ3" s="374">
        <f>AG3*B3/(I3+S3)</f>
        <v>2.67330788611619</v>
      </c>
      <c r="AK3" s="374">
        <f>AH3/I3</f>
        <v>1.82337760045815</v>
      </c>
      <c r="AL3" s="374">
        <f>(W3/B3+Y3)/F3</f>
        <v>0.413742883622402</v>
      </c>
    </row>
    <row r="4" ht="27.85" customHeight="1" spans="1:38">
      <c r="A4" s="14" t="s">
        <v>40</v>
      </c>
      <c r="B4" s="369">
        <v>8.5</v>
      </c>
      <c r="C4" s="238">
        <v>0.8632</v>
      </c>
      <c r="D4" s="14">
        <v>119.99</v>
      </c>
      <c r="E4" s="14">
        <f>D4*0.84</f>
        <v>100.7916</v>
      </c>
      <c r="F4" s="370">
        <f>E4*C4</f>
        <v>87.00330912</v>
      </c>
      <c r="G4" s="370">
        <f>138.5/1.13</f>
        <v>122.566371681416</v>
      </c>
      <c r="H4" s="370">
        <v>22.5</v>
      </c>
      <c r="I4" s="370">
        <f>SUM(G4:H4)</f>
        <v>145.066371681416</v>
      </c>
      <c r="J4" s="14">
        <v>4</v>
      </c>
      <c r="K4" s="371">
        <v>0</v>
      </c>
      <c r="L4" s="371">
        <v>0</v>
      </c>
      <c r="M4" s="371">
        <v>0</v>
      </c>
      <c r="N4" s="371">
        <v>0</v>
      </c>
      <c r="O4" s="371">
        <v>0</v>
      </c>
      <c r="P4" s="371">
        <v>0</v>
      </c>
      <c r="Q4" s="371">
        <v>7.5</v>
      </c>
      <c r="R4" s="371">
        <f>SUM(M4:Q4)+(K4+L4)*J4</f>
        <v>7.5</v>
      </c>
      <c r="S4" s="371">
        <f>R4/J4*B4</f>
        <v>15.9375</v>
      </c>
      <c r="T4" s="371">
        <f>F4*B4-I4-S4</f>
        <v>578.524255838584</v>
      </c>
      <c r="U4" s="238">
        <v>0.02</v>
      </c>
      <c r="V4" s="238">
        <v>0.15</v>
      </c>
      <c r="W4" s="372">
        <f>D4*V4*B4</f>
        <v>152.98725</v>
      </c>
      <c r="X4" s="238">
        <v>0.15</v>
      </c>
      <c r="Y4" s="372">
        <f>D4*X4</f>
        <v>17.9985</v>
      </c>
      <c r="Z4" s="373">
        <f>D4-Y4</f>
        <v>101.9915</v>
      </c>
      <c r="AA4" s="373">
        <f>Z4/0.84</f>
        <v>121.418452380952</v>
      </c>
      <c r="AB4" s="371">
        <f>T4-F4*U4*B4-W4-Y4*B4</f>
        <v>257.759193288184</v>
      </c>
      <c r="AC4" s="374">
        <f>AB4/(F4*B4)</f>
        <v>0.348545489611838</v>
      </c>
      <c r="AD4" s="374">
        <f>AB4/(E4*B4)</f>
        <v>0.300864466632938</v>
      </c>
      <c r="AE4" s="374">
        <f>AB4/I4</f>
        <v>1.77683628742198</v>
      </c>
      <c r="AF4" s="374">
        <f>I4/B4/F4</f>
        <v>0.196160722335058</v>
      </c>
      <c r="AG4" s="371">
        <f>F4*0.7</f>
        <v>60.902316384</v>
      </c>
      <c r="AH4" s="371">
        <f>AG4*B4-S4-I4</f>
        <v>356.665817582584</v>
      </c>
      <c r="AI4" s="374">
        <f>AG4*B4/I4</f>
        <v>3.56850235698228</v>
      </c>
      <c r="AJ4" s="374">
        <f>AG4*B4/(I4+S4)</f>
        <v>3.21526236517052</v>
      </c>
      <c r="AK4" s="374">
        <f>AH4/I4</f>
        <v>2.45863885233076</v>
      </c>
      <c r="AL4" s="374">
        <f>(W4/B4+Y4)/F4</f>
        <v>0.413742883622402</v>
      </c>
    </row>
    <row r="5" ht="27.85" customHeight="1" spans="1:38">
      <c r="A5" s="375"/>
      <c r="B5" s="376"/>
      <c r="C5" s="377"/>
      <c r="D5" s="377"/>
      <c r="E5" s="378"/>
      <c r="F5" s="379"/>
      <c r="G5" s="379"/>
      <c r="H5" s="379"/>
      <c r="I5" s="379"/>
      <c r="J5" s="378"/>
      <c r="K5" s="380"/>
      <c r="L5" s="380"/>
      <c r="M5" s="380"/>
      <c r="N5" s="380"/>
      <c r="O5" s="380"/>
      <c r="P5" s="380"/>
      <c r="Q5" s="380"/>
      <c r="R5" s="380"/>
      <c r="S5" s="380"/>
      <c r="T5" s="380"/>
      <c r="U5" s="377"/>
      <c r="V5" s="377"/>
      <c r="W5" s="381"/>
      <c r="X5" s="377"/>
      <c r="Y5" s="381"/>
      <c r="Z5" s="381"/>
      <c r="AA5" s="381"/>
      <c r="AB5" s="380"/>
      <c r="AC5" s="382"/>
      <c r="AD5" s="382"/>
      <c r="AE5" s="382"/>
      <c r="AF5" s="382"/>
      <c r="AG5" s="380"/>
      <c r="AH5" s="380"/>
      <c r="AI5" s="382"/>
      <c r="AJ5" s="382"/>
      <c r="AK5" s="382"/>
      <c r="AL5" s="382"/>
    </row>
    <row r="6" ht="41.25" customHeight="1" spans="1:38">
      <c r="A6" s="383" t="s">
        <v>41</v>
      </c>
      <c r="B6" s="384" t="s">
        <v>1</v>
      </c>
      <c r="C6" s="384" t="s">
        <v>42</v>
      </c>
      <c r="D6" s="384" t="s">
        <v>43</v>
      </c>
      <c r="E6" s="384" t="s">
        <v>44</v>
      </c>
      <c r="F6" s="384" t="s">
        <v>45</v>
      </c>
      <c r="G6" s="384" t="s">
        <v>46</v>
      </c>
      <c r="H6" s="385" t="s">
        <v>47</v>
      </c>
      <c r="I6" s="384" t="s">
        <v>6</v>
      </c>
      <c r="J6" s="384" t="s">
        <v>48</v>
      </c>
      <c r="K6" s="384" t="s">
        <v>49</v>
      </c>
      <c r="L6" s="384" t="s">
        <v>50</v>
      </c>
      <c r="M6" s="384" t="s">
        <v>51</v>
      </c>
      <c r="N6" s="385" t="s">
        <v>52</v>
      </c>
      <c r="O6" s="386" t="s">
        <v>53</v>
      </c>
      <c r="P6" s="384" t="s">
        <v>54</v>
      </c>
      <c r="Q6" s="384" t="s">
        <v>55</v>
      </c>
      <c r="R6" s="384" t="s">
        <v>56</v>
      </c>
      <c r="S6" s="384" t="s">
        <v>57</v>
      </c>
      <c r="T6" s="384" t="s">
        <v>58</v>
      </c>
      <c r="U6" s="384" t="s">
        <v>59</v>
      </c>
      <c r="V6" s="384" t="s">
        <v>60</v>
      </c>
      <c r="W6" s="384" t="s">
        <v>61</v>
      </c>
      <c r="X6" s="384" t="s">
        <v>62</v>
      </c>
      <c r="Y6" s="384" t="s">
        <v>63</v>
      </c>
      <c r="Z6" s="387" t="s">
        <v>64</v>
      </c>
      <c r="AA6" s="387" t="s">
        <v>65</v>
      </c>
      <c r="AB6" s="387"/>
    </row>
    <row r="7" ht="26.8" customHeight="1" spans="1:38">
      <c r="A7" s="14" t="s">
        <v>66</v>
      </c>
      <c r="B7" s="369">
        <v>8.5</v>
      </c>
      <c r="C7" s="14" t="s">
        <v>67</v>
      </c>
      <c r="D7" s="14" t="s">
        <v>67</v>
      </c>
      <c r="E7" s="14" t="s">
        <v>68</v>
      </c>
      <c r="F7" s="370">
        <f>IF(E7="有",(I7/B7+J7+Y7/B7)/(0.99999-K7-L7-M7-N7),(I7/B7+J7+Y7/B7)/(0.99999-K7-M7-N7))</f>
        <v>46.443291279654</v>
      </c>
      <c r="G7" s="370">
        <f>IF(E7="有",(I7/B7+J7+Y7/B7)/(0.8-K7-L7-M7-N7-O7-P7),(I7/B7+J7+Y7/B7)/(0.8-K7-M7-N7-O7-P7))</f>
        <v>85.8746568988932</v>
      </c>
      <c r="H7" s="388">
        <v>119.99</v>
      </c>
      <c r="I7" s="370">
        <v>122.57</v>
      </c>
      <c r="J7" s="14">
        <v>5.69</v>
      </c>
      <c r="K7" s="238">
        <v>0.15</v>
      </c>
      <c r="L7" s="238">
        <v>0.16</v>
      </c>
      <c r="M7" s="238">
        <v>0.05</v>
      </c>
      <c r="N7" s="238">
        <v>0.15</v>
      </c>
      <c r="O7" s="389">
        <f>0.6/H7</f>
        <v>0.00500041670139178</v>
      </c>
      <c r="P7" s="238">
        <v>0.02</v>
      </c>
      <c r="Q7" s="370">
        <v>33.5</v>
      </c>
      <c r="R7" s="370">
        <v>26.5</v>
      </c>
      <c r="S7" s="370">
        <v>25</v>
      </c>
      <c r="T7" s="370">
        <v>2.3</v>
      </c>
      <c r="U7" s="372">
        <f>Q7*R7*S7/6000</f>
        <v>3.69895833333333</v>
      </c>
      <c r="V7" s="372">
        <f>MAX(T7:U7)</f>
        <v>3.69895833333333</v>
      </c>
      <c r="W7" s="372" t="s">
        <v>69</v>
      </c>
      <c r="X7" s="372">
        <v>6.08208</v>
      </c>
      <c r="Y7" s="372">
        <f>V7*X7</f>
        <v>22.4973605</v>
      </c>
      <c r="Z7" s="372">
        <f>H7-SUM(K7:P7)*H7-J7-I7/B7-Y7/B7</f>
        <v>33.0385517058823</v>
      </c>
      <c r="AA7" s="390">
        <f>Z7/H7</f>
        <v>0.275344209566483</v>
      </c>
      <c r="AB7" s="391"/>
      <c r="AC7" s="6"/>
      <c r="AD7" s="6"/>
      <c r="AE7" s="6"/>
      <c r="AF7" s="6"/>
      <c r="AG7" s="6"/>
      <c r="AH7" s="6"/>
      <c r="AI7" s="6"/>
      <c r="AJ7" s="6"/>
      <c r="AK7" s="6"/>
      <c r="AL7" s="6"/>
    </row>
    <row r="8" ht="26.8" customHeight="1" spans="1:38">
      <c r="A8" s="14" t="s">
        <v>70</v>
      </c>
      <c r="B8" s="369">
        <v>8.5</v>
      </c>
      <c r="C8" s="14" t="s">
        <v>67</v>
      </c>
      <c r="D8" s="14" t="s">
        <v>67</v>
      </c>
      <c r="E8" s="14" t="s">
        <v>68</v>
      </c>
      <c r="F8" s="370">
        <f>IF(E8="有",(I8/B8+J8+Y8/B8)/(0.99999-K8-L8-M8-N8),(I8/B8+J8+Y8/B8)/(0.99999-K8-M8-N8))</f>
        <v>46.443291279654</v>
      </c>
      <c r="G8" s="370">
        <f>IF(E8="有",(I8/B8+J8+Y8/B8)/(0.8-K8-L8-M8-N8-O8-P8),(I8/B8+J8+Y8/B8)/(0.8-K8-M8-N8-O8-P8))</f>
        <v>86.0222338454083</v>
      </c>
      <c r="H8" s="388">
        <v>109.99</v>
      </c>
      <c r="I8" s="370">
        <v>122.57</v>
      </c>
      <c r="J8" s="14">
        <v>5.69</v>
      </c>
      <c r="K8" s="238">
        <v>0.15</v>
      </c>
      <c r="L8" s="238">
        <v>0.16</v>
      </c>
      <c r="M8" s="238">
        <v>0.05</v>
      </c>
      <c r="N8" s="238">
        <v>0.15</v>
      </c>
      <c r="O8" s="389">
        <f>0.6/H8</f>
        <v>0.00545504136739704</v>
      </c>
      <c r="P8" s="238">
        <v>0.02</v>
      </c>
      <c r="Q8" s="370">
        <v>33.5</v>
      </c>
      <c r="R8" s="370">
        <v>26.5</v>
      </c>
      <c r="S8" s="370">
        <v>25</v>
      </c>
      <c r="T8" s="370">
        <v>2.3</v>
      </c>
      <c r="U8" s="372">
        <f>Q8*R8*S8/6000</f>
        <v>3.69895833333333</v>
      </c>
      <c r="V8" s="372">
        <f>MAX(T8:U8)</f>
        <v>3.69895833333333</v>
      </c>
      <c r="W8" s="372" t="s">
        <v>69</v>
      </c>
      <c r="X8" s="372">
        <v>6.08208</v>
      </c>
      <c r="Y8" s="372">
        <f>V8*X8</f>
        <v>22.4973605</v>
      </c>
      <c r="Z8" s="372">
        <f>H8-SUM(K8:P8)*H8-J8-I8/B8-Y8/B8</f>
        <v>28.3385517058823</v>
      </c>
      <c r="AA8" s="390">
        <f>Z8/H8</f>
        <v>0.25764661974618</v>
      </c>
      <c r="AB8" s="391"/>
      <c r="AC8" s="6"/>
      <c r="AD8" s="6"/>
      <c r="AE8" s="6"/>
      <c r="AF8" s="6"/>
      <c r="AG8" s="6"/>
      <c r="AH8" s="6"/>
      <c r="AI8" s="6"/>
      <c r="AJ8" s="6"/>
      <c r="AK8" s="6"/>
      <c r="AL8" s="6"/>
    </row>
    <row r="9" ht="26.8" customHeight="1" spans="1:38">
      <c r="A9" s="14" t="s">
        <v>71</v>
      </c>
      <c r="B9" s="369">
        <v>8.5</v>
      </c>
      <c r="C9" s="14" t="s">
        <v>67</v>
      </c>
      <c r="D9" s="14" t="s">
        <v>67</v>
      </c>
      <c r="E9" s="14" t="s">
        <v>68</v>
      </c>
      <c r="F9" s="370">
        <f>IF(E9="有",(I9/B9+J9+Y9/B9)/(0.99999-K9-L9-M9-N9),(I9/B9+J9+Y9/B9)/(0.99999-K9-M9-N9))</f>
        <v>35.5579748029151</v>
      </c>
      <c r="G9" s="370">
        <f>IF(E9="有",(I9/B9+J9+Y9/B9)/(0.8-K9-L9-M9-N9-O9-P9),(I9/B9+J9+Y9/B9)/(0.8-K9-M9-N9-O9-P9))</f>
        <v>55.0609125135501</v>
      </c>
      <c r="H9" s="388">
        <v>89.57</v>
      </c>
      <c r="I9" s="370">
        <v>122.57</v>
      </c>
      <c r="J9" s="71">
        <v>5.69</v>
      </c>
      <c r="K9" s="238">
        <v>0.15</v>
      </c>
      <c r="L9" s="238">
        <v>0.16</v>
      </c>
      <c r="M9" s="238">
        <v>0.05</v>
      </c>
      <c r="N9" s="238">
        <v>0</v>
      </c>
      <c r="O9" s="389">
        <f>0.6/H9</f>
        <v>0.00669867143016635</v>
      </c>
      <c r="P9" s="238">
        <v>0.02</v>
      </c>
      <c r="Q9" s="370">
        <v>33.5</v>
      </c>
      <c r="R9" s="370">
        <v>26.5</v>
      </c>
      <c r="S9" s="370">
        <v>25</v>
      </c>
      <c r="T9" s="370">
        <v>2.3</v>
      </c>
      <c r="U9" s="372">
        <f>Q9*R9*S9/6000</f>
        <v>3.69895833333333</v>
      </c>
      <c r="V9" s="372">
        <f>MAX(T9:U9)</f>
        <v>3.69895833333333</v>
      </c>
      <c r="W9" s="372" t="s">
        <v>69</v>
      </c>
      <c r="X9" s="372">
        <v>6.08208</v>
      </c>
      <c r="Y9" s="372">
        <f>V9*X9</f>
        <v>22.4973605</v>
      </c>
      <c r="Z9" s="372">
        <f>H9-SUM(K9:P9)*H9-J9-I9/B9-Y9/B9</f>
        <v>32.1766517058823</v>
      </c>
      <c r="AA9" s="390">
        <f>Z9/H9</f>
        <v>0.359234695834346</v>
      </c>
      <c r="AB9" s="391"/>
      <c r="AC9" s="6"/>
      <c r="AD9" s="6"/>
      <c r="AE9" s="6"/>
      <c r="AF9" s="6"/>
      <c r="AG9" s="6"/>
      <c r="AH9" s="6"/>
      <c r="AI9" s="6"/>
      <c r="AJ9" s="6"/>
      <c r="AK9" s="6"/>
      <c r="AL9" s="6"/>
    </row>
    <row r="10" ht="26.25" customHeight="1" spans="1:38">
      <c r="A10" s="14"/>
      <c r="B10" s="369"/>
      <c r="C10" s="14"/>
      <c r="D10" s="14"/>
      <c r="E10" s="14"/>
      <c r="F10" s="370"/>
      <c r="G10" s="370"/>
      <c r="H10" s="370"/>
      <c r="I10" s="370"/>
      <c r="J10" s="14"/>
      <c r="K10" s="238"/>
      <c r="L10" s="238"/>
      <c r="M10" s="238"/>
      <c r="N10" s="238"/>
      <c r="O10" s="389"/>
      <c r="P10" s="238"/>
      <c r="Q10" s="370"/>
      <c r="R10" s="370"/>
      <c r="S10" s="370"/>
      <c r="T10" s="370"/>
      <c r="U10" s="372"/>
      <c r="V10" s="372"/>
      <c r="W10" s="372"/>
      <c r="X10" s="372"/>
      <c r="Y10" s="372"/>
      <c r="Z10" s="372"/>
      <c r="AA10" s="390"/>
      <c r="AB10" s="392"/>
      <c r="AC10" s="6"/>
      <c r="AD10" s="6"/>
      <c r="AE10" s="6"/>
      <c r="AF10" s="6"/>
      <c r="AG10" s="6"/>
      <c r="AH10" s="6"/>
      <c r="AI10" s="6"/>
      <c r="AJ10" s="6"/>
      <c r="AK10" s="6"/>
      <c r="AL10" s="6"/>
    </row>
    <row r="11" ht="26.25" customHeight="1" spans="1:38">
      <c r="A11" s="14" t="s">
        <v>72</v>
      </c>
      <c r="B11" s="369">
        <v>8.5</v>
      </c>
      <c r="C11" s="14" t="s">
        <v>67</v>
      </c>
      <c r="D11" s="14" t="s">
        <v>67</v>
      </c>
      <c r="E11" s="14" t="s">
        <v>68</v>
      </c>
      <c r="F11" s="370">
        <f>IF(E11="有",(I11/B11+J11+Y11/B11)/(0.99999-K11-L11-M11-N11),(I11/B11+J11+Y11/B11)/(0.99999-K11-M11-N11))</f>
        <v>54.28064250711</v>
      </c>
      <c r="G11" s="370">
        <f>IF(E11="有",(I11/B11+J11+Y11/B11)/(0.8-K11-L11-M11-N11-O11-P11),(I11/B11+J11+Y11/B11)/(0.8-K11-M11-N11-O11-P11))</f>
        <v>100.366089980182</v>
      </c>
      <c r="H11" s="388">
        <v>119.99</v>
      </c>
      <c r="I11" s="370">
        <v>122.57</v>
      </c>
      <c r="J11" s="71">
        <v>5.69</v>
      </c>
      <c r="K11" s="238">
        <v>0.15</v>
      </c>
      <c r="L11" s="238">
        <v>0.16</v>
      </c>
      <c r="M11" s="238">
        <v>0.05</v>
      </c>
      <c r="N11" s="238">
        <v>0.15</v>
      </c>
      <c r="O11" s="389">
        <f>0.6/H11</f>
        <v>0.00500041670139178</v>
      </c>
      <c r="P11" s="238">
        <v>0.02</v>
      </c>
      <c r="Q11" s="370">
        <v>33.5</v>
      </c>
      <c r="R11" s="370">
        <v>26.5</v>
      </c>
      <c r="S11" s="370">
        <v>25</v>
      </c>
      <c r="T11" s="370">
        <v>2.3</v>
      </c>
      <c r="U11" s="372">
        <f>Q11*R11*S11/6000</f>
        <v>3.69895833333333</v>
      </c>
      <c r="V11" s="372">
        <f>MAX(T11:U11)</f>
        <v>3.69895833333333</v>
      </c>
      <c r="W11" s="372" t="s">
        <v>73</v>
      </c>
      <c r="X11" s="372">
        <v>14.9067</v>
      </c>
      <c r="Y11" s="372">
        <f>V11*X11</f>
        <v>55.1392621875</v>
      </c>
      <c r="Z11" s="372">
        <f>H11-SUM(K11:P11)*H11-J11-I11/B11-Y11/B11</f>
        <v>29.1983279779412</v>
      </c>
      <c r="AA11" s="390">
        <f>Z11/H11</f>
        <v>0.243339678122687</v>
      </c>
      <c r="AB11" s="392"/>
      <c r="AC11" s="6"/>
      <c r="AD11" s="6"/>
      <c r="AE11" s="6"/>
      <c r="AF11" s="6"/>
      <c r="AG11" s="6"/>
      <c r="AH11" s="6"/>
      <c r="AI11" s="6"/>
      <c r="AJ11" s="6"/>
      <c r="AK11" s="6"/>
      <c r="AL11" s="6"/>
    </row>
    <row r="12" ht="26.25" customHeight="1" spans="1:38">
      <c r="A12" s="14" t="s">
        <v>72</v>
      </c>
      <c r="B12" s="369">
        <v>8.5</v>
      </c>
      <c r="C12" s="14" t="s">
        <v>67</v>
      </c>
      <c r="D12" s="14" t="s">
        <v>67</v>
      </c>
      <c r="E12" s="14" t="s">
        <v>68</v>
      </c>
      <c r="F12" s="370">
        <f>IF(E12="有",(I12/B12+J12+Y12/B12)/(0.99999-K12-L12-M12-N12),(I12/B12+J12+Y12/B12)/(0.99999-K12-M12-N12))</f>
        <v>54.28064250711</v>
      </c>
      <c r="G12" s="370">
        <f>IF(E12="有",(I12/B12+J12+Y12/B12)/(0.8-K12-L12-M12-N12-O12-P12),(I12/B12+J12+Y12/B12)/(0.8-K12-M12-N12-O12-P12))</f>
        <v>100.538570682031</v>
      </c>
      <c r="H12" s="388">
        <v>109.99</v>
      </c>
      <c r="I12" s="370">
        <v>122.57</v>
      </c>
      <c r="J12" s="71">
        <v>5.69</v>
      </c>
      <c r="K12" s="238">
        <v>0.15</v>
      </c>
      <c r="L12" s="238">
        <v>0.16</v>
      </c>
      <c r="M12" s="238">
        <v>0.05</v>
      </c>
      <c r="N12" s="238">
        <v>0.15</v>
      </c>
      <c r="O12" s="389">
        <f>0.6/H12</f>
        <v>0.00545504136739704</v>
      </c>
      <c r="P12" s="238">
        <v>0.02</v>
      </c>
      <c r="Q12" s="370">
        <v>33.5</v>
      </c>
      <c r="R12" s="370">
        <v>26.5</v>
      </c>
      <c r="S12" s="370">
        <v>25</v>
      </c>
      <c r="T12" s="370">
        <v>2.3</v>
      </c>
      <c r="U12" s="372">
        <f>Q12*R12*S12/6000</f>
        <v>3.69895833333333</v>
      </c>
      <c r="V12" s="372">
        <f>MAX(T12:U12)</f>
        <v>3.69895833333333</v>
      </c>
      <c r="W12" s="372" t="s">
        <v>73</v>
      </c>
      <c r="X12" s="372">
        <v>14.9067</v>
      </c>
      <c r="Y12" s="372">
        <f>V12*X12</f>
        <v>55.1392621875</v>
      </c>
      <c r="Z12" s="372">
        <f>H12-SUM(K12:P12)*H12-J12-I12/B12-Y12/B12</f>
        <v>24.4983279779412</v>
      </c>
      <c r="AA12" s="390">
        <f>Z12/H12</f>
        <v>0.222732320919549</v>
      </c>
      <c r="AB12" s="392"/>
      <c r="AC12" s="6"/>
      <c r="AD12" s="6"/>
      <c r="AE12" s="6"/>
      <c r="AF12" s="6"/>
      <c r="AG12" s="6"/>
      <c r="AH12" s="6"/>
      <c r="AI12" s="6"/>
      <c r="AJ12" s="6"/>
      <c r="AK12" s="6"/>
      <c r="AL12" s="6"/>
    </row>
    <row r="13" ht="26.25" customHeight="1" spans="1:38">
      <c r="A13" s="14" t="s">
        <v>72</v>
      </c>
      <c r="B13" s="369">
        <v>8.5</v>
      </c>
      <c r="C13" s="14" t="s">
        <v>67</v>
      </c>
      <c r="D13" s="14" t="s">
        <v>67</v>
      </c>
      <c r="E13" s="14" t="s">
        <v>68</v>
      </c>
      <c r="F13" s="370">
        <f>IF(E13="有",(I13/B13+J13+Y13/B13)/(0.99999-K13-L13-M13-N13),(I13/B13+J13+Y13/B13)/(0.99999-K13-M13-N13))</f>
        <v>54.28064250711</v>
      </c>
      <c r="G13" s="370">
        <f>IF(E13="有",(I13/B13+J13+Y13/B13)/(0.8-K13-L13-M13-N13-O13-P13),(I13/B13+J13+Y13/B13)/(0.8-K13-M13-N13-O13-P13))</f>
        <v>100.746335136005</v>
      </c>
      <c r="H13" s="388">
        <v>99.99</v>
      </c>
      <c r="I13" s="370">
        <v>122.57</v>
      </c>
      <c r="J13" s="71">
        <v>5.69</v>
      </c>
      <c r="K13" s="238">
        <v>0.15</v>
      </c>
      <c r="L13" s="238">
        <v>0.16</v>
      </c>
      <c r="M13" s="238">
        <v>0.05</v>
      </c>
      <c r="N13" s="238">
        <v>0.15</v>
      </c>
      <c r="O13" s="389">
        <f>0.6/H13</f>
        <v>0.006000600060006</v>
      </c>
      <c r="P13" s="238">
        <v>0.02</v>
      </c>
      <c r="Q13" s="370">
        <v>33.5</v>
      </c>
      <c r="R13" s="370">
        <v>26.5</v>
      </c>
      <c r="S13" s="370">
        <v>25</v>
      </c>
      <c r="T13" s="370">
        <v>2.3</v>
      </c>
      <c r="U13" s="372">
        <f>Q13*R13*S13/6000</f>
        <v>3.69895833333333</v>
      </c>
      <c r="V13" s="372">
        <f>MAX(T13:U13)</f>
        <v>3.69895833333333</v>
      </c>
      <c r="W13" s="372" t="s">
        <v>73</v>
      </c>
      <c r="X13" s="372">
        <v>14.9067</v>
      </c>
      <c r="Y13" s="372">
        <f>V13*X13</f>
        <v>55.1392621875</v>
      </c>
      <c r="Z13" s="372">
        <f>H13-SUM(K13:P13)*H13-J13-I13/B13-Y13/B13</f>
        <v>19.7983279779412</v>
      </c>
      <c r="AA13" s="390">
        <f>Z13/H13</f>
        <v>0.19800308008742</v>
      </c>
      <c r="AB13" s="392"/>
      <c r="AC13" s="6"/>
      <c r="AD13" s="6"/>
      <c r="AE13" s="6"/>
      <c r="AF13" s="6"/>
      <c r="AG13" s="6"/>
      <c r="AH13" s="6"/>
      <c r="AI13" s="6"/>
      <c r="AJ13" s="6"/>
      <c r="AK13" s="6"/>
      <c r="AL13" s="6"/>
    </row>
    <row r="14" ht="26.25" customHeight="1" spans="1:38">
      <c r="A14" s="14"/>
      <c r="B14" s="369"/>
      <c r="C14" s="14"/>
      <c r="D14" s="14"/>
      <c r="E14" s="14"/>
      <c r="F14" s="370"/>
      <c r="G14" s="370"/>
      <c r="H14" s="388"/>
      <c r="I14" s="370"/>
      <c r="J14" s="14"/>
      <c r="K14" s="238"/>
      <c r="L14" s="238"/>
      <c r="M14" s="238"/>
      <c r="N14" s="238"/>
      <c r="O14" s="389"/>
      <c r="P14" s="238"/>
      <c r="Q14" s="370"/>
      <c r="R14" s="370"/>
      <c r="S14" s="370"/>
      <c r="T14" s="370"/>
      <c r="U14" s="372"/>
      <c r="V14" s="372"/>
      <c r="W14" s="372"/>
      <c r="X14" s="372"/>
      <c r="Y14" s="372"/>
      <c r="Z14" s="372"/>
      <c r="AA14" s="390"/>
      <c r="AB14" s="392"/>
      <c r="AC14" s="6"/>
      <c r="AD14" s="6"/>
      <c r="AE14" s="6"/>
      <c r="AF14" s="6"/>
      <c r="AG14" s="6"/>
      <c r="AH14" s="6"/>
      <c r="AI14" s="6"/>
      <c r="AJ14" s="6"/>
      <c r="AK14" s="6"/>
      <c r="AL14" s="6"/>
    </row>
    <row r="15" ht="37.15" customHeight="1" spans="1:38">
      <c r="AA15" s="391"/>
    </row>
    <row r="16" ht="41.25" customHeight="1" spans="1:38">
      <c r="A16" s="364" t="s">
        <v>74</v>
      </c>
      <c r="B16" s="365" t="s">
        <v>1</v>
      </c>
      <c r="C16" s="365" t="s">
        <v>42</v>
      </c>
      <c r="D16" s="365" t="s">
        <v>43</v>
      </c>
      <c r="E16" s="365" t="s">
        <v>44</v>
      </c>
      <c r="F16" s="365" t="s">
        <v>45</v>
      </c>
      <c r="G16" s="365" t="s">
        <v>46</v>
      </c>
      <c r="H16" s="366" t="s">
        <v>47</v>
      </c>
      <c r="I16" s="365" t="s">
        <v>6</v>
      </c>
      <c r="J16" s="365" t="s">
        <v>48</v>
      </c>
      <c r="K16" s="365" t="s">
        <v>49</v>
      </c>
      <c r="L16" s="365" t="s">
        <v>50</v>
      </c>
      <c r="M16" s="365" t="s">
        <v>51</v>
      </c>
      <c r="N16" s="366" t="s">
        <v>75</v>
      </c>
      <c r="O16" s="367" t="s">
        <v>53</v>
      </c>
      <c r="P16" s="365" t="s">
        <v>54</v>
      </c>
      <c r="Q16" s="365" t="s">
        <v>55</v>
      </c>
      <c r="R16" s="365" t="s">
        <v>56</v>
      </c>
      <c r="S16" s="365" t="s">
        <v>57</v>
      </c>
      <c r="T16" s="365" t="s">
        <v>58</v>
      </c>
      <c r="U16" s="365" t="s">
        <v>59</v>
      </c>
      <c r="V16" s="365" t="s">
        <v>60</v>
      </c>
      <c r="W16" s="365" t="s">
        <v>61</v>
      </c>
      <c r="X16" s="365" t="s">
        <v>62</v>
      </c>
      <c r="Y16" s="365" t="s">
        <v>63</v>
      </c>
      <c r="Z16" s="368" t="s">
        <v>64</v>
      </c>
      <c r="AA16" s="393" t="s">
        <v>65</v>
      </c>
      <c r="AB16" s="387"/>
    </row>
    <row r="17" ht="26.8" customHeight="1" spans="1:38">
      <c r="A17" s="14" t="s">
        <v>76</v>
      </c>
      <c r="B17" s="369">
        <v>8.5</v>
      </c>
      <c r="C17" s="14" t="s">
        <v>67</v>
      </c>
      <c r="D17" s="14" t="s">
        <v>67</v>
      </c>
      <c r="E17" s="14" t="s">
        <v>68</v>
      </c>
      <c r="F17" s="370">
        <f>I17/B17+J17+Y17/B17+(H17*(1-N17)*(K17+M17+O17+P17))</f>
        <v>37.0523834803922</v>
      </c>
      <c r="G17" s="370">
        <f>(I17/B17+J17+Y17/B17+(H17*(1-N17)*(K17+M17+O17+P17)))/0.8</f>
        <v>46.3154793504902</v>
      </c>
      <c r="H17" s="388">
        <v>119.99</v>
      </c>
      <c r="I17" s="370">
        <v>122.57</v>
      </c>
      <c r="J17" s="14">
        <v>5.69</v>
      </c>
      <c r="K17" s="238">
        <v>0.15</v>
      </c>
      <c r="L17" s="238">
        <v>0.16</v>
      </c>
      <c r="M17" s="238">
        <v>0.05</v>
      </c>
      <c r="N17" s="238">
        <v>0.6</v>
      </c>
      <c r="O17" s="389">
        <f>0.02/H17</f>
        <v>0.000166680556713059</v>
      </c>
      <c r="P17" s="238">
        <v>0.02</v>
      </c>
      <c r="Q17" s="370">
        <v>33.5</v>
      </c>
      <c r="R17" s="370">
        <v>26.5</v>
      </c>
      <c r="S17" s="370">
        <v>25</v>
      </c>
      <c r="T17" s="370">
        <v>2.3</v>
      </c>
      <c r="U17" s="372">
        <f>Q17*R17*S17/6000</f>
        <v>3.69895833333333</v>
      </c>
      <c r="V17" s="372">
        <f>MAX(T17:U17)</f>
        <v>3.69895833333333</v>
      </c>
      <c r="W17" s="372" t="s">
        <v>73</v>
      </c>
      <c r="X17" s="372">
        <v>14.65</v>
      </c>
      <c r="Y17" s="372">
        <f>V17*X17</f>
        <v>54.1897395833333</v>
      </c>
      <c r="Z17" s="372">
        <f>(H17*(1-N17))-I17/B17-J17-Y17/B17-(K17+M17+O17+P17)*(H17*(1-N17))</f>
        <v>10.9436165196078</v>
      </c>
      <c r="AA17" s="390">
        <f>Z17/H17</f>
        <v>0.0912044046971234</v>
      </c>
      <c r="AC17" s="6"/>
      <c r="AD17" s="6"/>
      <c r="AE17" s="6"/>
      <c r="AF17" s="6"/>
      <c r="AG17" s="6"/>
      <c r="AH17" s="6"/>
      <c r="AI17" s="6"/>
      <c r="AJ17" s="6"/>
      <c r="AK17" s="6"/>
      <c r="AL17" s="6"/>
    </row>
    <row r="18" ht="37.15" customHeight="1"/>
    <row r="19" ht="41.25" customHeight="1" spans="1:38">
      <c r="A19" s="383" t="s">
        <v>77</v>
      </c>
      <c r="B19" s="365" t="s">
        <v>1</v>
      </c>
      <c r="C19" s="365" t="s">
        <v>2</v>
      </c>
      <c r="D19" s="365"/>
      <c r="E19" s="365" t="s">
        <v>78</v>
      </c>
      <c r="F19" s="366" t="s">
        <v>79</v>
      </c>
      <c r="G19" s="365" t="s">
        <v>6</v>
      </c>
      <c r="H19" s="365" t="s">
        <v>7</v>
      </c>
      <c r="I19" s="365" t="s">
        <v>8</v>
      </c>
      <c r="J19" s="365" t="s">
        <v>21</v>
      </c>
      <c r="K19" s="365" t="s">
        <v>22</v>
      </c>
      <c r="L19" s="368" t="s">
        <v>80</v>
      </c>
      <c r="M19" s="368" t="s">
        <v>81</v>
      </c>
      <c r="N19" s="394" t="s">
        <v>82</v>
      </c>
    </row>
    <row r="20" ht="34.05" customHeight="1" spans="1:38">
      <c r="A20" s="14" t="s">
        <v>83</v>
      </c>
      <c r="B20" s="369">
        <v>8.5</v>
      </c>
      <c r="C20" s="238">
        <v>0.44</v>
      </c>
      <c r="D20" s="238" t="s">
        <v>84</v>
      </c>
      <c r="E20" s="14">
        <v>129.99</v>
      </c>
      <c r="F20" s="370">
        <f>E20*C20</f>
        <v>57.1956</v>
      </c>
      <c r="G20" s="370">
        <v>122.57</v>
      </c>
      <c r="H20" s="370">
        <v>5.69</v>
      </c>
      <c r="I20" s="370">
        <f>SUM(G20:H20)</f>
        <v>128.26</v>
      </c>
      <c r="J20" s="238">
        <v>0.15</v>
      </c>
      <c r="K20" s="372">
        <f>E20*B20*J20</f>
        <v>165.73725</v>
      </c>
      <c r="L20" s="371">
        <f>F20*B20-I20-K20</f>
        <v>192.16535</v>
      </c>
      <c r="M20" s="374">
        <f>L20/(E20*B20)</f>
        <v>0.173918672477068</v>
      </c>
      <c r="N20" s="4">
        <f>E20*C20</f>
        <v>57.1956</v>
      </c>
      <c r="O20" s="4"/>
      <c r="P20" s="4"/>
      <c r="Q20" s="4"/>
      <c r="R20" s="4"/>
      <c r="S20" s="4"/>
      <c r="T20" s="4"/>
      <c r="U20" s="4"/>
      <c r="V20" s="4"/>
      <c r="W20" s="6"/>
      <c r="X20" s="6"/>
      <c r="Y20" s="6"/>
    </row>
    <row r="21" ht="37.15" customHeight="1"/>
    <row r="24" ht="37.15" customHeight="1"/>
    <row r="25" ht="37.15" customHeight="1"/>
    <row r="26" ht="37.15" customHeight="1"/>
    <row r="27" ht="37.15" customHeight="1"/>
  </sheetData>
  <dataValidations count="2">
    <dataValidation type="list" allowBlank="1" showErrorMessage="1" error="请输入一个列表中的值" sqref="C17:D17 C7:D14">
      <formula1>"US,CA,UK,DE,IT,ES,FR,JP,AU,IN"</formula1>
    </dataValidation>
    <dataValidation type="list" allowBlank="1" showErrorMessage="1" error="请输入一个列表中的值" sqref="E17 E7:E14">
      <formula1>"有,无"</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8FA1C"/>
  </sheetPr>
  <dimension ref="A1:AA68"/>
  <sheetViews>
    <sheetView workbookViewId="0">
      <pane xSplit="2" ySplit="4" topLeftCell="J59" activePane="bottomRight" state="frozen"/>
      <selection/>
      <selection pane="topRight"/>
      <selection pane="bottomLeft"/>
      <selection pane="bottomRight" activeCell="C52" sqref="C52"/>
    </sheetView>
  </sheetViews>
  <sheetFormatPr defaultColWidth="17" defaultRowHeight="11.4"/>
  <cols>
    <col min="1" max="1" width="14.84375" customWidth="1"/>
    <col min="2" max="2" width="23.03125" customWidth="1"/>
    <col min="3" max="26" width="21.4166666666667" customWidth="1"/>
    <col min="27" max="27" width="172.916666666667" customWidth="1"/>
  </cols>
  <sheetData>
    <row r="1" ht="24.75" customHeight="1" spans="1:27">
      <c r="A1" s="275" t="s">
        <v>85</v>
      </c>
      <c r="B1" s="276"/>
      <c r="C1" s="277" t="s">
        <v>86</v>
      </c>
      <c r="D1" s="278"/>
      <c r="E1" s="278"/>
      <c r="F1" s="278"/>
      <c r="G1" s="279" t="s">
        <v>87</v>
      </c>
      <c r="H1" s="280"/>
      <c r="I1" s="280"/>
      <c r="J1" s="280"/>
      <c r="K1" s="281" t="s">
        <v>88</v>
      </c>
      <c r="L1" s="282"/>
      <c r="M1" s="282"/>
      <c r="N1" s="282"/>
      <c r="O1" s="283" t="s">
        <v>89</v>
      </c>
      <c r="P1" s="284"/>
      <c r="Q1" s="284"/>
      <c r="R1" s="284"/>
      <c r="S1" s="279" t="s">
        <v>90</v>
      </c>
      <c r="T1" s="280"/>
      <c r="U1" s="280"/>
      <c r="V1" s="280"/>
      <c r="W1" s="285" t="s">
        <v>91</v>
      </c>
      <c r="X1" s="286"/>
      <c r="Y1" s="286"/>
      <c r="Z1" s="286"/>
    </row>
    <row r="2" ht="51" customHeight="1" spans="1:27">
      <c r="A2" s="287">
        <v>9.5</v>
      </c>
      <c r="B2" s="1"/>
      <c r="C2" s="288" t="s">
        <v>92</v>
      </c>
      <c r="D2" s="289"/>
      <c r="E2" s="289"/>
      <c r="F2" s="289"/>
      <c r="G2" s="290" t="s">
        <v>93</v>
      </c>
      <c r="H2" s="291"/>
      <c r="I2" s="291"/>
      <c r="J2" s="291"/>
      <c r="K2" s="292" t="s">
        <v>94</v>
      </c>
      <c r="L2" s="292"/>
      <c r="M2" s="292"/>
      <c r="N2" s="292"/>
      <c r="O2" s="293" t="s">
        <v>95</v>
      </c>
      <c r="P2" s="293"/>
      <c r="Q2" s="293"/>
      <c r="R2" s="293"/>
      <c r="S2" s="290" t="s">
        <v>95</v>
      </c>
      <c r="T2" s="290"/>
      <c r="U2" s="290"/>
      <c r="V2" s="290"/>
      <c r="W2" s="294" t="s">
        <v>95</v>
      </c>
      <c r="X2" s="294"/>
      <c r="Y2" s="294"/>
      <c r="Z2" s="294"/>
      <c r="AA2" s="295"/>
    </row>
    <row r="3" ht="17.55" customHeight="1" spans="1:27">
      <c r="A3" s="296" t="s">
        <v>96</v>
      </c>
      <c r="B3" s="276"/>
      <c r="C3" s="277" t="s">
        <v>97</v>
      </c>
      <c r="D3" s="277" t="s">
        <v>98</v>
      </c>
      <c r="E3" s="277" t="s">
        <v>99</v>
      </c>
      <c r="F3" s="277" t="s">
        <v>100</v>
      </c>
      <c r="G3" s="279" t="s">
        <v>97</v>
      </c>
      <c r="H3" s="279" t="s">
        <v>98</v>
      </c>
      <c r="I3" s="279" t="s">
        <v>99</v>
      </c>
      <c r="J3" s="279" t="s">
        <v>100</v>
      </c>
      <c r="K3" s="281" t="s">
        <v>97</v>
      </c>
      <c r="L3" s="281" t="s">
        <v>98</v>
      </c>
      <c r="M3" s="281" t="s">
        <v>99</v>
      </c>
      <c r="N3" s="297" t="s">
        <v>100</v>
      </c>
      <c r="O3" s="283" t="s">
        <v>97</v>
      </c>
      <c r="P3" s="283" t="s">
        <v>98</v>
      </c>
      <c r="Q3" s="283" t="s">
        <v>99</v>
      </c>
      <c r="R3" s="283" t="s">
        <v>100</v>
      </c>
      <c r="S3" s="279" t="s">
        <v>97</v>
      </c>
      <c r="T3" s="279" t="s">
        <v>98</v>
      </c>
      <c r="U3" s="279" t="s">
        <v>99</v>
      </c>
      <c r="V3" s="279" t="s">
        <v>100</v>
      </c>
      <c r="W3" s="285" t="s">
        <v>97</v>
      </c>
      <c r="X3" s="285" t="s">
        <v>98</v>
      </c>
      <c r="Y3" s="285" t="s">
        <v>99</v>
      </c>
      <c r="Z3" s="285" t="s">
        <v>100</v>
      </c>
    </row>
    <row r="4" ht="17.55" customHeight="1" spans="1:27">
      <c r="A4" s="296" t="s">
        <v>101</v>
      </c>
      <c r="B4" s="276" t="s">
        <v>102</v>
      </c>
      <c r="C4" s="298" t="s">
        <v>103</v>
      </c>
      <c r="D4" s="298" t="s">
        <v>104</v>
      </c>
      <c r="E4" s="298" t="s">
        <v>105</v>
      </c>
      <c r="F4" s="298" t="s">
        <v>106</v>
      </c>
      <c r="G4" s="299" t="s">
        <v>107</v>
      </c>
      <c r="H4" s="299" t="s">
        <v>108</v>
      </c>
      <c r="I4" s="299" t="s">
        <v>109</v>
      </c>
      <c r="J4" s="300" t="s">
        <v>110</v>
      </c>
      <c r="K4" s="301" t="s">
        <v>111</v>
      </c>
      <c r="L4" s="301" t="s">
        <v>112</v>
      </c>
      <c r="M4" s="301" t="s">
        <v>113</v>
      </c>
      <c r="N4" s="302" t="s">
        <v>114</v>
      </c>
      <c r="O4" s="303" t="s">
        <v>115</v>
      </c>
      <c r="P4" s="303" t="s">
        <v>116</v>
      </c>
      <c r="Q4" s="303" t="s">
        <v>117</v>
      </c>
      <c r="R4" s="303" t="s">
        <v>118</v>
      </c>
      <c r="S4" s="304" t="s">
        <v>119</v>
      </c>
      <c r="T4" s="304" t="s">
        <v>120</v>
      </c>
      <c r="U4" s="304" t="s">
        <v>121</v>
      </c>
      <c r="V4" s="304" t="s">
        <v>122</v>
      </c>
      <c r="W4" s="305" t="s">
        <v>123</v>
      </c>
      <c r="X4" s="305" t="s">
        <v>124</v>
      </c>
      <c r="Y4" s="305" t="s">
        <v>125</v>
      </c>
      <c r="Z4" s="305" t="s">
        <v>126</v>
      </c>
    </row>
    <row r="5" ht="43.3" customHeight="1" spans="1:27">
      <c r="A5" s="296" t="s">
        <v>127</v>
      </c>
      <c r="B5" s="276" t="s">
        <v>128</v>
      </c>
      <c r="C5" s="306" t="s">
        <v>129</v>
      </c>
      <c r="D5" s="307"/>
      <c r="E5" s="307"/>
      <c r="F5" s="308"/>
      <c r="G5" s="309" t="s">
        <v>130</v>
      </c>
      <c r="H5" s="310"/>
      <c r="I5" s="310"/>
      <c r="J5" s="311"/>
      <c r="K5" s="312"/>
      <c r="L5" s="313"/>
      <c r="M5" s="313"/>
      <c r="N5" s="314"/>
      <c r="O5" s="315"/>
      <c r="P5" s="316"/>
      <c r="Q5" s="316"/>
      <c r="R5" s="317"/>
      <c r="S5" s="318"/>
      <c r="T5" s="319"/>
      <c r="U5" s="319"/>
      <c r="V5" s="320"/>
      <c r="W5" s="321"/>
      <c r="X5" s="322"/>
      <c r="Y5" s="322"/>
      <c r="Z5" s="323"/>
    </row>
    <row r="6" ht="22.5" customHeight="1" spans="1:27">
      <c r="A6" s="324" t="s">
        <v>131</v>
      </c>
      <c r="B6" s="325" t="s">
        <v>132</v>
      </c>
      <c r="C6" s="326">
        <f>139.99*0.85</f>
        <v>118.9915</v>
      </c>
      <c r="D6" s="326">
        <v>139.99</v>
      </c>
      <c r="E6" s="326">
        <f t="shared" ref="E6:Z6" si="0">139.99*0.7</f>
        <v>97.993</v>
      </c>
      <c r="F6" s="326">
        <f t="shared" si="0"/>
        <v>97.993</v>
      </c>
      <c r="G6" s="326">
        <f t="shared" si="0"/>
        <v>97.993</v>
      </c>
      <c r="H6" s="326">
        <f t="shared" si="0"/>
        <v>97.993</v>
      </c>
      <c r="I6" s="326">
        <f t="shared" si="0"/>
        <v>97.993</v>
      </c>
      <c r="J6" s="326">
        <f t="shared" si="0"/>
        <v>97.993</v>
      </c>
      <c r="K6" s="326">
        <f t="shared" si="0"/>
        <v>97.993</v>
      </c>
      <c r="L6" s="326">
        <f t="shared" si="0"/>
        <v>97.993</v>
      </c>
      <c r="M6" s="326">
        <f t="shared" si="0"/>
        <v>97.993</v>
      </c>
      <c r="N6" s="326">
        <f t="shared" si="0"/>
        <v>97.993</v>
      </c>
      <c r="O6" s="326">
        <f t="shared" si="0"/>
        <v>97.993</v>
      </c>
      <c r="P6" s="326">
        <f t="shared" si="0"/>
        <v>97.993</v>
      </c>
      <c r="Q6" s="326">
        <f t="shared" si="0"/>
        <v>97.993</v>
      </c>
      <c r="R6" s="326">
        <f t="shared" si="0"/>
        <v>97.993</v>
      </c>
      <c r="S6" s="326">
        <f t="shared" si="0"/>
        <v>97.993</v>
      </c>
      <c r="T6" s="326">
        <f t="shared" si="0"/>
        <v>97.993</v>
      </c>
      <c r="U6" s="326">
        <f t="shared" si="0"/>
        <v>97.993</v>
      </c>
      <c r="V6" s="326">
        <f t="shared" si="0"/>
        <v>97.993</v>
      </c>
      <c r="W6" s="326">
        <f t="shared" si="0"/>
        <v>97.993</v>
      </c>
      <c r="X6" s="326">
        <f t="shared" si="0"/>
        <v>97.993</v>
      </c>
      <c r="Y6" s="326">
        <f t="shared" si="0"/>
        <v>97.993</v>
      </c>
      <c r="Z6" s="326">
        <f t="shared" si="0"/>
        <v>97.993</v>
      </c>
      <c r="AA6" s="2"/>
    </row>
    <row r="7" ht="22.5" customHeight="1" spans="1:27">
      <c r="A7" s="324"/>
      <c r="B7" s="327" t="s">
        <v>133</v>
      </c>
      <c r="C7" s="328">
        <f>C6</f>
        <v>118.9915</v>
      </c>
      <c r="D7" s="329">
        <f>D6</f>
        <v>139.99</v>
      </c>
      <c r="E7" s="328">
        <f>E6*0.85</f>
        <v>83.29405</v>
      </c>
      <c r="F7" s="328">
        <f>F6*0.85</f>
        <v>83.29405</v>
      </c>
      <c r="G7" s="328">
        <f>G6*0.85</f>
        <v>83.29405</v>
      </c>
      <c r="H7" s="328">
        <f>H6*0.85</f>
        <v>83.29405</v>
      </c>
      <c r="I7" s="328">
        <f>I6*0.85</f>
        <v>83.29405</v>
      </c>
      <c r="J7" s="328">
        <f>J6*0.85*0.8</f>
        <v>66.63524</v>
      </c>
      <c r="K7" s="328">
        <f>K6*0.85</f>
        <v>83.29405</v>
      </c>
      <c r="L7" s="328">
        <f>L6*0.85*0.8</f>
        <v>66.63524</v>
      </c>
      <c r="M7" s="328">
        <f>M6*0.85</f>
        <v>83.29405</v>
      </c>
      <c r="N7" s="328">
        <f>N6*0.85*0.8</f>
        <v>66.63524</v>
      </c>
      <c r="O7" s="328">
        <f>O6*0.85</f>
        <v>83.29405</v>
      </c>
      <c r="P7" s="328">
        <f>P6*0.85*0.8</f>
        <v>66.63524</v>
      </c>
      <c r="Q7" s="328">
        <f>Q6*0.85</f>
        <v>83.29405</v>
      </c>
      <c r="R7" s="328">
        <f>R6*0.85*0.8</f>
        <v>66.63524</v>
      </c>
      <c r="S7" s="328">
        <f>S6*0.85</f>
        <v>83.29405</v>
      </c>
      <c r="T7" s="328">
        <f>T6*0.85*0.8</f>
        <v>66.63524</v>
      </c>
      <c r="U7" s="328">
        <f>U6*0.85</f>
        <v>83.29405</v>
      </c>
      <c r="V7" s="328">
        <f>V6*0.85*0.8</f>
        <v>66.63524</v>
      </c>
      <c r="W7" s="328">
        <f>W6*0.85</f>
        <v>83.29405</v>
      </c>
      <c r="X7" s="328">
        <f>X6*0.85*0.8</f>
        <v>66.63524</v>
      </c>
      <c r="Y7" s="328">
        <f>Y6*0.85</f>
        <v>83.29405</v>
      </c>
      <c r="Z7" s="328">
        <f>Z6*0.85*0.8</f>
        <v>66.63524</v>
      </c>
      <c r="AA7" s="2"/>
    </row>
    <row r="8" ht="22.5" customHeight="1" spans="1:27">
      <c r="A8" s="296" t="s">
        <v>134</v>
      </c>
      <c r="B8" s="330" t="s">
        <v>135</v>
      </c>
      <c r="C8" s="331">
        <v>329</v>
      </c>
      <c r="D8" s="331">
        <v>300</v>
      </c>
      <c r="E8" s="331">
        <v>250</v>
      </c>
      <c r="F8" s="331">
        <v>200</v>
      </c>
      <c r="G8" s="331">
        <v>150</v>
      </c>
      <c r="H8" s="331">
        <v>140</v>
      </c>
      <c r="I8" s="331">
        <v>130</v>
      </c>
      <c r="J8" s="331">
        <v>120</v>
      </c>
      <c r="K8" s="331">
        <v>100</v>
      </c>
      <c r="L8" s="331">
        <v>80</v>
      </c>
      <c r="M8" s="331">
        <v>60</v>
      </c>
      <c r="N8" s="331">
        <v>42</v>
      </c>
      <c r="O8" s="331">
        <v>43</v>
      </c>
      <c r="P8" s="331">
        <v>44</v>
      </c>
      <c r="Q8" s="331">
        <v>45</v>
      </c>
      <c r="R8" s="331">
        <v>45</v>
      </c>
      <c r="S8" s="331">
        <v>45</v>
      </c>
      <c r="T8" s="331">
        <v>40</v>
      </c>
      <c r="U8" s="331">
        <v>35</v>
      </c>
      <c r="V8" s="331">
        <v>35</v>
      </c>
      <c r="W8" s="331">
        <v>30</v>
      </c>
      <c r="X8" s="331">
        <v>30</v>
      </c>
      <c r="Y8" s="331">
        <v>35</v>
      </c>
      <c r="Z8" s="331">
        <v>35</v>
      </c>
      <c r="AA8" s="9"/>
    </row>
    <row r="9" ht="22.5" customHeight="1" spans="1:27">
      <c r="A9" s="296"/>
      <c r="B9" s="330" t="s">
        <v>136</v>
      </c>
      <c r="C9" s="20">
        <v>329</v>
      </c>
      <c r="D9" s="20">
        <v>300</v>
      </c>
      <c r="E9" s="20">
        <v>250</v>
      </c>
      <c r="F9" s="20">
        <v>200</v>
      </c>
      <c r="G9" s="20">
        <v>150</v>
      </c>
      <c r="H9" s="20">
        <v>140</v>
      </c>
      <c r="I9" s="20">
        <v>130</v>
      </c>
      <c r="J9" s="20">
        <v>120</v>
      </c>
      <c r="K9" s="20">
        <v>100</v>
      </c>
      <c r="L9" s="20"/>
      <c r="M9" s="20"/>
      <c r="N9" s="20"/>
      <c r="O9" s="20"/>
      <c r="P9" s="20"/>
      <c r="Q9" s="20"/>
      <c r="R9" s="20"/>
      <c r="S9" s="20"/>
      <c r="T9" s="20"/>
      <c r="U9" s="20"/>
      <c r="V9" s="20"/>
      <c r="W9" s="20"/>
      <c r="X9" s="20"/>
      <c r="Y9" s="20"/>
      <c r="Z9" s="20"/>
    </row>
    <row r="10" ht="22.5" customHeight="1" spans="1:27">
      <c r="A10" s="296" t="s">
        <v>137</v>
      </c>
      <c r="B10" s="332" t="s">
        <v>138</v>
      </c>
      <c r="C10" s="333">
        <f>(C12-2)*C7*$A$2</f>
        <v>21477.96575</v>
      </c>
      <c r="D10" s="333">
        <f>(D12-8)*D7*$A$2</f>
        <v>22608.385</v>
      </c>
      <c r="E10" s="333">
        <f t="shared" ref="E10:Z10" si="1">E12*E7*$A$2</f>
        <v>20573.63035</v>
      </c>
      <c r="F10" s="333">
        <f t="shared" si="1"/>
        <v>21364.923825</v>
      </c>
      <c r="G10" s="333">
        <f t="shared" si="1"/>
        <v>40355.967225</v>
      </c>
      <c r="H10" s="333">
        <f t="shared" si="1"/>
        <v>59347.010625</v>
      </c>
      <c r="I10" s="333">
        <f t="shared" si="1"/>
        <v>75172.880125</v>
      </c>
      <c r="J10" s="333">
        <f t="shared" si="1"/>
        <v>77230.24316</v>
      </c>
      <c r="K10" s="333">
        <f t="shared" si="1"/>
        <v>112363.67345</v>
      </c>
      <c r="L10" s="333">
        <f t="shared" si="1"/>
        <v>112680.19084</v>
      </c>
      <c r="M10" s="333">
        <f t="shared" si="1"/>
        <v>148763.1733</v>
      </c>
      <c r="N10" s="333">
        <f t="shared" si="1"/>
        <v>212066.6513</v>
      </c>
      <c r="O10" s="333">
        <f t="shared" si="1"/>
        <v>265083.314125</v>
      </c>
      <c r="P10" s="333">
        <f t="shared" si="1"/>
        <v>216497.89476</v>
      </c>
      <c r="Q10" s="333">
        <f t="shared" si="1"/>
        <v>270622.36845</v>
      </c>
      <c r="R10" s="333">
        <f t="shared" si="1"/>
        <v>220929.13822</v>
      </c>
      <c r="S10" s="333">
        <f t="shared" si="1"/>
        <v>276161.422775</v>
      </c>
      <c r="T10" s="333">
        <f t="shared" si="1"/>
        <v>225360.38168</v>
      </c>
      <c r="U10" s="333">
        <f t="shared" si="1"/>
        <v>281700.4771</v>
      </c>
      <c r="V10" s="333">
        <f t="shared" si="1"/>
        <v>229791.62514</v>
      </c>
      <c r="W10" s="333">
        <f t="shared" si="1"/>
        <v>287239.531425</v>
      </c>
      <c r="X10" s="333">
        <f t="shared" si="1"/>
        <v>234222.8686</v>
      </c>
      <c r="Y10" s="333">
        <f t="shared" si="1"/>
        <v>292778.58575</v>
      </c>
      <c r="Z10" s="333">
        <f t="shared" si="1"/>
        <v>44312.4346</v>
      </c>
    </row>
    <row r="11" ht="22.5" customHeight="1" spans="1:27">
      <c r="A11" s="296"/>
      <c r="B11" s="334" t="s">
        <v>139</v>
      </c>
      <c r="C11" s="179">
        <f>(C13-2)*C7*$A$2</f>
        <v>31651.739</v>
      </c>
      <c r="D11" s="179">
        <f>(D13)*D7*$A$2</f>
        <v>53196.2</v>
      </c>
      <c r="E11" s="179">
        <f>(3*97.97+139.97+81.64)*A2</f>
        <v>4897.44</v>
      </c>
      <c r="F11" s="179">
        <f t="shared" ref="F11:Z11" si="2">(F13)*F7*$A$2</f>
        <v>55390.54325</v>
      </c>
      <c r="G11" s="179">
        <f t="shared" si="2"/>
        <v>39564.67375</v>
      </c>
      <c r="H11" s="179">
        <f t="shared" si="2"/>
        <v>55390.54325</v>
      </c>
      <c r="I11" s="179">
        <f t="shared" si="2"/>
        <v>71216.41275</v>
      </c>
      <c r="J11" s="179">
        <f t="shared" si="2"/>
        <v>75964.1736</v>
      </c>
      <c r="K11" s="179">
        <f t="shared" si="2"/>
        <v>110781.0865</v>
      </c>
      <c r="L11" s="179">
        <f t="shared" si="2"/>
        <v>107615.9126</v>
      </c>
      <c r="M11" s="179">
        <f t="shared" si="2"/>
        <v>150345.76025</v>
      </c>
      <c r="N11" s="179">
        <f t="shared" si="2"/>
        <v>0</v>
      </c>
      <c r="O11" s="179">
        <f t="shared" si="2"/>
        <v>0</v>
      </c>
      <c r="P11" s="179">
        <f t="shared" si="2"/>
        <v>0</v>
      </c>
      <c r="Q11" s="179">
        <f t="shared" si="2"/>
        <v>0</v>
      </c>
      <c r="R11" s="179">
        <f t="shared" si="2"/>
        <v>0</v>
      </c>
      <c r="S11" s="179">
        <f t="shared" si="2"/>
        <v>0</v>
      </c>
      <c r="T11" s="179">
        <f t="shared" si="2"/>
        <v>0</v>
      </c>
      <c r="U11" s="179">
        <f t="shared" si="2"/>
        <v>0</v>
      </c>
      <c r="V11" s="179">
        <f t="shared" si="2"/>
        <v>0</v>
      </c>
      <c r="W11" s="179">
        <f t="shared" si="2"/>
        <v>0</v>
      </c>
      <c r="X11" s="179">
        <f t="shared" si="2"/>
        <v>0</v>
      </c>
      <c r="Y11" s="179">
        <f t="shared" si="2"/>
        <v>0</v>
      </c>
      <c r="Z11" s="179">
        <f t="shared" si="2"/>
        <v>0</v>
      </c>
    </row>
    <row r="12" ht="22.5" customHeight="1" spans="1:27">
      <c r="A12" s="296"/>
      <c r="B12" s="332" t="s">
        <v>140</v>
      </c>
      <c r="C12" s="335">
        <f>20+1</f>
        <v>21</v>
      </c>
      <c r="D12" s="335">
        <v>25</v>
      </c>
      <c r="E12" s="335">
        <f>23+1+2</f>
        <v>26</v>
      </c>
      <c r="F12" s="335">
        <f>22+5</f>
        <v>27</v>
      </c>
      <c r="G12" s="335">
        <v>51</v>
      </c>
      <c r="H12" s="335">
        <v>75</v>
      </c>
      <c r="I12" s="335">
        <v>95</v>
      </c>
      <c r="J12" s="335">
        <v>122</v>
      </c>
      <c r="K12" s="335">
        <v>142</v>
      </c>
      <c r="L12" s="335">
        <v>178</v>
      </c>
      <c r="M12" s="335">
        <v>188</v>
      </c>
      <c r="N12" s="335">
        <v>335</v>
      </c>
      <c r="O12" s="335">
        <v>335</v>
      </c>
      <c r="P12" s="335">
        <v>342</v>
      </c>
      <c r="Q12" s="335">
        <v>342</v>
      </c>
      <c r="R12" s="335">
        <v>349</v>
      </c>
      <c r="S12" s="335">
        <v>349</v>
      </c>
      <c r="T12" s="335">
        <v>356</v>
      </c>
      <c r="U12" s="331">
        <v>356</v>
      </c>
      <c r="V12" s="331">
        <v>363</v>
      </c>
      <c r="W12" s="331">
        <v>363</v>
      </c>
      <c r="X12" s="331">
        <v>370</v>
      </c>
      <c r="Y12" s="331">
        <v>370</v>
      </c>
      <c r="Z12" s="331">
        <v>70</v>
      </c>
    </row>
    <row r="13" ht="22.5" customHeight="1" spans="1:27">
      <c r="A13" s="296"/>
      <c r="B13" s="334" t="s">
        <v>141</v>
      </c>
      <c r="C13" s="179">
        <v>30</v>
      </c>
      <c r="D13" s="179">
        <v>40</v>
      </c>
      <c r="E13" s="179">
        <v>50</v>
      </c>
      <c r="F13" s="179">
        <v>70</v>
      </c>
      <c r="G13" s="336">
        <v>50</v>
      </c>
      <c r="H13" s="179">
        <v>70</v>
      </c>
      <c r="I13" s="179">
        <v>90</v>
      </c>
      <c r="J13" s="179">
        <v>120</v>
      </c>
      <c r="K13" s="20">
        <v>140</v>
      </c>
      <c r="L13" s="20">
        <v>170</v>
      </c>
      <c r="M13" s="20">
        <v>190</v>
      </c>
      <c r="N13" s="20"/>
      <c r="O13" s="20"/>
      <c r="P13" s="20"/>
      <c r="Q13" s="20"/>
      <c r="R13" s="20"/>
      <c r="S13" s="20"/>
      <c r="T13" s="20"/>
      <c r="U13" s="20"/>
      <c r="V13" s="20"/>
      <c r="W13" s="20"/>
      <c r="X13" s="20"/>
      <c r="Y13" s="20"/>
      <c r="Z13" s="20"/>
    </row>
    <row r="14" ht="22.5" customHeight="1" spans="1:27">
      <c r="A14" s="296"/>
      <c r="B14" s="149" t="s">
        <v>142</v>
      </c>
      <c r="C14" s="333">
        <f t="shared" ref="C14:Z14" si="3">C12/7</f>
        <v>3</v>
      </c>
      <c r="D14" s="333">
        <f t="shared" si="3"/>
        <v>3.57142857142857</v>
      </c>
      <c r="E14" s="333">
        <f t="shared" si="3"/>
        <v>3.71428571428571</v>
      </c>
      <c r="F14" s="333">
        <f t="shared" si="3"/>
        <v>3.85714285714286</v>
      </c>
      <c r="G14" s="333">
        <f t="shared" si="3"/>
        <v>7.28571428571429</v>
      </c>
      <c r="H14" s="333">
        <f t="shared" si="3"/>
        <v>10.7142857142857</v>
      </c>
      <c r="I14" s="333">
        <f t="shared" si="3"/>
        <v>13.5714285714286</v>
      </c>
      <c r="J14" s="333">
        <f t="shared" si="3"/>
        <v>17.4285714285714</v>
      </c>
      <c r="K14" s="333">
        <f t="shared" si="3"/>
        <v>20.2857142857143</v>
      </c>
      <c r="L14" s="333">
        <f t="shared" si="3"/>
        <v>25.4285714285714</v>
      </c>
      <c r="M14" s="333">
        <f t="shared" si="3"/>
        <v>26.8571428571429</v>
      </c>
      <c r="N14" s="333">
        <f t="shared" si="3"/>
        <v>47.8571428571429</v>
      </c>
      <c r="O14" s="333">
        <f t="shared" si="3"/>
        <v>47.8571428571429</v>
      </c>
      <c r="P14" s="333">
        <f t="shared" si="3"/>
        <v>48.8571428571429</v>
      </c>
      <c r="Q14" s="333">
        <f t="shared" si="3"/>
        <v>48.8571428571429</v>
      </c>
      <c r="R14" s="333">
        <f t="shared" si="3"/>
        <v>49.8571428571429</v>
      </c>
      <c r="S14" s="333">
        <f t="shared" si="3"/>
        <v>49.8571428571429</v>
      </c>
      <c r="T14" s="333">
        <f t="shared" si="3"/>
        <v>50.8571428571429</v>
      </c>
      <c r="U14" s="333">
        <f t="shared" si="3"/>
        <v>50.8571428571429</v>
      </c>
      <c r="V14" s="333">
        <f t="shared" si="3"/>
        <v>51.8571428571429</v>
      </c>
      <c r="W14" s="333">
        <f t="shared" si="3"/>
        <v>51.8571428571429</v>
      </c>
      <c r="X14" s="333">
        <f t="shared" si="3"/>
        <v>52.8571428571429</v>
      </c>
      <c r="Y14" s="333">
        <f t="shared" si="3"/>
        <v>52.8571428571429</v>
      </c>
      <c r="Z14" s="333">
        <f t="shared" si="3"/>
        <v>10</v>
      </c>
    </row>
    <row r="15" ht="22.5" customHeight="1" spans="1:27">
      <c r="A15" s="296"/>
      <c r="B15" s="337" t="s">
        <v>143</v>
      </c>
      <c r="C15" s="333">
        <f t="shared" ref="C15:Z15" si="4">C13/7</f>
        <v>4.28571428571429</v>
      </c>
      <c r="D15" s="333">
        <f t="shared" si="4"/>
        <v>5.71428571428571</v>
      </c>
      <c r="E15" s="333">
        <f t="shared" si="4"/>
        <v>7.14285714285714</v>
      </c>
      <c r="F15" s="333">
        <f t="shared" si="4"/>
        <v>10</v>
      </c>
      <c r="G15" s="333">
        <f t="shared" si="4"/>
        <v>7.14285714285714</v>
      </c>
      <c r="H15" s="333">
        <f t="shared" si="4"/>
        <v>10</v>
      </c>
      <c r="I15" s="333">
        <f t="shared" si="4"/>
        <v>12.8571428571429</v>
      </c>
      <c r="J15" s="333">
        <f t="shared" si="4"/>
        <v>17.1428571428571</v>
      </c>
      <c r="K15" s="333">
        <f t="shared" si="4"/>
        <v>20</v>
      </c>
      <c r="L15" s="333">
        <f t="shared" si="4"/>
        <v>24.2857142857143</v>
      </c>
      <c r="M15" s="333">
        <f t="shared" si="4"/>
        <v>27.1428571428571</v>
      </c>
      <c r="N15" s="333">
        <f t="shared" si="4"/>
        <v>0</v>
      </c>
      <c r="O15" s="333">
        <f t="shared" si="4"/>
        <v>0</v>
      </c>
      <c r="P15" s="333">
        <f t="shared" si="4"/>
        <v>0</v>
      </c>
      <c r="Q15" s="333">
        <f t="shared" si="4"/>
        <v>0</v>
      </c>
      <c r="R15" s="333">
        <f t="shared" si="4"/>
        <v>0</v>
      </c>
      <c r="S15" s="333">
        <f t="shared" si="4"/>
        <v>0</v>
      </c>
      <c r="T15" s="333">
        <f t="shared" si="4"/>
        <v>0</v>
      </c>
      <c r="U15" s="333">
        <f t="shared" si="4"/>
        <v>0</v>
      </c>
      <c r="V15" s="333">
        <f t="shared" si="4"/>
        <v>0</v>
      </c>
      <c r="W15" s="333">
        <f t="shared" si="4"/>
        <v>0</v>
      </c>
      <c r="X15" s="333">
        <f t="shared" si="4"/>
        <v>0</v>
      </c>
      <c r="Y15" s="333">
        <f t="shared" si="4"/>
        <v>0</v>
      </c>
      <c r="Z15" s="333">
        <f t="shared" si="4"/>
        <v>0</v>
      </c>
    </row>
    <row r="16" ht="22.5" customHeight="1" spans="1:27">
      <c r="A16" s="296"/>
      <c r="B16" s="332" t="s">
        <v>144</v>
      </c>
      <c r="C16" s="338" t="s">
        <v>145</v>
      </c>
      <c r="D16" s="338" t="s">
        <v>145</v>
      </c>
      <c r="E16" s="338" t="s">
        <v>145</v>
      </c>
      <c r="F16" s="338" t="s">
        <v>145</v>
      </c>
      <c r="G16" s="338" t="s">
        <v>145</v>
      </c>
      <c r="H16" s="338" t="s">
        <v>145</v>
      </c>
      <c r="I16" s="338" t="s">
        <v>145</v>
      </c>
      <c r="J16" s="338" t="s">
        <v>145</v>
      </c>
      <c r="K16" s="338" t="s">
        <v>145</v>
      </c>
      <c r="L16" s="338" t="s">
        <v>145</v>
      </c>
      <c r="M16" s="338" t="s">
        <v>145</v>
      </c>
      <c r="N16" s="338" t="s">
        <v>145</v>
      </c>
      <c r="O16" s="338"/>
      <c r="P16" s="338"/>
      <c r="Q16" s="338"/>
      <c r="R16" s="338"/>
      <c r="S16" s="338"/>
      <c r="T16" s="338"/>
      <c r="U16" s="338"/>
      <c r="V16" s="338"/>
      <c r="W16" s="338"/>
      <c r="X16" s="338"/>
      <c r="Y16" s="338"/>
      <c r="Z16" s="338"/>
    </row>
    <row r="17" ht="22.5" customHeight="1" spans="1:26">
      <c r="A17" s="296"/>
      <c r="B17" s="332" t="s">
        <v>146</v>
      </c>
      <c r="C17" s="208" t="s">
        <v>145</v>
      </c>
      <c r="D17" s="208" t="s">
        <v>145</v>
      </c>
      <c r="E17" s="208" t="s">
        <v>145</v>
      </c>
      <c r="F17" s="208" t="s">
        <v>145</v>
      </c>
      <c r="G17" s="208" t="s">
        <v>145</v>
      </c>
      <c r="H17" s="208" t="s">
        <v>145</v>
      </c>
      <c r="I17" s="208" t="s">
        <v>145</v>
      </c>
      <c r="J17" s="208" t="s">
        <v>145</v>
      </c>
      <c r="K17" s="208" t="s">
        <v>145</v>
      </c>
      <c r="L17" s="208" t="s">
        <v>145</v>
      </c>
      <c r="M17" s="208" t="s">
        <v>145</v>
      </c>
      <c r="N17" s="208" t="s">
        <v>145</v>
      </c>
      <c r="O17" s="208"/>
      <c r="P17" s="208"/>
      <c r="Q17" s="208"/>
      <c r="R17" s="208"/>
      <c r="S17" s="208"/>
      <c r="T17" s="208"/>
      <c r="U17" s="208"/>
      <c r="V17" s="208"/>
      <c r="W17" s="208"/>
      <c r="X17" s="208"/>
      <c r="Y17" s="208"/>
      <c r="Z17" s="208"/>
    </row>
    <row r="18" ht="22.5" customHeight="1" spans="1:26">
      <c r="A18" s="339" t="s">
        <v>147</v>
      </c>
      <c r="B18" s="340" t="s">
        <v>148</v>
      </c>
      <c r="C18" s="341">
        <f t="shared" ref="C18:Z18" si="5">C10-C28-C46</f>
        <v>12131.3554595</v>
      </c>
      <c r="D18" s="341">
        <f t="shared" si="5"/>
        <v>3009.81601</v>
      </c>
      <c r="E18" s="341">
        <f t="shared" si="5"/>
        <v>7266.9947691</v>
      </c>
      <c r="F18" s="341">
        <f t="shared" si="5"/>
        <v>7685.1689382</v>
      </c>
      <c r="G18" s="341">
        <f t="shared" si="5"/>
        <v>17693.9120916</v>
      </c>
      <c r="H18" s="341">
        <f t="shared" si="5"/>
        <v>27516.36177</v>
      </c>
      <c r="I18" s="341">
        <f t="shared" si="5"/>
        <v>35701.736502</v>
      </c>
      <c r="J18" s="341">
        <f t="shared" si="5"/>
        <v>30930.08391216</v>
      </c>
      <c r="K18" s="341">
        <f t="shared" si="5"/>
        <v>54791.1605972</v>
      </c>
      <c r="L18" s="341">
        <f t="shared" si="5"/>
        <v>47664.87809184</v>
      </c>
      <c r="M18" s="341">
        <f t="shared" si="5"/>
        <v>73617.5224808</v>
      </c>
      <c r="N18" s="341">
        <f t="shared" si="5"/>
        <v>92639.0964088</v>
      </c>
      <c r="O18" s="341">
        <f t="shared" si="5"/>
        <v>133780.026761</v>
      </c>
      <c r="P18" s="341">
        <f t="shared" si="5"/>
        <v>94644.31633376</v>
      </c>
      <c r="Q18" s="341">
        <f t="shared" si="5"/>
        <v>136644.9079172</v>
      </c>
      <c r="R18" s="341">
        <f t="shared" si="5"/>
        <v>96649.53625872</v>
      </c>
      <c r="S18" s="341">
        <f t="shared" si="5"/>
        <v>139509.7890734</v>
      </c>
      <c r="T18" s="341">
        <f t="shared" si="5"/>
        <v>98654.75618368</v>
      </c>
      <c r="U18" s="341">
        <f t="shared" si="5"/>
        <v>142374.6702296</v>
      </c>
      <c r="V18" s="341">
        <f t="shared" si="5"/>
        <v>100659.97610864</v>
      </c>
      <c r="W18" s="341">
        <f t="shared" si="5"/>
        <v>145239.5513858</v>
      </c>
      <c r="X18" s="341">
        <f t="shared" si="5"/>
        <v>102665.1960336</v>
      </c>
      <c r="Y18" s="341">
        <f t="shared" si="5"/>
        <v>148104.432542</v>
      </c>
      <c r="Z18" s="341">
        <f t="shared" si="5"/>
        <v>16727.1992496</v>
      </c>
    </row>
    <row r="19" ht="22.5" customHeight="1" spans="1:26">
      <c r="A19" s="342"/>
      <c r="B19" s="149" t="s">
        <v>149</v>
      </c>
      <c r="C19" s="343">
        <f t="shared" ref="C19:Z19" si="6">C11-C29-C55</f>
        <v>18696.667164</v>
      </c>
      <c r="D19" s="343">
        <f t="shared" si="6"/>
        <v>27109.6312</v>
      </c>
      <c r="E19" s="343">
        <f t="shared" si="6"/>
        <v>-9739.904985</v>
      </c>
      <c r="F19" s="343">
        <f t="shared" si="6"/>
        <v>31414.8387245</v>
      </c>
      <c r="G19" s="343">
        <f t="shared" si="6"/>
        <v>22439.1705175</v>
      </c>
      <c r="H19" s="343">
        <f t="shared" si="6"/>
        <v>31414.8387245</v>
      </c>
      <c r="I19" s="343">
        <f t="shared" si="6"/>
        <v>40390.5069315</v>
      </c>
      <c r="J19" s="343">
        <f t="shared" si="6"/>
        <v>38167.4073936</v>
      </c>
      <c r="K19" s="343">
        <f t="shared" si="6"/>
        <v>62829.677449</v>
      </c>
      <c r="L19" s="343">
        <f t="shared" si="6"/>
        <v>54070.4938076</v>
      </c>
      <c r="M19" s="343">
        <f t="shared" si="6"/>
        <v>85268.8479665</v>
      </c>
      <c r="N19" s="343">
        <f t="shared" si="6"/>
        <v>0</v>
      </c>
      <c r="O19" s="343">
        <f t="shared" si="6"/>
        <v>0</v>
      </c>
      <c r="P19" s="343">
        <f t="shared" si="6"/>
        <v>0</v>
      </c>
      <c r="Q19" s="343">
        <f t="shared" si="6"/>
        <v>0</v>
      </c>
      <c r="R19" s="343">
        <f t="shared" si="6"/>
        <v>0</v>
      </c>
      <c r="S19" s="343">
        <f t="shared" si="6"/>
        <v>0</v>
      </c>
      <c r="T19" s="343">
        <f t="shared" si="6"/>
        <v>0</v>
      </c>
      <c r="U19" s="343">
        <f t="shared" si="6"/>
        <v>0</v>
      </c>
      <c r="V19" s="343">
        <f t="shared" si="6"/>
        <v>0</v>
      </c>
      <c r="W19" s="343">
        <f t="shared" si="6"/>
        <v>0</v>
      </c>
      <c r="X19" s="343">
        <f t="shared" si="6"/>
        <v>0</v>
      </c>
      <c r="Y19" s="343">
        <f t="shared" si="6"/>
        <v>0</v>
      </c>
      <c r="Z19" s="343">
        <f t="shared" si="6"/>
        <v>0</v>
      </c>
    </row>
    <row r="20" ht="22.5" customHeight="1" spans="1:26">
      <c r="A20" s="342"/>
      <c r="B20" s="344" t="s">
        <v>150</v>
      </c>
      <c r="C20" s="345">
        <f t="shared" ref="C20:Z20" si="7">C18/C10</f>
        <v>0.564827954411837</v>
      </c>
      <c r="D20" s="345">
        <f t="shared" si="7"/>
        <v>0.133128306599521</v>
      </c>
      <c r="E20" s="345">
        <f t="shared" si="7"/>
        <v>0.353218884828462</v>
      </c>
      <c r="F20" s="345">
        <f t="shared" si="7"/>
        <v>0.359709634405869</v>
      </c>
      <c r="G20" s="345">
        <f t="shared" si="7"/>
        <v>0.438445992211007</v>
      </c>
      <c r="H20" s="345">
        <f t="shared" si="7"/>
        <v>0.46365202695498</v>
      </c>
      <c r="I20" s="345">
        <f t="shared" si="7"/>
        <v>0.474928410919389</v>
      </c>
      <c r="J20" s="345">
        <f t="shared" si="7"/>
        <v>0.400491862340525</v>
      </c>
      <c r="K20" s="345">
        <f t="shared" si="7"/>
        <v>0.487623436604546</v>
      </c>
      <c r="L20" s="345">
        <f t="shared" si="7"/>
        <v>0.423010271250975</v>
      </c>
      <c r="M20" s="345">
        <f t="shared" si="7"/>
        <v>0.494863889010628</v>
      </c>
      <c r="N20" s="345">
        <f t="shared" si="7"/>
        <v>0.436839530595257</v>
      </c>
      <c r="O20" s="345">
        <f t="shared" si="7"/>
        <v>0.504671624476206</v>
      </c>
      <c r="P20" s="345">
        <f t="shared" si="7"/>
        <v>0.437160446473064</v>
      </c>
      <c r="Q20" s="345">
        <f t="shared" si="7"/>
        <v>0.504928357178451</v>
      </c>
      <c r="R20" s="345">
        <f t="shared" si="7"/>
        <v>0.437468488934569</v>
      </c>
      <c r="S20" s="345">
        <f t="shared" si="7"/>
        <v>0.505174791147655</v>
      </c>
      <c r="T20" s="345">
        <f t="shared" si="7"/>
        <v>0.43776441736669</v>
      </c>
      <c r="U20" s="345">
        <f t="shared" si="7"/>
        <v>0.505411533893352</v>
      </c>
      <c r="V20" s="345">
        <f t="shared" si="7"/>
        <v>0.438048932581042</v>
      </c>
      <c r="W20" s="345">
        <f t="shared" si="7"/>
        <v>0.505639146064834</v>
      </c>
      <c r="X20" s="345">
        <f t="shared" si="7"/>
        <v>0.438322682354852</v>
      </c>
      <c r="Y20" s="345">
        <f t="shared" si="7"/>
        <v>0.505858145883881</v>
      </c>
      <c r="Z20" s="345">
        <f t="shared" si="7"/>
        <v>0.377483191808197</v>
      </c>
    </row>
    <row r="21" ht="22.5" customHeight="1" spans="1:26">
      <c r="A21" s="346"/>
      <c r="B21" s="344" t="s">
        <v>151</v>
      </c>
      <c r="C21" s="182">
        <f t="shared" ref="C21:Z21" si="8">C19/C11</f>
        <v>0.590699524092499</v>
      </c>
      <c r="D21" s="182">
        <f t="shared" si="8"/>
        <v>0.509615934972799</v>
      </c>
      <c r="E21" s="182">
        <f t="shared" si="8"/>
        <v>-1.98877474456042</v>
      </c>
      <c r="F21" s="182">
        <f t="shared" si="8"/>
        <v>0.567151663104514</v>
      </c>
      <c r="G21" s="182">
        <f t="shared" si="8"/>
        <v>0.567151663104514</v>
      </c>
      <c r="H21" s="182">
        <f t="shared" si="8"/>
        <v>0.567151663104514</v>
      </c>
      <c r="I21" s="182">
        <f t="shared" si="8"/>
        <v>0.567151663104514</v>
      </c>
      <c r="J21" s="182">
        <f t="shared" si="8"/>
        <v>0.502439578880642</v>
      </c>
      <c r="K21" s="182">
        <f t="shared" si="8"/>
        <v>0.567151663104514</v>
      </c>
      <c r="L21" s="182">
        <f t="shared" si="8"/>
        <v>0.502439578880642</v>
      </c>
      <c r="M21" s="182">
        <f t="shared" si="8"/>
        <v>0.567151663104514</v>
      </c>
      <c r="N21" s="182" t="e">
        <f t="shared" si="8"/>
        <v>#DIV/0!</v>
      </c>
      <c r="O21" s="182" t="e">
        <f t="shared" si="8"/>
        <v>#DIV/0!</v>
      </c>
      <c r="P21" s="182" t="e">
        <f t="shared" si="8"/>
        <v>#DIV/0!</v>
      </c>
      <c r="Q21" s="182" t="e">
        <f t="shared" si="8"/>
        <v>#DIV/0!</v>
      </c>
      <c r="R21" s="182" t="e">
        <f t="shared" si="8"/>
        <v>#DIV/0!</v>
      </c>
      <c r="S21" s="182" t="e">
        <f t="shared" si="8"/>
        <v>#DIV/0!</v>
      </c>
      <c r="T21" s="182" t="e">
        <f t="shared" si="8"/>
        <v>#DIV/0!</v>
      </c>
      <c r="U21" s="182" t="e">
        <f t="shared" si="8"/>
        <v>#DIV/0!</v>
      </c>
      <c r="V21" s="182" t="e">
        <f t="shared" si="8"/>
        <v>#DIV/0!</v>
      </c>
      <c r="W21" s="182" t="e">
        <f t="shared" si="8"/>
        <v>#DIV/0!</v>
      </c>
      <c r="X21" s="182" t="e">
        <f t="shared" si="8"/>
        <v>#DIV/0!</v>
      </c>
      <c r="Y21" s="182" t="e">
        <f t="shared" si="8"/>
        <v>#DIV/0!</v>
      </c>
      <c r="Z21" s="182" t="e">
        <f t="shared" si="8"/>
        <v>#DIV/0!</v>
      </c>
    </row>
    <row r="22" ht="22.5" customHeight="1" spans="1:26">
      <c r="A22" s="296" t="s">
        <v>152</v>
      </c>
      <c r="B22" s="347" t="s">
        <v>153</v>
      </c>
      <c r="C22" s="333">
        <v>0</v>
      </c>
      <c r="D22" s="333">
        <v>0</v>
      </c>
      <c r="E22" s="333">
        <f>15*7*$A$2</f>
        <v>997.5</v>
      </c>
      <c r="F22" s="333">
        <f>25*7*$A$2</f>
        <v>1662.5</v>
      </c>
      <c r="G22" s="333">
        <f>35*7*$A$2</f>
        <v>2327.5</v>
      </c>
      <c r="H22" s="333">
        <f>35*7*$A$2</f>
        <v>2327.5</v>
      </c>
      <c r="I22" s="333">
        <f>35*7*$A$2</f>
        <v>2327.5</v>
      </c>
      <c r="J22" s="333">
        <f t="shared" ref="J22:Z22" si="9">50*7*$A$2</f>
        <v>3325</v>
      </c>
      <c r="K22" s="333">
        <f t="shared" si="9"/>
        <v>3325</v>
      </c>
      <c r="L22" s="333">
        <f t="shared" si="9"/>
        <v>3325</v>
      </c>
      <c r="M22" s="333">
        <f t="shared" si="9"/>
        <v>3325</v>
      </c>
      <c r="N22" s="333">
        <f t="shared" si="9"/>
        <v>3325</v>
      </c>
      <c r="O22" s="333">
        <f t="shared" si="9"/>
        <v>3325</v>
      </c>
      <c r="P22" s="333">
        <f t="shared" si="9"/>
        <v>3325</v>
      </c>
      <c r="Q22" s="333">
        <f t="shared" si="9"/>
        <v>3325</v>
      </c>
      <c r="R22" s="333">
        <f t="shared" si="9"/>
        <v>3325</v>
      </c>
      <c r="S22" s="333">
        <f t="shared" si="9"/>
        <v>3325</v>
      </c>
      <c r="T22" s="333">
        <f t="shared" si="9"/>
        <v>3325</v>
      </c>
      <c r="U22" s="333">
        <f t="shared" si="9"/>
        <v>3325</v>
      </c>
      <c r="V22" s="333">
        <f t="shared" si="9"/>
        <v>3325</v>
      </c>
      <c r="W22" s="333">
        <f t="shared" si="9"/>
        <v>3325</v>
      </c>
      <c r="X22" s="333">
        <f t="shared" si="9"/>
        <v>3325</v>
      </c>
      <c r="Y22" s="333">
        <f t="shared" si="9"/>
        <v>3325</v>
      </c>
      <c r="Z22" s="333">
        <f t="shared" si="9"/>
        <v>3325</v>
      </c>
    </row>
    <row r="23" ht="22.5" customHeight="1" spans="1:26">
      <c r="A23" s="348"/>
      <c r="B23" s="347" t="s">
        <v>154</v>
      </c>
      <c r="C23" s="179">
        <v>0</v>
      </c>
      <c r="D23" s="179">
        <v>0</v>
      </c>
      <c r="E23" s="179">
        <f>104.48*A2</f>
        <v>992.56</v>
      </c>
      <c r="F23" s="179"/>
      <c r="G23" s="179"/>
      <c r="H23" s="179"/>
      <c r="I23" s="179"/>
      <c r="J23" s="179"/>
      <c r="K23" s="179"/>
      <c r="L23" s="179"/>
      <c r="M23" s="179"/>
      <c r="N23" s="179"/>
      <c r="O23" s="179"/>
      <c r="P23" s="179"/>
      <c r="Q23" s="179"/>
      <c r="R23" s="179"/>
      <c r="S23" s="179"/>
      <c r="T23" s="179"/>
      <c r="U23" s="179"/>
      <c r="V23" s="179"/>
      <c r="W23" s="179"/>
      <c r="X23" s="179"/>
      <c r="Y23" s="179"/>
      <c r="Z23" s="179"/>
    </row>
    <row r="24" ht="22.5" customHeight="1" spans="1:26">
      <c r="A24" s="348"/>
      <c r="B24" s="347" t="s">
        <v>155</v>
      </c>
      <c r="C24" s="341">
        <v>0</v>
      </c>
      <c r="D24" s="341">
        <v>0</v>
      </c>
      <c r="E24" s="341">
        <v>0</v>
      </c>
      <c r="F24" s="341">
        <v>0</v>
      </c>
      <c r="G24" s="341">
        <v>0</v>
      </c>
      <c r="H24" s="341">
        <v>0</v>
      </c>
      <c r="I24" s="341">
        <v>0</v>
      </c>
      <c r="J24" s="341">
        <v>0</v>
      </c>
      <c r="K24" s="341">
        <v>0</v>
      </c>
      <c r="L24" s="341">
        <v>0</v>
      </c>
      <c r="M24" s="341">
        <v>0</v>
      </c>
      <c r="N24" s="341">
        <v>0</v>
      </c>
      <c r="O24" s="341">
        <v>0</v>
      </c>
      <c r="P24" s="341">
        <v>0</v>
      </c>
      <c r="Q24" s="341">
        <v>0</v>
      </c>
      <c r="R24" s="341">
        <v>0</v>
      </c>
      <c r="S24" s="341">
        <v>0</v>
      </c>
      <c r="T24" s="341">
        <v>0</v>
      </c>
      <c r="U24" s="341">
        <v>0</v>
      </c>
      <c r="V24" s="341">
        <v>0</v>
      </c>
      <c r="W24" s="341">
        <v>0</v>
      </c>
      <c r="X24" s="341">
        <v>0</v>
      </c>
      <c r="Y24" s="341">
        <v>0</v>
      </c>
      <c r="Z24" s="341">
        <v>0</v>
      </c>
    </row>
    <row r="25" ht="22.5" customHeight="1" spans="1:26">
      <c r="A25" s="348"/>
      <c r="B25" s="347" t="s">
        <v>156</v>
      </c>
      <c r="C25" s="343">
        <v>0</v>
      </c>
      <c r="D25" s="179">
        <v>0</v>
      </c>
      <c r="E25" s="179">
        <v>0</v>
      </c>
      <c r="F25" s="179"/>
      <c r="G25" s="179"/>
      <c r="H25" s="179"/>
      <c r="I25" s="179"/>
      <c r="J25" s="179"/>
      <c r="K25" s="179"/>
      <c r="L25" s="179"/>
      <c r="M25" s="179"/>
      <c r="N25" s="179"/>
      <c r="O25" s="179"/>
      <c r="P25" s="179"/>
      <c r="Q25" s="179"/>
      <c r="R25" s="179"/>
      <c r="S25" s="179"/>
      <c r="T25" s="179"/>
      <c r="U25" s="179"/>
      <c r="V25" s="179"/>
      <c r="W25" s="179"/>
      <c r="X25" s="179"/>
      <c r="Y25" s="179"/>
      <c r="Z25" s="179"/>
    </row>
    <row r="26" ht="22.5" customHeight="1" spans="1:26">
      <c r="A26" s="349"/>
      <c r="B26" s="347" t="s">
        <v>157</v>
      </c>
      <c r="C26" s="341">
        <f>1*$A$2*C7+1*60+2*6*$A$2</f>
        <v>1304.41925</v>
      </c>
      <c r="D26" s="341">
        <f>7*$A$2*D7+4*120+3*60+8*6*$A$2+4*30</f>
        <v>10545.335</v>
      </c>
      <c r="E26" s="341">
        <f>4*$A$2*E7+4*60</f>
        <v>3405.1739</v>
      </c>
      <c r="F26" s="341">
        <f>2*$A$2*F7+2*60</f>
        <v>1702.58695</v>
      </c>
      <c r="G26" s="341">
        <f>1*$A$2*G7+1*60</f>
        <v>851.293475</v>
      </c>
      <c r="H26" s="341">
        <f>1*$A$2*H7+1*60</f>
        <v>851.293475</v>
      </c>
      <c r="I26" s="341">
        <f>1*$A$2*I7+1*60</f>
        <v>851.293475</v>
      </c>
      <c r="J26" s="341">
        <f>1*$A$2*J7+1*60</f>
        <v>693.03478</v>
      </c>
      <c r="K26" s="341">
        <f t="shared" ref="K26:Z26" si="10">K46*0/K12</f>
        <v>0</v>
      </c>
      <c r="L26" s="341">
        <f t="shared" si="10"/>
        <v>0</v>
      </c>
      <c r="M26" s="341">
        <f t="shared" si="10"/>
        <v>0</v>
      </c>
      <c r="N26" s="341">
        <f t="shared" si="10"/>
        <v>0</v>
      </c>
      <c r="O26" s="341">
        <f t="shared" si="10"/>
        <v>0</v>
      </c>
      <c r="P26" s="341">
        <f t="shared" si="10"/>
        <v>0</v>
      </c>
      <c r="Q26" s="341">
        <f t="shared" si="10"/>
        <v>0</v>
      </c>
      <c r="R26" s="341">
        <f t="shared" si="10"/>
        <v>0</v>
      </c>
      <c r="S26" s="341">
        <f t="shared" si="10"/>
        <v>0</v>
      </c>
      <c r="T26" s="341">
        <f t="shared" si="10"/>
        <v>0</v>
      </c>
      <c r="U26" s="341">
        <f t="shared" si="10"/>
        <v>0</v>
      </c>
      <c r="V26" s="341">
        <f t="shared" si="10"/>
        <v>0</v>
      </c>
      <c r="W26" s="341">
        <f t="shared" si="10"/>
        <v>0</v>
      </c>
      <c r="X26" s="341">
        <f t="shared" si="10"/>
        <v>0</v>
      </c>
      <c r="Y26" s="341">
        <f t="shared" si="10"/>
        <v>0</v>
      </c>
      <c r="Z26" s="341">
        <f t="shared" si="10"/>
        <v>0</v>
      </c>
    </row>
    <row r="27" ht="22.5" customHeight="1" spans="1:26">
      <c r="A27" s="349"/>
      <c r="B27" s="347" t="s">
        <v>158</v>
      </c>
      <c r="C27" s="179">
        <f>1*$A$2*C7+1*60+2*6*$A$2</f>
        <v>1304.41925</v>
      </c>
      <c r="D27" s="179">
        <f>6*$A$2*D7+4*120+2*60+2*30</f>
        <v>8639.43</v>
      </c>
      <c r="E27" s="179">
        <f>3*$A$2*E7+3*60</f>
        <v>2553.880425</v>
      </c>
      <c r="F27" s="179"/>
      <c r="G27" s="179"/>
      <c r="H27" s="179"/>
      <c r="I27" s="179"/>
      <c r="J27" s="179"/>
      <c r="K27" s="179"/>
      <c r="L27" s="179"/>
      <c r="M27" s="179"/>
      <c r="N27" s="179"/>
      <c r="O27" s="179"/>
      <c r="P27" s="179"/>
      <c r="Q27" s="179"/>
      <c r="R27" s="179"/>
      <c r="S27" s="179"/>
      <c r="T27" s="179"/>
      <c r="U27" s="179"/>
      <c r="V27" s="179"/>
      <c r="W27" s="179"/>
      <c r="X27" s="179"/>
      <c r="Y27" s="179"/>
      <c r="Z27" s="179"/>
    </row>
    <row r="28" ht="22.5" customHeight="1" spans="1:26">
      <c r="A28" s="349"/>
      <c r="B28" s="350" t="s">
        <v>159</v>
      </c>
      <c r="C28" s="333">
        <f t="shared" ref="C28:Z28" si="11">C22+C24+C26</f>
        <v>1304.41925</v>
      </c>
      <c r="D28" s="333">
        <f t="shared" si="11"/>
        <v>10545.335</v>
      </c>
      <c r="E28" s="333">
        <f t="shared" si="11"/>
        <v>4402.6739</v>
      </c>
      <c r="F28" s="333">
        <f t="shared" si="11"/>
        <v>3365.08695</v>
      </c>
      <c r="G28" s="333">
        <f t="shared" si="11"/>
        <v>3178.793475</v>
      </c>
      <c r="H28" s="333">
        <f t="shared" si="11"/>
        <v>3178.793475</v>
      </c>
      <c r="I28" s="333">
        <f t="shared" si="11"/>
        <v>3178.793475</v>
      </c>
      <c r="J28" s="333">
        <f t="shared" si="11"/>
        <v>4018.03478</v>
      </c>
      <c r="K28" s="333">
        <f t="shared" si="11"/>
        <v>3325</v>
      </c>
      <c r="L28" s="333">
        <f t="shared" si="11"/>
        <v>3325</v>
      </c>
      <c r="M28" s="333">
        <f t="shared" si="11"/>
        <v>3325</v>
      </c>
      <c r="N28" s="333">
        <f t="shared" si="11"/>
        <v>3325</v>
      </c>
      <c r="O28" s="333">
        <f t="shared" si="11"/>
        <v>3325</v>
      </c>
      <c r="P28" s="333">
        <f t="shared" si="11"/>
        <v>3325</v>
      </c>
      <c r="Q28" s="333">
        <f t="shared" si="11"/>
        <v>3325</v>
      </c>
      <c r="R28" s="333">
        <f t="shared" si="11"/>
        <v>3325</v>
      </c>
      <c r="S28" s="333">
        <f t="shared" si="11"/>
        <v>3325</v>
      </c>
      <c r="T28" s="333">
        <f t="shared" si="11"/>
        <v>3325</v>
      </c>
      <c r="U28" s="333">
        <f t="shared" si="11"/>
        <v>3325</v>
      </c>
      <c r="V28" s="333">
        <f t="shared" si="11"/>
        <v>3325</v>
      </c>
      <c r="W28" s="333">
        <f t="shared" si="11"/>
        <v>3325</v>
      </c>
      <c r="X28" s="333">
        <f t="shared" si="11"/>
        <v>3325</v>
      </c>
      <c r="Y28" s="333">
        <f t="shared" si="11"/>
        <v>3325</v>
      </c>
      <c r="Z28" s="333">
        <f t="shared" si="11"/>
        <v>3325</v>
      </c>
    </row>
    <row r="29" ht="22.5" customHeight="1" spans="1:26">
      <c r="A29" s="349"/>
      <c r="B29" s="350" t="s">
        <v>160</v>
      </c>
      <c r="C29" s="331">
        <f t="shared" ref="C29:Z29" si="12">C23+C25+C27</f>
        <v>1304.41925</v>
      </c>
      <c r="D29" s="331">
        <f t="shared" si="12"/>
        <v>8639.43</v>
      </c>
      <c r="E29" s="331">
        <f t="shared" si="12"/>
        <v>3546.440425</v>
      </c>
      <c r="F29" s="331">
        <f t="shared" si="12"/>
        <v>0</v>
      </c>
      <c r="G29" s="331">
        <f t="shared" si="12"/>
        <v>0</v>
      </c>
      <c r="H29" s="331">
        <f t="shared" si="12"/>
        <v>0</v>
      </c>
      <c r="I29" s="331">
        <f t="shared" si="12"/>
        <v>0</v>
      </c>
      <c r="J29" s="331">
        <f t="shared" si="12"/>
        <v>0</v>
      </c>
      <c r="K29" s="331">
        <f t="shared" si="12"/>
        <v>0</v>
      </c>
      <c r="L29" s="331">
        <f t="shared" si="12"/>
        <v>0</v>
      </c>
      <c r="M29" s="331">
        <f t="shared" si="12"/>
        <v>0</v>
      </c>
      <c r="N29" s="331">
        <f t="shared" si="12"/>
        <v>0</v>
      </c>
      <c r="O29" s="331">
        <f t="shared" si="12"/>
        <v>0</v>
      </c>
      <c r="P29" s="331">
        <f t="shared" si="12"/>
        <v>0</v>
      </c>
      <c r="Q29" s="331">
        <f t="shared" si="12"/>
        <v>0</v>
      </c>
      <c r="R29" s="331">
        <f t="shared" si="12"/>
        <v>0</v>
      </c>
      <c r="S29" s="331">
        <f t="shared" si="12"/>
        <v>0</v>
      </c>
      <c r="T29" s="331">
        <f t="shared" si="12"/>
        <v>0</v>
      </c>
      <c r="U29" s="331">
        <f t="shared" si="12"/>
        <v>0</v>
      </c>
      <c r="V29" s="331">
        <f t="shared" si="12"/>
        <v>0</v>
      </c>
      <c r="W29" s="331">
        <f t="shared" si="12"/>
        <v>0</v>
      </c>
      <c r="X29" s="331">
        <f t="shared" si="12"/>
        <v>0</v>
      </c>
      <c r="Y29" s="331">
        <f t="shared" si="12"/>
        <v>0</v>
      </c>
      <c r="Z29" s="331">
        <f t="shared" si="12"/>
        <v>0</v>
      </c>
    </row>
    <row r="30" ht="22.5" customHeight="1" spans="1:26">
      <c r="A30" s="296" t="s">
        <v>161</v>
      </c>
      <c r="B30" s="351" t="s">
        <v>162</v>
      </c>
      <c r="C30" s="352">
        <f t="shared" ref="C30:Z30" si="13">C22/C10</f>
        <v>0</v>
      </c>
      <c r="D30" s="352">
        <f t="shared" si="13"/>
        <v>0</v>
      </c>
      <c r="E30" s="352">
        <f t="shared" si="13"/>
        <v>0.0484843940048724</v>
      </c>
      <c r="F30" s="352">
        <f t="shared" si="13"/>
        <v>0.0778144595139927</v>
      </c>
      <c r="G30" s="352">
        <f t="shared" si="13"/>
        <v>0.0576742464633122</v>
      </c>
      <c r="H30" s="352">
        <f t="shared" si="13"/>
        <v>0.0392184875950523</v>
      </c>
      <c r="I30" s="352">
        <f t="shared" si="13"/>
        <v>0.0309619638908308</v>
      </c>
      <c r="J30" s="352">
        <f t="shared" si="13"/>
        <v>0.0430530821081517</v>
      </c>
      <c r="K30" s="352">
        <f t="shared" si="13"/>
        <v>0.0295914141813775</v>
      </c>
      <c r="L30" s="352">
        <f t="shared" si="13"/>
        <v>0.0295082922314298</v>
      </c>
      <c r="M30" s="352">
        <f t="shared" si="13"/>
        <v>0.0223509617752958</v>
      </c>
      <c r="N30" s="352">
        <f t="shared" si="13"/>
        <v>0.0156790328871478</v>
      </c>
      <c r="O30" s="352">
        <f t="shared" si="13"/>
        <v>0.0125432263097182</v>
      </c>
      <c r="P30" s="352">
        <f t="shared" si="13"/>
        <v>0.0153581170093407</v>
      </c>
      <c r="Q30" s="352">
        <f t="shared" si="13"/>
        <v>0.0122864936074725</v>
      </c>
      <c r="R30" s="352">
        <f t="shared" si="13"/>
        <v>0.0150500745478353</v>
      </c>
      <c r="S30" s="352">
        <f t="shared" si="13"/>
        <v>0.0120400596382682</v>
      </c>
      <c r="T30" s="352">
        <f t="shared" si="13"/>
        <v>0.0147541461157149</v>
      </c>
      <c r="U30" s="352">
        <f t="shared" si="13"/>
        <v>0.0118033168925719</v>
      </c>
      <c r="V30" s="352">
        <f t="shared" si="13"/>
        <v>0.0144696309013623</v>
      </c>
      <c r="W30" s="352">
        <f t="shared" si="13"/>
        <v>0.0115757047210898</v>
      </c>
      <c r="X30" s="352">
        <f t="shared" si="13"/>
        <v>0.0141958811275527</v>
      </c>
      <c r="Y30" s="352">
        <f t="shared" si="13"/>
        <v>0.0113567049020422</v>
      </c>
      <c r="Z30" s="352">
        <f t="shared" si="13"/>
        <v>0.0750353716742072</v>
      </c>
    </row>
    <row r="31" ht="22.5" customHeight="1" spans="1:26">
      <c r="A31" s="348"/>
      <c r="B31" s="351" t="s">
        <v>163</v>
      </c>
      <c r="C31" s="352">
        <f t="shared" ref="C31:Z31" si="14">C23/C11</f>
        <v>0</v>
      </c>
      <c r="D31" s="352">
        <f t="shared" si="14"/>
        <v>0</v>
      </c>
      <c r="E31" s="352">
        <f t="shared" si="14"/>
        <v>0.202669149596524</v>
      </c>
      <c r="F31" s="352">
        <f t="shared" si="14"/>
        <v>0</v>
      </c>
      <c r="G31" s="352">
        <f t="shared" si="14"/>
        <v>0</v>
      </c>
      <c r="H31" s="352">
        <f t="shared" si="14"/>
        <v>0</v>
      </c>
      <c r="I31" s="352">
        <f t="shared" si="14"/>
        <v>0</v>
      </c>
      <c r="J31" s="352">
        <f t="shared" si="14"/>
        <v>0</v>
      </c>
      <c r="K31" s="352">
        <f t="shared" si="14"/>
        <v>0</v>
      </c>
      <c r="L31" s="352">
        <f t="shared" si="14"/>
        <v>0</v>
      </c>
      <c r="M31" s="352">
        <f t="shared" si="14"/>
        <v>0</v>
      </c>
      <c r="N31" s="352" t="e">
        <f t="shared" si="14"/>
        <v>#DIV/0!</v>
      </c>
      <c r="O31" s="352" t="e">
        <f t="shared" si="14"/>
        <v>#DIV/0!</v>
      </c>
      <c r="P31" s="352" t="e">
        <f t="shared" si="14"/>
        <v>#DIV/0!</v>
      </c>
      <c r="Q31" s="352" t="e">
        <f t="shared" si="14"/>
        <v>#DIV/0!</v>
      </c>
      <c r="R31" s="352" t="e">
        <f t="shared" si="14"/>
        <v>#DIV/0!</v>
      </c>
      <c r="S31" s="352" t="e">
        <f t="shared" si="14"/>
        <v>#DIV/0!</v>
      </c>
      <c r="T31" s="352" t="e">
        <f t="shared" si="14"/>
        <v>#DIV/0!</v>
      </c>
      <c r="U31" s="352" t="e">
        <f t="shared" si="14"/>
        <v>#DIV/0!</v>
      </c>
      <c r="V31" s="352" t="e">
        <f t="shared" si="14"/>
        <v>#DIV/0!</v>
      </c>
      <c r="W31" s="352" t="e">
        <f t="shared" si="14"/>
        <v>#DIV/0!</v>
      </c>
      <c r="X31" s="352" t="e">
        <f t="shared" si="14"/>
        <v>#DIV/0!</v>
      </c>
      <c r="Y31" s="352" t="e">
        <f t="shared" si="14"/>
        <v>#DIV/0!</v>
      </c>
      <c r="Z31" s="352" t="e">
        <f t="shared" si="14"/>
        <v>#DIV/0!</v>
      </c>
    </row>
    <row r="32" ht="22.5" customHeight="1" spans="1:26">
      <c r="A32" s="348"/>
      <c r="B32" s="351" t="s">
        <v>164</v>
      </c>
      <c r="C32" s="352">
        <f t="shared" ref="C32:Z32" si="15">C24/C11</f>
        <v>0</v>
      </c>
      <c r="D32" s="352">
        <f t="shared" si="15"/>
        <v>0</v>
      </c>
      <c r="E32" s="352">
        <f t="shared" si="15"/>
        <v>0</v>
      </c>
      <c r="F32" s="352">
        <f t="shared" si="15"/>
        <v>0</v>
      </c>
      <c r="G32" s="352">
        <f t="shared" si="15"/>
        <v>0</v>
      </c>
      <c r="H32" s="352">
        <f t="shared" si="15"/>
        <v>0</v>
      </c>
      <c r="I32" s="352">
        <f t="shared" si="15"/>
        <v>0</v>
      </c>
      <c r="J32" s="352">
        <f t="shared" si="15"/>
        <v>0</v>
      </c>
      <c r="K32" s="352">
        <f t="shared" si="15"/>
        <v>0</v>
      </c>
      <c r="L32" s="352">
        <f t="shared" si="15"/>
        <v>0</v>
      </c>
      <c r="M32" s="352">
        <f t="shared" si="15"/>
        <v>0</v>
      </c>
      <c r="N32" s="352" t="e">
        <f t="shared" si="15"/>
        <v>#DIV/0!</v>
      </c>
      <c r="O32" s="352" t="e">
        <f t="shared" si="15"/>
        <v>#DIV/0!</v>
      </c>
      <c r="P32" s="352" t="e">
        <f t="shared" si="15"/>
        <v>#DIV/0!</v>
      </c>
      <c r="Q32" s="352" t="e">
        <f t="shared" si="15"/>
        <v>#DIV/0!</v>
      </c>
      <c r="R32" s="352" t="e">
        <f t="shared" si="15"/>
        <v>#DIV/0!</v>
      </c>
      <c r="S32" s="352" t="e">
        <f t="shared" si="15"/>
        <v>#DIV/0!</v>
      </c>
      <c r="T32" s="352" t="e">
        <f t="shared" si="15"/>
        <v>#DIV/0!</v>
      </c>
      <c r="U32" s="352" t="e">
        <f t="shared" si="15"/>
        <v>#DIV/0!</v>
      </c>
      <c r="V32" s="352" t="e">
        <f t="shared" si="15"/>
        <v>#DIV/0!</v>
      </c>
      <c r="W32" s="352" t="e">
        <f t="shared" si="15"/>
        <v>#DIV/0!</v>
      </c>
      <c r="X32" s="352" t="e">
        <f t="shared" si="15"/>
        <v>#DIV/0!</v>
      </c>
      <c r="Y32" s="352" t="e">
        <f t="shared" si="15"/>
        <v>#DIV/0!</v>
      </c>
      <c r="Z32" s="352" t="e">
        <f t="shared" si="15"/>
        <v>#DIV/0!</v>
      </c>
    </row>
    <row r="33" ht="22.5" customHeight="1" spans="1:27">
      <c r="A33" s="348"/>
      <c r="B33" s="351" t="s">
        <v>165</v>
      </c>
      <c r="C33" s="352">
        <f t="shared" ref="C33:Z33" si="16">C25/C11</f>
        <v>0</v>
      </c>
      <c r="D33" s="352">
        <f t="shared" si="16"/>
        <v>0</v>
      </c>
      <c r="E33" s="352">
        <f t="shared" si="16"/>
        <v>0</v>
      </c>
      <c r="F33" s="352">
        <f t="shared" si="16"/>
        <v>0</v>
      </c>
      <c r="G33" s="352">
        <f t="shared" si="16"/>
        <v>0</v>
      </c>
      <c r="H33" s="352">
        <f t="shared" si="16"/>
        <v>0</v>
      </c>
      <c r="I33" s="352">
        <f t="shared" si="16"/>
        <v>0</v>
      </c>
      <c r="J33" s="352">
        <f t="shared" si="16"/>
        <v>0</v>
      </c>
      <c r="K33" s="352">
        <f t="shared" si="16"/>
        <v>0</v>
      </c>
      <c r="L33" s="352">
        <f t="shared" si="16"/>
        <v>0</v>
      </c>
      <c r="M33" s="352">
        <f t="shared" si="16"/>
        <v>0</v>
      </c>
      <c r="N33" s="352" t="e">
        <f t="shared" si="16"/>
        <v>#DIV/0!</v>
      </c>
      <c r="O33" s="352" t="e">
        <f t="shared" si="16"/>
        <v>#DIV/0!</v>
      </c>
      <c r="P33" s="352" t="e">
        <f t="shared" si="16"/>
        <v>#DIV/0!</v>
      </c>
      <c r="Q33" s="352" t="e">
        <f t="shared" si="16"/>
        <v>#DIV/0!</v>
      </c>
      <c r="R33" s="352" t="e">
        <f t="shared" si="16"/>
        <v>#DIV/0!</v>
      </c>
      <c r="S33" s="352" t="e">
        <f t="shared" si="16"/>
        <v>#DIV/0!</v>
      </c>
      <c r="T33" s="352" t="e">
        <f t="shared" si="16"/>
        <v>#DIV/0!</v>
      </c>
      <c r="U33" s="352" t="e">
        <f t="shared" si="16"/>
        <v>#DIV/0!</v>
      </c>
      <c r="V33" s="352" t="e">
        <f t="shared" si="16"/>
        <v>#DIV/0!</v>
      </c>
      <c r="W33" s="352" t="e">
        <f t="shared" si="16"/>
        <v>#DIV/0!</v>
      </c>
      <c r="X33" s="352" t="e">
        <f t="shared" si="16"/>
        <v>#DIV/0!</v>
      </c>
      <c r="Y33" s="352" t="e">
        <f t="shared" si="16"/>
        <v>#DIV/0!</v>
      </c>
      <c r="Z33" s="352" t="e">
        <f t="shared" si="16"/>
        <v>#DIV/0!</v>
      </c>
    </row>
    <row r="34" ht="22.5" customHeight="1" spans="1:27">
      <c r="A34" s="349"/>
      <c r="B34" s="351" t="s">
        <v>166</v>
      </c>
      <c r="C34" s="352">
        <f t="shared" ref="C34:Z34" si="17">C26/C10</f>
        <v>0.0607329048376008</v>
      </c>
      <c r="D34" s="352">
        <f t="shared" si="17"/>
        <v>0.466434687838163</v>
      </c>
      <c r="E34" s="352">
        <f t="shared" si="17"/>
        <v>0.165511571952589</v>
      </c>
      <c r="F34" s="352">
        <f t="shared" si="17"/>
        <v>0.0796907568660615</v>
      </c>
      <c r="G34" s="352">
        <f t="shared" si="17"/>
        <v>0.0210946121116045</v>
      </c>
      <c r="H34" s="352">
        <f t="shared" si="17"/>
        <v>0.0143443362358911</v>
      </c>
      <c r="I34" s="352">
        <f t="shared" si="17"/>
        <v>0.0113244759757035</v>
      </c>
      <c r="J34" s="352">
        <f t="shared" si="17"/>
        <v>0.00897361903372777</v>
      </c>
      <c r="K34" s="352">
        <f t="shared" si="17"/>
        <v>0</v>
      </c>
      <c r="L34" s="352">
        <f t="shared" si="17"/>
        <v>0</v>
      </c>
      <c r="M34" s="352">
        <f t="shared" si="17"/>
        <v>0</v>
      </c>
      <c r="N34" s="352">
        <f t="shared" si="17"/>
        <v>0</v>
      </c>
      <c r="O34" s="352">
        <f t="shared" si="17"/>
        <v>0</v>
      </c>
      <c r="P34" s="352">
        <f t="shared" si="17"/>
        <v>0</v>
      </c>
      <c r="Q34" s="352">
        <f t="shared" si="17"/>
        <v>0</v>
      </c>
      <c r="R34" s="352">
        <f t="shared" si="17"/>
        <v>0</v>
      </c>
      <c r="S34" s="352">
        <f t="shared" si="17"/>
        <v>0</v>
      </c>
      <c r="T34" s="352">
        <f t="shared" si="17"/>
        <v>0</v>
      </c>
      <c r="U34" s="352">
        <f t="shared" si="17"/>
        <v>0</v>
      </c>
      <c r="V34" s="352">
        <f t="shared" si="17"/>
        <v>0</v>
      </c>
      <c r="W34" s="352">
        <f t="shared" si="17"/>
        <v>0</v>
      </c>
      <c r="X34" s="352">
        <f t="shared" si="17"/>
        <v>0</v>
      </c>
      <c r="Y34" s="352">
        <f t="shared" si="17"/>
        <v>0</v>
      </c>
      <c r="Z34" s="352">
        <f t="shared" si="17"/>
        <v>0</v>
      </c>
    </row>
    <row r="35" ht="22.5" customHeight="1" spans="1:27">
      <c r="A35" s="349"/>
      <c r="B35" s="351" t="s">
        <v>167</v>
      </c>
      <c r="C35" s="352">
        <f t="shared" ref="C35:Z35" si="18">C27/C11</f>
        <v>0.0412116139969434</v>
      </c>
      <c r="D35" s="352">
        <f t="shared" si="18"/>
        <v>0.162406901244826</v>
      </c>
      <c r="E35" s="352">
        <f t="shared" si="18"/>
        <v>0.52147252952563</v>
      </c>
      <c r="F35" s="352">
        <f t="shared" si="18"/>
        <v>0</v>
      </c>
      <c r="G35" s="352">
        <f t="shared" si="18"/>
        <v>0</v>
      </c>
      <c r="H35" s="352">
        <f t="shared" si="18"/>
        <v>0</v>
      </c>
      <c r="I35" s="352">
        <f t="shared" si="18"/>
        <v>0</v>
      </c>
      <c r="J35" s="352">
        <f t="shared" si="18"/>
        <v>0</v>
      </c>
      <c r="K35" s="352">
        <f t="shared" si="18"/>
        <v>0</v>
      </c>
      <c r="L35" s="352">
        <f t="shared" si="18"/>
        <v>0</v>
      </c>
      <c r="M35" s="352">
        <f t="shared" si="18"/>
        <v>0</v>
      </c>
      <c r="N35" s="352" t="e">
        <f t="shared" si="18"/>
        <v>#DIV/0!</v>
      </c>
      <c r="O35" s="352" t="e">
        <f t="shared" si="18"/>
        <v>#DIV/0!</v>
      </c>
      <c r="P35" s="352" t="e">
        <f t="shared" si="18"/>
        <v>#DIV/0!</v>
      </c>
      <c r="Q35" s="352" t="e">
        <f t="shared" si="18"/>
        <v>#DIV/0!</v>
      </c>
      <c r="R35" s="352" t="e">
        <f t="shared" si="18"/>
        <v>#DIV/0!</v>
      </c>
      <c r="S35" s="352" t="e">
        <f t="shared" si="18"/>
        <v>#DIV/0!</v>
      </c>
      <c r="T35" s="352" t="e">
        <f t="shared" si="18"/>
        <v>#DIV/0!</v>
      </c>
      <c r="U35" s="352" t="e">
        <f t="shared" si="18"/>
        <v>#DIV/0!</v>
      </c>
      <c r="V35" s="352" t="e">
        <f t="shared" si="18"/>
        <v>#DIV/0!</v>
      </c>
      <c r="W35" s="352" t="e">
        <f t="shared" si="18"/>
        <v>#DIV/0!</v>
      </c>
      <c r="X35" s="352" t="e">
        <f t="shared" si="18"/>
        <v>#DIV/0!</v>
      </c>
      <c r="Y35" s="352" t="e">
        <f t="shared" si="18"/>
        <v>#DIV/0!</v>
      </c>
      <c r="Z35" s="352" t="e">
        <f t="shared" si="18"/>
        <v>#DIV/0!</v>
      </c>
    </row>
    <row r="36" ht="22.5" customHeight="1" spans="1:27">
      <c r="A36" s="349"/>
      <c r="B36" s="351" t="s">
        <v>168</v>
      </c>
      <c r="C36" s="352">
        <f t="shared" ref="C36:Z36" si="19">C28/C10</f>
        <v>0.0607329048376008</v>
      </c>
      <c r="D36" s="352">
        <f t="shared" si="19"/>
        <v>0.466434687838163</v>
      </c>
      <c r="E36" s="352">
        <f t="shared" si="19"/>
        <v>0.213995965957462</v>
      </c>
      <c r="F36" s="352">
        <f t="shared" si="19"/>
        <v>0.157505216380054</v>
      </c>
      <c r="G36" s="352">
        <f t="shared" si="19"/>
        <v>0.0787688585749167</v>
      </c>
      <c r="H36" s="352">
        <f t="shared" si="19"/>
        <v>0.0535628238309434</v>
      </c>
      <c r="I36" s="352">
        <f t="shared" si="19"/>
        <v>0.0422864398665342</v>
      </c>
      <c r="J36" s="352">
        <f t="shared" si="19"/>
        <v>0.0520267011418795</v>
      </c>
      <c r="K36" s="352">
        <f t="shared" si="19"/>
        <v>0.0295914141813775</v>
      </c>
      <c r="L36" s="352">
        <f t="shared" si="19"/>
        <v>0.0295082922314298</v>
      </c>
      <c r="M36" s="352">
        <f t="shared" si="19"/>
        <v>0.0223509617752958</v>
      </c>
      <c r="N36" s="352">
        <f t="shared" si="19"/>
        <v>0.0156790328871478</v>
      </c>
      <c r="O36" s="352">
        <f t="shared" si="19"/>
        <v>0.0125432263097182</v>
      </c>
      <c r="P36" s="352">
        <f t="shared" si="19"/>
        <v>0.0153581170093407</v>
      </c>
      <c r="Q36" s="352">
        <f t="shared" si="19"/>
        <v>0.0122864936074725</v>
      </c>
      <c r="R36" s="352">
        <f t="shared" si="19"/>
        <v>0.0150500745478353</v>
      </c>
      <c r="S36" s="352">
        <f t="shared" si="19"/>
        <v>0.0120400596382682</v>
      </c>
      <c r="T36" s="352">
        <f t="shared" si="19"/>
        <v>0.0147541461157149</v>
      </c>
      <c r="U36" s="352">
        <f t="shared" si="19"/>
        <v>0.0118033168925719</v>
      </c>
      <c r="V36" s="352">
        <f t="shared" si="19"/>
        <v>0.0144696309013623</v>
      </c>
      <c r="W36" s="352">
        <f t="shared" si="19"/>
        <v>0.0115757047210898</v>
      </c>
      <c r="X36" s="352">
        <f t="shared" si="19"/>
        <v>0.0141958811275527</v>
      </c>
      <c r="Y36" s="352">
        <f t="shared" si="19"/>
        <v>0.0113567049020422</v>
      </c>
      <c r="Z36" s="352">
        <f t="shared" si="19"/>
        <v>0.0750353716742072</v>
      </c>
    </row>
    <row r="37" ht="22.5" customHeight="1" spans="1:27">
      <c r="A37" s="349"/>
      <c r="B37" s="351" t="s">
        <v>169</v>
      </c>
      <c r="C37" s="352">
        <f t="shared" ref="C37:Z37" si="20">C29/C11</f>
        <v>0.0412116139969434</v>
      </c>
      <c r="D37" s="352">
        <f t="shared" si="20"/>
        <v>0.162406901244826</v>
      </c>
      <c r="E37" s="352">
        <f t="shared" si="20"/>
        <v>0.724141679122154</v>
      </c>
      <c r="F37" s="352">
        <f t="shared" si="20"/>
        <v>0</v>
      </c>
      <c r="G37" s="352">
        <f t="shared" si="20"/>
        <v>0</v>
      </c>
      <c r="H37" s="352">
        <f t="shared" si="20"/>
        <v>0</v>
      </c>
      <c r="I37" s="352">
        <f t="shared" si="20"/>
        <v>0</v>
      </c>
      <c r="J37" s="352">
        <f t="shared" si="20"/>
        <v>0</v>
      </c>
      <c r="K37" s="352">
        <f t="shared" si="20"/>
        <v>0</v>
      </c>
      <c r="L37" s="352">
        <f t="shared" si="20"/>
        <v>0</v>
      </c>
      <c r="M37" s="352">
        <f t="shared" si="20"/>
        <v>0</v>
      </c>
      <c r="N37" s="352" t="e">
        <f t="shared" si="20"/>
        <v>#DIV/0!</v>
      </c>
      <c r="O37" s="352" t="e">
        <f t="shared" si="20"/>
        <v>#DIV/0!</v>
      </c>
      <c r="P37" s="352" t="e">
        <f t="shared" si="20"/>
        <v>#DIV/0!</v>
      </c>
      <c r="Q37" s="352" t="e">
        <f t="shared" si="20"/>
        <v>#DIV/0!</v>
      </c>
      <c r="R37" s="352" t="e">
        <f t="shared" si="20"/>
        <v>#DIV/0!</v>
      </c>
      <c r="S37" s="352" t="e">
        <f t="shared" si="20"/>
        <v>#DIV/0!</v>
      </c>
      <c r="T37" s="352" t="e">
        <f t="shared" si="20"/>
        <v>#DIV/0!</v>
      </c>
      <c r="U37" s="352" t="e">
        <f t="shared" si="20"/>
        <v>#DIV/0!</v>
      </c>
      <c r="V37" s="352" t="e">
        <f t="shared" si="20"/>
        <v>#DIV/0!</v>
      </c>
      <c r="W37" s="352" t="e">
        <f t="shared" si="20"/>
        <v>#DIV/0!</v>
      </c>
      <c r="X37" s="352" t="e">
        <f t="shared" si="20"/>
        <v>#DIV/0!</v>
      </c>
      <c r="Y37" s="352" t="e">
        <f t="shared" si="20"/>
        <v>#DIV/0!</v>
      </c>
      <c r="Z37" s="352" t="e">
        <f t="shared" si="20"/>
        <v>#DIV/0!</v>
      </c>
    </row>
    <row r="38" ht="22.5" customHeight="1" spans="1:27">
      <c r="A38" s="353" t="s">
        <v>170</v>
      </c>
      <c r="B38" s="351" t="s">
        <v>171</v>
      </c>
      <c r="C38" s="354">
        <f t="shared" ref="C38:Z38" si="21">C12*122.57</f>
        <v>2573.97</v>
      </c>
      <c r="D38" s="354">
        <f t="shared" si="21"/>
        <v>3064.25</v>
      </c>
      <c r="E38" s="354">
        <f t="shared" si="21"/>
        <v>3186.82</v>
      </c>
      <c r="F38" s="354">
        <f t="shared" si="21"/>
        <v>3309.39</v>
      </c>
      <c r="G38" s="354">
        <f t="shared" si="21"/>
        <v>6251.07</v>
      </c>
      <c r="H38" s="354">
        <f t="shared" si="21"/>
        <v>9192.75</v>
      </c>
      <c r="I38" s="354">
        <f t="shared" si="21"/>
        <v>11644.15</v>
      </c>
      <c r="J38" s="354">
        <f t="shared" si="21"/>
        <v>14953.54</v>
      </c>
      <c r="K38" s="354">
        <f t="shared" si="21"/>
        <v>17404.94</v>
      </c>
      <c r="L38" s="354">
        <f t="shared" si="21"/>
        <v>21817.46</v>
      </c>
      <c r="M38" s="354">
        <f t="shared" si="21"/>
        <v>23043.16</v>
      </c>
      <c r="N38" s="354">
        <f t="shared" si="21"/>
        <v>41060.95</v>
      </c>
      <c r="O38" s="354">
        <f t="shared" si="21"/>
        <v>41060.95</v>
      </c>
      <c r="P38" s="354">
        <f t="shared" si="21"/>
        <v>41918.94</v>
      </c>
      <c r="Q38" s="354">
        <f t="shared" si="21"/>
        <v>41918.94</v>
      </c>
      <c r="R38" s="354">
        <f t="shared" si="21"/>
        <v>42776.93</v>
      </c>
      <c r="S38" s="354">
        <f t="shared" si="21"/>
        <v>42776.93</v>
      </c>
      <c r="T38" s="354">
        <f t="shared" si="21"/>
        <v>43634.92</v>
      </c>
      <c r="U38" s="354">
        <f t="shared" si="21"/>
        <v>43634.92</v>
      </c>
      <c r="V38" s="354">
        <f t="shared" si="21"/>
        <v>44492.91</v>
      </c>
      <c r="W38" s="354">
        <f t="shared" si="21"/>
        <v>44492.91</v>
      </c>
      <c r="X38" s="354">
        <f t="shared" si="21"/>
        <v>45350.9</v>
      </c>
      <c r="Y38" s="354">
        <f t="shared" si="21"/>
        <v>45350.9</v>
      </c>
      <c r="Z38" s="354">
        <f t="shared" si="21"/>
        <v>8579.9</v>
      </c>
      <c r="AA38" s="355"/>
    </row>
    <row r="39" ht="22.5" customHeight="1" spans="1:27">
      <c r="A39" s="353"/>
      <c r="B39" s="351" t="s">
        <v>172</v>
      </c>
      <c r="C39" s="354">
        <f t="shared" ref="C39:Z39" si="22">C12*32.9</f>
        <v>690.9</v>
      </c>
      <c r="D39" s="354">
        <f t="shared" si="22"/>
        <v>822.5</v>
      </c>
      <c r="E39" s="354">
        <f t="shared" si="22"/>
        <v>855.4</v>
      </c>
      <c r="F39" s="354">
        <f t="shared" si="22"/>
        <v>888.3</v>
      </c>
      <c r="G39" s="354">
        <f t="shared" si="22"/>
        <v>1677.9</v>
      </c>
      <c r="H39" s="354">
        <f t="shared" si="22"/>
        <v>2467.5</v>
      </c>
      <c r="I39" s="354">
        <f t="shared" si="22"/>
        <v>3125.5</v>
      </c>
      <c r="J39" s="354">
        <f t="shared" si="22"/>
        <v>4013.8</v>
      </c>
      <c r="K39" s="354">
        <f t="shared" si="22"/>
        <v>4671.8</v>
      </c>
      <c r="L39" s="354">
        <f t="shared" si="22"/>
        <v>5856.2</v>
      </c>
      <c r="M39" s="354">
        <f t="shared" si="22"/>
        <v>6185.2</v>
      </c>
      <c r="N39" s="354">
        <f t="shared" si="22"/>
        <v>11021.5</v>
      </c>
      <c r="O39" s="354">
        <f t="shared" si="22"/>
        <v>11021.5</v>
      </c>
      <c r="P39" s="354">
        <f t="shared" si="22"/>
        <v>11251.8</v>
      </c>
      <c r="Q39" s="354">
        <f t="shared" si="22"/>
        <v>11251.8</v>
      </c>
      <c r="R39" s="354">
        <f t="shared" si="22"/>
        <v>11482.1</v>
      </c>
      <c r="S39" s="354">
        <f t="shared" si="22"/>
        <v>11482.1</v>
      </c>
      <c r="T39" s="354">
        <f t="shared" si="22"/>
        <v>11712.4</v>
      </c>
      <c r="U39" s="354">
        <f t="shared" si="22"/>
        <v>11712.4</v>
      </c>
      <c r="V39" s="354">
        <f t="shared" si="22"/>
        <v>11942.7</v>
      </c>
      <c r="W39" s="354">
        <f t="shared" si="22"/>
        <v>11942.7</v>
      </c>
      <c r="X39" s="354">
        <f t="shared" si="22"/>
        <v>12173</v>
      </c>
      <c r="Y39" s="354">
        <f t="shared" si="22"/>
        <v>12173</v>
      </c>
      <c r="Z39" s="354">
        <f t="shared" si="22"/>
        <v>2303</v>
      </c>
      <c r="AA39" s="355"/>
    </row>
    <row r="40" ht="22.5" customHeight="1" spans="1:27">
      <c r="A40" s="353"/>
      <c r="B40" s="356" t="s">
        <v>173</v>
      </c>
      <c r="C40" s="333">
        <v>0</v>
      </c>
      <c r="D40" s="333">
        <v>0</v>
      </c>
      <c r="E40" s="333">
        <v>0</v>
      </c>
      <c r="F40" s="333">
        <v>0</v>
      </c>
      <c r="G40" s="333">
        <v>0</v>
      </c>
      <c r="H40" s="333">
        <v>0</v>
      </c>
      <c r="I40" s="333">
        <v>0</v>
      </c>
      <c r="J40" s="333">
        <v>0</v>
      </c>
      <c r="K40" s="333">
        <v>0</v>
      </c>
      <c r="L40" s="333">
        <v>0</v>
      </c>
      <c r="M40" s="333">
        <v>0</v>
      </c>
      <c r="N40" s="333">
        <v>0</v>
      </c>
      <c r="O40" s="333">
        <v>0</v>
      </c>
      <c r="P40" s="333">
        <v>0</v>
      </c>
      <c r="Q40" s="333">
        <v>0</v>
      </c>
      <c r="R40" s="333">
        <v>0</v>
      </c>
      <c r="S40" s="333">
        <v>0</v>
      </c>
      <c r="T40" s="333">
        <v>0</v>
      </c>
      <c r="U40" s="333">
        <v>0</v>
      </c>
      <c r="V40" s="333">
        <v>0</v>
      </c>
      <c r="W40" s="333">
        <v>0</v>
      </c>
      <c r="X40" s="333">
        <v>0</v>
      </c>
      <c r="Y40" s="333">
        <v>0</v>
      </c>
      <c r="Z40" s="333">
        <v>0</v>
      </c>
    </row>
    <row r="41" ht="22.5" customHeight="1" spans="1:27">
      <c r="A41" s="353"/>
      <c r="B41" s="351" t="s">
        <v>174</v>
      </c>
      <c r="C41" s="333">
        <f t="shared" ref="C41:Z41" si="23">C12*5.19*$A$2</f>
        <v>1035.405</v>
      </c>
      <c r="D41" s="333">
        <f t="shared" si="23"/>
        <v>1232.625</v>
      </c>
      <c r="E41" s="333">
        <f t="shared" si="23"/>
        <v>1281.93</v>
      </c>
      <c r="F41" s="333">
        <f t="shared" si="23"/>
        <v>1331.235</v>
      </c>
      <c r="G41" s="333">
        <f t="shared" si="23"/>
        <v>2514.555</v>
      </c>
      <c r="H41" s="333">
        <f t="shared" si="23"/>
        <v>3697.875</v>
      </c>
      <c r="I41" s="333">
        <f t="shared" si="23"/>
        <v>4683.975</v>
      </c>
      <c r="J41" s="333">
        <f t="shared" si="23"/>
        <v>6015.21</v>
      </c>
      <c r="K41" s="333">
        <f t="shared" si="23"/>
        <v>7001.31</v>
      </c>
      <c r="L41" s="333">
        <f t="shared" si="23"/>
        <v>8776.29</v>
      </c>
      <c r="M41" s="333">
        <f t="shared" si="23"/>
        <v>9269.34</v>
      </c>
      <c r="N41" s="333">
        <f t="shared" si="23"/>
        <v>16517.175</v>
      </c>
      <c r="O41" s="333">
        <f t="shared" si="23"/>
        <v>16517.175</v>
      </c>
      <c r="P41" s="333">
        <f t="shared" si="23"/>
        <v>16862.31</v>
      </c>
      <c r="Q41" s="333">
        <f t="shared" si="23"/>
        <v>16862.31</v>
      </c>
      <c r="R41" s="333">
        <f t="shared" si="23"/>
        <v>17207.445</v>
      </c>
      <c r="S41" s="333">
        <f t="shared" si="23"/>
        <v>17207.445</v>
      </c>
      <c r="T41" s="333">
        <f t="shared" si="23"/>
        <v>17552.58</v>
      </c>
      <c r="U41" s="333">
        <f t="shared" si="23"/>
        <v>17552.58</v>
      </c>
      <c r="V41" s="333">
        <f t="shared" si="23"/>
        <v>17897.715</v>
      </c>
      <c r="W41" s="333">
        <f t="shared" si="23"/>
        <v>17897.715</v>
      </c>
      <c r="X41" s="333">
        <f t="shared" si="23"/>
        <v>18242.85</v>
      </c>
      <c r="Y41" s="333">
        <f t="shared" si="23"/>
        <v>18242.85</v>
      </c>
      <c r="Z41" s="333">
        <f t="shared" si="23"/>
        <v>3451.35</v>
      </c>
    </row>
    <row r="42" ht="22.5" customHeight="1" spans="1:27">
      <c r="A42" s="353"/>
      <c r="B42" s="351" t="s">
        <v>175</v>
      </c>
      <c r="C42" s="333">
        <f>C7*C60*(C12-2)*$A$2+2*0.25*$A$2</f>
        <v>3312.3567255</v>
      </c>
      <c r="D42" s="333">
        <f t="shared" ref="D42:Z42" si="24">D10*D60</f>
        <v>3481.69129</v>
      </c>
      <c r="E42" s="333">
        <f t="shared" si="24"/>
        <v>3168.3390739</v>
      </c>
      <c r="F42" s="333">
        <f t="shared" si="24"/>
        <v>3290.19826905</v>
      </c>
      <c r="G42" s="333">
        <f t="shared" si="24"/>
        <v>6214.81895265</v>
      </c>
      <c r="H42" s="333">
        <f t="shared" si="24"/>
        <v>9139.43963625</v>
      </c>
      <c r="I42" s="333">
        <f t="shared" si="24"/>
        <v>11576.62353925</v>
      </c>
      <c r="J42" s="333">
        <f t="shared" si="24"/>
        <v>11893.45744664</v>
      </c>
      <c r="K42" s="333">
        <f t="shared" si="24"/>
        <v>17304.0057113</v>
      </c>
      <c r="L42" s="333">
        <f t="shared" si="24"/>
        <v>17352.74938936</v>
      </c>
      <c r="M42" s="333">
        <f t="shared" si="24"/>
        <v>22909.5286882</v>
      </c>
      <c r="N42" s="333">
        <f t="shared" si="24"/>
        <v>32658.2643002</v>
      </c>
      <c r="O42" s="333">
        <f t="shared" si="24"/>
        <v>40822.83037525</v>
      </c>
      <c r="P42" s="333">
        <f t="shared" si="24"/>
        <v>33340.67579304</v>
      </c>
      <c r="Q42" s="333">
        <f t="shared" si="24"/>
        <v>41675.8447413</v>
      </c>
      <c r="R42" s="333">
        <f t="shared" si="24"/>
        <v>34023.08728588</v>
      </c>
      <c r="S42" s="333">
        <f t="shared" si="24"/>
        <v>42528.85910735</v>
      </c>
      <c r="T42" s="333">
        <f t="shared" si="24"/>
        <v>34705.49877872</v>
      </c>
      <c r="U42" s="333">
        <f t="shared" si="24"/>
        <v>43381.8734734</v>
      </c>
      <c r="V42" s="333">
        <f t="shared" si="24"/>
        <v>35387.91027156</v>
      </c>
      <c r="W42" s="333">
        <f t="shared" si="24"/>
        <v>44234.88783945</v>
      </c>
      <c r="X42" s="333">
        <f t="shared" si="24"/>
        <v>36070.3217644</v>
      </c>
      <c r="Y42" s="333">
        <f t="shared" si="24"/>
        <v>45087.9022055</v>
      </c>
      <c r="Z42" s="333">
        <f t="shared" si="24"/>
        <v>6824.1149284</v>
      </c>
    </row>
    <row r="43" ht="22.5" customHeight="1" spans="1:27">
      <c r="A43" s="353"/>
      <c r="B43" s="356" t="s">
        <v>176</v>
      </c>
      <c r="C43" s="333">
        <v>0</v>
      </c>
      <c r="D43" s="333">
        <v>0</v>
      </c>
      <c r="E43" s="333">
        <v>0</v>
      </c>
      <c r="F43" s="333">
        <v>0</v>
      </c>
      <c r="G43" s="333">
        <v>0</v>
      </c>
      <c r="H43" s="333">
        <v>0</v>
      </c>
      <c r="I43" s="333">
        <v>0</v>
      </c>
      <c r="J43" s="333">
        <v>0</v>
      </c>
      <c r="K43" s="333">
        <v>0</v>
      </c>
      <c r="L43" s="333">
        <v>0</v>
      </c>
      <c r="M43" s="333">
        <v>0</v>
      </c>
      <c r="N43" s="333">
        <v>0</v>
      </c>
      <c r="O43" s="333">
        <v>0</v>
      </c>
      <c r="P43" s="333">
        <v>0</v>
      </c>
      <c r="Q43" s="333">
        <v>0</v>
      </c>
      <c r="R43" s="333">
        <v>0</v>
      </c>
      <c r="S43" s="333">
        <v>0</v>
      </c>
      <c r="T43" s="333">
        <v>0</v>
      </c>
      <c r="U43" s="333">
        <v>0</v>
      </c>
      <c r="V43" s="333">
        <v>0</v>
      </c>
      <c r="W43" s="333">
        <v>0</v>
      </c>
      <c r="X43" s="333">
        <v>0</v>
      </c>
      <c r="Y43" s="333">
        <v>0</v>
      </c>
      <c r="Z43" s="333">
        <v>0</v>
      </c>
    </row>
    <row r="44" ht="22.5" customHeight="1" spans="1:27">
      <c r="A44" s="353"/>
      <c r="B44" s="351" t="s">
        <v>177</v>
      </c>
      <c r="C44" s="357">
        <f t="shared" ref="C44:Z44" si="25">C62*C10</f>
        <v>0</v>
      </c>
      <c r="D44" s="357">
        <f t="shared" si="25"/>
        <v>0</v>
      </c>
      <c r="E44" s="357">
        <f t="shared" si="25"/>
        <v>0</v>
      </c>
      <c r="F44" s="357">
        <f t="shared" si="25"/>
        <v>1068.24619125</v>
      </c>
      <c r="G44" s="357">
        <f t="shared" si="25"/>
        <v>2017.79836125</v>
      </c>
      <c r="H44" s="357">
        <f t="shared" si="25"/>
        <v>2967.35053125</v>
      </c>
      <c r="I44" s="357">
        <f t="shared" si="25"/>
        <v>3758.64400625</v>
      </c>
      <c r="J44" s="357">
        <f t="shared" si="25"/>
        <v>3861.512158</v>
      </c>
      <c r="K44" s="357">
        <f t="shared" si="25"/>
        <v>5618.1836725</v>
      </c>
      <c r="L44" s="357">
        <f t="shared" si="25"/>
        <v>5634.009542</v>
      </c>
      <c r="M44" s="357">
        <f t="shared" si="25"/>
        <v>7438.158665</v>
      </c>
      <c r="N44" s="357">
        <f t="shared" si="25"/>
        <v>10603.332565</v>
      </c>
      <c r="O44" s="357">
        <f t="shared" si="25"/>
        <v>13254.16570625</v>
      </c>
      <c r="P44" s="357">
        <f t="shared" si="25"/>
        <v>10824.894738</v>
      </c>
      <c r="Q44" s="357">
        <f t="shared" si="25"/>
        <v>13531.1184225</v>
      </c>
      <c r="R44" s="357">
        <f t="shared" si="25"/>
        <v>11046.456911</v>
      </c>
      <c r="S44" s="357">
        <f t="shared" si="25"/>
        <v>13808.07113875</v>
      </c>
      <c r="T44" s="357">
        <f t="shared" si="25"/>
        <v>11268.019084</v>
      </c>
      <c r="U44" s="357">
        <f t="shared" si="25"/>
        <v>14085.023855</v>
      </c>
      <c r="V44" s="357">
        <f t="shared" si="25"/>
        <v>11489.581257</v>
      </c>
      <c r="W44" s="357">
        <f t="shared" si="25"/>
        <v>14361.97657125</v>
      </c>
      <c r="X44" s="357">
        <f t="shared" si="25"/>
        <v>11711.14343</v>
      </c>
      <c r="Y44" s="357">
        <f t="shared" si="25"/>
        <v>14638.9292875</v>
      </c>
      <c r="Z44" s="357">
        <f t="shared" si="25"/>
        <v>2215.62173</v>
      </c>
      <c r="AA44" s="358"/>
    </row>
    <row r="45" ht="22.5" customHeight="1" spans="1:27">
      <c r="A45" s="353"/>
      <c r="B45" s="351" t="s">
        <v>178</v>
      </c>
      <c r="C45" s="357">
        <f t="shared" ref="C45:Z45" si="26">C63*C10</f>
        <v>429.559315</v>
      </c>
      <c r="D45" s="357">
        <f t="shared" si="26"/>
        <v>452.1677</v>
      </c>
      <c r="E45" s="357">
        <f t="shared" si="26"/>
        <v>411.472607</v>
      </c>
      <c r="F45" s="357">
        <f t="shared" si="26"/>
        <v>427.2984765</v>
      </c>
      <c r="G45" s="357">
        <f t="shared" si="26"/>
        <v>807.1193445</v>
      </c>
      <c r="H45" s="357">
        <f t="shared" si="26"/>
        <v>1186.9402125</v>
      </c>
      <c r="I45" s="357">
        <f t="shared" si="26"/>
        <v>1503.4576025</v>
      </c>
      <c r="J45" s="357">
        <f t="shared" si="26"/>
        <v>1544.6048632</v>
      </c>
      <c r="K45" s="357">
        <f t="shared" si="26"/>
        <v>2247.273469</v>
      </c>
      <c r="L45" s="357">
        <f t="shared" si="26"/>
        <v>2253.6038168</v>
      </c>
      <c r="M45" s="357">
        <f t="shared" si="26"/>
        <v>2975.263466</v>
      </c>
      <c r="N45" s="357">
        <f t="shared" si="26"/>
        <v>4241.333026</v>
      </c>
      <c r="O45" s="357">
        <f t="shared" si="26"/>
        <v>5301.6662825</v>
      </c>
      <c r="P45" s="357">
        <f t="shared" si="26"/>
        <v>4329.9578952</v>
      </c>
      <c r="Q45" s="357">
        <f t="shared" si="26"/>
        <v>5412.447369</v>
      </c>
      <c r="R45" s="357">
        <f t="shared" si="26"/>
        <v>4418.5827644</v>
      </c>
      <c r="S45" s="357">
        <f t="shared" si="26"/>
        <v>5523.2284555</v>
      </c>
      <c r="T45" s="357">
        <f t="shared" si="26"/>
        <v>4507.2076336</v>
      </c>
      <c r="U45" s="357">
        <f t="shared" si="26"/>
        <v>5634.009542</v>
      </c>
      <c r="V45" s="357">
        <f t="shared" si="26"/>
        <v>4595.8325028</v>
      </c>
      <c r="W45" s="357">
        <f t="shared" si="26"/>
        <v>5744.7906285</v>
      </c>
      <c r="X45" s="357">
        <f t="shared" si="26"/>
        <v>4684.457372</v>
      </c>
      <c r="Y45" s="357">
        <f t="shared" si="26"/>
        <v>5855.571715</v>
      </c>
      <c r="Z45" s="357">
        <f t="shared" si="26"/>
        <v>886.248692</v>
      </c>
      <c r="AA45" s="359"/>
    </row>
    <row r="46" ht="22.5" customHeight="1" spans="1:27">
      <c r="A46" s="353"/>
      <c r="B46" s="351" t="s">
        <v>179</v>
      </c>
      <c r="C46" s="357">
        <f t="shared" ref="C46:Z46" si="27">SUM(C38:C45)</f>
        <v>8042.1910405</v>
      </c>
      <c r="D46" s="357">
        <f t="shared" si="27"/>
        <v>9053.23399</v>
      </c>
      <c r="E46" s="357">
        <f t="shared" si="27"/>
        <v>8903.9616809</v>
      </c>
      <c r="F46" s="357">
        <f t="shared" si="27"/>
        <v>10314.6679368</v>
      </c>
      <c r="G46" s="357">
        <f t="shared" si="27"/>
        <v>19483.2616584</v>
      </c>
      <c r="H46" s="357">
        <f t="shared" si="27"/>
        <v>28651.85538</v>
      </c>
      <c r="I46" s="357">
        <f t="shared" si="27"/>
        <v>36292.350148</v>
      </c>
      <c r="J46" s="357">
        <f t="shared" si="27"/>
        <v>42282.12446784</v>
      </c>
      <c r="K46" s="357">
        <f t="shared" si="27"/>
        <v>54247.5128528</v>
      </c>
      <c r="L46" s="357">
        <f t="shared" si="27"/>
        <v>61690.31274816</v>
      </c>
      <c r="M46" s="357">
        <f t="shared" si="27"/>
        <v>71820.6508192</v>
      </c>
      <c r="N46" s="357">
        <f t="shared" si="27"/>
        <v>116102.5548912</v>
      </c>
      <c r="O46" s="357">
        <f t="shared" si="27"/>
        <v>127978.287364</v>
      </c>
      <c r="P46" s="357">
        <f t="shared" si="27"/>
        <v>118528.57842624</v>
      </c>
      <c r="Q46" s="357">
        <f t="shared" si="27"/>
        <v>130652.4605328</v>
      </c>
      <c r="R46" s="357">
        <f t="shared" si="27"/>
        <v>120954.60196128</v>
      </c>
      <c r="S46" s="357">
        <f t="shared" si="27"/>
        <v>133326.6337016</v>
      </c>
      <c r="T46" s="357">
        <f t="shared" si="27"/>
        <v>123380.62549632</v>
      </c>
      <c r="U46" s="357">
        <f t="shared" si="27"/>
        <v>136000.8068704</v>
      </c>
      <c r="V46" s="357">
        <f t="shared" si="27"/>
        <v>125806.64903136</v>
      </c>
      <c r="W46" s="357">
        <f t="shared" si="27"/>
        <v>138674.9800392</v>
      </c>
      <c r="X46" s="357">
        <f t="shared" si="27"/>
        <v>128232.6725664</v>
      </c>
      <c r="Y46" s="357">
        <f t="shared" si="27"/>
        <v>141349.153208</v>
      </c>
      <c r="Z46" s="357">
        <f t="shared" si="27"/>
        <v>24260.2353504</v>
      </c>
      <c r="AA46" s="359"/>
    </row>
    <row r="47" ht="22.5" customHeight="1" spans="1:27">
      <c r="A47" s="353" t="s">
        <v>180</v>
      </c>
      <c r="B47" s="351" t="s">
        <v>171</v>
      </c>
      <c r="C47" s="354">
        <f t="shared" ref="C47:Z47" si="28">C13*122.57</f>
        <v>3677.1</v>
      </c>
      <c r="D47" s="354">
        <f t="shared" si="28"/>
        <v>4902.8</v>
      </c>
      <c r="E47" s="354">
        <f t="shared" si="28"/>
        <v>6128.5</v>
      </c>
      <c r="F47" s="354">
        <f t="shared" si="28"/>
        <v>8579.9</v>
      </c>
      <c r="G47" s="354">
        <f t="shared" si="28"/>
        <v>6128.5</v>
      </c>
      <c r="H47" s="354">
        <f t="shared" si="28"/>
        <v>8579.9</v>
      </c>
      <c r="I47" s="354">
        <f t="shared" si="28"/>
        <v>11031.3</v>
      </c>
      <c r="J47" s="354">
        <f t="shared" si="28"/>
        <v>14708.4</v>
      </c>
      <c r="K47" s="354">
        <f t="shared" si="28"/>
        <v>17159.8</v>
      </c>
      <c r="L47" s="354">
        <f t="shared" si="28"/>
        <v>20836.9</v>
      </c>
      <c r="M47" s="354">
        <f t="shared" si="28"/>
        <v>23288.3</v>
      </c>
      <c r="N47" s="354">
        <f t="shared" si="28"/>
        <v>0</v>
      </c>
      <c r="O47" s="354">
        <f t="shared" si="28"/>
        <v>0</v>
      </c>
      <c r="P47" s="354">
        <f t="shared" si="28"/>
        <v>0</v>
      </c>
      <c r="Q47" s="354">
        <f t="shared" si="28"/>
        <v>0</v>
      </c>
      <c r="R47" s="354">
        <f t="shared" si="28"/>
        <v>0</v>
      </c>
      <c r="S47" s="354">
        <f t="shared" si="28"/>
        <v>0</v>
      </c>
      <c r="T47" s="354">
        <f t="shared" si="28"/>
        <v>0</v>
      </c>
      <c r="U47" s="354">
        <f t="shared" si="28"/>
        <v>0</v>
      </c>
      <c r="V47" s="354">
        <f t="shared" si="28"/>
        <v>0</v>
      </c>
      <c r="W47" s="354">
        <f t="shared" si="28"/>
        <v>0</v>
      </c>
      <c r="X47" s="354">
        <f t="shared" si="28"/>
        <v>0</v>
      </c>
      <c r="Y47" s="354">
        <f t="shared" si="28"/>
        <v>0</v>
      </c>
      <c r="Z47" s="354">
        <f t="shared" si="28"/>
        <v>0</v>
      </c>
      <c r="AA47" s="355"/>
    </row>
    <row r="48" ht="22.5" customHeight="1" spans="1:27">
      <c r="A48" s="353"/>
      <c r="B48" s="351" t="s">
        <v>172</v>
      </c>
      <c r="C48" s="354">
        <f t="shared" ref="C48:Z48" si="29">C13*32.9</f>
        <v>987</v>
      </c>
      <c r="D48" s="354">
        <f t="shared" si="29"/>
        <v>1316</v>
      </c>
      <c r="E48" s="354">
        <f t="shared" si="29"/>
        <v>1645</v>
      </c>
      <c r="F48" s="354">
        <f t="shared" si="29"/>
        <v>2303</v>
      </c>
      <c r="G48" s="354">
        <f t="shared" si="29"/>
        <v>1645</v>
      </c>
      <c r="H48" s="354">
        <f t="shared" si="29"/>
        <v>2303</v>
      </c>
      <c r="I48" s="354">
        <f t="shared" si="29"/>
        <v>2961</v>
      </c>
      <c r="J48" s="354">
        <f t="shared" si="29"/>
        <v>3948</v>
      </c>
      <c r="K48" s="354">
        <f t="shared" si="29"/>
        <v>4606</v>
      </c>
      <c r="L48" s="354">
        <f t="shared" si="29"/>
        <v>5593</v>
      </c>
      <c r="M48" s="354">
        <f t="shared" si="29"/>
        <v>6251</v>
      </c>
      <c r="N48" s="354">
        <f t="shared" si="29"/>
        <v>0</v>
      </c>
      <c r="O48" s="354">
        <f t="shared" si="29"/>
        <v>0</v>
      </c>
      <c r="P48" s="354">
        <f t="shared" si="29"/>
        <v>0</v>
      </c>
      <c r="Q48" s="354">
        <f t="shared" si="29"/>
        <v>0</v>
      </c>
      <c r="R48" s="354">
        <f t="shared" si="29"/>
        <v>0</v>
      </c>
      <c r="S48" s="354">
        <f t="shared" si="29"/>
        <v>0</v>
      </c>
      <c r="T48" s="354">
        <f t="shared" si="29"/>
        <v>0</v>
      </c>
      <c r="U48" s="354">
        <f t="shared" si="29"/>
        <v>0</v>
      </c>
      <c r="V48" s="354">
        <f t="shared" si="29"/>
        <v>0</v>
      </c>
      <c r="W48" s="354">
        <f t="shared" si="29"/>
        <v>0</v>
      </c>
      <c r="X48" s="354">
        <f t="shared" si="29"/>
        <v>0</v>
      </c>
      <c r="Y48" s="354">
        <f t="shared" si="29"/>
        <v>0</v>
      </c>
      <c r="Z48" s="354">
        <f t="shared" si="29"/>
        <v>0</v>
      </c>
      <c r="AA48" s="355"/>
    </row>
    <row r="49" ht="22.5" customHeight="1" spans="1:27">
      <c r="A49" s="353"/>
      <c r="B49" s="356" t="s">
        <v>173</v>
      </c>
      <c r="C49" s="333">
        <v>0</v>
      </c>
      <c r="D49" s="333">
        <v>0</v>
      </c>
      <c r="E49" s="333">
        <v>0</v>
      </c>
      <c r="F49" s="333">
        <v>0</v>
      </c>
      <c r="G49" s="333">
        <v>0</v>
      </c>
      <c r="H49" s="333">
        <v>0</v>
      </c>
      <c r="I49" s="333">
        <v>0</v>
      </c>
      <c r="J49" s="333">
        <v>0</v>
      </c>
      <c r="K49" s="333">
        <v>0</v>
      </c>
      <c r="L49" s="333">
        <v>0</v>
      </c>
      <c r="M49" s="333">
        <v>0</v>
      </c>
      <c r="N49" s="333">
        <v>0</v>
      </c>
      <c r="O49" s="333">
        <v>0</v>
      </c>
      <c r="P49" s="333">
        <v>0</v>
      </c>
      <c r="Q49" s="333">
        <v>0</v>
      </c>
      <c r="R49" s="333">
        <v>0</v>
      </c>
      <c r="S49" s="333">
        <v>0</v>
      </c>
      <c r="T49" s="333">
        <v>0</v>
      </c>
      <c r="U49" s="333">
        <v>0</v>
      </c>
      <c r="V49" s="333">
        <v>0</v>
      </c>
      <c r="W49" s="333">
        <v>0</v>
      </c>
      <c r="X49" s="333">
        <v>0</v>
      </c>
      <c r="Y49" s="333">
        <v>0</v>
      </c>
      <c r="Z49" s="333">
        <v>0</v>
      </c>
      <c r="AA49" s="9"/>
    </row>
    <row r="50" ht="22.5" customHeight="1" spans="1:27">
      <c r="A50" s="353"/>
      <c r="B50" s="351" t="s">
        <v>174</v>
      </c>
      <c r="C50" s="333">
        <f t="shared" ref="C50:Z50" si="30">C13*5.19*$A$2</f>
        <v>1479.15</v>
      </c>
      <c r="D50" s="333">
        <f t="shared" si="30"/>
        <v>1972.2</v>
      </c>
      <c r="E50" s="333">
        <f t="shared" si="30"/>
        <v>2465.25</v>
      </c>
      <c r="F50" s="333">
        <f t="shared" si="30"/>
        <v>3451.35</v>
      </c>
      <c r="G50" s="333">
        <f t="shared" si="30"/>
        <v>2465.25</v>
      </c>
      <c r="H50" s="333">
        <f t="shared" si="30"/>
        <v>3451.35</v>
      </c>
      <c r="I50" s="333">
        <f t="shared" si="30"/>
        <v>4437.45</v>
      </c>
      <c r="J50" s="333">
        <f t="shared" si="30"/>
        <v>5916.6</v>
      </c>
      <c r="K50" s="333">
        <f t="shared" si="30"/>
        <v>6902.7</v>
      </c>
      <c r="L50" s="333">
        <f t="shared" si="30"/>
        <v>8381.85</v>
      </c>
      <c r="M50" s="333">
        <f t="shared" si="30"/>
        <v>9367.95</v>
      </c>
      <c r="N50" s="333">
        <f t="shared" si="30"/>
        <v>0</v>
      </c>
      <c r="O50" s="333">
        <f t="shared" si="30"/>
        <v>0</v>
      </c>
      <c r="P50" s="333">
        <f t="shared" si="30"/>
        <v>0</v>
      </c>
      <c r="Q50" s="333">
        <f t="shared" si="30"/>
        <v>0</v>
      </c>
      <c r="R50" s="333">
        <f t="shared" si="30"/>
        <v>0</v>
      </c>
      <c r="S50" s="333">
        <f t="shared" si="30"/>
        <v>0</v>
      </c>
      <c r="T50" s="333">
        <f t="shared" si="30"/>
        <v>0</v>
      </c>
      <c r="U50" s="333">
        <f t="shared" si="30"/>
        <v>0</v>
      </c>
      <c r="V50" s="333">
        <f t="shared" si="30"/>
        <v>0</v>
      </c>
      <c r="W50" s="333">
        <f t="shared" si="30"/>
        <v>0</v>
      </c>
      <c r="X50" s="333">
        <f t="shared" si="30"/>
        <v>0</v>
      </c>
      <c r="Y50" s="333">
        <f t="shared" si="30"/>
        <v>0</v>
      </c>
      <c r="Z50" s="333">
        <f t="shared" si="30"/>
        <v>0</v>
      </c>
      <c r="AA50" s="9"/>
    </row>
    <row r="51" ht="22.5" customHeight="1" spans="1:27">
      <c r="A51" s="353"/>
      <c r="B51" s="351" t="s">
        <v>175</v>
      </c>
      <c r="C51" s="333">
        <f t="shared" ref="C51:Z51" si="31">C11*C60</f>
        <v>4874.367806</v>
      </c>
      <c r="D51" s="333">
        <f t="shared" si="31"/>
        <v>8192.2148</v>
      </c>
      <c r="E51" s="333">
        <f t="shared" si="31"/>
        <v>754.20576</v>
      </c>
      <c r="F51" s="333">
        <f t="shared" si="31"/>
        <v>8530.1436605</v>
      </c>
      <c r="G51" s="333">
        <f t="shared" si="31"/>
        <v>6092.9597575</v>
      </c>
      <c r="H51" s="333">
        <f t="shared" si="31"/>
        <v>8530.1436605</v>
      </c>
      <c r="I51" s="333">
        <f t="shared" si="31"/>
        <v>10967.3275635</v>
      </c>
      <c r="J51" s="333">
        <f t="shared" si="31"/>
        <v>11698.4827344</v>
      </c>
      <c r="K51" s="333">
        <f t="shared" si="31"/>
        <v>17060.287321</v>
      </c>
      <c r="L51" s="333">
        <f t="shared" si="31"/>
        <v>16572.8505404</v>
      </c>
      <c r="M51" s="333">
        <f t="shared" si="31"/>
        <v>23153.2470785</v>
      </c>
      <c r="N51" s="333">
        <f t="shared" si="31"/>
        <v>0</v>
      </c>
      <c r="O51" s="333">
        <f t="shared" si="31"/>
        <v>0</v>
      </c>
      <c r="P51" s="333">
        <f t="shared" si="31"/>
        <v>0</v>
      </c>
      <c r="Q51" s="333">
        <f t="shared" si="31"/>
        <v>0</v>
      </c>
      <c r="R51" s="333">
        <f t="shared" si="31"/>
        <v>0</v>
      </c>
      <c r="S51" s="333">
        <f t="shared" si="31"/>
        <v>0</v>
      </c>
      <c r="T51" s="333">
        <f t="shared" si="31"/>
        <v>0</v>
      </c>
      <c r="U51" s="333">
        <f t="shared" si="31"/>
        <v>0</v>
      </c>
      <c r="V51" s="333">
        <f t="shared" si="31"/>
        <v>0</v>
      </c>
      <c r="W51" s="333">
        <f t="shared" si="31"/>
        <v>0</v>
      </c>
      <c r="X51" s="333">
        <f t="shared" si="31"/>
        <v>0</v>
      </c>
      <c r="Y51" s="333">
        <f t="shared" si="31"/>
        <v>0</v>
      </c>
      <c r="Z51" s="333">
        <f t="shared" si="31"/>
        <v>0</v>
      </c>
      <c r="AA51" s="9"/>
    </row>
    <row r="52" ht="22.5" customHeight="1" spans="1:27">
      <c r="A52" s="353"/>
      <c r="B52" s="356" t="s">
        <v>176</v>
      </c>
      <c r="C52" s="333">
        <v>0</v>
      </c>
      <c r="D52" s="333">
        <v>0</v>
      </c>
      <c r="E52" s="333">
        <v>0</v>
      </c>
      <c r="F52" s="333">
        <v>0</v>
      </c>
      <c r="G52" s="333">
        <v>0</v>
      </c>
      <c r="H52" s="333">
        <v>0</v>
      </c>
      <c r="I52" s="333">
        <v>0</v>
      </c>
      <c r="J52" s="333">
        <v>0</v>
      </c>
      <c r="K52" s="333">
        <v>0</v>
      </c>
      <c r="L52" s="333">
        <v>0</v>
      </c>
      <c r="M52" s="333">
        <v>0</v>
      </c>
      <c r="N52" s="333">
        <v>0</v>
      </c>
      <c r="O52" s="333">
        <v>0</v>
      </c>
      <c r="P52" s="333">
        <v>0</v>
      </c>
      <c r="Q52" s="333">
        <v>0</v>
      </c>
      <c r="R52" s="333">
        <v>0</v>
      </c>
      <c r="S52" s="333">
        <v>0</v>
      </c>
      <c r="T52" s="333">
        <v>0</v>
      </c>
      <c r="U52" s="333">
        <v>0</v>
      </c>
      <c r="V52" s="333">
        <v>0</v>
      </c>
      <c r="W52" s="333">
        <v>0</v>
      </c>
      <c r="X52" s="333">
        <v>0</v>
      </c>
      <c r="Y52" s="333">
        <v>0</v>
      </c>
      <c r="Z52" s="333">
        <v>0</v>
      </c>
      <c r="AA52" s="9"/>
    </row>
    <row r="53" ht="22.5" customHeight="1" spans="1:27">
      <c r="A53" s="353"/>
      <c r="B53" s="351" t="s">
        <v>177</v>
      </c>
      <c r="C53" s="357">
        <f t="shared" ref="C53:Z53" si="32">C62*C13</f>
        <v>0</v>
      </c>
      <c r="D53" s="357">
        <f t="shared" si="32"/>
        <v>0</v>
      </c>
      <c r="E53" s="357">
        <f t="shared" si="32"/>
        <v>0</v>
      </c>
      <c r="F53" s="357">
        <f t="shared" si="32"/>
        <v>3.5</v>
      </c>
      <c r="G53" s="357">
        <f t="shared" si="32"/>
        <v>2.5</v>
      </c>
      <c r="H53" s="357">
        <f t="shared" si="32"/>
        <v>3.5</v>
      </c>
      <c r="I53" s="357">
        <f t="shared" si="32"/>
        <v>4.5</v>
      </c>
      <c r="J53" s="357">
        <f t="shared" si="32"/>
        <v>6</v>
      </c>
      <c r="K53" s="357">
        <f t="shared" si="32"/>
        <v>7</v>
      </c>
      <c r="L53" s="357">
        <f t="shared" si="32"/>
        <v>8.5</v>
      </c>
      <c r="M53" s="357">
        <f t="shared" si="32"/>
        <v>9.5</v>
      </c>
      <c r="N53" s="357">
        <f t="shared" si="32"/>
        <v>0</v>
      </c>
      <c r="O53" s="357">
        <f t="shared" si="32"/>
        <v>0</v>
      </c>
      <c r="P53" s="357">
        <f t="shared" si="32"/>
        <v>0</v>
      </c>
      <c r="Q53" s="357">
        <f t="shared" si="32"/>
        <v>0</v>
      </c>
      <c r="R53" s="357">
        <f t="shared" si="32"/>
        <v>0</v>
      </c>
      <c r="S53" s="357">
        <f t="shared" si="32"/>
        <v>0</v>
      </c>
      <c r="T53" s="357">
        <f t="shared" si="32"/>
        <v>0</v>
      </c>
      <c r="U53" s="357">
        <f t="shared" si="32"/>
        <v>0</v>
      </c>
      <c r="V53" s="357">
        <f t="shared" si="32"/>
        <v>0</v>
      </c>
      <c r="W53" s="357">
        <f t="shared" si="32"/>
        <v>0</v>
      </c>
      <c r="X53" s="357">
        <f t="shared" si="32"/>
        <v>0</v>
      </c>
      <c r="Y53" s="357">
        <f t="shared" si="32"/>
        <v>0</v>
      </c>
      <c r="Z53" s="357">
        <f t="shared" si="32"/>
        <v>0</v>
      </c>
      <c r="AA53" s="359"/>
    </row>
    <row r="54" ht="22.5" customHeight="1" spans="1:27">
      <c r="A54" s="353"/>
      <c r="B54" s="351" t="s">
        <v>178</v>
      </c>
      <c r="C54" s="357">
        <f t="shared" ref="C54:Z54" si="33">C11*C63</f>
        <v>633.03478</v>
      </c>
      <c r="D54" s="357">
        <f t="shared" si="33"/>
        <v>1063.924</v>
      </c>
      <c r="E54" s="357">
        <f t="shared" si="33"/>
        <v>97.9488</v>
      </c>
      <c r="F54" s="357">
        <f t="shared" si="33"/>
        <v>1107.810865</v>
      </c>
      <c r="G54" s="357">
        <f t="shared" si="33"/>
        <v>791.293475</v>
      </c>
      <c r="H54" s="357">
        <f t="shared" si="33"/>
        <v>1107.810865</v>
      </c>
      <c r="I54" s="357">
        <f t="shared" si="33"/>
        <v>1424.328255</v>
      </c>
      <c r="J54" s="357">
        <f t="shared" si="33"/>
        <v>1519.283472</v>
      </c>
      <c r="K54" s="357">
        <f t="shared" si="33"/>
        <v>2215.62173</v>
      </c>
      <c r="L54" s="357">
        <f t="shared" si="33"/>
        <v>2152.318252</v>
      </c>
      <c r="M54" s="357">
        <f t="shared" si="33"/>
        <v>3006.915205</v>
      </c>
      <c r="N54" s="357">
        <f t="shared" si="33"/>
        <v>0</v>
      </c>
      <c r="O54" s="357">
        <f t="shared" si="33"/>
        <v>0</v>
      </c>
      <c r="P54" s="357">
        <f t="shared" si="33"/>
        <v>0</v>
      </c>
      <c r="Q54" s="357">
        <f t="shared" si="33"/>
        <v>0</v>
      </c>
      <c r="R54" s="357">
        <f t="shared" si="33"/>
        <v>0</v>
      </c>
      <c r="S54" s="357">
        <f t="shared" si="33"/>
        <v>0</v>
      </c>
      <c r="T54" s="357">
        <f t="shared" si="33"/>
        <v>0</v>
      </c>
      <c r="U54" s="357">
        <f t="shared" si="33"/>
        <v>0</v>
      </c>
      <c r="V54" s="357">
        <f t="shared" si="33"/>
        <v>0</v>
      </c>
      <c r="W54" s="357">
        <f t="shared" si="33"/>
        <v>0</v>
      </c>
      <c r="X54" s="357">
        <f t="shared" si="33"/>
        <v>0</v>
      </c>
      <c r="Y54" s="357">
        <f t="shared" si="33"/>
        <v>0</v>
      </c>
      <c r="Z54" s="357">
        <f t="shared" si="33"/>
        <v>0</v>
      </c>
      <c r="AA54" s="358"/>
    </row>
    <row r="55" ht="22.5" customHeight="1" spans="1:27">
      <c r="A55" s="353"/>
      <c r="B55" s="351" t="s">
        <v>179</v>
      </c>
      <c r="C55" s="357">
        <f t="shared" ref="C55:Z55" si="34">SUM(C47:C54)</f>
        <v>11650.652586</v>
      </c>
      <c r="D55" s="357">
        <f t="shared" si="34"/>
        <v>17447.1388</v>
      </c>
      <c r="E55" s="357">
        <f t="shared" si="34"/>
        <v>11090.90456</v>
      </c>
      <c r="F55" s="357">
        <f t="shared" si="34"/>
        <v>23975.7045255</v>
      </c>
      <c r="G55" s="357">
        <f t="shared" si="34"/>
        <v>17125.5032325</v>
      </c>
      <c r="H55" s="357">
        <f t="shared" si="34"/>
        <v>23975.7045255</v>
      </c>
      <c r="I55" s="357">
        <f t="shared" si="34"/>
        <v>30825.9058185</v>
      </c>
      <c r="J55" s="357">
        <f t="shared" si="34"/>
        <v>37796.7662064</v>
      </c>
      <c r="K55" s="357">
        <f t="shared" si="34"/>
        <v>47951.409051</v>
      </c>
      <c r="L55" s="357">
        <f t="shared" si="34"/>
        <v>53545.4187924</v>
      </c>
      <c r="M55" s="357">
        <f t="shared" si="34"/>
        <v>65076.9122835</v>
      </c>
      <c r="N55" s="357">
        <f t="shared" si="34"/>
        <v>0</v>
      </c>
      <c r="O55" s="357">
        <f t="shared" si="34"/>
        <v>0</v>
      </c>
      <c r="P55" s="357">
        <f t="shared" si="34"/>
        <v>0</v>
      </c>
      <c r="Q55" s="357">
        <f t="shared" si="34"/>
        <v>0</v>
      </c>
      <c r="R55" s="357">
        <f t="shared" si="34"/>
        <v>0</v>
      </c>
      <c r="S55" s="357">
        <f t="shared" si="34"/>
        <v>0</v>
      </c>
      <c r="T55" s="357">
        <f t="shared" si="34"/>
        <v>0</v>
      </c>
      <c r="U55" s="357">
        <f t="shared" si="34"/>
        <v>0</v>
      </c>
      <c r="V55" s="357">
        <f t="shared" si="34"/>
        <v>0</v>
      </c>
      <c r="W55" s="357">
        <f t="shared" si="34"/>
        <v>0</v>
      </c>
      <c r="X55" s="357">
        <f t="shared" si="34"/>
        <v>0</v>
      </c>
      <c r="Y55" s="357">
        <f t="shared" si="34"/>
        <v>0</v>
      </c>
      <c r="Z55" s="357">
        <f t="shared" si="34"/>
        <v>0</v>
      </c>
      <c r="AA55" s="358"/>
    </row>
    <row r="56" ht="22.5" customHeight="1" spans="1:27">
      <c r="A56" s="296" t="s">
        <v>181</v>
      </c>
      <c r="B56" s="351" t="s">
        <v>182</v>
      </c>
      <c r="C56" s="360">
        <f>C38/C11</f>
        <v>0.081321598159267</v>
      </c>
      <c r="D56" s="360">
        <f>D38/D11</f>
        <v>0.0576027986961475</v>
      </c>
      <c r="E56" s="360">
        <f t="shared" ref="E56:Z56" si="35">E38/E10</f>
        <v>0.154898282208128</v>
      </c>
      <c r="F56" s="360">
        <f t="shared" si="35"/>
        <v>0.154898282208128</v>
      </c>
      <c r="G56" s="360">
        <f t="shared" si="35"/>
        <v>0.154898282208128</v>
      </c>
      <c r="H56" s="360">
        <f t="shared" si="35"/>
        <v>0.154898282208128</v>
      </c>
      <c r="I56" s="360">
        <f t="shared" si="35"/>
        <v>0.154898282208128</v>
      </c>
      <c r="J56" s="360">
        <f t="shared" si="35"/>
        <v>0.19362285276016</v>
      </c>
      <c r="K56" s="360">
        <f t="shared" si="35"/>
        <v>0.154898282208128</v>
      </c>
      <c r="L56" s="360">
        <f t="shared" si="35"/>
        <v>0.19362285276016</v>
      </c>
      <c r="M56" s="360">
        <f t="shared" si="35"/>
        <v>0.154898282208128</v>
      </c>
      <c r="N56" s="360">
        <f t="shared" si="35"/>
        <v>0.19362285276016</v>
      </c>
      <c r="O56" s="360">
        <f t="shared" si="35"/>
        <v>0.154898282208128</v>
      </c>
      <c r="P56" s="360">
        <f t="shared" si="35"/>
        <v>0.19362285276016</v>
      </c>
      <c r="Q56" s="360">
        <f t="shared" si="35"/>
        <v>0.154898282208128</v>
      </c>
      <c r="R56" s="360">
        <f t="shared" si="35"/>
        <v>0.19362285276016</v>
      </c>
      <c r="S56" s="360">
        <f t="shared" si="35"/>
        <v>0.154898282208128</v>
      </c>
      <c r="T56" s="360">
        <f t="shared" si="35"/>
        <v>0.19362285276016</v>
      </c>
      <c r="U56" s="360">
        <f t="shared" si="35"/>
        <v>0.154898282208128</v>
      </c>
      <c r="V56" s="360">
        <f t="shared" si="35"/>
        <v>0.19362285276016</v>
      </c>
      <c r="W56" s="360">
        <f t="shared" si="35"/>
        <v>0.154898282208128</v>
      </c>
      <c r="X56" s="360">
        <f t="shared" si="35"/>
        <v>0.19362285276016</v>
      </c>
      <c r="Y56" s="360">
        <f t="shared" si="35"/>
        <v>0.154898282208128</v>
      </c>
      <c r="Z56" s="360">
        <f t="shared" si="35"/>
        <v>0.19362285276016</v>
      </c>
    </row>
    <row r="57" ht="22.5" customHeight="1" spans="1:27">
      <c r="A57" s="296"/>
      <c r="B57" s="351" t="s">
        <v>183</v>
      </c>
      <c r="C57" s="360">
        <f>C39/C11</f>
        <v>0.0218281845430357</v>
      </c>
      <c r="D57" s="360">
        <f>D39/D11</f>
        <v>0.0154616307179836</v>
      </c>
      <c r="E57" s="360">
        <f t="shared" ref="E57:Z57" si="36">E39/E10</f>
        <v>0.041577494367687</v>
      </c>
      <c r="F57" s="360">
        <f t="shared" si="36"/>
        <v>0.041577494367687</v>
      </c>
      <c r="G57" s="360">
        <f t="shared" si="36"/>
        <v>0.041577494367687</v>
      </c>
      <c r="H57" s="360">
        <f t="shared" si="36"/>
        <v>0.041577494367687</v>
      </c>
      <c r="I57" s="360">
        <f t="shared" si="36"/>
        <v>0.041577494367687</v>
      </c>
      <c r="J57" s="360">
        <f t="shared" si="36"/>
        <v>0.0519718679596088</v>
      </c>
      <c r="K57" s="360">
        <f t="shared" si="36"/>
        <v>0.041577494367687</v>
      </c>
      <c r="L57" s="360">
        <f t="shared" si="36"/>
        <v>0.0519718679596088</v>
      </c>
      <c r="M57" s="360">
        <f t="shared" si="36"/>
        <v>0.041577494367687</v>
      </c>
      <c r="N57" s="360">
        <f t="shared" si="36"/>
        <v>0.0519718679596088</v>
      </c>
      <c r="O57" s="360">
        <f t="shared" si="36"/>
        <v>0.041577494367687</v>
      </c>
      <c r="P57" s="360">
        <f t="shared" si="36"/>
        <v>0.0519718679596088</v>
      </c>
      <c r="Q57" s="360">
        <f t="shared" si="36"/>
        <v>0.041577494367687</v>
      </c>
      <c r="R57" s="360">
        <f t="shared" si="36"/>
        <v>0.0519718679596088</v>
      </c>
      <c r="S57" s="360">
        <f t="shared" si="36"/>
        <v>0.041577494367687</v>
      </c>
      <c r="T57" s="360">
        <f t="shared" si="36"/>
        <v>0.0519718679596088</v>
      </c>
      <c r="U57" s="360">
        <f t="shared" si="36"/>
        <v>0.041577494367687</v>
      </c>
      <c r="V57" s="360">
        <f t="shared" si="36"/>
        <v>0.0519718679596088</v>
      </c>
      <c r="W57" s="360">
        <f t="shared" si="36"/>
        <v>0.041577494367687</v>
      </c>
      <c r="X57" s="360">
        <f t="shared" si="36"/>
        <v>0.0519718679596088</v>
      </c>
      <c r="Y57" s="360">
        <f t="shared" si="36"/>
        <v>0.041577494367687</v>
      </c>
      <c r="Z57" s="360">
        <f t="shared" si="36"/>
        <v>0.0519718679596088</v>
      </c>
    </row>
    <row r="58" ht="22.5" customHeight="1" spans="1:27">
      <c r="A58" s="296"/>
      <c r="B58" s="351" t="s">
        <v>184</v>
      </c>
      <c r="C58" s="360">
        <f>C40/C11</f>
        <v>0</v>
      </c>
      <c r="D58" s="360">
        <f>D40/D11</f>
        <v>0</v>
      </c>
      <c r="E58" s="360">
        <f t="shared" ref="E58:Z58" si="37">E40/E10</f>
        <v>0</v>
      </c>
      <c r="F58" s="360">
        <f t="shared" si="37"/>
        <v>0</v>
      </c>
      <c r="G58" s="360">
        <f t="shared" si="37"/>
        <v>0</v>
      </c>
      <c r="H58" s="360">
        <f t="shared" si="37"/>
        <v>0</v>
      </c>
      <c r="I58" s="360">
        <f t="shared" si="37"/>
        <v>0</v>
      </c>
      <c r="J58" s="360">
        <f t="shared" si="37"/>
        <v>0</v>
      </c>
      <c r="K58" s="360">
        <f t="shared" si="37"/>
        <v>0</v>
      </c>
      <c r="L58" s="360">
        <f t="shared" si="37"/>
        <v>0</v>
      </c>
      <c r="M58" s="360">
        <f t="shared" si="37"/>
        <v>0</v>
      </c>
      <c r="N58" s="360">
        <f t="shared" si="37"/>
        <v>0</v>
      </c>
      <c r="O58" s="360">
        <f t="shared" si="37"/>
        <v>0</v>
      </c>
      <c r="P58" s="360">
        <f t="shared" si="37"/>
        <v>0</v>
      </c>
      <c r="Q58" s="360">
        <f t="shared" si="37"/>
        <v>0</v>
      </c>
      <c r="R58" s="360">
        <f t="shared" si="37"/>
        <v>0</v>
      </c>
      <c r="S58" s="360">
        <f t="shared" si="37"/>
        <v>0</v>
      </c>
      <c r="T58" s="360">
        <f t="shared" si="37"/>
        <v>0</v>
      </c>
      <c r="U58" s="360">
        <f t="shared" si="37"/>
        <v>0</v>
      </c>
      <c r="V58" s="360">
        <f t="shared" si="37"/>
        <v>0</v>
      </c>
      <c r="W58" s="360">
        <f t="shared" si="37"/>
        <v>0</v>
      </c>
      <c r="X58" s="360">
        <f t="shared" si="37"/>
        <v>0</v>
      </c>
      <c r="Y58" s="360">
        <f t="shared" si="37"/>
        <v>0</v>
      </c>
      <c r="Z58" s="360">
        <f t="shared" si="37"/>
        <v>0</v>
      </c>
    </row>
    <row r="59" ht="22.5" customHeight="1" spans="1:27">
      <c r="A59" s="296"/>
      <c r="B59" s="351" t="s">
        <v>185</v>
      </c>
      <c r="C59" s="360">
        <f>C41/C11</f>
        <v>0.0327124206350874</v>
      </c>
      <c r="D59" s="360">
        <f>D41/D11</f>
        <v>0.0231712979498536</v>
      </c>
      <c r="E59" s="360">
        <f t="shared" ref="E59:Z59" si="38">E41/E10</f>
        <v>0.0623093726382617</v>
      </c>
      <c r="F59" s="360">
        <f t="shared" si="38"/>
        <v>0.0623093726382617</v>
      </c>
      <c r="G59" s="360">
        <f t="shared" si="38"/>
        <v>0.0623093726382617</v>
      </c>
      <c r="H59" s="360">
        <f t="shared" si="38"/>
        <v>0.0623093726382617</v>
      </c>
      <c r="I59" s="360">
        <f t="shared" si="38"/>
        <v>0.0623093726382617</v>
      </c>
      <c r="J59" s="360">
        <f t="shared" si="38"/>
        <v>0.0778867157978271</v>
      </c>
      <c r="K59" s="360">
        <f t="shared" si="38"/>
        <v>0.0623093726382617</v>
      </c>
      <c r="L59" s="360">
        <f t="shared" si="38"/>
        <v>0.0778867157978271</v>
      </c>
      <c r="M59" s="360">
        <f t="shared" si="38"/>
        <v>0.0623093726382617</v>
      </c>
      <c r="N59" s="360">
        <f t="shared" si="38"/>
        <v>0.0778867157978271</v>
      </c>
      <c r="O59" s="360">
        <f t="shared" si="38"/>
        <v>0.0623093726382617</v>
      </c>
      <c r="P59" s="360">
        <f t="shared" si="38"/>
        <v>0.0778867157978271</v>
      </c>
      <c r="Q59" s="360">
        <f t="shared" si="38"/>
        <v>0.0623093726382617</v>
      </c>
      <c r="R59" s="360">
        <f t="shared" si="38"/>
        <v>0.0778867157978271</v>
      </c>
      <c r="S59" s="360">
        <f t="shared" si="38"/>
        <v>0.0623093726382617</v>
      </c>
      <c r="T59" s="360">
        <f t="shared" si="38"/>
        <v>0.0778867157978271</v>
      </c>
      <c r="U59" s="360">
        <f t="shared" si="38"/>
        <v>0.0623093726382617</v>
      </c>
      <c r="V59" s="360">
        <f t="shared" si="38"/>
        <v>0.0778867157978271</v>
      </c>
      <c r="W59" s="360">
        <f t="shared" si="38"/>
        <v>0.0623093726382617</v>
      </c>
      <c r="X59" s="360">
        <f t="shared" si="38"/>
        <v>0.0778867157978271</v>
      </c>
      <c r="Y59" s="360">
        <f t="shared" si="38"/>
        <v>0.0623093726382617</v>
      </c>
      <c r="Z59" s="360">
        <f t="shared" si="38"/>
        <v>0.0778867157978271</v>
      </c>
    </row>
    <row r="60" ht="22.5" customHeight="1" spans="1:27">
      <c r="A60" s="296"/>
      <c r="B60" s="351" t="s">
        <v>186</v>
      </c>
      <c r="C60" s="360">
        <f t="shared" ref="C60:Z60" si="39">(15%+0.4%)</f>
        <v>0.154</v>
      </c>
      <c r="D60" s="360">
        <f t="shared" si="39"/>
        <v>0.154</v>
      </c>
      <c r="E60" s="360">
        <f t="shared" si="39"/>
        <v>0.154</v>
      </c>
      <c r="F60" s="360">
        <f t="shared" si="39"/>
        <v>0.154</v>
      </c>
      <c r="G60" s="360">
        <f t="shared" si="39"/>
        <v>0.154</v>
      </c>
      <c r="H60" s="360">
        <f t="shared" si="39"/>
        <v>0.154</v>
      </c>
      <c r="I60" s="360">
        <f t="shared" si="39"/>
        <v>0.154</v>
      </c>
      <c r="J60" s="360">
        <f t="shared" si="39"/>
        <v>0.154</v>
      </c>
      <c r="K60" s="360">
        <f t="shared" si="39"/>
        <v>0.154</v>
      </c>
      <c r="L60" s="360">
        <f t="shared" si="39"/>
        <v>0.154</v>
      </c>
      <c r="M60" s="360">
        <f t="shared" si="39"/>
        <v>0.154</v>
      </c>
      <c r="N60" s="360">
        <f t="shared" si="39"/>
        <v>0.154</v>
      </c>
      <c r="O60" s="360">
        <f t="shared" si="39"/>
        <v>0.154</v>
      </c>
      <c r="P60" s="360">
        <f t="shared" si="39"/>
        <v>0.154</v>
      </c>
      <c r="Q60" s="360">
        <f t="shared" si="39"/>
        <v>0.154</v>
      </c>
      <c r="R60" s="360">
        <f t="shared" si="39"/>
        <v>0.154</v>
      </c>
      <c r="S60" s="360">
        <f t="shared" si="39"/>
        <v>0.154</v>
      </c>
      <c r="T60" s="360">
        <f t="shared" si="39"/>
        <v>0.154</v>
      </c>
      <c r="U60" s="360">
        <f t="shared" si="39"/>
        <v>0.154</v>
      </c>
      <c r="V60" s="360">
        <f t="shared" si="39"/>
        <v>0.154</v>
      </c>
      <c r="W60" s="360">
        <f t="shared" si="39"/>
        <v>0.154</v>
      </c>
      <c r="X60" s="360">
        <f t="shared" si="39"/>
        <v>0.154</v>
      </c>
      <c r="Y60" s="360">
        <f t="shared" si="39"/>
        <v>0.154</v>
      </c>
      <c r="Z60" s="360">
        <f t="shared" si="39"/>
        <v>0.154</v>
      </c>
    </row>
    <row r="61" ht="22.5" customHeight="1" spans="1:27">
      <c r="A61" s="296"/>
      <c r="B61" s="351" t="s">
        <v>187</v>
      </c>
      <c r="C61" s="360">
        <f>C43/C10</f>
        <v>0</v>
      </c>
      <c r="D61" s="360">
        <f>D43/D10</f>
        <v>0</v>
      </c>
      <c r="E61" s="360">
        <f t="shared" ref="E61:Z61" si="40">E43/E10</f>
        <v>0</v>
      </c>
      <c r="F61" s="360">
        <f t="shared" si="40"/>
        <v>0</v>
      </c>
      <c r="G61" s="360">
        <f t="shared" si="40"/>
        <v>0</v>
      </c>
      <c r="H61" s="360">
        <f t="shared" si="40"/>
        <v>0</v>
      </c>
      <c r="I61" s="360">
        <f t="shared" si="40"/>
        <v>0</v>
      </c>
      <c r="J61" s="360">
        <f t="shared" si="40"/>
        <v>0</v>
      </c>
      <c r="K61" s="360">
        <f t="shared" si="40"/>
        <v>0</v>
      </c>
      <c r="L61" s="360">
        <f t="shared" si="40"/>
        <v>0</v>
      </c>
      <c r="M61" s="360">
        <f t="shared" si="40"/>
        <v>0</v>
      </c>
      <c r="N61" s="360">
        <f t="shared" si="40"/>
        <v>0</v>
      </c>
      <c r="O61" s="360">
        <f t="shared" si="40"/>
        <v>0</v>
      </c>
      <c r="P61" s="360">
        <f t="shared" si="40"/>
        <v>0</v>
      </c>
      <c r="Q61" s="360">
        <f t="shared" si="40"/>
        <v>0</v>
      </c>
      <c r="R61" s="360">
        <f t="shared" si="40"/>
        <v>0</v>
      </c>
      <c r="S61" s="360">
        <f t="shared" si="40"/>
        <v>0</v>
      </c>
      <c r="T61" s="360">
        <f t="shared" si="40"/>
        <v>0</v>
      </c>
      <c r="U61" s="360">
        <f t="shared" si="40"/>
        <v>0</v>
      </c>
      <c r="V61" s="360">
        <f t="shared" si="40"/>
        <v>0</v>
      </c>
      <c r="W61" s="360">
        <f t="shared" si="40"/>
        <v>0</v>
      </c>
      <c r="X61" s="360">
        <f t="shared" si="40"/>
        <v>0</v>
      </c>
      <c r="Y61" s="360">
        <f t="shared" si="40"/>
        <v>0</v>
      </c>
      <c r="Z61" s="360">
        <f t="shared" si="40"/>
        <v>0</v>
      </c>
    </row>
    <row r="62" ht="22.5" customHeight="1" spans="1:27">
      <c r="A62" s="296"/>
      <c r="B62" s="356" t="s">
        <v>188</v>
      </c>
      <c r="C62" s="360">
        <v>0</v>
      </c>
      <c r="D62" s="360">
        <v>0</v>
      </c>
      <c r="E62" s="360">
        <v>0</v>
      </c>
      <c r="F62" s="360">
        <v>0.05</v>
      </c>
      <c r="G62" s="360">
        <v>0.05</v>
      </c>
      <c r="H62" s="360">
        <v>0.05</v>
      </c>
      <c r="I62" s="360">
        <v>0.05</v>
      </c>
      <c r="J62" s="360">
        <v>0.05</v>
      </c>
      <c r="K62" s="360">
        <v>0.05</v>
      </c>
      <c r="L62" s="360">
        <v>0.05</v>
      </c>
      <c r="M62" s="360">
        <v>0.05</v>
      </c>
      <c r="N62" s="360">
        <v>0.05</v>
      </c>
      <c r="O62" s="360">
        <v>0.05</v>
      </c>
      <c r="P62" s="360">
        <v>0.05</v>
      </c>
      <c r="Q62" s="360">
        <v>0.05</v>
      </c>
      <c r="R62" s="360">
        <v>0.05</v>
      </c>
      <c r="S62" s="360">
        <v>0.05</v>
      </c>
      <c r="T62" s="360">
        <v>0.05</v>
      </c>
      <c r="U62" s="360">
        <v>0.05</v>
      </c>
      <c r="V62" s="360">
        <v>0.05</v>
      </c>
      <c r="W62" s="360">
        <v>0.05</v>
      </c>
      <c r="X62" s="360">
        <v>0.05</v>
      </c>
      <c r="Y62" s="360">
        <v>0.05</v>
      </c>
      <c r="Z62" s="360">
        <v>0.05</v>
      </c>
    </row>
    <row r="63" ht="22.5" customHeight="1" spans="1:27">
      <c r="A63" s="296"/>
      <c r="B63" s="351" t="s">
        <v>189</v>
      </c>
      <c r="C63" s="360">
        <v>0.02</v>
      </c>
      <c r="D63" s="360">
        <v>0.02</v>
      </c>
      <c r="E63" s="360">
        <v>0.02</v>
      </c>
      <c r="F63" s="360">
        <v>0.02</v>
      </c>
      <c r="G63" s="360">
        <v>0.02</v>
      </c>
      <c r="H63" s="360">
        <v>0.02</v>
      </c>
      <c r="I63" s="360">
        <v>0.02</v>
      </c>
      <c r="J63" s="360">
        <v>0.02</v>
      </c>
      <c r="K63" s="360">
        <v>0.02</v>
      </c>
      <c r="L63" s="360">
        <v>0.02</v>
      </c>
      <c r="M63" s="360">
        <v>0.02</v>
      </c>
      <c r="N63" s="360">
        <v>0.02</v>
      </c>
      <c r="O63" s="360">
        <v>0.02</v>
      </c>
      <c r="P63" s="360">
        <v>0.02</v>
      </c>
      <c r="Q63" s="360">
        <v>0.02</v>
      </c>
      <c r="R63" s="360">
        <v>0.02</v>
      </c>
      <c r="S63" s="360">
        <v>0.02</v>
      </c>
      <c r="T63" s="360">
        <v>0.02</v>
      </c>
      <c r="U63" s="360">
        <v>0.02</v>
      </c>
      <c r="V63" s="360">
        <v>0.02</v>
      </c>
      <c r="W63" s="360">
        <v>0.02</v>
      </c>
      <c r="X63" s="360">
        <v>0.02</v>
      </c>
      <c r="Y63" s="360">
        <v>0.02</v>
      </c>
      <c r="Z63" s="360">
        <v>0.02</v>
      </c>
    </row>
    <row r="64" ht="22.5" customHeight="1" spans="1:27">
      <c r="A64" s="296"/>
      <c r="B64" s="351" t="s">
        <v>190</v>
      </c>
      <c r="C64" s="360">
        <f t="shared" ref="C64:Z64" si="41">C46/C10</f>
        <v>0.374439140750562</v>
      </c>
      <c r="D64" s="360">
        <f t="shared" si="41"/>
        <v>0.400437005562317</v>
      </c>
      <c r="E64" s="360">
        <f t="shared" si="41"/>
        <v>0.432785149214076</v>
      </c>
      <c r="F64" s="360">
        <f t="shared" si="41"/>
        <v>0.482785149214076</v>
      </c>
      <c r="G64" s="360">
        <f t="shared" si="41"/>
        <v>0.482785149214076</v>
      </c>
      <c r="H64" s="360">
        <f t="shared" si="41"/>
        <v>0.482785149214076</v>
      </c>
      <c r="I64" s="360">
        <f t="shared" si="41"/>
        <v>0.482785149214076</v>
      </c>
      <c r="J64" s="360">
        <f t="shared" si="41"/>
        <v>0.547481436517596</v>
      </c>
      <c r="K64" s="360">
        <f t="shared" si="41"/>
        <v>0.482785149214076</v>
      </c>
      <c r="L64" s="360">
        <f t="shared" si="41"/>
        <v>0.547481436517596</v>
      </c>
      <c r="M64" s="360">
        <f t="shared" si="41"/>
        <v>0.482785149214076</v>
      </c>
      <c r="N64" s="360">
        <f t="shared" si="41"/>
        <v>0.547481436517596</v>
      </c>
      <c r="O64" s="360">
        <f t="shared" si="41"/>
        <v>0.482785149214076</v>
      </c>
      <c r="P64" s="360">
        <f t="shared" si="41"/>
        <v>0.547481436517595</v>
      </c>
      <c r="Q64" s="360">
        <f t="shared" si="41"/>
        <v>0.482785149214076</v>
      </c>
      <c r="R64" s="360">
        <f t="shared" si="41"/>
        <v>0.547481436517596</v>
      </c>
      <c r="S64" s="360">
        <f t="shared" si="41"/>
        <v>0.482785149214076</v>
      </c>
      <c r="T64" s="360">
        <f t="shared" si="41"/>
        <v>0.547481436517596</v>
      </c>
      <c r="U64" s="360">
        <f t="shared" si="41"/>
        <v>0.482785149214076</v>
      </c>
      <c r="V64" s="360">
        <f t="shared" si="41"/>
        <v>0.547481436517595</v>
      </c>
      <c r="W64" s="360">
        <f t="shared" si="41"/>
        <v>0.482785149214076</v>
      </c>
      <c r="X64" s="360">
        <f t="shared" si="41"/>
        <v>0.547481436517596</v>
      </c>
      <c r="Y64" s="360">
        <f t="shared" si="41"/>
        <v>0.482785149214076</v>
      </c>
      <c r="Z64" s="360">
        <f t="shared" si="41"/>
        <v>0.547481436517595</v>
      </c>
    </row>
    <row r="65" ht="22.5" customHeight="1" spans="1:27">
      <c r="A65" s="296" t="s">
        <v>191</v>
      </c>
      <c r="B65" s="361" t="s">
        <v>192</v>
      </c>
      <c r="C65" s="331">
        <v>500</v>
      </c>
      <c r="D65" s="331">
        <f>C65-C13</f>
        <v>470</v>
      </c>
      <c r="E65" s="331">
        <f>D65-D13</f>
        <v>430</v>
      </c>
      <c r="F65" s="331">
        <f t="shared" ref="F65:Z65" si="42">E65-E12</f>
        <v>404</v>
      </c>
      <c r="G65" s="331">
        <f t="shared" si="42"/>
        <v>377</v>
      </c>
      <c r="H65" s="331">
        <f t="shared" si="42"/>
        <v>326</v>
      </c>
      <c r="I65" s="331">
        <f t="shared" si="42"/>
        <v>251</v>
      </c>
      <c r="J65" s="331">
        <f t="shared" si="42"/>
        <v>156</v>
      </c>
      <c r="K65" s="331">
        <f t="shared" si="42"/>
        <v>34</v>
      </c>
      <c r="L65" s="331">
        <f t="shared" si="42"/>
        <v>-108</v>
      </c>
      <c r="M65" s="331">
        <f t="shared" si="42"/>
        <v>-286</v>
      </c>
      <c r="N65" s="331">
        <f t="shared" si="42"/>
        <v>-474</v>
      </c>
      <c r="O65" s="331">
        <f t="shared" si="42"/>
        <v>-809</v>
      </c>
      <c r="P65" s="331">
        <f t="shared" si="42"/>
        <v>-1144</v>
      </c>
      <c r="Q65" s="331">
        <f t="shared" si="42"/>
        <v>-1486</v>
      </c>
      <c r="R65" s="331">
        <f t="shared" si="42"/>
        <v>-1828</v>
      </c>
      <c r="S65" s="331">
        <f t="shared" si="42"/>
        <v>-2177</v>
      </c>
      <c r="T65" s="331">
        <f t="shared" si="42"/>
        <v>-2526</v>
      </c>
      <c r="U65" s="331">
        <f t="shared" si="42"/>
        <v>-2882</v>
      </c>
      <c r="V65" s="331">
        <f t="shared" si="42"/>
        <v>-3238</v>
      </c>
      <c r="W65" s="331">
        <f t="shared" si="42"/>
        <v>-3601</v>
      </c>
      <c r="X65" s="331">
        <f t="shared" si="42"/>
        <v>-3964</v>
      </c>
      <c r="Y65" s="331">
        <f t="shared" si="42"/>
        <v>-4334</v>
      </c>
      <c r="Z65" s="331">
        <f t="shared" si="42"/>
        <v>-4704</v>
      </c>
    </row>
    <row r="66" ht="22.5" customHeight="1" spans="1:27">
      <c r="A66" s="296"/>
      <c r="B66" s="344" t="s">
        <v>193</v>
      </c>
      <c r="C66" s="331">
        <f t="shared" ref="C66:Z66" si="43">C65*122.57</f>
        <v>61285</v>
      </c>
      <c r="D66" s="331">
        <f t="shared" si="43"/>
        <v>57607.9</v>
      </c>
      <c r="E66" s="331">
        <f t="shared" si="43"/>
        <v>52705.1</v>
      </c>
      <c r="F66" s="331">
        <f t="shared" si="43"/>
        <v>49518.28</v>
      </c>
      <c r="G66" s="331">
        <f t="shared" si="43"/>
        <v>46208.89</v>
      </c>
      <c r="H66" s="331">
        <f t="shared" si="43"/>
        <v>39957.82</v>
      </c>
      <c r="I66" s="331">
        <f t="shared" si="43"/>
        <v>30765.07</v>
      </c>
      <c r="J66" s="331">
        <f t="shared" si="43"/>
        <v>19120.92</v>
      </c>
      <c r="K66" s="331">
        <f t="shared" si="43"/>
        <v>4167.38</v>
      </c>
      <c r="L66" s="331">
        <f t="shared" si="43"/>
        <v>-13237.56</v>
      </c>
      <c r="M66" s="331">
        <f t="shared" si="43"/>
        <v>-35055.02</v>
      </c>
      <c r="N66" s="331">
        <f t="shared" si="43"/>
        <v>-58098.18</v>
      </c>
      <c r="O66" s="331">
        <f t="shared" si="43"/>
        <v>-99159.13</v>
      </c>
      <c r="P66" s="331">
        <f t="shared" si="43"/>
        <v>-140220.08</v>
      </c>
      <c r="Q66" s="331">
        <f t="shared" si="43"/>
        <v>-182139.02</v>
      </c>
      <c r="R66" s="331">
        <f t="shared" si="43"/>
        <v>-224057.96</v>
      </c>
      <c r="S66" s="331">
        <f t="shared" si="43"/>
        <v>-266834.89</v>
      </c>
      <c r="T66" s="331">
        <f t="shared" si="43"/>
        <v>-309611.82</v>
      </c>
      <c r="U66" s="331">
        <f t="shared" si="43"/>
        <v>-353246.74</v>
      </c>
      <c r="V66" s="331">
        <f t="shared" si="43"/>
        <v>-396881.66</v>
      </c>
      <c r="W66" s="331">
        <f t="shared" si="43"/>
        <v>-441374.57</v>
      </c>
      <c r="X66" s="331">
        <f t="shared" si="43"/>
        <v>-485867.48</v>
      </c>
      <c r="Y66" s="331">
        <f t="shared" si="43"/>
        <v>-531218.38</v>
      </c>
      <c r="Z66" s="331">
        <f t="shared" si="43"/>
        <v>-576569.28</v>
      </c>
    </row>
    <row r="67" ht="22.5" customHeight="1" spans="1:27">
      <c r="A67" s="296" t="s">
        <v>194</v>
      </c>
      <c r="B67" s="344" t="s">
        <v>195</v>
      </c>
      <c r="C67" s="362">
        <f t="shared" ref="C67:Z67" si="44">C66+C38+C39+C43+C45+C28</f>
        <v>66283.848565</v>
      </c>
      <c r="D67" s="362">
        <f t="shared" si="44"/>
        <v>72492.1527</v>
      </c>
      <c r="E67" s="362">
        <f t="shared" si="44"/>
        <v>61561.466507</v>
      </c>
      <c r="F67" s="362">
        <f t="shared" si="44"/>
        <v>57508.3554265</v>
      </c>
      <c r="G67" s="362">
        <f t="shared" si="44"/>
        <v>58123.7728195</v>
      </c>
      <c r="H67" s="362">
        <f t="shared" si="44"/>
        <v>55983.8036875</v>
      </c>
      <c r="I67" s="362">
        <f t="shared" si="44"/>
        <v>50216.9710775</v>
      </c>
      <c r="J67" s="362">
        <f t="shared" si="44"/>
        <v>43650.8996432</v>
      </c>
      <c r="K67" s="362">
        <f t="shared" si="44"/>
        <v>31816.393469</v>
      </c>
      <c r="L67" s="362">
        <f t="shared" si="44"/>
        <v>20014.7038168</v>
      </c>
      <c r="M67" s="362">
        <f t="shared" si="44"/>
        <v>473.603466000003</v>
      </c>
      <c r="N67" s="362">
        <f t="shared" si="44"/>
        <v>1550.603026</v>
      </c>
      <c r="O67" s="362">
        <f t="shared" si="44"/>
        <v>-38450.0137175</v>
      </c>
      <c r="P67" s="362">
        <f t="shared" si="44"/>
        <v>-79394.3821048</v>
      </c>
      <c r="Q67" s="362">
        <f t="shared" si="44"/>
        <v>-120230.832631</v>
      </c>
      <c r="R67" s="362">
        <f t="shared" si="44"/>
        <v>-162055.3472356</v>
      </c>
      <c r="S67" s="362">
        <f t="shared" si="44"/>
        <v>-203727.6315445</v>
      </c>
      <c r="T67" s="362">
        <f t="shared" si="44"/>
        <v>-246432.2923664</v>
      </c>
      <c r="U67" s="362">
        <f t="shared" si="44"/>
        <v>-288940.410458</v>
      </c>
      <c r="V67" s="362">
        <f t="shared" si="44"/>
        <v>-332525.2174972</v>
      </c>
      <c r="W67" s="362">
        <f t="shared" si="44"/>
        <v>-375869.1693715</v>
      </c>
      <c r="X67" s="362">
        <f t="shared" si="44"/>
        <v>-420334.122628</v>
      </c>
      <c r="Y67" s="362">
        <f t="shared" si="44"/>
        <v>-464513.908285</v>
      </c>
      <c r="Z67" s="362">
        <f t="shared" si="44"/>
        <v>-561475.131308</v>
      </c>
      <c r="AA67" s="363">
        <f>SUM(C67:Z67)</f>
        <v>-2774271.8849435</v>
      </c>
    </row>
    <row r="68" ht="22.5" customHeight="1" spans="1:27">
      <c r="A68" s="296"/>
      <c r="B68" s="344" t="s">
        <v>196</v>
      </c>
      <c r="C68" s="362">
        <f t="shared" ref="C68:Z68" si="45">C66+C38+C39+C40+C43+C45+C29</f>
        <v>66283.848565</v>
      </c>
      <c r="D68" s="362">
        <f t="shared" si="45"/>
        <v>70586.2477</v>
      </c>
      <c r="E68" s="362">
        <f t="shared" si="45"/>
        <v>60705.233032</v>
      </c>
      <c r="F68" s="362">
        <f t="shared" si="45"/>
        <v>54143.2684765</v>
      </c>
      <c r="G68" s="362">
        <f t="shared" si="45"/>
        <v>54944.9793445</v>
      </c>
      <c r="H68" s="362">
        <f t="shared" si="45"/>
        <v>52805.0102125</v>
      </c>
      <c r="I68" s="362">
        <f t="shared" si="45"/>
        <v>47038.1776025</v>
      </c>
      <c r="J68" s="362">
        <f t="shared" si="45"/>
        <v>39632.8648632</v>
      </c>
      <c r="K68" s="362">
        <f t="shared" si="45"/>
        <v>28491.393469</v>
      </c>
      <c r="L68" s="362">
        <f t="shared" si="45"/>
        <v>16689.7038168</v>
      </c>
      <c r="M68" s="362">
        <f t="shared" si="45"/>
        <v>-2851.396534</v>
      </c>
      <c r="N68" s="362">
        <f t="shared" si="45"/>
        <v>-1774.396974</v>
      </c>
      <c r="O68" s="362">
        <f t="shared" si="45"/>
        <v>-41775.0137175</v>
      </c>
      <c r="P68" s="362">
        <f t="shared" si="45"/>
        <v>-82719.3821048</v>
      </c>
      <c r="Q68" s="362">
        <f t="shared" si="45"/>
        <v>-123555.832631</v>
      </c>
      <c r="R68" s="362">
        <f t="shared" si="45"/>
        <v>-165380.3472356</v>
      </c>
      <c r="S68" s="362">
        <f t="shared" si="45"/>
        <v>-207052.6315445</v>
      </c>
      <c r="T68" s="362">
        <f t="shared" si="45"/>
        <v>-249757.2923664</v>
      </c>
      <c r="U68" s="362">
        <f t="shared" si="45"/>
        <v>-292265.410458</v>
      </c>
      <c r="V68" s="362">
        <f t="shared" si="45"/>
        <v>-335850.2174972</v>
      </c>
      <c r="W68" s="362">
        <f t="shared" si="45"/>
        <v>-379194.1693715</v>
      </c>
      <c r="X68" s="362">
        <f t="shared" si="45"/>
        <v>-423659.122628</v>
      </c>
      <c r="Y68" s="362">
        <f t="shared" si="45"/>
        <v>-467838.908285</v>
      </c>
      <c r="Z68" s="362">
        <f t="shared" si="45"/>
        <v>-564800.131308</v>
      </c>
      <c r="AA68" s="363">
        <f>SUM(C68:Z68)</f>
        <v>-2847153.5255735</v>
      </c>
    </row>
  </sheetData>
  <mergeCells count="32">
    <mergeCell ref="A1:B1"/>
    <mergeCell ref="C1:F1"/>
    <mergeCell ref="G1:J1"/>
    <mergeCell ref="K1:N1"/>
    <mergeCell ref="O1:R1"/>
    <mergeCell ref="S1:V1"/>
    <mergeCell ref="W1:Z1"/>
    <mergeCell ref="A2:B2"/>
    <mergeCell ref="C2:F2"/>
    <mergeCell ref="G2:J2"/>
    <mergeCell ref="K2:N2"/>
    <mergeCell ref="O2:R2"/>
    <mergeCell ref="S2:V2"/>
    <mergeCell ref="W2:Z2"/>
    <mergeCell ref="A3:B3"/>
    <mergeCell ref="C5:F5"/>
    <mergeCell ref="G5:J5"/>
    <mergeCell ref="K5:N5"/>
    <mergeCell ref="O5:R5"/>
    <mergeCell ref="S5:V5"/>
    <mergeCell ref="W5:Z5"/>
    <mergeCell ref="A6:A7"/>
    <mergeCell ref="A8:A9"/>
    <mergeCell ref="A10:A17"/>
    <mergeCell ref="A18:A21"/>
    <mergeCell ref="A22:A29"/>
    <mergeCell ref="A30:A37"/>
    <mergeCell ref="A38:A46"/>
    <mergeCell ref="A47:A55"/>
    <mergeCell ref="A56:A64"/>
    <mergeCell ref="A65:A66"/>
    <mergeCell ref="A67:A68"/>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8FA1C"/>
  </sheetPr>
  <dimension ref="A1:T184"/>
  <sheetViews>
    <sheetView workbookViewId="0">
      <pane ySplit="1" topLeftCell="A2" activePane="bottomLeft" state="frozen"/>
      <selection/>
      <selection pane="bottomLeft" activeCell="C16" sqref="C16"/>
    </sheetView>
  </sheetViews>
  <sheetFormatPr defaultColWidth="17" defaultRowHeight="11.4"/>
  <cols>
    <col min="1" max="1" width="19.375" customWidth="1"/>
    <col min="2" max="2" width="21.3020833333333" customWidth="1"/>
    <col min="3" max="3" width="28.1145833333333" customWidth="1"/>
    <col min="4" max="7" width="15.0208333333333" customWidth="1"/>
    <col min="8" max="8" width="21.8333333333333" customWidth="1"/>
    <col min="9" max="9" width="15.0208333333333" customWidth="1"/>
    <col min="10" max="10" width="23.03125" customWidth="1"/>
    <col min="11" max="11" width="8.89583333333333" customWidth="1"/>
    <col min="12" max="20" width="23.03125" customWidth="1"/>
  </cols>
  <sheetData>
    <row r="1" ht="24.75" customHeight="1" spans="1:20">
      <c r="A1" s="245" t="s">
        <v>197</v>
      </c>
      <c r="B1" s="246" t="s">
        <v>198</v>
      </c>
      <c r="C1" s="246" t="s">
        <v>199</v>
      </c>
      <c r="D1" s="246" t="s">
        <v>200</v>
      </c>
      <c r="E1" s="246" t="s">
        <v>201</v>
      </c>
      <c r="F1" s="246" t="s">
        <v>202</v>
      </c>
      <c r="G1" s="246" t="s">
        <v>203</v>
      </c>
      <c r="H1" s="246" t="s">
        <v>204</v>
      </c>
      <c r="I1" s="246" t="s">
        <v>205</v>
      </c>
      <c r="J1" s="247" t="s">
        <v>206</v>
      </c>
      <c r="K1" s="248" t="s">
        <v>207</v>
      </c>
      <c r="L1" s="247" t="s">
        <v>208</v>
      </c>
      <c r="M1" s="247" t="s">
        <v>209</v>
      </c>
      <c r="N1" s="249" t="s">
        <v>210</v>
      </c>
      <c r="O1" s="250" t="s">
        <v>211</v>
      </c>
      <c r="P1" s="251"/>
      <c r="Q1" s="251"/>
      <c r="R1" s="251"/>
      <c r="S1" s="9"/>
      <c r="T1" s="9"/>
    </row>
    <row r="2" ht="17.25" customHeight="1" spans="1:20">
      <c r="A2" s="252" t="s">
        <v>212</v>
      </c>
      <c r="B2" s="252">
        <v>45791</v>
      </c>
      <c r="C2" s="253"/>
      <c r="D2" s="254"/>
      <c r="E2" s="254"/>
      <c r="F2" s="254"/>
      <c r="G2" s="253">
        <v>30</v>
      </c>
      <c r="H2" s="254"/>
      <c r="I2" s="252" t="s">
        <v>145</v>
      </c>
      <c r="J2" s="252">
        <v>45801</v>
      </c>
      <c r="K2" s="253" t="s">
        <v>213</v>
      </c>
      <c r="L2" s="255"/>
      <c r="M2" s="252"/>
      <c r="N2" s="83"/>
      <c r="O2" s="83"/>
      <c r="P2" s="256" t="s">
        <v>214</v>
      </c>
      <c r="Q2" s="62"/>
      <c r="R2" s="62"/>
      <c r="S2" s="9"/>
      <c r="T2" s="9"/>
    </row>
    <row r="3" spans="1:20">
      <c r="A3" s="252" t="s">
        <v>212</v>
      </c>
      <c r="B3" s="252">
        <v>45791</v>
      </c>
      <c r="C3" s="254"/>
      <c r="D3" s="254"/>
      <c r="E3" s="254"/>
      <c r="F3" s="254"/>
      <c r="G3" s="253">
        <v>30</v>
      </c>
      <c r="H3" s="254"/>
      <c r="I3" s="252" t="s">
        <v>145</v>
      </c>
      <c r="J3" s="252">
        <v>45809</v>
      </c>
      <c r="K3" s="253" t="s">
        <v>213</v>
      </c>
      <c r="L3" s="255"/>
      <c r="M3" s="252"/>
      <c r="N3" s="62"/>
      <c r="O3" s="62"/>
      <c r="P3" s="62"/>
      <c r="Q3" s="62"/>
      <c r="R3" s="62"/>
      <c r="S3" s="9"/>
      <c r="T3" s="9"/>
    </row>
    <row r="4" spans="1:20">
      <c r="A4" s="252" t="s">
        <v>212</v>
      </c>
      <c r="B4" s="252">
        <v>45791</v>
      </c>
      <c r="C4" s="254"/>
      <c r="D4" s="254"/>
      <c r="E4" s="254"/>
      <c r="F4" s="254"/>
      <c r="G4" s="254"/>
      <c r="H4" s="254"/>
      <c r="I4" s="252" t="s">
        <v>145</v>
      </c>
      <c r="J4" s="257"/>
      <c r="K4" s="253"/>
      <c r="L4" s="258" t="s">
        <v>215</v>
      </c>
      <c r="M4" s="252"/>
      <c r="N4" s="62"/>
      <c r="O4" s="62"/>
      <c r="P4" s="62"/>
      <c r="Q4" s="62"/>
      <c r="R4" s="62"/>
      <c r="S4" s="201"/>
      <c r="T4" s="201"/>
    </row>
    <row r="5" spans="1:20">
      <c r="A5" s="252" t="s">
        <v>212</v>
      </c>
      <c r="B5" s="252">
        <v>45791</v>
      </c>
      <c r="C5" s="254"/>
      <c r="D5" s="254"/>
      <c r="E5" s="254"/>
      <c r="F5" s="254"/>
      <c r="G5" s="254"/>
      <c r="H5" s="254"/>
      <c r="I5" s="252" t="s">
        <v>145</v>
      </c>
      <c r="J5" s="257"/>
      <c r="K5" s="253"/>
      <c r="L5" s="257"/>
      <c r="M5" s="252"/>
      <c r="N5" s="62"/>
      <c r="O5" s="62"/>
      <c r="P5" s="62"/>
      <c r="Q5" s="62"/>
      <c r="R5" s="62"/>
      <c r="S5" s="9"/>
      <c r="T5" s="9"/>
    </row>
    <row r="6" spans="1:20">
      <c r="A6" s="252" t="s">
        <v>216</v>
      </c>
      <c r="B6" s="252">
        <v>45795</v>
      </c>
      <c r="C6" s="253"/>
      <c r="D6" s="253">
        <v>0</v>
      </c>
      <c r="E6" s="253">
        <v>0</v>
      </c>
      <c r="F6" s="253">
        <v>0</v>
      </c>
      <c r="G6" s="254"/>
      <c r="H6" s="253" t="s">
        <v>216</v>
      </c>
      <c r="I6" s="252">
        <v>45797</v>
      </c>
      <c r="J6" s="252">
        <v>45797</v>
      </c>
      <c r="K6" s="253" t="s">
        <v>213</v>
      </c>
      <c r="L6" s="259"/>
      <c r="M6" s="252"/>
      <c r="N6" s="251"/>
      <c r="O6" s="251"/>
      <c r="P6" s="251"/>
      <c r="Q6" s="251"/>
      <c r="R6" s="251"/>
      <c r="S6" s="201"/>
      <c r="T6" s="201"/>
    </row>
    <row r="7" spans="1:20">
      <c r="A7" s="252" t="s">
        <v>216</v>
      </c>
      <c r="B7" s="252">
        <v>45795</v>
      </c>
      <c r="C7" s="253"/>
      <c r="D7" s="253">
        <v>0</v>
      </c>
      <c r="E7" s="253">
        <v>0</v>
      </c>
      <c r="F7" s="253">
        <v>0</v>
      </c>
      <c r="G7" s="254"/>
      <c r="H7" s="253" t="s">
        <v>216</v>
      </c>
      <c r="I7" s="252">
        <v>45797</v>
      </c>
      <c r="J7" s="252">
        <v>45799</v>
      </c>
      <c r="K7" s="253" t="s">
        <v>213</v>
      </c>
      <c r="L7" s="259"/>
      <c r="M7" s="252"/>
      <c r="N7" s="251"/>
      <c r="O7" s="251"/>
      <c r="P7" s="251"/>
      <c r="Q7" s="251"/>
      <c r="R7" s="251"/>
      <c r="S7" s="201"/>
      <c r="T7" s="201"/>
    </row>
    <row r="8" spans="1:20">
      <c r="A8" s="252" t="s">
        <v>217</v>
      </c>
      <c r="B8" s="252">
        <v>45790</v>
      </c>
      <c r="C8" s="260"/>
      <c r="D8" s="253">
        <v>118.99</v>
      </c>
      <c r="E8" s="176">
        <v>1</v>
      </c>
      <c r="F8" s="253" t="s">
        <v>218</v>
      </c>
      <c r="G8" s="253">
        <v>60</v>
      </c>
      <c r="H8" s="261" t="s">
        <v>219</v>
      </c>
      <c r="I8" s="252">
        <v>45798</v>
      </c>
      <c r="J8" s="252">
        <v>45803</v>
      </c>
      <c r="K8" s="253" t="s">
        <v>213</v>
      </c>
      <c r="L8" s="255"/>
      <c r="M8" s="252"/>
      <c r="N8" s="62"/>
      <c r="O8" s="62"/>
      <c r="P8" s="62"/>
      <c r="Q8" s="62"/>
      <c r="R8" s="62"/>
      <c r="S8" s="9"/>
      <c r="T8" s="9"/>
    </row>
    <row r="9" spans="1:20">
      <c r="A9" s="252" t="s">
        <v>217</v>
      </c>
      <c r="B9" s="252">
        <v>45790</v>
      </c>
      <c r="C9" s="260"/>
      <c r="D9" s="20">
        <v>97.99</v>
      </c>
      <c r="E9" s="176">
        <v>1</v>
      </c>
      <c r="F9" s="254" t="s">
        <v>218</v>
      </c>
      <c r="G9" s="20"/>
      <c r="H9" s="173" t="s">
        <v>220</v>
      </c>
      <c r="I9" s="252">
        <v>45803</v>
      </c>
      <c r="J9" s="252"/>
      <c r="K9" s="262"/>
      <c r="L9" s="263"/>
      <c r="M9" s="252"/>
      <c r="N9" s="251"/>
      <c r="O9" s="251"/>
      <c r="R9" s="9"/>
      <c r="S9" s="9"/>
      <c r="T9" s="9"/>
    </row>
    <row r="10" spans="1:20">
      <c r="A10" s="252" t="s">
        <v>217</v>
      </c>
      <c r="B10" s="252">
        <v>45790</v>
      </c>
      <c r="C10" s="260"/>
      <c r="D10" s="20">
        <v>139.98</v>
      </c>
      <c r="E10" s="176">
        <v>1</v>
      </c>
      <c r="F10" s="254" t="s">
        <v>218</v>
      </c>
      <c r="G10" s="20"/>
      <c r="H10" s="263" t="s">
        <v>221</v>
      </c>
      <c r="I10" s="252">
        <v>45809</v>
      </c>
      <c r="J10" s="263"/>
      <c r="K10" s="262"/>
      <c r="L10" s="263"/>
      <c r="M10" s="252"/>
      <c r="N10" s="251"/>
      <c r="O10" s="251"/>
      <c r="R10" s="9"/>
      <c r="S10" s="9"/>
      <c r="T10" s="9"/>
    </row>
    <row r="11" spans="1:20">
      <c r="A11" s="252" t="s">
        <v>217</v>
      </c>
      <c r="B11" s="252">
        <v>45790</v>
      </c>
      <c r="C11" s="264"/>
      <c r="D11" s="174">
        <v>139.98</v>
      </c>
      <c r="E11" s="176">
        <v>1</v>
      </c>
      <c r="F11" s="254" t="s">
        <v>218</v>
      </c>
      <c r="G11" s="20"/>
      <c r="H11" s="265" t="s">
        <v>221</v>
      </c>
      <c r="I11" s="252">
        <v>45809</v>
      </c>
      <c r="J11" s="263"/>
      <c r="K11" s="263"/>
      <c r="L11" s="263"/>
      <c r="M11" s="252"/>
      <c r="N11" s="251"/>
      <c r="O11" s="251"/>
      <c r="R11" s="9"/>
      <c r="S11" s="9"/>
      <c r="T11" s="9"/>
    </row>
    <row r="12" spans="1:20">
      <c r="A12" s="20" t="s">
        <v>222</v>
      </c>
      <c r="B12" s="252">
        <v>45796</v>
      </c>
      <c r="C12" s="266"/>
      <c r="D12" s="20">
        <v>139.95</v>
      </c>
      <c r="E12" s="176">
        <v>1</v>
      </c>
      <c r="F12" s="253" t="s">
        <v>218</v>
      </c>
      <c r="G12" s="20">
        <v>60</v>
      </c>
      <c r="H12" s="263" t="s">
        <v>222</v>
      </c>
      <c r="I12" s="252">
        <v>45806</v>
      </c>
      <c r="J12" s="263"/>
      <c r="K12" s="263"/>
      <c r="L12" s="263"/>
      <c r="M12" s="252"/>
      <c r="N12" s="251"/>
      <c r="O12" s="251"/>
      <c r="R12" s="9"/>
      <c r="S12" s="9"/>
      <c r="T12" s="9"/>
    </row>
    <row r="13" spans="1:20">
      <c r="A13" s="20" t="s">
        <v>222</v>
      </c>
      <c r="B13" s="252">
        <v>45796</v>
      </c>
      <c r="C13" s="266"/>
      <c r="D13" s="174">
        <v>139.95</v>
      </c>
      <c r="E13" s="176">
        <v>1</v>
      </c>
      <c r="F13" s="254" t="s">
        <v>218</v>
      </c>
      <c r="G13" s="20">
        <v>60</v>
      </c>
      <c r="H13" s="263" t="s">
        <v>223</v>
      </c>
      <c r="I13" s="252">
        <v>45806</v>
      </c>
      <c r="J13" s="263"/>
      <c r="K13" s="263"/>
      <c r="L13" s="263"/>
      <c r="M13" s="252"/>
      <c r="N13" s="251"/>
      <c r="O13" s="251"/>
      <c r="R13" s="9"/>
      <c r="S13" s="9"/>
      <c r="T13" s="9"/>
    </row>
    <row r="14" spans="1:20">
      <c r="A14" s="20" t="s">
        <v>224</v>
      </c>
      <c r="B14" s="252">
        <v>45797</v>
      </c>
      <c r="C14" s="260"/>
      <c r="D14" s="20">
        <v>139.99</v>
      </c>
      <c r="E14" s="176">
        <v>1</v>
      </c>
      <c r="F14" s="254" t="s">
        <v>218</v>
      </c>
      <c r="G14" s="20">
        <v>60</v>
      </c>
      <c r="H14" s="263" t="s">
        <v>224</v>
      </c>
      <c r="I14" s="252">
        <v>45804</v>
      </c>
      <c r="J14" s="263"/>
      <c r="K14" s="263"/>
      <c r="L14" s="263"/>
      <c r="M14" s="252"/>
      <c r="N14" s="251"/>
      <c r="O14" s="251"/>
      <c r="P14" s="9"/>
      <c r="Q14" s="9"/>
      <c r="R14" s="201"/>
      <c r="S14" s="201"/>
      <c r="T14" s="201"/>
    </row>
    <row r="15" spans="1:20">
      <c r="A15" s="20" t="s">
        <v>224</v>
      </c>
      <c r="B15" s="252">
        <v>45797</v>
      </c>
      <c r="C15" s="253"/>
      <c r="D15" s="20"/>
      <c r="E15" s="176"/>
      <c r="F15" s="254"/>
      <c r="G15" s="20"/>
      <c r="H15" s="263"/>
      <c r="I15" s="252">
        <v>45812</v>
      </c>
      <c r="J15" s="263"/>
      <c r="K15" s="263"/>
      <c r="L15" s="263"/>
      <c r="M15" s="252"/>
      <c r="N15" s="251"/>
      <c r="O15" s="251"/>
      <c r="P15" s="9"/>
      <c r="Q15" s="9"/>
      <c r="R15" s="201"/>
      <c r="S15" s="201"/>
      <c r="T15" s="201"/>
    </row>
    <row r="16" spans="1:20">
      <c r="A16" s="254" t="s">
        <v>225</v>
      </c>
      <c r="B16" s="252">
        <v>45809</v>
      </c>
      <c r="C16" s="253"/>
      <c r="D16" s="20">
        <v>0</v>
      </c>
      <c r="E16" s="176">
        <v>0</v>
      </c>
      <c r="F16" s="254" t="s">
        <v>218</v>
      </c>
      <c r="G16" s="20">
        <v>0</v>
      </c>
      <c r="H16" s="254" t="s">
        <v>225</v>
      </c>
      <c r="I16" s="252">
        <v>45809</v>
      </c>
      <c r="J16" s="263"/>
      <c r="K16" s="263"/>
      <c r="L16" s="263"/>
      <c r="M16" s="252"/>
      <c r="N16" s="251"/>
      <c r="O16" s="251"/>
      <c r="R16" s="9"/>
      <c r="S16" s="9"/>
      <c r="T16" s="9"/>
    </row>
    <row r="17" spans="1:20">
      <c r="A17" s="20" t="s">
        <v>222</v>
      </c>
      <c r="B17" s="267" t="s">
        <v>105</v>
      </c>
      <c r="C17" s="264"/>
      <c r="D17" s="174">
        <v>139.99</v>
      </c>
      <c r="E17" s="176">
        <v>1</v>
      </c>
      <c r="F17" s="254" t="s">
        <v>218</v>
      </c>
      <c r="G17" s="20">
        <v>60</v>
      </c>
      <c r="H17" s="265" t="s">
        <v>223</v>
      </c>
      <c r="I17" s="252">
        <v>45810</v>
      </c>
      <c r="J17" s="263"/>
      <c r="K17" s="263"/>
      <c r="L17" s="263"/>
      <c r="M17" s="252"/>
      <c r="N17" s="251"/>
      <c r="O17" s="251"/>
      <c r="P17" s="9"/>
      <c r="Q17" s="9"/>
      <c r="R17" s="9"/>
      <c r="S17" s="9"/>
      <c r="T17" s="9"/>
    </row>
    <row r="18" spans="1:20">
      <c r="A18" s="20" t="s">
        <v>222</v>
      </c>
      <c r="B18" s="267" t="s">
        <v>105</v>
      </c>
      <c r="C18" s="263"/>
      <c r="D18" s="20"/>
      <c r="E18" s="20"/>
      <c r="F18" s="263"/>
      <c r="G18" s="20"/>
      <c r="H18" s="263"/>
      <c r="I18" s="252">
        <v>45813</v>
      </c>
      <c r="J18" s="263"/>
      <c r="K18" s="263"/>
      <c r="L18" s="268"/>
      <c r="M18" s="252"/>
      <c r="N18" s="251"/>
      <c r="O18" s="251"/>
      <c r="P18" s="9"/>
      <c r="Q18" s="9"/>
      <c r="R18" s="9"/>
      <c r="S18" s="9"/>
      <c r="T18" s="9"/>
    </row>
    <row r="19" spans="1:20">
      <c r="A19" s="20" t="s">
        <v>224</v>
      </c>
      <c r="B19" s="267" t="s">
        <v>105</v>
      </c>
      <c r="C19" s="266"/>
      <c r="D19" s="20">
        <v>97.97</v>
      </c>
      <c r="E19" s="176">
        <v>1</v>
      </c>
      <c r="F19" s="254" t="s">
        <v>218</v>
      </c>
      <c r="G19" s="20">
        <v>60</v>
      </c>
      <c r="H19" s="263" t="s">
        <v>224</v>
      </c>
      <c r="I19" s="252">
        <v>45811</v>
      </c>
      <c r="J19" s="263"/>
      <c r="K19" s="263"/>
      <c r="L19" s="263"/>
      <c r="M19" s="252"/>
      <c r="N19" s="251"/>
      <c r="O19" s="251"/>
      <c r="P19" s="9"/>
      <c r="Q19" s="9"/>
      <c r="R19" s="9"/>
      <c r="S19" s="9"/>
      <c r="T19" s="9"/>
    </row>
    <row r="20" spans="1:20">
      <c r="A20" s="20" t="s">
        <v>226</v>
      </c>
      <c r="B20" s="267" t="s">
        <v>105</v>
      </c>
      <c r="C20" s="20"/>
      <c r="D20" s="20">
        <v>97.97</v>
      </c>
      <c r="E20" s="176">
        <v>1</v>
      </c>
      <c r="F20" s="254" t="s">
        <v>218</v>
      </c>
      <c r="G20" s="20">
        <v>60</v>
      </c>
      <c r="H20" s="263" t="s">
        <v>226</v>
      </c>
      <c r="I20" s="252">
        <v>45813</v>
      </c>
      <c r="J20" s="263"/>
      <c r="K20" s="263"/>
      <c r="L20" s="263"/>
      <c r="M20" s="252"/>
      <c r="N20" s="251"/>
      <c r="O20" s="251"/>
      <c r="P20" s="9"/>
      <c r="Q20" s="9"/>
      <c r="R20" s="9"/>
      <c r="S20" s="9"/>
      <c r="T20" s="9"/>
    </row>
    <row r="21" spans="1:20">
      <c r="A21" s="20" t="s">
        <v>224</v>
      </c>
      <c r="B21" s="267" t="s">
        <v>105</v>
      </c>
      <c r="C21" s="263"/>
      <c r="D21" s="20"/>
      <c r="E21" s="20"/>
      <c r="F21" s="263"/>
      <c r="G21" s="20"/>
      <c r="H21" s="263"/>
      <c r="I21" s="252">
        <v>45815</v>
      </c>
      <c r="J21" s="263"/>
      <c r="K21" s="263"/>
      <c r="L21" s="263"/>
      <c r="M21" s="252"/>
      <c r="N21" s="251"/>
      <c r="O21" s="251"/>
      <c r="R21" s="9"/>
      <c r="S21" s="9"/>
      <c r="T21" s="9"/>
    </row>
    <row r="22" spans="1:20">
      <c r="A22" s="20" t="s">
        <v>224</v>
      </c>
      <c r="B22" s="267" t="s">
        <v>105</v>
      </c>
      <c r="C22" s="263"/>
      <c r="D22" s="20"/>
      <c r="E22" s="20"/>
      <c r="F22" s="263"/>
      <c r="G22" s="20"/>
      <c r="H22" s="263"/>
      <c r="I22" s="252">
        <v>45816</v>
      </c>
      <c r="J22" s="263"/>
      <c r="K22" s="263"/>
      <c r="L22" s="263"/>
      <c r="M22" s="252"/>
      <c r="N22" s="251"/>
      <c r="O22" s="251"/>
      <c r="R22" s="9"/>
      <c r="S22" s="9"/>
      <c r="T22" s="9"/>
    </row>
    <row r="23" spans="1:20">
      <c r="A23" s="20" t="s">
        <v>224</v>
      </c>
      <c r="B23" s="252">
        <v>45812</v>
      </c>
      <c r="C23" s="266"/>
      <c r="D23" s="20">
        <v>83.27</v>
      </c>
      <c r="E23" s="176">
        <v>1</v>
      </c>
      <c r="F23" s="254" t="s">
        <v>218</v>
      </c>
      <c r="G23" s="20">
        <v>0</v>
      </c>
      <c r="H23" s="263" t="s">
        <v>227</v>
      </c>
      <c r="I23" s="252">
        <v>45812</v>
      </c>
      <c r="J23" s="263"/>
      <c r="K23" s="263"/>
      <c r="L23" s="263"/>
      <c r="M23" s="252"/>
      <c r="N23" s="251"/>
      <c r="O23" s="251"/>
      <c r="R23" s="9"/>
      <c r="S23" s="9"/>
      <c r="T23" s="9"/>
    </row>
    <row r="24" spans="1:20">
      <c r="A24" s="20" t="s">
        <v>226</v>
      </c>
      <c r="B24" s="252">
        <v>45815</v>
      </c>
      <c r="C24" s="20"/>
      <c r="D24" s="20">
        <v>69.39</v>
      </c>
      <c r="E24" s="176">
        <v>1</v>
      </c>
      <c r="F24" s="254" t="s">
        <v>218</v>
      </c>
      <c r="G24" s="174">
        <v>0</v>
      </c>
      <c r="H24" s="263" t="s">
        <v>226</v>
      </c>
      <c r="I24" s="252">
        <v>45815</v>
      </c>
      <c r="J24" s="263"/>
      <c r="K24" s="263"/>
      <c r="L24" s="263"/>
      <c r="M24" s="252"/>
      <c r="N24" s="251"/>
      <c r="O24" s="251"/>
      <c r="R24" s="9"/>
      <c r="S24" s="9"/>
      <c r="T24" s="9"/>
    </row>
    <row r="25" spans="1:20">
      <c r="A25" s="20" t="s">
        <v>226</v>
      </c>
      <c r="B25" s="252">
        <v>45817</v>
      </c>
      <c r="C25" s="20"/>
      <c r="D25" s="20">
        <v>83.27</v>
      </c>
      <c r="E25" s="176">
        <v>1</v>
      </c>
      <c r="F25" s="254" t="s">
        <v>218</v>
      </c>
      <c r="G25" s="174">
        <v>0</v>
      </c>
      <c r="H25" s="265" t="s">
        <v>226</v>
      </c>
      <c r="I25" s="252">
        <v>45817</v>
      </c>
      <c r="J25" s="263"/>
      <c r="K25" s="263"/>
      <c r="L25" s="263"/>
      <c r="M25" s="252"/>
      <c r="N25" s="251"/>
      <c r="O25" s="251"/>
      <c r="R25" s="9"/>
      <c r="S25" s="9"/>
      <c r="T25" s="9"/>
    </row>
    <row r="26" spans="1:20">
      <c r="A26" s="20" t="s">
        <v>226</v>
      </c>
      <c r="B26" s="252">
        <v>45821</v>
      </c>
      <c r="C26" s="266"/>
      <c r="D26" s="20">
        <v>83.27</v>
      </c>
      <c r="E26" s="176">
        <v>1</v>
      </c>
      <c r="F26" s="254" t="s">
        <v>218</v>
      </c>
      <c r="G26" s="174">
        <v>0</v>
      </c>
      <c r="H26" s="269" t="s">
        <v>228</v>
      </c>
      <c r="I26" s="252">
        <v>45821</v>
      </c>
      <c r="J26" s="263"/>
      <c r="K26" s="263"/>
      <c r="L26" s="263"/>
      <c r="M26" s="252"/>
      <c r="N26" s="251"/>
      <c r="O26" s="251"/>
      <c r="R26" s="9"/>
      <c r="S26" s="9"/>
      <c r="T26" s="9"/>
    </row>
    <row r="27" spans="1:20">
      <c r="A27" s="20" t="s">
        <v>222</v>
      </c>
      <c r="B27" s="267" t="s">
        <v>106</v>
      </c>
      <c r="C27" s="263"/>
      <c r="D27" s="20"/>
      <c r="E27" s="20"/>
      <c r="F27" s="263"/>
      <c r="G27" s="20"/>
      <c r="H27" s="263"/>
      <c r="I27" s="252"/>
      <c r="J27" s="263"/>
      <c r="K27" s="263"/>
      <c r="L27" s="263"/>
      <c r="M27" s="252"/>
      <c r="N27" s="251"/>
      <c r="O27" s="251"/>
      <c r="P27" s="9"/>
      <c r="Q27" s="9"/>
      <c r="R27" s="9"/>
      <c r="S27" s="9"/>
      <c r="T27" s="9"/>
    </row>
    <row r="28" spans="1:20">
      <c r="A28" s="20" t="s">
        <v>222</v>
      </c>
      <c r="B28" s="267" t="s">
        <v>106</v>
      </c>
      <c r="C28" s="263"/>
      <c r="D28" s="20"/>
      <c r="E28" s="20"/>
      <c r="F28" s="263"/>
      <c r="G28" s="20"/>
      <c r="H28" s="263"/>
      <c r="I28" s="252"/>
      <c r="J28" s="263"/>
      <c r="K28" s="263"/>
      <c r="L28" s="263"/>
      <c r="M28" s="252"/>
      <c r="N28" s="251"/>
      <c r="O28" s="251"/>
      <c r="P28" s="9"/>
      <c r="Q28" s="9"/>
      <c r="R28" s="9"/>
      <c r="S28" s="9"/>
      <c r="T28" s="9"/>
    </row>
    <row r="29" spans="1:20">
      <c r="A29" s="20" t="s">
        <v>222</v>
      </c>
      <c r="B29" s="267" t="s">
        <v>107</v>
      </c>
      <c r="C29" s="263"/>
      <c r="D29" s="20"/>
      <c r="E29" s="20"/>
      <c r="F29" s="263"/>
      <c r="G29" s="20"/>
      <c r="H29" s="263"/>
      <c r="I29" s="252"/>
      <c r="J29" s="263"/>
      <c r="K29" s="263"/>
      <c r="L29" s="263"/>
      <c r="M29" s="252"/>
      <c r="N29" s="251"/>
      <c r="O29" s="251"/>
      <c r="P29" s="9"/>
      <c r="R29" s="9"/>
      <c r="S29" s="9"/>
      <c r="T29" s="9"/>
    </row>
    <row r="30" spans="1:20">
      <c r="A30" s="20" t="s">
        <v>222</v>
      </c>
      <c r="B30" s="267" t="s">
        <v>108</v>
      </c>
      <c r="C30" s="263"/>
      <c r="D30" s="20"/>
      <c r="E30" s="20"/>
      <c r="F30" s="263"/>
      <c r="G30" s="20"/>
      <c r="H30" s="263"/>
      <c r="I30" s="252"/>
      <c r="J30" s="263"/>
      <c r="K30" s="263"/>
      <c r="L30" s="263"/>
      <c r="M30" s="252"/>
      <c r="N30" s="251"/>
      <c r="O30" s="251"/>
      <c r="P30" s="9"/>
      <c r="R30" s="9"/>
      <c r="S30" s="9"/>
      <c r="T30" s="9"/>
    </row>
    <row r="31" spans="1:20">
      <c r="A31" s="20" t="s">
        <v>222</v>
      </c>
      <c r="B31" s="267" t="s">
        <v>109</v>
      </c>
      <c r="C31" s="263"/>
      <c r="D31" s="20"/>
      <c r="E31" s="20"/>
      <c r="F31" s="263"/>
      <c r="G31" s="20"/>
      <c r="H31" s="263"/>
      <c r="I31" s="252"/>
      <c r="J31" s="263"/>
      <c r="K31" s="263"/>
      <c r="L31" s="263"/>
      <c r="M31" s="252"/>
      <c r="N31" s="251"/>
      <c r="O31" s="251"/>
      <c r="P31" s="9"/>
      <c r="R31" s="9"/>
      <c r="S31" s="9"/>
      <c r="T31" s="9"/>
    </row>
    <row r="32" spans="1:20">
      <c r="A32" s="20" t="s">
        <v>222</v>
      </c>
      <c r="B32" s="267" t="s">
        <v>110</v>
      </c>
      <c r="C32" s="263"/>
      <c r="D32" s="20"/>
      <c r="E32" s="20"/>
      <c r="F32" s="263"/>
      <c r="G32" s="20"/>
      <c r="H32" s="263"/>
      <c r="I32" s="252"/>
      <c r="J32" s="263"/>
      <c r="K32" s="263"/>
      <c r="L32" s="263"/>
      <c r="M32" s="252"/>
      <c r="N32" s="251"/>
      <c r="O32" s="251"/>
      <c r="P32" s="9"/>
      <c r="R32" s="9"/>
      <c r="S32" s="9"/>
      <c r="T32" s="9"/>
    </row>
    <row r="33" spans="1:20">
      <c r="A33" s="20"/>
      <c r="B33" s="267"/>
      <c r="C33" s="263"/>
      <c r="D33" s="20"/>
      <c r="E33" s="20"/>
      <c r="F33" s="263"/>
      <c r="G33" s="20"/>
      <c r="H33" s="263" t="s">
        <v>229</v>
      </c>
      <c r="I33" s="252"/>
      <c r="J33" s="263"/>
      <c r="K33" s="263"/>
      <c r="L33" s="263"/>
      <c r="M33" s="252"/>
      <c r="N33" s="9"/>
      <c r="O33" s="9"/>
      <c r="P33" s="9"/>
      <c r="Q33" s="9"/>
      <c r="R33" s="201"/>
      <c r="S33" s="201"/>
      <c r="T33" s="201"/>
    </row>
    <row r="34" spans="1:20">
      <c r="A34" s="20" t="s">
        <v>230</v>
      </c>
      <c r="B34" s="252">
        <v>45823</v>
      </c>
      <c r="C34" s="263"/>
      <c r="D34" s="20">
        <v>89.57</v>
      </c>
      <c r="E34" s="20"/>
      <c r="F34" s="263"/>
      <c r="G34" s="20"/>
      <c r="H34" s="263"/>
      <c r="I34" s="252">
        <v>45823</v>
      </c>
      <c r="J34" s="263"/>
      <c r="K34" s="263"/>
      <c r="L34" s="263"/>
      <c r="M34" s="252"/>
      <c r="N34" s="9"/>
      <c r="O34" s="9"/>
      <c r="P34" s="9"/>
      <c r="Q34" s="9"/>
      <c r="R34" s="201"/>
      <c r="S34" s="201"/>
      <c r="T34" s="201"/>
    </row>
    <row r="35" spans="1:20">
      <c r="A35" s="174" t="s">
        <v>230</v>
      </c>
      <c r="B35" s="252">
        <v>45822</v>
      </c>
      <c r="C35" s="263"/>
      <c r="D35" s="174">
        <v>89.57</v>
      </c>
      <c r="E35" s="20"/>
      <c r="F35" s="263"/>
      <c r="G35" s="20"/>
      <c r="H35" s="263"/>
      <c r="I35" s="252">
        <v>45822</v>
      </c>
      <c r="J35" s="263"/>
      <c r="K35" s="263"/>
      <c r="L35" s="263"/>
      <c r="M35" s="252"/>
      <c r="N35" s="9"/>
      <c r="O35" s="9"/>
      <c r="P35" s="9"/>
      <c r="Q35" s="9"/>
      <c r="R35" s="201"/>
      <c r="S35" s="201"/>
      <c r="T35" s="201"/>
    </row>
    <row r="36" spans="1:20">
      <c r="A36" s="174" t="s">
        <v>230</v>
      </c>
      <c r="B36" s="252">
        <v>45824</v>
      </c>
      <c r="C36" s="269"/>
      <c r="D36" s="174">
        <v>89.57</v>
      </c>
      <c r="E36" s="20"/>
      <c r="F36" s="263"/>
      <c r="G36" s="20"/>
      <c r="H36" s="270"/>
      <c r="I36" s="252">
        <v>45824</v>
      </c>
      <c r="J36" s="263"/>
      <c r="K36" s="263"/>
      <c r="L36" s="263"/>
      <c r="M36" s="252"/>
      <c r="N36" s="9"/>
      <c r="O36" s="9"/>
      <c r="P36" s="9"/>
      <c r="Q36" s="9"/>
      <c r="R36" s="201"/>
      <c r="S36" s="201"/>
      <c r="T36" s="201"/>
    </row>
    <row r="37" spans="1:20">
      <c r="A37" s="254" t="s">
        <v>225</v>
      </c>
      <c r="B37" s="252">
        <v>45821</v>
      </c>
      <c r="C37" s="269"/>
      <c r="D37" s="20">
        <v>0</v>
      </c>
      <c r="E37" s="20"/>
      <c r="F37" s="263"/>
      <c r="G37" s="20"/>
      <c r="H37" s="271"/>
      <c r="I37" s="252">
        <v>45821</v>
      </c>
      <c r="J37" s="263"/>
      <c r="K37" s="263"/>
      <c r="L37" s="263"/>
      <c r="M37" s="252"/>
      <c r="N37" s="9"/>
      <c r="O37" s="9"/>
      <c r="P37" s="9"/>
      <c r="Q37" s="9"/>
      <c r="R37" s="201"/>
      <c r="S37" s="201"/>
      <c r="T37" s="201"/>
    </row>
    <row r="38" spans="1:20">
      <c r="A38" s="254"/>
      <c r="B38" s="252"/>
      <c r="C38" s="254"/>
      <c r="D38" s="20"/>
      <c r="E38" s="20"/>
      <c r="F38" s="263"/>
      <c r="G38" s="20"/>
      <c r="H38" s="271"/>
      <c r="I38" s="252"/>
      <c r="J38" s="263"/>
      <c r="K38" s="263"/>
      <c r="L38" s="263"/>
      <c r="M38" s="252"/>
      <c r="N38" s="9"/>
      <c r="O38" s="9"/>
      <c r="P38" s="9"/>
      <c r="Q38" s="9"/>
      <c r="R38" s="9"/>
      <c r="S38" s="9"/>
      <c r="T38" s="9"/>
    </row>
    <row r="39" spans="1:20">
      <c r="A39" s="272" t="s">
        <v>231</v>
      </c>
      <c r="B39" s="252">
        <v>45822</v>
      </c>
      <c r="C39" s="269"/>
      <c r="D39" s="174">
        <v>89.57</v>
      </c>
      <c r="E39" s="20"/>
      <c r="F39" s="263"/>
      <c r="G39" s="20"/>
      <c r="H39" s="270"/>
      <c r="I39" s="252">
        <v>45822</v>
      </c>
      <c r="J39" s="263"/>
      <c r="K39" s="263"/>
      <c r="L39" s="263"/>
      <c r="M39" s="252"/>
      <c r="N39" s="9"/>
      <c r="O39" s="9"/>
      <c r="P39" s="9"/>
      <c r="Q39" s="9"/>
      <c r="R39" s="201"/>
      <c r="S39" s="201"/>
      <c r="T39" s="201"/>
    </row>
    <row r="40" spans="1:20">
      <c r="A40" s="174" t="s">
        <v>230</v>
      </c>
      <c r="B40" s="252">
        <v>45821</v>
      </c>
      <c r="C40" s="263"/>
      <c r="D40" s="174">
        <v>89.57</v>
      </c>
      <c r="E40" s="20"/>
      <c r="F40" s="263"/>
      <c r="G40" s="20"/>
      <c r="H40" s="273"/>
      <c r="I40" s="252">
        <v>45821</v>
      </c>
      <c r="J40" s="263"/>
      <c r="K40" s="263"/>
      <c r="L40" s="263"/>
      <c r="M40" s="252"/>
      <c r="N40" s="9"/>
      <c r="O40" s="9"/>
      <c r="P40" s="9"/>
      <c r="Q40" s="9"/>
      <c r="R40" s="201"/>
      <c r="S40" s="201"/>
      <c r="T40" s="201"/>
    </row>
    <row r="41" spans="1:20">
      <c r="A41" s="174" t="s">
        <v>230</v>
      </c>
      <c r="B41" s="252">
        <v>45825</v>
      </c>
      <c r="C41" s="263"/>
      <c r="D41" s="20">
        <v>89.57</v>
      </c>
      <c r="E41" s="20"/>
      <c r="F41" s="263"/>
      <c r="G41" s="20"/>
      <c r="H41" s="270"/>
      <c r="I41" s="252">
        <v>45832</v>
      </c>
      <c r="J41" s="263"/>
      <c r="K41" s="263"/>
      <c r="L41" s="263"/>
      <c r="M41" s="252"/>
      <c r="N41" s="9"/>
      <c r="O41" s="9"/>
      <c r="P41" s="9"/>
      <c r="Q41" s="9"/>
      <c r="R41" s="201"/>
      <c r="S41" s="201"/>
      <c r="T41" s="201"/>
    </row>
    <row r="42" spans="1:20">
      <c r="A42" s="174" t="s">
        <v>230</v>
      </c>
      <c r="B42" s="252">
        <v>45825</v>
      </c>
      <c r="C42" s="263"/>
      <c r="D42" s="174">
        <v>89.57</v>
      </c>
      <c r="E42" s="20"/>
      <c r="F42" s="263"/>
      <c r="G42" s="20"/>
      <c r="H42" s="270"/>
      <c r="I42" s="252">
        <v>45825</v>
      </c>
      <c r="J42" s="263"/>
      <c r="K42" s="263"/>
      <c r="L42" s="263"/>
      <c r="M42" s="252"/>
      <c r="N42" s="9"/>
      <c r="O42" s="9"/>
      <c r="P42" s="9"/>
      <c r="Q42" s="9"/>
      <c r="R42" s="201"/>
      <c r="S42" s="201"/>
      <c r="T42" s="201"/>
    </row>
    <row r="43" spans="1:20">
      <c r="A43" s="174" t="s">
        <v>230</v>
      </c>
      <c r="B43" s="252">
        <v>45827</v>
      </c>
      <c r="C43" s="263"/>
      <c r="D43" s="174">
        <v>89.57</v>
      </c>
      <c r="E43" s="20"/>
      <c r="F43" s="263"/>
      <c r="G43" s="20"/>
      <c r="H43" s="273"/>
      <c r="I43" s="252">
        <v>45827</v>
      </c>
      <c r="J43" s="263"/>
      <c r="K43" s="263"/>
      <c r="L43" s="263"/>
      <c r="M43" s="252"/>
      <c r="N43" s="9"/>
      <c r="O43" s="9"/>
      <c r="P43" s="9"/>
      <c r="Q43" s="9"/>
      <c r="R43" s="201"/>
      <c r="S43" s="201"/>
      <c r="T43" s="201"/>
    </row>
    <row r="44" spans="1:20">
      <c r="A44" s="174" t="s">
        <v>230</v>
      </c>
      <c r="B44" s="252">
        <v>45829</v>
      </c>
      <c r="C44" s="263"/>
      <c r="D44" s="174">
        <v>89.57</v>
      </c>
      <c r="E44" s="20"/>
      <c r="F44" s="263"/>
      <c r="G44" s="20"/>
      <c r="H44" s="270"/>
      <c r="I44" s="252">
        <v>45829</v>
      </c>
      <c r="J44" s="263"/>
      <c r="K44" s="263"/>
      <c r="L44" s="263"/>
      <c r="M44" s="252"/>
      <c r="N44" s="9"/>
      <c r="O44" s="9"/>
      <c r="P44" s="9"/>
      <c r="Q44" s="9"/>
      <c r="R44" s="201"/>
      <c r="S44" s="201"/>
      <c r="T44" s="201"/>
    </row>
    <row r="45" spans="1:20">
      <c r="A45" s="20"/>
      <c r="B45" s="267"/>
      <c r="C45" s="263"/>
      <c r="D45" s="20"/>
      <c r="E45" s="20"/>
      <c r="F45" s="263"/>
      <c r="G45" s="20"/>
      <c r="H45" s="263"/>
      <c r="I45" s="252"/>
      <c r="J45" s="263"/>
      <c r="K45" s="263"/>
      <c r="L45" s="263"/>
      <c r="M45" s="252"/>
      <c r="N45" s="9"/>
      <c r="O45" s="9"/>
      <c r="P45" s="9"/>
      <c r="Q45" s="9"/>
      <c r="R45" s="201"/>
      <c r="S45" s="201"/>
      <c r="T45" s="201"/>
    </row>
    <row r="46" spans="1:20">
      <c r="A46" s="20" t="s">
        <v>230</v>
      </c>
      <c r="B46" s="252">
        <v>45835</v>
      </c>
      <c r="C46" s="263"/>
      <c r="D46" s="174">
        <v>89.57</v>
      </c>
      <c r="E46" s="20"/>
      <c r="F46" s="263"/>
      <c r="G46" s="20"/>
      <c r="H46" s="270"/>
      <c r="I46" s="252">
        <v>45835</v>
      </c>
      <c r="J46" s="263"/>
      <c r="K46" s="263"/>
      <c r="L46" s="263"/>
      <c r="M46" s="252"/>
      <c r="N46" s="9"/>
      <c r="O46" s="9"/>
      <c r="P46" s="9"/>
      <c r="Q46" s="9"/>
      <c r="R46" s="201"/>
      <c r="S46" s="201"/>
      <c r="T46" s="201"/>
    </row>
    <row r="47" spans="1:20">
      <c r="A47" s="20" t="s">
        <v>230</v>
      </c>
      <c r="B47" s="252">
        <v>45839</v>
      </c>
      <c r="C47" s="263"/>
      <c r="D47" s="174">
        <v>89.57</v>
      </c>
      <c r="E47" s="20"/>
      <c r="F47" s="263"/>
      <c r="G47" s="20"/>
      <c r="H47" s="270"/>
      <c r="I47" s="252">
        <v>45839</v>
      </c>
      <c r="J47" s="263"/>
      <c r="K47" s="263"/>
      <c r="L47" s="263"/>
      <c r="M47" s="252"/>
      <c r="N47" s="9"/>
      <c r="O47" s="9"/>
      <c r="P47" s="9"/>
      <c r="Q47" s="9"/>
      <c r="R47" s="201"/>
      <c r="S47" s="201"/>
      <c r="T47" s="201"/>
    </row>
    <row r="48" spans="1:20">
      <c r="A48" s="20" t="s">
        <v>230</v>
      </c>
      <c r="B48" s="252">
        <v>45840</v>
      </c>
      <c r="C48" s="263"/>
      <c r="D48" s="174">
        <v>89.57</v>
      </c>
      <c r="E48" s="20"/>
      <c r="F48" s="263"/>
      <c r="G48" s="20"/>
      <c r="H48" s="270"/>
      <c r="I48" s="252">
        <v>45840</v>
      </c>
      <c r="J48" s="263"/>
      <c r="K48" s="263"/>
      <c r="L48" s="263"/>
      <c r="M48" s="252"/>
      <c r="N48" s="9"/>
      <c r="R48" s="9"/>
      <c r="S48" s="9"/>
      <c r="T48" s="9"/>
    </row>
    <row r="49" spans="1:20">
      <c r="A49" s="20"/>
      <c r="B49" s="267"/>
      <c r="C49" s="263"/>
      <c r="D49" s="20"/>
      <c r="E49" s="20"/>
      <c r="F49" s="263"/>
      <c r="G49" s="20"/>
      <c r="H49" s="263"/>
      <c r="I49" s="252"/>
      <c r="J49" s="263"/>
      <c r="K49" s="263"/>
      <c r="L49" s="263"/>
      <c r="M49" s="252"/>
      <c r="N49" s="9"/>
      <c r="R49" s="9"/>
      <c r="S49" s="9"/>
      <c r="T49" s="9"/>
    </row>
    <row r="50" spans="1:20">
      <c r="A50" s="20"/>
      <c r="B50" s="267"/>
      <c r="C50" s="263"/>
      <c r="D50" s="20"/>
      <c r="E50" s="20"/>
      <c r="F50" s="263"/>
      <c r="G50" s="20"/>
      <c r="H50" s="263"/>
      <c r="I50" s="252"/>
      <c r="J50" s="263"/>
      <c r="K50" s="263"/>
      <c r="L50" s="263"/>
      <c r="M50" s="252"/>
      <c r="N50" s="9"/>
      <c r="R50" s="9"/>
      <c r="S50" s="9"/>
      <c r="T50" s="9"/>
    </row>
    <row r="51" spans="1:20">
      <c r="A51" s="20"/>
      <c r="B51" s="267"/>
      <c r="C51" s="263"/>
      <c r="D51" s="20"/>
      <c r="E51" s="20"/>
      <c r="F51" s="263"/>
      <c r="G51" s="20"/>
      <c r="H51" s="263"/>
      <c r="I51" s="252"/>
      <c r="J51" s="263"/>
      <c r="K51" s="263"/>
      <c r="L51" s="263"/>
      <c r="M51" s="252"/>
      <c r="N51" s="9"/>
      <c r="R51" s="9"/>
      <c r="S51" s="9"/>
      <c r="T51" s="9"/>
    </row>
    <row r="52" spans="1:20">
      <c r="A52" s="20"/>
      <c r="B52" s="267"/>
      <c r="C52" s="263"/>
      <c r="D52" s="20"/>
      <c r="E52" s="20"/>
      <c r="F52" s="263"/>
      <c r="G52" s="20"/>
      <c r="H52" s="263"/>
      <c r="I52" s="252"/>
      <c r="J52" s="263"/>
      <c r="K52" s="263"/>
      <c r="L52" s="263"/>
      <c r="M52" s="252"/>
      <c r="N52" s="9"/>
      <c r="R52" s="9"/>
      <c r="S52" s="9"/>
      <c r="T52" s="9"/>
    </row>
    <row r="53" spans="1:20">
      <c r="A53" s="20"/>
      <c r="B53" s="267"/>
      <c r="C53" s="263"/>
      <c r="D53" s="20"/>
      <c r="E53" s="20"/>
      <c r="F53" s="263"/>
      <c r="G53" s="20"/>
      <c r="H53" s="263"/>
      <c r="I53" s="252"/>
      <c r="J53" s="263"/>
      <c r="K53" s="263"/>
      <c r="L53" s="263"/>
      <c r="M53" s="252"/>
      <c r="N53" s="9"/>
      <c r="R53" s="9"/>
      <c r="S53" s="9"/>
      <c r="T53" s="9"/>
    </row>
    <row r="54" spans="1:20">
      <c r="A54" s="20"/>
      <c r="B54" s="267"/>
      <c r="C54" s="263"/>
      <c r="D54" s="20"/>
      <c r="E54" s="20"/>
      <c r="F54" s="263"/>
      <c r="G54" s="20"/>
      <c r="H54" s="263"/>
      <c r="I54" s="252"/>
      <c r="J54" s="263"/>
      <c r="K54" s="263"/>
      <c r="L54" s="263"/>
      <c r="M54" s="252"/>
      <c r="N54" s="9"/>
      <c r="R54" s="9"/>
      <c r="S54" s="9"/>
      <c r="T54" s="9"/>
    </row>
    <row r="55" spans="1:20">
      <c r="A55" s="20"/>
      <c r="B55" s="267"/>
      <c r="C55" s="263"/>
      <c r="D55" s="20"/>
      <c r="E55" s="20"/>
      <c r="F55" s="263"/>
      <c r="G55" s="20"/>
      <c r="H55" s="263"/>
      <c r="I55" s="252"/>
      <c r="J55" s="263"/>
      <c r="K55" s="263"/>
      <c r="L55" s="263"/>
      <c r="M55" s="252"/>
      <c r="N55" s="9"/>
      <c r="R55" s="9"/>
      <c r="S55" s="9"/>
      <c r="T55" s="9"/>
    </row>
    <row r="56" spans="1:20">
      <c r="A56" s="20"/>
      <c r="B56" s="267"/>
      <c r="C56" s="263"/>
      <c r="D56" s="20"/>
      <c r="E56" s="20"/>
      <c r="F56" s="263"/>
      <c r="G56" s="20"/>
      <c r="H56" s="263"/>
      <c r="I56" s="252"/>
      <c r="J56" s="263"/>
      <c r="K56" s="263"/>
      <c r="L56" s="263"/>
      <c r="M56" s="252"/>
      <c r="N56" s="9"/>
      <c r="R56" s="9"/>
      <c r="S56" s="9"/>
      <c r="T56" s="9"/>
    </row>
    <row r="57" spans="1:20">
      <c r="A57" s="20"/>
      <c r="B57" s="267"/>
      <c r="C57" s="263"/>
      <c r="D57" s="20"/>
      <c r="E57" s="20"/>
      <c r="F57" s="263"/>
      <c r="G57" s="20"/>
      <c r="H57" s="263"/>
      <c r="I57" s="252"/>
      <c r="J57" s="263"/>
      <c r="K57" s="263"/>
      <c r="L57" s="263"/>
      <c r="M57" s="252"/>
      <c r="N57" s="9"/>
      <c r="R57" s="9"/>
      <c r="S57" s="9"/>
      <c r="T57" s="9"/>
    </row>
    <row r="58" spans="1:20">
      <c r="A58" s="20"/>
      <c r="B58" s="267"/>
      <c r="C58" s="263"/>
      <c r="D58" s="20"/>
      <c r="E58" s="20"/>
      <c r="F58" s="263"/>
      <c r="G58" s="20"/>
      <c r="H58" s="263"/>
      <c r="I58" s="252"/>
      <c r="J58" s="263"/>
      <c r="K58" s="263"/>
      <c r="L58" s="263"/>
      <c r="M58" s="252"/>
      <c r="N58" s="9"/>
      <c r="R58" s="9"/>
      <c r="S58" s="9"/>
      <c r="T58" s="9"/>
    </row>
    <row r="59" spans="1:20">
      <c r="A59" s="20"/>
      <c r="B59" s="267"/>
      <c r="C59" s="263"/>
      <c r="D59" s="20"/>
      <c r="E59" s="20"/>
      <c r="F59" s="263"/>
      <c r="G59" s="20"/>
      <c r="H59" s="263"/>
      <c r="I59" s="252"/>
      <c r="J59" s="263"/>
      <c r="K59" s="263"/>
      <c r="L59" s="263"/>
      <c r="M59" s="252"/>
      <c r="N59" s="9"/>
      <c r="R59" s="9"/>
      <c r="S59" s="9"/>
      <c r="T59" s="9"/>
    </row>
    <row r="60" spans="1:20">
      <c r="A60" s="20"/>
      <c r="B60" s="267"/>
      <c r="C60" s="263"/>
      <c r="D60" s="20"/>
      <c r="E60" s="20"/>
      <c r="F60" s="263"/>
      <c r="G60" s="20"/>
      <c r="H60" s="263"/>
      <c r="I60" s="252"/>
      <c r="J60" s="263"/>
      <c r="K60" s="263"/>
      <c r="L60" s="263"/>
      <c r="M60" s="252"/>
      <c r="N60" s="9"/>
      <c r="R60" s="9"/>
      <c r="S60" s="9"/>
      <c r="T60" s="9"/>
    </row>
    <row r="61" spans="1:20">
      <c r="A61" s="20"/>
      <c r="B61" s="267"/>
      <c r="C61" s="263"/>
      <c r="D61" s="20"/>
      <c r="E61" s="20"/>
      <c r="F61" s="263"/>
      <c r="G61" s="20"/>
      <c r="H61" s="263"/>
      <c r="I61" s="252"/>
      <c r="J61" s="263"/>
      <c r="K61" s="263"/>
      <c r="L61" s="263"/>
      <c r="M61" s="252"/>
      <c r="N61" s="9"/>
      <c r="R61" s="9"/>
      <c r="S61" s="9"/>
      <c r="T61" s="9"/>
    </row>
    <row r="62" spans="1:20">
      <c r="A62" s="20"/>
      <c r="B62" s="267"/>
      <c r="C62" s="263"/>
      <c r="D62" s="20"/>
      <c r="E62" s="20"/>
      <c r="F62" s="263"/>
      <c r="G62" s="20"/>
      <c r="H62" s="263"/>
      <c r="I62" s="252"/>
      <c r="J62" s="263"/>
      <c r="K62" s="263"/>
      <c r="L62" s="263"/>
      <c r="M62" s="252"/>
      <c r="N62" s="9"/>
      <c r="R62" s="9"/>
      <c r="S62" s="9"/>
      <c r="T62" s="9"/>
    </row>
    <row r="63" spans="1:20">
      <c r="A63" s="20"/>
      <c r="B63" s="267"/>
      <c r="C63" s="263"/>
      <c r="D63" s="20"/>
      <c r="E63" s="20"/>
      <c r="F63" s="263"/>
      <c r="G63" s="20"/>
      <c r="H63" s="263"/>
      <c r="I63" s="252"/>
      <c r="J63" s="263"/>
      <c r="K63" s="263"/>
      <c r="L63" s="263"/>
      <c r="M63" s="252"/>
      <c r="N63" s="9"/>
      <c r="R63" s="9"/>
      <c r="S63" s="9"/>
      <c r="T63" s="9"/>
    </row>
    <row r="64" spans="1:20">
      <c r="A64" s="20"/>
      <c r="B64" s="267"/>
      <c r="C64" s="263"/>
      <c r="D64" s="20"/>
      <c r="E64" s="20"/>
      <c r="F64" s="263"/>
      <c r="G64" s="20"/>
      <c r="H64" s="263"/>
      <c r="I64" s="252"/>
      <c r="J64" s="263"/>
      <c r="K64" s="263"/>
      <c r="L64" s="263"/>
      <c r="M64" s="252"/>
      <c r="N64" s="9"/>
      <c r="R64" s="9"/>
      <c r="S64" s="9"/>
      <c r="T64" s="9"/>
    </row>
    <row r="65" spans="1:20">
      <c r="A65" s="20"/>
      <c r="B65" s="267"/>
      <c r="C65" s="263"/>
      <c r="D65" s="20"/>
      <c r="E65" s="20"/>
      <c r="F65" s="263"/>
      <c r="G65" s="20"/>
      <c r="H65" s="263"/>
      <c r="I65" s="252"/>
      <c r="J65" s="263"/>
      <c r="K65" s="263"/>
      <c r="L65" s="263"/>
      <c r="M65" s="252"/>
      <c r="N65" s="9"/>
      <c r="R65" s="9"/>
      <c r="S65" s="9"/>
      <c r="T65" s="9"/>
    </row>
    <row r="66" spans="1:20">
      <c r="A66" s="20"/>
      <c r="B66" s="267"/>
      <c r="C66" s="263"/>
      <c r="D66" s="20"/>
      <c r="E66" s="20"/>
      <c r="F66" s="263"/>
      <c r="G66" s="20"/>
      <c r="H66" s="263"/>
      <c r="I66" s="252"/>
      <c r="J66" s="263"/>
      <c r="K66" s="263"/>
      <c r="L66" s="263"/>
      <c r="M66" s="252"/>
      <c r="N66" s="9"/>
      <c r="R66" s="9"/>
      <c r="S66" s="9"/>
      <c r="T66" s="9"/>
    </row>
    <row r="67" spans="1:20">
      <c r="A67" s="20"/>
      <c r="B67" s="267"/>
      <c r="C67" s="263"/>
      <c r="D67" s="20"/>
      <c r="E67" s="20"/>
      <c r="F67" s="263"/>
      <c r="G67" s="20"/>
      <c r="H67" s="263"/>
      <c r="I67" s="252"/>
      <c r="J67" s="263"/>
      <c r="K67" s="263"/>
      <c r="L67" s="263"/>
      <c r="M67" s="252"/>
      <c r="N67" s="9"/>
      <c r="R67" s="9"/>
      <c r="S67" s="9"/>
      <c r="T67" s="9"/>
    </row>
    <row r="68" spans="1:20">
      <c r="A68" s="20"/>
      <c r="B68" s="267"/>
      <c r="C68" s="263"/>
      <c r="D68" s="20"/>
      <c r="E68" s="20"/>
      <c r="F68" s="263"/>
      <c r="G68" s="20"/>
      <c r="H68" s="263"/>
      <c r="I68" s="252"/>
      <c r="J68" s="263"/>
      <c r="K68" s="263"/>
      <c r="L68" s="263"/>
      <c r="M68" s="252"/>
      <c r="N68" s="9"/>
      <c r="R68" s="9"/>
      <c r="S68" s="9"/>
      <c r="T68" s="9"/>
    </row>
    <row r="69" spans="1:20">
      <c r="A69" s="20"/>
      <c r="B69" s="267"/>
      <c r="C69" s="263"/>
      <c r="D69" s="20"/>
      <c r="E69" s="20"/>
      <c r="F69" s="263"/>
      <c r="G69" s="20"/>
      <c r="H69" s="263"/>
      <c r="I69" s="252"/>
      <c r="J69" s="263"/>
      <c r="K69" s="263"/>
      <c r="L69" s="263"/>
      <c r="M69" s="252"/>
      <c r="N69" s="9"/>
      <c r="R69" s="9"/>
      <c r="S69" s="9"/>
      <c r="T69" s="9"/>
    </row>
    <row r="70" spans="1:20">
      <c r="A70" s="20"/>
      <c r="B70" s="267"/>
      <c r="C70" s="263"/>
      <c r="D70" s="20"/>
      <c r="E70" s="20"/>
      <c r="F70" s="263"/>
      <c r="G70" s="20"/>
      <c r="H70" s="263"/>
      <c r="I70" s="252"/>
      <c r="J70" s="263"/>
      <c r="K70" s="263"/>
      <c r="L70" s="263"/>
      <c r="M70" s="252"/>
      <c r="N70" s="9"/>
      <c r="R70" s="9"/>
      <c r="S70" s="9"/>
      <c r="T70" s="9"/>
    </row>
    <row r="71" spans="1:20">
      <c r="A71" s="20"/>
      <c r="B71" s="267"/>
      <c r="C71" s="263"/>
      <c r="D71" s="20"/>
      <c r="E71" s="20"/>
      <c r="F71" s="263"/>
      <c r="G71" s="20"/>
      <c r="H71" s="263"/>
      <c r="I71" s="252"/>
      <c r="J71" s="263"/>
      <c r="K71" s="263"/>
      <c r="L71" s="263"/>
      <c r="M71" s="252"/>
      <c r="N71" s="9"/>
      <c r="R71" s="9"/>
      <c r="S71" s="9"/>
      <c r="T71" s="9"/>
    </row>
    <row r="72" spans="1:20">
      <c r="A72" s="20"/>
      <c r="B72" s="267"/>
      <c r="C72" s="263"/>
      <c r="D72" s="20"/>
      <c r="E72" s="20"/>
      <c r="F72" s="263"/>
      <c r="G72" s="20"/>
      <c r="H72" s="263"/>
      <c r="I72" s="252"/>
      <c r="J72" s="263"/>
      <c r="K72" s="263"/>
      <c r="L72" s="263"/>
      <c r="M72" s="252"/>
      <c r="N72" s="9"/>
      <c r="R72" s="9"/>
      <c r="S72" s="9"/>
      <c r="T72" s="9"/>
    </row>
    <row r="73" spans="1:20">
      <c r="A73" s="20"/>
      <c r="B73" s="267"/>
      <c r="C73" s="263"/>
      <c r="D73" s="20"/>
      <c r="E73" s="20"/>
      <c r="F73" s="263"/>
      <c r="G73" s="20"/>
      <c r="H73" s="263"/>
      <c r="I73" s="252"/>
      <c r="J73" s="263"/>
      <c r="K73" s="263"/>
      <c r="L73" s="263"/>
      <c r="M73" s="252"/>
      <c r="N73" s="9"/>
      <c r="R73" s="9"/>
      <c r="S73" s="9"/>
      <c r="T73" s="9"/>
    </row>
    <row r="74" spans="1:20">
      <c r="A74" s="20"/>
      <c r="B74" s="267"/>
      <c r="C74" s="263"/>
      <c r="D74" s="20"/>
      <c r="E74" s="20"/>
      <c r="F74" s="263"/>
      <c r="G74" s="20"/>
      <c r="H74" s="263"/>
      <c r="I74" s="252"/>
      <c r="J74" s="263"/>
      <c r="K74" s="263"/>
      <c r="L74" s="263"/>
      <c r="M74" s="252"/>
      <c r="N74" s="9"/>
      <c r="R74" s="9"/>
      <c r="S74" s="9"/>
      <c r="T74" s="9"/>
    </row>
    <row r="75" spans="1:20">
      <c r="A75" s="20"/>
      <c r="B75" s="267"/>
      <c r="C75" s="263"/>
      <c r="D75" s="20"/>
      <c r="E75" s="20"/>
      <c r="F75" s="263"/>
      <c r="G75" s="20"/>
      <c r="H75" s="263"/>
      <c r="I75" s="252"/>
      <c r="J75" s="263"/>
      <c r="K75" s="263"/>
      <c r="L75" s="263"/>
      <c r="M75" s="252"/>
      <c r="N75" s="9"/>
      <c r="R75" s="9"/>
      <c r="S75" s="9"/>
      <c r="T75" s="9"/>
    </row>
    <row r="76" spans="1:20">
      <c r="A76" s="20"/>
      <c r="B76" s="267"/>
      <c r="C76" s="263"/>
      <c r="D76" s="20"/>
      <c r="E76" s="20"/>
      <c r="F76" s="263"/>
      <c r="G76" s="20"/>
      <c r="H76" s="263"/>
      <c r="I76" s="252"/>
      <c r="J76" s="263"/>
      <c r="K76" s="263"/>
      <c r="L76" s="263"/>
      <c r="M76" s="252"/>
      <c r="N76" s="9"/>
      <c r="R76" s="9"/>
      <c r="S76" s="9"/>
      <c r="T76" s="9"/>
    </row>
    <row r="77" spans="1:20">
      <c r="A77" s="20"/>
      <c r="B77" s="267"/>
      <c r="C77" s="263"/>
      <c r="D77" s="20"/>
      <c r="E77" s="20"/>
      <c r="F77" s="263"/>
      <c r="G77" s="20"/>
      <c r="H77" s="263"/>
      <c r="I77" s="252"/>
      <c r="J77" s="263"/>
      <c r="K77" s="263"/>
      <c r="L77" s="263"/>
      <c r="M77" s="252"/>
      <c r="N77" s="9"/>
      <c r="R77" s="9"/>
      <c r="S77" s="9"/>
      <c r="T77" s="9"/>
    </row>
    <row r="78" spans="1:20">
      <c r="A78" s="20"/>
      <c r="B78" s="267"/>
      <c r="C78" s="263"/>
      <c r="D78" s="20"/>
      <c r="E78" s="20"/>
      <c r="F78" s="263"/>
      <c r="G78" s="20"/>
      <c r="H78" s="263"/>
      <c r="I78" s="252"/>
      <c r="J78" s="263"/>
      <c r="K78" s="263"/>
      <c r="L78" s="263"/>
      <c r="M78" s="252"/>
      <c r="N78" s="9"/>
      <c r="R78" s="9"/>
      <c r="S78" s="9"/>
      <c r="T78" s="9"/>
    </row>
    <row r="79" spans="1:20">
      <c r="A79" s="20"/>
      <c r="B79" s="267"/>
      <c r="C79" s="263"/>
      <c r="D79" s="20"/>
      <c r="E79" s="20"/>
      <c r="F79" s="263"/>
      <c r="G79" s="20"/>
      <c r="H79" s="263"/>
      <c r="I79" s="252"/>
      <c r="J79" s="263"/>
      <c r="K79" s="263"/>
      <c r="L79" s="263"/>
      <c r="M79" s="252"/>
      <c r="N79" s="9"/>
      <c r="R79" s="9"/>
      <c r="S79" s="9"/>
      <c r="T79" s="9"/>
    </row>
    <row r="80" spans="1:20">
      <c r="A80" s="20"/>
      <c r="B80" s="267"/>
      <c r="C80" s="263"/>
      <c r="D80" s="20"/>
      <c r="E80" s="20"/>
      <c r="F80" s="263"/>
      <c r="G80" s="20"/>
      <c r="H80" s="263"/>
      <c r="I80" s="252"/>
      <c r="J80" s="263"/>
      <c r="K80" s="263"/>
      <c r="L80" s="263"/>
      <c r="M80" s="252"/>
      <c r="N80" s="9"/>
      <c r="R80" s="9"/>
      <c r="S80" s="9"/>
      <c r="T80" s="9"/>
    </row>
    <row r="81" spans="1:20">
      <c r="A81" s="20"/>
      <c r="B81" s="267"/>
      <c r="C81" s="263"/>
      <c r="D81" s="20"/>
      <c r="E81" s="20"/>
      <c r="F81" s="263"/>
      <c r="G81" s="20"/>
      <c r="H81" s="263"/>
      <c r="I81" s="252"/>
      <c r="J81" s="263"/>
      <c r="K81" s="263"/>
      <c r="L81" s="263"/>
      <c r="M81" s="252"/>
      <c r="N81" s="9"/>
      <c r="R81" s="9"/>
      <c r="S81" s="9"/>
      <c r="T81" s="9"/>
    </row>
    <row r="82" spans="1:20">
      <c r="A82" s="20"/>
      <c r="B82" s="267"/>
      <c r="C82" s="263"/>
      <c r="D82" s="20"/>
      <c r="E82" s="20"/>
      <c r="F82" s="263"/>
      <c r="G82" s="20"/>
      <c r="H82" s="263"/>
      <c r="I82" s="252"/>
      <c r="J82" s="263"/>
      <c r="K82" s="263"/>
      <c r="L82" s="263"/>
      <c r="M82" s="252"/>
      <c r="N82" s="9"/>
      <c r="R82" s="9"/>
      <c r="S82" s="9"/>
      <c r="T82" s="9"/>
    </row>
    <row r="83" spans="1:20">
      <c r="A83" s="20"/>
      <c r="B83" s="267"/>
      <c r="C83" s="263"/>
      <c r="D83" s="20"/>
      <c r="E83" s="20"/>
      <c r="F83" s="263"/>
      <c r="G83" s="20"/>
      <c r="H83" s="263"/>
      <c r="I83" s="252"/>
      <c r="J83" s="263"/>
      <c r="K83" s="263"/>
      <c r="L83" s="263"/>
      <c r="M83" s="252"/>
      <c r="N83" s="9"/>
      <c r="R83" s="9"/>
      <c r="S83" s="9"/>
      <c r="T83" s="9"/>
    </row>
    <row r="84" spans="1:20">
      <c r="A84" s="20"/>
      <c r="B84" s="267"/>
      <c r="C84" s="263"/>
      <c r="D84" s="20"/>
      <c r="E84" s="20"/>
      <c r="F84" s="263"/>
      <c r="G84" s="20"/>
      <c r="H84" s="263"/>
      <c r="I84" s="252"/>
      <c r="J84" s="263"/>
      <c r="K84" s="263"/>
      <c r="L84" s="263"/>
      <c r="M84" s="252"/>
      <c r="N84" s="9"/>
      <c r="R84" s="9"/>
      <c r="S84" s="9"/>
      <c r="T84" s="9"/>
    </row>
    <row r="85" spans="1:20">
      <c r="A85" s="20"/>
      <c r="B85" s="267"/>
      <c r="C85" s="263"/>
      <c r="D85" s="20"/>
      <c r="E85" s="20"/>
      <c r="F85" s="263"/>
      <c r="G85" s="20"/>
      <c r="H85" s="263"/>
      <c r="I85" s="252"/>
      <c r="J85" s="263"/>
      <c r="K85" s="263"/>
      <c r="L85" s="263"/>
      <c r="M85" s="252"/>
      <c r="N85" s="9"/>
      <c r="R85" s="9"/>
      <c r="S85" s="9"/>
      <c r="T85" s="9"/>
    </row>
    <row r="86" spans="1:20">
      <c r="A86" s="20"/>
      <c r="B86" s="267"/>
      <c r="C86" s="263"/>
      <c r="D86" s="20"/>
      <c r="E86" s="20"/>
      <c r="F86" s="263"/>
      <c r="G86" s="20"/>
      <c r="H86" s="263"/>
      <c r="I86" s="252"/>
      <c r="J86" s="263"/>
      <c r="K86" s="263"/>
      <c r="L86" s="263"/>
      <c r="M86" s="252"/>
      <c r="N86" s="9"/>
      <c r="R86" s="9"/>
      <c r="S86" s="9"/>
      <c r="T86" s="9"/>
    </row>
    <row r="87" spans="1:20">
      <c r="A87" s="20"/>
      <c r="B87" s="267"/>
      <c r="C87" s="263"/>
      <c r="D87" s="20"/>
      <c r="E87" s="20"/>
      <c r="F87" s="263"/>
      <c r="G87" s="20"/>
      <c r="H87" s="263"/>
      <c r="I87" s="252"/>
      <c r="J87" s="263"/>
      <c r="K87" s="263"/>
      <c r="L87" s="263"/>
      <c r="M87" s="252"/>
      <c r="N87" s="9"/>
      <c r="R87" s="9"/>
      <c r="S87" s="9"/>
      <c r="T87" s="9"/>
    </row>
    <row r="88" spans="1:20">
      <c r="A88" s="20"/>
      <c r="B88" s="267"/>
      <c r="C88" s="263"/>
      <c r="D88" s="20"/>
      <c r="E88" s="20"/>
      <c r="F88" s="263"/>
      <c r="G88" s="20"/>
      <c r="H88" s="263"/>
      <c r="I88" s="252"/>
      <c r="J88" s="263"/>
      <c r="K88" s="263"/>
      <c r="L88" s="263"/>
      <c r="M88" s="252"/>
      <c r="N88" s="9"/>
      <c r="R88" s="9"/>
      <c r="S88" s="9"/>
      <c r="T88" s="9"/>
    </row>
    <row r="89" spans="1:20">
      <c r="A89" s="20"/>
      <c r="B89" s="267"/>
      <c r="C89" s="263"/>
      <c r="D89" s="20"/>
      <c r="E89" s="20"/>
      <c r="F89" s="263"/>
      <c r="G89" s="20"/>
      <c r="H89" s="263"/>
      <c r="I89" s="252"/>
      <c r="J89" s="263"/>
      <c r="K89" s="263"/>
      <c r="L89" s="263"/>
      <c r="M89" s="252"/>
      <c r="N89" s="9"/>
      <c r="R89" s="9"/>
      <c r="S89" s="9"/>
      <c r="T89" s="9"/>
    </row>
    <row r="90" spans="1:20">
      <c r="A90" s="20"/>
      <c r="B90" s="267"/>
      <c r="C90" s="263"/>
      <c r="D90" s="20"/>
      <c r="E90" s="20"/>
      <c r="F90" s="263"/>
      <c r="G90" s="20"/>
      <c r="H90" s="263"/>
      <c r="I90" s="252"/>
      <c r="J90" s="263"/>
      <c r="K90" s="263"/>
      <c r="L90" s="263"/>
      <c r="M90" s="252"/>
      <c r="N90" s="9"/>
      <c r="R90" s="9"/>
      <c r="S90" s="9"/>
      <c r="T90" s="9"/>
    </row>
    <row r="91" spans="1:20">
      <c r="A91" s="20"/>
      <c r="B91" s="267"/>
      <c r="C91" s="263"/>
      <c r="D91" s="20"/>
      <c r="E91" s="20"/>
      <c r="F91" s="263"/>
      <c r="G91" s="20"/>
      <c r="H91" s="263"/>
      <c r="I91" s="252"/>
      <c r="J91" s="263"/>
      <c r="K91" s="263"/>
      <c r="L91" s="263"/>
      <c r="M91" s="252"/>
      <c r="N91" s="9"/>
      <c r="R91" s="9"/>
      <c r="S91" s="9"/>
      <c r="T91" s="9"/>
    </row>
    <row r="92" spans="1:20">
      <c r="A92" s="20"/>
      <c r="B92" s="267"/>
      <c r="C92" s="263"/>
      <c r="D92" s="20"/>
      <c r="E92" s="20"/>
      <c r="F92" s="263"/>
      <c r="G92" s="20"/>
      <c r="H92" s="263"/>
      <c r="I92" s="252"/>
      <c r="J92" s="263"/>
      <c r="K92" s="263"/>
      <c r="L92" s="263"/>
      <c r="M92" s="252"/>
      <c r="N92" s="9"/>
      <c r="R92" s="9"/>
      <c r="S92" s="9"/>
      <c r="T92" s="9"/>
    </row>
    <row r="93" spans="1:20">
      <c r="A93" s="20"/>
      <c r="B93" s="267"/>
      <c r="C93" s="263"/>
      <c r="D93" s="20"/>
      <c r="E93" s="20"/>
      <c r="F93" s="263"/>
      <c r="G93" s="20"/>
      <c r="H93" s="263"/>
      <c r="I93" s="252"/>
      <c r="J93" s="263"/>
      <c r="K93" s="263"/>
      <c r="L93" s="263"/>
      <c r="M93" s="252"/>
      <c r="N93" s="9"/>
      <c r="R93" s="9"/>
      <c r="S93" s="9"/>
      <c r="T93" s="9"/>
    </row>
    <row r="94" spans="1:20">
      <c r="A94" s="20"/>
      <c r="B94" s="267"/>
      <c r="C94" s="263"/>
      <c r="D94" s="20"/>
      <c r="E94" s="20"/>
      <c r="F94" s="263"/>
      <c r="G94" s="20"/>
      <c r="H94" s="263"/>
      <c r="I94" s="252"/>
      <c r="J94" s="263"/>
      <c r="K94" s="263"/>
      <c r="L94" s="263"/>
      <c r="M94" s="252"/>
      <c r="N94" s="9"/>
      <c r="R94" s="9"/>
      <c r="S94" s="9"/>
      <c r="T94" s="9"/>
    </row>
    <row r="95" spans="1:20">
      <c r="A95" s="20"/>
      <c r="B95" s="267"/>
      <c r="C95" s="263"/>
      <c r="D95" s="20"/>
      <c r="E95" s="20"/>
      <c r="F95" s="263"/>
      <c r="G95" s="20"/>
      <c r="H95" s="263"/>
      <c r="I95" s="252"/>
      <c r="J95" s="263"/>
      <c r="K95" s="263"/>
      <c r="L95" s="263"/>
      <c r="M95" s="252"/>
      <c r="N95" s="9"/>
      <c r="R95" s="9"/>
      <c r="S95" s="9"/>
      <c r="T95" s="9"/>
    </row>
    <row r="96" spans="1:20">
      <c r="A96" s="20"/>
      <c r="B96" s="267"/>
      <c r="C96" s="263"/>
      <c r="D96" s="20"/>
      <c r="E96" s="20"/>
      <c r="F96" s="263"/>
      <c r="G96" s="20"/>
      <c r="H96" s="263"/>
      <c r="I96" s="252"/>
      <c r="J96" s="263"/>
      <c r="K96" s="263"/>
      <c r="L96" s="263"/>
      <c r="M96" s="252"/>
      <c r="N96" s="9"/>
      <c r="R96" s="9"/>
      <c r="S96" s="9"/>
      <c r="T96" s="9"/>
    </row>
    <row r="97" spans="1:20">
      <c r="A97" s="20"/>
      <c r="B97" s="267"/>
      <c r="C97" s="263"/>
      <c r="D97" s="20"/>
      <c r="E97" s="20"/>
      <c r="F97" s="263"/>
      <c r="G97" s="20"/>
      <c r="H97" s="263"/>
      <c r="I97" s="252"/>
      <c r="J97" s="263"/>
      <c r="K97" s="263"/>
      <c r="L97" s="263"/>
      <c r="M97" s="252"/>
      <c r="N97" s="9"/>
      <c r="R97" s="9"/>
      <c r="S97" s="9"/>
      <c r="T97" s="9"/>
    </row>
    <row r="98" spans="1:20">
      <c r="A98" s="20"/>
      <c r="B98" s="267"/>
      <c r="C98" s="263"/>
      <c r="D98" s="20"/>
      <c r="E98" s="20"/>
      <c r="F98" s="263"/>
      <c r="G98" s="20"/>
      <c r="H98" s="263"/>
      <c r="I98" s="252"/>
      <c r="J98" s="263"/>
      <c r="K98" s="263"/>
      <c r="L98" s="263"/>
      <c r="M98" s="252"/>
      <c r="N98" s="9"/>
      <c r="R98" s="9"/>
      <c r="S98" s="9"/>
      <c r="T98" s="9"/>
    </row>
    <row r="99" spans="1:20">
      <c r="A99" s="20"/>
      <c r="B99" s="267"/>
      <c r="C99" s="263"/>
      <c r="D99" s="20"/>
      <c r="E99" s="20"/>
      <c r="F99" s="263"/>
      <c r="G99" s="20"/>
      <c r="H99" s="263"/>
      <c r="I99" s="252"/>
      <c r="J99" s="263"/>
      <c r="K99" s="263"/>
      <c r="L99" s="263"/>
      <c r="M99" s="252"/>
      <c r="N99" s="9"/>
      <c r="R99" s="9"/>
      <c r="S99" s="9"/>
      <c r="T99" s="9"/>
    </row>
    <row r="100" spans="1:20">
      <c r="A100" s="20"/>
      <c r="B100" s="267"/>
      <c r="C100" s="263"/>
      <c r="D100" s="20"/>
      <c r="E100" s="20"/>
      <c r="F100" s="263"/>
      <c r="G100" s="20"/>
      <c r="H100" s="263"/>
      <c r="I100" s="252"/>
      <c r="J100" s="263"/>
      <c r="K100" s="263"/>
      <c r="L100" s="263"/>
      <c r="M100" s="252"/>
      <c r="N100" s="9"/>
      <c r="R100" s="9"/>
      <c r="S100" s="9"/>
      <c r="T100" s="9"/>
    </row>
    <row r="101" spans="1:20">
      <c r="A101" s="20"/>
      <c r="B101" s="267"/>
      <c r="C101" s="263"/>
      <c r="D101" s="20"/>
      <c r="E101" s="20"/>
      <c r="F101" s="263"/>
      <c r="G101" s="20"/>
      <c r="H101" s="263"/>
      <c r="I101" s="252"/>
      <c r="J101" s="263"/>
      <c r="K101" s="263"/>
      <c r="L101" s="263"/>
      <c r="M101" s="252"/>
      <c r="N101" s="9"/>
      <c r="R101" s="9"/>
      <c r="S101" s="9"/>
      <c r="T101" s="9"/>
    </row>
    <row r="102" spans="1:20">
      <c r="A102" s="20"/>
      <c r="B102" s="267"/>
      <c r="C102" s="263"/>
      <c r="D102" s="20"/>
      <c r="E102" s="20"/>
      <c r="F102" s="263"/>
      <c r="G102" s="20"/>
      <c r="H102" s="263"/>
      <c r="I102" s="252"/>
      <c r="J102" s="263"/>
      <c r="K102" s="263"/>
      <c r="L102" s="263"/>
      <c r="M102" s="252"/>
      <c r="N102" s="9"/>
      <c r="R102" s="9"/>
      <c r="S102" s="9"/>
      <c r="T102" s="9"/>
    </row>
    <row r="103" spans="1:20">
      <c r="A103" s="20"/>
      <c r="B103" s="267"/>
      <c r="C103" s="263"/>
      <c r="D103" s="20"/>
      <c r="E103" s="20"/>
      <c r="F103" s="263"/>
      <c r="G103" s="20"/>
      <c r="H103" s="263"/>
      <c r="I103" s="252"/>
      <c r="J103" s="263"/>
      <c r="K103" s="263"/>
      <c r="L103" s="263"/>
      <c r="M103" s="252"/>
      <c r="N103" s="9"/>
      <c r="R103" s="9"/>
      <c r="S103" s="9"/>
      <c r="T103" s="9"/>
    </row>
    <row r="104" spans="1:20">
      <c r="A104" s="20"/>
      <c r="B104" s="267"/>
      <c r="C104" s="263"/>
      <c r="D104" s="20"/>
      <c r="E104" s="20"/>
      <c r="F104" s="263"/>
      <c r="G104" s="20"/>
      <c r="H104" s="263"/>
      <c r="I104" s="252"/>
      <c r="J104" s="263"/>
      <c r="K104" s="263"/>
      <c r="L104" s="263"/>
      <c r="M104" s="252"/>
      <c r="N104" s="9"/>
      <c r="R104" s="9"/>
      <c r="S104" s="9"/>
      <c r="T104" s="9"/>
    </row>
    <row r="105" spans="1:20">
      <c r="A105" s="20"/>
      <c r="B105" s="267"/>
      <c r="C105" s="263"/>
      <c r="D105" s="20"/>
      <c r="E105" s="20"/>
      <c r="F105" s="263"/>
      <c r="G105" s="20"/>
      <c r="H105" s="263"/>
      <c r="I105" s="252"/>
      <c r="J105" s="263"/>
      <c r="K105" s="263"/>
      <c r="L105" s="263"/>
      <c r="M105" s="252"/>
      <c r="N105" s="9"/>
      <c r="R105" s="9"/>
      <c r="S105" s="9"/>
      <c r="T105" s="9"/>
    </row>
    <row r="106" spans="1:20">
      <c r="A106" s="20"/>
      <c r="B106" s="267"/>
      <c r="C106" s="263"/>
      <c r="D106" s="20"/>
      <c r="E106" s="20"/>
      <c r="F106" s="263"/>
      <c r="G106" s="20"/>
      <c r="H106" s="263"/>
      <c r="I106" s="252"/>
      <c r="J106" s="263"/>
      <c r="K106" s="263"/>
      <c r="L106" s="263"/>
      <c r="M106" s="252"/>
      <c r="N106" s="9"/>
      <c r="R106" s="9"/>
      <c r="S106" s="9"/>
      <c r="T106" s="9"/>
    </row>
    <row r="107" spans="1:20">
      <c r="A107" s="20"/>
      <c r="B107" s="267"/>
      <c r="C107" s="263"/>
      <c r="D107" s="20"/>
      <c r="E107" s="20"/>
      <c r="F107" s="263"/>
      <c r="G107" s="20"/>
      <c r="H107" s="263"/>
      <c r="I107" s="252"/>
      <c r="J107" s="263"/>
      <c r="K107" s="263"/>
      <c r="L107" s="263"/>
      <c r="M107" s="252"/>
      <c r="N107" s="9"/>
      <c r="R107" s="9"/>
      <c r="S107" s="9"/>
      <c r="T107" s="9"/>
    </row>
    <row r="108" spans="1:20">
      <c r="A108" s="20"/>
      <c r="B108" s="267"/>
      <c r="C108" s="263"/>
      <c r="D108" s="20"/>
      <c r="E108" s="20"/>
      <c r="F108" s="263"/>
      <c r="G108" s="20"/>
      <c r="H108" s="263"/>
      <c r="I108" s="252"/>
      <c r="J108" s="263"/>
      <c r="K108" s="263"/>
      <c r="L108" s="263"/>
      <c r="M108" s="252"/>
      <c r="N108" s="9"/>
      <c r="R108" s="9"/>
      <c r="S108" s="9"/>
      <c r="T108" s="9"/>
    </row>
    <row r="109" spans="1:20">
      <c r="A109" s="20"/>
      <c r="B109" s="267"/>
      <c r="C109" s="263"/>
      <c r="D109" s="20"/>
      <c r="E109" s="20"/>
      <c r="F109" s="263"/>
      <c r="G109" s="20"/>
      <c r="H109" s="263"/>
      <c r="I109" s="252"/>
      <c r="J109" s="263"/>
      <c r="K109" s="263"/>
      <c r="L109" s="263"/>
      <c r="M109" s="252"/>
      <c r="N109" s="9"/>
      <c r="R109" s="9"/>
      <c r="S109" s="9"/>
      <c r="T109" s="9"/>
    </row>
    <row r="110" spans="1:20">
      <c r="A110" s="20"/>
      <c r="B110" s="267"/>
      <c r="C110" s="263"/>
      <c r="D110" s="20"/>
      <c r="E110" s="20"/>
      <c r="F110" s="263"/>
      <c r="G110" s="20"/>
      <c r="H110" s="263"/>
      <c r="I110" s="252"/>
      <c r="J110" s="263"/>
      <c r="K110" s="263"/>
      <c r="L110" s="263"/>
      <c r="M110" s="252"/>
      <c r="N110" s="9"/>
      <c r="R110" s="9"/>
      <c r="S110" s="9"/>
      <c r="T110" s="9"/>
    </row>
    <row r="111" spans="1:20">
      <c r="A111" s="20"/>
      <c r="B111" s="267"/>
      <c r="C111" s="263"/>
      <c r="D111" s="20"/>
      <c r="E111" s="20"/>
      <c r="F111" s="263"/>
      <c r="G111" s="20"/>
      <c r="H111" s="263"/>
      <c r="I111" s="252"/>
      <c r="J111" s="263"/>
      <c r="K111" s="263"/>
      <c r="L111" s="263"/>
      <c r="M111" s="252"/>
      <c r="N111" s="9"/>
      <c r="R111" s="9"/>
      <c r="S111" s="9"/>
      <c r="T111" s="9"/>
    </row>
    <row r="112" spans="1:20">
      <c r="A112" s="20"/>
      <c r="B112" s="267"/>
      <c r="C112" s="263"/>
      <c r="D112" s="20"/>
      <c r="E112" s="20"/>
      <c r="F112" s="263"/>
      <c r="G112" s="20"/>
      <c r="H112" s="263"/>
      <c r="I112" s="252"/>
      <c r="J112" s="263"/>
      <c r="K112" s="263"/>
      <c r="L112" s="263"/>
      <c r="M112" s="252"/>
      <c r="N112" s="9"/>
      <c r="R112" s="9"/>
      <c r="S112" s="9"/>
      <c r="T112" s="9"/>
    </row>
    <row r="113" spans="1:20">
      <c r="A113" s="20"/>
      <c r="B113" s="267"/>
      <c r="C113" s="263"/>
      <c r="D113" s="20"/>
      <c r="E113" s="20"/>
      <c r="F113" s="263"/>
      <c r="G113" s="20"/>
      <c r="H113" s="263"/>
      <c r="I113" s="252"/>
      <c r="J113" s="263"/>
      <c r="K113" s="263"/>
      <c r="L113" s="263"/>
      <c r="M113" s="252"/>
      <c r="N113" s="9"/>
      <c r="R113" s="9"/>
      <c r="S113" s="9"/>
      <c r="T113" s="9"/>
    </row>
    <row r="114" spans="1:20">
      <c r="A114" s="20"/>
      <c r="B114" s="267"/>
      <c r="C114" s="263"/>
      <c r="D114" s="20"/>
      <c r="E114" s="20"/>
      <c r="F114" s="263"/>
      <c r="G114" s="20"/>
      <c r="H114" s="263"/>
      <c r="I114" s="252"/>
      <c r="J114" s="263"/>
      <c r="K114" s="263"/>
      <c r="L114" s="263"/>
      <c r="M114" s="252"/>
      <c r="N114" s="9"/>
      <c r="R114" s="9"/>
      <c r="S114" s="9"/>
      <c r="T114" s="9"/>
    </row>
    <row r="115" spans="1:20">
      <c r="A115" s="20"/>
      <c r="B115" s="267"/>
      <c r="C115" s="263"/>
      <c r="D115" s="20"/>
      <c r="E115" s="20"/>
      <c r="F115" s="263"/>
      <c r="G115" s="20"/>
      <c r="H115" s="263"/>
      <c r="I115" s="252"/>
      <c r="J115" s="263"/>
      <c r="K115" s="263"/>
      <c r="L115" s="263"/>
      <c r="M115" s="252"/>
      <c r="N115" s="9"/>
      <c r="R115" s="9"/>
      <c r="S115" s="9"/>
      <c r="T115" s="9"/>
    </row>
    <row r="116" spans="1:20">
      <c r="A116" s="20"/>
      <c r="B116" s="267"/>
      <c r="C116" s="263"/>
      <c r="D116" s="20"/>
      <c r="E116" s="20"/>
      <c r="F116" s="263"/>
      <c r="G116" s="20"/>
      <c r="H116" s="263"/>
      <c r="I116" s="252"/>
      <c r="J116" s="263"/>
      <c r="K116" s="263"/>
      <c r="L116" s="263"/>
      <c r="M116" s="252"/>
      <c r="N116" s="9"/>
      <c r="R116" s="9"/>
      <c r="S116" s="9"/>
      <c r="T116" s="9"/>
    </row>
    <row r="117" spans="1:20">
      <c r="A117" s="20"/>
      <c r="B117" s="267"/>
      <c r="C117" s="263"/>
      <c r="D117" s="20"/>
      <c r="E117" s="20"/>
      <c r="F117" s="263"/>
      <c r="G117" s="20"/>
      <c r="H117" s="263"/>
      <c r="I117" s="252"/>
      <c r="J117" s="263"/>
      <c r="K117" s="263"/>
      <c r="L117" s="263"/>
      <c r="M117" s="252"/>
      <c r="N117" s="9"/>
      <c r="R117" s="9"/>
      <c r="S117" s="9"/>
      <c r="T117" s="9"/>
    </row>
    <row r="118" spans="1:20">
      <c r="A118" s="20"/>
      <c r="B118" s="267"/>
      <c r="C118" s="263"/>
      <c r="D118" s="20"/>
      <c r="E118" s="20"/>
      <c r="F118" s="263"/>
      <c r="G118" s="20"/>
      <c r="H118" s="263"/>
      <c r="I118" s="252"/>
      <c r="J118" s="263"/>
      <c r="K118" s="263"/>
      <c r="L118" s="263"/>
      <c r="M118" s="252"/>
      <c r="N118" s="9"/>
      <c r="R118" s="9"/>
      <c r="S118" s="9"/>
      <c r="T118" s="9"/>
    </row>
    <row r="119" spans="1:20">
      <c r="A119" s="20"/>
      <c r="B119" s="267"/>
      <c r="C119" s="263"/>
      <c r="D119" s="20"/>
      <c r="E119" s="20"/>
      <c r="F119" s="263"/>
      <c r="G119" s="20"/>
      <c r="H119" s="263"/>
      <c r="I119" s="252"/>
      <c r="J119" s="263"/>
      <c r="K119" s="263"/>
      <c r="L119" s="263"/>
      <c r="M119" s="252"/>
      <c r="N119" s="9"/>
      <c r="R119" s="9"/>
      <c r="S119" s="9"/>
      <c r="T119" s="9"/>
    </row>
    <row r="120" spans="1:20">
      <c r="A120" s="20"/>
      <c r="B120" s="267"/>
      <c r="C120" s="263"/>
      <c r="D120" s="20"/>
      <c r="E120" s="20"/>
      <c r="F120" s="263"/>
      <c r="G120" s="20"/>
      <c r="H120" s="263"/>
      <c r="I120" s="252"/>
      <c r="J120" s="263"/>
      <c r="K120" s="263"/>
      <c r="L120" s="263"/>
      <c r="M120" s="252"/>
      <c r="N120" s="9"/>
      <c r="R120" s="9"/>
      <c r="S120" s="9"/>
      <c r="T120" s="9"/>
    </row>
    <row r="121" spans="1:20">
      <c r="A121" s="20"/>
      <c r="B121" s="267"/>
      <c r="C121" s="263"/>
      <c r="D121" s="20"/>
      <c r="E121" s="20"/>
      <c r="F121" s="263"/>
      <c r="G121" s="20"/>
      <c r="H121" s="263"/>
      <c r="I121" s="252"/>
      <c r="J121" s="263"/>
      <c r="K121" s="263"/>
      <c r="L121" s="263"/>
      <c r="M121" s="252"/>
      <c r="N121" s="9"/>
      <c r="R121" s="9"/>
      <c r="S121" s="9"/>
      <c r="T121" s="9"/>
    </row>
    <row r="122" spans="1:20">
      <c r="A122" s="20"/>
      <c r="B122" s="267"/>
      <c r="C122" s="263"/>
      <c r="D122" s="20"/>
      <c r="E122" s="20"/>
      <c r="F122" s="263"/>
      <c r="G122" s="20"/>
      <c r="H122" s="263"/>
      <c r="I122" s="252"/>
      <c r="J122" s="263"/>
      <c r="K122" s="263"/>
      <c r="L122" s="263"/>
      <c r="M122" s="252"/>
      <c r="N122" s="9"/>
      <c r="R122" s="9"/>
      <c r="S122" s="9"/>
      <c r="T122" s="9"/>
    </row>
    <row r="123" spans="1:20">
      <c r="A123" s="20"/>
      <c r="B123" s="267"/>
      <c r="C123" s="263"/>
      <c r="D123" s="20"/>
      <c r="E123" s="20"/>
      <c r="F123" s="263"/>
      <c r="G123" s="20"/>
      <c r="H123" s="263"/>
      <c r="I123" s="252"/>
      <c r="J123" s="263"/>
      <c r="K123" s="263"/>
      <c r="L123" s="263"/>
      <c r="M123" s="252"/>
      <c r="N123" s="9"/>
      <c r="R123" s="9"/>
      <c r="S123" s="9"/>
      <c r="T123" s="9"/>
    </row>
    <row r="124" spans="1:20">
      <c r="A124" s="20"/>
      <c r="B124" s="267"/>
      <c r="C124" s="263"/>
      <c r="D124" s="20"/>
      <c r="E124" s="20"/>
      <c r="F124" s="263"/>
      <c r="G124" s="20"/>
      <c r="H124" s="263"/>
      <c r="I124" s="252"/>
      <c r="J124" s="263"/>
      <c r="K124" s="263"/>
      <c r="L124" s="263"/>
      <c r="M124" s="252"/>
      <c r="N124" s="9"/>
      <c r="R124" s="9"/>
      <c r="S124" s="9"/>
      <c r="T124" s="9"/>
    </row>
    <row r="125" spans="1:20">
      <c r="A125" s="20"/>
      <c r="B125" s="267"/>
      <c r="C125" s="263"/>
      <c r="D125" s="20"/>
      <c r="E125" s="20"/>
      <c r="F125" s="263"/>
      <c r="G125" s="20"/>
      <c r="H125" s="263"/>
      <c r="I125" s="252"/>
      <c r="J125" s="263"/>
      <c r="K125" s="263"/>
      <c r="L125" s="263"/>
      <c r="M125" s="252"/>
      <c r="N125" s="9"/>
      <c r="R125" s="9"/>
      <c r="S125" s="9"/>
      <c r="T125" s="9"/>
    </row>
    <row r="126" spans="1:20">
      <c r="A126" s="20"/>
      <c r="B126" s="267"/>
      <c r="C126" s="263"/>
      <c r="D126" s="20"/>
      <c r="E126" s="20"/>
      <c r="F126" s="263"/>
      <c r="G126" s="20"/>
      <c r="H126" s="263"/>
      <c r="I126" s="252"/>
      <c r="J126" s="263"/>
      <c r="K126" s="263"/>
      <c r="L126" s="263"/>
      <c r="M126" s="252"/>
      <c r="N126" s="9"/>
      <c r="R126" s="9"/>
      <c r="S126" s="9"/>
      <c r="T126" s="9"/>
    </row>
    <row r="127" spans="1:20">
      <c r="A127" s="20"/>
      <c r="B127" s="267"/>
      <c r="C127" s="263"/>
      <c r="D127" s="20"/>
      <c r="E127" s="20"/>
      <c r="F127" s="263"/>
      <c r="G127" s="20"/>
      <c r="H127" s="263"/>
      <c r="I127" s="252"/>
      <c r="J127" s="263"/>
      <c r="K127" s="263"/>
      <c r="L127" s="263"/>
      <c r="M127" s="252"/>
      <c r="N127" s="9"/>
      <c r="R127" s="9"/>
      <c r="S127" s="9"/>
      <c r="T127" s="9"/>
    </row>
    <row r="128" spans="1:20">
      <c r="A128" s="20"/>
      <c r="B128" s="267"/>
      <c r="C128" s="263"/>
      <c r="D128" s="20"/>
      <c r="E128" s="20"/>
      <c r="F128" s="263"/>
      <c r="G128" s="20"/>
      <c r="H128" s="263"/>
      <c r="I128" s="252"/>
      <c r="J128" s="263"/>
      <c r="K128" s="263"/>
      <c r="L128" s="263"/>
      <c r="M128" s="252"/>
      <c r="N128" s="9"/>
      <c r="R128" s="9"/>
      <c r="S128" s="9"/>
      <c r="T128" s="9"/>
    </row>
    <row r="129" spans="1:20">
      <c r="A129" s="20"/>
      <c r="B129" s="267"/>
      <c r="C129" s="263"/>
      <c r="D129" s="20"/>
      <c r="E129" s="20"/>
      <c r="F129" s="263"/>
      <c r="G129" s="20"/>
      <c r="H129" s="263"/>
      <c r="I129" s="252"/>
      <c r="J129" s="263"/>
      <c r="K129" s="263"/>
      <c r="L129" s="263"/>
      <c r="M129" s="252"/>
      <c r="N129" s="9"/>
      <c r="R129" s="9"/>
      <c r="S129" s="9"/>
      <c r="T129" s="9"/>
    </row>
    <row r="130" spans="1:20">
      <c r="A130" s="20"/>
      <c r="B130" s="267"/>
      <c r="C130" s="263"/>
      <c r="D130" s="20"/>
      <c r="E130" s="20"/>
      <c r="F130" s="263"/>
      <c r="G130" s="20"/>
      <c r="H130" s="263"/>
      <c r="I130" s="252"/>
      <c r="J130" s="263"/>
      <c r="K130" s="263"/>
      <c r="L130" s="263"/>
      <c r="M130" s="252"/>
      <c r="N130" s="9"/>
      <c r="R130" s="9"/>
      <c r="S130" s="9"/>
      <c r="T130" s="9"/>
    </row>
    <row r="131" spans="1:20">
      <c r="A131" s="20"/>
      <c r="B131" s="267"/>
      <c r="C131" s="263"/>
      <c r="D131" s="20"/>
      <c r="E131" s="20"/>
      <c r="F131" s="263"/>
      <c r="G131" s="20"/>
      <c r="H131" s="263"/>
      <c r="I131" s="252"/>
      <c r="J131" s="263"/>
      <c r="K131" s="263"/>
      <c r="L131" s="263"/>
      <c r="M131" s="252"/>
      <c r="N131" s="9"/>
      <c r="R131" s="9"/>
      <c r="S131" s="9"/>
      <c r="T131" s="9"/>
    </row>
    <row r="132" spans="1:20">
      <c r="A132" s="20"/>
      <c r="B132" s="267"/>
      <c r="C132" s="263"/>
      <c r="D132" s="20"/>
      <c r="E132" s="20"/>
      <c r="F132" s="263"/>
      <c r="G132" s="20"/>
      <c r="H132" s="263"/>
      <c r="I132" s="252"/>
      <c r="J132" s="263"/>
      <c r="K132" s="263"/>
      <c r="L132" s="263"/>
      <c r="M132" s="252"/>
      <c r="N132" s="9"/>
      <c r="R132" s="9"/>
      <c r="S132" s="9"/>
      <c r="T132" s="9"/>
    </row>
    <row r="133" spans="1:20">
      <c r="A133" s="20"/>
      <c r="B133" s="267"/>
      <c r="C133" s="263"/>
      <c r="D133" s="20"/>
      <c r="E133" s="20"/>
      <c r="F133" s="263"/>
      <c r="G133" s="20"/>
      <c r="H133" s="263"/>
      <c r="I133" s="252"/>
      <c r="J133" s="263"/>
      <c r="K133" s="263"/>
      <c r="L133" s="263"/>
      <c r="M133" s="252"/>
      <c r="N133" s="9"/>
      <c r="R133" s="9"/>
      <c r="S133" s="9"/>
      <c r="T133" s="9"/>
    </row>
    <row r="134" spans="1:20">
      <c r="A134" s="20"/>
      <c r="B134" s="267"/>
      <c r="C134" s="263"/>
      <c r="D134" s="20"/>
      <c r="E134" s="20"/>
      <c r="F134" s="263"/>
      <c r="G134" s="20"/>
      <c r="H134" s="263"/>
      <c r="I134" s="252"/>
      <c r="J134" s="263"/>
      <c r="K134" s="263"/>
      <c r="L134" s="263"/>
      <c r="M134" s="252"/>
      <c r="N134" s="9"/>
      <c r="R134" s="9"/>
      <c r="S134" s="9"/>
      <c r="T134" s="9"/>
    </row>
    <row r="135" spans="1:20">
      <c r="A135" s="20"/>
      <c r="B135" s="267"/>
      <c r="C135" s="263"/>
      <c r="D135" s="20"/>
      <c r="E135" s="20"/>
      <c r="F135" s="263"/>
      <c r="G135" s="20"/>
      <c r="H135" s="263"/>
      <c r="I135" s="252"/>
      <c r="J135" s="263"/>
      <c r="K135" s="263"/>
      <c r="L135" s="263"/>
      <c r="M135" s="252"/>
      <c r="N135" s="9"/>
      <c r="R135" s="9"/>
      <c r="S135" s="9"/>
      <c r="T135" s="9"/>
    </row>
    <row r="136" spans="1:20">
      <c r="A136" s="20"/>
      <c r="B136" s="267"/>
      <c r="C136" s="263"/>
      <c r="D136" s="20"/>
      <c r="E136" s="20"/>
      <c r="F136" s="263"/>
      <c r="G136" s="20"/>
      <c r="H136" s="263"/>
      <c r="I136" s="252"/>
      <c r="J136" s="263"/>
      <c r="K136" s="263"/>
      <c r="L136" s="263"/>
      <c r="M136" s="252"/>
      <c r="N136" s="9"/>
      <c r="R136" s="9"/>
      <c r="S136" s="9"/>
      <c r="T136" s="9"/>
    </row>
    <row r="137" spans="1:20">
      <c r="A137" s="20"/>
      <c r="B137" s="267"/>
      <c r="C137" s="263"/>
      <c r="D137" s="20"/>
      <c r="E137" s="20"/>
      <c r="F137" s="263"/>
      <c r="G137" s="20"/>
      <c r="H137" s="263"/>
      <c r="I137" s="252"/>
      <c r="J137" s="263"/>
      <c r="K137" s="263"/>
      <c r="L137" s="263"/>
      <c r="M137" s="252"/>
      <c r="N137" s="9"/>
      <c r="R137" s="9"/>
      <c r="S137" s="9"/>
      <c r="T137" s="9"/>
    </row>
    <row r="138" spans="1:20">
      <c r="A138" s="20"/>
      <c r="B138" s="267"/>
      <c r="C138" s="263"/>
      <c r="D138" s="20"/>
      <c r="E138" s="20"/>
      <c r="F138" s="263"/>
      <c r="G138" s="20"/>
      <c r="H138" s="263"/>
      <c r="I138" s="252"/>
      <c r="J138" s="263"/>
      <c r="K138" s="263"/>
      <c r="L138" s="263"/>
      <c r="M138" s="252"/>
      <c r="N138" s="9"/>
      <c r="R138" s="9"/>
      <c r="S138" s="9"/>
      <c r="T138" s="9"/>
    </row>
    <row r="139" spans="1:20">
      <c r="A139" s="20"/>
      <c r="B139" s="267"/>
      <c r="C139" s="263"/>
      <c r="D139" s="20"/>
      <c r="E139" s="20"/>
      <c r="F139" s="263"/>
      <c r="G139" s="20"/>
      <c r="H139" s="263"/>
      <c r="I139" s="252"/>
      <c r="J139" s="263"/>
      <c r="K139" s="263"/>
      <c r="L139" s="263"/>
      <c r="M139" s="252"/>
      <c r="N139" s="9"/>
      <c r="R139" s="9"/>
      <c r="S139" s="9"/>
      <c r="T139" s="9"/>
    </row>
    <row r="140" spans="1:20">
      <c r="A140" s="20"/>
      <c r="B140" s="267"/>
      <c r="C140" s="263"/>
      <c r="D140" s="20"/>
      <c r="E140" s="20"/>
      <c r="F140" s="263"/>
      <c r="G140" s="20"/>
      <c r="H140" s="263"/>
      <c r="I140" s="252"/>
      <c r="J140" s="263"/>
      <c r="K140" s="263"/>
      <c r="L140" s="263"/>
      <c r="M140" s="252"/>
      <c r="N140" s="9"/>
      <c r="R140" s="9"/>
      <c r="S140" s="9"/>
      <c r="T140" s="9"/>
    </row>
    <row r="141" spans="1:20">
      <c r="A141" s="20"/>
      <c r="B141" s="267"/>
      <c r="C141" s="263"/>
      <c r="D141" s="20"/>
      <c r="E141" s="20"/>
      <c r="F141" s="263"/>
      <c r="G141" s="20"/>
      <c r="H141" s="263"/>
      <c r="I141" s="252"/>
      <c r="J141" s="263"/>
      <c r="K141" s="263"/>
      <c r="L141" s="263"/>
      <c r="M141" s="252"/>
      <c r="N141" s="9"/>
      <c r="R141" s="9"/>
      <c r="S141" s="9"/>
      <c r="T141" s="9"/>
    </row>
    <row r="142" spans="1:20">
      <c r="A142" s="20"/>
      <c r="B142" s="267"/>
      <c r="C142" s="263"/>
      <c r="D142" s="20"/>
      <c r="E142" s="20"/>
      <c r="F142" s="263"/>
      <c r="G142" s="20"/>
      <c r="H142" s="263"/>
      <c r="I142" s="252"/>
      <c r="J142" s="263"/>
      <c r="K142" s="263"/>
      <c r="L142" s="263"/>
      <c r="M142" s="252"/>
      <c r="N142" s="9"/>
      <c r="R142" s="9"/>
      <c r="S142" s="9"/>
      <c r="T142" s="9"/>
    </row>
    <row r="143" spans="1:20">
      <c r="A143" s="20"/>
      <c r="B143" s="267"/>
      <c r="C143" s="263"/>
      <c r="D143" s="20"/>
      <c r="E143" s="20"/>
      <c r="F143" s="263"/>
      <c r="G143" s="20"/>
      <c r="H143" s="263"/>
      <c r="I143" s="252"/>
      <c r="J143" s="263"/>
      <c r="K143" s="263"/>
      <c r="L143" s="263"/>
      <c r="M143" s="252"/>
      <c r="N143" s="9"/>
      <c r="R143" s="9"/>
      <c r="S143" s="9"/>
      <c r="T143" s="9"/>
    </row>
    <row r="144" spans="1:20">
      <c r="A144" s="20"/>
      <c r="B144" s="267"/>
      <c r="C144" s="263"/>
      <c r="D144" s="20"/>
      <c r="E144" s="20"/>
      <c r="F144" s="263"/>
      <c r="G144" s="20"/>
      <c r="H144" s="263"/>
      <c r="I144" s="252"/>
      <c r="J144" s="263"/>
      <c r="K144" s="263"/>
      <c r="L144" s="263"/>
      <c r="M144" s="252"/>
      <c r="N144" s="9"/>
      <c r="R144" s="9"/>
      <c r="S144" s="9"/>
      <c r="T144" s="9"/>
    </row>
    <row r="145" spans="1:20">
      <c r="A145" s="20"/>
      <c r="B145" s="267"/>
      <c r="C145" s="263"/>
      <c r="D145" s="20"/>
      <c r="E145" s="20"/>
      <c r="F145" s="263"/>
      <c r="G145" s="20"/>
      <c r="H145" s="263"/>
      <c r="I145" s="252"/>
      <c r="J145" s="263"/>
      <c r="K145" s="263"/>
      <c r="L145" s="263"/>
      <c r="M145" s="252"/>
      <c r="N145" s="9"/>
      <c r="R145" s="9"/>
      <c r="S145" s="9"/>
      <c r="T145" s="9"/>
    </row>
    <row r="146" spans="1:20">
      <c r="A146" s="20"/>
      <c r="B146" s="267"/>
      <c r="C146" s="263"/>
      <c r="D146" s="20"/>
      <c r="E146" s="20"/>
      <c r="F146" s="263"/>
      <c r="G146" s="20"/>
      <c r="H146" s="263"/>
      <c r="I146" s="252"/>
      <c r="J146" s="263"/>
      <c r="K146" s="263"/>
      <c r="L146" s="263"/>
      <c r="M146" s="252"/>
      <c r="N146" s="9"/>
      <c r="R146" s="9"/>
      <c r="S146" s="9"/>
      <c r="T146" s="9"/>
    </row>
    <row r="147" spans="1:20">
      <c r="A147" s="20"/>
      <c r="B147" s="267"/>
      <c r="C147" s="263"/>
      <c r="D147" s="20"/>
      <c r="E147" s="20"/>
      <c r="F147" s="263"/>
      <c r="G147" s="20"/>
      <c r="H147" s="263"/>
      <c r="I147" s="252"/>
      <c r="J147" s="263"/>
      <c r="K147" s="263"/>
      <c r="L147" s="263"/>
      <c r="M147" s="252"/>
      <c r="N147" s="9"/>
      <c r="R147" s="9"/>
      <c r="S147" s="9"/>
      <c r="T147" s="9"/>
    </row>
    <row r="148" spans="1:20">
      <c r="A148" s="20"/>
      <c r="B148" s="267"/>
      <c r="C148" s="263"/>
      <c r="D148" s="20"/>
      <c r="E148" s="20"/>
      <c r="F148" s="263"/>
      <c r="G148" s="20"/>
      <c r="H148" s="263"/>
      <c r="I148" s="252"/>
      <c r="J148" s="263"/>
      <c r="K148" s="263"/>
      <c r="L148" s="263"/>
      <c r="M148" s="252"/>
      <c r="N148" s="9"/>
      <c r="R148" s="9"/>
      <c r="S148" s="9"/>
      <c r="T148" s="9"/>
    </row>
    <row r="149" spans="1:20">
      <c r="A149" s="20"/>
      <c r="B149" s="267"/>
      <c r="C149" s="263"/>
      <c r="D149" s="20"/>
      <c r="E149" s="20"/>
      <c r="F149" s="263"/>
      <c r="G149" s="20"/>
      <c r="H149" s="263"/>
      <c r="I149" s="252"/>
      <c r="J149" s="263"/>
      <c r="K149" s="263"/>
      <c r="L149" s="263"/>
      <c r="M149" s="252"/>
      <c r="N149" s="9"/>
      <c r="R149" s="9"/>
      <c r="S149" s="9"/>
      <c r="T149" s="9"/>
    </row>
    <row r="150" spans="1:20">
      <c r="A150" s="20"/>
      <c r="B150" s="267"/>
      <c r="C150" s="263"/>
      <c r="D150" s="20"/>
      <c r="E150" s="20"/>
      <c r="F150" s="263"/>
      <c r="G150" s="20"/>
      <c r="H150" s="263"/>
      <c r="I150" s="252"/>
      <c r="J150" s="263"/>
      <c r="K150" s="263"/>
      <c r="L150" s="263"/>
      <c r="M150" s="252"/>
      <c r="N150" s="9"/>
      <c r="R150" s="9"/>
      <c r="S150" s="9"/>
      <c r="T150" s="9"/>
    </row>
    <row r="151" spans="1:20">
      <c r="A151" s="20"/>
      <c r="B151" s="267"/>
      <c r="C151" s="263"/>
      <c r="D151" s="20"/>
      <c r="E151" s="20"/>
      <c r="F151" s="263"/>
      <c r="G151" s="20"/>
      <c r="H151" s="263"/>
      <c r="I151" s="252"/>
      <c r="J151" s="263"/>
      <c r="K151" s="263"/>
      <c r="L151" s="263"/>
      <c r="M151" s="252"/>
      <c r="N151" s="9"/>
      <c r="R151" s="9"/>
      <c r="S151" s="9"/>
      <c r="T151" s="9"/>
    </row>
    <row r="152" spans="1:20">
      <c r="A152" s="20"/>
      <c r="B152" s="267"/>
      <c r="C152" s="263"/>
      <c r="D152" s="20"/>
      <c r="E152" s="20"/>
      <c r="F152" s="263"/>
      <c r="G152" s="20"/>
      <c r="H152" s="263"/>
      <c r="I152" s="252"/>
      <c r="J152" s="263"/>
      <c r="K152" s="263"/>
      <c r="L152" s="263"/>
      <c r="M152" s="252"/>
      <c r="N152" s="9"/>
      <c r="R152" s="9"/>
      <c r="S152" s="9"/>
      <c r="T152" s="9"/>
    </row>
    <row r="153" spans="1:20">
      <c r="A153" s="20"/>
      <c r="B153" s="267"/>
      <c r="C153" s="263"/>
      <c r="D153" s="20"/>
      <c r="E153" s="20"/>
      <c r="F153" s="263"/>
      <c r="G153" s="20"/>
      <c r="H153" s="263"/>
      <c r="I153" s="252"/>
      <c r="J153" s="263"/>
      <c r="K153" s="263"/>
      <c r="L153" s="263"/>
      <c r="M153" s="252"/>
      <c r="N153" s="9"/>
      <c r="R153" s="9"/>
      <c r="S153" s="9"/>
      <c r="T153" s="9"/>
    </row>
    <row r="154" spans="1:20">
      <c r="A154" s="20"/>
      <c r="B154" s="267"/>
      <c r="C154" s="263"/>
      <c r="D154" s="20"/>
      <c r="E154" s="20"/>
      <c r="F154" s="263"/>
      <c r="G154" s="20"/>
      <c r="H154" s="263"/>
      <c r="I154" s="252"/>
      <c r="J154" s="263"/>
      <c r="K154" s="263"/>
      <c r="L154" s="263"/>
      <c r="M154" s="252"/>
      <c r="N154" s="9"/>
      <c r="R154" s="9"/>
      <c r="S154" s="9"/>
      <c r="T154" s="9"/>
    </row>
    <row r="155" spans="1:20">
      <c r="A155" s="20"/>
      <c r="B155" s="267"/>
      <c r="C155" s="263"/>
      <c r="D155" s="20"/>
      <c r="E155" s="20"/>
      <c r="F155" s="263"/>
      <c r="G155" s="20"/>
      <c r="H155" s="263"/>
      <c r="I155" s="252"/>
      <c r="J155" s="263"/>
      <c r="K155" s="263"/>
      <c r="L155" s="263"/>
      <c r="M155" s="252"/>
      <c r="N155" s="9"/>
      <c r="R155" s="9"/>
      <c r="S155" s="9"/>
      <c r="T155" s="9"/>
    </row>
    <row r="156" spans="1:20">
      <c r="A156" s="20"/>
      <c r="B156" s="267"/>
      <c r="C156" s="263"/>
      <c r="D156" s="20"/>
      <c r="E156" s="20"/>
      <c r="F156" s="263"/>
      <c r="G156" s="20"/>
      <c r="H156" s="263"/>
      <c r="I156" s="252"/>
      <c r="J156" s="263"/>
      <c r="K156" s="263"/>
      <c r="L156" s="263"/>
      <c r="M156" s="252"/>
      <c r="N156" s="9"/>
      <c r="R156" s="9"/>
      <c r="S156" s="9"/>
      <c r="T156" s="9"/>
    </row>
    <row r="157" spans="1:20">
      <c r="A157" s="20"/>
      <c r="B157" s="267"/>
      <c r="C157" s="263"/>
      <c r="D157" s="20"/>
      <c r="E157" s="20"/>
      <c r="F157" s="263"/>
      <c r="G157" s="20"/>
      <c r="H157" s="263"/>
      <c r="I157" s="252"/>
      <c r="J157" s="263"/>
      <c r="K157" s="263"/>
      <c r="L157" s="263"/>
      <c r="M157" s="252"/>
      <c r="N157" s="9"/>
      <c r="R157" s="9"/>
      <c r="S157" s="9"/>
      <c r="T157" s="9"/>
    </row>
    <row r="158" spans="1:20">
      <c r="A158" s="20"/>
      <c r="B158" s="267"/>
      <c r="C158" s="263"/>
      <c r="D158" s="20"/>
      <c r="E158" s="20"/>
      <c r="F158" s="263"/>
      <c r="G158" s="20"/>
      <c r="H158" s="263"/>
      <c r="I158" s="252"/>
      <c r="J158" s="263"/>
      <c r="K158" s="263"/>
      <c r="L158" s="263"/>
      <c r="M158" s="252"/>
      <c r="N158" s="9"/>
      <c r="R158" s="9"/>
      <c r="S158" s="9"/>
      <c r="T158" s="9"/>
    </row>
    <row r="159" spans="1:20">
      <c r="A159" s="20"/>
      <c r="B159" s="267"/>
      <c r="C159" s="263"/>
      <c r="D159" s="20"/>
      <c r="E159" s="20"/>
      <c r="F159" s="263"/>
      <c r="G159" s="20"/>
      <c r="H159" s="263"/>
      <c r="I159" s="252"/>
      <c r="J159" s="263"/>
      <c r="K159" s="263"/>
      <c r="L159" s="263"/>
      <c r="M159" s="252"/>
      <c r="N159" s="9"/>
      <c r="R159" s="9"/>
      <c r="S159" s="9"/>
      <c r="T159" s="9"/>
    </row>
    <row r="160" spans="1:20">
      <c r="A160" s="20"/>
      <c r="B160" s="267"/>
      <c r="C160" s="263"/>
      <c r="D160" s="20"/>
      <c r="E160" s="20"/>
      <c r="F160" s="263"/>
      <c r="G160" s="20"/>
      <c r="H160" s="263"/>
      <c r="I160" s="252"/>
      <c r="J160" s="263"/>
      <c r="K160" s="263"/>
      <c r="L160" s="263"/>
      <c r="M160" s="252"/>
      <c r="N160" s="9"/>
      <c r="R160" s="9"/>
      <c r="S160" s="9"/>
      <c r="T160" s="9"/>
    </row>
    <row r="161" spans="1:20">
      <c r="A161" s="20"/>
      <c r="B161" s="267"/>
      <c r="C161" s="263"/>
      <c r="D161" s="20"/>
      <c r="E161" s="20"/>
      <c r="F161" s="263"/>
      <c r="G161" s="20"/>
      <c r="H161" s="263"/>
      <c r="I161" s="252"/>
      <c r="J161" s="263"/>
      <c r="K161" s="263"/>
      <c r="L161" s="263"/>
      <c r="M161" s="252"/>
      <c r="N161" s="9"/>
      <c r="R161" s="9"/>
      <c r="S161" s="9"/>
      <c r="T161" s="9"/>
    </row>
    <row r="162" spans="1:20">
      <c r="A162" s="20"/>
      <c r="B162" s="267"/>
      <c r="C162" s="263"/>
      <c r="D162" s="20"/>
      <c r="E162" s="20"/>
      <c r="F162" s="263"/>
      <c r="G162" s="20"/>
      <c r="H162" s="263"/>
      <c r="I162" s="252"/>
      <c r="J162" s="263"/>
      <c r="K162" s="263"/>
      <c r="L162" s="263"/>
      <c r="M162" s="252"/>
      <c r="N162" s="9"/>
      <c r="R162" s="9"/>
      <c r="S162" s="9"/>
      <c r="T162" s="9"/>
    </row>
    <row r="163" spans="1:20">
      <c r="A163" s="9"/>
      <c r="B163" s="274"/>
      <c r="D163" s="7"/>
      <c r="E163" s="7"/>
      <c r="G163" s="7"/>
      <c r="I163" s="252"/>
      <c r="K163" s="9"/>
      <c r="M163" s="252"/>
      <c r="N163" s="9"/>
      <c r="R163" s="9"/>
      <c r="S163" s="9"/>
      <c r="T163" s="9"/>
    </row>
    <row r="164" spans="1:20">
      <c r="A164" s="9"/>
      <c r="B164" s="274"/>
      <c r="D164" s="7"/>
      <c r="E164" s="7"/>
      <c r="G164" s="7"/>
      <c r="I164" s="252"/>
      <c r="K164" s="9"/>
      <c r="M164" s="252"/>
      <c r="N164" s="9"/>
      <c r="R164" s="9"/>
      <c r="S164" s="9"/>
      <c r="T164" s="9"/>
    </row>
    <row r="165" spans="1:20">
      <c r="A165" s="9"/>
      <c r="B165" s="274"/>
      <c r="D165" s="7"/>
      <c r="E165" s="7"/>
      <c r="G165" s="7"/>
      <c r="I165" s="252"/>
      <c r="K165" s="9"/>
      <c r="M165" s="252"/>
      <c r="N165" s="9"/>
      <c r="R165" s="9"/>
      <c r="S165" s="9"/>
      <c r="T165" s="9"/>
    </row>
    <row r="166" spans="1:20">
      <c r="A166" s="9"/>
      <c r="B166" s="274"/>
      <c r="D166" s="7"/>
      <c r="E166" s="7"/>
      <c r="G166" s="7"/>
      <c r="I166" s="252"/>
      <c r="K166" s="9"/>
      <c r="M166" s="252"/>
      <c r="N166" s="9"/>
      <c r="R166" s="9"/>
      <c r="S166" s="9"/>
      <c r="T166" s="9"/>
    </row>
    <row r="167" spans="1:20">
      <c r="A167" s="9"/>
      <c r="B167" s="274"/>
      <c r="D167" s="7"/>
      <c r="E167" s="7"/>
      <c r="G167" s="7"/>
      <c r="I167" s="252"/>
      <c r="K167" s="9"/>
      <c r="M167" s="252"/>
      <c r="N167" s="9"/>
      <c r="R167" s="9"/>
      <c r="S167" s="9"/>
      <c r="T167" s="9"/>
    </row>
    <row r="168" spans="1:20">
      <c r="A168" s="9"/>
      <c r="B168" s="274"/>
      <c r="D168" s="7"/>
      <c r="E168" s="7"/>
      <c r="G168" s="7"/>
      <c r="I168" s="252"/>
      <c r="K168" s="9"/>
      <c r="M168" s="252"/>
      <c r="N168" s="9"/>
      <c r="R168" s="9"/>
      <c r="S168" s="9"/>
      <c r="T168" s="9"/>
    </row>
    <row r="169" spans="1:20">
      <c r="A169" s="9"/>
      <c r="B169" s="274"/>
      <c r="D169" s="7"/>
      <c r="E169" s="7"/>
      <c r="G169" s="7"/>
      <c r="I169" s="252"/>
      <c r="K169" s="9"/>
      <c r="M169" s="252"/>
      <c r="N169" s="9"/>
      <c r="R169" s="9"/>
      <c r="S169" s="9"/>
      <c r="T169" s="9"/>
    </row>
    <row r="170" spans="1:20">
      <c r="A170" s="9"/>
      <c r="B170" s="274"/>
      <c r="D170" s="7"/>
      <c r="E170" s="7"/>
      <c r="G170" s="7"/>
      <c r="I170" s="252"/>
      <c r="K170" s="9"/>
      <c r="M170" s="252"/>
      <c r="N170" s="9"/>
      <c r="R170" s="9"/>
      <c r="S170" s="9"/>
      <c r="T170" s="9"/>
    </row>
    <row r="171" spans="1:20">
      <c r="A171" s="9"/>
      <c r="B171" s="274"/>
      <c r="D171" s="7"/>
      <c r="E171" s="7"/>
      <c r="G171" s="7"/>
      <c r="I171" s="252"/>
      <c r="K171" s="9"/>
      <c r="M171" s="252"/>
      <c r="N171" s="9"/>
      <c r="R171" s="9"/>
      <c r="S171" s="9"/>
      <c r="T171" s="9"/>
    </row>
    <row r="172" spans="1:20">
      <c r="A172" s="9"/>
      <c r="B172" s="274"/>
      <c r="D172" s="7"/>
      <c r="E172" s="7"/>
      <c r="G172" s="7"/>
      <c r="I172" s="252"/>
      <c r="K172" s="9"/>
      <c r="M172" s="252"/>
      <c r="N172" s="9"/>
      <c r="R172" s="9"/>
      <c r="S172" s="9"/>
      <c r="T172" s="9"/>
    </row>
    <row r="173" spans="1:20">
      <c r="A173" s="9"/>
      <c r="B173" s="274"/>
      <c r="D173" s="7"/>
      <c r="E173" s="7"/>
      <c r="G173" s="7"/>
      <c r="I173" s="252"/>
      <c r="K173" s="9"/>
      <c r="M173" s="252"/>
      <c r="N173" s="9"/>
      <c r="R173" s="9"/>
      <c r="S173" s="9"/>
      <c r="T173" s="9"/>
    </row>
    <row r="174" spans="1:20">
      <c r="A174" s="9"/>
      <c r="B174" s="274"/>
      <c r="D174" s="7"/>
      <c r="E174" s="7"/>
      <c r="G174" s="7"/>
      <c r="I174" s="252"/>
      <c r="K174" s="9"/>
      <c r="M174" s="252"/>
      <c r="N174" s="9"/>
      <c r="R174" s="9"/>
      <c r="S174" s="9"/>
      <c r="T174" s="9"/>
    </row>
    <row r="175" spans="1:20">
      <c r="A175" s="9"/>
      <c r="B175" s="274"/>
      <c r="D175" s="7"/>
      <c r="E175" s="7"/>
      <c r="G175" s="7"/>
      <c r="I175" s="252"/>
      <c r="K175" s="9"/>
      <c r="M175" s="252"/>
      <c r="N175" s="9"/>
      <c r="R175" s="9"/>
      <c r="S175" s="9"/>
      <c r="T175" s="9"/>
    </row>
    <row r="176" spans="1:20">
      <c r="A176" s="9"/>
      <c r="B176" s="274"/>
      <c r="D176" s="7"/>
      <c r="E176" s="7"/>
      <c r="G176" s="7"/>
      <c r="I176" s="252"/>
      <c r="K176" s="9"/>
      <c r="M176" s="252"/>
      <c r="N176" s="9"/>
      <c r="R176" s="9"/>
      <c r="S176" s="9"/>
      <c r="T176" s="9"/>
    </row>
    <row r="177" spans="1:20">
      <c r="A177" s="9"/>
      <c r="B177" s="274"/>
      <c r="D177" s="7"/>
      <c r="E177" s="7"/>
      <c r="G177" s="7"/>
      <c r="I177" s="252"/>
      <c r="K177" s="9"/>
      <c r="M177" s="252"/>
      <c r="N177" s="9"/>
      <c r="R177" s="9"/>
      <c r="S177" s="9"/>
      <c r="T177" s="9"/>
    </row>
    <row r="178" spans="1:20">
      <c r="A178" s="9"/>
      <c r="B178" s="274"/>
      <c r="D178" s="7"/>
      <c r="E178" s="7"/>
      <c r="G178" s="7"/>
      <c r="I178" s="252"/>
      <c r="K178" s="9"/>
      <c r="M178" s="252"/>
      <c r="N178" s="9"/>
      <c r="R178" s="9"/>
      <c r="S178" s="9"/>
      <c r="T178" s="9"/>
    </row>
    <row r="179" spans="1:20">
      <c r="A179" s="9"/>
      <c r="B179" s="274"/>
      <c r="D179" s="7"/>
      <c r="E179" s="7"/>
      <c r="G179" s="7"/>
      <c r="I179" s="252"/>
      <c r="K179" s="9"/>
      <c r="M179" s="252"/>
      <c r="N179" s="9"/>
      <c r="R179" s="9"/>
      <c r="S179" s="9"/>
      <c r="T179" s="9"/>
    </row>
    <row r="180" spans="1:20">
      <c r="A180" s="9"/>
      <c r="B180" s="274"/>
      <c r="D180" s="7"/>
      <c r="E180" s="7"/>
      <c r="G180" s="7"/>
      <c r="I180" s="252"/>
      <c r="K180" s="9"/>
      <c r="M180" s="252"/>
      <c r="N180" s="9"/>
      <c r="R180" s="9"/>
      <c r="S180" s="9"/>
      <c r="T180" s="9"/>
    </row>
    <row r="181" spans="1:20">
      <c r="A181" s="9"/>
      <c r="B181" s="274"/>
      <c r="D181" s="7"/>
      <c r="E181" s="7"/>
      <c r="G181" s="7"/>
      <c r="I181" s="252"/>
      <c r="K181" s="9"/>
      <c r="M181" s="252"/>
      <c r="N181" s="9"/>
      <c r="R181" s="9"/>
      <c r="S181" s="9"/>
      <c r="T181" s="9"/>
    </row>
    <row r="182" spans="1:20">
      <c r="A182" s="9"/>
      <c r="B182" s="274"/>
      <c r="D182" s="7"/>
      <c r="E182" s="7"/>
      <c r="G182" s="7"/>
      <c r="I182" s="252"/>
      <c r="K182" s="9"/>
      <c r="M182" s="252"/>
      <c r="N182" s="9"/>
      <c r="R182" s="9"/>
      <c r="S182" s="9"/>
      <c r="T182" s="9"/>
    </row>
    <row r="183" spans="1:20">
      <c r="A183" s="9"/>
      <c r="B183" s="274"/>
      <c r="D183" s="7"/>
      <c r="E183" s="7"/>
      <c r="G183" s="7"/>
      <c r="I183" s="252"/>
      <c r="K183" s="9"/>
      <c r="M183" s="252"/>
      <c r="N183" s="9"/>
      <c r="R183" s="9"/>
      <c r="S183" s="9"/>
      <c r="T183" s="9"/>
    </row>
    <row r="184" spans="1:20">
      <c r="A184" s="9"/>
      <c r="B184" s="274"/>
      <c r="D184" s="7"/>
      <c r="E184" s="7"/>
      <c r="G184" s="7"/>
      <c r="I184" s="252"/>
      <c r="K184" s="9"/>
      <c r="M184" s="252"/>
      <c r="N184" s="9"/>
      <c r="R184" s="9"/>
      <c r="S184" s="9"/>
      <c r="T184" s="9"/>
    </row>
  </sheetData>
  <autoFilter xmlns:etc="http://www.wps.cn/officeDocument/2017/etCustomData" ref="A1:T184" etc:filterBottomFollowUsedRange="0">
    <extLst/>
  </autoFilter>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8FA1C"/>
  </sheetPr>
  <dimension ref="A1:GZ200"/>
  <sheetViews>
    <sheetView tabSelected="1" workbookViewId="0">
      <pane xSplit="4" ySplit="2" topLeftCell="E3" activePane="bottomRight" state="frozen"/>
      <selection/>
      <selection pane="topRight"/>
      <selection pane="bottomLeft"/>
      <selection pane="bottomRight" activeCell="I70" sqref="I70"/>
    </sheetView>
  </sheetViews>
  <sheetFormatPr defaultColWidth="17" defaultRowHeight="11.4"/>
  <cols>
    <col min="1" max="1" width="13.3645833333333" customWidth="1"/>
    <col min="2" max="2" width="10.1354166666667" customWidth="1"/>
    <col min="3" max="3" width="45.21875" customWidth="1"/>
    <col min="4" max="4" width="11.75" customWidth="1"/>
    <col min="5" max="7" width="8.53125" customWidth="1"/>
    <col min="8" max="9" width="11.75" customWidth="1"/>
    <col min="10" max="10" width="16.59375" customWidth="1"/>
    <col min="11" max="13" width="8.53125" customWidth="1"/>
    <col min="14" max="15" width="11.75" customWidth="1"/>
    <col min="16" max="16" width="10.1354166666667" customWidth="1"/>
    <col min="17" max="19" width="11.75" customWidth="1"/>
    <col min="20" max="20" width="8.53125" customWidth="1"/>
    <col min="21" max="22" width="10.1354166666667" customWidth="1"/>
    <col min="23" max="23" width="13.3645833333333" customWidth="1"/>
    <col min="24" max="24" width="10.1354166666667" customWidth="1"/>
    <col min="25" max="25" width="10.125" customWidth="1"/>
    <col min="26" max="26" width="10.1354166666667" customWidth="1"/>
    <col min="27" max="27" width="10.125" customWidth="1"/>
    <col min="28" max="28" width="10.1354166666667" customWidth="1"/>
    <col min="29" max="29" width="10.125" customWidth="1"/>
    <col min="30" max="30" width="10.1354166666667" customWidth="1"/>
    <col min="31" max="37" width="10.125" customWidth="1"/>
    <col min="38" max="40" width="10.1354166666667" customWidth="1"/>
    <col min="41" max="41" width="10.125" customWidth="1"/>
    <col min="42" max="42" width="10.1354166666667" customWidth="1"/>
    <col min="43" max="44" width="10.125" customWidth="1"/>
    <col min="45" max="51" width="10.1354166666667" customWidth="1"/>
    <col min="52" max="54" width="11.75" customWidth="1"/>
    <col min="55" max="55" width="11.6979166666667" customWidth="1"/>
    <col min="56" max="56" width="11.75" customWidth="1"/>
    <col min="57" max="58" width="13.3645833333333" customWidth="1"/>
    <col min="59" max="61" width="14.9791666666667" customWidth="1"/>
    <col min="62" max="62" width="11.75" customWidth="1"/>
    <col min="63" max="63" width="14.9791666666667" customWidth="1"/>
    <col min="64" max="64" width="13.3645833333333" customWidth="1"/>
    <col min="65" max="68" width="11.75" customWidth="1"/>
    <col min="69" max="73" width="11.6979166666667" customWidth="1"/>
    <col min="74" max="75" width="11.75" customWidth="1"/>
    <col min="76" max="76" width="11.6979166666667" customWidth="1"/>
    <col min="77" max="77" width="11.75" customWidth="1"/>
    <col min="78" max="78" width="14.9791666666667" style="91" customWidth="1"/>
    <col min="79" max="79" width="18.3333333333333" customWidth="1"/>
    <col min="80" max="80" width="11.75" customWidth="1"/>
    <col min="81" max="81" width="17.9791666666667" style="92" customWidth="1"/>
    <col min="82" max="82" width="21.3020833333333" style="93" customWidth="1"/>
    <col min="83" max="147" width="15.375" customWidth="1"/>
    <col min="148" max="148" width="31.6041666666667" customWidth="1"/>
    <col min="149" max="156" width="15.375" customWidth="1"/>
    <col min="157" max="160" width="15.375" style="93" customWidth="1"/>
    <col min="161" max="164" width="15.375" customWidth="1"/>
    <col min="165" max="166" width="15.375" style="94" customWidth="1"/>
    <col min="167" max="208" width="15.375" customWidth="1"/>
  </cols>
  <sheetData>
    <row r="1" ht="22.8" spans="1:208">
      <c r="A1" s="95" t="s">
        <v>232</v>
      </c>
      <c r="B1" s="96" t="s">
        <v>233</v>
      </c>
      <c r="C1" s="97" t="s">
        <v>234</v>
      </c>
      <c r="D1" s="98" t="s">
        <v>131</v>
      </c>
      <c r="E1" s="99" t="s">
        <v>235</v>
      </c>
      <c r="F1" s="98" t="s">
        <v>236</v>
      </c>
      <c r="G1" s="98" t="s">
        <v>237</v>
      </c>
      <c r="H1" s="99" t="s">
        <v>238</v>
      </c>
      <c r="I1" s="100" t="s">
        <v>239</v>
      </c>
      <c r="J1" s="101" t="s">
        <v>240</v>
      </c>
      <c r="K1" s="98" t="s">
        <v>241</v>
      </c>
      <c r="L1" s="98" t="s">
        <v>242</v>
      </c>
      <c r="M1" s="102" t="s">
        <v>243</v>
      </c>
      <c r="N1" s="103" t="s">
        <v>244</v>
      </c>
      <c r="O1" s="104" t="s">
        <v>245</v>
      </c>
      <c r="P1" s="104" t="s">
        <v>246</v>
      </c>
      <c r="Q1" s="105" t="s">
        <v>247</v>
      </c>
      <c r="R1" s="98" t="s">
        <v>248</v>
      </c>
      <c r="S1" s="106" t="s">
        <v>249</v>
      </c>
      <c r="T1" s="106" t="s">
        <v>250</v>
      </c>
      <c r="U1" s="107" t="s">
        <v>251</v>
      </c>
      <c r="V1" s="106" t="s">
        <v>252</v>
      </c>
      <c r="W1" s="108" t="s">
        <v>253</v>
      </c>
      <c r="X1" s="98" t="s">
        <v>254</v>
      </c>
      <c r="Y1" s="98"/>
      <c r="Z1" s="98"/>
      <c r="AA1" s="98"/>
      <c r="AB1" s="98"/>
      <c r="AC1" s="98"/>
      <c r="AD1" s="98"/>
      <c r="AE1" s="98" t="s">
        <v>255</v>
      </c>
      <c r="AF1" s="98" t="s">
        <v>254</v>
      </c>
      <c r="AG1" s="98"/>
      <c r="AH1" s="98"/>
      <c r="AI1" s="98"/>
      <c r="AJ1" s="98"/>
      <c r="AK1" s="98" t="s">
        <v>255</v>
      </c>
      <c r="AL1" s="109" t="s">
        <v>256</v>
      </c>
      <c r="AM1" s="110" t="s">
        <v>257</v>
      </c>
      <c r="AN1" s="111" t="s">
        <v>258</v>
      </c>
      <c r="AO1" s="110" t="s">
        <v>259</v>
      </c>
      <c r="AP1" s="110" t="s">
        <v>260</v>
      </c>
      <c r="AQ1" s="110" t="s">
        <v>261</v>
      </c>
      <c r="AR1" s="110" t="s">
        <v>262</v>
      </c>
      <c r="AS1" s="112" t="s">
        <v>263</v>
      </c>
      <c r="AT1" s="112"/>
      <c r="AU1" s="112"/>
      <c r="AV1" s="112"/>
      <c r="AW1" s="112"/>
      <c r="AX1" s="112"/>
      <c r="AY1" s="112"/>
      <c r="AZ1" s="112"/>
      <c r="BA1" s="112"/>
      <c r="BB1" s="112"/>
      <c r="BC1" s="112"/>
      <c r="BD1" s="112"/>
      <c r="BE1" s="113"/>
      <c r="BF1" s="114" t="s">
        <v>264</v>
      </c>
      <c r="BG1" s="114"/>
      <c r="BH1" s="114"/>
      <c r="BI1" s="114"/>
      <c r="BJ1" s="114"/>
      <c r="BK1" s="114"/>
      <c r="BL1" s="114"/>
      <c r="BM1" s="115" t="s">
        <v>265</v>
      </c>
      <c r="BN1" s="115"/>
      <c r="BO1" s="115"/>
      <c r="BP1" s="115"/>
      <c r="BQ1" s="116"/>
      <c r="BR1" s="116"/>
      <c r="BS1" s="116"/>
      <c r="BT1" s="115"/>
      <c r="BU1" s="115"/>
      <c r="BV1" s="115"/>
      <c r="BW1" s="117"/>
      <c r="BX1" s="118"/>
      <c r="BY1" s="118"/>
      <c r="BZ1" s="118"/>
      <c r="CA1" s="118"/>
      <c r="CB1" s="119"/>
      <c r="CC1" s="118"/>
      <c r="CD1" s="118"/>
      <c r="CE1" s="119"/>
      <c r="CF1" s="119"/>
      <c r="CG1" s="119"/>
      <c r="CH1" s="119"/>
      <c r="CI1" s="119"/>
      <c r="CJ1" s="119"/>
      <c r="CK1" s="119"/>
      <c r="CL1" s="120" t="s">
        <v>266</v>
      </c>
      <c r="CM1" s="121"/>
      <c r="CN1" s="121"/>
      <c r="CO1" s="121"/>
      <c r="CP1" s="121"/>
      <c r="CQ1" s="121"/>
      <c r="CR1" s="121"/>
      <c r="CS1" s="121"/>
      <c r="CT1" s="121"/>
      <c r="CU1" s="121"/>
      <c r="CV1" s="121"/>
      <c r="CW1" s="121"/>
      <c r="CX1" s="121"/>
      <c r="CY1" s="121"/>
      <c r="CZ1" s="121" t="s">
        <v>267</v>
      </c>
      <c r="DA1" s="121"/>
      <c r="DB1" s="121"/>
      <c r="DC1" s="122"/>
      <c r="DD1" s="123" t="s">
        <v>268</v>
      </c>
      <c r="DE1" s="123"/>
      <c r="DF1" s="123"/>
      <c r="DG1" s="123"/>
      <c r="DH1" s="124" t="s">
        <v>269</v>
      </c>
      <c r="DI1" s="119"/>
      <c r="DJ1" s="119"/>
      <c r="DK1" s="122"/>
      <c r="DL1" s="125" t="s">
        <v>270</v>
      </c>
      <c r="DM1" s="119"/>
      <c r="DN1" s="119"/>
      <c r="DO1" s="119"/>
      <c r="DP1" s="126" t="s">
        <v>271</v>
      </c>
      <c r="DQ1" s="119" t="s">
        <v>272</v>
      </c>
      <c r="DR1" s="119"/>
      <c r="DS1" s="119"/>
      <c r="DT1" s="119"/>
      <c r="DU1" s="119"/>
      <c r="DV1" s="119"/>
      <c r="DW1" s="127"/>
      <c r="DX1" s="124" t="s">
        <v>273</v>
      </c>
      <c r="DY1" s="119"/>
      <c r="DZ1" s="119"/>
      <c r="EA1" s="119"/>
      <c r="EB1" s="119"/>
      <c r="EC1" s="119"/>
      <c r="ED1" s="127"/>
      <c r="EE1" s="124" t="s">
        <v>274</v>
      </c>
      <c r="EF1" s="119"/>
      <c r="EG1" s="119"/>
      <c r="EH1" s="119"/>
      <c r="EI1" s="119"/>
      <c r="EJ1" s="119"/>
      <c r="EK1" s="9"/>
      <c r="EL1" s="4" t="s">
        <v>275</v>
      </c>
      <c r="EM1" s="4"/>
      <c r="EN1" s="4"/>
      <c r="EO1" s="4"/>
      <c r="EP1" s="4"/>
      <c r="EQ1" s="4"/>
      <c r="ER1" s="9" t="s">
        <v>276</v>
      </c>
      <c r="ES1" s="9"/>
      <c r="ET1" s="9" t="s">
        <v>277</v>
      </c>
      <c r="EU1" s="9"/>
      <c r="EV1" s="9"/>
      <c r="EW1" s="9"/>
      <c r="EX1" s="9"/>
      <c r="EY1" s="9"/>
      <c r="EZ1" s="119" t="s">
        <v>278</v>
      </c>
      <c r="FA1" s="118"/>
      <c r="FB1" s="118"/>
      <c r="FC1" s="118"/>
      <c r="FD1" s="118"/>
      <c r="FE1" s="128"/>
      <c r="FF1" s="129" t="s">
        <v>279</v>
      </c>
      <c r="FG1" s="130" t="s">
        <v>280</v>
      </c>
      <c r="FH1" s="119" t="s">
        <v>281</v>
      </c>
      <c r="FI1" s="131"/>
      <c r="FJ1" s="131"/>
      <c r="FK1" s="119"/>
      <c r="FL1" s="119"/>
      <c r="FM1" s="119"/>
      <c r="FN1" s="119"/>
      <c r="FO1" s="119"/>
      <c r="FP1" s="119"/>
      <c r="FQ1" s="132"/>
      <c r="FR1" s="132"/>
      <c r="FS1" s="133"/>
      <c r="FT1" s="133" t="s">
        <v>282</v>
      </c>
      <c r="FU1" s="133"/>
      <c r="FV1" s="133"/>
      <c r="FW1" s="119" t="s">
        <v>283</v>
      </c>
      <c r="FX1" s="119"/>
      <c r="FY1" s="119"/>
      <c r="FZ1" s="119"/>
      <c r="GA1" s="119"/>
      <c r="GB1" s="119"/>
      <c r="GC1" s="119"/>
      <c r="GD1" s="119"/>
      <c r="GE1" s="119"/>
      <c r="GF1" s="119"/>
      <c r="GG1" s="119" t="s">
        <v>284</v>
      </c>
      <c r="GH1" s="119"/>
      <c r="GI1" s="119"/>
      <c r="GJ1" s="119"/>
      <c r="GK1" s="119"/>
      <c r="GL1" s="119"/>
      <c r="GM1" s="119"/>
      <c r="GN1" s="119"/>
      <c r="GO1" s="119"/>
      <c r="GP1" s="119"/>
      <c r="GQ1" s="119"/>
      <c r="GR1" s="119"/>
      <c r="GS1" s="119"/>
      <c r="GT1" s="119"/>
      <c r="GU1" s="119"/>
      <c r="GV1" s="119"/>
      <c r="GW1" s="119"/>
      <c r="GX1" s="119"/>
      <c r="GY1" s="119"/>
      <c r="GZ1" s="119"/>
    </row>
    <row r="2" ht="34.8" spans="1:208">
      <c r="A2" s="95"/>
      <c r="B2" s="96"/>
      <c r="C2" s="97"/>
      <c r="D2" s="98"/>
      <c r="E2" s="99"/>
      <c r="F2" s="98"/>
      <c r="G2" s="98"/>
      <c r="H2" s="99"/>
      <c r="I2" s="100"/>
      <c r="J2" s="101"/>
      <c r="K2" s="98"/>
      <c r="L2" s="98"/>
      <c r="M2" s="102"/>
      <c r="N2" s="103"/>
      <c r="O2" s="104"/>
      <c r="P2" s="104"/>
      <c r="Q2" s="105"/>
      <c r="R2" s="98"/>
      <c r="S2" s="106"/>
      <c r="T2" s="106"/>
      <c r="U2" s="107"/>
      <c r="V2" s="106"/>
      <c r="W2" s="108"/>
      <c r="X2" s="98"/>
      <c r="Y2" s="134" t="s">
        <v>285</v>
      </c>
      <c r="Z2" s="98"/>
      <c r="AA2" s="134" t="s">
        <v>285</v>
      </c>
      <c r="AB2" s="98"/>
      <c r="AC2" s="134" t="s">
        <v>285</v>
      </c>
      <c r="AD2" s="98"/>
      <c r="AE2" s="134" t="s">
        <v>285</v>
      </c>
      <c r="AF2" s="98"/>
      <c r="AG2" s="134" t="s">
        <v>285</v>
      </c>
      <c r="AH2" s="98"/>
      <c r="AI2" s="134" t="s">
        <v>285</v>
      </c>
      <c r="AJ2" s="98"/>
      <c r="AK2" s="134" t="s">
        <v>285</v>
      </c>
      <c r="AL2" s="109"/>
      <c r="AM2" s="110"/>
      <c r="AN2" s="111"/>
      <c r="AO2" s="110"/>
      <c r="AP2" s="110"/>
      <c r="AQ2" s="135"/>
      <c r="AR2" s="110" t="s">
        <v>286</v>
      </c>
      <c r="AS2" s="136" t="s">
        <v>287</v>
      </c>
      <c r="AT2" s="136" t="s">
        <v>288</v>
      </c>
      <c r="AU2" s="137" t="s">
        <v>289</v>
      </c>
      <c r="AV2" s="136" t="s">
        <v>290</v>
      </c>
      <c r="AW2" s="138" t="s">
        <v>291</v>
      </c>
      <c r="AX2" s="137" t="s">
        <v>292</v>
      </c>
      <c r="AY2" s="139" t="s">
        <v>293</v>
      </c>
      <c r="AZ2" s="139" t="s">
        <v>294</v>
      </c>
      <c r="BA2" s="136" t="s">
        <v>295</v>
      </c>
      <c r="BB2" s="139" t="s">
        <v>296</v>
      </c>
      <c r="BC2" s="140" t="s">
        <v>297</v>
      </c>
      <c r="BD2" s="141" t="s">
        <v>298</v>
      </c>
      <c r="BE2" s="142" t="s">
        <v>299</v>
      </c>
      <c r="BF2" s="143" t="s">
        <v>300</v>
      </c>
      <c r="BG2" s="144" t="s">
        <v>301</v>
      </c>
      <c r="BH2" s="145" t="s">
        <v>302</v>
      </c>
      <c r="BI2" s="146" t="s">
        <v>303</v>
      </c>
      <c r="BJ2" s="147" t="s">
        <v>304</v>
      </c>
      <c r="BK2" s="148" t="s">
        <v>305</v>
      </c>
      <c r="BL2" s="149" t="s">
        <v>306</v>
      </c>
      <c r="BM2" s="150" t="s">
        <v>307</v>
      </c>
      <c r="BN2" s="151" t="s">
        <v>308</v>
      </c>
      <c r="BO2" s="152" t="s">
        <v>309</v>
      </c>
      <c r="BP2" s="116" t="s">
        <v>310</v>
      </c>
      <c r="BQ2" s="153" t="s">
        <v>294</v>
      </c>
      <c r="BR2" s="153" t="s">
        <v>311</v>
      </c>
      <c r="BS2" s="153" t="s">
        <v>312</v>
      </c>
      <c r="BT2" s="154" t="s">
        <v>313</v>
      </c>
      <c r="BU2" s="154" t="s">
        <v>314</v>
      </c>
      <c r="BV2" s="154" t="s">
        <v>315</v>
      </c>
      <c r="BW2" s="155" t="s">
        <v>316</v>
      </c>
      <c r="BX2" s="156" t="s">
        <v>317</v>
      </c>
      <c r="BY2" s="157" t="s">
        <v>318</v>
      </c>
      <c r="BZ2" s="156" t="s">
        <v>319</v>
      </c>
      <c r="CA2" s="156" t="s">
        <v>163</v>
      </c>
      <c r="CB2" s="158" t="s">
        <v>320</v>
      </c>
      <c r="CC2" s="156" t="s">
        <v>244</v>
      </c>
      <c r="CD2" s="156" t="s">
        <v>321</v>
      </c>
      <c r="CE2" s="159" t="s">
        <v>322</v>
      </c>
      <c r="CF2" s="159" t="s">
        <v>323</v>
      </c>
      <c r="CG2" s="159" t="s">
        <v>324</v>
      </c>
      <c r="CH2" s="159" t="s">
        <v>325</v>
      </c>
      <c r="CI2" s="159" t="s">
        <v>326</v>
      </c>
      <c r="CJ2" s="159" t="s">
        <v>327</v>
      </c>
      <c r="CK2" s="159" t="s">
        <v>328</v>
      </c>
      <c r="CL2" s="160" t="s">
        <v>329</v>
      </c>
      <c r="CM2" s="160" t="s">
        <v>330</v>
      </c>
      <c r="CN2" s="161" t="s">
        <v>331</v>
      </c>
      <c r="CO2" s="161" t="s">
        <v>332</v>
      </c>
      <c r="CP2" s="160" t="s">
        <v>333</v>
      </c>
      <c r="CQ2" s="160" t="s">
        <v>334</v>
      </c>
      <c r="CR2" s="161" t="s">
        <v>335</v>
      </c>
      <c r="CS2" s="161" t="s">
        <v>336</v>
      </c>
      <c r="CT2" s="161" t="s">
        <v>329</v>
      </c>
      <c r="CU2" s="161" t="s">
        <v>330</v>
      </c>
      <c r="CV2" s="161" t="s">
        <v>329</v>
      </c>
      <c r="CW2" s="161" t="s">
        <v>330</v>
      </c>
      <c r="CX2" s="161" t="s">
        <v>329</v>
      </c>
      <c r="CY2" s="161" t="s">
        <v>330</v>
      </c>
      <c r="CZ2" s="121" t="s">
        <v>337</v>
      </c>
      <c r="DA2" s="121" t="s">
        <v>338</v>
      </c>
      <c r="DB2" s="120" t="s">
        <v>339</v>
      </c>
      <c r="DC2" s="122"/>
      <c r="DD2" s="162" t="s">
        <v>340</v>
      </c>
      <c r="DE2" s="162" t="s">
        <v>340</v>
      </c>
      <c r="DF2" s="162" t="s">
        <v>340</v>
      </c>
      <c r="DG2" s="162" t="s">
        <v>340</v>
      </c>
      <c r="DH2" s="162" t="s">
        <v>340</v>
      </c>
      <c r="DI2" s="162" t="s">
        <v>340</v>
      </c>
      <c r="DJ2" s="162" t="s">
        <v>340</v>
      </c>
      <c r="DK2" s="122"/>
      <c r="DL2" s="163" t="s">
        <v>341</v>
      </c>
      <c r="DM2" s="163" t="s">
        <v>341</v>
      </c>
      <c r="DN2" s="163" t="s">
        <v>341</v>
      </c>
      <c r="DO2" s="163" t="s">
        <v>341</v>
      </c>
      <c r="DP2" s="164" t="s">
        <v>270</v>
      </c>
      <c r="DQ2" s="162" t="s">
        <v>342</v>
      </c>
      <c r="DR2" s="162" t="s">
        <v>342</v>
      </c>
      <c r="DS2" s="162" t="s">
        <v>342</v>
      </c>
      <c r="DT2" s="162" t="s">
        <v>342</v>
      </c>
      <c r="DU2" s="162" t="s">
        <v>342</v>
      </c>
      <c r="DV2" s="162" t="s">
        <v>342</v>
      </c>
      <c r="DW2" s="127"/>
      <c r="DX2" s="162" t="s">
        <v>340</v>
      </c>
      <c r="DY2" s="162" t="s">
        <v>343</v>
      </c>
      <c r="DZ2" s="162" t="s">
        <v>343</v>
      </c>
      <c r="EA2" s="162" t="s">
        <v>343</v>
      </c>
      <c r="EB2" s="162" t="s">
        <v>343</v>
      </c>
      <c r="EC2" s="162" t="s">
        <v>343</v>
      </c>
      <c r="ED2" s="127"/>
      <c r="EE2" s="162" t="s">
        <v>344</v>
      </c>
      <c r="EF2" s="162" t="s">
        <v>344</v>
      </c>
      <c r="EG2" s="162" t="s">
        <v>344</v>
      </c>
      <c r="EH2" s="162" t="s">
        <v>344</v>
      </c>
      <c r="EI2" s="162" t="s">
        <v>344</v>
      </c>
      <c r="EJ2" s="162" t="s">
        <v>344</v>
      </c>
      <c r="EK2" s="9"/>
      <c r="EL2" s="165" t="s">
        <v>340</v>
      </c>
      <c r="EM2" s="165" t="s">
        <v>343</v>
      </c>
      <c r="EN2" s="165" t="s">
        <v>343</v>
      </c>
      <c r="EO2" s="165" t="s">
        <v>343</v>
      </c>
      <c r="EP2" s="165" t="s">
        <v>343</v>
      </c>
      <c r="EQ2" s="165" t="s">
        <v>343</v>
      </c>
      <c r="ER2" s="9"/>
      <c r="ES2" s="165" t="s">
        <v>345</v>
      </c>
      <c r="ET2" s="165" t="s">
        <v>345</v>
      </c>
      <c r="EU2" s="165" t="s">
        <v>345</v>
      </c>
      <c r="EV2" s="165" t="s">
        <v>345</v>
      </c>
      <c r="EW2" s="165" t="s">
        <v>346</v>
      </c>
      <c r="EX2" s="166" t="s">
        <v>345</v>
      </c>
      <c r="EY2" s="127"/>
      <c r="EZ2" s="165" t="s">
        <v>347</v>
      </c>
      <c r="FA2" s="167" t="s">
        <v>348</v>
      </c>
      <c r="FB2" s="167" t="s">
        <v>349</v>
      </c>
      <c r="FC2" s="167" t="s">
        <v>350</v>
      </c>
      <c r="FD2" s="167" t="s">
        <v>351</v>
      </c>
      <c r="FE2" s="168" t="s">
        <v>352</v>
      </c>
      <c r="FF2" s="129" t="s">
        <v>353</v>
      </c>
      <c r="FG2" s="165" t="s">
        <v>354</v>
      </c>
      <c r="FH2" s="165" t="s">
        <v>355</v>
      </c>
      <c r="FI2" s="169" t="s">
        <v>356</v>
      </c>
      <c r="FJ2" s="169" t="s">
        <v>357</v>
      </c>
      <c r="FK2" s="165" t="s">
        <v>358</v>
      </c>
      <c r="FL2" s="166" t="s">
        <v>359</v>
      </c>
      <c r="FM2" s="165" t="s">
        <v>360</v>
      </c>
      <c r="FN2" s="162" t="s">
        <v>361</v>
      </c>
      <c r="FO2" s="158" t="s">
        <v>362</v>
      </c>
      <c r="FP2" s="162" t="s">
        <v>300</v>
      </c>
      <c r="FQ2" s="170" t="s">
        <v>302</v>
      </c>
      <c r="FR2" s="170" t="s">
        <v>301</v>
      </c>
      <c r="FS2" s="171"/>
      <c r="FT2" s="171" t="s">
        <v>363</v>
      </c>
      <c r="FU2" s="171" t="s">
        <v>363</v>
      </c>
      <c r="FV2" s="171" t="s">
        <v>363</v>
      </c>
      <c r="FW2" s="159" t="s">
        <v>364</v>
      </c>
      <c r="FX2" s="165" t="s">
        <v>365</v>
      </c>
      <c r="FY2" s="165" t="s">
        <v>366</v>
      </c>
      <c r="FZ2" s="165" t="s">
        <v>367</v>
      </c>
      <c r="GA2" s="165" t="s">
        <v>204</v>
      </c>
      <c r="GB2" s="165"/>
      <c r="GC2" s="162" t="s">
        <v>368</v>
      </c>
      <c r="GD2" s="162" t="s">
        <v>368</v>
      </c>
      <c r="GE2" s="162" t="s">
        <v>368</v>
      </c>
      <c r="GF2" s="165"/>
      <c r="GG2" s="165"/>
      <c r="GH2" s="165"/>
      <c r="GI2" s="165"/>
      <c r="GJ2" s="165"/>
      <c r="GK2" s="165"/>
      <c r="GL2" s="165"/>
      <c r="GM2" s="165"/>
      <c r="GN2" s="165"/>
      <c r="GO2" s="165"/>
      <c r="GP2" s="165"/>
      <c r="GQ2" s="165"/>
      <c r="GR2" s="165"/>
      <c r="GS2" s="165"/>
      <c r="GT2" s="165"/>
      <c r="GU2" s="165"/>
      <c r="GV2" s="165"/>
      <c r="GW2" s="165"/>
      <c r="GX2" s="165"/>
      <c r="GY2" s="165"/>
      <c r="GZ2" s="165"/>
    </row>
    <row r="3" ht="13.2" spans="1:208">
      <c r="A3" s="172">
        <v>45794</v>
      </c>
      <c r="B3" s="20" t="s">
        <v>369</v>
      </c>
      <c r="C3" s="173" t="s">
        <v>84</v>
      </c>
      <c r="D3" s="174">
        <v>139.99</v>
      </c>
      <c r="E3" s="175">
        <v>139</v>
      </c>
      <c r="F3" s="176">
        <v>0.3</v>
      </c>
      <c r="G3" s="176">
        <v>0.15</v>
      </c>
      <c r="H3" s="177">
        <f t="shared" ref="H3:H56" si="0">D3*(1-F3)*(1-G3)</f>
        <v>83.29405</v>
      </c>
      <c r="I3" s="176">
        <v>0.08</v>
      </c>
      <c r="J3" s="178">
        <v>0.06</v>
      </c>
      <c r="K3" s="20">
        <v>0</v>
      </c>
      <c r="L3" s="20">
        <v>0</v>
      </c>
      <c r="M3" s="20">
        <f>K3+L3</f>
        <v>0</v>
      </c>
      <c r="N3" s="176">
        <f t="shared" ref="N3:N62" si="1">IFERROR(Q3/M3,0)</f>
        <v>0</v>
      </c>
      <c r="O3" s="179">
        <f t="shared" ref="O3:O62" si="2">P3-AV3</f>
        <v>0</v>
      </c>
      <c r="P3" s="179">
        <f t="shared" ref="P3:P62" si="3">Q3-T3-BN3</f>
        <v>0</v>
      </c>
      <c r="Q3" s="20">
        <v>0</v>
      </c>
      <c r="R3" s="98"/>
      <c r="S3" s="20">
        <v>0</v>
      </c>
      <c r="T3" s="20">
        <v>0</v>
      </c>
      <c r="U3" s="176">
        <v>0</v>
      </c>
      <c r="V3" s="20">
        <v>0</v>
      </c>
      <c r="W3" s="178"/>
      <c r="X3" s="20" t="s">
        <v>145</v>
      </c>
      <c r="Y3" s="20"/>
      <c r="Z3" s="20" t="s">
        <v>145</v>
      </c>
      <c r="AA3" s="20"/>
      <c r="AB3" s="20" t="s">
        <v>145</v>
      </c>
      <c r="AC3" s="20"/>
      <c r="AD3" s="20" t="s">
        <v>145</v>
      </c>
      <c r="AE3" s="20"/>
      <c r="AF3" s="20" t="s">
        <v>145</v>
      </c>
      <c r="AG3" s="20"/>
      <c r="AH3" s="20" t="s">
        <v>145</v>
      </c>
      <c r="AI3" s="20"/>
      <c r="AJ3" s="20" t="s">
        <v>145</v>
      </c>
      <c r="AK3" s="20"/>
      <c r="AL3" s="20">
        <v>8</v>
      </c>
      <c r="AM3" s="180">
        <v>0</v>
      </c>
      <c r="AN3" s="173">
        <v>0</v>
      </c>
      <c r="AO3" s="20">
        <v>0</v>
      </c>
      <c r="AP3" s="20">
        <v>0</v>
      </c>
      <c r="AQ3" s="20">
        <v>0</v>
      </c>
      <c r="AR3" s="20">
        <v>0</v>
      </c>
      <c r="AS3" s="181">
        <v>0</v>
      </c>
      <c r="AT3" s="174">
        <v>0</v>
      </c>
      <c r="AU3" s="182">
        <f t="shared" ref="AU3:AU62" si="4">IFERROR(AT3/AS3,0)</f>
        <v>0</v>
      </c>
      <c r="AV3" s="174">
        <v>0</v>
      </c>
      <c r="AW3" s="183">
        <f t="shared" ref="AW3:AW62" si="5">IFERROR(BA3/AT3,0)</f>
        <v>0</v>
      </c>
      <c r="AX3" s="184">
        <f t="shared" ref="AX3:AX62" si="6">IFERROR(BA3/BD3,0)</f>
        <v>0</v>
      </c>
      <c r="AY3" s="176">
        <f t="shared" ref="AY3:AY62" si="7">IFERROR(AV3/AT3,0)</f>
        <v>0</v>
      </c>
      <c r="AZ3" s="185">
        <f t="shared" ref="AZ3:AZ62" si="8">IFERROR(AV3/P3,0)</f>
        <v>0</v>
      </c>
      <c r="BA3" s="183">
        <v>0</v>
      </c>
      <c r="BB3" s="176">
        <f t="shared" ref="BB3:BB13" si="9">IFERROR(BA3/V3,0)</f>
        <v>0</v>
      </c>
      <c r="BC3" s="179">
        <f t="shared" ref="BC3:BC62" si="10">IFERROR(BA3/AV3,0)</f>
        <v>0</v>
      </c>
      <c r="BD3" s="179">
        <v>0</v>
      </c>
      <c r="BE3" s="182">
        <v>0</v>
      </c>
      <c r="BF3" s="186">
        <f t="shared" ref="BF3:BF62" si="11">BG3-BC3</f>
        <v>32.18</v>
      </c>
      <c r="BG3" s="186">
        <v>32.18</v>
      </c>
      <c r="BH3" s="187">
        <f t="shared" ref="BH3:BH62" si="12">IFERROR(BM3*BN3+BF3*AV3+O3*BG3-BL3-BE3*W3,0)</f>
        <v>0</v>
      </c>
      <c r="BI3" s="182">
        <f t="shared" ref="BI3:BI62" si="13">IFERROR(BH3/W3,0)</f>
        <v>0</v>
      </c>
      <c r="BJ3" s="179">
        <f t="shared" ref="BJ3:BJ62" si="14">145*Q3</f>
        <v>0</v>
      </c>
      <c r="BK3" s="179"/>
      <c r="BL3" s="179">
        <f t="shared" ref="BL3:BL62" si="15">21.58*T3</f>
        <v>0</v>
      </c>
      <c r="BM3" s="178"/>
      <c r="BN3" s="7"/>
      <c r="BO3" s="20">
        <v>69.99</v>
      </c>
      <c r="BP3" s="182"/>
      <c r="BQ3" s="182">
        <f>IFERROR(AV3/Q3,0)</f>
        <v>0</v>
      </c>
      <c r="BR3" s="182">
        <f t="shared" ref="BR3:BR62" si="16">IFERROR(O3/Q3,0)</f>
        <v>0</v>
      </c>
      <c r="BS3" s="182">
        <f t="shared" ref="BS3:BS62" si="17">IFERROR(AT3/M3,0)</f>
        <v>0</v>
      </c>
      <c r="BT3" s="188">
        <f t="shared" ref="BT3:BT62" si="18">AT3</f>
        <v>0</v>
      </c>
      <c r="BU3" s="20">
        <f t="shared" ref="BU3:BU62" si="19">M3</f>
        <v>0</v>
      </c>
      <c r="BV3" s="20">
        <f t="shared" ref="BV3:BV62" si="20">M3-AT3</f>
        <v>0</v>
      </c>
      <c r="BW3" s="185">
        <f t="shared" ref="BW3:BW62" si="21">IFERROR(BV3/M3,0)</f>
        <v>0</v>
      </c>
      <c r="BX3" s="182">
        <f t="shared" ref="BX3:BX62" si="22">IFERROR(O3/Q3,0)</f>
        <v>0</v>
      </c>
      <c r="BY3" s="182">
        <f t="shared" ref="BY3:BY62" si="23">IFERROR(P3/Q3,0)</f>
        <v>0</v>
      </c>
      <c r="BZ3" s="182">
        <f t="shared" ref="BZ3:BZ62" si="24">IFERROR(O3/Q3,0)</f>
        <v>0</v>
      </c>
      <c r="CA3" s="182">
        <f t="shared" ref="CA3:CA62" si="25">IFERROR(AV3/Q3,0)</f>
        <v>0</v>
      </c>
      <c r="CB3" s="189">
        <f>IFERROR(CA3/BZ3,0)</f>
        <v>0</v>
      </c>
      <c r="CC3" s="190">
        <f>N3</f>
        <v>0</v>
      </c>
      <c r="CD3" s="190">
        <f>AY3</f>
        <v>0</v>
      </c>
      <c r="CE3" s="189">
        <v>0.08</v>
      </c>
      <c r="CF3" s="189">
        <v>0.08</v>
      </c>
      <c r="CG3" s="189">
        <v>0.08</v>
      </c>
      <c r="CH3" s="189">
        <v>0.08</v>
      </c>
      <c r="CI3" s="189">
        <v>0.05</v>
      </c>
      <c r="CJ3" s="189">
        <v>0.06</v>
      </c>
      <c r="CK3" s="189">
        <v>0.04</v>
      </c>
      <c r="CL3" s="191" t="s">
        <v>145</v>
      </c>
      <c r="CM3" s="191" t="s">
        <v>84</v>
      </c>
      <c r="CN3" s="191" t="s">
        <v>145</v>
      </c>
      <c r="CO3" s="191" t="s">
        <v>84</v>
      </c>
      <c r="CP3" s="191" t="s">
        <v>145</v>
      </c>
      <c r="CQ3" s="191"/>
      <c r="CR3" s="191" t="s">
        <v>145</v>
      </c>
      <c r="CS3" s="191"/>
      <c r="CT3" s="191" t="s">
        <v>145</v>
      </c>
      <c r="CU3" s="191"/>
      <c r="CV3" s="191" t="s">
        <v>145</v>
      </c>
      <c r="CW3" s="191"/>
      <c r="CX3" s="191" t="s">
        <v>145</v>
      </c>
      <c r="CY3" s="191" t="s">
        <v>145</v>
      </c>
      <c r="CZ3" s="127" t="s">
        <v>370</v>
      </c>
      <c r="DA3" s="127" t="s">
        <v>370</v>
      </c>
      <c r="DB3" s="127" t="s">
        <v>370</v>
      </c>
      <c r="DC3" s="127"/>
      <c r="DD3" s="127">
        <v>2.9</v>
      </c>
      <c r="DE3" s="127">
        <v>4.02</v>
      </c>
      <c r="DF3" s="127">
        <v>0.47</v>
      </c>
      <c r="DG3" s="127">
        <v>3.41</v>
      </c>
      <c r="DH3" s="127">
        <v>3.36</v>
      </c>
      <c r="DI3" s="127">
        <v>2.72</v>
      </c>
      <c r="DJ3" s="127">
        <v>0.34</v>
      </c>
      <c r="DK3" s="127"/>
      <c r="DL3" s="127" t="s">
        <v>84</v>
      </c>
      <c r="DM3" s="127" t="s">
        <v>84</v>
      </c>
      <c r="DN3" s="127" t="s">
        <v>84</v>
      </c>
      <c r="DO3" s="127" t="s">
        <v>84</v>
      </c>
      <c r="DP3" s="127"/>
      <c r="DQ3" s="192">
        <v>0.045</v>
      </c>
      <c r="DR3" s="192">
        <v>0.0508</v>
      </c>
      <c r="DS3" s="192">
        <v>0.0489</v>
      </c>
      <c r="DT3" s="192">
        <v>0.0486</v>
      </c>
      <c r="DU3" s="192">
        <v>0.061</v>
      </c>
      <c r="DV3" s="192">
        <v>0.0628</v>
      </c>
      <c r="DW3" s="127"/>
      <c r="DX3" s="192">
        <v>0.0175</v>
      </c>
      <c r="DY3" s="192">
        <v>0.0205</v>
      </c>
      <c r="DZ3" s="192">
        <v>0.0205</v>
      </c>
      <c r="EA3" s="192">
        <v>0.0205</v>
      </c>
      <c r="EB3" s="192">
        <v>0.031</v>
      </c>
      <c r="EC3" s="192">
        <v>0.0257</v>
      </c>
      <c r="ED3" s="127"/>
      <c r="EE3" s="127">
        <v>0.39</v>
      </c>
      <c r="EF3" s="127">
        <v>0.61</v>
      </c>
      <c r="EG3" s="127">
        <v>0.54</v>
      </c>
      <c r="EH3" s="127">
        <v>0.35</v>
      </c>
      <c r="EI3" s="127">
        <v>0.58</v>
      </c>
      <c r="EJ3" s="127">
        <v>0.55</v>
      </c>
      <c r="EK3" s="127"/>
      <c r="EL3" s="127"/>
      <c r="EM3" s="127"/>
      <c r="EN3" s="127"/>
      <c r="EO3" s="127"/>
      <c r="EP3" s="127"/>
      <c r="EQ3" s="127"/>
      <c r="ER3" s="127"/>
      <c r="ES3" s="127"/>
      <c r="ET3" s="127"/>
      <c r="EU3" s="127"/>
      <c r="EV3" s="127"/>
      <c r="EW3" s="127"/>
      <c r="EX3" s="127"/>
      <c r="EY3" s="127"/>
      <c r="EZ3" s="127">
        <v>0</v>
      </c>
      <c r="FA3" s="192">
        <f t="shared" ref="FA3:FA62" si="26">AU3</f>
        <v>0</v>
      </c>
      <c r="FB3" s="192">
        <v>0</v>
      </c>
      <c r="FC3" s="192">
        <f t="shared" ref="FC3:FC62" si="27">N3</f>
        <v>0</v>
      </c>
      <c r="FD3" s="192">
        <f t="shared" ref="FD3:FD62" si="28">AY3</f>
        <v>0</v>
      </c>
      <c r="FE3" s="193">
        <f t="shared" ref="FE3:FE62" si="29">IFERROR(O3/Q3,0)</f>
        <v>0</v>
      </c>
      <c r="FF3" s="127"/>
      <c r="FG3" s="127"/>
      <c r="FH3" s="127"/>
      <c r="FI3" s="194">
        <v>0.045</v>
      </c>
      <c r="FJ3" s="194">
        <f t="shared" ref="FJ3:FJ62" si="30">FC3</f>
        <v>0</v>
      </c>
      <c r="FK3" s="127">
        <v>89.57</v>
      </c>
      <c r="FL3" s="127">
        <f>15%*FK3</f>
        <v>13.4355</v>
      </c>
      <c r="FM3" s="127">
        <v>5.19</v>
      </c>
      <c r="FN3" s="127">
        <f t="shared" ref="FN3:FN62" si="31">BA3</f>
        <v>0</v>
      </c>
      <c r="FO3" s="127"/>
      <c r="FP3" s="127">
        <f t="shared" ref="FP3:FP62" si="32">FR3-BC3</f>
        <v>32.18</v>
      </c>
      <c r="FQ3" s="127">
        <f t="shared" ref="FQ3:FQ62" si="33">IFERROR(BM3*BN3+BF3*AV3+O3*BG3-BL3-BE3*W3,0)</f>
        <v>0</v>
      </c>
      <c r="FR3" s="127">
        <v>32.18</v>
      </c>
      <c r="FS3" s="195"/>
      <c r="FT3" s="195" t="s">
        <v>363</v>
      </c>
      <c r="FU3" s="127"/>
      <c r="FV3" s="127"/>
      <c r="FW3" s="127"/>
      <c r="FX3" s="127"/>
      <c r="FY3" s="127"/>
      <c r="FZ3" s="127"/>
      <c r="GA3" s="127"/>
      <c r="GB3" s="127"/>
      <c r="GC3" s="127"/>
      <c r="GD3" s="127"/>
      <c r="GE3" s="127"/>
      <c r="GF3" s="127"/>
      <c r="GG3" s="127"/>
      <c r="GH3" s="127"/>
      <c r="GI3" s="127"/>
      <c r="GJ3" s="127"/>
      <c r="GK3" s="127"/>
      <c r="GL3" s="127"/>
      <c r="GM3" s="127"/>
      <c r="GN3" s="127"/>
      <c r="GO3" s="127"/>
      <c r="GP3" s="127"/>
      <c r="GQ3" s="127"/>
      <c r="GR3" s="127"/>
      <c r="GS3" s="127"/>
      <c r="GT3" s="127"/>
      <c r="GU3" s="127"/>
      <c r="GV3" s="127"/>
      <c r="GW3" s="127"/>
      <c r="GX3" s="127"/>
      <c r="GY3" s="127"/>
      <c r="GZ3" s="127"/>
    </row>
    <row r="4" spans="1:208">
      <c r="A4" s="172">
        <v>45795</v>
      </c>
      <c r="B4" s="20" t="s">
        <v>371</v>
      </c>
      <c r="C4" s="173" t="s">
        <v>372</v>
      </c>
      <c r="D4" s="174">
        <v>139.99</v>
      </c>
      <c r="E4" s="175">
        <v>139</v>
      </c>
      <c r="F4" s="176">
        <v>0.3</v>
      </c>
      <c r="G4" s="176">
        <v>0.15</v>
      </c>
      <c r="H4" s="177">
        <f t="shared" si="0"/>
        <v>83.29405</v>
      </c>
      <c r="I4" s="176">
        <v>0.08</v>
      </c>
      <c r="J4" s="178">
        <v>0.06</v>
      </c>
      <c r="K4" s="174">
        <v>0</v>
      </c>
      <c r="L4" s="174">
        <v>0</v>
      </c>
      <c r="M4" s="20">
        <v>0</v>
      </c>
      <c r="N4" s="176">
        <f t="shared" si="1"/>
        <v>0</v>
      </c>
      <c r="O4" s="179">
        <f t="shared" si="2"/>
        <v>0</v>
      </c>
      <c r="P4" s="179">
        <f t="shared" si="3"/>
        <v>0</v>
      </c>
      <c r="Q4" s="20">
        <v>0</v>
      </c>
      <c r="R4" s="20">
        <v>0</v>
      </c>
      <c r="S4" s="20">
        <v>0</v>
      </c>
      <c r="T4" s="20">
        <v>0</v>
      </c>
      <c r="U4" s="176">
        <v>0</v>
      </c>
      <c r="V4" s="20">
        <v>0</v>
      </c>
      <c r="W4" s="178"/>
      <c r="X4" s="174" t="s">
        <v>145</v>
      </c>
      <c r="Y4" s="174"/>
      <c r="Z4" s="174" t="s">
        <v>145</v>
      </c>
      <c r="AA4" s="174"/>
      <c r="AB4" s="174" t="s">
        <v>145</v>
      </c>
      <c r="AC4" s="174"/>
      <c r="AD4" s="174" t="s">
        <v>145</v>
      </c>
      <c r="AE4" s="174"/>
      <c r="AF4" s="174" t="s">
        <v>145</v>
      </c>
      <c r="AG4" s="174"/>
      <c r="AH4" s="174" t="s">
        <v>145</v>
      </c>
      <c r="AI4" s="174"/>
      <c r="AJ4" s="174" t="s">
        <v>145</v>
      </c>
      <c r="AK4" s="174"/>
      <c r="AL4" s="20">
        <v>13</v>
      </c>
      <c r="AM4" s="180">
        <v>0</v>
      </c>
      <c r="AN4" s="173">
        <v>0</v>
      </c>
      <c r="AO4" s="20">
        <v>0</v>
      </c>
      <c r="AP4" s="20">
        <v>0</v>
      </c>
      <c r="AQ4" s="20"/>
      <c r="AR4" s="20"/>
      <c r="AS4" s="181">
        <v>0</v>
      </c>
      <c r="AT4" s="174">
        <v>0</v>
      </c>
      <c r="AU4" s="182">
        <f t="shared" si="4"/>
        <v>0</v>
      </c>
      <c r="AV4" s="174">
        <v>0</v>
      </c>
      <c r="AW4" s="183">
        <f t="shared" si="5"/>
        <v>0</v>
      </c>
      <c r="AX4" s="184">
        <f t="shared" si="6"/>
        <v>0</v>
      </c>
      <c r="AY4" s="176">
        <f t="shared" si="7"/>
        <v>0</v>
      </c>
      <c r="AZ4" s="185">
        <f t="shared" si="8"/>
        <v>0</v>
      </c>
      <c r="BA4" s="183">
        <v>0</v>
      </c>
      <c r="BB4" s="176">
        <f t="shared" si="9"/>
        <v>0</v>
      </c>
      <c r="BC4" s="179">
        <f t="shared" si="10"/>
        <v>0</v>
      </c>
      <c r="BD4" s="179">
        <v>0</v>
      </c>
      <c r="BE4" s="182">
        <v>0</v>
      </c>
      <c r="BF4" s="186">
        <f t="shared" si="11"/>
        <v>32.18</v>
      </c>
      <c r="BG4" s="186">
        <v>32.18</v>
      </c>
      <c r="BH4" s="187">
        <f t="shared" si="12"/>
        <v>0</v>
      </c>
      <c r="BI4" s="182">
        <f t="shared" si="13"/>
        <v>0</v>
      </c>
      <c r="BJ4" s="179">
        <f t="shared" si="14"/>
        <v>0</v>
      </c>
      <c r="BK4" s="179"/>
      <c r="BL4" s="179">
        <f t="shared" si="15"/>
        <v>0</v>
      </c>
      <c r="BM4" s="178"/>
      <c r="BN4" s="7"/>
      <c r="BO4" s="20"/>
      <c r="BP4" s="182"/>
      <c r="BQ4" s="182">
        <f t="shared" ref="BQ3:BQ62" si="34">IFERROR(AV4/Q4,0)</f>
        <v>0</v>
      </c>
      <c r="BR4" s="182">
        <f t="shared" si="16"/>
        <v>0</v>
      </c>
      <c r="BS4" s="182">
        <f t="shared" si="17"/>
        <v>0</v>
      </c>
      <c r="BT4" s="188">
        <f t="shared" si="18"/>
        <v>0</v>
      </c>
      <c r="BU4" s="20">
        <f t="shared" si="19"/>
        <v>0</v>
      </c>
      <c r="BV4" s="20">
        <f t="shared" si="20"/>
        <v>0</v>
      </c>
      <c r="BW4" s="185">
        <f t="shared" si="21"/>
        <v>0</v>
      </c>
      <c r="BX4" s="182">
        <f t="shared" si="22"/>
        <v>0</v>
      </c>
      <c r="BY4" s="182">
        <f t="shared" si="23"/>
        <v>0</v>
      </c>
      <c r="BZ4" s="182">
        <f t="shared" si="24"/>
        <v>0</v>
      </c>
      <c r="CA4" s="182">
        <f t="shared" si="25"/>
        <v>0</v>
      </c>
      <c r="CB4" s="189">
        <f t="shared" ref="CB4:CB35" si="35">IFERROR(CA4/BZ4,0)</f>
        <v>0</v>
      </c>
      <c r="CC4" s="190">
        <f t="shared" ref="CC4:CC35" si="36">N4</f>
        <v>0</v>
      </c>
      <c r="CD4" s="190">
        <f t="shared" ref="CD4:CD35" si="37">AY4</f>
        <v>0</v>
      </c>
      <c r="CE4" s="189">
        <v>0.08</v>
      </c>
      <c r="CF4" s="189">
        <v>0.08</v>
      </c>
      <c r="CG4" s="189">
        <v>0.08</v>
      </c>
      <c r="CH4" s="189">
        <v>0.08</v>
      </c>
      <c r="CI4" s="189">
        <v>0.05</v>
      </c>
      <c r="CJ4" s="189">
        <v>0.06</v>
      </c>
      <c r="CK4" s="189">
        <v>0.04</v>
      </c>
      <c r="CL4" s="191" t="s">
        <v>145</v>
      </c>
      <c r="CM4" s="191" t="s">
        <v>84</v>
      </c>
      <c r="CN4" s="191" t="s">
        <v>145</v>
      </c>
      <c r="CO4" s="191" t="s">
        <v>84</v>
      </c>
      <c r="CP4" s="191" t="s">
        <v>145</v>
      </c>
      <c r="CQ4" s="191"/>
      <c r="CR4" s="191" t="s">
        <v>145</v>
      </c>
      <c r="CS4" s="191"/>
      <c r="CT4" s="191" t="s">
        <v>145</v>
      </c>
      <c r="CU4" s="191"/>
      <c r="CV4" s="191" t="s">
        <v>145</v>
      </c>
      <c r="CW4" s="191"/>
      <c r="CX4" s="191" t="s">
        <v>145</v>
      </c>
      <c r="CY4" s="191" t="s">
        <v>145</v>
      </c>
      <c r="CZ4" s="127"/>
      <c r="DA4" s="127"/>
      <c r="DB4" s="127"/>
      <c r="DC4" s="127"/>
      <c r="DD4" s="127">
        <v>2.9</v>
      </c>
      <c r="DE4" s="127">
        <v>4.02</v>
      </c>
      <c r="DF4" s="127">
        <v>0.47</v>
      </c>
      <c r="DG4" s="127">
        <v>3.41</v>
      </c>
      <c r="DH4" s="127">
        <v>3.36</v>
      </c>
      <c r="DI4" s="127">
        <v>2.72</v>
      </c>
      <c r="DJ4" s="127">
        <v>0.34</v>
      </c>
      <c r="DK4" s="127"/>
      <c r="DL4" s="127" t="s">
        <v>84</v>
      </c>
      <c r="DM4" s="127" t="s">
        <v>84</v>
      </c>
      <c r="DN4" s="127" t="s">
        <v>84</v>
      </c>
      <c r="DO4" s="127" t="s">
        <v>84</v>
      </c>
      <c r="DP4" s="127"/>
      <c r="DQ4" s="192">
        <v>0.045</v>
      </c>
      <c r="DR4" s="192">
        <v>0.0508</v>
      </c>
      <c r="DS4" s="192">
        <v>0.0489</v>
      </c>
      <c r="DT4" s="192">
        <v>0.0486</v>
      </c>
      <c r="DU4" s="192">
        <v>0.061</v>
      </c>
      <c r="DV4" s="192">
        <v>0.0628</v>
      </c>
      <c r="DW4" s="127"/>
      <c r="DX4" s="192">
        <v>0.0175</v>
      </c>
      <c r="DY4" s="192">
        <v>0.0205</v>
      </c>
      <c r="DZ4" s="192">
        <v>0.0205</v>
      </c>
      <c r="EA4" s="192">
        <v>0.0205</v>
      </c>
      <c r="EB4" s="192">
        <v>0.031</v>
      </c>
      <c r="EC4" s="192">
        <v>0.0257</v>
      </c>
      <c r="ED4" s="127"/>
      <c r="EE4" s="127">
        <v>0.39</v>
      </c>
      <c r="EF4" s="127">
        <v>0.61</v>
      </c>
      <c r="EG4" s="127">
        <v>0.54</v>
      </c>
      <c r="EH4" s="127">
        <v>0.35</v>
      </c>
      <c r="EI4" s="127">
        <v>0.58</v>
      </c>
      <c r="EJ4" s="127">
        <v>0.55</v>
      </c>
      <c r="EK4" s="127"/>
      <c r="EL4" s="127"/>
      <c r="EM4" s="127"/>
      <c r="EN4" s="127"/>
      <c r="EO4" s="127"/>
      <c r="EP4" s="127"/>
      <c r="EQ4" s="127"/>
      <c r="ER4" s="127"/>
      <c r="ES4" s="127"/>
      <c r="ET4" s="127"/>
      <c r="EU4" s="127"/>
      <c r="EV4" s="127"/>
      <c r="EW4" s="127"/>
      <c r="EX4" s="127"/>
      <c r="EY4" s="127"/>
      <c r="EZ4" s="127">
        <v>0</v>
      </c>
      <c r="FA4" s="192">
        <f t="shared" si="26"/>
        <v>0</v>
      </c>
      <c r="FB4" s="192">
        <v>0</v>
      </c>
      <c r="FC4" s="192">
        <f t="shared" si="27"/>
        <v>0</v>
      </c>
      <c r="FD4" s="192">
        <f t="shared" si="28"/>
        <v>0</v>
      </c>
      <c r="FE4" s="193">
        <f t="shared" si="29"/>
        <v>0</v>
      </c>
      <c r="FF4" s="127"/>
      <c r="FG4" s="127"/>
      <c r="FH4" s="127"/>
      <c r="FI4" s="194">
        <v>0.045</v>
      </c>
      <c r="FJ4" s="194">
        <f t="shared" si="30"/>
        <v>0</v>
      </c>
      <c r="FK4" s="196">
        <v>89.57</v>
      </c>
      <c r="FL4" s="127">
        <f t="shared" ref="FL3:FL62" si="38">15%*FK4</f>
        <v>13.4355</v>
      </c>
      <c r="FM4" s="196">
        <v>5.19</v>
      </c>
      <c r="FN4" s="127">
        <f t="shared" si="31"/>
        <v>0</v>
      </c>
      <c r="FO4" s="127"/>
      <c r="FP4" s="127">
        <f t="shared" si="32"/>
        <v>32.18</v>
      </c>
      <c r="FQ4" s="127">
        <f t="shared" si="33"/>
        <v>0</v>
      </c>
      <c r="FR4" s="196">
        <v>32.18</v>
      </c>
      <c r="FS4" s="127"/>
      <c r="FT4" s="127"/>
      <c r="FU4" s="127"/>
      <c r="FV4" s="127"/>
      <c r="FW4" s="127"/>
      <c r="FX4" s="127"/>
      <c r="FY4" s="127"/>
      <c r="FZ4" s="127"/>
      <c r="GA4" s="127"/>
      <c r="GB4" s="127"/>
      <c r="GC4" s="127"/>
      <c r="GD4" s="127"/>
      <c r="GE4" s="127"/>
      <c r="GF4" s="127"/>
      <c r="GG4" s="127"/>
      <c r="GH4" s="127"/>
      <c r="GI4" s="127"/>
      <c r="GJ4" s="127"/>
      <c r="GK4" s="127"/>
      <c r="GL4" s="127"/>
      <c r="GM4" s="127"/>
      <c r="GN4" s="127"/>
      <c r="GO4" s="127"/>
      <c r="GP4" s="127"/>
      <c r="GQ4" s="127"/>
      <c r="GR4" s="127"/>
      <c r="GS4" s="127"/>
      <c r="GT4" s="127"/>
      <c r="GU4" s="127"/>
      <c r="GV4" s="127"/>
      <c r="GW4" s="127"/>
      <c r="GX4" s="127"/>
      <c r="GY4" s="127"/>
      <c r="GZ4" s="127"/>
    </row>
    <row r="5" spans="1:208">
      <c r="A5" s="172">
        <v>45796</v>
      </c>
      <c r="B5" s="20" t="s">
        <v>373</v>
      </c>
      <c r="C5" s="173" t="s">
        <v>374</v>
      </c>
      <c r="D5" s="174">
        <v>139.99</v>
      </c>
      <c r="E5" s="175">
        <v>139</v>
      </c>
      <c r="F5" s="176">
        <v>0.3</v>
      </c>
      <c r="G5" s="176">
        <v>0.15</v>
      </c>
      <c r="H5" s="177">
        <f t="shared" si="0"/>
        <v>83.29405</v>
      </c>
      <c r="I5" s="176">
        <v>0.08</v>
      </c>
      <c r="J5" s="178">
        <v>0.06</v>
      </c>
      <c r="K5" s="174">
        <v>0</v>
      </c>
      <c r="L5" s="174">
        <v>0</v>
      </c>
      <c r="M5" s="20">
        <f t="shared" ref="M5:M62" si="39">K5+L5</f>
        <v>0</v>
      </c>
      <c r="N5" s="176">
        <f t="shared" si="1"/>
        <v>0</v>
      </c>
      <c r="O5" s="179">
        <f t="shared" si="2"/>
        <v>0</v>
      </c>
      <c r="P5" s="179">
        <f t="shared" si="3"/>
        <v>0</v>
      </c>
      <c r="Q5" s="20">
        <v>0</v>
      </c>
      <c r="R5" s="20"/>
      <c r="S5" s="20">
        <v>0</v>
      </c>
      <c r="T5" s="20">
        <v>0</v>
      </c>
      <c r="U5" s="176">
        <v>0</v>
      </c>
      <c r="V5" s="20">
        <v>0</v>
      </c>
      <c r="W5" s="178"/>
      <c r="X5" s="174" t="s">
        <v>145</v>
      </c>
      <c r="Y5" s="174"/>
      <c r="Z5" s="174" t="s">
        <v>145</v>
      </c>
      <c r="AA5" s="174"/>
      <c r="AB5" s="174" t="s">
        <v>145</v>
      </c>
      <c r="AC5" s="174"/>
      <c r="AD5" s="174" t="s">
        <v>145</v>
      </c>
      <c r="AE5" s="174"/>
      <c r="AF5" s="174" t="s">
        <v>145</v>
      </c>
      <c r="AG5" s="174"/>
      <c r="AH5" s="174" t="s">
        <v>145</v>
      </c>
      <c r="AI5" s="174"/>
      <c r="AJ5" s="174" t="s">
        <v>145</v>
      </c>
      <c r="AK5" s="174"/>
      <c r="AL5" s="20">
        <v>14</v>
      </c>
      <c r="AM5" s="180">
        <v>0</v>
      </c>
      <c r="AN5" s="173">
        <v>0</v>
      </c>
      <c r="AO5" s="20">
        <v>0</v>
      </c>
      <c r="AP5" s="20">
        <v>0</v>
      </c>
      <c r="AQ5" s="20"/>
      <c r="AR5" s="20"/>
      <c r="AS5" s="181">
        <v>0</v>
      </c>
      <c r="AT5" s="174">
        <v>0</v>
      </c>
      <c r="AU5" s="182">
        <f t="shared" si="4"/>
        <v>0</v>
      </c>
      <c r="AV5" s="174">
        <v>0</v>
      </c>
      <c r="AW5" s="183">
        <f t="shared" si="5"/>
        <v>0</v>
      </c>
      <c r="AX5" s="184">
        <f t="shared" si="6"/>
        <v>0</v>
      </c>
      <c r="AY5" s="176">
        <f t="shared" si="7"/>
        <v>0</v>
      </c>
      <c r="AZ5" s="185">
        <f t="shared" si="8"/>
        <v>0</v>
      </c>
      <c r="BA5" s="183">
        <v>0</v>
      </c>
      <c r="BB5" s="176">
        <f t="shared" si="9"/>
        <v>0</v>
      </c>
      <c r="BC5" s="179">
        <f t="shared" si="10"/>
        <v>0</v>
      </c>
      <c r="BD5" s="179">
        <v>0</v>
      </c>
      <c r="BE5" s="182">
        <v>0</v>
      </c>
      <c r="BF5" s="186">
        <f t="shared" si="11"/>
        <v>32.18</v>
      </c>
      <c r="BG5" s="186">
        <v>32.18</v>
      </c>
      <c r="BH5" s="187">
        <f t="shared" si="12"/>
        <v>0</v>
      </c>
      <c r="BI5" s="182">
        <f t="shared" si="13"/>
        <v>0</v>
      </c>
      <c r="BJ5" s="179">
        <f t="shared" si="14"/>
        <v>0</v>
      </c>
      <c r="BK5" s="179"/>
      <c r="BL5" s="179">
        <f t="shared" si="15"/>
        <v>0</v>
      </c>
      <c r="BM5" s="178"/>
      <c r="BN5" s="7"/>
      <c r="BO5" s="20"/>
      <c r="BP5" s="182"/>
      <c r="BQ5" s="182">
        <f t="shared" si="34"/>
        <v>0</v>
      </c>
      <c r="BR5" s="182">
        <f t="shared" si="16"/>
        <v>0</v>
      </c>
      <c r="BS5" s="182">
        <f t="shared" si="17"/>
        <v>0</v>
      </c>
      <c r="BT5" s="188">
        <f t="shared" si="18"/>
        <v>0</v>
      </c>
      <c r="BU5" s="20">
        <f t="shared" si="19"/>
        <v>0</v>
      </c>
      <c r="BV5" s="20">
        <f t="shared" si="20"/>
        <v>0</v>
      </c>
      <c r="BW5" s="185">
        <f t="shared" si="21"/>
        <v>0</v>
      </c>
      <c r="BX5" s="182">
        <f t="shared" si="22"/>
        <v>0</v>
      </c>
      <c r="BY5" s="182">
        <f t="shared" si="23"/>
        <v>0</v>
      </c>
      <c r="BZ5" s="182">
        <f t="shared" si="24"/>
        <v>0</v>
      </c>
      <c r="CA5" s="182">
        <f t="shared" si="25"/>
        <v>0</v>
      </c>
      <c r="CB5" s="189">
        <f t="shared" si="35"/>
        <v>0</v>
      </c>
      <c r="CC5" s="190">
        <f t="shared" si="36"/>
        <v>0</v>
      </c>
      <c r="CD5" s="190">
        <f t="shared" si="37"/>
        <v>0</v>
      </c>
      <c r="CE5" s="189">
        <v>0.08</v>
      </c>
      <c r="CF5" s="189">
        <v>0.08</v>
      </c>
      <c r="CG5" s="189">
        <v>0.08</v>
      </c>
      <c r="CH5" s="189">
        <v>0.08</v>
      </c>
      <c r="CI5" s="189">
        <v>0.05</v>
      </c>
      <c r="CJ5" s="189">
        <v>0.06</v>
      </c>
      <c r="CK5" s="189">
        <v>0.04</v>
      </c>
      <c r="CL5" s="191" t="s">
        <v>145</v>
      </c>
      <c r="CM5" s="191" t="s">
        <v>84</v>
      </c>
      <c r="CN5" s="191" t="s">
        <v>145</v>
      </c>
      <c r="CO5" s="191" t="s">
        <v>84</v>
      </c>
      <c r="CP5" s="191" t="s">
        <v>145</v>
      </c>
      <c r="CQ5" s="191"/>
      <c r="CR5" s="191" t="s">
        <v>145</v>
      </c>
      <c r="CS5" s="191"/>
      <c r="CT5" s="191" t="s">
        <v>145</v>
      </c>
      <c r="CU5" s="191"/>
      <c r="CV5" s="191" t="s">
        <v>145</v>
      </c>
      <c r="CW5" s="191"/>
      <c r="CX5" s="191" t="s">
        <v>145</v>
      </c>
      <c r="CY5" s="191" t="s">
        <v>145</v>
      </c>
      <c r="CZ5" s="127"/>
      <c r="DA5" s="127"/>
      <c r="DB5" s="127"/>
      <c r="DC5" s="127"/>
      <c r="DD5" s="127">
        <v>2.9</v>
      </c>
      <c r="DE5" s="127">
        <v>4.02</v>
      </c>
      <c r="DF5" s="127">
        <v>0.47</v>
      </c>
      <c r="DG5" s="127">
        <v>3.41</v>
      </c>
      <c r="DH5" s="127">
        <v>3.36</v>
      </c>
      <c r="DI5" s="127">
        <v>2.72</v>
      </c>
      <c r="DJ5" s="127">
        <v>0.34</v>
      </c>
      <c r="DK5" s="127"/>
      <c r="DL5" s="127" t="s">
        <v>84</v>
      </c>
      <c r="DM5" s="127" t="s">
        <v>84</v>
      </c>
      <c r="DN5" s="127" t="s">
        <v>84</v>
      </c>
      <c r="DO5" s="127" t="s">
        <v>84</v>
      </c>
      <c r="DP5" s="127"/>
      <c r="DQ5" s="192">
        <v>0.045</v>
      </c>
      <c r="DR5" s="192">
        <v>0.0508</v>
      </c>
      <c r="DS5" s="192">
        <v>0.0489</v>
      </c>
      <c r="DT5" s="192">
        <v>0.0486</v>
      </c>
      <c r="DU5" s="192">
        <v>0.061</v>
      </c>
      <c r="DV5" s="192">
        <v>0.0628</v>
      </c>
      <c r="DW5" s="127"/>
      <c r="DX5" s="192">
        <v>0.0175</v>
      </c>
      <c r="DY5" s="192">
        <v>0.0205</v>
      </c>
      <c r="DZ5" s="192">
        <v>0.0205</v>
      </c>
      <c r="EA5" s="192">
        <v>0.0205</v>
      </c>
      <c r="EB5" s="192">
        <v>0.031</v>
      </c>
      <c r="EC5" s="192">
        <v>0.0257</v>
      </c>
      <c r="ED5" s="127"/>
      <c r="EE5" s="127">
        <v>0.39</v>
      </c>
      <c r="EF5" s="127">
        <v>0.61</v>
      </c>
      <c r="EG5" s="127">
        <v>0.54</v>
      </c>
      <c r="EH5" s="127">
        <v>0.35</v>
      </c>
      <c r="EI5" s="127">
        <v>0.58</v>
      </c>
      <c r="EJ5" s="127">
        <v>0.55</v>
      </c>
      <c r="EK5" s="127"/>
      <c r="EL5" s="127"/>
      <c r="EM5" s="127"/>
      <c r="EN5" s="127"/>
      <c r="EO5" s="127"/>
      <c r="EP5" s="127"/>
      <c r="EQ5" s="127"/>
      <c r="ER5" s="127"/>
      <c r="ES5" s="127"/>
      <c r="ET5" s="127"/>
      <c r="EU5" s="127"/>
      <c r="EV5" s="127"/>
      <c r="EW5" s="127"/>
      <c r="EX5" s="127"/>
      <c r="EY5" s="127"/>
      <c r="EZ5" s="127">
        <v>0</v>
      </c>
      <c r="FA5" s="192">
        <f t="shared" si="26"/>
        <v>0</v>
      </c>
      <c r="FB5" s="192">
        <v>0</v>
      </c>
      <c r="FC5" s="192">
        <f t="shared" si="27"/>
        <v>0</v>
      </c>
      <c r="FD5" s="192">
        <f t="shared" si="28"/>
        <v>0</v>
      </c>
      <c r="FE5" s="193">
        <f t="shared" si="29"/>
        <v>0</v>
      </c>
      <c r="FF5" s="127"/>
      <c r="FG5" s="127"/>
      <c r="FH5" s="127"/>
      <c r="FI5" s="194">
        <v>0.045</v>
      </c>
      <c r="FJ5" s="194">
        <f t="shared" si="30"/>
        <v>0</v>
      </c>
      <c r="FK5" s="196">
        <v>89.57</v>
      </c>
      <c r="FL5" s="127">
        <f t="shared" si="38"/>
        <v>13.4355</v>
      </c>
      <c r="FM5" s="196">
        <v>5.19</v>
      </c>
      <c r="FN5" s="127">
        <f t="shared" si="31"/>
        <v>0</v>
      </c>
      <c r="FO5" s="127"/>
      <c r="FP5" s="127">
        <f t="shared" si="32"/>
        <v>32.18</v>
      </c>
      <c r="FQ5" s="127">
        <f t="shared" si="33"/>
        <v>0</v>
      </c>
      <c r="FR5" s="196">
        <v>32.18</v>
      </c>
      <c r="FS5" s="127"/>
      <c r="FT5" s="127"/>
      <c r="FU5" s="127"/>
      <c r="FV5" s="127"/>
      <c r="FW5" s="127"/>
      <c r="FX5" s="127"/>
      <c r="FY5" s="127"/>
      <c r="FZ5" s="127"/>
      <c r="GA5" s="127"/>
      <c r="GB5" s="127"/>
      <c r="GC5" s="127"/>
      <c r="GD5" s="127"/>
      <c r="GE5" s="127"/>
      <c r="GF5" s="127"/>
      <c r="GG5" s="127"/>
      <c r="GH5" s="127"/>
      <c r="GI5" s="127"/>
      <c r="GJ5" s="127"/>
      <c r="GK5" s="127"/>
      <c r="GL5" s="127"/>
      <c r="GM5" s="127"/>
      <c r="GN5" s="127"/>
      <c r="GO5" s="127"/>
      <c r="GP5" s="127"/>
      <c r="GQ5" s="127"/>
      <c r="GR5" s="127"/>
      <c r="GS5" s="127"/>
      <c r="GT5" s="127"/>
      <c r="GU5" s="127"/>
      <c r="GV5" s="127"/>
      <c r="GW5" s="127"/>
      <c r="GX5" s="127"/>
      <c r="GY5" s="127"/>
      <c r="GZ5" s="127"/>
    </row>
    <row r="6" spans="1:208">
      <c r="A6" s="172">
        <v>45797</v>
      </c>
      <c r="B6" s="20" t="s">
        <v>375</v>
      </c>
      <c r="C6" s="173" t="s">
        <v>376</v>
      </c>
      <c r="D6" s="174">
        <v>139.99</v>
      </c>
      <c r="E6" s="175">
        <v>139</v>
      </c>
      <c r="F6" s="176">
        <v>0.3</v>
      </c>
      <c r="G6" s="176">
        <v>0.15</v>
      </c>
      <c r="H6" s="177">
        <f t="shared" si="0"/>
        <v>83.29405</v>
      </c>
      <c r="I6" s="176">
        <v>0.08</v>
      </c>
      <c r="J6" s="178">
        <v>0.06</v>
      </c>
      <c r="K6" s="20">
        <v>1</v>
      </c>
      <c r="L6" s="20">
        <v>10</v>
      </c>
      <c r="M6" s="20">
        <f t="shared" si="39"/>
        <v>11</v>
      </c>
      <c r="N6" s="176">
        <f t="shared" si="1"/>
        <v>0.181818181818182</v>
      </c>
      <c r="O6" s="179">
        <f t="shared" si="2"/>
        <v>2</v>
      </c>
      <c r="P6" s="179">
        <f t="shared" si="3"/>
        <v>2</v>
      </c>
      <c r="Q6" s="20">
        <v>2</v>
      </c>
      <c r="R6" s="20"/>
      <c r="S6" s="20">
        <v>0</v>
      </c>
      <c r="T6" s="20">
        <v>0</v>
      </c>
      <c r="U6" s="176">
        <v>0</v>
      </c>
      <c r="V6" s="20">
        <v>2</v>
      </c>
      <c r="W6" s="178">
        <v>272.98</v>
      </c>
      <c r="X6" s="174" t="s">
        <v>145</v>
      </c>
      <c r="Y6" s="174"/>
      <c r="Z6" s="174" t="s">
        <v>145</v>
      </c>
      <c r="AA6" s="174"/>
      <c r="AB6" s="174" t="s">
        <v>145</v>
      </c>
      <c r="AC6" s="174"/>
      <c r="AD6" s="174" t="s">
        <v>145</v>
      </c>
      <c r="AE6" s="174"/>
      <c r="AF6" s="174" t="s">
        <v>145</v>
      </c>
      <c r="AG6" s="174"/>
      <c r="AH6" s="174" t="s">
        <v>145</v>
      </c>
      <c r="AI6" s="174"/>
      <c r="AJ6" s="174" t="s">
        <v>145</v>
      </c>
      <c r="AK6" s="174"/>
      <c r="AL6" s="20">
        <v>23</v>
      </c>
      <c r="AM6" s="180">
        <v>0</v>
      </c>
      <c r="AN6" s="173">
        <v>0</v>
      </c>
      <c r="AO6" s="20">
        <v>0</v>
      </c>
      <c r="AP6" s="20">
        <v>0</v>
      </c>
      <c r="AQ6" s="20"/>
      <c r="AR6" s="20"/>
      <c r="AS6" s="181">
        <v>0</v>
      </c>
      <c r="AT6" s="174">
        <v>0</v>
      </c>
      <c r="AU6" s="182">
        <f t="shared" si="4"/>
        <v>0</v>
      </c>
      <c r="AV6" s="174">
        <v>0</v>
      </c>
      <c r="AW6" s="183">
        <f t="shared" si="5"/>
        <v>0</v>
      </c>
      <c r="AX6" s="184">
        <f t="shared" si="6"/>
        <v>0</v>
      </c>
      <c r="AY6" s="176">
        <f t="shared" si="7"/>
        <v>0</v>
      </c>
      <c r="AZ6" s="185">
        <f t="shared" si="8"/>
        <v>0</v>
      </c>
      <c r="BA6" s="183">
        <v>0</v>
      </c>
      <c r="BB6" s="176">
        <f t="shared" si="9"/>
        <v>0</v>
      </c>
      <c r="BC6" s="179">
        <f t="shared" si="10"/>
        <v>0</v>
      </c>
      <c r="BD6" s="179">
        <v>0</v>
      </c>
      <c r="BE6" s="182">
        <v>0</v>
      </c>
      <c r="BF6" s="186">
        <f t="shared" si="11"/>
        <v>32.18</v>
      </c>
      <c r="BG6" s="186">
        <v>32.18</v>
      </c>
      <c r="BH6" s="187">
        <f t="shared" si="12"/>
        <v>64.36</v>
      </c>
      <c r="BI6" s="182">
        <f t="shared" si="13"/>
        <v>0.235768188145652</v>
      </c>
      <c r="BJ6" s="179">
        <f t="shared" si="14"/>
        <v>290</v>
      </c>
      <c r="BK6" s="179"/>
      <c r="BL6" s="179">
        <f t="shared" si="15"/>
        <v>0</v>
      </c>
      <c r="BM6" s="178"/>
      <c r="BN6" s="7"/>
      <c r="BO6" s="20"/>
      <c r="BP6" s="182"/>
      <c r="BQ6" s="182">
        <f t="shared" si="34"/>
        <v>0</v>
      </c>
      <c r="BR6" s="182">
        <f t="shared" si="16"/>
        <v>1</v>
      </c>
      <c r="BS6" s="182">
        <f t="shared" si="17"/>
        <v>0</v>
      </c>
      <c r="BT6" s="188">
        <f t="shared" si="18"/>
        <v>0</v>
      </c>
      <c r="BU6" s="20">
        <f t="shared" si="19"/>
        <v>11</v>
      </c>
      <c r="BV6" s="20">
        <f t="shared" si="20"/>
        <v>11</v>
      </c>
      <c r="BW6" s="185">
        <f t="shared" si="21"/>
        <v>1</v>
      </c>
      <c r="BX6" s="182">
        <f t="shared" si="22"/>
        <v>1</v>
      </c>
      <c r="BY6" s="182">
        <f t="shared" si="23"/>
        <v>1</v>
      </c>
      <c r="BZ6" s="182">
        <f t="shared" si="24"/>
        <v>1</v>
      </c>
      <c r="CA6" s="182">
        <f t="shared" si="25"/>
        <v>0</v>
      </c>
      <c r="CB6" s="189">
        <f t="shared" si="35"/>
        <v>0</v>
      </c>
      <c r="CC6" s="190">
        <f t="shared" si="36"/>
        <v>0.181818181818182</v>
      </c>
      <c r="CD6" s="190">
        <f t="shared" si="37"/>
        <v>0</v>
      </c>
      <c r="CE6" s="189">
        <v>0.08</v>
      </c>
      <c r="CF6" s="189">
        <v>0.08</v>
      </c>
      <c r="CG6" s="189">
        <v>0.08</v>
      </c>
      <c r="CH6" s="189">
        <v>0.08</v>
      </c>
      <c r="CI6" s="189">
        <v>0.05</v>
      </c>
      <c r="CJ6" s="189">
        <v>0.06</v>
      </c>
      <c r="CK6" s="189">
        <v>0.04</v>
      </c>
      <c r="CL6" s="191" t="s">
        <v>145</v>
      </c>
      <c r="CM6" s="191" t="s">
        <v>84</v>
      </c>
      <c r="CN6" s="191" t="s">
        <v>145</v>
      </c>
      <c r="CO6" s="191" t="s">
        <v>84</v>
      </c>
      <c r="CP6" s="191" t="s">
        <v>145</v>
      </c>
      <c r="CQ6" s="191"/>
      <c r="CR6" s="191" t="s">
        <v>145</v>
      </c>
      <c r="CS6" s="191"/>
      <c r="CT6" s="191" t="s">
        <v>145</v>
      </c>
      <c r="CU6" s="191"/>
      <c r="CV6" s="191" t="s">
        <v>145</v>
      </c>
      <c r="CW6" s="191"/>
      <c r="CX6" s="191" t="s">
        <v>145</v>
      </c>
      <c r="CY6" s="191" t="s">
        <v>145</v>
      </c>
      <c r="CZ6" s="127"/>
      <c r="DA6" s="127"/>
      <c r="DB6" s="127"/>
      <c r="DC6" s="127"/>
      <c r="DD6" s="127">
        <v>2.9</v>
      </c>
      <c r="DE6" s="127">
        <v>4.02</v>
      </c>
      <c r="DF6" s="127">
        <v>0.47</v>
      </c>
      <c r="DG6" s="127">
        <v>3.41</v>
      </c>
      <c r="DH6" s="127">
        <v>3.36</v>
      </c>
      <c r="DI6" s="127">
        <v>2.72</v>
      </c>
      <c r="DJ6" s="127">
        <v>0.34</v>
      </c>
      <c r="DK6" s="127"/>
      <c r="DL6" s="127" t="s">
        <v>84</v>
      </c>
      <c r="DM6" s="127" t="s">
        <v>84</v>
      </c>
      <c r="DN6" s="127" t="s">
        <v>84</v>
      </c>
      <c r="DO6" s="127" t="s">
        <v>84</v>
      </c>
      <c r="DP6" s="127"/>
      <c r="DQ6" s="192">
        <v>0.045</v>
      </c>
      <c r="DR6" s="192">
        <v>0.0508</v>
      </c>
      <c r="DS6" s="192">
        <v>0.0489</v>
      </c>
      <c r="DT6" s="192">
        <v>0.0486</v>
      </c>
      <c r="DU6" s="192">
        <v>0.061</v>
      </c>
      <c r="DV6" s="192">
        <v>0.0628</v>
      </c>
      <c r="DW6" s="127"/>
      <c r="DX6" s="192">
        <v>0.0175</v>
      </c>
      <c r="DY6" s="192">
        <v>0.0205</v>
      </c>
      <c r="DZ6" s="192">
        <v>0.0205</v>
      </c>
      <c r="EA6" s="192">
        <v>0.0205</v>
      </c>
      <c r="EB6" s="192">
        <v>0.031</v>
      </c>
      <c r="EC6" s="192">
        <v>0.0257</v>
      </c>
      <c r="ED6" s="127"/>
      <c r="EE6" s="127">
        <v>0.39</v>
      </c>
      <c r="EF6" s="127">
        <v>0.61</v>
      </c>
      <c r="EG6" s="127">
        <v>0.54</v>
      </c>
      <c r="EH6" s="127">
        <v>0.35</v>
      </c>
      <c r="EI6" s="127">
        <v>0.58</v>
      </c>
      <c r="EJ6" s="127">
        <v>0.55</v>
      </c>
      <c r="EK6" s="127"/>
      <c r="EL6" s="127"/>
      <c r="EM6" s="127"/>
      <c r="EN6" s="127"/>
      <c r="EO6" s="127"/>
      <c r="EP6" s="127"/>
      <c r="EQ6" s="127"/>
      <c r="ER6" s="127"/>
      <c r="ES6" s="127"/>
      <c r="ET6" s="127"/>
      <c r="EU6" s="127"/>
      <c r="EV6" s="127"/>
      <c r="EW6" s="127"/>
      <c r="EX6" s="127"/>
      <c r="EY6" s="127"/>
      <c r="EZ6" s="127">
        <v>0</v>
      </c>
      <c r="FA6" s="192">
        <f t="shared" si="26"/>
        <v>0</v>
      </c>
      <c r="FB6" s="192">
        <v>0</v>
      </c>
      <c r="FC6" s="192">
        <f t="shared" si="27"/>
        <v>0.181818181818182</v>
      </c>
      <c r="FD6" s="192">
        <f t="shared" si="28"/>
        <v>0</v>
      </c>
      <c r="FE6" s="193">
        <f t="shared" si="29"/>
        <v>1</v>
      </c>
      <c r="FF6" s="127"/>
      <c r="FG6" s="127"/>
      <c r="FH6" s="127"/>
      <c r="FI6" s="194">
        <v>0.045</v>
      </c>
      <c r="FJ6" s="194">
        <f t="shared" si="30"/>
        <v>0.181818181818182</v>
      </c>
      <c r="FK6" s="196">
        <v>89.57</v>
      </c>
      <c r="FL6" s="127">
        <f t="shared" si="38"/>
        <v>13.4355</v>
      </c>
      <c r="FM6" s="196">
        <v>5.19</v>
      </c>
      <c r="FN6" s="127">
        <f t="shared" si="31"/>
        <v>0</v>
      </c>
      <c r="FO6" s="127"/>
      <c r="FP6" s="127">
        <f t="shared" si="32"/>
        <v>32.18</v>
      </c>
      <c r="FQ6" s="127">
        <f t="shared" si="33"/>
        <v>64.36</v>
      </c>
      <c r="FR6" s="196">
        <v>32.18</v>
      </c>
      <c r="FS6" s="127"/>
      <c r="FT6" s="127"/>
      <c r="FU6" s="127"/>
      <c r="FV6" s="127"/>
      <c r="FW6" s="127"/>
      <c r="FX6" s="127"/>
      <c r="FY6" s="127"/>
      <c r="FZ6" s="127"/>
      <c r="GA6" s="127"/>
      <c r="GB6" s="127"/>
      <c r="GC6" s="127"/>
      <c r="GD6" s="127"/>
      <c r="GE6" s="127"/>
      <c r="GF6" s="127"/>
      <c r="GG6" s="127"/>
      <c r="GH6" s="127"/>
      <c r="GI6" s="127"/>
      <c r="GJ6" s="127"/>
      <c r="GK6" s="127"/>
      <c r="GL6" s="127"/>
      <c r="GM6" s="127"/>
      <c r="GN6" s="127"/>
      <c r="GO6" s="127"/>
      <c r="GP6" s="127"/>
      <c r="GQ6" s="127"/>
      <c r="GR6" s="127"/>
      <c r="GS6" s="127"/>
      <c r="GT6" s="127"/>
      <c r="GU6" s="127"/>
      <c r="GV6" s="127"/>
      <c r="GW6" s="127"/>
      <c r="GX6" s="127"/>
      <c r="GY6" s="127"/>
      <c r="GZ6" s="127"/>
    </row>
    <row r="7" spans="1:208">
      <c r="A7" s="172">
        <v>45798</v>
      </c>
      <c r="B7" s="20" t="s">
        <v>377</v>
      </c>
      <c r="C7" s="173" t="s">
        <v>378</v>
      </c>
      <c r="D7" s="174">
        <v>139.99</v>
      </c>
      <c r="E7" s="175">
        <v>139.99</v>
      </c>
      <c r="F7" s="176">
        <v>0.3</v>
      </c>
      <c r="G7" s="176">
        <v>0.15</v>
      </c>
      <c r="H7" s="177">
        <f t="shared" si="0"/>
        <v>83.29405</v>
      </c>
      <c r="I7" s="176">
        <v>0.08</v>
      </c>
      <c r="J7" s="178">
        <v>0.06</v>
      </c>
      <c r="K7" s="20">
        <v>3</v>
      </c>
      <c r="L7" s="20">
        <v>11</v>
      </c>
      <c r="M7" s="20">
        <f t="shared" si="39"/>
        <v>14</v>
      </c>
      <c r="N7" s="176">
        <f t="shared" si="1"/>
        <v>0.0714285714285714</v>
      </c>
      <c r="O7" s="179">
        <f t="shared" si="2"/>
        <v>0</v>
      </c>
      <c r="P7" s="179">
        <f t="shared" si="3"/>
        <v>0</v>
      </c>
      <c r="Q7" s="20">
        <v>1</v>
      </c>
      <c r="R7" s="20"/>
      <c r="S7" s="20">
        <v>1</v>
      </c>
      <c r="T7" s="20">
        <v>1</v>
      </c>
      <c r="U7" s="176">
        <v>1</v>
      </c>
      <c r="V7" s="20">
        <v>0</v>
      </c>
      <c r="W7" s="178">
        <v>136.49</v>
      </c>
      <c r="X7" s="174" t="s">
        <v>145</v>
      </c>
      <c r="Y7" s="174"/>
      <c r="Z7" s="174" t="s">
        <v>145</v>
      </c>
      <c r="AA7" s="174"/>
      <c r="AB7" s="174" t="s">
        <v>145</v>
      </c>
      <c r="AC7" s="174"/>
      <c r="AD7" s="174" t="s">
        <v>145</v>
      </c>
      <c r="AE7" s="174"/>
      <c r="AF7" s="174" t="s">
        <v>145</v>
      </c>
      <c r="AG7" s="174"/>
      <c r="AH7" s="174" t="s">
        <v>145</v>
      </c>
      <c r="AI7" s="174"/>
      <c r="AJ7" s="174" t="s">
        <v>145</v>
      </c>
      <c r="AK7" s="174"/>
      <c r="AL7" s="20">
        <v>26</v>
      </c>
      <c r="AM7" s="180">
        <v>0</v>
      </c>
      <c r="AN7" s="173">
        <v>0</v>
      </c>
      <c r="AO7" s="20">
        <v>0</v>
      </c>
      <c r="AP7" s="20">
        <v>0</v>
      </c>
      <c r="AQ7" s="20"/>
      <c r="AR7" s="20"/>
      <c r="AS7" s="181">
        <v>0</v>
      </c>
      <c r="AT7" s="174">
        <v>0</v>
      </c>
      <c r="AU7" s="182">
        <f t="shared" si="4"/>
        <v>0</v>
      </c>
      <c r="AV7" s="174">
        <v>0</v>
      </c>
      <c r="AW7" s="183">
        <f t="shared" si="5"/>
        <v>0</v>
      </c>
      <c r="AX7" s="184">
        <f t="shared" si="6"/>
        <v>0</v>
      </c>
      <c r="AY7" s="176">
        <f t="shared" si="7"/>
        <v>0</v>
      </c>
      <c r="AZ7" s="185">
        <f t="shared" si="8"/>
        <v>0</v>
      </c>
      <c r="BA7" s="183">
        <v>0</v>
      </c>
      <c r="BB7" s="176">
        <f t="shared" si="9"/>
        <v>0</v>
      </c>
      <c r="BC7" s="179">
        <f t="shared" si="10"/>
        <v>0</v>
      </c>
      <c r="BD7" s="179">
        <v>0</v>
      </c>
      <c r="BE7" s="182">
        <v>0</v>
      </c>
      <c r="BF7" s="186">
        <f t="shared" si="11"/>
        <v>32.18</v>
      </c>
      <c r="BG7" s="186">
        <v>32.18</v>
      </c>
      <c r="BH7" s="187">
        <f t="shared" si="12"/>
        <v>-21.58</v>
      </c>
      <c r="BI7" s="182">
        <f t="shared" si="13"/>
        <v>-0.158106821012528</v>
      </c>
      <c r="BJ7" s="179">
        <f t="shared" si="14"/>
        <v>145</v>
      </c>
      <c r="BK7" s="179"/>
      <c r="BL7" s="179">
        <f t="shared" si="15"/>
        <v>21.58</v>
      </c>
      <c r="BM7" s="178"/>
      <c r="BN7" s="7"/>
      <c r="BO7" s="20"/>
      <c r="BP7" s="182"/>
      <c r="BQ7" s="182">
        <f t="shared" si="34"/>
        <v>0</v>
      </c>
      <c r="BR7" s="182">
        <f t="shared" si="16"/>
        <v>0</v>
      </c>
      <c r="BS7" s="182">
        <f t="shared" si="17"/>
        <v>0</v>
      </c>
      <c r="BT7" s="188">
        <f t="shared" si="18"/>
        <v>0</v>
      </c>
      <c r="BU7" s="20">
        <f t="shared" si="19"/>
        <v>14</v>
      </c>
      <c r="BV7" s="20">
        <f t="shared" si="20"/>
        <v>14</v>
      </c>
      <c r="BW7" s="185">
        <f t="shared" si="21"/>
        <v>1</v>
      </c>
      <c r="BX7" s="182">
        <f t="shared" si="22"/>
        <v>0</v>
      </c>
      <c r="BY7" s="182">
        <f t="shared" si="23"/>
        <v>0</v>
      </c>
      <c r="BZ7" s="182">
        <f t="shared" si="24"/>
        <v>0</v>
      </c>
      <c r="CA7" s="182">
        <f t="shared" si="25"/>
        <v>0</v>
      </c>
      <c r="CB7" s="189">
        <f t="shared" si="35"/>
        <v>0</v>
      </c>
      <c r="CC7" s="190">
        <f t="shared" si="36"/>
        <v>0.0714285714285714</v>
      </c>
      <c r="CD7" s="190">
        <f t="shared" si="37"/>
        <v>0</v>
      </c>
      <c r="CE7" s="189">
        <v>0.08</v>
      </c>
      <c r="CF7" s="189">
        <v>0.08</v>
      </c>
      <c r="CG7" s="189">
        <v>0.08</v>
      </c>
      <c r="CH7" s="189">
        <v>0.08</v>
      </c>
      <c r="CI7" s="189">
        <v>0.05</v>
      </c>
      <c r="CJ7" s="189">
        <v>0.06</v>
      </c>
      <c r="CK7" s="189">
        <v>0.04</v>
      </c>
      <c r="CL7" s="191" t="s">
        <v>145</v>
      </c>
      <c r="CM7" s="191" t="s">
        <v>84</v>
      </c>
      <c r="CN7" s="191" t="s">
        <v>145</v>
      </c>
      <c r="CO7" s="191" t="s">
        <v>84</v>
      </c>
      <c r="CP7" s="191" t="s">
        <v>145</v>
      </c>
      <c r="CQ7" s="191"/>
      <c r="CR7" s="191" t="s">
        <v>145</v>
      </c>
      <c r="CS7" s="191"/>
      <c r="CT7" s="191" t="s">
        <v>145</v>
      </c>
      <c r="CU7" s="191"/>
      <c r="CV7" s="191" t="s">
        <v>145</v>
      </c>
      <c r="CW7" s="191"/>
      <c r="CX7" s="191" t="s">
        <v>145</v>
      </c>
      <c r="CY7" s="191" t="s">
        <v>145</v>
      </c>
      <c r="CZ7" s="127"/>
      <c r="DA7" s="127"/>
      <c r="DB7" s="127"/>
      <c r="DC7" s="127"/>
      <c r="DD7" s="127">
        <v>2.9</v>
      </c>
      <c r="DE7" s="127">
        <v>4.02</v>
      </c>
      <c r="DF7" s="127">
        <v>0.47</v>
      </c>
      <c r="DG7" s="127">
        <v>3.41</v>
      </c>
      <c r="DH7" s="127">
        <v>3.36</v>
      </c>
      <c r="DI7" s="127">
        <v>2.72</v>
      </c>
      <c r="DJ7" s="127">
        <v>0.34</v>
      </c>
      <c r="DK7" s="127"/>
      <c r="DL7" s="127" t="s">
        <v>84</v>
      </c>
      <c r="DM7" s="127" t="s">
        <v>84</v>
      </c>
      <c r="DN7" s="127" t="s">
        <v>84</v>
      </c>
      <c r="DO7" s="127" t="s">
        <v>84</v>
      </c>
      <c r="DP7" s="127"/>
      <c r="DQ7" s="192">
        <v>0.045</v>
      </c>
      <c r="DR7" s="192">
        <v>0.0508</v>
      </c>
      <c r="DS7" s="192">
        <v>0.0489</v>
      </c>
      <c r="DT7" s="192">
        <v>0.0486</v>
      </c>
      <c r="DU7" s="192">
        <v>0.061</v>
      </c>
      <c r="DV7" s="192">
        <v>0.0628</v>
      </c>
      <c r="DW7" s="127"/>
      <c r="DX7" s="192">
        <v>0.0175</v>
      </c>
      <c r="DY7" s="192">
        <v>0.0205</v>
      </c>
      <c r="DZ7" s="192">
        <v>0.0205</v>
      </c>
      <c r="EA7" s="192">
        <v>0.0205</v>
      </c>
      <c r="EB7" s="192">
        <v>0.031</v>
      </c>
      <c r="EC7" s="192">
        <v>0.0257</v>
      </c>
      <c r="ED7" s="127"/>
      <c r="EE7" s="127">
        <v>0.39</v>
      </c>
      <c r="EF7" s="127">
        <v>0.61</v>
      </c>
      <c r="EG7" s="127">
        <v>0.54</v>
      </c>
      <c r="EH7" s="127">
        <v>0.35</v>
      </c>
      <c r="EI7" s="127">
        <v>0.58</v>
      </c>
      <c r="EJ7" s="127">
        <v>0.55</v>
      </c>
      <c r="EK7" s="127"/>
      <c r="EL7" s="127"/>
      <c r="EM7" s="127"/>
      <c r="EN7" s="127"/>
      <c r="EO7" s="127"/>
      <c r="EP7" s="127"/>
      <c r="EQ7" s="127"/>
      <c r="ER7" s="127"/>
      <c r="ES7" s="127"/>
      <c r="ET7" s="127"/>
      <c r="EU7" s="127"/>
      <c r="EV7" s="127"/>
      <c r="EW7" s="127"/>
      <c r="EX7" s="127"/>
      <c r="EY7" s="127"/>
      <c r="EZ7" s="127">
        <v>0</v>
      </c>
      <c r="FA7" s="192">
        <f t="shared" si="26"/>
        <v>0</v>
      </c>
      <c r="FB7" s="192">
        <v>0</v>
      </c>
      <c r="FC7" s="192">
        <f t="shared" si="27"/>
        <v>0.0714285714285714</v>
      </c>
      <c r="FD7" s="192">
        <f t="shared" si="28"/>
        <v>0</v>
      </c>
      <c r="FE7" s="193">
        <f t="shared" si="29"/>
        <v>0</v>
      </c>
      <c r="FF7" s="127"/>
      <c r="FG7" s="127"/>
      <c r="FH7" s="127"/>
      <c r="FI7" s="194">
        <v>0.045</v>
      </c>
      <c r="FJ7" s="194">
        <f t="shared" si="30"/>
        <v>0.0714285714285714</v>
      </c>
      <c r="FK7" s="196">
        <v>89.57</v>
      </c>
      <c r="FL7" s="127">
        <f t="shared" si="38"/>
        <v>13.4355</v>
      </c>
      <c r="FM7" s="196">
        <v>5.19</v>
      </c>
      <c r="FN7" s="127">
        <f t="shared" si="31"/>
        <v>0</v>
      </c>
      <c r="FO7" s="127"/>
      <c r="FP7" s="127">
        <f t="shared" si="32"/>
        <v>32.18</v>
      </c>
      <c r="FQ7" s="127">
        <f t="shared" si="33"/>
        <v>-21.58</v>
      </c>
      <c r="FR7" s="196">
        <v>32.18</v>
      </c>
      <c r="FS7" s="127"/>
      <c r="FT7" s="127"/>
      <c r="FU7" s="127"/>
      <c r="FV7" s="127"/>
      <c r="FW7" s="127"/>
      <c r="FX7" s="127"/>
      <c r="FY7" s="127"/>
      <c r="FZ7" s="127"/>
      <c r="GA7" s="127"/>
      <c r="GB7" s="127"/>
      <c r="GC7" s="127"/>
      <c r="GD7" s="127"/>
      <c r="GE7" s="127"/>
      <c r="GF7" s="127"/>
      <c r="GG7" s="127"/>
      <c r="GH7" s="127"/>
      <c r="GI7" s="127"/>
      <c r="GJ7" s="127"/>
      <c r="GK7" s="127"/>
      <c r="GL7" s="127"/>
      <c r="GM7" s="127"/>
      <c r="GN7" s="127"/>
      <c r="GO7" s="127"/>
      <c r="GP7" s="127"/>
      <c r="GQ7" s="127"/>
      <c r="GR7" s="127"/>
      <c r="GS7" s="127"/>
      <c r="GT7" s="127"/>
      <c r="GU7" s="127"/>
      <c r="GV7" s="127"/>
      <c r="GW7" s="127"/>
      <c r="GX7" s="127"/>
      <c r="GY7" s="127"/>
      <c r="GZ7" s="127"/>
    </row>
    <row r="8" spans="1:208">
      <c r="A8" s="172">
        <v>45799</v>
      </c>
      <c r="B8" s="20" t="s">
        <v>379</v>
      </c>
      <c r="C8" s="173" t="s">
        <v>380</v>
      </c>
      <c r="D8" s="174">
        <v>139.99</v>
      </c>
      <c r="E8" s="175">
        <v>139.99</v>
      </c>
      <c r="F8" s="176">
        <v>0.3</v>
      </c>
      <c r="G8" s="176">
        <v>0.15</v>
      </c>
      <c r="H8" s="177">
        <f t="shared" si="0"/>
        <v>83.29405</v>
      </c>
      <c r="I8" s="176">
        <v>0.08</v>
      </c>
      <c r="J8" s="178">
        <v>0.06</v>
      </c>
      <c r="K8" s="20">
        <v>4</v>
      </c>
      <c r="L8" s="20">
        <v>12</v>
      </c>
      <c r="M8" s="20">
        <f t="shared" si="39"/>
        <v>16</v>
      </c>
      <c r="N8" s="176">
        <f t="shared" si="1"/>
        <v>0</v>
      </c>
      <c r="O8" s="179">
        <f t="shared" si="2"/>
        <v>0</v>
      </c>
      <c r="P8" s="179">
        <f t="shared" si="3"/>
        <v>0</v>
      </c>
      <c r="Q8" s="20">
        <v>0</v>
      </c>
      <c r="R8" s="20"/>
      <c r="S8" s="20">
        <v>0</v>
      </c>
      <c r="T8" s="20">
        <v>0</v>
      </c>
      <c r="U8" s="176">
        <v>0</v>
      </c>
      <c r="V8" s="20">
        <v>0</v>
      </c>
      <c r="W8" s="178">
        <v>0</v>
      </c>
      <c r="X8" s="174" t="s">
        <v>145</v>
      </c>
      <c r="Y8" s="174"/>
      <c r="Z8" s="174" t="s">
        <v>145</v>
      </c>
      <c r="AA8" s="174"/>
      <c r="AB8" s="174" t="s">
        <v>145</v>
      </c>
      <c r="AC8" s="174"/>
      <c r="AD8" s="174" t="s">
        <v>145</v>
      </c>
      <c r="AE8" s="174"/>
      <c r="AF8" s="174" t="s">
        <v>145</v>
      </c>
      <c r="AG8" s="174"/>
      <c r="AH8" s="174" t="s">
        <v>145</v>
      </c>
      <c r="AI8" s="174"/>
      <c r="AJ8" s="174" t="s">
        <v>145</v>
      </c>
      <c r="AK8" s="174"/>
      <c r="AL8" s="20">
        <v>30</v>
      </c>
      <c r="AM8" s="180">
        <v>0</v>
      </c>
      <c r="AN8" s="173">
        <v>0</v>
      </c>
      <c r="AO8" s="20">
        <v>1</v>
      </c>
      <c r="AP8" s="20">
        <v>5</v>
      </c>
      <c r="AQ8" s="20"/>
      <c r="AR8" s="20"/>
      <c r="AS8" s="181">
        <v>0</v>
      </c>
      <c r="AT8" s="174">
        <v>0</v>
      </c>
      <c r="AU8" s="182">
        <f t="shared" si="4"/>
        <v>0</v>
      </c>
      <c r="AV8" s="174">
        <v>0</v>
      </c>
      <c r="AW8" s="183">
        <f t="shared" si="5"/>
        <v>0</v>
      </c>
      <c r="AX8" s="184">
        <f t="shared" si="6"/>
        <v>0</v>
      </c>
      <c r="AY8" s="176">
        <f t="shared" si="7"/>
        <v>0</v>
      </c>
      <c r="AZ8" s="185">
        <f t="shared" si="8"/>
        <v>0</v>
      </c>
      <c r="BA8" s="183">
        <v>0</v>
      </c>
      <c r="BB8" s="176">
        <f t="shared" si="9"/>
        <v>0</v>
      </c>
      <c r="BC8" s="179">
        <f t="shared" si="10"/>
        <v>0</v>
      </c>
      <c r="BD8" s="179">
        <v>0</v>
      </c>
      <c r="BE8" s="182">
        <v>0</v>
      </c>
      <c r="BF8" s="186">
        <f t="shared" si="11"/>
        <v>32.18</v>
      </c>
      <c r="BG8" s="186">
        <v>32.18</v>
      </c>
      <c r="BH8" s="187">
        <f t="shared" si="12"/>
        <v>0</v>
      </c>
      <c r="BI8" s="182">
        <f t="shared" si="13"/>
        <v>0</v>
      </c>
      <c r="BJ8" s="179">
        <f t="shared" si="14"/>
        <v>0</v>
      </c>
      <c r="BK8" s="179"/>
      <c r="BL8" s="179">
        <f t="shared" si="15"/>
        <v>0</v>
      </c>
      <c r="BM8" s="178"/>
      <c r="BN8" s="7"/>
      <c r="BO8" s="20"/>
      <c r="BP8" s="182"/>
      <c r="BQ8" s="182">
        <f t="shared" si="34"/>
        <v>0</v>
      </c>
      <c r="BR8" s="182">
        <f t="shared" si="16"/>
        <v>0</v>
      </c>
      <c r="BS8" s="182">
        <f t="shared" si="17"/>
        <v>0</v>
      </c>
      <c r="BT8" s="188">
        <f t="shared" si="18"/>
        <v>0</v>
      </c>
      <c r="BU8" s="20">
        <f t="shared" si="19"/>
        <v>16</v>
      </c>
      <c r="BV8" s="20">
        <f t="shared" si="20"/>
        <v>16</v>
      </c>
      <c r="BW8" s="185">
        <f t="shared" si="21"/>
        <v>1</v>
      </c>
      <c r="BX8" s="182">
        <f t="shared" si="22"/>
        <v>0</v>
      </c>
      <c r="BY8" s="182">
        <f t="shared" si="23"/>
        <v>0</v>
      </c>
      <c r="BZ8" s="182">
        <f t="shared" si="24"/>
        <v>0</v>
      </c>
      <c r="CA8" s="182">
        <f t="shared" si="25"/>
        <v>0</v>
      </c>
      <c r="CB8" s="189">
        <f t="shared" si="35"/>
        <v>0</v>
      </c>
      <c r="CC8" s="190">
        <f t="shared" si="36"/>
        <v>0</v>
      </c>
      <c r="CD8" s="190">
        <f t="shared" si="37"/>
        <v>0</v>
      </c>
      <c r="CE8" s="189">
        <v>0.08</v>
      </c>
      <c r="CF8" s="189">
        <v>0.08</v>
      </c>
      <c r="CG8" s="189">
        <v>0.08</v>
      </c>
      <c r="CH8" s="189">
        <v>0.08</v>
      </c>
      <c r="CI8" s="189">
        <v>0.05</v>
      </c>
      <c r="CJ8" s="189">
        <v>0.06</v>
      </c>
      <c r="CK8" s="189">
        <v>0.04</v>
      </c>
      <c r="CL8" s="191" t="s">
        <v>145</v>
      </c>
      <c r="CM8" s="191" t="s">
        <v>84</v>
      </c>
      <c r="CN8" s="191" t="s">
        <v>145</v>
      </c>
      <c r="CO8" s="191" t="s">
        <v>84</v>
      </c>
      <c r="CP8" s="191" t="s">
        <v>145</v>
      </c>
      <c r="CQ8" s="191"/>
      <c r="CR8" s="191" t="s">
        <v>145</v>
      </c>
      <c r="CS8" s="191"/>
      <c r="CT8" s="191" t="s">
        <v>145</v>
      </c>
      <c r="CU8" s="191"/>
      <c r="CV8" s="191" t="s">
        <v>145</v>
      </c>
      <c r="CW8" s="191"/>
      <c r="CX8" s="191" t="s">
        <v>145</v>
      </c>
      <c r="CY8" s="191" t="s">
        <v>145</v>
      </c>
      <c r="CZ8" s="127"/>
      <c r="DA8" s="127"/>
      <c r="DB8" s="127"/>
      <c r="DC8" s="127"/>
      <c r="DD8" s="127">
        <v>2.9</v>
      </c>
      <c r="DE8" s="127">
        <v>4.02</v>
      </c>
      <c r="DF8" s="127">
        <v>0.47</v>
      </c>
      <c r="DG8" s="127">
        <v>3.41</v>
      </c>
      <c r="DH8" s="127">
        <v>3.36</v>
      </c>
      <c r="DI8" s="127">
        <v>2.72</v>
      </c>
      <c r="DJ8" s="127">
        <v>0.34</v>
      </c>
      <c r="DK8" s="127"/>
      <c r="DL8" s="127" t="s">
        <v>84</v>
      </c>
      <c r="DM8" s="127" t="s">
        <v>84</v>
      </c>
      <c r="DN8" s="127" t="s">
        <v>84</v>
      </c>
      <c r="DO8" s="127" t="s">
        <v>84</v>
      </c>
      <c r="DP8" s="127"/>
      <c r="DQ8" s="192">
        <v>0.045</v>
      </c>
      <c r="DR8" s="192">
        <v>0.0508</v>
      </c>
      <c r="DS8" s="192">
        <v>0.0489</v>
      </c>
      <c r="DT8" s="192">
        <v>0.0486</v>
      </c>
      <c r="DU8" s="192">
        <v>0.061</v>
      </c>
      <c r="DV8" s="192">
        <v>0.0628</v>
      </c>
      <c r="DW8" s="127"/>
      <c r="DX8" s="192">
        <v>0.0175</v>
      </c>
      <c r="DY8" s="192">
        <v>0.0205</v>
      </c>
      <c r="DZ8" s="192">
        <v>0.0205</v>
      </c>
      <c r="EA8" s="192">
        <v>0.0205</v>
      </c>
      <c r="EB8" s="192">
        <v>0.031</v>
      </c>
      <c r="EC8" s="192">
        <v>0.0257</v>
      </c>
      <c r="ED8" s="127"/>
      <c r="EE8" s="127">
        <v>0.39</v>
      </c>
      <c r="EF8" s="127">
        <v>0.61</v>
      </c>
      <c r="EG8" s="127">
        <v>0.54</v>
      </c>
      <c r="EH8" s="127">
        <v>0.35</v>
      </c>
      <c r="EI8" s="127">
        <v>0.58</v>
      </c>
      <c r="EJ8" s="127">
        <v>0.55</v>
      </c>
      <c r="EK8" s="127"/>
      <c r="EL8" s="127"/>
      <c r="EM8" s="127"/>
      <c r="EN8" s="127"/>
      <c r="EO8" s="127"/>
      <c r="EP8" s="127"/>
      <c r="EQ8" s="127"/>
      <c r="ER8" s="127"/>
      <c r="ES8" s="127"/>
      <c r="ET8" s="127"/>
      <c r="EU8" s="127"/>
      <c r="EV8" s="127"/>
      <c r="EW8" s="127"/>
      <c r="EX8" s="127"/>
      <c r="EY8" s="127"/>
      <c r="EZ8" s="127">
        <v>0</v>
      </c>
      <c r="FA8" s="192">
        <f t="shared" si="26"/>
        <v>0</v>
      </c>
      <c r="FB8" s="192">
        <v>0</v>
      </c>
      <c r="FC8" s="192">
        <f t="shared" si="27"/>
        <v>0</v>
      </c>
      <c r="FD8" s="192">
        <f t="shared" si="28"/>
        <v>0</v>
      </c>
      <c r="FE8" s="193">
        <f t="shared" si="29"/>
        <v>0</v>
      </c>
      <c r="FF8" s="127"/>
      <c r="FG8" s="127"/>
      <c r="FH8" s="127"/>
      <c r="FI8" s="194">
        <v>0.045</v>
      </c>
      <c r="FJ8" s="194">
        <f t="shared" si="30"/>
        <v>0</v>
      </c>
      <c r="FK8" s="196">
        <v>89.57</v>
      </c>
      <c r="FL8" s="127">
        <f t="shared" si="38"/>
        <v>13.4355</v>
      </c>
      <c r="FM8" s="196">
        <v>5.19</v>
      </c>
      <c r="FN8" s="127">
        <f t="shared" si="31"/>
        <v>0</v>
      </c>
      <c r="FO8" s="127"/>
      <c r="FP8" s="127">
        <f t="shared" si="32"/>
        <v>32.18</v>
      </c>
      <c r="FQ8" s="127">
        <f t="shared" si="33"/>
        <v>0</v>
      </c>
      <c r="FR8" s="196">
        <v>32.18</v>
      </c>
      <c r="FS8" s="127"/>
      <c r="FT8" s="127"/>
      <c r="FU8" s="127"/>
      <c r="FV8" s="127"/>
      <c r="FW8" s="127"/>
      <c r="FX8" s="127"/>
      <c r="FY8" s="127"/>
      <c r="FZ8" s="127"/>
      <c r="GA8" s="127"/>
      <c r="GB8" s="127"/>
      <c r="GC8" s="127"/>
      <c r="GD8" s="127"/>
      <c r="GE8" s="127"/>
      <c r="GF8" s="127"/>
      <c r="GG8" s="127"/>
      <c r="GH8" s="127"/>
      <c r="GI8" s="127"/>
      <c r="GJ8" s="127"/>
      <c r="GK8" s="127"/>
      <c r="GL8" s="127"/>
      <c r="GM8" s="127"/>
      <c r="GN8" s="127"/>
      <c r="GO8" s="127"/>
      <c r="GP8" s="127"/>
      <c r="GQ8" s="127"/>
      <c r="GR8" s="127"/>
      <c r="GS8" s="127"/>
      <c r="GT8" s="127"/>
      <c r="GU8" s="127"/>
      <c r="GV8" s="127"/>
      <c r="GW8" s="127"/>
      <c r="GX8" s="127"/>
      <c r="GY8" s="127"/>
      <c r="GZ8" s="127"/>
    </row>
    <row r="9" spans="1:208">
      <c r="A9" s="172">
        <v>45800</v>
      </c>
      <c r="B9" s="20" t="s">
        <v>381</v>
      </c>
      <c r="C9" s="173" t="s">
        <v>84</v>
      </c>
      <c r="D9" s="174">
        <v>139.99</v>
      </c>
      <c r="E9" s="175">
        <v>97.99</v>
      </c>
      <c r="F9" s="176">
        <v>0.3</v>
      </c>
      <c r="G9" s="176">
        <v>0.15</v>
      </c>
      <c r="H9" s="177">
        <f t="shared" si="0"/>
        <v>83.29405</v>
      </c>
      <c r="I9" s="176">
        <v>0.08</v>
      </c>
      <c r="J9" s="178">
        <v>0.06</v>
      </c>
      <c r="K9" s="20">
        <v>1</v>
      </c>
      <c r="L9" s="20">
        <v>19</v>
      </c>
      <c r="M9" s="20">
        <f t="shared" si="39"/>
        <v>20</v>
      </c>
      <c r="N9" s="176">
        <f t="shared" si="1"/>
        <v>0</v>
      </c>
      <c r="O9" s="179">
        <f t="shared" si="2"/>
        <v>0</v>
      </c>
      <c r="P9" s="179">
        <f t="shared" si="3"/>
        <v>0</v>
      </c>
      <c r="Q9" s="20">
        <v>0</v>
      </c>
      <c r="R9" s="20"/>
      <c r="S9" s="20">
        <v>0</v>
      </c>
      <c r="T9" s="20">
        <v>0</v>
      </c>
      <c r="U9" s="176">
        <v>0</v>
      </c>
      <c r="V9" s="20">
        <v>0</v>
      </c>
      <c r="W9" s="178">
        <v>0</v>
      </c>
      <c r="X9" s="174" t="s">
        <v>145</v>
      </c>
      <c r="Y9" s="174"/>
      <c r="Z9" s="174" t="s">
        <v>145</v>
      </c>
      <c r="AA9" s="174"/>
      <c r="AB9" s="174" t="s">
        <v>145</v>
      </c>
      <c r="AC9" s="174"/>
      <c r="AD9" s="174" t="s">
        <v>145</v>
      </c>
      <c r="AE9" s="174"/>
      <c r="AF9" s="174" t="s">
        <v>145</v>
      </c>
      <c r="AG9" s="174"/>
      <c r="AH9" s="174" t="s">
        <v>145</v>
      </c>
      <c r="AI9" s="174"/>
      <c r="AJ9" s="174" t="s">
        <v>145</v>
      </c>
      <c r="AK9" s="174"/>
      <c r="AL9" s="20">
        <v>23</v>
      </c>
      <c r="AM9" s="180">
        <v>315513</v>
      </c>
      <c r="AN9" s="173">
        <v>356</v>
      </c>
      <c r="AO9" s="20">
        <v>1</v>
      </c>
      <c r="AP9" s="20">
        <v>5</v>
      </c>
      <c r="AQ9" s="20"/>
      <c r="AR9" s="20"/>
      <c r="AS9" s="181">
        <v>0</v>
      </c>
      <c r="AT9" s="174">
        <v>0</v>
      </c>
      <c r="AU9" s="182">
        <f t="shared" si="4"/>
        <v>0</v>
      </c>
      <c r="AV9" s="174">
        <v>0</v>
      </c>
      <c r="AW9" s="183">
        <f t="shared" si="5"/>
        <v>0</v>
      </c>
      <c r="AX9" s="184">
        <f t="shared" si="6"/>
        <v>0</v>
      </c>
      <c r="AY9" s="176">
        <f t="shared" si="7"/>
        <v>0</v>
      </c>
      <c r="AZ9" s="185">
        <f t="shared" si="8"/>
        <v>0</v>
      </c>
      <c r="BA9" s="183">
        <v>0</v>
      </c>
      <c r="BB9" s="176">
        <f t="shared" si="9"/>
        <v>0</v>
      </c>
      <c r="BC9" s="179">
        <f t="shared" si="10"/>
        <v>0</v>
      </c>
      <c r="BD9" s="179">
        <v>0</v>
      </c>
      <c r="BE9" s="182">
        <v>0</v>
      </c>
      <c r="BF9" s="186">
        <f t="shared" si="11"/>
        <v>32.18</v>
      </c>
      <c r="BG9" s="186">
        <v>32.18</v>
      </c>
      <c r="BH9" s="187">
        <f t="shared" si="12"/>
        <v>0</v>
      </c>
      <c r="BI9" s="182">
        <f t="shared" si="13"/>
        <v>0</v>
      </c>
      <c r="BJ9" s="179">
        <f t="shared" si="14"/>
        <v>0</v>
      </c>
      <c r="BK9" s="179"/>
      <c r="BL9" s="179">
        <f t="shared" si="15"/>
        <v>0</v>
      </c>
      <c r="BM9" s="178"/>
      <c r="BN9" s="7"/>
      <c r="BO9" s="20"/>
      <c r="BP9" s="182"/>
      <c r="BQ9" s="182">
        <f t="shared" si="34"/>
        <v>0</v>
      </c>
      <c r="BR9" s="182">
        <f t="shared" si="16"/>
        <v>0</v>
      </c>
      <c r="BS9" s="182">
        <f t="shared" si="17"/>
        <v>0</v>
      </c>
      <c r="BT9" s="188">
        <f t="shared" si="18"/>
        <v>0</v>
      </c>
      <c r="BU9" s="20">
        <f t="shared" si="19"/>
        <v>20</v>
      </c>
      <c r="BV9" s="20">
        <f t="shared" si="20"/>
        <v>20</v>
      </c>
      <c r="BW9" s="185">
        <f t="shared" si="21"/>
        <v>1</v>
      </c>
      <c r="BX9" s="182">
        <f t="shared" si="22"/>
        <v>0</v>
      </c>
      <c r="BY9" s="182">
        <f t="shared" si="23"/>
        <v>0</v>
      </c>
      <c r="BZ9" s="182">
        <f t="shared" si="24"/>
        <v>0</v>
      </c>
      <c r="CA9" s="182">
        <f t="shared" si="25"/>
        <v>0</v>
      </c>
      <c r="CB9" s="189">
        <f t="shared" si="35"/>
        <v>0</v>
      </c>
      <c r="CC9" s="190">
        <f t="shared" si="36"/>
        <v>0</v>
      </c>
      <c r="CD9" s="190">
        <f t="shared" si="37"/>
        <v>0</v>
      </c>
      <c r="CE9" s="189">
        <v>0.08</v>
      </c>
      <c r="CF9" s="189">
        <v>0.08</v>
      </c>
      <c r="CG9" s="189">
        <v>0.08</v>
      </c>
      <c r="CH9" s="189">
        <v>0.08</v>
      </c>
      <c r="CI9" s="189">
        <v>0.05</v>
      </c>
      <c r="CJ9" s="189">
        <v>0.06</v>
      </c>
      <c r="CK9" s="189">
        <v>0.04</v>
      </c>
      <c r="CL9" s="191" t="s">
        <v>145</v>
      </c>
      <c r="CM9" s="191" t="s">
        <v>84</v>
      </c>
      <c r="CN9" s="191" t="s">
        <v>145</v>
      </c>
      <c r="CO9" s="191" t="s">
        <v>84</v>
      </c>
      <c r="CP9" s="191" t="s">
        <v>145</v>
      </c>
      <c r="CQ9" s="191"/>
      <c r="CR9" s="191" t="s">
        <v>145</v>
      </c>
      <c r="CS9" s="191"/>
      <c r="CT9" s="191" t="s">
        <v>145</v>
      </c>
      <c r="CU9" s="191"/>
      <c r="CV9" s="191" t="s">
        <v>145</v>
      </c>
      <c r="CW9" s="191"/>
      <c r="CX9" s="191" t="s">
        <v>145</v>
      </c>
      <c r="CY9" s="191" t="s">
        <v>145</v>
      </c>
      <c r="CZ9" s="127"/>
      <c r="DA9" s="127"/>
      <c r="DB9" s="127"/>
      <c r="DC9" s="127"/>
      <c r="DD9" s="127">
        <v>2.9</v>
      </c>
      <c r="DE9" s="127">
        <v>4.02</v>
      </c>
      <c r="DF9" s="127">
        <v>0.47</v>
      </c>
      <c r="DG9" s="127">
        <v>3.41</v>
      </c>
      <c r="DH9" s="127">
        <v>3.36</v>
      </c>
      <c r="DI9" s="127">
        <v>2.72</v>
      </c>
      <c r="DJ9" s="127">
        <v>0.34</v>
      </c>
      <c r="DK9" s="127"/>
      <c r="DL9" s="127" t="s">
        <v>84</v>
      </c>
      <c r="DM9" s="127" t="s">
        <v>84</v>
      </c>
      <c r="DN9" s="127" t="s">
        <v>84</v>
      </c>
      <c r="DO9" s="127" t="s">
        <v>84</v>
      </c>
      <c r="DP9" s="127"/>
      <c r="DQ9" s="192">
        <v>0.045</v>
      </c>
      <c r="DR9" s="192">
        <v>0.0508</v>
      </c>
      <c r="DS9" s="192">
        <v>0.0489</v>
      </c>
      <c r="DT9" s="192">
        <v>0.0486</v>
      </c>
      <c r="DU9" s="192">
        <v>0.061</v>
      </c>
      <c r="DV9" s="192">
        <v>0.0628</v>
      </c>
      <c r="DW9" s="127"/>
      <c r="DX9" s="192">
        <v>0.0175</v>
      </c>
      <c r="DY9" s="192">
        <v>0.0205</v>
      </c>
      <c r="DZ9" s="192">
        <v>0.0205</v>
      </c>
      <c r="EA9" s="192">
        <v>0.0205</v>
      </c>
      <c r="EB9" s="192">
        <v>0.031</v>
      </c>
      <c r="EC9" s="192">
        <v>0.0257</v>
      </c>
      <c r="ED9" s="127"/>
      <c r="EE9" s="127">
        <v>0.39</v>
      </c>
      <c r="EF9" s="127">
        <v>0.61</v>
      </c>
      <c r="EG9" s="127">
        <v>0.54</v>
      </c>
      <c r="EH9" s="127">
        <v>0.35</v>
      </c>
      <c r="EI9" s="127">
        <v>0.58</v>
      </c>
      <c r="EJ9" s="127">
        <v>0.55</v>
      </c>
      <c r="EK9" s="127"/>
      <c r="EL9" s="127"/>
      <c r="EM9" s="127"/>
      <c r="EN9" s="127"/>
      <c r="EO9" s="127"/>
      <c r="EP9" s="127"/>
      <c r="EQ9" s="127"/>
      <c r="ER9" s="127"/>
      <c r="ES9" s="127"/>
      <c r="ET9" s="127"/>
      <c r="EU9" s="127"/>
      <c r="EV9" s="127"/>
      <c r="EW9" s="127"/>
      <c r="EX9" s="127"/>
      <c r="EY9" s="127"/>
      <c r="EZ9" s="127">
        <v>0</v>
      </c>
      <c r="FA9" s="192">
        <f t="shared" si="26"/>
        <v>0</v>
      </c>
      <c r="FB9" s="192">
        <v>0</v>
      </c>
      <c r="FC9" s="192">
        <f t="shared" si="27"/>
        <v>0</v>
      </c>
      <c r="FD9" s="192">
        <f t="shared" si="28"/>
        <v>0</v>
      </c>
      <c r="FE9" s="193">
        <f t="shared" si="29"/>
        <v>0</v>
      </c>
      <c r="FF9" s="127"/>
      <c r="FG9" s="127"/>
      <c r="FH9" s="127"/>
      <c r="FI9" s="194">
        <v>0.045</v>
      </c>
      <c r="FJ9" s="194">
        <f t="shared" si="30"/>
        <v>0</v>
      </c>
      <c r="FK9" s="196">
        <v>89.57</v>
      </c>
      <c r="FL9" s="127">
        <f t="shared" si="38"/>
        <v>13.4355</v>
      </c>
      <c r="FM9" s="196">
        <v>5.19</v>
      </c>
      <c r="FN9" s="127">
        <f t="shared" si="31"/>
        <v>0</v>
      </c>
      <c r="FO9" s="127"/>
      <c r="FP9" s="127">
        <f t="shared" si="32"/>
        <v>32.18</v>
      </c>
      <c r="FQ9" s="127">
        <f t="shared" si="33"/>
        <v>0</v>
      </c>
      <c r="FR9" s="196">
        <v>32.18</v>
      </c>
      <c r="FS9" s="127"/>
      <c r="FT9" s="127"/>
      <c r="FU9" s="127"/>
      <c r="FV9" s="127"/>
      <c r="FW9" s="127"/>
      <c r="FX9" s="127"/>
      <c r="FY9" s="127"/>
      <c r="FZ9" s="127"/>
      <c r="GA9" s="127"/>
      <c r="GB9" s="127"/>
      <c r="GC9" s="127"/>
      <c r="GD9" s="127"/>
      <c r="GE9" s="127"/>
      <c r="GF9" s="127"/>
      <c r="GG9" s="127"/>
      <c r="GH9" s="127"/>
      <c r="GI9" s="127"/>
      <c r="GJ9" s="127"/>
      <c r="GK9" s="127"/>
      <c r="GL9" s="127"/>
      <c r="GM9" s="127"/>
      <c r="GN9" s="127"/>
      <c r="GO9" s="127"/>
      <c r="GP9" s="127"/>
      <c r="GQ9" s="127"/>
      <c r="GR9" s="127"/>
      <c r="GS9" s="127"/>
      <c r="GT9" s="127"/>
      <c r="GU9" s="127"/>
      <c r="GV9" s="127"/>
      <c r="GW9" s="127"/>
      <c r="GX9" s="127"/>
      <c r="GY9" s="127"/>
      <c r="GZ9" s="127"/>
    </row>
    <row r="10" spans="1:208">
      <c r="A10" s="172">
        <v>45801</v>
      </c>
      <c r="B10" s="20" t="s">
        <v>369</v>
      </c>
      <c r="C10" s="173" t="s">
        <v>382</v>
      </c>
      <c r="D10" s="174">
        <v>139.99</v>
      </c>
      <c r="E10" s="175">
        <v>97.99</v>
      </c>
      <c r="F10" s="176">
        <v>0.3</v>
      </c>
      <c r="G10" s="176">
        <v>0.15</v>
      </c>
      <c r="H10" s="177">
        <f t="shared" si="0"/>
        <v>83.29405</v>
      </c>
      <c r="I10" s="176">
        <v>0.08</v>
      </c>
      <c r="J10" s="178">
        <v>0.06</v>
      </c>
      <c r="K10" s="20">
        <v>2</v>
      </c>
      <c r="L10" s="20">
        <v>13</v>
      </c>
      <c r="M10" s="20">
        <f t="shared" si="39"/>
        <v>15</v>
      </c>
      <c r="N10" s="176">
        <f t="shared" si="1"/>
        <v>0</v>
      </c>
      <c r="O10" s="179">
        <f t="shared" si="2"/>
        <v>0</v>
      </c>
      <c r="P10" s="179">
        <f t="shared" si="3"/>
        <v>0</v>
      </c>
      <c r="Q10" s="174">
        <v>0</v>
      </c>
      <c r="R10" s="20"/>
      <c r="S10" s="20">
        <v>0</v>
      </c>
      <c r="T10" s="20">
        <v>0</v>
      </c>
      <c r="U10" s="176">
        <v>0</v>
      </c>
      <c r="V10" s="20">
        <v>0</v>
      </c>
      <c r="W10" s="178">
        <v>0</v>
      </c>
      <c r="X10" s="174" t="s">
        <v>145</v>
      </c>
      <c r="Y10" s="174"/>
      <c r="Z10" s="174" t="s">
        <v>145</v>
      </c>
      <c r="AA10" s="174"/>
      <c r="AB10" s="174" t="s">
        <v>145</v>
      </c>
      <c r="AC10" s="174"/>
      <c r="AD10" s="174" t="s">
        <v>145</v>
      </c>
      <c r="AE10" s="174"/>
      <c r="AF10" s="174" t="s">
        <v>145</v>
      </c>
      <c r="AG10" s="174"/>
      <c r="AH10" s="174" t="s">
        <v>145</v>
      </c>
      <c r="AI10" s="174"/>
      <c r="AJ10" s="174" t="s">
        <v>145</v>
      </c>
      <c r="AK10" s="174"/>
      <c r="AL10" s="20">
        <v>23</v>
      </c>
      <c r="AM10" s="180">
        <v>387186</v>
      </c>
      <c r="AN10" s="173">
        <v>451</v>
      </c>
      <c r="AO10" s="20">
        <v>2</v>
      </c>
      <c r="AP10" s="20">
        <v>5</v>
      </c>
      <c r="AQ10" s="20"/>
      <c r="AR10" s="20"/>
      <c r="AS10" s="181">
        <v>0</v>
      </c>
      <c r="AT10" s="174">
        <v>0</v>
      </c>
      <c r="AU10" s="182">
        <f t="shared" si="4"/>
        <v>0</v>
      </c>
      <c r="AV10" s="174">
        <v>0</v>
      </c>
      <c r="AW10" s="183">
        <f t="shared" si="5"/>
        <v>0</v>
      </c>
      <c r="AX10" s="184">
        <f t="shared" si="6"/>
        <v>0</v>
      </c>
      <c r="AY10" s="176">
        <f t="shared" si="7"/>
        <v>0</v>
      </c>
      <c r="AZ10" s="185">
        <f t="shared" si="8"/>
        <v>0</v>
      </c>
      <c r="BA10" s="183">
        <v>0</v>
      </c>
      <c r="BB10" s="176">
        <f t="shared" si="9"/>
        <v>0</v>
      </c>
      <c r="BC10" s="179">
        <f t="shared" si="10"/>
        <v>0</v>
      </c>
      <c r="BD10" s="179">
        <v>0</v>
      </c>
      <c r="BE10" s="182">
        <v>0</v>
      </c>
      <c r="BF10" s="186">
        <f t="shared" si="11"/>
        <v>32.18</v>
      </c>
      <c r="BG10" s="186">
        <v>32.18</v>
      </c>
      <c r="BH10" s="187">
        <f t="shared" si="12"/>
        <v>0</v>
      </c>
      <c r="BI10" s="182">
        <f t="shared" si="13"/>
        <v>0</v>
      </c>
      <c r="BJ10" s="179">
        <f t="shared" si="14"/>
        <v>0</v>
      </c>
      <c r="BK10" s="179"/>
      <c r="BL10" s="179">
        <f t="shared" si="15"/>
        <v>0</v>
      </c>
      <c r="BM10" s="178"/>
      <c r="BN10" s="7"/>
      <c r="BO10" s="20"/>
      <c r="BP10" s="182"/>
      <c r="BQ10" s="182">
        <f t="shared" si="34"/>
        <v>0</v>
      </c>
      <c r="BR10" s="182">
        <f t="shared" si="16"/>
        <v>0</v>
      </c>
      <c r="BS10" s="182">
        <f t="shared" si="17"/>
        <v>0</v>
      </c>
      <c r="BT10" s="188">
        <f t="shared" si="18"/>
        <v>0</v>
      </c>
      <c r="BU10" s="20">
        <f t="shared" si="19"/>
        <v>15</v>
      </c>
      <c r="BV10" s="20">
        <f t="shared" si="20"/>
        <v>15</v>
      </c>
      <c r="BW10" s="185">
        <f t="shared" si="21"/>
        <v>1</v>
      </c>
      <c r="BX10" s="182">
        <f t="shared" si="22"/>
        <v>0</v>
      </c>
      <c r="BY10" s="182">
        <f t="shared" si="23"/>
        <v>0</v>
      </c>
      <c r="BZ10" s="182">
        <f t="shared" si="24"/>
        <v>0</v>
      </c>
      <c r="CA10" s="182">
        <f t="shared" si="25"/>
        <v>0</v>
      </c>
      <c r="CB10" s="189">
        <f t="shared" si="35"/>
        <v>0</v>
      </c>
      <c r="CC10" s="190">
        <f t="shared" si="36"/>
        <v>0</v>
      </c>
      <c r="CD10" s="190">
        <f t="shared" si="37"/>
        <v>0</v>
      </c>
      <c r="CE10" s="189">
        <v>0.08</v>
      </c>
      <c r="CF10" s="189">
        <v>0.08</v>
      </c>
      <c r="CG10" s="189">
        <v>0.08</v>
      </c>
      <c r="CH10" s="189">
        <v>0.08</v>
      </c>
      <c r="CI10" s="189">
        <v>0.05</v>
      </c>
      <c r="CJ10" s="189">
        <v>0.06</v>
      </c>
      <c r="CK10" s="189">
        <v>0.04</v>
      </c>
      <c r="CL10" s="191" t="s">
        <v>145</v>
      </c>
      <c r="CM10" s="191" t="s">
        <v>84</v>
      </c>
      <c r="CN10" s="191" t="s">
        <v>145</v>
      </c>
      <c r="CO10" s="191" t="s">
        <v>84</v>
      </c>
      <c r="CP10" s="191" t="s">
        <v>145</v>
      </c>
      <c r="CQ10" s="191"/>
      <c r="CR10" s="191" t="s">
        <v>145</v>
      </c>
      <c r="CS10" s="191"/>
      <c r="CT10" s="191" t="s">
        <v>145</v>
      </c>
      <c r="CU10" s="191"/>
      <c r="CV10" s="191" t="s">
        <v>145</v>
      </c>
      <c r="CW10" s="191"/>
      <c r="CX10" s="191" t="s">
        <v>145</v>
      </c>
      <c r="CY10" s="191" t="s">
        <v>145</v>
      </c>
      <c r="CZ10" s="127"/>
      <c r="DA10" s="127"/>
      <c r="DB10" s="127"/>
      <c r="DC10" s="127"/>
      <c r="DD10" s="127">
        <v>2.9</v>
      </c>
      <c r="DE10" s="127">
        <v>4.02</v>
      </c>
      <c r="DF10" s="127">
        <v>0.47</v>
      </c>
      <c r="DG10" s="127">
        <v>3.41</v>
      </c>
      <c r="DH10" s="127">
        <v>3.36</v>
      </c>
      <c r="DI10" s="127">
        <v>2.72</v>
      </c>
      <c r="DJ10" s="127">
        <v>0.34</v>
      </c>
      <c r="DK10" s="127"/>
      <c r="DL10" s="127" t="s">
        <v>84</v>
      </c>
      <c r="DM10" s="127" t="s">
        <v>84</v>
      </c>
      <c r="DN10" s="127" t="s">
        <v>84</v>
      </c>
      <c r="DO10" s="127" t="s">
        <v>84</v>
      </c>
      <c r="DP10" s="127"/>
      <c r="DQ10" s="192">
        <v>0.045</v>
      </c>
      <c r="DR10" s="192">
        <v>0.0508</v>
      </c>
      <c r="DS10" s="192">
        <v>0.0489</v>
      </c>
      <c r="DT10" s="192">
        <v>0.0486</v>
      </c>
      <c r="DU10" s="192">
        <v>0.061</v>
      </c>
      <c r="DV10" s="192">
        <v>0.0628</v>
      </c>
      <c r="DW10" s="127"/>
      <c r="DX10" s="192">
        <v>0.0175</v>
      </c>
      <c r="DY10" s="192">
        <v>0.0205</v>
      </c>
      <c r="DZ10" s="192">
        <v>0.0205</v>
      </c>
      <c r="EA10" s="192">
        <v>0.0205</v>
      </c>
      <c r="EB10" s="192">
        <v>0.031</v>
      </c>
      <c r="EC10" s="192">
        <v>0.0257</v>
      </c>
      <c r="ED10" s="127"/>
      <c r="EE10" s="127">
        <v>0.39</v>
      </c>
      <c r="EF10" s="127">
        <v>0.61</v>
      </c>
      <c r="EG10" s="127">
        <v>0.54</v>
      </c>
      <c r="EH10" s="127">
        <v>0.35</v>
      </c>
      <c r="EI10" s="127">
        <v>0.58</v>
      </c>
      <c r="EJ10" s="127">
        <v>0.55</v>
      </c>
      <c r="EK10" s="127"/>
      <c r="EL10" s="127"/>
      <c r="EM10" s="127"/>
      <c r="EN10" s="127"/>
      <c r="EO10" s="127"/>
      <c r="EP10" s="127"/>
      <c r="EQ10" s="127"/>
      <c r="ER10" s="127"/>
      <c r="ES10" s="127"/>
      <c r="ET10" s="127"/>
      <c r="EU10" s="127"/>
      <c r="EV10" s="127"/>
      <c r="EW10" s="127"/>
      <c r="EX10" s="127"/>
      <c r="EY10" s="127"/>
      <c r="EZ10" s="127">
        <v>0</v>
      </c>
      <c r="FA10" s="192">
        <f t="shared" si="26"/>
        <v>0</v>
      </c>
      <c r="FB10" s="192">
        <v>0</v>
      </c>
      <c r="FC10" s="192">
        <f t="shared" si="27"/>
        <v>0</v>
      </c>
      <c r="FD10" s="192">
        <f t="shared" si="28"/>
        <v>0</v>
      </c>
      <c r="FE10" s="193">
        <f t="shared" si="29"/>
        <v>0</v>
      </c>
      <c r="FF10" s="127"/>
      <c r="FG10" s="127"/>
      <c r="FH10" s="127"/>
      <c r="FI10" s="194">
        <v>0.045</v>
      </c>
      <c r="FJ10" s="194">
        <f t="shared" si="30"/>
        <v>0</v>
      </c>
      <c r="FK10" s="196">
        <v>89.57</v>
      </c>
      <c r="FL10" s="127">
        <f t="shared" si="38"/>
        <v>13.4355</v>
      </c>
      <c r="FM10" s="196">
        <v>5.19</v>
      </c>
      <c r="FN10" s="127">
        <f t="shared" si="31"/>
        <v>0</v>
      </c>
      <c r="FO10" s="127"/>
      <c r="FP10" s="127">
        <f t="shared" si="32"/>
        <v>32.18</v>
      </c>
      <c r="FQ10" s="127">
        <f t="shared" si="33"/>
        <v>0</v>
      </c>
      <c r="FR10" s="196">
        <v>32.18</v>
      </c>
      <c r="FS10" s="127"/>
      <c r="FT10" s="127"/>
      <c r="FU10" s="127"/>
      <c r="FV10" s="127"/>
      <c r="FW10" s="127"/>
      <c r="FX10" s="127"/>
      <c r="FY10" s="127"/>
      <c r="FZ10" s="127"/>
      <c r="GA10" s="127"/>
      <c r="GB10" s="127"/>
      <c r="GC10" s="127"/>
      <c r="GD10" s="127"/>
      <c r="GE10" s="127"/>
      <c r="GF10" s="127"/>
      <c r="GG10" s="127"/>
      <c r="GH10" s="127"/>
      <c r="GI10" s="127"/>
      <c r="GJ10" s="127"/>
      <c r="GK10" s="127"/>
      <c r="GL10" s="127"/>
      <c r="GM10" s="127"/>
      <c r="GN10" s="127"/>
      <c r="GO10" s="127"/>
      <c r="GP10" s="127"/>
      <c r="GQ10" s="127"/>
      <c r="GR10" s="127"/>
      <c r="GS10" s="127"/>
      <c r="GT10" s="127"/>
      <c r="GU10" s="127"/>
      <c r="GV10" s="127"/>
      <c r="GW10" s="127"/>
      <c r="GX10" s="127"/>
      <c r="GY10" s="127"/>
      <c r="GZ10" s="127"/>
    </row>
    <row r="11" spans="1:208">
      <c r="A11" s="172">
        <v>45802</v>
      </c>
      <c r="B11" s="20" t="s">
        <v>371</v>
      </c>
      <c r="C11" s="173" t="s">
        <v>383</v>
      </c>
      <c r="D11" s="174">
        <v>139.99</v>
      </c>
      <c r="E11" s="175">
        <v>97.99</v>
      </c>
      <c r="F11" s="176">
        <v>0.3</v>
      </c>
      <c r="G11" s="176">
        <v>0.15</v>
      </c>
      <c r="H11" s="177">
        <f t="shared" si="0"/>
        <v>83.29405</v>
      </c>
      <c r="I11" s="176">
        <v>0.08</v>
      </c>
      <c r="J11" s="178">
        <v>0.06</v>
      </c>
      <c r="K11" s="20">
        <v>4</v>
      </c>
      <c r="L11" s="20">
        <v>6</v>
      </c>
      <c r="M11" s="20">
        <f t="shared" si="39"/>
        <v>10</v>
      </c>
      <c r="N11" s="176">
        <f t="shared" si="1"/>
        <v>0</v>
      </c>
      <c r="O11" s="179">
        <f t="shared" si="2"/>
        <v>0</v>
      </c>
      <c r="P11" s="179">
        <f t="shared" si="3"/>
        <v>0</v>
      </c>
      <c r="Q11" s="174">
        <v>0</v>
      </c>
      <c r="R11" s="20"/>
      <c r="S11" s="20">
        <v>0</v>
      </c>
      <c r="T11" s="20">
        <v>0</v>
      </c>
      <c r="U11" s="176">
        <v>0</v>
      </c>
      <c r="V11" s="20">
        <v>0</v>
      </c>
      <c r="W11" s="178">
        <v>0</v>
      </c>
      <c r="X11" s="174" t="s">
        <v>145</v>
      </c>
      <c r="Y11" s="174"/>
      <c r="Z11" s="174" t="s">
        <v>145</v>
      </c>
      <c r="AA11" s="174"/>
      <c r="AB11" s="174" t="s">
        <v>145</v>
      </c>
      <c r="AC11" s="174"/>
      <c r="AD11" s="174" t="s">
        <v>145</v>
      </c>
      <c r="AE11" s="174"/>
      <c r="AF11" s="174" t="s">
        <v>145</v>
      </c>
      <c r="AG11" s="174"/>
      <c r="AH11" s="174" t="s">
        <v>145</v>
      </c>
      <c r="AI11" s="174"/>
      <c r="AJ11" s="174" t="s">
        <v>145</v>
      </c>
      <c r="AK11" s="174"/>
      <c r="AL11" s="20">
        <v>23</v>
      </c>
      <c r="AM11" s="180">
        <v>438160</v>
      </c>
      <c r="AN11" s="173">
        <v>510</v>
      </c>
      <c r="AO11" s="20">
        <v>2</v>
      </c>
      <c r="AP11" s="20">
        <v>5</v>
      </c>
      <c r="AQ11" s="20"/>
      <c r="AR11" s="20"/>
      <c r="AS11" s="181">
        <v>0</v>
      </c>
      <c r="AT11" s="174">
        <v>0</v>
      </c>
      <c r="AU11" s="182">
        <f t="shared" si="4"/>
        <v>0</v>
      </c>
      <c r="AV11" s="174">
        <v>0</v>
      </c>
      <c r="AW11" s="183">
        <f t="shared" si="5"/>
        <v>0</v>
      </c>
      <c r="AX11" s="184">
        <f t="shared" si="6"/>
        <v>0</v>
      </c>
      <c r="AY11" s="176">
        <f t="shared" si="7"/>
        <v>0</v>
      </c>
      <c r="AZ11" s="185">
        <f t="shared" si="8"/>
        <v>0</v>
      </c>
      <c r="BA11" s="183">
        <v>0</v>
      </c>
      <c r="BB11" s="176">
        <f t="shared" si="9"/>
        <v>0</v>
      </c>
      <c r="BC11" s="179">
        <f t="shared" si="10"/>
        <v>0</v>
      </c>
      <c r="BD11" s="179">
        <v>0</v>
      </c>
      <c r="BE11" s="182">
        <v>0</v>
      </c>
      <c r="BF11" s="186">
        <f t="shared" si="11"/>
        <v>32.18</v>
      </c>
      <c r="BG11" s="186">
        <v>32.18</v>
      </c>
      <c r="BH11" s="187">
        <f t="shared" si="12"/>
        <v>0</v>
      </c>
      <c r="BI11" s="182">
        <f t="shared" si="13"/>
        <v>0</v>
      </c>
      <c r="BJ11" s="179">
        <f t="shared" si="14"/>
        <v>0</v>
      </c>
      <c r="BK11" s="179"/>
      <c r="BL11" s="179">
        <f t="shared" si="15"/>
        <v>0</v>
      </c>
      <c r="BM11" s="178"/>
      <c r="BN11" s="7"/>
      <c r="BO11" s="20"/>
      <c r="BP11" s="182"/>
      <c r="BQ11" s="182">
        <f t="shared" si="34"/>
        <v>0</v>
      </c>
      <c r="BR11" s="182">
        <f t="shared" si="16"/>
        <v>0</v>
      </c>
      <c r="BS11" s="182">
        <f t="shared" si="17"/>
        <v>0</v>
      </c>
      <c r="BT11" s="188">
        <f t="shared" si="18"/>
        <v>0</v>
      </c>
      <c r="BU11" s="20">
        <f t="shared" si="19"/>
        <v>10</v>
      </c>
      <c r="BV11" s="20">
        <f t="shared" si="20"/>
        <v>10</v>
      </c>
      <c r="BW11" s="185">
        <f t="shared" si="21"/>
        <v>1</v>
      </c>
      <c r="BX11" s="182">
        <f t="shared" si="22"/>
        <v>0</v>
      </c>
      <c r="BY11" s="182">
        <f t="shared" si="23"/>
        <v>0</v>
      </c>
      <c r="BZ11" s="182">
        <f t="shared" si="24"/>
        <v>0</v>
      </c>
      <c r="CA11" s="182">
        <f t="shared" si="25"/>
        <v>0</v>
      </c>
      <c r="CB11" s="189">
        <f t="shared" si="35"/>
        <v>0</v>
      </c>
      <c r="CC11" s="190">
        <f t="shared" si="36"/>
        <v>0</v>
      </c>
      <c r="CD11" s="190">
        <f t="shared" si="37"/>
        <v>0</v>
      </c>
      <c r="CE11" s="189">
        <v>0.08</v>
      </c>
      <c r="CF11" s="189">
        <v>0.08</v>
      </c>
      <c r="CG11" s="189">
        <v>0.08</v>
      </c>
      <c r="CH11" s="189">
        <v>0.08</v>
      </c>
      <c r="CI11" s="189">
        <v>0.05</v>
      </c>
      <c r="CJ11" s="189">
        <v>0.06</v>
      </c>
      <c r="CK11" s="189">
        <v>0.04</v>
      </c>
      <c r="CL11" s="191" t="s">
        <v>145</v>
      </c>
      <c r="CM11" s="191" t="s">
        <v>84</v>
      </c>
      <c r="CN11" s="191" t="s">
        <v>145</v>
      </c>
      <c r="CO11" s="191" t="s">
        <v>84</v>
      </c>
      <c r="CP11" s="191" t="s">
        <v>145</v>
      </c>
      <c r="CQ11" s="191"/>
      <c r="CR11" s="191" t="s">
        <v>145</v>
      </c>
      <c r="CS11" s="191"/>
      <c r="CT11" s="191" t="s">
        <v>145</v>
      </c>
      <c r="CU11" s="191"/>
      <c r="CV11" s="191" t="s">
        <v>145</v>
      </c>
      <c r="CW11" s="191"/>
      <c r="CX11" s="191" t="s">
        <v>145</v>
      </c>
      <c r="CY11" s="191" t="s">
        <v>145</v>
      </c>
      <c r="CZ11" s="127"/>
      <c r="DA11" s="127"/>
      <c r="DB11" s="127"/>
      <c r="DC11" s="127"/>
      <c r="DD11" s="127">
        <v>2.9</v>
      </c>
      <c r="DE11" s="127">
        <v>4.02</v>
      </c>
      <c r="DF11" s="127">
        <v>0.47</v>
      </c>
      <c r="DG11" s="127">
        <v>3.41</v>
      </c>
      <c r="DH11" s="127">
        <v>3.36</v>
      </c>
      <c r="DI11" s="127">
        <v>2.72</v>
      </c>
      <c r="DJ11" s="127">
        <v>0.34</v>
      </c>
      <c r="DK11" s="127"/>
      <c r="DL11" s="127" t="s">
        <v>84</v>
      </c>
      <c r="DM11" s="127" t="s">
        <v>84</v>
      </c>
      <c r="DN11" s="127" t="s">
        <v>84</v>
      </c>
      <c r="DO11" s="127" t="s">
        <v>84</v>
      </c>
      <c r="DP11" s="127"/>
      <c r="DQ11" s="192">
        <v>0.045</v>
      </c>
      <c r="DR11" s="192">
        <v>0.0508</v>
      </c>
      <c r="DS11" s="192">
        <v>0.0489</v>
      </c>
      <c r="DT11" s="192">
        <v>0.0486</v>
      </c>
      <c r="DU11" s="192">
        <v>0.061</v>
      </c>
      <c r="DV11" s="192">
        <v>0.0628</v>
      </c>
      <c r="DW11" s="127"/>
      <c r="DX11" s="192">
        <v>0.0175</v>
      </c>
      <c r="DY11" s="192">
        <v>0.0205</v>
      </c>
      <c r="DZ11" s="192">
        <v>0.0205</v>
      </c>
      <c r="EA11" s="192">
        <v>0.0205</v>
      </c>
      <c r="EB11" s="192">
        <v>0.031</v>
      </c>
      <c r="EC11" s="192">
        <v>0.0257</v>
      </c>
      <c r="ED11" s="127"/>
      <c r="EE11" s="127">
        <v>0.39</v>
      </c>
      <c r="EF11" s="127">
        <v>0.61</v>
      </c>
      <c r="EG11" s="127">
        <v>0.54</v>
      </c>
      <c r="EH11" s="127">
        <v>0.35</v>
      </c>
      <c r="EI11" s="127">
        <v>0.58</v>
      </c>
      <c r="EJ11" s="127">
        <v>0.55</v>
      </c>
      <c r="EK11" s="127"/>
      <c r="EL11" s="127"/>
      <c r="EM11" s="127"/>
      <c r="EN11" s="127"/>
      <c r="EO11" s="127"/>
      <c r="EP11" s="127"/>
      <c r="EQ11" s="127"/>
      <c r="ER11" s="127"/>
      <c r="ES11" s="127"/>
      <c r="ET11" s="127"/>
      <c r="EU11" s="127"/>
      <c r="EV11" s="127"/>
      <c r="EW11" s="127"/>
      <c r="EX11" s="127"/>
      <c r="EY11" s="127"/>
      <c r="EZ11" s="127">
        <v>0</v>
      </c>
      <c r="FA11" s="192">
        <f t="shared" si="26"/>
        <v>0</v>
      </c>
      <c r="FB11" s="192">
        <v>0</v>
      </c>
      <c r="FC11" s="192">
        <f t="shared" si="27"/>
        <v>0</v>
      </c>
      <c r="FD11" s="192">
        <f t="shared" si="28"/>
        <v>0</v>
      </c>
      <c r="FE11" s="193">
        <f t="shared" si="29"/>
        <v>0</v>
      </c>
      <c r="FF11" s="127"/>
      <c r="FG11" s="127"/>
      <c r="FH11" s="127"/>
      <c r="FI11" s="194">
        <v>0.045</v>
      </c>
      <c r="FJ11" s="194">
        <f t="shared" si="30"/>
        <v>0</v>
      </c>
      <c r="FK11" s="196">
        <v>89.57</v>
      </c>
      <c r="FL11" s="127">
        <f t="shared" si="38"/>
        <v>13.4355</v>
      </c>
      <c r="FM11" s="196">
        <v>5.19</v>
      </c>
      <c r="FN11" s="127">
        <f t="shared" si="31"/>
        <v>0</v>
      </c>
      <c r="FO11" s="127"/>
      <c r="FP11" s="127">
        <f t="shared" si="32"/>
        <v>32.18</v>
      </c>
      <c r="FQ11" s="127">
        <f t="shared" si="33"/>
        <v>0</v>
      </c>
      <c r="FR11" s="196">
        <v>32.18</v>
      </c>
      <c r="FS11" s="127"/>
      <c r="FT11" s="127"/>
      <c r="FU11" s="127"/>
      <c r="FV11" s="127"/>
      <c r="FW11" s="127"/>
      <c r="FX11" s="127"/>
      <c r="FY11" s="127"/>
      <c r="FZ11" s="127"/>
      <c r="GA11" s="127"/>
      <c r="GB11" s="127"/>
      <c r="GC11" s="127"/>
      <c r="GD11" s="127"/>
      <c r="GE11" s="127"/>
      <c r="GF11" s="127"/>
      <c r="GG11" s="127"/>
      <c r="GH11" s="127"/>
      <c r="GI11" s="127"/>
      <c r="GJ11" s="127"/>
      <c r="GK11" s="127"/>
      <c r="GL11" s="127"/>
      <c r="GM11" s="127"/>
      <c r="GN11" s="127"/>
      <c r="GO11" s="127"/>
      <c r="GP11" s="127"/>
      <c r="GQ11" s="127"/>
      <c r="GR11" s="127"/>
      <c r="GS11" s="127"/>
      <c r="GT11" s="127"/>
      <c r="GU11" s="127"/>
      <c r="GV11" s="127"/>
      <c r="GW11" s="127"/>
      <c r="GX11" s="127"/>
      <c r="GY11" s="127"/>
      <c r="GZ11" s="127"/>
    </row>
    <row r="12" spans="1:208">
      <c r="A12" s="172">
        <v>45803</v>
      </c>
      <c r="B12" s="20" t="s">
        <v>373</v>
      </c>
      <c r="C12" s="173" t="s">
        <v>384</v>
      </c>
      <c r="D12" s="174">
        <v>139.99</v>
      </c>
      <c r="E12" s="175">
        <v>97.99</v>
      </c>
      <c r="F12" s="176">
        <v>0.3</v>
      </c>
      <c r="G12" s="176">
        <v>0.15</v>
      </c>
      <c r="H12" s="177">
        <f t="shared" si="0"/>
        <v>83.29405</v>
      </c>
      <c r="I12" s="176">
        <v>0.08</v>
      </c>
      <c r="J12" s="178">
        <v>0.06</v>
      </c>
      <c r="K12" s="20">
        <v>3</v>
      </c>
      <c r="L12" s="20">
        <v>14</v>
      </c>
      <c r="M12" s="20">
        <f t="shared" si="39"/>
        <v>17</v>
      </c>
      <c r="N12" s="176">
        <f t="shared" si="1"/>
        <v>0.0588235294117647</v>
      </c>
      <c r="O12" s="179">
        <f t="shared" si="2"/>
        <v>0</v>
      </c>
      <c r="P12" s="179">
        <f t="shared" si="3"/>
        <v>0</v>
      </c>
      <c r="Q12" s="20">
        <v>1</v>
      </c>
      <c r="R12" s="20"/>
      <c r="S12" s="20">
        <v>1</v>
      </c>
      <c r="T12" s="20">
        <v>1</v>
      </c>
      <c r="U12" s="176">
        <v>1</v>
      </c>
      <c r="V12" s="20">
        <v>0</v>
      </c>
      <c r="W12" s="178">
        <v>136.49</v>
      </c>
      <c r="X12" s="174" t="s">
        <v>145</v>
      </c>
      <c r="Y12" s="174"/>
      <c r="Z12" s="174" t="s">
        <v>145</v>
      </c>
      <c r="AA12" s="174"/>
      <c r="AB12" s="174" t="s">
        <v>145</v>
      </c>
      <c r="AC12" s="174"/>
      <c r="AD12" s="174" t="s">
        <v>145</v>
      </c>
      <c r="AE12" s="174"/>
      <c r="AF12" s="174" t="s">
        <v>145</v>
      </c>
      <c r="AG12" s="174"/>
      <c r="AH12" s="174" t="s">
        <v>145</v>
      </c>
      <c r="AI12" s="174"/>
      <c r="AJ12" s="174" t="s">
        <v>145</v>
      </c>
      <c r="AK12" s="174"/>
      <c r="AL12" s="20">
        <v>23</v>
      </c>
      <c r="AM12" s="180">
        <v>534725</v>
      </c>
      <c r="AN12" s="173">
        <v>644</v>
      </c>
      <c r="AO12" s="20">
        <v>3</v>
      </c>
      <c r="AP12" s="20">
        <v>5</v>
      </c>
      <c r="AQ12" s="20"/>
      <c r="AR12" s="20"/>
      <c r="AS12" s="181">
        <v>0</v>
      </c>
      <c r="AT12" s="174">
        <v>0</v>
      </c>
      <c r="AU12" s="182">
        <f t="shared" si="4"/>
        <v>0</v>
      </c>
      <c r="AV12" s="174">
        <v>0</v>
      </c>
      <c r="AW12" s="183">
        <f t="shared" si="5"/>
        <v>0</v>
      </c>
      <c r="AX12" s="184">
        <f t="shared" si="6"/>
        <v>0</v>
      </c>
      <c r="AY12" s="176">
        <f t="shared" si="7"/>
        <v>0</v>
      </c>
      <c r="AZ12" s="185">
        <f t="shared" si="8"/>
        <v>0</v>
      </c>
      <c r="BA12" s="183">
        <v>0</v>
      </c>
      <c r="BB12" s="176">
        <f t="shared" si="9"/>
        <v>0</v>
      </c>
      <c r="BC12" s="179">
        <f t="shared" si="10"/>
        <v>0</v>
      </c>
      <c r="BD12" s="179">
        <v>0</v>
      </c>
      <c r="BE12" s="182">
        <v>0</v>
      </c>
      <c r="BF12" s="186">
        <f t="shared" si="11"/>
        <v>32.18</v>
      </c>
      <c r="BG12" s="186">
        <v>32.18</v>
      </c>
      <c r="BH12" s="187">
        <f t="shared" si="12"/>
        <v>-21.58</v>
      </c>
      <c r="BI12" s="182">
        <f t="shared" si="13"/>
        <v>-0.158106821012528</v>
      </c>
      <c r="BJ12" s="179">
        <f t="shared" si="14"/>
        <v>145</v>
      </c>
      <c r="BK12" s="179"/>
      <c r="BL12" s="179">
        <f t="shared" si="15"/>
        <v>21.58</v>
      </c>
      <c r="BM12" s="178"/>
      <c r="BN12" s="7"/>
      <c r="BO12" s="20"/>
      <c r="BP12" s="182"/>
      <c r="BQ12" s="182">
        <f t="shared" si="34"/>
        <v>0</v>
      </c>
      <c r="BR12" s="182">
        <f t="shared" si="16"/>
        <v>0</v>
      </c>
      <c r="BS12" s="182">
        <f t="shared" si="17"/>
        <v>0</v>
      </c>
      <c r="BT12" s="188">
        <f t="shared" si="18"/>
        <v>0</v>
      </c>
      <c r="BU12" s="20">
        <f t="shared" si="19"/>
        <v>17</v>
      </c>
      <c r="BV12" s="20">
        <f t="shared" si="20"/>
        <v>17</v>
      </c>
      <c r="BW12" s="185">
        <f t="shared" si="21"/>
        <v>1</v>
      </c>
      <c r="BX12" s="182">
        <f t="shared" si="22"/>
        <v>0</v>
      </c>
      <c r="BY12" s="182">
        <f t="shared" si="23"/>
        <v>0</v>
      </c>
      <c r="BZ12" s="182">
        <f t="shared" si="24"/>
        <v>0</v>
      </c>
      <c r="CA12" s="182">
        <f t="shared" si="25"/>
        <v>0</v>
      </c>
      <c r="CB12" s="189">
        <f t="shared" si="35"/>
        <v>0</v>
      </c>
      <c r="CC12" s="190">
        <f t="shared" si="36"/>
        <v>0.0588235294117647</v>
      </c>
      <c r="CD12" s="190">
        <f t="shared" si="37"/>
        <v>0</v>
      </c>
      <c r="CE12" s="189">
        <v>0.08</v>
      </c>
      <c r="CF12" s="189">
        <v>0.08</v>
      </c>
      <c r="CG12" s="189">
        <v>0.08</v>
      </c>
      <c r="CH12" s="189">
        <v>0.08</v>
      </c>
      <c r="CI12" s="189">
        <v>0.05</v>
      </c>
      <c r="CJ12" s="189">
        <v>0.06</v>
      </c>
      <c r="CK12" s="189">
        <v>0.04</v>
      </c>
      <c r="CL12" s="191" t="s">
        <v>145</v>
      </c>
      <c r="CM12" s="191" t="s">
        <v>84</v>
      </c>
      <c r="CN12" s="191" t="s">
        <v>145</v>
      </c>
      <c r="CO12" s="191" t="s">
        <v>84</v>
      </c>
      <c r="CP12" s="191" t="s">
        <v>145</v>
      </c>
      <c r="CQ12" s="191"/>
      <c r="CR12" s="191" t="s">
        <v>145</v>
      </c>
      <c r="CS12" s="191"/>
      <c r="CT12" s="191" t="s">
        <v>145</v>
      </c>
      <c r="CU12" s="191"/>
      <c r="CV12" s="191" t="s">
        <v>145</v>
      </c>
      <c r="CW12" s="191"/>
      <c r="CX12" s="191" t="s">
        <v>145</v>
      </c>
      <c r="CY12" s="191" t="s">
        <v>145</v>
      </c>
      <c r="CZ12" s="127"/>
      <c r="DA12" s="127"/>
      <c r="DB12" s="127"/>
      <c r="DC12" s="127"/>
      <c r="DD12" s="127">
        <v>2.9</v>
      </c>
      <c r="DE12" s="127">
        <v>4.02</v>
      </c>
      <c r="DF12" s="127">
        <v>0.47</v>
      </c>
      <c r="DG12" s="127">
        <v>3.41</v>
      </c>
      <c r="DH12" s="127">
        <v>3.36</v>
      </c>
      <c r="DI12" s="127">
        <v>2.72</v>
      </c>
      <c r="DJ12" s="127">
        <v>0.34</v>
      </c>
      <c r="DK12" s="127"/>
      <c r="DL12" s="127" t="s">
        <v>84</v>
      </c>
      <c r="DM12" s="127" t="s">
        <v>84</v>
      </c>
      <c r="DN12" s="127" t="s">
        <v>84</v>
      </c>
      <c r="DO12" s="127" t="s">
        <v>84</v>
      </c>
      <c r="DP12" s="127"/>
      <c r="DQ12" s="192">
        <v>0.045</v>
      </c>
      <c r="DR12" s="192">
        <v>0.0508</v>
      </c>
      <c r="DS12" s="192">
        <v>0.0489</v>
      </c>
      <c r="DT12" s="192">
        <v>0.0486</v>
      </c>
      <c r="DU12" s="192">
        <v>0.061</v>
      </c>
      <c r="DV12" s="192">
        <v>0.0628</v>
      </c>
      <c r="DW12" s="127"/>
      <c r="DX12" s="192">
        <v>0.0175</v>
      </c>
      <c r="DY12" s="192">
        <v>0.0205</v>
      </c>
      <c r="DZ12" s="192">
        <v>0.0205</v>
      </c>
      <c r="EA12" s="192">
        <v>0.0205</v>
      </c>
      <c r="EB12" s="192">
        <v>0.031</v>
      </c>
      <c r="EC12" s="192">
        <v>0.0257</v>
      </c>
      <c r="ED12" s="127"/>
      <c r="EE12" s="127">
        <v>0.39</v>
      </c>
      <c r="EF12" s="127">
        <v>0.61</v>
      </c>
      <c r="EG12" s="127">
        <v>0.54</v>
      </c>
      <c r="EH12" s="127">
        <v>0.35</v>
      </c>
      <c r="EI12" s="127">
        <v>0.58</v>
      </c>
      <c r="EJ12" s="127">
        <v>0.55</v>
      </c>
      <c r="EK12" s="127"/>
      <c r="EL12" s="127"/>
      <c r="EM12" s="127"/>
      <c r="EN12" s="127"/>
      <c r="EO12" s="127"/>
      <c r="EP12" s="127"/>
      <c r="EQ12" s="127"/>
      <c r="ER12" s="127"/>
      <c r="ES12" s="127"/>
      <c r="ET12" s="127"/>
      <c r="EU12" s="127"/>
      <c r="EV12" s="127"/>
      <c r="EW12" s="127"/>
      <c r="EX12" s="127"/>
      <c r="EY12" s="127"/>
      <c r="EZ12" s="127">
        <v>0</v>
      </c>
      <c r="FA12" s="192">
        <f t="shared" si="26"/>
        <v>0</v>
      </c>
      <c r="FB12" s="192">
        <v>0</v>
      </c>
      <c r="FC12" s="192">
        <f t="shared" si="27"/>
        <v>0.0588235294117647</v>
      </c>
      <c r="FD12" s="192">
        <f t="shared" si="28"/>
        <v>0</v>
      </c>
      <c r="FE12" s="193">
        <f t="shared" si="29"/>
        <v>0</v>
      </c>
      <c r="FF12" s="127"/>
      <c r="FG12" s="127"/>
      <c r="FH12" s="127"/>
      <c r="FI12" s="194">
        <v>0.045</v>
      </c>
      <c r="FJ12" s="194">
        <f t="shared" si="30"/>
        <v>0.0588235294117647</v>
      </c>
      <c r="FK12" s="196">
        <v>89.57</v>
      </c>
      <c r="FL12" s="127">
        <f t="shared" si="38"/>
        <v>13.4355</v>
      </c>
      <c r="FM12" s="196">
        <v>5.19</v>
      </c>
      <c r="FN12" s="127">
        <f t="shared" si="31"/>
        <v>0</v>
      </c>
      <c r="FO12" s="127"/>
      <c r="FP12" s="127">
        <f t="shared" si="32"/>
        <v>32.18</v>
      </c>
      <c r="FQ12" s="127">
        <f t="shared" si="33"/>
        <v>-21.58</v>
      </c>
      <c r="FR12" s="196">
        <v>32.18</v>
      </c>
      <c r="FS12" s="127"/>
      <c r="FT12" s="127"/>
      <c r="FU12" s="127"/>
      <c r="FV12" s="127"/>
      <c r="FW12" s="127"/>
      <c r="FX12" s="127"/>
      <c r="FY12" s="127"/>
      <c r="FZ12" s="127"/>
      <c r="GA12" s="127"/>
      <c r="GB12" s="127"/>
      <c r="GC12" s="127"/>
      <c r="GD12" s="127"/>
      <c r="GE12" s="127"/>
      <c r="GF12" s="127"/>
      <c r="GG12" s="127"/>
      <c r="GH12" s="127"/>
      <c r="GI12" s="127"/>
      <c r="GJ12" s="127"/>
      <c r="GK12" s="127"/>
      <c r="GL12" s="127"/>
      <c r="GM12" s="127"/>
      <c r="GN12" s="127"/>
      <c r="GO12" s="127"/>
      <c r="GP12" s="127"/>
      <c r="GQ12" s="127"/>
      <c r="GR12" s="127"/>
      <c r="GS12" s="127"/>
      <c r="GT12" s="127"/>
      <c r="GU12" s="127"/>
      <c r="GV12" s="127"/>
      <c r="GW12" s="127"/>
      <c r="GX12" s="127"/>
      <c r="GY12" s="127"/>
      <c r="GZ12" s="127"/>
    </row>
    <row r="13" spans="1:208">
      <c r="A13" s="172">
        <v>45804</v>
      </c>
      <c r="B13" s="20" t="s">
        <v>375</v>
      </c>
      <c r="C13" s="173" t="s">
        <v>385</v>
      </c>
      <c r="D13" s="174">
        <v>139.99</v>
      </c>
      <c r="E13" s="175">
        <v>139.99</v>
      </c>
      <c r="F13" s="176">
        <v>0.3</v>
      </c>
      <c r="G13" s="176">
        <v>0.15</v>
      </c>
      <c r="H13" s="177">
        <f t="shared" si="0"/>
        <v>83.29405</v>
      </c>
      <c r="I13" s="176">
        <v>0.08</v>
      </c>
      <c r="J13" s="178">
        <v>0.06</v>
      </c>
      <c r="K13" s="20">
        <v>2</v>
      </c>
      <c r="L13" s="20">
        <v>6</v>
      </c>
      <c r="M13" s="20">
        <f t="shared" si="39"/>
        <v>8</v>
      </c>
      <c r="N13" s="176">
        <f t="shared" si="1"/>
        <v>0.125</v>
      </c>
      <c r="O13" s="179">
        <f t="shared" si="2"/>
        <v>0</v>
      </c>
      <c r="P13" s="179">
        <f t="shared" si="3"/>
        <v>0</v>
      </c>
      <c r="Q13" s="174">
        <v>1</v>
      </c>
      <c r="R13" s="20"/>
      <c r="S13" s="20">
        <v>1</v>
      </c>
      <c r="T13" s="20">
        <v>1</v>
      </c>
      <c r="U13" s="176">
        <v>1</v>
      </c>
      <c r="V13" s="20">
        <v>0</v>
      </c>
      <c r="W13" s="178">
        <v>136.49</v>
      </c>
      <c r="X13" s="174" t="s">
        <v>145</v>
      </c>
      <c r="Y13" s="174"/>
      <c r="Z13" s="174" t="s">
        <v>145</v>
      </c>
      <c r="AA13" s="174"/>
      <c r="AB13" s="174" t="s">
        <v>145</v>
      </c>
      <c r="AC13" s="174"/>
      <c r="AD13" s="174" t="s">
        <v>145</v>
      </c>
      <c r="AE13" s="174"/>
      <c r="AF13" s="174" t="s">
        <v>145</v>
      </c>
      <c r="AG13" s="174"/>
      <c r="AH13" s="174" t="s">
        <v>145</v>
      </c>
      <c r="AI13" s="174"/>
      <c r="AJ13" s="174" t="s">
        <v>145</v>
      </c>
      <c r="AK13" s="174"/>
      <c r="AL13" s="20">
        <v>23</v>
      </c>
      <c r="AM13" s="180">
        <v>213840</v>
      </c>
      <c r="AN13" s="173">
        <v>263</v>
      </c>
      <c r="AO13" s="20">
        <v>3</v>
      </c>
      <c r="AP13" s="20">
        <v>5</v>
      </c>
      <c r="AQ13" s="20"/>
      <c r="AR13" s="20"/>
      <c r="AS13" s="181">
        <v>0</v>
      </c>
      <c r="AT13" s="174">
        <v>0</v>
      </c>
      <c r="AU13" s="182">
        <f t="shared" si="4"/>
        <v>0</v>
      </c>
      <c r="AV13" s="174">
        <v>0</v>
      </c>
      <c r="AW13" s="183">
        <f t="shared" si="5"/>
        <v>0</v>
      </c>
      <c r="AX13" s="184">
        <f t="shared" si="6"/>
        <v>0</v>
      </c>
      <c r="AY13" s="176">
        <f t="shared" si="7"/>
        <v>0</v>
      </c>
      <c r="AZ13" s="185">
        <f t="shared" si="8"/>
        <v>0</v>
      </c>
      <c r="BA13" s="183">
        <v>0</v>
      </c>
      <c r="BB13" s="176">
        <f t="shared" si="9"/>
        <v>0</v>
      </c>
      <c r="BC13" s="179">
        <f t="shared" si="10"/>
        <v>0</v>
      </c>
      <c r="BD13" s="179">
        <v>0</v>
      </c>
      <c r="BE13" s="182">
        <v>0</v>
      </c>
      <c r="BF13" s="186">
        <f t="shared" si="11"/>
        <v>32.18</v>
      </c>
      <c r="BG13" s="186">
        <v>32.18</v>
      </c>
      <c r="BH13" s="187">
        <f t="shared" si="12"/>
        <v>-21.58</v>
      </c>
      <c r="BI13" s="182">
        <f t="shared" si="13"/>
        <v>-0.158106821012528</v>
      </c>
      <c r="BJ13" s="179">
        <f t="shared" si="14"/>
        <v>145</v>
      </c>
      <c r="BK13" s="179"/>
      <c r="BL13" s="179">
        <f t="shared" si="15"/>
        <v>21.58</v>
      </c>
      <c r="BM13" s="178"/>
      <c r="BN13" s="7"/>
      <c r="BO13" s="20"/>
      <c r="BP13" s="182"/>
      <c r="BQ13" s="182">
        <f t="shared" si="34"/>
        <v>0</v>
      </c>
      <c r="BR13" s="182">
        <f t="shared" si="16"/>
        <v>0</v>
      </c>
      <c r="BS13" s="182">
        <f t="shared" si="17"/>
        <v>0</v>
      </c>
      <c r="BT13" s="188">
        <f t="shared" si="18"/>
        <v>0</v>
      </c>
      <c r="BU13" s="20">
        <f t="shared" si="19"/>
        <v>8</v>
      </c>
      <c r="BV13" s="20">
        <f t="shared" si="20"/>
        <v>8</v>
      </c>
      <c r="BW13" s="185">
        <f t="shared" si="21"/>
        <v>1</v>
      </c>
      <c r="BX13" s="182">
        <f t="shared" si="22"/>
        <v>0</v>
      </c>
      <c r="BY13" s="182">
        <f t="shared" si="23"/>
        <v>0</v>
      </c>
      <c r="BZ13" s="182">
        <f t="shared" si="24"/>
        <v>0</v>
      </c>
      <c r="CA13" s="182">
        <f t="shared" si="25"/>
        <v>0</v>
      </c>
      <c r="CB13" s="189">
        <f t="shared" si="35"/>
        <v>0</v>
      </c>
      <c r="CC13" s="190">
        <f t="shared" si="36"/>
        <v>0.125</v>
      </c>
      <c r="CD13" s="190">
        <f t="shared" si="37"/>
        <v>0</v>
      </c>
      <c r="CE13" s="189">
        <v>0.08</v>
      </c>
      <c r="CF13" s="189">
        <v>0.08</v>
      </c>
      <c r="CG13" s="189">
        <v>0.08</v>
      </c>
      <c r="CH13" s="189">
        <v>0.08</v>
      </c>
      <c r="CI13" s="189">
        <v>0.05</v>
      </c>
      <c r="CJ13" s="189">
        <v>0.06</v>
      </c>
      <c r="CK13" s="189">
        <v>0.04</v>
      </c>
      <c r="CL13" s="191" t="s">
        <v>145</v>
      </c>
      <c r="CM13" s="191" t="s">
        <v>84</v>
      </c>
      <c r="CN13" s="191" t="s">
        <v>145</v>
      </c>
      <c r="CO13" s="191" t="s">
        <v>84</v>
      </c>
      <c r="CP13" s="191" t="s">
        <v>145</v>
      </c>
      <c r="CQ13" s="191"/>
      <c r="CR13" s="191" t="s">
        <v>145</v>
      </c>
      <c r="CS13" s="191"/>
      <c r="CT13" s="191" t="s">
        <v>145</v>
      </c>
      <c r="CU13" s="191"/>
      <c r="CV13" s="191" t="s">
        <v>145</v>
      </c>
      <c r="CW13" s="191"/>
      <c r="CX13" s="191" t="s">
        <v>145</v>
      </c>
      <c r="CY13" s="191" t="s">
        <v>145</v>
      </c>
      <c r="CZ13" s="127"/>
      <c r="DA13" s="127"/>
      <c r="DB13" s="127"/>
      <c r="DC13" s="127"/>
      <c r="DD13" s="127">
        <v>2.9</v>
      </c>
      <c r="DE13" s="127">
        <v>4.02</v>
      </c>
      <c r="DF13" s="127">
        <v>0.47</v>
      </c>
      <c r="DG13" s="127">
        <v>3.41</v>
      </c>
      <c r="DH13" s="127">
        <v>3.36</v>
      </c>
      <c r="DI13" s="127">
        <v>2.72</v>
      </c>
      <c r="DJ13" s="127">
        <v>0.34</v>
      </c>
      <c r="DK13" s="127"/>
      <c r="DL13" s="127" t="s">
        <v>84</v>
      </c>
      <c r="DM13" s="127" t="s">
        <v>84</v>
      </c>
      <c r="DN13" s="127" t="s">
        <v>84</v>
      </c>
      <c r="DO13" s="127" t="s">
        <v>84</v>
      </c>
      <c r="DP13" s="127"/>
      <c r="DQ13" s="192">
        <v>0.045</v>
      </c>
      <c r="DR13" s="192">
        <v>0.0508</v>
      </c>
      <c r="DS13" s="192">
        <v>0.0489</v>
      </c>
      <c r="DT13" s="192">
        <v>0.0486</v>
      </c>
      <c r="DU13" s="192">
        <v>0.061</v>
      </c>
      <c r="DV13" s="192">
        <v>0.0628</v>
      </c>
      <c r="DW13" s="127"/>
      <c r="DX13" s="192">
        <v>0.0175</v>
      </c>
      <c r="DY13" s="192">
        <v>0.0205</v>
      </c>
      <c r="DZ13" s="192">
        <v>0.0205</v>
      </c>
      <c r="EA13" s="192">
        <v>0.0205</v>
      </c>
      <c r="EB13" s="192">
        <v>0.031</v>
      </c>
      <c r="EC13" s="192">
        <v>0.0257</v>
      </c>
      <c r="ED13" s="127"/>
      <c r="EE13" s="127">
        <v>0.39</v>
      </c>
      <c r="EF13" s="127">
        <v>0.61</v>
      </c>
      <c r="EG13" s="127">
        <v>0.54</v>
      </c>
      <c r="EH13" s="127">
        <v>0.35</v>
      </c>
      <c r="EI13" s="127">
        <v>0.58</v>
      </c>
      <c r="EJ13" s="127">
        <v>0.55</v>
      </c>
      <c r="EK13" s="127"/>
      <c r="EL13" s="127"/>
      <c r="EM13" s="127"/>
      <c r="EN13" s="127"/>
      <c r="EO13" s="127"/>
      <c r="EP13" s="127"/>
      <c r="EQ13" s="127"/>
      <c r="ER13" s="127"/>
      <c r="ES13" s="127"/>
      <c r="ET13" s="127"/>
      <c r="EU13" s="127"/>
      <c r="EV13" s="127"/>
      <c r="EW13" s="127"/>
      <c r="EX13" s="127"/>
      <c r="EY13" s="127"/>
      <c r="EZ13" s="127">
        <v>0</v>
      </c>
      <c r="FA13" s="192">
        <f t="shared" si="26"/>
        <v>0</v>
      </c>
      <c r="FB13" s="192">
        <v>0</v>
      </c>
      <c r="FC13" s="192">
        <f t="shared" si="27"/>
        <v>0.125</v>
      </c>
      <c r="FD13" s="192">
        <f t="shared" si="28"/>
        <v>0</v>
      </c>
      <c r="FE13" s="193">
        <f t="shared" si="29"/>
        <v>0</v>
      </c>
      <c r="FF13" s="127"/>
      <c r="FG13" s="127"/>
      <c r="FH13" s="127"/>
      <c r="FI13" s="194">
        <v>0.045</v>
      </c>
      <c r="FJ13" s="194">
        <f t="shared" si="30"/>
        <v>0.125</v>
      </c>
      <c r="FK13" s="196">
        <v>89.57</v>
      </c>
      <c r="FL13" s="127">
        <f t="shared" si="38"/>
        <v>13.4355</v>
      </c>
      <c r="FM13" s="196">
        <v>5.19</v>
      </c>
      <c r="FN13" s="127">
        <f t="shared" si="31"/>
        <v>0</v>
      </c>
      <c r="FO13" s="127"/>
      <c r="FP13" s="127">
        <f t="shared" si="32"/>
        <v>32.18</v>
      </c>
      <c r="FQ13" s="127">
        <f t="shared" si="33"/>
        <v>-21.58</v>
      </c>
      <c r="FR13" s="196">
        <v>32.18</v>
      </c>
      <c r="FS13" s="127"/>
      <c r="FT13" s="127"/>
      <c r="FU13" s="127"/>
      <c r="FV13" s="127"/>
      <c r="FW13" s="127"/>
      <c r="FX13" s="127"/>
      <c r="FY13" s="127"/>
      <c r="FZ13" s="127"/>
      <c r="GA13" s="127"/>
      <c r="GB13" s="127"/>
      <c r="GC13" s="127"/>
      <c r="GD13" s="127"/>
      <c r="GE13" s="127"/>
      <c r="GF13" s="127"/>
      <c r="GG13" s="127"/>
      <c r="GH13" s="127"/>
      <c r="GI13" s="127"/>
      <c r="GJ13" s="127"/>
      <c r="GK13" s="127"/>
      <c r="GL13" s="127"/>
      <c r="GM13" s="127"/>
      <c r="GN13" s="127"/>
      <c r="GO13" s="127"/>
      <c r="GP13" s="127"/>
      <c r="GQ13" s="127"/>
      <c r="GR13" s="127"/>
      <c r="GS13" s="127"/>
      <c r="GT13" s="127"/>
      <c r="GU13" s="127"/>
      <c r="GV13" s="127"/>
      <c r="GW13" s="127"/>
      <c r="GX13" s="127"/>
      <c r="GY13" s="127"/>
      <c r="GZ13" s="127"/>
    </row>
    <row r="14" spans="1:208">
      <c r="A14" s="172">
        <v>45805</v>
      </c>
      <c r="B14" s="20" t="s">
        <v>377</v>
      </c>
      <c r="C14" s="173" t="s">
        <v>383</v>
      </c>
      <c r="D14" s="174">
        <v>139.99</v>
      </c>
      <c r="E14" s="175">
        <v>139.99</v>
      </c>
      <c r="F14" s="176">
        <v>0.3</v>
      </c>
      <c r="G14" s="176">
        <v>0.15</v>
      </c>
      <c r="H14" s="177">
        <f t="shared" si="0"/>
        <v>83.29405</v>
      </c>
      <c r="I14" s="176">
        <v>0.08</v>
      </c>
      <c r="J14" s="178">
        <v>0.06</v>
      </c>
      <c r="K14" s="20">
        <v>2</v>
      </c>
      <c r="L14" s="20">
        <v>5</v>
      </c>
      <c r="M14" s="20">
        <f t="shared" si="39"/>
        <v>7</v>
      </c>
      <c r="N14" s="176">
        <f t="shared" si="1"/>
        <v>0</v>
      </c>
      <c r="O14" s="179">
        <f t="shared" si="2"/>
        <v>0</v>
      </c>
      <c r="P14" s="179">
        <f t="shared" si="3"/>
        <v>0</v>
      </c>
      <c r="Q14" s="174">
        <v>0</v>
      </c>
      <c r="R14" s="20"/>
      <c r="S14" s="20">
        <v>0</v>
      </c>
      <c r="T14" s="20">
        <v>0</v>
      </c>
      <c r="U14" s="176">
        <v>0</v>
      </c>
      <c r="V14" s="20">
        <v>0</v>
      </c>
      <c r="W14" s="178">
        <v>0</v>
      </c>
      <c r="X14" s="174" t="s">
        <v>145</v>
      </c>
      <c r="Y14" s="174"/>
      <c r="Z14" s="174" t="s">
        <v>145</v>
      </c>
      <c r="AA14" s="174"/>
      <c r="AB14" s="174" t="s">
        <v>145</v>
      </c>
      <c r="AC14" s="174"/>
      <c r="AD14" s="174" t="s">
        <v>145</v>
      </c>
      <c r="AE14" s="174"/>
      <c r="AF14" s="174" t="s">
        <v>145</v>
      </c>
      <c r="AG14" s="174"/>
      <c r="AH14" s="174" t="s">
        <v>145</v>
      </c>
      <c r="AI14" s="174"/>
      <c r="AJ14" s="174" t="s">
        <v>145</v>
      </c>
      <c r="AK14" s="174"/>
      <c r="AL14" s="20">
        <v>23</v>
      </c>
      <c r="AM14" s="180">
        <v>167139</v>
      </c>
      <c r="AN14" s="173">
        <v>206</v>
      </c>
      <c r="AO14" s="20">
        <v>3</v>
      </c>
      <c r="AP14" s="20">
        <v>5</v>
      </c>
      <c r="AQ14" s="20"/>
      <c r="AR14" s="20"/>
      <c r="AS14" s="181">
        <v>0</v>
      </c>
      <c r="AT14" s="174">
        <v>0</v>
      </c>
      <c r="AU14" s="182">
        <f t="shared" si="4"/>
        <v>0</v>
      </c>
      <c r="AV14" s="174">
        <v>0</v>
      </c>
      <c r="AW14" s="183">
        <f t="shared" si="5"/>
        <v>0</v>
      </c>
      <c r="AX14" s="184">
        <f t="shared" si="6"/>
        <v>0</v>
      </c>
      <c r="AY14" s="176">
        <f t="shared" si="7"/>
        <v>0</v>
      </c>
      <c r="AZ14" s="185">
        <f t="shared" si="8"/>
        <v>0</v>
      </c>
      <c r="BA14" s="183">
        <v>0</v>
      </c>
      <c r="BB14" s="176">
        <f t="shared" ref="BB14:BB62" si="40">IFERROR(BA14/BD14,0)</f>
        <v>0</v>
      </c>
      <c r="BC14" s="179">
        <f t="shared" si="10"/>
        <v>0</v>
      </c>
      <c r="BD14" s="179">
        <v>0</v>
      </c>
      <c r="BE14" s="182">
        <v>0</v>
      </c>
      <c r="BF14" s="186">
        <f t="shared" si="11"/>
        <v>32.18</v>
      </c>
      <c r="BG14" s="186">
        <v>32.18</v>
      </c>
      <c r="BH14" s="187">
        <f t="shared" si="12"/>
        <v>0</v>
      </c>
      <c r="BI14" s="182">
        <f t="shared" si="13"/>
        <v>0</v>
      </c>
      <c r="BJ14" s="179">
        <f t="shared" si="14"/>
        <v>0</v>
      </c>
      <c r="BK14" s="179"/>
      <c r="BL14" s="179">
        <f t="shared" si="15"/>
        <v>0</v>
      </c>
      <c r="BM14" s="178"/>
      <c r="BN14" s="7"/>
      <c r="BO14" s="20"/>
      <c r="BP14" s="182"/>
      <c r="BQ14" s="182">
        <f t="shared" si="34"/>
        <v>0</v>
      </c>
      <c r="BR14" s="182">
        <f t="shared" si="16"/>
        <v>0</v>
      </c>
      <c r="BS14" s="182">
        <f t="shared" si="17"/>
        <v>0</v>
      </c>
      <c r="BT14" s="188">
        <f t="shared" si="18"/>
        <v>0</v>
      </c>
      <c r="BU14" s="20">
        <f t="shared" si="19"/>
        <v>7</v>
      </c>
      <c r="BV14" s="20">
        <f t="shared" si="20"/>
        <v>7</v>
      </c>
      <c r="BW14" s="185">
        <f t="shared" si="21"/>
        <v>1</v>
      </c>
      <c r="BX14" s="182">
        <f t="shared" si="22"/>
        <v>0</v>
      </c>
      <c r="BY14" s="182">
        <f t="shared" si="23"/>
        <v>0</v>
      </c>
      <c r="BZ14" s="182">
        <f t="shared" si="24"/>
        <v>0</v>
      </c>
      <c r="CA14" s="182">
        <f t="shared" si="25"/>
        <v>0</v>
      </c>
      <c r="CB14" s="189">
        <f t="shared" si="35"/>
        <v>0</v>
      </c>
      <c r="CC14" s="190">
        <f t="shared" si="36"/>
        <v>0</v>
      </c>
      <c r="CD14" s="190">
        <f t="shared" si="37"/>
        <v>0</v>
      </c>
      <c r="CE14" s="189">
        <v>0.08</v>
      </c>
      <c r="CF14" s="189">
        <v>0.08</v>
      </c>
      <c r="CG14" s="189">
        <v>0.08</v>
      </c>
      <c r="CH14" s="189">
        <v>0.08</v>
      </c>
      <c r="CI14" s="189">
        <v>0.05</v>
      </c>
      <c r="CJ14" s="189">
        <v>0.06</v>
      </c>
      <c r="CK14" s="189">
        <v>0.04</v>
      </c>
      <c r="CL14" s="191" t="s">
        <v>145</v>
      </c>
      <c r="CM14" s="191" t="s">
        <v>84</v>
      </c>
      <c r="CN14" s="191" t="s">
        <v>145</v>
      </c>
      <c r="CO14" s="191" t="s">
        <v>84</v>
      </c>
      <c r="CP14" s="191" t="s">
        <v>145</v>
      </c>
      <c r="CQ14" s="191"/>
      <c r="CR14" s="191" t="s">
        <v>145</v>
      </c>
      <c r="CS14" s="191"/>
      <c r="CT14" s="191" t="s">
        <v>145</v>
      </c>
      <c r="CU14" s="191"/>
      <c r="CV14" s="191" t="s">
        <v>145</v>
      </c>
      <c r="CW14" s="191"/>
      <c r="CX14" s="191" t="s">
        <v>145</v>
      </c>
      <c r="CY14" s="191" t="s">
        <v>145</v>
      </c>
      <c r="CZ14" s="127"/>
      <c r="DA14" s="127"/>
      <c r="DB14" s="127"/>
      <c r="DC14" s="127"/>
      <c r="DD14" s="127">
        <v>2.9</v>
      </c>
      <c r="DE14" s="127">
        <v>4.02</v>
      </c>
      <c r="DF14" s="127">
        <v>0.47</v>
      </c>
      <c r="DG14" s="127">
        <v>3.41</v>
      </c>
      <c r="DH14" s="127">
        <v>3.36</v>
      </c>
      <c r="DI14" s="127">
        <v>2.72</v>
      </c>
      <c r="DJ14" s="127">
        <v>0.34</v>
      </c>
      <c r="DK14" s="127"/>
      <c r="DL14" s="127" t="s">
        <v>84</v>
      </c>
      <c r="DM14" s="127" t="s">
        <v>84</v>
      </c>
      <c r="DN14" s="127" t="s">
        <v>84</v>
      </c>
      <c r="DO14" s="127" t="s">
        <v>84</v>
      </c>
      <c r="DP14" s="127"/>
      <c r="DQ14" s="192">
        <v>0.045</v>
      </c>
      <c r="DR14" s="192">
        <v>0.0508</v>
      </c>
      <c r="DS14" s="192">
        <v>0.0489</v>
      </c>
      <c r="DT14" s="192">
        <v>0.0486</v>
      </c>
      <c r="DU14" s="192">
        <v>0.061</v>
      </c>
      <c r="DV14" s="192">
        <v>0.0628</v>
      </c>
      <c r="DW14" s="127"/>
      <c r="DX14" s="192">
        <v>0.0175</v>
      </c>
      <c r="DY14" s="192">
        <v>0.0205</v>
      </c>
      <c r="DZ14" s="192">
        <v>0.0205</v>
      </c>
      <c r="EA14" s="192">
        <v>0.0205</v>
      </c>
      <c r="EB14" s="192">
        <v>0.031</v>
      </c>
      <c r="EC14" s="192">
        <v>0.0257</v>
      </c>
      <c r="ED14" s="127"/>
      <c r="EE14" s="127">
        <v>0.39</v>
      </c>
      <c r="EF14" s="127">
        <v>0.61</v>
      </c>
      <c r="EG14" s="127">
        <v>0.54</v>
      </c>
      <c r="EH14" s="127">
        <v>0.35</v>
      </c>
      <c r="EI14" s="127">
        <v>0.58</v>
      </c>
      <c r="EJ14" s="127">
        <v>0.55</v>
      </c>
      <c r="EK14" s="127"/>
      <c r="EL14" s="127"/>
      <c r="EM14" s="127"/>
      <c r="EN14" s="127"/>
      <c r="EO14" s="127"/>
      <c r="EP14" s="127"/>
      <c r="EQ14" s="127"/>
      <c r="ER14" s="127"/>
      <c r="ES14" s="127"/>
      <c r="ET14" s="127"/>
      <c r="EU14" s="127"/>
      <c r="EV14" s="127"/>
      <c r="EW14" s="127"/>
      <c r="EX14" s="127"/>
      <c r="EY14" s="127"/>
      <c r="EZ14" s="127">
        <v>0</v>
      </c>
      <c r="FA14" s="192">
        <f t="shared" si="26"/>
        <v>0</v>
      </c>
      <c r="FB14" s="192">
        <v>0</v>
      </c>
      <c r="FC14" s="192">
        <f t="shared" si="27"/>
        <v>0</v>
      </c>
      <c r="FD14" s="192">
        <f t="shared" si="28"/>
        <v>0</v>
      </c>
      <c r="FE14" s="193">
        <f t="shared" si="29"/>
        <v>0</v>
      </c>
      <c r="FF14" s="127"/>
      <c r="FG14" s="127"/>
      <c r="FH14" s="127"/>
      <c r="FI14" s="194">
        <v>0.045</v>
      </c>
      <c r="FJ14" s="194">
        <f t="shared" si="30"/>
        <v>0</v>
      </c>
      <c r="FK14" s="196">
        <v>89.57</v>
      </c>
      <c r="FL14" s="127">
        <f t="shared" si="38"/>
        <v>13.4355</v>
      </c>
      <c r="FM14" s="196">
        <v>5.19</v>
      </c>
      <c r="FN14" s="127">
        <f t="shared" si="31"/>
        <v>0</v>
      </c>
      <c r="FO14" s="127"/>
      <c r="FP14" s="127">
        <f t="shared" si="32"/>
        <v>32.18</v>
      </c>
      <c r="FQ14" s="127">
        <f t="shared" si="33"/>
        <v>0</v>
      </c>
      <c r="FR14" s="196">
        <v>32.18</v>
      </c>
      <c r="FS14" s="127"/>
      <c r="FT14" s="127"/>
      <c r="FU14" s="127"/>
      <c r="FV14" s="127"/>
      <c r="FW14" s="127"/>
      <c r="FX14" s="127"/>
      <c r="FY14" s="127"/>
      <c r="FZ14" s="127"/>
      <c r="GA14" s="127"/>
      <c r="GB14" s="127"/>
      <c r="GC14" s="127"/>
      <c r="GD14" s="127"/>
      <c r="GE14" s="127"/>
      <c r="GF14" s="127"/>
      <c r="GG14" s="127"/>
      <c r="GH14" s="127"/>
      <c r="GI14" s="127"/>
      <c r="GJ14" s="127"/>
      <c r="GK14" s="127"/>
      <c r="GL14" s="127"/>
      <c r="GM14" s="127"/>
      <c r="GN14" s="127"/>
      <c r="GO14" s="127"/>
      <c r="GP14" s="127"/>
      <c r="GQ14" s="127"/>
      <c r="GR14" s="127"/>
      <c r="GS14" s="127"/>
      <c r="GT14" s="127"/>
      <c r="GU14" s="127"/>
      <c r="GV14" s="127"/>
      <c r="GW14" s="127"/>
      <c r="GX14" s="127"/>
      <c r="GY14" s="127"/>
      <c r="GZ14" s="127"/>
    </row>
    <row r="15" spans="1:208">
      <c r="A15" s="172">
        <v>45806</v>
      </c>
      <c r="B15" s="20" t="s">
        <v>379</v>
      </c>
      <c r="C15" s="173" t="s">
        <v>386</v>
      </c>
      <c r="D15" s="174">
        <v>139.99</v>
      </c>
      <c r="E15" s="175">
        <v>139.95</v>
      </c>
      <c r="F15" s="176">
        <v>0.3</v>
      </c>
      <c r="G15" s="176">
        <v>0.15</v>
      </c>
      <c r="H15" s="177">
        <f t="shared" si="0"/>
        <v>83.29405</v>
      </c>
      <c r="I15" s="176">
        <v>0.08</v>
      </c>
      <c r="J15" s="178">
        <v>0.06</v>
      </c>
      <c r="K15" s="20">
        <v>13</v>
      </c>
      <c r="L15" s="20">
        <v>14</v>
      </c>
      <c r="M15" s="20">
        <f t="shared" si="39"/>
        <v>27</v>
      </c>
      <c r="N15" s="176">
        <f t="shared" si="1"/>
        <v>0.0740740740740741</v>
      </c>
      <c r="O15" s="179">
        <f t="shared" si="2"/>
        <v>0</v>
      </c>
      <c r="P15" s="179">
        <f t="shared" si="3"/>
        <v>0</v>
      </c>
      <c r="Q15" s="20">
        <v>2</v>
      </c>
      <c r="R15" s="20"/>
      <c r="S15" s="20">
        <v>2</v>
      </c>
      <c r="T15" s="20">
        <v>2</v>
      </c>
      <c r="U15" s="176">
        <v>1</v>
      </c>
      <c r="V15" s="20">
        <v>0</v>
      </c>
      <c r="W15" s="178">
        <v>272.98</v>
      </c>
      <c r="X15" s="174" t="s">
        <v>145</v>
      </c>
      <c r="Y15" s="174"/>
      <c r="Z15" s="174" t="s">
        <v>145</v>
      </c>
      <c r="AA15" s="174"/>
      <c r="AB15" s="174" t="s">
        <v>145</v>
      </c>
      <c r="AC15" s="174"/>
      <c r="AD15" s="174" t="s">
        <v>145</v>
      </c>
      <c r="AE15" s="174"/>
      <c r="AF15" s="174" t="s">
        <v>145</v>
      </c>
      <c r="AG15" s="174"/>
      <c r="AH15" s="174" t="s">
        <v>145</v>
      </c>
      <c r="AI15" s="174"/>
      <c r="AJ15" s="174" t="s">
        <v>145</v>
      </c>
      <c r="AK15" s="174"/>
      <c r="AL15" s="20">
        <v>136</v>
      </c>
      <c r="AM15" s="180">
        <v>192732</v>
      </c>
      <c r="AN15" s="173">
        <v>274</v>
      </c>
      <c r="AO15" s="20">
        <v>3</v>
      </c>
      <c r="AP15" s="20">
        <v>5</v>
      </c>
      <c r="AQ15" s="20"/>
      <c r="AR15" s="20"/>
      <c r="AS15" s="181">
        <v>0</v>
      </c>
      <c r="AT15" s="174">
        <v>0</v>
      </c>
      <c r="AU15" s="182">
        <f t="shared" si="4"/>
        <v>0</v>
      </c>
      <c r="AV15" s="174">
        <v>0</v>
      </c>
      <c r="AW15" s="183">
        <f t="shared" si="5"/>
        <v>0</v>
      </c>
      <c r="AX15" s="184">
        <f t="shared" si="6"/>
        <v>0</v>
      </c>
      <c r="AY15" s="176">
        <f t="shared" si="7"/>
        <v>0</v>
      </c>
      <c r="AZ15" s="185">
        <f t="shared" si="8"/>
        <v>0</v>
      </c>
      <c r="BA15" s="183">
        <v>0</v>
      </c>
      <c r="BB15" s="176">
        <f t="shared" si="40"/>
        <v>0</v>
      </c>
      <c r="BC15" s="179">
        <f t="shared" si="10"/>
        <v>0</v>
      </c>
      <c r="BD15" s="179">
        <v>0</v>
      </c>
      <c r="BE15" s="182">
        <v>0</v>
      </c>
      <c r="BF15" s="186">
        <f t="shared" si="11"/>
        <v>32.18</v>
      </c>
      <c r="BG15" s="186">
        <v>32.18</v>
      </c>
      <c r="BH15" s="187">
        <f t="shared" si="12"/>
        <v>-43.16</v>
      </c>
      <c r="BI15" s="182">
        <f t="shared" si="13"/>
        <v>-0.158106821012528</v>
      </c>
      <c r="BJ15" s="179">
        <f t="shared" si="14"/>
        <v>290</v>
      </c>
      <c r="BK15" s="179"/>
      <c r="BL15" s="179">
        <f t="shared" si="15"/>
        <v>43.16</v>
      </c>
      <c r="BM15" s="178"/>
      <c r="BN15" s="7"/>
      <c r="BO15" s="20"/>
      <c r="BP15" s="182"/>
      <c r="BQ15" s="182">
        <f t="shared" si="34"/>
        <v>0</v>
      </c>
      <c r="BR15" s="182">
        <f t="shared" si="16"/>
        <v>0</v>
      </c>
      <c r="BS15" s="182">
        <f t="shared" si="17"/>
        <v>0</v>
      </c>
      <c r="BT15" s="188">
        <f t="shared" si="18"/>
        <v>0</v>
      </c>
      <c r="BU15" s="20">
        <f t="shared" si="19"/>
        <v>27</v>
      </c>
      <c r="BV15" s="20">
        <f t="shared" si="20"/>
        <v>27</v>
      </c>
      <c r="BW15" s="185">
        <f t="shared" si="21"/>
        <v>1</v>
      </c>
      <c r="BX15" s="182">
        <f t="shared" si="22"/>
        <v>0</v>
      </c>
      <c r="BY15" s="182">
        <f t="shared" si="23"/>
        <v>0</v>
      </c>
      <c r="BZ15" s="182">
        <f t="shared" si="24"/>
        <v>0</v>
      </c>
      <c r="CA15" s="182">
        <f t="shared" si="25"/>
        <v>0</v>
      </c>
      <c r="CB15" s="189">
        <f t="shared" si="35"/>
        <v>0</v>
      </c>
      <c r="CC15" s="190">
        <f t="shared" si="36"/>
        <v>0.0740740740740741</v>
      </c>
      <c r="CD15" s="190">
        <f t="shared" si="37"/>
        <v>0</v>
      </c>
      <c r="CE15" s="189">
        <v>0.08</v>
      </c>
      <c r="CF15" s="189">
        <v>0.08</v>
      </c>
      <c r="CG15" s="189">
        <v>0.08</v>
      </c>
      <c r="CH15" s="189">
        <v>0.08</v>
      </c>
      <c r="CI15" s="189">
        <v>0.05</v>
      </c>
      <c r="CJ15" s="189">
        <v>0.06</v>
      </c>
      <c r="CK15" s="189">
        <v>0.04</v>
      </c>
      <c r="CL15" s="7" t="s">
        <v>145</v>
      </c>
      <c r="CM15" s="191" t="s">
        <v>84</v>
      </c>
      <c r="CN15" s="7" t="s">
        <v>145</v>
      </c>
      <c r="CO15" s="191" t="s">
        <v>84</v>
      </c>
      <c r="CP15" s="7" t="s">
        <v>145</v>
      </c>
      <c r="CQ15" s="7"/>
      <c r="CR15" s="7" t="s">
        <v>145</v>
      </c>
      <c r="CS15" s="7"/>
      <c r="CT15" s="7" t="s">
        <v>145</v>
      </c>
      <c r="CU15" s="7"/>
      <c r="CV15" s="7" t="s">
        <v>145</v>
      </c>
      <c r="CW15" s="7"/>
      <c r="CX15" s="7" t="s">
        <v>145</v>
      </c>
      <c r="CY15" s="7" t="s">
        <v>145</v>
      </c>
      <c r="CZ15" s="197"/>
      <c r="DA15" s="197"/>
      <c r="DB15" s="197"/>
      <c r="DC15" s="197"/>
      <c r="DD15" s="127">
        <v>2.9</v>
      </c>
      <c r="DE15" s="127">
        <v>4.02</v>
      </c>
      <c r="DF15" s="127">
        <v>0.47</v>
      </c>
      <c r="DG15" s="127">
        <v>3.41</v>
      </c>
      <c r="DH15" s="127">
        <v>3.36</v>
      </c>
      <c r="DI15" s="127">
        <v>2.72</v>
      </c>
      <c r="DJ15" s="127">
        <v>0.34</v>
      </c>
      <c r="DK15" s="197"/>
      <c r="DL15" s="127" t="s">
        <v>84</v>
      </c>
      <c r="DM15" s="127" t="s">
        <v>84</v>
      </c>
      <c r="DN15" s="127" t="s">
        <v>84</v>
      </c>
      <c r="DO15" s="127" t="s">
        <v>84</v>
      </c>
      <c r="DP15" s="197"/>
      <c r="DQ15" s="192">
        <v>0.045</v>
      </c>
      <c r="DR15" s="192">
        <v>0.0508</v>
      </c>
      <c r="DS15" s="192">
        <v>0.0489</v>
      </c>
      <c r="DT15" s="192">
        <v>0.0486</v>
      </c>
      <c r="DU15" s="192">
        <v>0.061</v>
      </c>
      <c r="DV15" s="192">
        <v>0.0628</v>
      </c>
      <c r="DW15" s="127"/>
      <c r="DX15" s="192">
        <v>0.0175</v>
      </c>
      <c r="DY15" s="192">
        <v>0.0205</v>
      </c>
      <c r="DZ15" s="192">
        <v>0.0205</v>
      </c>
      <c r="EA15" s="192">
        <v>0.0205</v>
      </c>
      <c r="EB15" s="192">
        <v>0.031</v>
      </c>
      <c r="EC15" s="192">
        <v>0.0257</v>
      </c>
      <c r="ED15" s="127"/>
      <c r="EE15" s="127">
        <v>0.39</v>
      </c>
      <c r="EF15" s="127">
        <v>0.61</v>
      </c>
      <c r="EG15" s="127">
        <v>0.54</v>
      </c>
      <c r="EH15" s="127">
        <v>0.35</v>
      </c>
      <c r="EI15" s="127">
        <v>0.58</v>
      </c>
      <c r="EJ15" s="127">
        <v>0.55</v>
      </c>
      <c r="EK15" s="197"/>
      <c r="EL15" s="197"/>
      <c r="EM15" s="197"/>
      <c r="EN15" s="197"/>
      <c r="EO15" s="197"/>
      <c r="EP15" s="197"/>
      <c r="EQ15" s="197"/>
      <c r="ER15" s="197"/>
      <c r="ES15" s="197"/>
      <c r="ET15" s="197"/>
      <c r="EU15" s="197"/>
      <c r="EV15" s="197"/>
      <c r="EW15" s="197"/>
      <c r="EX15" s="197"/>
      <c r="EY15" s="197"/>
      <c r="EZ15" s="127">
        <v>0</v>
      </c>
      <c r="FA15" s="192">
        <f t="shared" si="26"/>
        <v>0</v>
      </c>
      <c r="FB15" s="192">
        <v>0</v>
      </c>
      <c r="FC15" s="192">
        <f t="shared" si="27"/>
        <v>0.0740740740740741</v>
      </c>
      <c r="FD15" s="192">
        <f t="shared" si="28"/>
        <v>0</v>
      </c>
      <c r="FE15" s="193">
        <f t="shared" si="29"/>
        <v>0</v>
      </c>
      <c r="FF15" s="197"/>
      <c r="FG15" s="197"/>
      <c r="FH15" s="197"/>
      <c r="FI15" s="194">
        <v>0.045</v>
      </c>
      <c r="FJ15" s="194">
        <f t="shared" si="30"/>
        <v>0.0740740740740741</v>
      </c>
      <c r="FK15" s="196">
        <v>89.57</v>
      </c>
      <c r="FL15" s="127">
        <f t="shared" si="38"/>
        <v>13.4355</v>
      </c>
      <c r="FM15" s="196">
        <v>5.19</v>
      </c>
      <c r="FN15" s="127">
        <f t="shared" si="31"/>
        <v>0</v>
      </c>
      <c r="FO15" s="197"/>
      <c r="FP15" s="127">
        <f t="shared" si="32"/>
        <v>32.18</v>
      </c>
      <c r="FQ15" s="127">
        <f t="shared" si="33"/>
        <v>-43.16</v>
      </c>
      <c r="FR15" s="196">
        <v>32.18</v>
      </c>
      <c r="FS15" s="197"/>
      <c r="FT15" s="197"/>
      <c r="FU15" s="197"/>
      <c r="FV15" s="197"/>
      <c r="FW15" s="197"/>
      <c r="FX15" s="197"/>
      <c r="FY15" s="197"/>
      <c r="FZ15" s="127"/>
      <c r="GA15" s="127"/>
      <c r="GB15" s="127"/>
      <c r="GC15" s="127"/>
      <c r="GD15" s="127"/>
      <c r="GE15" s="127"/>
      <c r="GF15" s="127"/>
      <c r="GG15" s="127"/>
      <c r="GH15" s="127"/>
      <c r="GI15" s="127"/>
      <c r="GJ15" s="127"/>
      <c r="GK15" s="127"/>
      <c r="GL15" s="127"/>
      <c r="GM15" s="127"/>
      <c r="GN15" s="127"/>
      <c r="GO15" s="127"/>
      <c r="GP15" s="127"/>
      <c r="GQ15" s="127"/>
      <c r="GR15" s="127"/>
      <c r="GS15" s="127"/>
      <c r="GT15" s="127"/>
      <c r="GU15" s="127"/>
      <c r="GV15" s="127"/>
      <c r="GW15" s="127"/>
      <c r="GX15" s="127"/>
      <c r="GY15" s="127"/>
      <c r="GZ15" s="127"/>
    </row>
    <row r="16" spans="1:208">
      <c r="A16" s="172">
        <v>45807</v>
      </c>
      <c r="B16" s="20" t="s">
        <v>381</v>
      </c>
      <c r="C16" s="173" t="s">
        <v>84</v>
      </c>
      <c r="D16" s="174">
        <v>139.99</v>
      </c>
      <c r="E16" s="175">
        <v>139.95</v>
      </c>
      <c r="F16" s="176">
        <v>0.3</v>
      </c>
      <c r="G16" s="176">
        <v>0.15</v>
      </c>
      <c r="H16" s="177">
        <f t="shared" si="0"/>
        <v>83.29405</v>
      </c>
      <c r="I16" s="176">
        <v>0.08</v>
      </c>
      <c r="J16" s="178">
        <v>0.06</v>
      </c>
      <c r="K16" s="20">
        <v>7</v>
      </c>
      <c r="L16" s="20">
        <v>5</v>
      </c>
      <c r="M16" s="20">
        <f t="shared" si="39"/>
        <v>12</v>
      </c>
      <c r="N16" s="176">
        <f t="shared" si="1"/>
        <v>0</v>
      </c>
      <c r="O16" s="179">
        <f t="shared" si="2"/>
        <v>0</v>
      </c>
      <c r="P16" s="179">
        <f t="shared" si="3"/>
        <v>0</v>
      </c>
      <c r="Q16" s="174">
        <v>0</v>
      </c>
      <c r="R16" s="20"/>
      <c r="S16" s="20">
        <v>0</v>
      </c>
      <c r="T16" s="20">
        <v>0</v>
      </c>
      <c r="U16" s="176">
        <v>0</v>
      </c>
      <c r="V16" s="20">
        <v>0</v>
      </c>
      <c r="W16" s="178">
        <v>0</v>
      </c>
      <c r="X16" s="174">
        <v>48</v>
      </c>
      <c r="Y16" s="174"/>
      <c r="Z16" s="20" t="s">
        <v>84</v>
      </c>
      <c r="AA16" s="20"/>
      <c r="AB16" s="20">
        <v>89</v>
      </c>
      <c r="AC16" s="20"/>
      <c r="AD16" s="174">
        <v>38</v>
      </c>
      <c r="AE16" s="174"/>
      <c r="AF16" s="174">
        <v>42</v>
      </c>
      <c r="AG16" s="174"/>
      <c r="AH16" s="174" t="s">
        <v>84</v>
      </c>
      <c r="AI16" s="174"/>
      <c r="AJ16" s="174" t="s">
        <v>84</v>
      </c>
      <c r="AK16" s="174"/>
      <c r="AL16" s="20">
        <v>136</v>
      </c>
      <c r="AM16" s="180">
        <v>283512</v>
      </c>
      <c r="AN16" s="173">
        <v>357</v>
      </c>
      <c r="AO16" s="20">
        <v>3</v>
      </c>
      <c r="AP16" s="20">
        <v>5</v>
      </c>
      <c r="AQ16" s="20"/>
      <c r="AR16" s="20"/>
      <c r="AS16" s="181">
        <v>0</v>
      </c>
      <c r="AT16" s="174">
        <v>0</v>
      </c>
      <c r="AU16" s="182">
        <f t="shared" si="4"/>
        <v>0</v>
      </c>
      <c r="AV16" s="174">
        <v>0</v>
      </c>
      <c r="AW16" s="183">
        <f t="shared" si="5"/>
        <v>0</v>
      </c>
      <c r="AX16" s="184">
        <f t="shared" si="6"/>
        <v>0</v>
      </c>
      <c r="AY16" s="176">
        <f t="shared" si="7"/>
        <v>0</v>
      </c>
      <c r="AZ16" s="185">
        <f t="shared" si="8"/>
        <v>0</v>
      </c>
      <c r="BA16" s="183">
        <v>0</v>
      </c>
      <c r="BB16" s="176">
        <f t="shared" si="40"/>
        <v>0</v>
      </c>
      <c r="BC16" s="179">
        <f t="shared" si="10"/>
        <v>0</v>
      </c>
      <c r="BD16" s="179">
        <v>0</v>
      </c>
      <c r="BE16" s="182">
        <v>0</v>
      </c>
      <c r="BF16" s="186">
        <f t="shared" si="11"/>
        <v>32.18</v>
      </c>
      <c r="BG16" s="186">
        <v>32.18</v>
      </c>
      <c r="BH16" s="187">
        <f t="shared" si="12"/>
        <v>0</v>
      </c>
      <c r="BI16" s="182">
        <f t="shared" si="13"/>
        <v>0</v>
      </c>
      <c r="BJ16" s="179">
        <f t="shared" si="14"/>
        <v>0</v>
      </c>
      <c r="BK16" s="179"/>
      <c r="BL16" s="179">
        <f t="shared" si="15"/>
        <v>0</v>
      </c>
      <c r="BM16" s="178"/>
      <c r="BN16" s="7"/>
      <c r="BO16" s="20"/>
      <c r="BP16" s="182"/>
      <c r="BQ16" s="182">
        <f t="shared" si="34"/>
        <v>0</v>
      </c>
      <c r="BR16" s="182">
        <f t="shared" si="16"/>
        <v>0</v>
      </c>
      <c r="BS16" s="182">
        <f t="shared" si="17"/>
        <v>0</v>
      </c>
      <c r="BT16" s="188">
        <f t="shared" si="18"/>
        <v>0</v>
      </c>
      <c r="BU16" s="20">
        <f t="shared" si="19"/>
        <v>12</v>
      </c>
      <c r="BV16" s="20">
        <f t="shared" si="20"/>
        <v>12</v>
      </c>
      <c r="BW16" s="185">
        <f t="shared" si="21"/>
        <v>1</v>
      </c>
      <c r="BX16" s="182">
        <f t="shared" si="22"/>
        <v>0</v>
      </c>
      <c r="BY16" s="182">
        <f t="shared" si="23"/>
        <v>0</v>
      </c>
      <c r="BZ16" s="182">
        <f t="shared" si="24"/>
        <v>0</v>
      </c>
      <c r="CA16" s="182">
        <f t="shared" si="25"/>
        <v>0</v>
      </c>
      <c r="CB16" s="189">
        <f t="shared" si="35"/>
        <v>0</v>
      </c>
      <c r="CC16" s="190">
        <f t="shared" si="36"/>
        <v>0</v>
      </c>
      <c r="CD16" s="190">
        <f t="shared" si="37"/>
        <v>0</v>
      </c>
      <c r="CE16" s="189">
        <v>0.08</v>
      </c>
      <c r="CF16" s="189">
        <v>0.08</v>
      </c>
      <c r="CG16" s="189">
        <v>0.08</v>
      </c>
      <c r="CH16" s="189">
        <v>0.08</v>
      </c>
      <c r="CI16" s="189">
        <v>0.05</v>
      </c>
      <c r="CJ16" s="189">
        <v>0.06</v>
      </c>
      <c r="CK16" s="189">
        <v>0.04</v>
      </c>
      <c r="CL16" s="191">
        <v>48</v>
      </c>
      <c r="CM16" s="191" t="s">
        <v>84</v>
      </c>
      <c r="CN16" s="191" t="s">
        <v>84</v>
      </c>
      <c r="CO16" s="191" t="s">
        <v>84</v>
      </c>
      <c r="CP16" s="191">
        <v>89</v>
      </c>
      <c r="CQ16" s="191"/>
      <c r="CR16" s="191">
        <v>38</v>
      </c>
      <c r="CS16" s="191"/>
      <c r="CT16" s="191">
        <v>42</v>
      </c>
      <c r="CU16" s="191"/>
      <c r="CV16" s="191" t="s">
        <v>84</v>
      </c>
      <c r="CW16" s="191"/>
      <c r="CX16" s="191" t="s">
        <v>84</v>
      </c>
      <c r="CY16" s="191"/>
      <c r="CZ16" s="127"/>
      <c r="DA16" s="127"/>
      <c r="DB16" s="127"/>
      <c r="DC16" s="127"/>
      <c r="DD16" s="127">
        <v>2.9</v>
      </c>
      <c r="DE16" s="127">
        <v>4.02</v>
      </c>
      <c r="DF16" s="127">
        <v>0.47</v>
      </c>
      <c r="DG16" s="127">
        <v>3.41</v>
      </c>
      <c r="DH16" s="127">
        <v>3.36</v>
      </c>
      <c r="DI16" s="127">
        <v>2.72</v>
      </c>
      <c r="DJ16" s="127">
        <v>0.34</v>
      </c>
      <c r="DK16" s="127"/>
      <c r="DL16" s="127" t="s">
        <v>84</v>
      </c>
      <c r="DM16" s="127" t="s">
        <v>84</v>
      </c>
      <c r="DN16" s="127" t="s">
        <v>84</v>
      </c>
      <c r="DO16" s="127" t="s">
        <v>84</v>
      </c>
      <c r="DP16" s="127"/>
      <c r="DQ16" s="192">
        <v>0.045</v>
      </c>
      <c r="DR16" s="192">
        <v>0.0508</v>
      </c>
      <c r="DS16" s="192">
        <v>0.0489</v>
      </c>
      <c r="DT16" s="192">
        <v>0.0486</v>
      </c>
      <c r="DU16" s="192">
        <v>0.061</v>
      </c>
      <c r="DV16" s="192">
        <v>0.0628</v>
      </c>
      <c r="DW16" s="127"/>
      <c r="DX16" s="192">
        <v>0.0175</v>
      </c>
      <c r="DY16" s="192">
        <v>0.0205</v>
      </c>
      <c r="DZ16" s="192">
        <v>0.0205</v>
      </c>
      <c r="EA16" s="192">
        <v>0.0205</v>
      </c>
      <c r="EB16" s="192">
        <v>0.031</v>
      </c>
      <c r="EC16" s="192">
        <v>0.0257</v>
      </c>
      <c r="ED16" s="127"/>
      <c r="EE16" s="127">
        <v>0.39</v>
      </c>
      <c r="EF16" s="127">
        <v>0.61</v>
      </c>
      <c r="EG16" s="127">
        <v>0.54</v>
      </c>
      <c r="EH16" s="127">
        <v>0.35</v>
      </c>
      <c r="EI16" s="127">
        <v>0.58</v>
      </c>
      <c r="EJ16" s="127">
        <v>0.55</v>
      </c>
      <c r="EK16" s="127"/>
      <c r="EL16" s="127"/>
      <c r="EM16" s="127"/>
      <c r="EN16" s="127"/>
      <c r="EO16" s="127"/>
      <c r="EP16" s="127"/>
      <c r="EQ16" s="127"/>
      <c r="ER16" s="127"/>
      <c r="ES16" s="127"/>
      <c r="ET16" s="127"/>
      <c r="EU16" s="127"/>
      <c r="EV16" s="127"/>
      <c r="EW16" s="127"/>
      <c r="EX16" s="127"/>
      <c r="EY16" s="127"/>
      <c r="EZ16" s="127">
        <v>0</v>
      </c>
      <c r="FA16" s="192">
        <f t="shared" si="26"/>
        <v>0</v>
      </c>
      <c r="FB16" s="192">
        <v>0</v>
      </c>
      <c r="FC16" s="192">
        <f t="shared" si="27"/>
        <v>0</v>
      </c>
      <c r="FD16" s="192">
        <f t="shared" si="28"/>
        <v>0</v>
      </c>
      <c r="FE16" s="193">
        <f t="shared" si="29"/>
        <v>0</v>
      </c>
      <c r="FF16" s="127"/>
      <c r="FG16" s="127"/>
      <c r="FH16" s="127"/>
      <c r="FI16" s="194">
        <v>0.045</v>
      </c>
      <c r="FJ16" s="194">
        <f t="shared" si="30"/>
        <v>0</v>
      </c>
      <c r="FK16" s="196">
        <v>89.57</v>
      </c>
      <c r="FL16" s="127">
        <f t="shared" si="38"/>
        <v>13.4355</v>
      </c>
      <c r="FM16" s="196">
        <v>5.19</v>
      </c>
      <c r="FN16" s="127">
        <f t="shared" si="31"/>
        <v>0</v>
      </c>
      <c r="FO16" s="127"/>
      <c r="FP16" s="127">
        <f t="shared" si="32"/>
        <v>32.18</v>
      </c>
      <c r="FQ16" s="127">
        <f t="shared" si="33"/>
        <v>0</v>
      </c>
      <c r="FR16" s="196">
        <v>32.18</v>
      </c>
      <c r="FS16" s="127"/>
      <c r="FT16" s="127"/>
      <c r="FU16" s="127"/>
      <c r="FV16" s="127"/>
      <c r="FW16" s="127"/>
      <c r="FX16" s="127"/>
      <c r="FY16" s="127"/>
      <c r="FZ16" s="127"/>
      <c r="GA16" s="127"/>
      <c r="GB16" s="127"/>
      <c r="GC16" s="127"/>
      <c r="GD16" s="127"/>
      <c r="GE16" s="127"/>
      <c r="GF16" s="127"/>
      <c r="GG16" s="127"/>
      <c r="GH16" s="127"/>
      <c r="GI16" s="127"/>
      <c r="GJ16" s="127"/>
      <c r="GK16" s="127"/>
      <c r="GL16" s="127"/>
      <c r="GM16" s="127"/>
      <c r="GN16" s="127"/>
      <c r="GO16" s="127"/>
      <c r="GP16" s="127"/>
      <c r="GQ16" s="127"/>
      <c r="GR16" s="127"/>
      <c r="GS16" s="127"/>
      <c r="GT16" s="127"/>
      <c r="GU16" s="127"/>
      <c r="GV16" s="127"/>
      <c r="GW16" s="127"/>
      <c r="GX16" s="127"/>
      <c r="GY16" s="127"/>
      <c r="GZ16" s="127"/>
    </row>
    <row r="17" spans="1:208">
      <c r="A17" s="172">
        <v>45808</v>
      </c>
      <c r="B17" s="20" t="s">
        <v>369</v>
      </c>
      <c r="C17" s="173" t="s">
        <v>84</v>
      </c>
      <c r="D17" s="174">
        <v>139.99</v>
      </c>
      <c r="E17" s="175">
        <v>139.95</v>
      </c>
      <c r="F17" s="176">
        <v>0.3</v>
      </c>
      <c r="G17" s="176">
        <v>0.15</v>
      </c>
      <c r="H17" s="177">
        <f t="shared" si="0"/>
        <v>83.29405</v>
      </c>
      <c r="I17" s="176">
        <v>0.08</v>
      </c>
      <c r="J17" s="178">
        <v>0.06</v>
      </c>
      <c r="K17" s="20">
        <v>1</v>
      </c>
      <c r="L17" s="20">
        <v>2</v>
      </c>
      <c r="M17" s="20">
        <f t="shared" si="39"/>
        <v>3</v>
      </c>
      <c r="N17" s="176">
        <f t="shared" si="1"/>
        <v>0</v>
      </c>
      <c r="O17" s="179">
        <f t="shared" si="2"/>
        <v>0</v>
      </c>
      <c r="P17" s="179">
        <f t="shared" si="3"/>
        <v>0</v>
      </c>
      <c r="Q17" s="174">
        <v>0</v>
      </c>
      <c r="R17" s="20"/>
      <c r="S17" s="20">
        <v>0</v>
      </c>
      <c r="T17" s="20">
        <v>0</v>
      </c>
      <c r="U17" s="176">
        <v>1</v>
      </c>
      <c r="V17" s="20">
        <v>0</v>
      </c>
      <c r="W17" s="178">
        <v>0</v>
      </c>
      <c r="X17" s="174">
        <v>38</v>
      </c>
      <c r="Y17" s="174"/>
      <c r="Z17" s="20" t="s">
        <v>84</v>
      </c>
      <c r="AA17" s="20"/>
      <c r="AB17" s="20">
        <v>89</v>
      </c>
      <c r="AC17" s="20"/>
      <c r="AD17" s="174">
        <v>23</v>
      </c>
      <c r="AE17" s="174"/>
      <c r="AF17" s="174">
        <v>30</v>
      </c>
      <c r="AG17" s="174"/>
      <c r="AH17" s="174" t="s">
        <v>84</v>
      </c>
      <c r="AI17" s="174"/>
      <c r="AJ17" s="174">
        <v>10</v>
      </c>
      <c r="AK17" s="174"/>
      <c r="AL17" s="20">
        <v>136</v>
      </c>
      <c r="AM17" s="180">
        <v>285000</v>
      </c>
      <c r="AN17" s="173">
        <v>361</v>
      </c>
      <c r="AO17" s="20">
        <v>3</v>
      </c>
      <c r="AP17" s="20">
        <v>5</v>
      </c>
      <c r="AQ17" s="20"/>
      <c r="AR17" s="20"/>
      <c r="AS17" s="181">
        <v>0</v>
      </c>
      <c r="AT17" s="174">
        <v>0</v>
      </c>
      <c r="AU17" s="182">
        <f t="shared" si="4"/>
        <v>0</v>
      </c>
      <c r="AV17" s="174">
        <v>0</v>
      </c>
      <c r="AW17" s="183">
        <f t="shared" si="5"/>
        <v>0</v>
      </c>
      <c r="AX17" s="184">
        <f t="shared" si="6"/>
        <v>0</v>
      </c>
      <c r="AY17" s="176">
        <f t="shared" si="7"/>
        <v>0</v>
      </c>
      <c r="AZ17" s="185">
        <f t="shared" si="8"/>
        <v>0</v>
      </c>
      <c r="BA17" s="183">
        <v>0</v>
      </c>
      <c r="BB17" s="176">
        <f t="shared" si="40"/>
        <v>0</v>
      </c>
      <c r="BC17" s="179">
        <f t="shared" si="10"/>
        <v>0</v>
      </c>
      <c r="BD17" s="179">
        <v>0</v>
      </c>
      <c r="BE17" s="182">
        <v>0</v>
      </c>
      <c r="BF17" s="186">
        <f t="shared" si="11"/>
        <v>32.18</v>
      </c>
      <c r="BG17" s="186">
        <v>32.18</v>
      </c>
      <c r="BH17" s="187">
        <f t="shared" si="12"/>
        <v>0</v>
      </c>
      <c r="BI17" s="182">
        <f t="shared" si="13"/>
        <v>0</v>
      </c>
      <c r="BJ17" s="179">
        <f t="shared" si="14"/>
        <v>0</v>
      </c>
      <c r="BK17" s="179"/>
      <c r="BL17" s="179">
        <f t="shared" si="15"/>
        <v>0</v>
      </c>
      <c r="BM17" s="178"/>
      <c r="BN17" s="7"/>
      <c r="BO17" s="20"/>
      <c r="BP17" s="182"/>
      <c r="BQ17" s="182">
        <f t="shared" si="34"/>
        <v>0</v>
      </c>
      <c r="BR17" s="182">
        <f t="shared" si="16"/>
        <v>0</v>
      </c>
      <c r="BS17" s="182">
        <f t="shared" si="17"/>
        <v>0</v>
      </c>
      <c r="BT17" s="188">
        <f t="shared" si="18"/>
        <v>0</v>
      </c>
      <c r="BU17" s="20">
        <f t="shared" si="19"/>
        <v>3</v>
      </c>
      <c r="BV17" s="20">
        <f t="shared" si="20"/>
        <v>3</v>
      </c>
      <c r="BW17" s="185">
        <f t="shared" si="21"/>
        <v>1</v>
      </c>
      <c r="BX17" s="182">
        <f t="shared" si="22"/>
        <v>0</v>
      </c>
      <c r="BY17" s="182">
        <f t="shared" si="23"/>
        <v>0</v>
      </c>
      <c r="BZ17" s="182">
        <f t="shared" si="24"/>
        <v>0</v>
      </c>
      <c r="CA17" s="182">
        <f t="shared" si="25"/>
        <v>0</v>
      </c>
      <c r="CB17" s="189">
        <f t="shared" si="35"/>
        <v>0</v>
      </c>
      <c r="CC17" s="190">
        <f t="shared" si="36"/>
        <v>0</v>
      </c>
      <c r="CD17" s="190">
        <f t="shared" si="37"/>
        <v>0</v>
      </c>
      <c r="CE17" s="189">
        <v>0.08</v>
      </c>
      <c r="CF17" s="189">
        <v>0.08</v>
      </c>
      <c r="CG17" s="189">
        <v>0.08</v>
      </c>
      <c r="CH17" s="189">
        <v>0.08</v>
      </c>
      <c r="CI17" s="189">
        <v>0.05</v>
      </c>
      <c r="CJ17" s="189">
        <v>0.06</v>
      </c>
      <c r="CK17" s="189">
        <v>0.04</v>
      </c>
      <c r="CL17" s="7">
        <v>38</v>
      </c>
      <c r="CM17" s="191" t="s">
        <v>84</v>
      </c>
      <c r="CN17" s="7" t="s">
        <v>84</v>
      </c>
      <c r="CO17" s="191" t="s">
        <v>84</v>
      </c>
      <c r="CP17" s="7">
        <v>89</v>
      </c>
      <c r="CQ17" s="7"/>
      <c r="CR17" s="7">
        <v>23</v>
      </c>
      <c r="CS17" s="7"/>
      <c r="CT17" s="7">
        <v>30</v>
      </c>
      <c r="CU17" s="7"/>
      <c r="CV17" s="7" t="s">
        <v>84</v>
      </c>
      <c r="CW17" s="7"/>
      <c r="CX17" s="7">
        <v>10</v>
      </c>
      <c r="CY17" s="7"/>
      <c r="CZ17" s="197"/>
      <c r="DA17" s="197"/>
      <c r="DB17" s="197"/>
      <c r="DC17" s="197"/>
      <c r="DD17" s="127">
        <v>2.9</v>
      </c>
      <c r="DE17" s="127">
        <v>4.02</v>
      </c>
      <c r="DF17" s="127">
        <v>0.47</v>
      </c>
      <c r="DG17" s="127">
        <v>3.41</v>
      </c>
      <c r="DH17" s="127">
        <v>3.36</v>
      </c>
      <c r="DI17" s="127">
        <v>2.72</v>
      </c>
      <c r="DJ17" s="127">
        <v>0.34</v>
      </c>
      <c r="DK17" s="197"/>
      <c r="DL17" s="198">
        <v>0.0023</v>
      </c>
      <c r="DM17" s="198">
        <v>0.0025</v>
      </c>
      <c r="DN17" s="198">
        <v>0.0025</v>
      </c>
      <c r="DO17" s="198">
        <v>0.0025</v>
      </c>
      <c r="DP17" s="197"/>
      <c r="DQ17" s="192">
        <v>0.045</v>
      </c>
      <c r="DR17" s="192">
        <v>0.0508</v>
      </c>
      <c r="DS17" s="192">
        <v>0.0489</v>
      </c>
      <c r="DT17" s="192">
        <v>0.0486</v>
      </c>
      <c r="DU17" s="192">
        <v>0.061</v>
      </c>
      <c r="DV17" s="192">
        <v>0.0628</v>
      </c>
      <c r="DW17" s="127"/>
      <c r="DX17" s="192">
        <v>0.0175</v>
      </c>
      <c r="DY17" s="192">
        <v>0.0205</v>
      </c>
      <c r="DZ17" s="192">
        <v>0.0205</v>
      </c>
      <c r="EA17" s="192">
        <v>0.0205</v>
      </c>
      <c r="EB17" s="192">
        <v>0.031</v>
      </c>
      <c r="EC17" s="192">
        <v>0.0257</v>
      </c>
      <c r="ED17" s="127"/>
      <c r="EE17" s="127">
        <v>0.39</v>
      </c>
      <c r="EF17" s="127">
        <v>0.61</v>
      </c>
      <c r="EG17" s="127">
        <v>0.54</v>
      </c>
      <c r="EH17" s="127">
        <v>0.35</v>
      </c>
      <c r="EI17" s="127">
        <v>0.58</v>
      </c>
      <c r="EJ17" s="127">
        <v>0.55</v>
      </c>
      <c r="EK17" s="197"/>
      <c r="EL17" s="197"/>
      <c r="EM17" s="197"/>
      <c r="EN17" s="197"/>
      <c r="EO17" s="197"/>
      <c r="EP17" s="197"/>
      <c r="EQ17" s="197"/>
      <c r="ER17" s="197"/>
      <c r="ES17" s="197"/>
      <c r="ET17" s="197"/>
      <c r="EU17" s="197"/>
      <c r="EV17" s="197"/>
      <c r="EW17" s="197"/>
      <c r="EX17" s="197"/>
      <c r="EY17" s="197"/>
      <c r="EZ17" s="127">
        <v>0</v>
      </c>
      <c r="FA17" s="192">
        <f t="shared" si="26"/>
        <v>0</v>
      </c>
      <c r="FB17" s="192">
        <v>0</v>
      </c>
      <c r="FC17" s="192">
        <f t="shared" si="27"/>
        <v>0</v>
      </c>
      <c r="FD17" s="192">
        <f t="shared" si="28"/>
        <v>0</v>
      </c>
      <c r="FE17" s="193">
        <f t="shared" si="29"/>
        <v>0</v>
      </c>
      <c r="FF17" s="197"/>
      <c r="FG17" s="197"/>
      <c r="FH17" s="197"/>
      <c r="FI17" s="194">
        <v>0.045</v>
      </c>
      <c r="FJ17" s="194">
        <f t="shared" si="30"/>
        <v>0</v>
      </c>
      <c r="FK17" s="196">
        <v>89.57</v>
      </c>
      <c r="FL17" s="127">
        <f t="shared" si="38"/>
        <v>13.4355</v>
      </c>
      <c r="FM17" s="196">
        <v>5.19</v>
      </c>
      <c r="FN17" s="127">
        <f t="shared" si="31"/>
        <v>0</v>
      </c>
      <c r="FO17" s="197"/>
      <c r="FP17" s="127">
        <f t="shared" si="32"/>
        <v>32.18</v>
      </c>
      <c r="FQ17" s="127">
        <f t="shared" si="33"/>
        <v>0</v>
      </c>
      <c r="FR17" s="196">
        <v>32.18</v>
      </c>
      <c r="FS17" s="197"/>
      <c r="FT17" s="197"/>
      <c r="FU17" s="197"/>
      <c r="FV17" s="197"/>
      <c r="FW17" s="197"/>
      <c r="FX17" s="197"/>
      <c r="FY17" s="197"/>
      <c r="FZ17" s="127"/>
      <c r="GA17" s="127"/>
      <c r="GB17" s="127"/>
      <c r="GC17" s="127"/>
      <c r="GD17" s="127"/>
      <c r="GE17" s="127"/>
      <c r="GF17" s="127"/>
      <c r="GG17" s="127"/>
      <c r="GH17" s="127"/>
      <c r="GI17" s="127"/>
      <c r="GJ17" s="127"/>
      <c r="GK17" s="127"/>
      <c r="GL17" s="127"/>
      <c r="GM17" s="127"/>
      <c r="GN17" s="127"/>
      <c r="GO17" s="127"/>
      <c r="GP17" s="127"/>
      <c r="GQ17" s="127"/>
      <c r="GR17" s="127"/>
      <c r="GS17" s="127"/>
      <c r="GT17" s="127"/>
      <c r="GU17" s="127"/>
      <c r="GV17" s="127"/>
      <c r="GW17" s="127"/>
      <c r="GX17" s="127"/>
      <c r="GY17" s="127"/>
      <c r="GZ17" s="127"/>
    </row>
    <row r="18" spans="1:208">
      <c r="A18" s="172">
        <v>45809</v>
      </c>
      <c r="B18" s="20" t="s">
        <v>371</v>
      </c>
      <c r="C18" s="173" t="s">
        <v>84</v>
      </c>
      <c r="D18" s="174">
        <v>139.99</v>
      </c>
      <c r="E18" s="175">
        <v>139.95</v>
      </c>
      <c r="F18" s="176">
        <v>0.3</v>
      </c>
      <c r="G18" s="176">
        <v>0.15</v>
      </c>
      <c r="H18" s="177">
        <f t="shared" si="0"/>
        <v>83.29405</v>
      </c>
      <c r="I18" s="176">
        <v>0.08</v>
      </c>
      <c r="J18" s="178">
        <v>0.06</v>
      </c>
      <c r="K18" s="20">
        <v>4</v>
      </c>
      <c r="L18" s="20">
        <v>8</v>
      </c>
      <c r="M18" s="20">
        <f t="shared" si="39"/>
        <v>12</v>
      </c>
      <c r="N18" s="176">
        <f t="shared" si="1"/>
        <v>0.166666666666667</v>
      </c>
      <c r="O18" s="179">
        <f t="shared" si="2"/>
        <v>0</v>
      </c>
      <c r="P18" s="179">
        <f t="shared" si="3"/>
        <v>0</v>
      </c>
      <c r="Q18" s="20">
        <v>2</v>
      </c>
      <c r="R18" s="20"/>
      <c r="S18" s="20">
        <v>2</v>
      </c>
      <c r="T18" s="20">
        <v>2</v>
      </c>
      <c r="U18" s="176">
        <v>1</v>
      </c>
      <c r="V18" s="20">
        <v>0</v>
      </c>
      <c r="W18" s="178">
        <v>272.98</v>
      </c>
      <c r="X18" s="174">
        <v>40</v>
      </c>
      <c r="Y18" s="174"/>
      <c r="Z18" s="20" t="s">
        <v>84</v>
      </c>
      <c r="AA18" s="20"/>
      <c r="AB18" s="20">
        <v>110</v>
      </c>
      <c r="AC18" s="20"/>
      <c r="AD18" s="174">
        <v>29</v>
      </c>
      <c r="AE18" s="174"/>
      <c r="AF18" s="174">
        <v>35</v>
      </c>
      <c r="AG18" s="174"/>
      <c r="AH18" s="174" t="s">
        <v>84</v>
      </c>
      <c r="AI18" s="174"/>
      <c r="AJ18" s="174">
        <v>8</v>
      </c>
      <c r="AK18" s="174"/>
      <c r="AL18" s="20">
        <v>136</v>
      </c>
      <c r="AM18" s="180">
        <v>283512</v>
      </c>
      <c r="AN18" s="173">
        <v>357</v>
      </c>
      <c r="AO18" s="20">
        <v>3</v>
      </c>
      <c r="AP18" s="20">
        <v>5</v>
      </c>
      <c r="AQ18" s="20"/>
      <c r="AR18" s="20"/>
      <c r="AS18" s="181">
        <v>0</v>
      </c>
      <c r="AT18" s="174">
        <v>0</v>
      </c>
      <c r="AU18" s="182">
        <f t="shared" si="4"/>
        <v>0</v>
      </c>
      <c r="AV18" s="174">
        <v>0</v>
      </c>
      <c r="AW18" s="183">
        <f t="shared" si="5"/>
        <v>0</v>
      </c>
      <c r="AX18" s="184">
        <f t="shared" si="6"/>
        <v>0</v>
      </c>
      <c r="AY18" s="176">
        <f t="shared" si="7"/>
        <v>0</v>
      </c>
      <c r="AZ18" s="185">
        <f t="shared" si="8"/>
        <v>0</v>
      </c>
      <c r="BA18" s="183">
        <v>0</v>
      </c>
      <c r="BB18" s="176">
        <f t="shared" si="40"/>
        <v>0</v>
      </c>
      <c r="BC18" s="179">
        <f t="shared" si="10"/>
        <v>0</v>
      </c>
      <c r="BD18" s="179">
        <v>0</v>
      </c>
      <c r="BE18" s="182">
        <v>0</v>
      </c>
      <c r="BF18" s="186">
        <f t="shared" si="11"/>
        <v>32.18</v>
      </c>
      <c r="BG18" s="186">
        <v>32.18</v>
      </c>
      <c r="BH18" s="187">
        <f t="shared" si="12"/>
        <v>-43.16</v>
      </c>
      <c r="BI18" s="182">
        <f t="shared" si="13"/>
        <v>-0.158106821012528</v>
      </c>
      <c r="BJ18" s="179">
        <f t="shared" si="14"/>
        <v>290</v>
      </c>
      <c r="BK18" s="179"/>
      <c r="BL18" s="179">
        <f t="shared" si="15"/>
        <v>43.16</v>
      </c>
      <c r="BM18" s="178"/>
      <c r="BN18" s="7"/>
      <c r="BO18" s="20"/>
      <c r="BP18" s="182"/>
      <c r="BQ18" s="182">
        <f t="shared" si="34"/>
        <v>0</v>
      </c>
      <c r="BR18" s="182">
        <f t="shared" si="16"/>
        <v>0</v>
      </c>
      <c r="BS18" s="182">
        <f t="shared" si="17"/>
        <v>0</v>
      </c>
      <c r="BT18" s="188">
        <f t="shared" si="18"/>
        <v>0</v>
      </c>
      <c r="BU18" s="20">
        <f t="shared" si="19"/>
        <v>12</v>
      </c>
      <c r="BV18" s="20">
        <f t="shared" si="20"/>
        <v>12</v>
      </c>
      <c r="BW18" s="185">
        <f t="shared" si="21"/>
        <v>1</v>
      </c>
      <c r="BX18" s="182">
        <f t="shared" si="22"/>
        <v>0</v>
      </c>
      <c r="BY18" s="182">
        <f t="shared" si="23"/>
        <v>0</v>
      </c>
      <c r="BZ18" s="182">
        <f t="shared" si="24"/>
        <v>0</v>
      </c>
      <c r="CA18" s="182">
        <f t="shared" si="25"/>
        <v>0</v>
      </c>
      <c r="CB18" s="189">
        <f t="shared" si="35"/>
        <v>0</v>
      </c>
      <c r="CC18" s="190">
        <f t="shared" si="36"/>
        <v>0.166666666666667</v>
      </c>
      <c r="CD18" s="190">
        <f t="shared" si="37"/>
        <v>0</v>
      </c>
      <c r="CE18" s="189">
        <v>0.08</v>
      </c>
      <c r="CF18" s="189">
        <v>0.08</v>
      </c>
      <c r="CG18" s="189">
        <v>0.08</v>
      </c>
      <c r="CH18" s="189">
        <v>0.08</v>
      </c>
      <c r="CI18" s="189">
        <v>0.05</v>
      </c>
      <c r="CJ18" s="189">
        <v>0.06</v>
      </c>
      <c r="CK18" s="189">
        <v>0.04</v>
      </c>
      <c r="CL18" s="191">
        <v>40</v>
      </c>
      <c r="CM18" s="191" t="s">
        <v>84</v>
      </c>
      <c r="CN18" s="191" t="s">
        <v>84</v>
      </c>
      <c r="CO18" s="191" t="s">
        <v>84</v>
      </c>
      <c r="CP18" s="191">
        <v>110</v>
      </c>
      <c r="CQ18" s="191"/>
      <c r="CR18" s="191">
        <v>29</v>
      </c>
      <c r="CS18" s="191"/>
      <c r="CT18" s="191">
        <v>35</v>
      </c>
      <c r="CU18" s="191"/>
      <c r="CV18" s="191" t="s">
        <v>84</v>
      </c>
      <c r="CW18" s="191"/>
      <c r="CX18" s="191">
        <v>8</v>
      </c>
      <c r="CY18" s="191"/>
      <c r="CZ18" s="127"/>
      <c r="DA18" s="127"/>
      <c r="DB18" s="127"/>
      <c r="DC18" s="127"/>
      <c r="DD18" s="127">
        <v>2.9</v>
      </c>
      <c r="DE18" s="127">
        <v>4.02</v>
      </c>
      <c r="DF18" s="127">
        <v>0.47</v>
      </c>
      <c r="DG18" s="127">
        <v>3.41</v>
      </c>
      <c r="DH18" s="127">
        <v>3.36</v>
      </c>
      <c r="DI18" s="127">
        <v>2.72</v>
      </c>
      <c r="DJ18" s="127">
        <v>0.34</v>
      </c>
      <c r="DK18" s="127"/>
      <c r="DL18" s="198">
        <v>0.0023</v>
      </c>
      <c r="DM18" s="198">
        <v>0.0025</v>
      </c>
      <c r="DN18" s="198">
        <v>0.0025</v>
      </c>
      <c r="DO18" s="198">
        <v>0.0025</v>
      </c>
      <c r="DP18" s="127"/>
      <c r="DQ18" s="192">
        <v>0.045</v>
      </c>
      <c r="DR18" s="192">
        <v>0.0508</v>
      </c>
      <c r="DS18" s="192">
        <v>0.0489</v>
      </c>
      <c r="DT18" s="192">
        <v>0.0486</v>
      </c>
      <c r="DU18" s="192">
        <v>0.061</v>
      </c>
      <c r="DV18" s="192">
        <v>0.0628</v>
      </c>
      <c r="DW18" s="127"/>
      <c r="DX18" s="192">
        <v>0.0175</v>
      </c>
      <c r="DY18" s="192">
        <v>0.0205</v>
      </c>
      <c r="DZ18" s="192">
        <v>0.0205</v>
      </c>
      <c r="EA18" s="192">
        <v>0.0205</v>
      </c>
      <c r="EB18" s="192">
        <v>0.031</v>
      </c>
      <c r="EC18" s="192">
        <v>0.0257</v>
      </c>
      <c r="ED18" s="127"/>
      <c r="EE18" s="127">
        <v>0.39</v>
      </c>
      <c r="EF18" s="127">
        <v>0.61</v>
      </c>
      <c r="EG18" s="127">
        <v>0.54</v>
      </c>
      <c r="EH18" s="127">
        <v>0.35</v>
      </c>
      <c r="EI18" s="127">
        <v>0.58</v>
      </c>
      <c r="EJ18" s="127">
        <v>0.55</v>
      </c>
      <c r="EK18" s="127"/>
      <c r="EL18" s="127"/>
      <c r="EM18" s="127"/>
      <c r="EN18" s="127"/>
      <c r="EO18" s="127"/>
      <c r="EP18" s="127"/>
      <c r="EQ18" s="127"/>
      <c r="ER18" s="127"/>
      <c r="ES18" s="127"/>
      <c r="ET18" s="127"/>
      <c r="EU18" s="127"/>
      <c r="EV18" s="127"/>
      <c r="EW18" s="127"/>
      <c r="EX18" s="127"/>
      <c r="EY18" s="127"/>
      <c r="EZ18" s="127">
        <v>0</v>
      </c>
      <c r="FA18" s="192">
        <f t="shared" si="26"/>
        <v>0</v>
      </c>
      <c r="FB18" s="192">
        <v>0</v>
      </c>
      <c r="FC18" s="192">
        <f t="shared" si="27"/>
        <v>0.166666666666667</v>
      </c>
      <c r="FD18" s="192">
        <f t="shared" si="28"/>
        <v>0</v>
      </c>
      <c r="FE18" s="193">
        <f t="shared" si="29"/>
        <v>0</v>
      </c>
      <c r="FF18" s="127"/>
      <c r="FG18" s="127"/>
      <c r="FH18" s="127"/>
      <c r="FI18" s="194">
        <v>0.045</v>
      </c>
      <c r="FJ18" s="194">
        <f t="shared" si="30"/>
        <v>0.166666666666667</v>
      </c>
      <c r="FK18" s="196">
        <v>89.57</v>
      </c>
      <c r="FL18" s="127">
        <f t="shared" si="38"/>
        <v>13.4355</v>
      </c>
      <c r="FM18" s="196">
        <v>5.19</v>
      </c>
      <c r="FN18" s="127">
        <f t="shared" si="31"/>
        <v>0</v>
      </c>
      <c r="FO18" s="127"/>
      <c r="FP18" s="127">
        <f t="shared" si="32"/>
        <v>32.18</v>
      </c>
      <c r="FQ18" s="127">
        <f t="shared" si="33"/>
        <v>-43.16</v>
      </c>
      <c r="FR18" s="196">
        <v>32.18</v>
      </c>
      <c r="FS18" s="127"/>
      <c r="FT18" s="127"/>
      <c r="FU18" s="127"/>
      <c r="FV18" s="127"/>
      <c r="FW18" s="127"/>
      <c r="FX18" s="127"/>
      <c r="FY18" s="127"/>
      <c r="FZ18" s="127"/>
      <c r="GA18" s="127"/>
      <c r="GB18" s="127"/>
      <c r="GC18" s="127"/>
      <c r="GD18" s="127"/>
      <c r="GE18" s="127"/>
      <c r="GF18" s="127"/>
      <c r="GG18" s="127"/>
      <c r="GH18" s="127"/>
      <c r="GI18" s="127"/>
      <c r="GJ18" s="127"/>
      <c r="GK18" s="127"/>
      <c r="GL18" s="127"/>
      <c r="GM18" s="127"/>
      <c r="GN18" s="127"/>
      <c r="GO18" s="127"/>
      <c r="GP18" s="127"/>
      <c r="GQ18" s="127"/>
      <c r="GR18" s="127"/>
      <c r="GS18" s="127"/>
      <c r="GT18" s="127"/>
      <c r="GU18" s="127"/>
      <c r="GV18" s="127"/>
      <c r="GW18" s="127"/>
      <c r="GX18" s="127"/>
      <c r="GY18" s="127"/>
      <c r="GZ18" s="127"/>
    </row>
    <row r="19" spans="1:208">
      <c r="A19" s="172">
        <v>45810</v>
      </c>
      <c r="B19" s="20" t="s">
        <v>373</v>
      </c>
      <c r="C19" s="199" t="s">
        <v>387</v>
      </c>
      <c r="D19" s="174">
        <v>139.99</v>
      </c>
      <c r="E19" s="175">
        <v>139.95</v>
      </c>
      <c r="F19" s="176">
        <v>0.3</v>
      </c>
      <c r="G19" s="176">
        <v>0.15</v>
      </c>
      <c r="H19" s="177">
        <f t="shared" si="0"/>
        <v>83.29405</v>
      </c>
      <c r="I19" s="176">
        <v>0.08</v>
      </c>
      <c r="J19" s="178">
        <v>0.06</v>
      </c>
      <c r="K19" s="20">
        <v>6</v>
      </c>
      <c r="L19" s="20">
        <v>1</v>
      </c>
      <c r="M19" s="20">
        <f t="shared" si="39"/>
        <v>7</v>
      </c>
      <c r="N19" s="176">
        <f t="shared" si="1"/>
        <v>0.142857142857143</v>
      </c>
      <c r="O19" s="179">
        <f t="shared" si="2"/>
        <v>0</v>
      </c>
      <c r="P19" s="179">
        <f t="shared" si="3"/>
        <v>0</v>
      </c>
      <c r="Q19" s="20">
        <v>1</v>
      </c>
      <c r="R19" s="20"/>
      <c r="S19" s="20">
        <v>1</v>
      </c>
      <c r="T19" s="20">
        <v>1</v>
      </c>
      <c r="U19" s="176">
        <v>1</v>
      </c>
      <c r="V19" s="20">
        <v>0</v>
      </c>
      <c r="W19" s="174">
        <v>139.98</v>
      </c>
      <c r="X19" s="174">
        <v>43</v>
      </c>
      <c r="Y19" s="174"/>
      <c r="Z19" s="20" t="s">
        <v>84</v>
      </c>
      <c r="AA19" s="20"/>
      <c r="AB19" s="20">
        <v>110</v>
      </c>
      <c r="AC19" s="20"/>
      <c r="AD19" s="20" t="s">
        <v>84</v>
      </c>
      <c r="AE19" s="20"/>
      <c r="AF19" s="174">
        <v>38</v>
      </c>
      <c r="AG19" s="174"/>
      <c r="AH19" s="174" t="s">
        <v>84</v>
      </c>
      <c r="AI19" s="174"/>
      <c r="AJ19" s="174">
        <v>10</v>
      </c>
      <c r="AK19" s="174"/>
      <c r="AL19" s="20">
        <v>136</v>
      </c>
      <c r="AM19" s="180">
        <v>285000</v>
      </c>
      <c r="AN19" s="173">
        <v>361</v>
      </c>
      <c r="AO19" s="20">
        <v>3</v>
      </c>
      <c r="AP19" s="20">
        <v>5</v>
      </c>
      <c r="AQ19" s="20"/>
      <c r="AR19" s="20"/>
      <c r="AS19" s="181">
        <v>0</v>
      </c>
      <c r="AT19" s="174">
        <v>0</v>
      </c>
      <c r="AU19" s="182">
        <f t="shared" si="4"/>
        <v>0</v>
      </c>
      <c r="AV19" s="174">
        <v>0</v>
      </c>
      <c r="AW19" s="183">
        <f t="shared" si="5"/>
        <v>0</v>
      </c>
      <c r="AX19" s="184">
        <f t="shared" si="6"/>
        <v>0</v>
      </c>
      <c r="AY19" s="176">
        <f t="shared" si="7"/>
        <v>0</v>
      </c>
      <c r="AZ19" s="185">
        <f t="shared" si="8"/>
        <v>0</v>
      </c>
      <c r="BA19" s="183">
        <v>0</v>
      </c>
      <c r="BB19" s="176">
        <f t="shared" si="40"/>
        <v>0</v>
      </c>
      <c r="BC19" s="179">
        <f t="shared" si="10"/>
        <v>0</v>
      </c>
      <c r="BD19" s="179">
        <v>0</v>
      </c>
      <c r="BE19" s="182">
        <v>0</v>
      </c>
      <c r="BF19" s="186">
        <f t="shared" si="11"/>
        <v>32.18</v>
      </c>
      <c r="BG19" s="186">
        <v>32.18</v>
      </c>
      <c r="BH19" s="187">
        <f t="shared" si="12"/>
        <v>-21.58</v>
      </c>
      <c r="BI19" s="182">
        <f t="shared" si="13"/>
        <v>-0.154164880697242</v>
      </c>
      <c r="BJ19" s="179">
        <f t="shared" si="14"/>
        <v>145</v>
      </c>
      <c r="BK19" s="179"/>
      <c r="BL19" s="179">
        <f t="shared" si="15"/>
        <v>21.58</v>
      </c>
      <c r="BM19" s="178"/>
      <c r="BN19" s="7"/>
      <c r="BO19" s="20"/>
      <c r="BP19" s="182"/>
      <c r="BQ19" s="182">
        <f t="shared" si="34"/>
        <v>0</v>
      </c>
      <c r="BR19" s="182">
        <f t="shared" si="16"/>
        <v>0</v>
      </c>
      <c r="BS19" s="182">
        <f t="shared" si="17"/>
        <v>0</v>
      </c>
      <c r="BT19" s="188">
        <f t="shared" si="18"/>
        <v>0</v>
      </c>
      <c r="BU19" s="20">
        <f t="shared" si="19"/>
        <v>7</v>
      </c>
      <c r="BV19" s="20">
        <f t="shared" si="20"/>
        <v>7</v>
      </c>
      <c r="BW19" s="185">
        <f t="shared" si="21"/>
        <v>1</v>
      </c>
      <c r="BX19" s="182">
        <f t="shared" si="22"/>
        <v>0</v>
      </c>
      <c r="BY19" s="182">
        <f t="shared" si="23"/>
        <v>0</v>
      </c>
      <c r="BZ19" s="182">
        <f t="shared" si="24"/>
        <v>0</v>
      </c>
      <c r="CA19" s="182">
        <f t="shared" si="25"/>
        <v>0</v>
      </c>
      <c r="CB19" s="189">
        <f t="shared" si="35"/>
        <v>0</v>
      </c>
      <c r="CC19" s="190">
        <f t="shared" si="36"/>
        <v>0.142857142857143</v>
      </c>
      <c r="CD19" s="190">
        <f t="shared" si="37"/>
        <v>0</v>
      </c>
      <c r="CE19" s="189">
        <v>0.08</v>
      </c>
      <c r="CF19" s="189">
        <v>0.08</v>
      </c>
      <c r="CG19" s="189">
        <v>0.08</v>
      </c>
      <c r="CH19" s="189">
        <v>0.08</v>
      </c>
      <c r="CI19" s="189">
        <v>0.05</v>
      </c>
      <c r="CJ19" s="189">
        <v>0.06</v>
      </c>
      <c r="CK19" s="189">
        <v>0.04</v>
      </c>
      <c r="CL19" s="191">
        <v>43</v>
      </c>
      <c r="CM19" s="191" t="s">
        <v>84</v>
      </c>
      <c r="CN19" s="191" t="s">
        <v>84</v>
      </c>
      <c r="CO19" s="191" t="s">
        <v>84</v>
      </c>
      <c r="CP19" s="191">
        <v>110</v>
      </c>
      <c r="CQ19" s="191"/>
      <c r="CR19" s="191" t="s">
        <v>84</v>
      </c>
      <c r="CS19" s="191"/>
      <c r="CT19" s="191">
        <v>38</v>
      </c>
      <c r="CU19" s="191"/>
      <c r="CV19" s="191" t="s">
        <v>84</v>
      </c>
      <c r="CW19" s="191"/>
      <c r="CX19" s="191">
        <v>10</v>
      </c>
      <c r="CY19" s="191"/>
      <c r="CZ19" s="127"/>
      <c r="DA19" s="127"/>
      <c r="DB19" s="127"/>
      <c r="DC19" s="127"/>
      <c r="DD19" s="127">
        <v>2.9</v>
      </c>
      <c r="DE19" s="127">
        <v>4.02</v>
      </c>
      <c r="DF19" s="127">
        <v>0.47</v>
      </c>
      <c r="DG19" s="127">
        <v>3.41</v>
      </c>
      <c r="DH19" s="127">
        <v>3.36</v>
      </c>
      <c r="DI19" s="127">
        <v>2.72</v>
      </c>
      <c r="DJ19" s="127">
        <v>0.34</v>
      </c>
      <c r="DK19" s="127"/>
      <c r="DL19" s="198">
        <v>0.0023</v>
      </c>
      <c r="DM19" s="198">
        <v>0.0025</v>
      </c>
      <c r="DN19" s="198">
        <v>0.0025</v>
      </c>
      <c r="DO19" s="198">
        <v>0.0025</v>
      </c>
      <c r="DP19" s="127"/>
      <c r="DQ19" s="192">
        <v>0.045</v>
      </c>
      <c r="DR19" s="192">
        <v>0.0508</v>
      </c>
      <c r="DS19" s="192">
        <v>0.0489</v>
      </c>
      <c r="DT19" s="192">
        <v>0.0486</v>
      </c>
      <c r="DU19" s="192">
        <v>0.061</v>
      </c>
      <c r="DV19" s="192">
        <v>0.0628</v>
      </c>
      <c r="DW19" s="127"/>
      <c r="DX19" s="192">
        <v>0.0175</v>
      </c>
      <c r="DY19" s="192">
        <v>0.0205</v>
      </c>
      <c r="DZ19" s="192">
        <v>0.0205</v>
      </c>
      <c r="EA19" s="192">
        <v>0.0205</v>
      </c>
      <c r="EB19" s="192">
        <v>0.031</v>
      </c>
      <c r="EC19" s="192">
        <v>0.0257</v>
      </c>
      <c r="ED19" s="127"/>
      <c r="EE19" s="127">
        <v>0.39</v>
      </c>
      <c r="EF19" s="127">
        <v>0.61</v>
      </c>
      <c r="EG19" s="127">
        <v>0.54</v>
      </c>
      <c r="EH19" s="127">
        <v>0.35</v>
      </c>
      <c r="EI19" s="127">
        <v>0.58</v>
      </c>
      <c r="EJ19" s="127">
        <v>0.55</v>
      </c>
      <c r="EK19" s="127"/>
      <c r="EL19" s="127"/>
      <c r="EM19" s="127"/>
      <c r="EN19" s="127"/>
      <c r="EO19" s="127"/>
      <c r="EP19" s="127"/>
      <c r="EQ19" s="127"/>
      <c r="ER19" s="127"/>
      <c r="ES19" s="127"/>
      <c r="ET19" s="127"/>
      <c r="EU19" s="127"/>
      <c r="EV19" s="127"/>
      <c r="EW19" s="127"/>
      <c r="EX19" s="127"/>
      <c r="EY19" s="127"/>
      <c r="EZ19" s="127">
        <v>0</v>
      </c>
      <c r="FA19" s="192">
        <f t="shared" si="26"/>
        <v>0</v>
      </c>
      <c r="FB19" s="192">
        <v>0</v>
      </c>
      <c r="FC19" s="192">
        <f t="shared" si="27"/>
        <v>0.142857142857143</v>
      </c>
      <c r="FD19" s="192">
        <f t="shared" si="28"/>
        <v>0</v>
      </c>
      <c r="FE19" s="193">
        <f t="shared" si="29"/>
        <v>0</v>
      </c>
      <c r="FF19" s="127"/>
      <c r="FG19" s="127"/>
      <c r="FH19" s="127"/>
      <c r="FI19" s="194">
        <v>0.045</v>
      </c>
      <c r="FJ19" s="194">
        <f t="shared" si="30"/>
        <v>0.142857142857143</v>
      </c>
      <c r="FK19" s="196">
        <v>89.57</v>
      </c>
      <c r="FL19" s="127">
        <f t="shared" si="38"/>
        <v>13.4355</v>
      </c>
      <c r="FM19" s="196">
        <v>5.19</v>
      </c>
      <c r="FN19" s="127">
        <f t="shared" si="31"/>
        <v>0</v>
      </c>
      <c r="FO19" s="127"/>
      <c r="FP19" s="127">
        <f t="shared" si="32"/>
        <v>32.18</v>
      </c>
      <c r="FQ19" s="127">
        <f t="shared" si="33"/>
        <v>-21.58</v>
      </c>
      <c r="FR19" s="196">
        <v>32.18</v>
      </c>
      <c r="FS19" s="127"/>
      <c r="FT19" s="127"/>
      <c r="FU19" s="127"/>
      <c r="FV19" s="127"/>
      <c r="FW19" s="127"/>
      <c r="FX19" s="127"/>
      <c r="FY19" s="127"/>
      <c r="FZ19" s="127"/>
      <c r="GA19" s="127"/>
      <c r="GB19" s="127"/>
      <c r="GC19" s="127"/>
      <c r="GD19" s="127"/>
      <c r="GE19" s="127"/>
      <c r="GF19" s="127"/>
      <c r="GG19" s="127"/>
      <c r="GH19" s="127"/>
      <c r="GI19" s="127"/>
      <c r="GJ19" s="127"/>
      <c r="GK19" s="127"/>
      <c r="GL19" s="127"/>
      <c r="GM19" s="127"/>
      <c r="GN19" s="127"/>
      <c r="GO19" s="127"/>
      <c r="GP19" s="127"/>
      <c r="GQ19" s="127"/>
      <c r="GR19" s="127"/>
      <c r="GS19" s="127"/>
      <c r="GT19" s="127"/>
      <c r="GU19" s="127"/>
      <c r="GV19" s="127"/>
      <c r="GW19" s="127"/>
      <c r="GX19" s="127"/>
      <c r="GY19" s="127"/>
      <c r="GZ19" s="127"/>
    </row>
    <row r="20" spans="1:208">
      <c r="A20" s="172">
        <v>45811</v>
      </c>
      <c r="B20" s="20" t="s">
        <v>375</v>
      </c>
      <c r="C20" s="173" t="s">
        <v>388</v>
      </c>
      <c r="D20" s="174">
        <v>139.99</v>
      </c>
      <c r="E20" s="175">
        <v>97.97</v>
      </c>
      <c r="F20" s="176">
        <v>0.3</v>
      </c>
      <c r="G20" s="176">
        <v>0.15</v>
      </c>
      <c r="H20" s="177">
        <f t="shared" si="0"/>
        <v>83.29405</v>
      </c>
      <c r="I20" s="176">
        <v>0.08</v>
      </c>
      <c r="J20" s="178">
        <v>0.06</v>
      </c>
      <c r="K20" s="20">
        <v>5</v>
      </c>
      <c r="L20" s="20">
        <v>16</v>
      </c>
      <c r="M20" s="20">
        <f t="shared" si="39"/>
        <v>21</v>
      </c>
      <c r="N20" s="176">
        <f t="shared" si="1"/>
        <v>0.0476190476190476</v>
      </c>
      <c r="O20" s="179">
        <f t="shared" si="2"/>
        <v>0</v>
      </c>
      <c r="P20" s="179">
        <f t="shared" si="3"/>
        <v>0</v>
      </c>
      <c r="Q20" s="20">
        <v>1</v>
      </c>
      <c r="R20" s="20"/>
      <c r="S20" s="20">
        <v>1</v>
      </c>
      <c r="T20" s="20">
        <v>1</v>
      </c>
      <c r="U20" s="176">
        <v>1</v>
      </c>
      <c r="V20" s="20">
        <v>0</v>
      </c>
      <c r="W20" s="174">
        <v>97.97</v>
      </c>
      <c r="X20" s="174">
        <v>37</v>
      </c>
      <c r="Y20" s="174"/>
      <c r="Z20" s="20" t="s">
        <v>84</v>
      </c>
      <c r="AA20" s="20"/>
      <c r="AB20" s="20">
        <v>90</v>
      </c>
      <c r="AC20" s="20"/>
      <c r="AD20" s="174">
        <v>32</v>
      </c>
      <c r="AE20" s="174"/>
      <c r="AF20" s="174">
        <v>32</v>
      </c>
      <c r="AG20" s="174"/>
      <c r="AH20" s="174" t="s">
        <v>84</v>
      </c>
      <c r="AI20" s="174"/>
      <c r="AJ20" s="174">
        <v>4</v>
      </c>
      <c r="AK20" s="174"/>
      <c r="AL20" s="20">
        <v>136</v>
      </c>
      <c r="AM20" s="180">
        <v>143291</v>
      </c>
      <c r="AN20" s="173">
        <v>229</v>
      </c>
      <c r="AO20" s="20">
        <v>5</v>
      </c>
      <c r="AP20" s="20">
        <v>5</v>
      </c>
      <c r="AQ20" s="20"/>
      <c r="AR20" s="20"/>
      <c r="AS20" s="181">
        <v>1196</v>
      </c>
      <c r="AT20" s="20">
        <v>7</v>
      </c>
      <c r="AU20" s="182">
        <f t="shared" si="4"/>
        <v>0.00585284280936455</v>
      </c>
      <c r="AV20" s="174">
        <v>0</v>
      </c>
      <c r="AW20" s="183">
        <f t="shared" si="5"/>
        <v>0.624285714285714</v>
      </c>
      <c r="AX20" s="184">
        <f t="shared" si="6"/>
        <v>0</v>
      </c>
      <c r="AY20" s="176">
        <f t="shared" si="7"/>
        <v>0</v>
      </c>
      <c r="AZ20" s="185">
        <f t="shared" si="8"/>
        <v>0</v>
      </c>
      <c r="BA20" s="183">
        <v>4.37</v>
      </c>
      <c r="BB20" s="176">
        <f t="shared" si="40"/>
        <v>0</v>
      </c>
      <c r="BC20" s="179">
        <f t="shared" si="10"/>
        <v>0</v>
      </c>
      <c r="BD20" s="179">
        <v>0</v>
      </c>
      <c r="BE20" s="182">
        <v>0</v>
      </c>
      <c r="BF20" s="186">
        <f t="shared" si="11"/>
        <v>32.18</v>
      </c>
      <c r="BG20" s="186">
        <v>32.18</v>
      </c>
      <c r="BH20" s="187">
        <f t="shared" si="12"/>
        <v>-21.58</v>
      </c>
      <c r="BI20" s="182">
        <f t="shared" si="13"/>
        <v>-0.220271511687251</v>
      </c>
      <c r="BJ20" s="179">
        <f t="shared" si="14"/>
        <v>145</v>
      </c>
      <c r="BK20" s="179"/>
      <c r="BL20" s="179">
        <f t="shared" si="15"/>
        <v>21.58</v>
      </c>
      <c r="BM20" s="178"/>
      <c r="BN20" s="7"/>
      <c r="BO20" s="20"/>
      <c r="BP20" s="182"/>
      <c r="BQ20" s="182">
        <f t="shared" si="34"/>
        <v>0</v>
      </c>
      <c r="BR20" s="182">
        <f t="shared" si="16"/>
        <v>0</v>
      </c>
      <c r="BS20" s="182">
        <f t="shared" si="17"/>
        <v>0.333333333333333</v>
      </c>
      <c r="BT20" s="188">
        <f t="shared" si="18"/>
        <v>7</v>
      </c>
      <c r="BU20" s="20">
        <f t="shared" si="19"/>
        <v>21</v>
      </c>
      <c r="BV20" s="20">
        <f t="shared" si="20"/>
        <v>14</v>
      </c>
      <c r="BW20" s="185">
        <f t="shared" si="21"/>
        <v>0.666666666666667</v>
      </c>
      <c r="BX20" s="182">
        <f t="shared" si="22"/>
        <v>0</v>
      </c>
      <c r="BY20" s="182">
        <f t="shared" si="23"/>
        <v>0</v>
      </c>
      <c r="BZ20" s="182">
        <f t="shared" si="24"/>
        <v>0</v>
      </c>
      <c r="CA20" s="182">
        <f t="shared" si="25"/>
        <v>0</v>
      </c>
      <c r="CB20" s="189">
        <f t="shared" si="35"/>
        <v>0</v>
      </c>
      <c r="CC20" s="190">
        <f t="shared" si="36"/>
        <v>0.0476190476190476</v>
      </c>
      <c r="CD20" s="190">
        <f t="shared" si="37"/>
        <v>0</v>
      </c>
      <c r="CE20" s="189">
        <v>0.08</v>
      </c>
      <c r="CF20" s="189">
        <v>0.08</v>
      </c>
      <c r="CG20" s="189">
        <v>0.08</v>
      </c>
      <c r="CH20" s="189">
        <v>0.08</v>
      </c>
      <c r="CI20" s="189">
        <v>0.05</v>
      </c>
      <c r="CJ20" s="189">
        <v>0.06</v>
      </c>
      <c r="CK20" s="189">
        <v>0.04</v>
      </c>
      <c r="CL20" s="191">
        <v>37</v>
      </c>
      <c r="CM20" s="191" t="s">
        <v>84</v>
      </c>
      <c r="CN20" s="191" t="s">
        <v>84</v>
      </c>
      <c r="CO20" s="191" t="s">
        <v>84</v>
      </c>
      <c r="CP20" s="191">
        <v>90</v>
      </c>
      <c r="CQ20" s="191"/>
      <c r="CR20" s="191">
        <v>32</v>
      </c>
      <c r="CS20" s="191"/>
      <c r="CT20" s="191">
        <v>32</v>
      </c>
      <c r="CU20" s="191"/>
      <c r="CV20" s="191" t="s">
        <v>84</v>
      </c>
      <c r="CW20" s="191"/>
      <c r="CX20" s="191">
        <v>4</v>
      </c>
      <c r="CY20" s="191"/>
      <c r="CZ20" s="127"/>
      <c r="DA20" s="127"/>
      <c r="DB20" s="127"/>
      <c r="DC20" s="127"/>
      <c r="DD20" s="127">
        <v>2.9</v>
      </c>
      <c r="DE20" s="127">
        <v>4.02</v>
      </c>
      <c r="DF20" s="127">
        <v>0.47</v>
      </c>
      <c r="DG20" s="127">
        <v>3.41</v>
      </c>
      <c r="DH20" s="127">
        <v>3.36</v>
      </c>
      <c r="DI20" s="127">
        <v>2.72</v>
      </c>
      <c r="DJ20" s="127">
        <v>0.34</v>
      </c>
      <c r="DK20" s="127"/>
      <c r="DL20" s="198">
        <v>0.0023</v>
      </c>
      <c r="DM20" s="198">
        <v>0.0025</v>
      </c>
      <c r="DN20" s="198">
        <v>0.0025</v>
      </c>
      <c r="DO20" s="198">
        <v>0.0025</v>
      </c>
      <c r="DP20" s="127"/>
      <c r="DQ20" s="192">
        <v>0.045</v>
      </c>
      <c r="DR20" s="192">
        <v>0.0508</v>
      </c>
      <c r="DS20" s="192">
        <v>0.0489</v>
      </c>
      <c r="DT20" s="192">
        <v>0.0486</v>
      </c>
      <c r="DU20" s="192">
        <v>0.061</v>
      </c>
      <c r="DV20" s="192">
        <v>0.0628</v>
      </c>
      <c r="DW20" s="127"/>
      <c r="DX20" s="192">
        <v>0.0175</v>
      </c>
      <c r="DY20" s="192">
        <v>0.0205</v>
      </c>
      <c r="DZ20" s="192">
        <v>0.0205</v>
      </c>
      <c r="EA20" s="192">
        <v>0.0205</v>
      </c>
      <c r="EB20" s="192">
        <v>0.031</v>
      </c>
      <c r="EC20" s="192">
        <v>0.0257</v>
      </c>
      <c r="ED20" s="127"/>
      <c r="EE20" s="127">
        <v>0.39</v>
      </c>
      <c r="EF20" s="127">
        <v>0.61</v>
      </c>
      <c r="EG20" s="127">
        <v>0.54</v>
      </c>
      <c r="EH20" s="127">
        <v>0.35</v>
      </c>
      <c r="EI20" s="127">
        <v>0.58</v>
      </c>
      <c r="EJ20" s="127">
        <v>0.55</v>
      </c>
      <c r="EK20" s="127"/>
      <c r="EL20" s="127"/>
      <c r="EM20" s="127"/>
      <c r="EN20" s="127"/>
      <c r="EO20" s="127"/>
      <c r="EP20" s="127"/>
      <c r="EQ20" s="127"/>
      <c r="ER20" s="127"/>
      <c r="ES20" s="127"/>
      <c r="ET20" s="127"/>
      <c r="EU20" s="127"/>
      <c r="EV20" s="127"/>
      <c r="EW20" s="127"/>
      <c r="EX20" s="127"/>
      <c r="EY20" s="127"/>
      <c r="EZ20" s="127">
        <v>0.55</v>
      </c>
      <c r="FA20" s="192">
        <f t="shared" si="26"/>
        <v>0.00585284280936455</v>
      </c>
      <c r="FB20" s="192">
        <v>0.0025</v>
      </c>
      <c r="FC20" s="192">
        <f t="shared" si="27"/>
        <v>0.0476190476190476</v>
      </c>
      <c r="FD20" s="192">
        <f t="shared" si="28"/>
        <v>0</v>
      </c>
      <c r="FE20" s="193">
        <f t="shared" si="29"/>
        <v>0</v>
      </c>
      <c r="FF20" s="127"/>
      <c r="FG20" s="127"/>
      <c r="FH20" s="127"/>
      <c r="FI20" s="194">
        <v>0.045</v>
      </c>
      <c r="FJ20" s="194">
        <f t="shared" si="30"/>
        <v>0.0476190476190476</v>
      </c>
      <c r="FK20" s="196">
        <v>89.57</v>
      </c>
      <c r="FL20" s="127">
        <f t="shared" si="38"/>
        <v>13.4355</v>
      </c>
      <c r="FM20" s="196">
        <v>5.19</v>
      </c>
      <c r="FN20" s="127">
        <f t="shared" si="31"/>
        <v>4.37</v>
      </c>
      <c r="FO20" s="127"/>
      <c r="FP20" s="127">
        <f t="shared" si="32"/>
        <v>32.18</v>
      </c>
      <c r="FQ20" s="127">
        <f t="shared" si="33"/>
        <v>-21.58</v>
      </c>
      <c r="FR20" s="196">
        <v>32.18</v>
      </c>
      <c r="FS20" s="127"/>
      <c r="FT20" s="127"/>
      <c r="FU20" s="127"/>
      <c r="FV20" s="127"/>
      <c r="FW20" s="127"/>
      <c r="FX20" s="127"/>
      <c r="FY20" s="127"/>
      <c r="FZ20" s="127"/>
      <c r="GA20" s="127"/>
      <c r="GB20" s="127"/>
      <c r="GC20" s="127"/>
      <c r="GD20" s="127"/>
      <c r="GE20" s="127"/>
      <c r="GF20" s="127"/>
      <c r="GG20" s="127"/>
      <c r="GH20" s="127"/>
      <c r="GI20" s="127"/>
      <c r="GJ20" s="127"/>
      <c r="GK20" s="127"/>
      <c r="GL20" s="127"/>
      <c r="GM20" s="127"/>
      <c r="GN20" s="127"/>
      <c r="GO20" s="127"/>
      <c r="GP20" s="127"/>
      <c r="GQ20" s="127"/>
      <c r="GR20" s="127"/>
      <c r="GS20" s="127"/>
      <c r="GT20" s="127"/>
      <c r="GU20" s="127"/>
      <c r="GV20" s="127"/>
      <c r="GW20" s="127"/>
      <c r="GX20" s="127"/>
      <c r="GY20" s="127"/>
      <c r="GZ20" s="127"/>
    </row>
    <row r="21" spans="1:208">
      <c r="A21" s="172">
        <v>45812</v>
      </c>
      <c r="B21" s="20" t="s">
        <v>377</v>
      </c>
      <c r="C21" s="173" t="s">
        <v>389</v>
      </c>
      <c r="D21" s="174">
        <v>139.99</v>
      </c>
      <c r="E21" s="175">
        <v>97.97</v>
      </c>
      <c r="F21" s="176">
        <v>0.3</v>
      </c>
      <c r="G21" s="176">
        <v>0.15</v>
      </c>
      <c r="H21" s="177">
        <f t="shared" si="0"/>
        <v>83.29405</v>
      </c>
      <c r="I21" s="176">
        <v>0.08</v>
      </c>
      <c r="J21" s="178">
        <v>0.06</v>
      </c>
      <c r="K21" s="20">
        <v>18</v>
      </c>
      <c r="L21" s="20">
        <v>14</v>
      </c>
      <c r="M21" s="20">
        <f t="shared" si="39"/>
        <v>32</v>
      </c>
      <c r="N21" s="176">
        <f t="shared" si="1"/>
        <v>0.03125</v>
      </c>
      <c r="O21" s="179">
        <f t="shared" si="2"/>
        <v>0</v>
      </c>
      <c r="P21" s="179">
        <f t="shared" si="3"/>
        <v>0</v>
      </c>
      <c r="Q21" s="20">
        <v>1</v>
      </c>
      <c r="R21" s="20"/>
      <c r="S21" s="20">
        <v>1</v>
      </c>
      <c r="T21" s="20">
        <v>1</v>
      </c>
      <c r="U21" s="176">
        <v>1</v>
      </c>
      <c r="V21" s="20">
        <v>0</v>
      </c>
      <c r="W21" s="174">
        <v>95.52</v>
      </c>
      <c r="X21" s="174">
        <v>31</v>
      </c>
      <c r="Y21" s="174"/>
      <c r="Z21" s="20" t="s">
        <v>84</v>
      </c>
      <c r="AA21" s="20"/>
      <c r="AB21" s="20">
        <v>88</v>
      </c>
      <c r="AC21" s="20"/>
      <c r="AD21" s="174">
        <v>19</v>
      </c>
      <c r="AE21" s="174"/>
      <c r="AF21" s="174">
        <v>24</v>
      </c>
      <c r="AG21" s="174"/>
      <c r="AH21" s="174" t="s">
        <v>84</v>
      </c>
      <c r="AI21" s="174"/>
      <c r="AJ21" s="174">
        <v>5</v>
      </c>
      <c r="AK21" s="174"/>
      <c r="AL21" s="20">
        <v>136</v>
      </c>
      <c r="AM21" s="180">
        <v>145583</v>
      </c>
      <c r="AN21" s="173">
        <v>222</v>
      </c>
      <c r="AO21" s="20">
        <v>5</v>
      </c>
      <c r="AP21" s="20">
        <v>5</v>
      </c>
      <c r="AQ21" s="20"/>
      <c r="AR21" s="20"/>
      <c r="AS21" s="181">
        <v>3841</v>
      </c>
      <c r="AT21" s="20">
        <v>16</v>
      </c>
      <c r="AU21" s="182">
        <f t="shared" si="4"/>
        <v>0.00416558187971882</v>
      </c>
      <c r="AV21" s="174">
        <v>0</v>
      </c>
      <c r="AW21" s="183">
        <f t="shared" si="5"/>
        <v>0.73375</v>
      </c>
      <c r="AX21" s="184">
        <f t="shared" si="6"/>
        <v>0</v>
      </c>
      <c r="AY21" s="176">
        <f t="shared" si="7"/>
        <v>0</v>
      </c>
      <c r="AZ21" s="185">
        <f t="shared" si="8"/>
        <v>0</v>
      </c>
      <c r="BA21" s="183">
        <v>11.74</v>
      </c>
      <c r="BB21" s="176">
        <f t="shared" si="40"/>
        <v>0</v>
      </c>
      <c r="BC21" s="179">
        <f t="shared" si="10"/>
        <v>0</v>
      </c>
      <c r="BD21" s="179">
        <v>0</v>
      </c>
      <c r="BE21" s="182">
        <v>0</v>
      </c>
      <c r="BF21" s="186">
        <f t="shared" si="11"/>
        <v>32.18</v>
      </c>
      <c r="BG21" s="186">
        <v>32.18</v>
      </c>
      <c r="BH21" s="187">
        <f t="shared" si="12"/>
        <v>-21.58</v>
      </c>
      <c r="BI21" s="182">
        <f t="shared" si="13"/>
        <v>-0.225921273031826</v>
      </c>
      <c r="BJ21" s="179">
        <f t="shared" si="14"/>
        <v>145</v>
      </c>
      <c r="BK21" s="179"/>
      <c r="BL21" s="179">
        <f t="shared" si="15"/>
        <v>21.58</v>
      </c>
      <c r="BM21" s="178"/>
      <c r="BN21" s="7"/>
      <c r="BO21" s="20"/>
      <c r="BP21" s="182"/>
      <c r="BQ21" s="182">
        <f t="shared" si="34"/>
        <v>0</v>
      </c>
      <c r="BR21" s="182">
        <f t="shared" si="16"/>
        <v>0</v>
      </c>
      <c r="BS21" s="182">
        <f t="shared" si="17"/>
        <v>0.5</v>
      </c>
      <c r="BT21" s="188">
        <f t="shared" si="18"/>
        <v>16</v>
      </c>
      <c r="BU21" s="20">
        <f t="shared" si="19"/>
        <v>32</v>
      </c>
      <c r="BV21" s="20">
        <f t="shared" si="20"/>
        <v>16</v>
      </c>
      <c r="BW21" s="185">
        <f t="shared" si="21"/>
        <v>0.5</v>
      </c>
      <c r="BX21" s="182">
        <f t="shared" si="22"/>
        <v>0</v>
      </c>
      <c r="BY21" s="182">
        <f t="shared" si="23"/>
        <v>0</v>
      </c>
      <c r="BZ21" s="182">
        <f t="shared" si="24"/>
        <v>0</v>
      </c>
      <c r="CA21" s="182">
        <f t="shared" si="25"/>
        <v>0</v>
      </c>
      <c r="CB21" s="189">
        <f t="shared" si="35"/>
        <v>0</v>
      </c>
      <c r="CC21" s="190">
        <f t="shared" si="36"/>
        <v>0.03125</v>
      </c>
      <c r="CD21" s="190">
        <f t="shared" si="37"/>
        <v>0</v>
      </c>
      <c r="CE21" s="189">
        <v>0.08</v>
      </c>
      <c r="CF21" s="189">
        <v>0.08</v>
      </c>
      <c r="CG21" s="189">
        <v>0.08</v>
      </c>
      <c r="CH21" s="189">
        <v>0.08</v>
      </c>
      <c r="CI21" s="189">
        <v>0.05</v>
      </c>
      <c r="CJ21" s="189">
        <v>0.06</v>
      </c>
      <c r="CK21" s="189">
        <v>0.04</v>
      </c>
      <c r="CL21" s="191">
        <v>31</v>
      </c>
      <c r="CM21" s="191" t="s">
        <v>84</v>
      </c>
      <c r="CN21" s="191" t="s">
        <v>84</v>
      </c>
      <c r="CO21" s="191" t="s">
        <v>84</v>
      </c>
      <c r="CP21" s="191">
        <v>88</v>
      </c>
      <c r="CQ21" s="191"/>
      <c r="CR21" s="191">
        <v>19</v>
      </c>
      <c r="CS21" s="191"/>
      <c r="CT21" s="191">
        <v>24</v>
      </c>
      <c r="CU21" s="191"/>
      <c r="CV21" s="191" t="s">
        <v>84</v>
      </c>
      <c r="CW21" s="191"/>
      <c r="CX21" s="191">
        <v>5</v>
      </c>
      <c r="CY21" s="191"/>
      <c r="CZ21" s="127"/>
      <c r="DA21" s="127"/>
      <c r="DB21" s="127"/>
      <c r="DC21" s="127"/>
      <c r="DD21" s="127">
        <v>2.9</v>
      </c>
      <c r="DE21" s="127">
        <v>4.02</v>
      </c>
      <c r="DF21" s="127">
        <v>0.47</v>
      </c>
      <c r="DG21" s="127">
        <v>3.41</v>
      </c>
      <c r="DH21" s="127">
        <v>3.36</v>
      </c>
      <c r="DI21" s="127">
        <v>2.72</v>
      </c>
      <c r="DJ21" s="127">
        <v>0.34</v>
      </c>
      <c r="DK21" s="127"/>
      <c r="DL21" s="198">
        <v>0.0023</v>
      </c>
      <c r="DM21" s="198">
        <v>0.0025</v>
      </c>
      <c r="DN21" s="198">
        <v>0.0025</v>
      </c>
      <c r="DO21" s="198">
        <v>0.0025</v>
      </c>
      <c r="DP21" s="127"/>
      <c r="DQ21" s="192">
        <v>0.045</v>
      </c>
      <c r="DR21" s="192">
        <v>0.0508</v>
      </c>
      <c r="DS21" s="192">
        <v>0.0489</v>
      </c>
      <c r="DT21" s="192">
        <v>0.0486</v>
      </c>
      <c r="DU21" s="192">
        <v>0.061</v>
      </c>
      <c r="DV21" s="192">
        <v>0.0628</v>
      </c>
      <c r="DW21" s="127"/>
      <c r="DX21" s="192">
        <v>0.0175</v>
      </c>
      <c r="DY21" s="192">
        <v>0.0205</v>
      </c>
      <c r="DZ21" s="192">
        <v>0.0205</v>
      </c>
      <c r="EA21" s="192">
        <v>0.0205</v>
      </c>
      <c r="EB21" s="192">
        <v>0.031</v>
      </c>
      <c r="EC21" s="192">
        <v>0.0257</v>
      </c>
      <c r="ED21" s="127"/>
      <c r="EE21" s="127">
        <v>0.39</v>
      </c>
      <c r="EF21" s="127">
        <v>0.61</v>
      </c>
      <c r="EG21" s="127">
        <v>0.54</v>
      </c>
      <c r="EH21" s="127">
        <v>0.35</v>
      </c>
      <c r="EI21" s="127">
        <v>0.58</v>
      </c>
      <c r="EJ21" s="127">
        <v>0.55</v>
      </c>
      <c r="EK21" s="127"/>
      <c r="EL21" s="127"/>
      <c r="EM21" s="127"/>
      <c r="EN21" s="127"/>
      <c r="EO21" s="127"/>
      <c r="EP21" s="127"/>
      <c r="EQ21" s="127"/>
      <c r="ER21" s="127"/>
      <c r="ES21" s="127"/>
      <c r="ET21" s="127"/>
      <c r="EU21" s="127"/>
      <c r="EV21" s="127"/>
      <c r="EW21" s="127"/>
      <c r="EX21" s="127"/>
      <c r="EY21" s="127"/>
      <c r="EZ21" s="127">
        <v>0.55</v>
      </c>
      <c r="FA21" s="192">
        <f t="shared" si="26"/>
        <v>0.00416558187971882</v>
      </c>
      <c r="FB21" s="192">
        <v>0.0025</v>
      </c>
      <c r="FC21" s="192">
        <f t="shared" si="27"/>
        <v>0.03125</v>
      </c>
      <c r="FD21" s="192">
        <f t="shared" si="28"/>
        <v>0</v>
      </c>
      <c r="FE21" s="193">
        <f t="shared" si="29"/>
        <v>0</v>
      </c>
      <c r="FF21" s="127"/>
      <c r="FG21" s="127"/>
      <c r="FH21" s="127"/>
      <c r="FI21" s="194">
        <v>0.045</v>
      </c>
      <c r="FJ21" s="194">
        <f t="shared" si="30"/>
        <v>0.03125</v>
      </c>
      <c r="FK21" s="196">
        <v>89.57</v>
      </c>
      <c r="FL21" s="127">
        <f t="shared" si="38"/>
        <v>13.4355</v>
      </c>
      <c r="FM21" s="196">
        <v>5.19</v>
      </c>
      <c r="FN21" s="127">
        <f t="shared" si="31"/>
        <v>11.74</v>
      </c>
      <c r="FO21" s="127"/>
      <c r="FP21" s="127">
        <f t="shared" si="32"/>
        <v>32.18</v>
      </c>
      <c r="FQ21" s="127">
        <f t="shared" si="33"/>
        <v>-21.58</v>
      </c>
      <c r="FR21" s="196">
        <v>32.18</v>
      </c>
      <c r="FS21" s="127"/>
      <c r="FT21" s="127"/>
      <c r="FU21" s="127"/>
      <c r="FV21" s="127"/>
      <c r="FW21" s="127"/>
      <c r="FX21" s="127"/>
      <c r="FY21" s="127"/>
      <c r="FZ21" s="127"/>
      <c r="GA21" s="127"/>
      <c r="GB21" s="127"/>
      <c r="GC21" s="127"/>
      <c r="GD21" s="127"/>
      <c r="GE21" s="127"/>
      <c r="GF21" s="127"/>
      <c r="GG21" s="127"/>
      <c r="GH21" s="127"/>
      <c r="GI21" s="127"/>
      <c r="GJ21" s="127"/>
      <c r="GK21" s="127"/>
      <c r="GL21" s="127"/>
      <c r="GM21" s="127"/>
      <c r="GN21" s="127"/>
      <c r="GO21" s="127"/>
      <c r="GP21" s="127"/>
      <c r="GQ21" s="127"/>
      <c r="GR21" s="127"/>
      <c r="GS21" s="127"/>
      <c r="GT21" s="127"/>
      <c r="GU21" s="127"/>
      <c r="GV21" s="127"/>
      <c r="GW21" s="127"/>
      <c r="GX21" s="127"/>
      <c r="GY21" s="127"/>
      <c r="GZ21" s="127"/>
    </row>
    <row r="22" spans="1:208">
      <c r="A22" s="172">
        <v>45813</v>
      </c>
      <c r="B22" s="20" t="s">
        <v>379</v>
      </c>
      <c r="C22" s="173" t="s">
        <v>390</v>
      </c>
      <c r="D22" s="174">
        <v>139.99</v>
      </c>
      <c r="E22" s="175">
        <v>97.97</v>
      </c>
      <c r="F22" s="176">
        <v>0.3</v>
      </c>
      <c r="G22" s="176">
        <v>0.15</v>
      </c>
      <c r="H22" s="177">
        <f t="shared" si="0"/>
        <v>83.29405</v>
      </c>
      <c r="I22" s="176">
        <v>0.08</v>
      </c>
      <c r="J22" s="178">
        <v>0.06</v>
      </c>
      <c r="K22" s="20">
        <v>13</v>
      </c>
      <c r="L22" s="20">
        <v>3</v>
      </c>
      <c r="M22" s="20">
        <f t="shared" si="39"/>
        <v>16</v>
      </c>
      <c r="N22" s="176">
        <f t="shared" si="1"/>
        <v>0.0625</v>
      </c>
      <c r="O22" s="179">
        <f t="shared" si="2"/>
        <v>0</v>
      </c>
      <c r="P22" s="179">
        <f t="shared" si="3"/>
        <v>1</v>
      </c>
      <c r="Q22" s="20">
        <v>1</v>
      </c>
      <c r="R22" s="20"/>
      <c r="S22" s="20">
        <v>0</v>
      </c>
      <c r="T22" s="20">
        <v>0</v>
      </c>
      <c r="U22" s="176">
        <v>0</v>
      </c>
      <c r="V22" s="20">
        <v>0</v>
      </c>
      <c r="W22" s="174">
        <v>95.52</v>
      </c>
      <c r="X22" s="174">
        <v>39</v>
      </c>
      <c r="Y22" s="174"/>
      <c r="Z22" s="20" t="s">
        <v>84</v>
      </c>
      <c r="AA22" s="20"/>
      <c r="AB22" s="20">
        <v>86</v>
      </c>
      <c r="AC22" s="20"/>
      <c r="AD22" s="174">
        <v>19</v>
      </c>
      <c r="AE22" s="174"/>
      <c r="AF22" s="20" t="s">
        <v>84</v>
      </c>
      <c r="AG22" s="20"/>
      <c r="AH22" s="174" t="s">
        <v>84</v>
      </c>
      <c r="AI22" s="174"/>
      <c r="AJ22" s="174">
        <v>4</v>
      </c>
      <c r="AK22" s="174"/>
      <c r="AL22" s="20">
        <v>136</v>
      </c>
      <c r="AM22" s="180">
        <v>148505</v>
      </c>
      <c r="AN22" s="173">
        <v>229</v>
      </c>
      <c r="AO22" s="174">
        <v>7</v>
      </c>
      <c r="AP22" s="174">
        <v>5</v>
      </c>
      <c r="AQ22" s="174"/>
      <c r="AR22" s="174"/>
      <c r="AS22" s="181">
        <v>2079</v>
      </c>
      <c r="AT22" s="20">
        <v>16</v>
      </c>
      <c r="AU22" s="182">
        <f t="shared" si="4"/>
        <v>0.0076960076960077</v>
      </c>
      <c r="AV22" s="20">
        <v>1</v>
      </c>
      <c r="AW22" s="183">
        <f t="shared" si="5"/>
        <v>0.830625</v>
      </c>
      <c r="AX22" s="184">
        <f t="shared" si="6"/>
        <v>0.162787849093582</v>
      </c>
      <c r="AY22" s="176">
        <f t="shared" si="7"/>
        <v>0.0625</v>
      </c>
      <c r="AZ22" s="185">
        <f t="shared" si="8"/>
        <v>1</v>
      </c>
      <c r="BA22" s="183">
        <v>13.29</v>
      </c>
      <c r="BB22" s="176">
        <f t="shared" si="40"/>
        <v>0.162787849093582</v>
      </c>
      <c r="BC22" s="179">
        <f t="shared" si="10"/>
        <v>13.29</v>
      </c>
      <c r="BD22" s="179">
        <v>81.64</v>
      </c>
      <c r="BE22" s="182">
        <v>0</v>
      </c>
      <c r="BF22" s="186">
        <f t="shared" si="11"/>
        <v>18.89</v>
      </c>
      <c r="BG22" s="186">
        <v>32.18</v>
      </c>
      <c r="BH22" s="187">
        <f t="shared" si="12"/>
        <v>18.89</v>
      </c>
      <c r="BI22" s="182">
        <f t="shared" si="13"/>
        <v>0.197759631490787</v>
      </c>
      <c r="BJ22" s="179">
        <f t="shared" si="14"/>
        <v>145</v>
      </c>
      <c r="BK22" s="179"/>
      <c r="BL22" s="179">
        <f t="shared" si="15"/>
        <v>0</v>
      </c>
      <c r="BM22" s="178"/>
      <c r="BN22" s="7"/>
      <c r="BO22" s="20"/>
      <c r="BP22" s="182"/>
      <c r="BQ22" s="182">
        <f t="shared" si="34"/>
        <v>1</v>
      </c>
      <c r="BR22" s="182">
        <f t="shared" si="16"/>
        <v>0</v>
      </c>
      <c r="BS22" s="182">
        <f t="shared" si="17"/>
        <v>1</v>
      </c>
      <c r="BT22" s="188">
        <f t="shared" si="18"/>
        <v>16</v>
      </c>
      <c r="BU22" s="20">
        <f t="shared" si="19"/>
        <v>16</v>
      </c>
      <c r="BV22" s="20">
        <f t="shared" si="20"/>
        <v>0</v>
      </c>
      <c r="BW22" s="185">
        <f t="shared" si="21"/>
        <v>0</v>
      </c>
      <c r="BX22" s="182">
        <f t="shared" si="22"/>
        <v>0</v>
      </c>
      <c r="BY22" s="182">
        <f t="shared" si="23"/>
        <v>1</v>
      </c>
      <c r="BZ22" s="182">
        <f t="shared" si="24"/>
        <v>0</v>
      </c>
      <c r="CA22" s="182">
        <f t="shared" si="25"/>
        <v>1</v>
      </c>
      <c r="CB22" s="189">
        <f t="shared" si="35"/>
        <v>0</v>
      </c>
      <c r="CC22" s="190">
        <f t="shared" si="36"/>
        <v>0.0625</v>
      </c>
      <c r="CD22" s="190">
        <f t="shared" si="37"/>
        <v>0.0625</v>
      </c>
      <c r="CE22" s="189">
        <v>0.08</v>
      </c>
      <c r="CF22" s="189">
        <v>0.08</v>
      </c>
      <c r="CG22" s="189">
        <v>0.08</v>
      </c>
      <c r="CH22" s="189">
        <v>0.08</v>
      </c>
      <c r="CI22" s="189">
        <v>0.05</v>
      </c>
      <c r="CJ22" s="189">
        <v>0.06</v>
      </c>
      <c r="CK22" s="189">
        <v>0.04</v>
      </c>
      <c r="CL22" s="191">
        <v>39</v>
      </c>
      <c r="CM22" s="191" t="s">
        <v>84</v>
      </c>
      <c r="CN22" s="191" t="s">
        <v>84</v>
      </c>
      <c r="CO22" s="191" t="s">
        <v>84</v>
      </c>
      <c r="CP22" s="191">
        <v>86</v>
      </c>
      <c r="CQ22" s="191"/>
      <c r="CR22" s="191">
        <v>19</v>
      </c>
      <c r="CS22" s="191"/>
      <c r="CT22" s="191" t="s">
        <v>84</v>
      </c>
      <c r="CU22" s="191"/>
      <c r="CV22" s="191" t="s">
        <v>84</v>
      </c>
      <c r="CW22" s="191"/>
      <c r="CX22" s="191">
        <v>4</v>
      </c>
      <c r="CY22" s="191"/>
      <c r="CZ22" s="127"/>
      <c r="DA22" s="127"/>
      <c r="DB22" s="127"/>
      <c r="DC22" s="127"/>
      <c r="DD22" s="127">
        <v>2.9</v>
      </c>
      <c r="DE22" s="127">
        <v>4.02</v>
      </c>
      <c r="DF22" s="127">
        <v>0.47</v>
      </c>
      <c r="DG22" s="127">
        <v>3.41</v>
      </c>
      <c r="DH22" s="127">
        <v>3.36</v>
      </c>
      <c r="DI22" s="127">
        <v>2.72</v>
      </c>
      <c r="DJ22" s="127">
        <v>0.34</v>
      </c>
      <c r="DK22" s="127"/>
      <c r="DL22" s="198">
        <v>0.0023</v>
      </c>
      <c r="DM22" s="198">
        <v>0.0025</v>
      </c>
      <c r="DN22" s="198">
        <v>0.0025</v>
      </c>
      <c r="DO22" s="198">
        <v>0.0025</v>
      </c>
      <c r="DP22" s="127"/>
      <c r="DQ22" s="192">
        <v>0.045</v>
      </c>
      <c r="DR22" s="192">
        <v>0.0508</v>
      </c>
      <c r="DS22" s="192">
        <v>0.0489</v>
      </c>
      <c r="DT22" s="192">
        <v>0.0486</v>
      </c>
      <c r="DU22" s="192">
        <v>0.061</v>
      </c>
      <c r="DV22" s="192">
        <v>0.0628</v>
      </c>
      <c r="DW22" s="127"/>
      <c r="DX22" s="192">
        <v>0.0175</v>
      </c>
      <c r="DY22" s="192">
        <v>0.0205</v>
      </c>
      <c r="DZ22" s="192">
        <v>0.0205</v>
      </c>
      <c r="EA22" s="192">
        <v>0.0205</v>
      </c>
      <c r="EB22" s="192">
        <v>0.031</v>
      </c>
      <c r="EC22" s="192">
        <v>0.0257</v>
      </c>
      <c r="ED22" s="127"/>
      <c r="EE22" s="127">
        <v>0.39</v>
      </c>
      <c r="EF22" s="127">
        <v>0.61</v>
      </c>
      <c r="EG22" s="127">
        <v>0.54</v>
      </c>
      <c r="EH22" s="127">
        <v>0.35</v>
      </c>
      <c r="EI22" s="127">
        <v>0.58</v>
      </c>
      <c r="EJ22" s="127">
        <v>0.55</v>
      </c>
      <c r="EK22" s="127"/>
      <c r="EL22" s="127"/>
      <c r="EM22" s="127"/>
      <c r="EN22" s="127"/>
      <c r="EO22" s="127"/>
      <c r="EP22" s="127"/>
      <c r="EQ22" s="127"/>
      <c r="ER22" s="127"/>
      <c r="ES22" s="127"/>
      <c r="ET22" s="127"/>
      <c r="EU22" s="127"/>
      <c r="EV22" s="127"/>
      <c r="EW22" s="127"/>
      <c r="EX22" s="127"/>
      <c r="EY22" s="127"/>
      <c r="EZ22" s="127">
        <v>0.55</v>
      </c>
      <c r="FA22" s="192">
        <f t="shared" si="26"/>
        <v>0.0076960076960077</v>
      </c>
      <c r="FB22" s="192">
        <v>0.0025</v>
      </c>
      <c r="FC22" s="192">
        <f t="shared" si="27"/>
        <v>0.0625</v>
      </c>
      <c r="FD22" s="192">
        <f t="shared" si="28"/>
        <v>0.0625</v>
      </c>
      <c r="FE22" s="193">
        <f t="shared" si="29"/>
        <v>0</v>
      </c>
      <c r="FF22" s="127"/>
      <c r="FG22" s="127"/>
      <c r="FH22" s="127"/>
      <c r="FI22" s="194">
        <v>0.045</v>
      </c>
      <c r="FJ22" s="194">
        <f t="shared" si="30"/>
        <v>0.0625</v>
      </c>
      <c r="FK22" s="196">
        <v>89.57</v>
      </c>
      <c r="FL22" s="127">
        <f t="shared" si="38"/>
        <v>13.4355</v>
      </c>
      <c r="FM22" s="196">
        <v>5.19</v>
      </c>
      <c r="FN22" s="127">
        <f t="shared" si="31"/>
        <v>13.29</v>
      </c>
      <c r="FO22" s="127"/>
      <c r="FP22" s="127">
        <f t="shared" si="32"/>
        <v>18.89</v>
      </c>
      <c r="FQ22" s="127">
        <f t="shared" si="33"/>
        <v>18.89</v>
      </c>
      <c r="FR22" s="196">
        <v>32.18</v>
      </c>
      <c r="FS22" s="127"/>
      <c r="FT22" s="127"/>
      <c r="FU22" s="127"/>
      <c r="FV22" s="127"/>
      <c r="FW22" s="127"/>
      <c r="FX22" s="127"/>
      <c r="FY22" s="127"/>
      <c r="FZ22" s="127"/>
      <c r="GA22" s="127"/>
      <c r="GB22" s="127"/>
      <c r="GC22" s="127"/>
      <c r="GD22" s="127"/>
      <c r="GE22" s="127"/>
      <c r="GF22" s="127"/>
      <c r="GG22" s="127"/>
      <c r="GH22" s="127"/>
      <c r="GI22" s="127"/>
      <c r="GJ22" s="127"/>
      <c r="GK22" s="127"/>
      <c r="GL22" s="127"/>
      <c r="GM22" s="127"/>
      <c r="GN22" s="127"/>
      <c r="GO22" s="127"/>
      <c r="GP22" s="127"/>
      <c r="GQ22" s="127"/>
      <c r="GR22" s="127"/>
      <c r="GS22" s="127"/>
      <c r="GT22" s="127"/>
      <c r="GU22" s="127"/>
      <c r="GV22" s="127"/>
      <c r="GW22" s="127"/>
      <c r="GX22" s="127"/>
      <c r="GY22" s="127"/>
      <c r="GZ22" s="127"/>
    </row>
    <row r="23" spans="1:208">
      <c r="A23" s="172">
        <v>45814</v>
      </c>
      <c r="B23" s="20" t="s">
        <v>381</v>
      </c>
      <c r="C23" s="173" t="s">
        <v>390</v>
      </c>
      <c r="D23" s="174">
        <v>139.99</v>
      </c>
      <c r="E23" s="175">
        <v>97.97</v>
      </c>
      <c r="F23" s="176">
        <v>0.3</v>
      </c>
      <c r="G23" s="176">
        <v>0.15</v>
      </c>
      <c r="H23" s="177">
        <f t="shared" si="0"/>
        <v>83.29405</v>
      </c>
      <c r="I23" s="176">
        <v>0.08</v>
      </c>
      <c r="J23" s="178">
        <v>0.06</v>
      </c>
      <c r="K23" s="20">
        <v>3</v>
      </c>
      <c r="L23" s="20">
        <v>2</v>
      </c>
      <c r="M23" s="20">
        <f t="shared" si="39"/>
        <v>5</v>
      </c>
      <c r="N23" s="176">
        <f t="shared" si="1"/>
        <v>0</v>
      </c>
      <c r="O23" s="179">
        <f t="shared" si="2"/>
        <v>0</v>
      </c>
      <c r="P23" s="179">
        <f t="shared" si="3"/>
        <v>0</v>
      </c>
      <c r="Q23" s="174">
        <v>0</v>
      </c>
      <c r="R23" s="20"/>
      <c r="S23" s="20">
        <v>0</v>
      </c>
      <c r="T23" s="20">
        <v>0</v>
      </c>
      <c r="U23" s="176">
        <v>0</v>
      </c>
      <c r="V23" s="20">
        <v>0</v>
      </c>
      <c r="W23" s="174">
        <v>0</v>
      </c>
      <c r="X23" s="174">
        <v>36</v>
      </c>
      <c r="Y23" s="174"/>
      <c r="Z23" s="20" t="s">
        <v>84</v>
      </c>
      <c r="AA23" s="20"/>
      <c r="AB23" s="20">
        <v>82</v>
      </c>
      <c r="AC23" s="20"/>
      <c r="AD23" s="174">
        <v>19</v>
      </c>
      <c r="AE23" s="174"/>
      <c r="AF23" s="174">
        <v>35</v>
      </c>
      <c r="AG23" s="174"/>
      <c r="AH23" s="174">
        <v>45</v>
      </c>
      <c r="AI23" s="174"/>
      <c r="AJ23" s="174">
        <v>5</v>
      </c>
      <c r="AK23" s="174"/>
      <c r="AL23" s="20">
        <v>136</v>
      </c>
      <c r="AM23" s="180">
        <v>148505</v>
      </c>
      <c r="AN23" s="173">
        <v>229</v>
      </c>
      <c r="AO23" s="174">
        <v>8</v>
      </c>
      <c r="AP23" s="174">
        <v>5</v>
      </c>
      <c r="AQ23" s="174"/>
      <c r="AR23" s="174"/>
      <c r="AS23" s="181">
        <v>1195</v>
      </c>
      <c r="AT23" s="20">
        <v>1</v>
      </c>
      <c r="AU23" s="182">
        <f t="shared" si="4"/>
        <v>0.000836820083682008</v>
      </c>
      <c r="AV23" s="20">
        <v>0</v>
      </c>
      <c r="AW23" s="183">
        <f t="shared" si="5"/>
        <v>0.88</v>
      </c>
      <c r="AX23" s="184">
        <f t="shared" si="6"/>
        <v>0</v>
      </c>
      <c r="AY23" s="176">
        <f t="shared" si="7"/>
        <v>0</v>
      </c>
      <c r="AZ23" s="185">
        <f t="shared" si="8"/>
        <v>0</v>
      </c>
      <c r="BA23" s="183">
        <v>0.88</v>
      </c>
      <c r="BB23" s="176">
        <f t="shared" si="40"/>
        <v>0</v>
      </c>
      <c r="BC23" s="179">
        <f t="shared" si="10"/>
        <v>0</v>
      </c>
      <c r="BD23" s="179">
        <v>0</v>
      </c>
      <c r="BE23" s="182">
        <v>0</v>
      </c>
      <c r="BF23" s="186">
        <f t="shared" si="11"/>
        <v>32.18</v>
      </c>
      <c r="BG23" s="186">
        <v>32.18</v>
      </c>
      <c r="BH23" s="187">
        <f t="shared" si="12"/>
        <v>0</v>
      </c>
      <c r="BI23" s="182">
        <f t="shared" si="13"/>
        <v>0</v>
      </c>
      <c r="BJ23" s="179">
        <f t="shared" si="14"/>
        <v>0</v>
      </c>
      <c r="BK23" s="179"/>
      <c r="BL23" s="179">
        <f t="shared" si="15"/>
        <v>0</v>
      </c>
      <c r="BM23" s="178"/>
      <c r="BN23" s="7"/>
      <c r="BO23" s="20"/>
      <c r="BP23" s="182"/>
      <c r="BQ23" s="182">
        <f t="shared" si="34"/>
        <v>0</v>
      </c>
      <c r="BR23" s="182">
        <f t="shared" si="16"/>
        <v>0</v>
      </c>
      <c r="BS23" s="182">
        <f t="shared" si="17"/>
        <v>0.2</v>
      </c>
      <c r="BT23" s="188">
        <f t="shared" si="18"/>
        <v>1</v>
      </c>
      <c r="BU23" s="20">
        <f t="shared" si="19"/>
        <v>5</v>
      </c>
      <c r="BV23" s="20">
        <f t="shared" si="20"/>
        <v>4</v>
      </c>
      <c r="BW23" s="185">
        <f t="shared" si="21"/>
        <v>0.8</v>
      </c>
      <c r="BX23" s="182">
        <f t="shared" si="22"/>
        <v>0</v>
      </c>
      <c r="BY23" s="182">
        <f t="shared" si="23"/>
        <v>0</v>
      </c>
      <c r="BZ23" s="182">
        <f t="shared" si="24"/>
        <v>0</v>
      </c>
      <c r="CA23" s="182">
        <f t="shared" si="25"/>
        <v>0</v>
      </c>
      <c r="CB23" s="189">
        <f t="shared" si="35"/>
        <v>0</v>
      </c>
      <c r="CC23" s="190">
        <f t="shared" si="36"/>
        <v>0</v>
      </c>
      <c r="CD23" s="190">
        <f t="shared" si="37"/>
        <v>0</v>
      </c>
      <c r="CE23" s="189">
        <v>0.08</v>
      </c>
      <c r="CF23" s="189">
        <v>0.08</v>
      </c>
      <c r="CG23" s="189">
        <v>0.08</v>
      </c>
      <c r="CH23" s="189">
        <v>0.08</v>
      </c>
      <c r="CI23" s="189">
        <v>0.05</v>
      </c>
      <c r="CJ23" s="189">
        <v>0.06</v>
      </c>
      <c r="CK23" s="189">
        <v>0.04</v>
      </c>
      <c r="CL23" s="7">
        <v>36</v>
      </c>
      <c r="CM23" s="191" t="s">
        <v>84</v>
      </c>
      <c r="CN23" s="7" t="s">
        <v>84</v>
      </c>
      <c r="CO23" s="191" t="s">
        <v>84</v>
      </c>
      <c r="CP23" s="7">
        <v>82</v>
      </c>
      <c r="CQ23" s="7"/>
      <c r="CR23" s="7">
        <v>19</v>
      </c>
      <c r="CS23" s="7"/>
      <c r="CT23" s="7">
        <v>35</v>
      </c>
      <c r="CU23" s="7"/>
      <c r="CV23" s="7">
        <v>45</v>
      </c>
      <c r="CW23" s="7"/>
      <c r="CX23" s="7">
        <v>5</v>
      </c>
      <c r="CY23" s="7"/>
      <c r="CZ23" s="197"/>
      <c r="DA23" s="197"/>
      <c r="DB23" s="197"/>
      <c r="DC23" s="197"/>
      <c r="DD23" s="127">
        <v>2.9</v>
      </c>
      <c r="DE23" s="127">
        <v>4.02</v>
      </c>
      <c r="DF23" s="127">
        <v>0.47</v>
      </c>
      <c r="DG23" s="127">
        <v>3.41</v>
      </c>
      <c r="DH23" s="127">
        <v>3.36</v>
      </c>
      <c r="DI23" s="127">
        <v>2.72</v>
      </c>
      <c r="DJ23" s="127">
        <v>0.34</v>
      </c>
      <c r="DK23" s="197"/>
      <c r="DL23" s="198">
        <v>0.0023</v>
      </c>
      <c r="DM23" s="198">
        <v>0.0025</v>
      </c>
      <c r="DN23" s="198">
        <v>0.0025</v>
      </c>
      <c r="DO23" s="198">
        <v>0.0025</v>
      </c>
      <c r="DP23" s="197"/>
      <c r="DQ23" s="192">
        <v>0.045</v>
      </c>
      <c r="DR23" s="192">
        <v>0.0508</v>
      </c>
      <c r="DS23" s="192">
        <v>0.0489</v>
      </c>
      <c r="DT23" s="192">
        <v>0.0486</v>
      </c>
      <c r="DU23" s="192">
        <v>0.061</v>
      </c>
      <c r="DV23" s="192">
        <v>0.0628</v>
      </c>
      <c r="DW23" s="127"/>
      <c r="DX23" s="192">
        <v>0.0175</v>
      </c>
      <c r="DY23" s="192">
        <v>0.0205</v>
      </c>
      <c r="DZ23" s="192">
        <v>0.0205</v>
      </c>
      <c r="EA23" s="192">
        <v>0.0205</v>
      </c>
      <c r="EB23" s="192">
        <v>0.031</v>
      </c>
      <c r="EC23" s="192">
        <v>0.0257</v>
      </c>
      <c r="ED23" s="127"/>
      <c r="EE23" s="127">
        <v>0.39</v>
      </c>
      <c r="EF23" s="127">
        <v>0.61</v>
      </c>
      <c r="EG23" s="127">
        <v>0.54</v>
      </c>
      <c r="EH23" s="127">
        <v>0.35</v>
      </c>
      <c r="EI23" s="127">
        <v>0.58</v>
      </c>
      <c r="EJ23" s="127">
        <v>0.55</v>
      </c>
      <c r="EK23" s="197"/>
      <c r="EL23" s="197"/>
      <c r="EM23" s="197"/>
      <c r="EN23" s="197"/>
      <c r="EO23" s="197"/>
      <c r="EP23" s="197"/>
      <c r="EQ23" s="197"/>
      <c r="ER23" s="197"/>
      <c r="ES23" s="197"/>
      <c r="ET23" s="197"/>
      <c r="EU23" s="197"/>
      <c r="EV23" s="197"/>
      <c r="EW23" s="197"/>
      <c r="EX23" s="197"/>
      <c r="EY23" s="197"/>
      <c r="EZ23" s="127">
        <v>0.55</v>
      </c>
      <c r="FA23" s="192">
        <f t="shared" si="26"/>
        <v>0.000836820083682008</v>
      </c>
      <c r="FB23" s="192">
        <v>0.0025</v>
      </c>
      <c r="FC23" s="192">
        <f t="shared" si="27"/>
        <v>0</v>
      </c>
      <c r="FD23" s="192">
        <f t="shared" si="28"/>
        <v>0</v>
      </c>
      <c r="FE23" s="193">
        <f t="shared" si="29"/>
        <v>0</v>
      </c>
      <c r="FF23" s="197"/>
      <c r="FG23" s="197"/>
      <c r="FH23" s="197"/>
      <c r="FI23" s="194">
        <v>0.045</v>
      </c>
      <c r="FJ23" s="194">
        <f t="shared" si="30"/>
        <v>0</v>
      </c>
      <c r="FK23" s="196">
        <v>89.57</v>
      </c>
      <c r="FL23" s="127">
        <f t="shared" si="38"/>
        <v>13.4355</v>
      </c>
      <c r="FM23" s="196">
        <v>5.19</v>
      </c>
      <c r="FN23" s="127">
        <f t="shared" si="31"/>
        <v>0.88</v>
      </c>
      <c r="FO23" s="197"/>
      <c r="FP23" s="127">
        <f t="shared" si="32"/>
        <v>32.18</v>
      </c>
      <c r="FQ23" s="127">
        <f t="shared" si="33"/>
        <v>0</v>
      </c>
      <c r="FR23" s="196">
        <v>32.18</v>
      </c>
      <c r="FS23" s="197"/>
      <c r="FT23" s="197"/>
      <c r="FU23" s="197"/>
      <c r="FV23" s="197"/>
      <c r="FW23" s="197"/>
      <c r="FX23" s="197"/>
      <c r="FY23" s="197"/>
      <c r="FZ23" s="127"/>
      <c r="GA23" s="127"/>
      <c r="GB23" s="127"/>
      <c r="GC23" s="127"/>
      <c r="GD23" s="127"/>
      <c r="GE23" s="127"/>
      <c r="GF23" s="127"/>
      <c r="GG23" s="127"/>
      <c r="GH23" s="127"/>
      <c r="GI23" s="127"/>
      <c r="GJ23" s="127"/>
      <c r="GK23" s="127"/>
      <c r="GL23" s="127"/>
      <c r="GM23" s="127"/>
      <c r="GN23" s="127"/>
      <c r="GO23" s="127"/>
      <c r="GP23" s="127"/>
      <c r="GQ23" s="127"/>
      <c r="GR23" s="127"/>
      <c r="GS23" s="127"/>
      <c r="GT23" s="127"/>
      <c r="GU23" s="127"/>
      <c r="GV23" s="127"/>
      <c r="GW23" s="127"/>
      <c r="GX23" s="127"/>
      <c r="GY23" s="127"/>
      <c r="GZ23" s="127"/>
    </row>
    <row r="24" spans="1:208">
      <c r="A24" s="172">
        <v>45815</v>
      </c>
      <c r="B24" s="20" t="s">
        <v>369</v>
      </c>
      <c r="C24" s="173" t="s">
        <v>391</v>
      </c>
      <c r="D24" s="174">
        <v>139.99</v>
      </c>
      <c r="E24" s="175">
        <v>97.97</v>
      </c>
      <c r="F24" s="176">
        <v>0.3</v>
      </c>
      <c r="G24" s="176">
        <v>0.15</v>
      </c>
      <c r="H24" s="177">
        <f t="shared" si="0"/>
        <v>83.29405</v>
      </c>
      <c r="I24" s="176">
        <v>0.08</v>
      </c>
      <c r="J24" s="178">
        <v>0.06</v>
      </c>
      <c r="K24" s="20">
        <v>25</v>
      </c>
      <c r="L24" s="20">
        <v>10</v>
      </c>
      <c r="M24" s="20">
        <f t="shared" si="39"/>
        <v>35</v>
      </c>
      <c r="N24" s="176">
        <f t="shared" si="1"/>
        <v>0.0285714285714286</v>
      </c>
      <c r="O24" s="179">
        <f t="shared" si="2"/>
        <v>0</v>
      </c>
      <c r="P24" s="179">
        <f t="shared" si="3"/>
        <v>1</v>
      </c>
      <c r="Q24" s="20">
        <v>1</v>
      </c>
      <c r="R24" s="20"/>
      <c r="S24" s="20">
        <v>0</v>
      </c>
      <c r="T24" s="20">
        <v>0</v>
      </c>
      <c r="U24" s="176">
        <v>0</v>
      </c>
      <c r="V24" s="20">
        <v>0</v>
      </c>
      <c r="W24" s="174">
        <v>81.64</v>
      </c>
      <c r="X24" s="20" t="s">
        <v>84</v>
      </c>
      <c r="Y24" s="20"/>
      <c r="Z24" s="20">
        <v>47</v>
      </c>
      <c r="AA24" s="20"/>
      <c r="AB24" s="20">
        <v>82</v>
      </c>
      <c r="AC24" s="20"/>
      <c r="AD24" s="20">
        <v>19</v>
      </c>
      <c r="AE24" s="20"/>
      <c r="AF24" s="20">
        <v>31</v>
      </c>
      <c r="AG24" s="20"/>
      <c r="AH24" s="20">
        <v>39</v>
      </c>
      <c r="AI24" s="20"/>
      <c r="AJ24" s="20">
        <v>4</v>
      </c>
      <c r="AK24" s="20"/>
      <c r="AL24" s="20">
        <v>136</v>
      </c>
      <c r="AM24" s="180">
        <v>202475</v>
      </c>
      <c r="AN24" s="173">
        <v>270</v>
      </c>
      <c r="AO24" s="174">
        <v>8</v>
      </c>
      <c r="AP24" s="174">
        <v>5</v>
      </c>
      <c r="AQ24" s="174"/>
      <c r="AR24" s="174"/>
      <c r="AS24" s="181">
        <v>9039</v>
      </c>
      <c r="AT24" s="20">
        <v>33</v>
      </c>
      <c r="AU24" s="182">
        <f t="shared" si="4"/>
        <v>0.00365084633255891</v>
      </c>
      <c r="AV24" s="20">
        <v>1</v>
      </c>
      <c r="AW24" s="183">
        <f t="shared" si="5"/>
        <v>0.873333333333333</v>
      </c>
      <c r="AX24" s="184">
        <f t="shared" si="6"/>
        <v>0.353013228809407</v>
      </c>
      <c r="AY24" s="176">
        <f t="shared" si="7"/>
        <v>0.0303030303030303</v>
      </c>
      <c r="AZ24" s="185">
        <f t="shared" si="8"/>
        <v>1</v>
      </c>
      <c r="BA24" s="183">
        <v>28.82</v>
      </c>
      <c r="BB24" s="176">
        <f t="shared" si="40"/>
        <v>0.353013228809407</v>
      </c>
      <c r="BC24" s="179">
        <f t="shared" si="10"/>
        <v>28.82</v>
      </c>
      <c r="BD24" s="179">
        <v>81.64</v>
      </c>
      <c r="BE24" s="182">
        <v>0</v>
      </c>
      <c r="BF24" s="186">
        <f t="shared" si="11"/>
        <v>3.36</v>
      </c>
      <c r="BG24" s="186">
        <v>32.18</v>
      </c>
      <c r="BH24" s="187">
        <f t="shared" si="12"/>
        <v>3.36</v>
      </c>
      <c r="BI24" s="182">
        <f t="shared" si="13"/>
        <v>0.041156295933366</v>
      </c>
      <c r="BJ24" s="179">
        <f t="shared" si="14"/>
        <v>145</v>
      </c>
      <c r="BK24" s="179"/>
      <c r="BL24" s="179">
        <f t="shared" si="15"/>
        <v>0</v>
      </c>
      <c r="BM24" s="178"/>
      <c r="BN24" s="7"/>
      <c r="BO24" s="20"/>
      <c r="BP24" s="182"/>
      <c r="BQ24" s="182">
        <f t="shared" si="34"/>
        <v>1</v>
      </c>
      <c r="BR24" s="182">
        <f t="shared" si="16"/>
        <v>0</v>
      </c>
      <c r="BS24" s="182">
        <f t="shared" si="17"/>
        <v>0.942857142857143</v>
      </c>
      <c r="BT24" s="188">
        <f t="shared" si="18"/>
        <v>33</v>
      </c>
      <c r="BU24" s="20">
        <f t="shared" si="19"/>
        <v>35</v>
      </c>
      <c r="BV24" s="20">
        <f t="shared" si="20"/>
        <v>2</v>
      </c>
      <c r="BW24" s="185">
        <f t="shared" si="21"/>
        <v>0.0571428571428571</v>
      </c>
      <c r="BX24" s="182">
        <f t="shared" si="22"/>
        <v>0</v>
      </c>
      <c r="BY24" s="182">
        <f t="shared" si="23"/>
        <v>1</v>
      </c>
      <c r="BZ24" s="182">
        <f t="shared" si="24"/>
        <v>0</v>
      </c>
      <c r="CA24" s="182">
        <f t="shared" si="25"/>
        <v>1</v>
      </c>
      <c r="CB24" s="189">
        <f t="shared" si="35"/>
        <v>0</v>
      </c>
      <c r="CC24" s="190">
        <f t="shared" si="36"/>
        <v>0.0285714285714286</v>
      </c>
      <c r="CD24" s="190">
        <f t="shared" si="37"/>
        <v>0.0303030303030303</v>
      </c>
      <c r="CE24" s="189">
        <v>0.08</v>
      </c>
      <c r="CF24" s="189">
        <v>0.08</v>
      </c>
      <c r="CG24" s="189">
        <v>0.08</v>
      </c>
      <c r="CH24" s="189">
        <v>0.08</v>
      </c>
      <c r="CI24" s="189">
        <v>0.05</v>
      </c>
      <c r="CJ24" s="189">
        <v>0.06</v>
      </c>
      <c r="CK24" s="189">
        <v>0.04</v>
      </c>
      <c r="CL24" s="7" t="s">
        <v>84</v>
      </c>
      <c r="CM24" s="191" t="s">
        <v>84</v>
      </c>
      <c r="CN24" s="7">
        <v>47</v>
      </c>
      <c r="CO24" s="191" t="s">
        <v>84</v>
      </c>
      <c r="CP24" s="7">
        <v>82</v>
      </c>
      <c r="CQ24" s="7"/>
      <c r="CR24" s="7">
        <v>19</v>
      </c>
      <c r="CS24" s="7"/>
      <c r="CT24" s="7">
        <v>31</v>
      </c>
      <c r="CU24" s="7"/>
      <c r="CV24" s="7">
        <v>39</v>
      </c>
      <c r="CW24" s="7"/>
      <c r="CX24" s="7">
        <v>4</v>
      </c>
      <c r="CY24" s="7"/>
      <c r="CZ24" s="197"/>
      <c r="DA24" s="197"/>
      <c r="DB24" s="197"/>
      <c r="DC24" s="197"/>
      <c r="DD24" s="127">
        <v>2.9</v>
      </c>
      <c r="DE24" s="127">
        <v>4.02</v>
      </c>
      <c r="DF24" s="127">
        <v>0.47</v>
      </c>
      <c r="DG24" s="127">
        <v>3.41</v>
      </c>
      <c r="DH24" s="127">
        <v>3.36</v>
      </c>
      <c r="DI24" s="127">
        <v>2.72</v>
      </c>
      <c r="DJ24" s="127">
        <v>0.34</v>
      </c>
      <c r="DK24" s="197"/>
      <c r="DL24" s="198">
        <v>0.0023</v>
      </c>
      <c r="DM24" s="198">
        <v>0.0025</v>
      </c>
      <c r="DN24" s="198">
        <v>0.0025</v>
      </c>
      <c r="DO24" s="198">
        <v>0.0025</v>
      </c>
      <c r="DP24" s="197"/>
      <c r="DQ24" s="192">
        <v>0.045</v>
      </c>
      <c r="DR24" s="192">
        <v>0.0508</v>
      </c>
      <c r="DS24" s="192">
        <v>0.0489</v>
      </c>
      <c r="DT24" s="192">
        <v>0.0486</v>
      </c>
      <c r="DU24" s="192">
        <v>0.061</v>
      </c>
      <c r="DV24" s="192">
        <v>0.0628</v>
      </c>
      <c r="DW24" s="127"/>
      <c r="DX24" s="192">
        <v>0.0175</v>
      </c>
      <c r="DY24" s="192">
        <v>0.0205</v>
      </c>
      <c r="DZ24" s="192">
        <v>0.0205</v>
      </c>
      <c r="EA24" s="192">
        <v>0.0205</v>
      </c>
      <c r="EB24" s="192">
        <v>0.031</v>
      </c>
      <c r="EC24" s="192">
        <v>0.0257</v>
      </c>
      <c r="ED24" s="127"/>
      <c r="EE24" s="127">
        <v>0.39</v>
      </c>
      <c r="EF24" s="127">
        <v>0.61</v>
      </c>
      <c r="EG24" s="127">
        <v>0.54</v>
      </c>
      <c r="EH24" s="127">
        <v>0.35</v>
      </c>
      <c r="EI24" s="127">
        <v>0.58</v>
      </c>
      <c r="EJ24" s="127">
        <v>0.55</v>
      </c>
      <c r="EK24" s="197"/>
      <c r="EL24" s="197"/>
      <c r="EM24" s="197"/>
      <c r="EN24" s="197"/>
      <c r="EO24" s="197"/>
      <c r="EP24" s="197"/>
      <c r="EQ24" s="197"/>
      <c r="ER24" s="197"/>
      <c r="ES24" s="197"/>
      <c r="ET24" s="197"/>
      <c r="EU24" s="197"/>
      <c r="EV24" s="197"/>
      <c r="EW24" s="197"/>
      <c r="EX24" s="197"/>
      <c r="EY24" s="197"/>
      <c r="EZ24" s="127">
        <v>0.55</v>
      </c>
      <c r="FA24" s="192">
        <f t="shared" si="26"/>
        <v>0.00365084633255891</v>
      </c>
      <c r="FB24" s="192">
        <v>0.0025</v>
      </c>
      <c r="FC24" s="192">
        <f t="shared" si="27"/>
        <v>0.0285714285714286</v>
      </c>
      <c r="FD24" s="192">
        <f t="shared" si="28"/>
        <v>0.0303030303030303</v>
      </c>
      <c r="FE24" s="193">
        <f t="shared" si="29"/>
        <v>0</v>
      </c>
      <c r="FF24" s="197"/>
      <c r="FG24" s="197"/>
      <c r="FH24" s="197"/>
      <c r="FI24" s="194">
        <v>0.045</v>
      </c>
      <c r="FJ24" s="194">
        <f t="shared" si="30"/>
        <v>0.0285714285714286</v>
      </c>
      <c r="FK24" s="196">
        <v>89.57</v>
      </c>
      <c r="FL24" s="127">
        <f t="shared" si="38"/>
        <v>13.4355</v>
      </c>
      <c r="FM24" s="196">
        <v>5.19</v>
      </c>
      <c r="FN24" s="127">
        <f t="shared" si="31"/>
        <v>28.82</v>
      </c>
      <c r="FO24" s="197"/>
      <c r="FP24" s="127">
        <f t="shared" si="32"/>
        <v>3.36</v>
      </c>
      <c r="FQ24" s="127">
        <f t="shared" si="33"/>
        <v>3.36</v>
      </c>
      <c r="FR24" s="196">
        <v>32.18</v>
      </c>
      <c r="FS24" s="197"/>
      <c r="FT24" s="197"/>
      <c r="FU24" s="197"/>
      <c r="FV24" s="197"/>
      <c r="FW24" s="197"/>
      <c r="FX24" s="197"/>
      <c r="FY24" s="197"/>
      <c r="FZ24" s="127"/>
      <c r="GA24" s="127"/>
      <c r="GB24" s="127"/>
      <c r="GC24" s="127"/>
      <c r="GD24" s="127"/>
      <c r="GE24" s="127"/>
      <c r="GF24" s="127"/>
      <c r="GG24" s="127"/>
      <c r="GH24" s="127"/>
      <c r="GI24" s="127"/>
      <c r="GJ24" s="127"/>
      <c r="GK24" s="127"/>
      <c r="GL24" s="127"/>
      <c r="GM24" s="127"/>
      <c r="GN24" s="127"/>
      <c r="GO24" s="127"/>
      <c r="GP24" s="127"/>
      <c r="GQ24" s="127"/>
      <c r="GR24" s="127"/>
      <c r="GS24" s="127"/>
      <c r="GT24" s="127"/>
      <c r="GU24" s="127"/>
      <c r="GV24" s="127"/>
      <c r="GW24" s="127"/>
      <c r="GX24" s="127"/>
      <c r="GY24" s="127"/>
      <c r="GZ24" s="127"/>
    </row>
    <row r="25" spans="1:208">
      <c r="A25" s="172">
        <v>45816</v>
      </c>
      <c r="B25" s="20" t="s">
        <v>371</v>
      </c>
      <c r="C25" s="173" t="s">
        <v>392</v>
      </c>
      <c r="D25" s="174">
        <v>139.99</v>
      </c>
      <c r="E25" s="175">
        <v>97.97</v>
      </c>
      <c r="F25" s="176">
        <v>0.3</v>
      </c>
      <c r="G25" s="176">
        <v>0.15</v>
      </c>
      <c r="H25" s="177">
        <f t="shared" si="0"/>
        <v>83.29405</v>
      </c>
      <c r="I25" s="176">
        <v>0.08</v>
      </c>
      <c r="J25" s="178">
        <v>0.06</v>
      </c>
      <c r="K25" s="20">
        <v>39</v>
      </c>
      <c r="L25" s="20">
        <v>16</v>
      </c>
      <c r="M25" s="20">
        <f t="shared" si="39"/>
        <v>55</v>
      </c>
      <c r="N25" s="176">
        <f t="shared" si="1"/>
        <v>0</v>
      </c>
      <c r="O25" s="179">
        <f t="shared" si="2"/>
        <v>0</v>
      </c>
      <c r="P25" s="179">
        <f t="shared" si="3"/>
        <v>0</v>
      </c>
      <c r="Q25" s="20">
        <v>0</v>
      </c>
      <c r="R25" s="20"/>
      <c r="S25" s="20">
        <v>0</v>
      </c>
      <c r="T25" s="20">
        <v>0</v>
      </c>
      <c r="U25" s="176">
        <v>0</v>
      </c>
      <c r="V25" s="20">
        <v>0</v>
      </c>
      <c r="W25" s="20">
        <v>0</v>
      </c>
      <c r="X25" s="20">
        <v>38</v>
      </c>
      <c r="Y25" s="20"/>
      <c r="Z25" s="20">
        <v>47</v>
      </c>
      <c r="AA25" s="20"/>
      <c r="AB25" s="20">
        <v>84</v>
      </c>
      <c r="AC25" s="20"/>
      <c r="AD25" s="20">
        <v>25</v>
      </c>
      <c r="AE25" s="20"/>
      <c r="AF25" s="20">
        <v>37</v>
      </c>
      <c r="AG25" s="20"/>
      <c r="AH25" s="20">
        <v>33</v>
      </c>
      <c r="AI25" s="20"/>
      <c r="AJ25" s="20" t="s">
        <v>84</v>
      </c>
      <c r="AK25" s="20"/>
      <c r="AL25" s="20">
        <v>136</v>
      </c>
      <c r="AM25" s="180">
        <v>207521</v>
      </c>
      <c r="AN25" s="173">
        <v>284</v>
      </c>
      <c r="AO25" s="174">
        <v>8</v>
      </c>
      <c r="AP25" s="174">
        <v>5</v>
      </c>
      <c r="AQ25" s="174"/>
      <c r="AR25" s="174"/>
      <c r="AS25" s="181">
        <v>15425</v>
      </c>
      <c r="AT25" s="20">
        <v>53</v>
      </c>
      <c r="AU25" s="182">
        <f t="shared" si="4"/>
        <v>0.00343598055105348</v>
      </c>
      <c r="AV25" s="20">
        <v>0</v>
      </c>
      <c r="AW25" s="183">
        <f t="shared" si="5"/>
        <v>0.85622641509434</v>
      </c>
      <c r="AX25" s="184">
        <f t="shared" si="6"/>
        <v>0</v>
      </c>
      <c r="AY25" s="176">
        <f t="shared" si="7"/>
        <v>0</v>
      </c>
      <c r="AZ25" s="185">
        <f t="shared" si="8"/>
        <v>0</v>
      </c>
      <c r="BA25" s="183">
        <v>45.38</v>
      </c>
      <c r="BB25" s="176">
        <f t="shared" si="40"/>
        <v>0</v>
      </c>
      <c r="BC25" s="179">
        <f t="shared" si="10"/>
        <v>0</v>
      </c>
      <c r="BD25" s="179">
        <v>0</v>
      </c>
      <c r="BE25" s="182">
        <v>0</v>
      </c>
      <c r="BF25" s="186">
        <f t="shared" si="11"/>
        <v>32.18</v>
      </c>
      <c r="BG25" s="186">
        <v>32.18</v>
      </c>
      <c r="BH25" s="187">
        <f t="shared" si="12"/>
        <v>0</v>
      </c>
      <c r="BI25" s="182">
        <f t="shared" si="13"/>
        <v>0</v>
      </c>
      <c r="BJ25" s="179">
        <f t="shared" si="14"/>
        <v>0</v>
      </c>
      <c r="BK25" s="179"/>
      <c r="BL25" s="179">
        <f t="shared" si="15"/>
        <v>0</v>
      </c>
      <c r="BM25" s="178"/>
      <c r="BN25" s="7"/>
      <c r="BO25" s="20"/>
      <c r="BP25" s="182"/>
      <c r="BQ25" s="182">
        <f t="shared" si="34"/>
        <v>0</v>
      </c>
      <c r="BR25" s="182">
        <f t="shared" si="16"/>
        <v>0</v>
      </c>
      <c r="BS25" s="182">
        <f t="shared" si="17"/>
        <v>0.963636363636364</v>
      </c>
      <c r="BT25" s="188">
        <f t="shared" si="18"/>
        <v>53</v>
      </c>
      <c r="BU25" s="20">
        <f t="shared" si="19"/>
        <v>55</v>
      </c>
      <c r="BV25" s="20">
        <f t="shared" si="20"/>
        <v>2</v>
      </c>
      <c r="BW25" s="185">
        <f t="shared" si="21"/>
        <v>0.0363636363636364</v>
      </c>
      <c r="BX25" s="182">
        <f t="shared" si="22"/>
        <v>0</v>
      </c>
      <c r="BY25" s="182">
        <f t="shared" si="23"/>
        <v>0</v>
      </c>
      <c r="BZ25" s="182">
        <f t="shared" si="24"/>
        <v>0</v>
      </c>
      <c r="CA25" s="182">
        <f t="shared" si="25"/>
        <v>0</v>
      </c>
      <c r="CB25" s="189">
        <f t="shared" si="35"/>
        <v>0</v>
      </c>
      <c r="CC25" s="190">
        <f t="shared" si="36"/>
        <v>0</v>
      </c>
      <c r="CD25" s="190">
        <f t="shared" si="37"/>
        <v>0</v>
      </c>
      <c r="CE25" s="189">
        <v>0.08</v>
      </c>
      <c r="CF25" s="189">
        <v>0.08</v>
      </c>
      <c r="CG25" s="189">
        <v>0.08</v>
      </c>
      <c r="CH25" s="189">
        <v>0.08</v>
      </c>
      <c r="CI25" s="189">
        <v>0.05</v>
      </c>
      <c r="CJ25" s="189">
        <v>0.06</v>
      </c>
      <c r="CK25" s="189">
        <v>0.04</v>
      </c>
      <c r="CL25" s="7">
        <v>38</v>
      </c>
      <c r="CM25" s="191" t="s">
        <v>84</v>
      </c>
      <c r="CN25" s="7">
        <v>47</v>
      </c>
      <c r="CO25" s="191" t="s">
        <v>84</v>
      </c>
      <c r="CP25" s="7">
        <v>84</v>
      </c>
      <c r="CQ25" s="7"/>
      <c r="CR25" s="7">
        <v>25</v>
      </c>
      <c r="CS25" s="7"/>
      <c r="CT25" s="7">
        <v>37</v>
      </c>
      <c r="CU25" s="7"/>
      <c r="CV25" s="7">
        <v>33</v>
      </c>
      <c r="CW25" s="7"/>
      <c r="CX25" s="7" t="s">
        <v>84</v>
      </c>
      <c r="CY25" s="7"/>
      <c r="CZ25" s="197"/>
      <c r="DA25" s="197"/>
      <c r="DB25" s="197"/>
      <c r="DC25" s="197"/>
      <c r="DD25" s="127">
        <v>2.9</v>
      </c>
      <c r="DE25" s="127">
        <v>4.02</v>
      </c>
      <c r="DF25" s="127">
        <v>0.47</v>
      </c>
      <c r="DG25" s="127">
        <v>3.41</v>
      </c>
      <c r="DH25" s="127">
        <v>3.36</v>
      </c>
      <c r="DI25" s="127">
        <v>2.72</v>
      </c>
      <c r="DJ25" s="127">
        <v>0.34</v>
      </c>
      <c r="DK25" s="197"/>
      <c r="DL25" s="198">
        <v>0.0023</v>
      </c>
      <c r="DM25" s="198">
        <v>0.0025</v>
      </c>
      <c r="DN25" s="198">
        <v>0.0025</v>
      </c>
      <c r="DO25" s="198">
        <v>0.0025</v>
      </c>
      <c r="DP25" s="197"/>
      <c r="DQ25" s="192">
        <v>0.045</v>
      </c>
      <c r="DR25" s="192">
        <v>0.0508</v>
      </c>
      <c r="DS25" s="192">
        <v>0.0489</v>
      </c>
      <c r="DT25" s="192">
        <v>0.0486</v>
      </c>
      <c r="DU25" s="192">
        <v>0.061</v>
      </c>
      <c r="DV25" s="192">
        <v>0.0628</v>
      </c>
      <c r="DW25" s="127"/>
      <c r="DX25" s="192">
        <v>0.0175</v>
      </c>
      <c r="DY25" s="192">
        <v>0.0205</v>
      </c>
      <c r="DZ25" s="192">
        <v>0.0205</v>
      </c>
      <c r="EA25" s="192">
        <v>0.0205</v>
      </c>
      <c r="EB25" s="192">
        <v>0.031</v>
      </c>
      <c r="EC25" s="192">
        <v>0.0257</v>
      </c>
      <c r="ED25" s="127"/>
      <c r="EE25" s="127">
        <v>0.39</v>
      </c>
      <c r="EF25" s="127">
        <v>0.61</v>
      </c>
      <c r="EG25" s="127">
        <v>0.54</v>
      </c>
      <c r="EH25" s="127">
        <v>0.35</v>
      </c>
      <c r="EI25" s="127">
        <v>0.58</v>
      </c>
      <c r="EJ25" s="127">
        <v>0.55</v>
      </c>
      <c r="EK25" s="197"/>
      <c r="EL25" s="197"/>
      <c r="EM25" s="197"/>
      <c r="EN25" s="197"/>
      <c r="EO25" s="197"/>
      <c r="EP25" s="197"/>
      <c r="EQ25" s="197"/>
      <c r="ER25" s="197"/>
      <c r="ES25" s="197"/>
      <c r="ET25" s="197"/>
      <c r="EU25" s="197"/>
      <c r="EV25" s="197"/>
      <c r="EW25" s="197"/>
      <c r="EX25" s="197"/>
      <c r="EY25" s="197"/>
      <c r="EZ25" s="127">
        <v>0.55</v>
      </c>
      <c r="FA25" s="192">
        <f t="shared" si="26"/>
        <v>0.00343598055105348</v>
      </c>
      <c r="FB25" s="192">
        <v>0.0025</v>
      </c>
      <c r="FC25" s="192">
        <f t="shared" si="27"/>
        <v>0</v>
      </c>
      <c r="FD25" s="192">
        <f t="shared" si="28"/>
        <v>0</v>
      </c>
      <c r="FE25" s="193">
        <f t="shared" si="29"/>
        <v>0</v>
      </c>
      <c r="FF25" s="197"/>
      <c r="FG25" s="197"/>
      <c r="FH25" s="197"/>
      <c r="FI25" s="194">
        <v>0.045</v>
      </c>
      <c r="FJ25" s="194">
        <f t="shared" si="30"/>
        <v>0</v>
      </c>
      <c r="FK25" s="196">
        <v>89.57</v>
      </c>
      <c r="FL25" s="127">
        <f t="shared" si="38"/>
        <v>13.4355</v>
      </c>
      <c r="FM25" s="196">
        <v>5.19</v>
      </c>
      <c r="FN25" s="127">
        <f t="shared" si="31"/>
        <v>45.38</v>
      </c>
      <c r="FO25" s="197"/>
      <c r="FP25" s="127">
        <f t="shared" si="32"/>
        <v>32.18</v>
      </c>
      <c r="FQ25" s="127">
        <f t="shared" si="33"/>
        <v>0</v>
      </c>
      <c r="FR25" s="196">
        <v>32.18</v>
      </c>
      <c r="FS25" s="197"/>
      <c r="FT25" s="197"/>
      <c r="FU25" s="197"/>
      <c r="FV25" s="197"/>
      <c r="FW25" s="197"/>
      <c r="FX25" s="197"/>
      <c r="FY25" s="197"/>
      <c r="FZ25" s="127"/>
      <c r="GA25" s="127"/>
      <c r="GB25" s="127"/>
      <c r="GC25" s="127"/>
      <c r="GD25" s="127"/>
      <c r="GE25" s="127"/>
      <c r="GF25" s="127"/>
      <c r="GG25" s="127"/>
      <c r="GH25" s="127"/>
      <c r="GI25" s="127"/>
      <c r="GJ25" s="127"/>
      <c r="GK25" s="127"/>
      <c r="GL25" s="127"/>
      <c r="GM25" s="127"/>
      <c r="GN25" s="127"/>
      <c r="GO25" s="127"/>
      <c r="GP25" s="127"/>
      <c r="GQ25" s="127"/>
      <c r="GR25" s="127"/>
      <c r="GS25" s="127"/>
      <c r="GT25" s="127"/>
      <c r="GU25" s="127"/>
      <c r="GV25" s="127"/>
      <c r="GW25" s="127"/>
      <c r="GX25" s="127"/>
      <c r="GY25" s="127"/>
      <c r="GZ25" s="127"/>
    </row>
    <row r="26" spans="1:208">
      <c r="A26" s="172">
        <v>45817</v>
      </c>
      <c r="B26" s="20" t="s">
        <v>373</v>
      </c>
      <c r="C26" s="173" t="s">
        <v>393</v>
      </c>
      <c r="D26" s="174">
        <v>139.99</v>
      </c>
      <c r="E26" s="175">
        <v>97.97</v>
      </c>
      <c r="F26" s="176">
        <v>0.3</v>
      </c>
      <c r="G26" s="176">
        <v>0.15</v>
      </c>
      <c r="H26" s="177">
        <f t="shared" si="0"/>
        <v>83.29405</v>
      </c>
      <c r="I26" s="176">
        <v>0.08</v>
      </c>
      <c r="J26" s="178">
        <v>0.06</v>
      </c>
      <c r="K26" s="20">
        <v>36</v>
      </c>
      <c r="L26" s="20">
        <v>14</v>
      </c>
      <c r="M26" s="20">
        <f t="shared" si="39"/>
        <v>50</v>
      </c>
      <c r="N26" s="176">
        <f t="shared" si="1"/>
        <v>0.02</v>
      </c>
      <c r="O26" s="179">
        <f t="shared" si="2"/>
        <v>0</v>
      </c>
      <c r="P26" s="179">
        <f t="shared" si="3"/>
        <v>1</v>
      </c>
      <c r="Q26" s="20">
        <v>1</v>
      </c>
      <c r="R26" s="20">
        <v>1</v>
      </c>
      <c r="S26" s="20">
        <v>0</v>
      </c>
      <c r="T26" s="20">
        <v>0</v>
      </c>
      <c r="U26" s="176">
        <v>0</v>
      </c>
      <c r="V26" s="20">
        <v>0</v>
      </c>
      <c r="W26" s="20">
        <v>95.52</v>
      </c>
      <c r="X26" s="20">
        <v>26</v>
      </c>
      <c r="Y26" s="20"/>
      <c r="Z26" s="20">
        <v>45</v>
      </c>
      <c r="AA26" s="20"/>
      <c r="AB26" s="20">
        <v>95</v>
      </c>
      <c r="AC26" s="20"/>
      <c r="AD26" s="20">
        <v>22</v>
      </c>
      <c r="AE26" s="20"/>
      <c r="AF26" s="20">
        <v>37</v>
      </c>
      <c r="AG26" s="20"/>
      <c r="AH26" s="20">
        <v>32</v>
      </c>
      <c r="AI26" s="20"/>
      <c r="AJ26" s="20" t="s">
        <v>84</v>
      </c>
      <c r="AK26" s="20"/>
      <c r="AL26" s="20">
        <v>136</v>
      </c>
      <c r="AM26" s="180">
        <v>171015</v>
      </c>
      <c r="AN26" s="173">
        <v>259</v>
      </c>
      <c r="AO26" s="174">
        <v>8</v>
      </c>
      <c r="AP26" s="174">
        <v>5</v>
      </c>
      <c r="AQ26" s="174"/>
      <c r="AR26" s="174"/>
      <c r="AS26" s="181">
        <v>10686</v>
      </c>
      <c r="AT26" s="20">
        <v>47</v>
      </c>
      <c r="AU26" s="182">
        <f t="shared" si="4"/>
        <v>0.00439827812090586</v>
      </c>
      <c r="AV26" s="20">
        <v>1</v>
      </c>
      <c r="AW26" s="183">
        <f t="shared" si="5"/>
        <v>0.987659574468085</v>
      </c>
      <c r="AX26" s="184">
        <f t="shared" si="6"/>
        <v>0</v>
      </c>
      <c r="AY26" s="176">
        <f t="shared" si="7"/>
        <v>0.0212765957446809</v>
      </c>
      <c r="AZ26" s="185">
        <f t="shared" si="8"/>
        <v>1</v>
      </c>
      <c r="BA26" s="183">
        <v>46.42</v>
      </c>
      <c r="BB26" s="176">
        <f t="shared" si="40"/>
        <v>0</v>
      </c>
      <c r="BC26" s="179">
        <f t="shared" si="10"/>
        <v>46.42</v>
      </c>
      <c r="BD26" s="179">
        <v>0</v>
      </c>
      <c r="BE26" s="182">
        <v>0</v>
      </c>
      <c r="BF26" s="186">
        <f t="shared" si="11"/>
        <v>-14.24</v>
      </c>
      <c r="BG26" s="186">
        <v>32.18</v>
      </c>
      <c r="BH26" s="187">
        <f t="shared" si="12"/>
        <v>-14.24</v>
      </c>
      <c r="BI26" s="182">
        <f t="shared" si="13"/>
        <v>-0.149078726968174</v>
      </c>
      <c r="BJ26" s="179">
        <f t="shared" si="14"/>
        <v>145</v>
      </c>
      <c r="BK26" s="179"/>
      <c r="BL26" s="179">
        <f t="shared" si="15"/>
        <v>0</v>
      </c>
      <c r="BM26" s="178"/>
      <c r="BN26" s="7"/>
      <c r="BO26" s="20"/>
      <c r="BP26" s="182"/>
      <c r="BQ26" s="182">
        <f t="shared" si="34"/>
        <v>1</v>
      </c>
      <c r="BR26" s="182">
        <f t="shared" si="16"/>
        <v>0</v>
      </c>
      <c r="BS26" s="182">
        <f t="shared" si="17"/>
        <v>0.94</v>
      </c>
      <c r="BT26" s="188">
        <f t="shared" si="18"/>
        <v>47</v>
      </c>
      <c r="BU26" s="20">
        <f t="shared" si="19"/>
        <v>50</v>
      </c>
      <c r="BV26" s="20">
        <f t="shared" si="20"/>
        <v>3</v>
      </c>
      <c r="BW26" s="185">
        <f t="shared" si="21"/>
        <v>0.06</v>
      </c>
      <c r="BX26" s="182">
        <f t="shared" si="22"/>
        <v>0</v>
      </c>
      <c r="BY26" s="182">
        <f t="shared" si="23"/>
        <v>1</v>
      </c>
      <c r="BZ26" s="182">
        <f t="shared" si="24"/>
        <v>0</v>
      </c>
      <c r="CA26" s="182">
        <f t="shared" si="25"/>
        <v>1</v>
      </c>
      <c r="CB26" s="189">
        <f t="shared" si="35"/>
        <v>0</v>
      </c>
      <c r="CC26" s="190">
        <f t="shared" si="36"/>
        <v>0.02</v>
      </c>
      <c r="CD26" s="190">
        <f t="shared" si="37"/>
        <v>0.0212765957446809</v>
      </c>
      <c r="CE26" s="189">
        <v>0.08</v>
      </c>
      <c r="CF26" s="189">
        <v>0.08</v>
      </c>
      <c r="CG26" s="189">
        <v>0.08</v>
      </c>
      <c r="CH26" s="189">
        <v>0.08</v>
      </c>
      <c r="CI26" s="189">
        <v>0.05</v>
      </c>
      <c r="CJ26" s="189">
        <v>0.06</v>
      </c>
      <c r="CK26" s="189">
        <v>0.04</v>
      </c>
      <c r="CL26" s="7">
        <v>26</v>
      </c>
      <c r="CM26" s="191" t="s">
        <v>84</v>
      </c>
      <c r="CN26" s="7">
        <v>45</v>
      </c>
      <c r="CO26" s="191" t="s">
        <v>84</v>
      </c>
      <c r="CP26" s="7">
        <v>95</v>
      </c>
      <c r="CQ26" s="7"/>
      <c r="CR26" s="7">
        <v>22</v>
      </c>
      <c r="CS26" s="7"/>
      <c r="CT26" s="7">
        <v>37</v>
      </c>
      <c r="CU26" s="7"/>
      <c r="CV26" s="7">
        <v>32</v>
      </c>
      <c r="CW26" s="7"/>
      <c r="CX26" s="7" t="s">
        <v>84</v>
      </c>
      <c r="CY26" s="7"/>
      <c r="CZ26" s="197"/>
      <c r="DA26" s="197"/>
      <c r="DB26" s="197"/>
      <c r="DC26" s="197"/>
      <c r="DD26" s="127">
        <v>2.9</v>
      </c>
      <c r="DE26" s="127">
        <v>4.02</v>
      </c>
      <c r="DF26" s="127">
        <v>0.47</v>
      </c>
      <c r="DG26" s="127">
        <v>3.41</v>
      </c>
      <c r="DH26" s="127">
        <v>3.36</v>
      </c>
      <c r="DI26" s="127">
        <v>2.72</v>
      </c>
      <c r="DJ26" s="127">
        <v>0.34</v>
      </c>
      <c r="DK26" s="197"/>
      <c r="DL26" s="198">
        <v>0.0023</v>
      </c>
      <c r="DM26" s="198">
        <v>0.0025</v>
      </c>
      <c r="DN26" s="198">
        <v>0.0025</v>
      </c>
      <c r="DO26" s="198">
        <v>0.0025</v>
      </c>
      <c r="DP26" s="197"/>
      <c r="DQ26" s="192">
        <v>0.045</v>
      </c>
      <c r="DR26" s="192">
        <v>0.0508</v>
      </c>
      <c r="DS26" s="192">
        <v>0.0489</v>
      </c>
      <c r="DT26" s="192">
        <v>0.0486</v>
      </c>
      <c r="DU26" s="192">
        <v>0.061</v>
      </c>
      <c r="DV26" s="192">
        <v>0.0628</v>
      </c>
      <c r="DW26" s="127"/>
      <c r="DX26" s="192">
        <v>0.0175</v>
      </c>
      <c r="DY26" s="192">
        <v>0.0205</v>
      </c>
      <c r="DZ26" s="192">
        <v>0.0205</v>
      </c>
      <c r="EA26" s="192">
        <v>0.0205</v>
      </c>
      <c r="EB26" s="192">
        <v>0.031</v>
      </c>
      <c r="EC26" s="192">
        <v>0.0257</v>
      </c>
      <c r="ED26" s="127"/>
      <c r="EE26" s="127">
        <v>0.39</v>
      </c>
      <c r="EF26" s="127">
        <v>0.61</v>
      </c>
      <c r="EG26" s="127">
        <v>0.54</v>
      </c>
      <c r="EH26" s="127">
        <v>0.35</v>
      </c>
      <c r="EI26" s="127">
        <v>0.58</v>
      </c>
      <c r="EJ26" s="127">
        <v>0.55</v>
      </c>
      <c r="EK26" s="197"/>
      <c r="EL26" s="197"/>
      <c r="EM26" s="197"/>
      <c r="EN26" s="197"/>
      <c r="EO26" s="197"/>
      <c r="EP26" s="197"/>
      <c r="EQ26" s="197"/>
      <c r="ER26" s="197"/>
      <c r="ES26" s="197"/>
      <c r="ET26" s="197"/>
      <c r="EU26" s="197"/>
      <c r="EV26" s="197"/>
      <c r="EW26" s="197"/>
      <c r="EX26" s="197"/>
      <c r="EY26" s="197"/>
      <c r="EZ26" s="127">
        <v>0.55</v>
      </c>
      <c r="FA26" s="192">
        <f t="shared" si="26"/>
        <v>0.00439827812090586</v>
      </c>
      <c r="FB26" s="192">
        <v>0.0025</v>
      </c>
      <c r="FC26" s="192">
        <f t="shared" si="27"/>
        <v>0.02</v>
      </c>
      <c r="FD26" s="192">
        <f t="shared" si="28"/>
        <v>0.0212765957446809</v>
      </c>
      <c r="FE26" s="193">
        <f t="shared" si="29"/>
        <v>0</v>
      </c>
      <c r="FF26" s="197"/>
      <c r="FG26" s="197"/>
      <c r="FH26" s="197"/>
      <c r="FI26" s="194">
        <v>0.045</v>
      </c>
      <c r="FJ26" s="194">
        <f t="shared" si="30"/>
        <v>0.02</v>
      </c>
      <c r="FK26" s="196">
        <v>89.57</v>
      </c>
      <c r="FL26" s="127">
        <f t="shared" si="38"/>
        <v>13.4355</v>
      </c>
      <c r="FM26" s="196">
        <v>5.19</v>
      </c>
      <c r="FN26" s="127">
        <f t="shared" si="31"/>
        <v>46.42</v>
      </c>
      <c r="FO26" s="197"/>
      <c r="FP26" s="127">
        <f t="shared" si="32"/>
        <v>-14.24</v>
      </c>
      <c r="FQ26" s="127">
        <f t="shared" si="33"/>
        <v>-14.24</v>
      </c>
      <c r="FR26" s="196">
        <v>32.18</v>
      </c>
      <c r="FS26" s="197"/>
      <c r="FT26" s="197"/>
      <c r="FU26" s="197"/>
      <c r="FV26" s="197"/>
      <c r="FW26" s="197"/>
      <c r="FX26" s="197"/>
      <c r="FY26" s="197"/>
      <c r="FZ26" s="127"/>
      <c r="GA26" s="127"/>
      <c r="GB26" s="127"/>
      <c r="GC26" s="127"/>
      <c r="GD26" s="127"/>
      <c r="GE26" s="127"/>
      <c r="GF26" s="127"/>
      <c r="GG26" s="127"/>
      <c r="GH26" s="127"/>
      <c r="GI26" s="127"/>
      <c r="GJ26" s="127"/>
      <c r="GK26" s="127"/>
      <c r="GL26" s="127"/>
      <c r="GM26" s="127"/>
      <c r="GN26" s="127"/>
      <c r="GO26" s="127"/>
      <c r="GP26" s="127"/>
      <c r="GQ26" s="127"/>
      <c r="GR26" s="127"/>
      <c r="GS26" s="127"/>
      <c r="GT26" s="127"/>
      <c r="GU26" s="127"/>
      <c r="GV26" s="127"/>
      <c r="GW26" s="127"/>
      <c r="GX26" s="127"/>
      <c r="GY26" s="127"/>
      <c r="GZ26" s="127"/>
    </row>
    <row r="27" spans="1:208">
      <c r="A27" s="172">
        <v>45818</v>
      </c>
      <c r="B27" s="20" t="s">
        <v>375</v>
      </c>
      <c r="C27" s="173" t="s">
        <v>394</v>
      </c>
      <c r="D27" s="174">
        <v>139.99</v>
      </c>
      <c r="E27" s="175">
        <v>89.57</v>
      </c>
      <c r="F27" s="176">
        <v>0.3</v>
      </c>
      <c r="G27" s="176">
        <v>0.15</v>
      </c>
      <c r="H27" s="177">
        <f t="shared" si="0"/>
        <v>83.29405</v>
      </c>
      <c r="I27" s="176">
        <v>0.08</v>
      </c>
      <c r="J27" s="178">
        <v>0.06</v>
      </c>
      <c r="K27" s="20">
        <v>24</v>
      </c>
      <c r="L27" s="20">
        <v>10</v>
      </c>
      <c r="M27" s="20">
        <f t="shared" si="39"/>
        <v>34</v>
      </c>
      <c r="N27" s="176">
        <f t="shared" si="1"/>
        <v>0</v>
      </c>
      <c r="O27" s="179">
        <f t="shared" si="2"/>
        <v>0</v>
      </c>
      <c r="P27" s="179">
        <f t="shared" si="3"/>
        <v>0</v>
      </c>
      <c r="Q27" s="20">
        <v>0</v>
      </c>
      <c r="R27" s="20"/>
      <c r="S27" s="20">
        <v>0</v>
      </c>
      <c r="T27" s="20">
        <v>0</v>
      </c>
      <c r="U27" s="176">
        <v>0</v>
      </c>
      <c r="V27" s="20">
        <v>0</v>
      </c>
      <c r="W27" s="20">
        <v>0</v>
      </c>
      <c r="X27" s="20">
        <v>38</v>
      </c>
      <c r="Y27" s="20"/>
      <c r="Z27" s="20">
        <v>45</v>
      </c>
      <c r="AA27" s="20"/>
      <c r="AB27" s="20">
        <v>92</v>
      </c>
      <c r="AC27" s="20"/>
      <c r="AD27" s="20">
        <v>29</v>
      </c>
      <c r="AE27" s="20"/>
      <c r="AF27" s="20">
        <v>37</v>
      </c>
      <c r="AG27" s="20"/>
      <c r="AH27" s="20">
        <v>37</v>
      </c>
      <c r="AI27" s="20"/>
      <c r="AJ27" s="20">
        <v>6</v>
      </c>
      <c r="AK27" s="20"/>
      <c r="AL27" s="20">
        <v>136</v>
      </c>
      <c r="AM27" s="180">
        <v>233481</v>
      </c>
      <c r="AN27" s="173">
        <v>310</v>
      </c>
      <c r="AO27" s="174">
        <v>9</v>
      </c>
      <c r="AP27" s="174">
        <v>5</v>
      </c>
      <c r="AQ27" s="174"/>
      <c r="AR27" s="174"/>
      <c r="AS27" s="181">
        <v>4235</v>
      </c>
      <c r="AT27" s="20">
        <v>24</v>
      </c>
      <c r="AU27" s="182">
        <f t="shared" si="4"/>
        <v>0.00566706021251476</v>
      </c>
      <c r="AV27" s="20">
        <v>0</v>
      </c>
      <c r="AW27" s="183">
        <f t="shared" si="5"/>
        <v>1.45625</v>
      </c>
      <c r="AX27" s="184">
        <f t="shared" si="6"/>
        <v>0</v>
      </c>
      <c r="AY27" s="176">
        <f t="shared" si="7"/>
        <v>0</v>
      </c>
      <c r="AZ27" s="185">
        <f t="shared" si="8"/>
        <v>0</v>
      </c>
      <c r="BA27" s="183">
        <v>34.95</v>
      </c>
      <c r="BB27" s="176">
        <f t="shared" si="40"/>
        <v>0</v>
      </c>
      <c r="BC27" s="179">
        <f t="shared" si="10"/>
        <v>0</v>
      </c>
      <c r="BD27" s="179">
        <v>0</v>
      </c>
      <c r="BE27" s="182">
        <v>0</v>
      </c>
      <c r="BF27" s="186">
        <f t="shared" si="11"/>
        <v>32.18</v>
      </c>
      <c r="BG27" s="186">
        <v>32.18</v>
      </c>
      <c r="BH27" s="187">
        <f t="shared" si="12"/>
        <v>0</v>
      </c>
      <c r="BI27" s="182">
        <f t="shared" si="13"/>
        <v>0</v>
      </c>
      <c r="BJ27" s="179">
        <f t="shared" si="14"/>
        <v>0</v>
      </c>
      <c r="BK27" s="179"/>
      <c r="BL27" s="179">
        <f t="shared" si="15"/>
        <v>0</v>
      </c>
      <c r="BM27" s="178"/>
      <c r="BN27" s="7"/>
      <c r="BO27" s="20"/>
      <c r="BP27" s="182"/>
      <c r="BQ27" s="182">
        <f t="shared" si="34"/>
        <v>0</v>
      </c>
      <c r="BR27" s="182">
        <f t="shared" si="16"/>
        <v>0</v>
      </c>
      <c r="BS27" s="182">
        <f t="shared" si="17"/>
        <v>0.705882352941177</v>
      </c>
      <c r="BT27" s="188">
        <f t="shared" si="18"/>
        <v>24</v>
      </c>
      <c r="BU27" s="20">
        <f t="shared" si="19"/>
        <v>34</v>
      </c>
      <c r="BV27" s="20">
        <f t="shared" si="20"/>
        <v>10</v>
      </c>
      <c r="BW27" s="185">
        <f t="shared" si="21"/>
        <v>0.294117647058824</v>
      </c>
      <c r="BX27" s="182">
        <f t="shared" si="22"/>
        <v>0</v>
      </c>
      <c r="BY27" s="182">
        <f t="shared" si="23"/>
        <v>0</v>
      </c>
      <c r="BZ27" s="182">
        <f t="shared" si="24"/>
        <v>0</v>
      </c>
      <c r="CA27" s="182">
        <f t="shared" si="25"/>
        <v>0</v>
      </c>
      <c r="CB27" s="189">
        <f t="shared" si="35"/>
        <v>0</v>
      </c>
      <c r="CC27" s="190">
        <f t="shared" si="36"/>
        <v>0</v>
      </c>
      <c r="CD27" s="190">
        <f t="shared" si="37"/>
        <v>0</v>
      </c>
      <c r="CE27" s="189">
        <v>0.08</v>
      </c>
      <c r="CF27" s="189">
        <v>0.08</v>
      </c>
      <c r="CG27" s="189">
        <v>0.08</v>
      </c>
      <c r="CH27" s="189">
        <v>0.08</v>
      </c>
      <c r="CI27" s="189">
        <v>0.05</v>
      </c>
      <c r="CJ27" s="189">
        <v>0.06</v>
      </c>
      <c r="CK27" s="189">
        <v>0.04</v>
      </c>
      <c r="CL27" s="191">
        <v>38</v>
      </c>
      <c r="CM27" s="191" t="s">
        <v>84</v>
      </c>
      <c r="CN27" s="191">
        <v>45</v>
      </c>
      <c r="CO27" s="191" t="s">
        <v>84</v>
      </c>
      <c r="CP27" s="191">
        <v>92</v>
      </c>
      <c r="CQ27" s="191"/>
      <c r="CR27" s="191">
        <v>29</v>
      </c>
      <c r="CS27" s="191"/>
      <c r="CT27" s="191">
        <v>37</v>
      </c>
      <c r="CU27" s="191"/>
      <c r="CV27" s="191">
        <v>37</v>
      </c>
      <c r="CW27" s="191"/>
      <c r="CX27" s="191">
        <v>6</v>
      </c>
      <c r="CY27" s="191"/>
      <c r="CZ27" s="127"/>
      <c r="DA27" s="127"/>
      <c r="DB27" s="127"/>
      <c r="DC27" s="127"/>
      <c r="DD27" s="127">
        <v>2.9</v>
      </c>
      <c r="DE27" s="127">
        <v>4.02</v>
      </c>
      <c r="DF27" s="127">
        <v>0.47</v>
      </c>
      <c r="DG27" s="127">
        <v>3.41</v>
      </c>
      <c r="DH27" s="127">
        <v>3.36</v>
      </c>
      <c r="DI27" s="127">
        <v>2.72</v>
      </c>
      <c r="DJ27" s="127">
        <v>0.34</v>
      </c>
      <c r="DK27" s="127"/>
      <c r="DL27" s="198">
        <v>0.0023</v>
      </c>
      <c r="DM27" s="198">
        <v>0.0025</v>
      </c>
      <c r="DN27" s="198">
        <v>0.0025</v>
      </c>
      <c r="DO27" s="198">
        <v>0.0025</v>
      </c>
      <c r="DP27" s="127"/>
      <c r="DQ27" s="192">
        <v>0.045</v>
      </c>
      <c r="DR27" s="192">
        <v>0.0508</v>
      </c>
      <c r="DS27" s="192">
        <v>0.0489</v>
      </c>
      <c r="DT27" s="192">
        <v>0.0486</v>
      </c>
      <c r="DU27" s="192">
        <v>0.061</v>
      </c>
      <c r="DV27" s="192">
        <v>0.0628</v>
      </c>
      <c r="DW27" s="127"/>
      <c r="DX27" s="192">
        <v>0.0175</v>
      </c>
      <c r="DY27" s="192">
        <v>0.0205</v>
      </c>
      <c r="DZ27" s="192">
        <v>0.0205</v>
      </c>
      <c r="EA27" s="192">
        <v>0.0205</v>
      </c>
      <c r="EB27" s="192">
        <v>0.031</v>
      </c>
      <c r="EC27" s="192">
        <v>0.0257</v>
      </c>
      <c r="ED27" s="127"/>
      <c r="EE27" s="127">
        <v>0.39</v>
      </c>
      <c r="EF27" s="127">
        <v>0.61</v>
      </c>
      <c r="EG27" s="127">
        <v>0.54</v>
      </c>
      <c r="EH27" s="127">
        <v>0.35</v>
      </c>
      <c r="EI27" s="127">
        <v>0.58</v>
      </c>
      <c r="EJ27" s="127">
        <v>0.55</v>
      </c>
      <c r="EK27" s="127"/>
      <c r="EL27" s="127"/>
      <c r="EM27" s="127"/>
      <c r="EN27" s="127"/>
      <c r="EO27" s="127"/>
      <c r="EP27" s="127"/>
      <c r="EQ27" s="127"/>
      <c r="ER27" s="127"/>
      <c r="ES27" s="127"/>
      <c r="ET27" s="127"/>
      <c r="EU27" s="127"/>
      <c r="EV27" s="127"/>
      <c r="EW27" s="127"/>
      <c r="EX27" s="127"/>
      <c r="EY27" s="127"/>
      <c r="EZ27" s="127">
        <v>0.55</v>
      </c>
      <c r="FA27" s="192">
        <f t="shared" si="26"/>
        <v>0.00566706021251476</v>
      </c>
      <c r="FB27" s="192">
        <v>0.0025</v>
      </c>
      <c r="FC27" s="192">
        <f t="shared" si="27"/>
        <v>0</v>
      </c>
      <c r="FD27" s="192">
        <f t="shared" si="28"/>
        <v>0</v>
      </c>
      <c r="FE27" s="193">
        <f t="shared" si="29"/>
        <v>0</v>
      </c>
      <c r="FF27" s="127"/>
      <c r="FG27" s="127"/>
      <c r="FH27" s="127"/>
      <c r="FI27" s="194">
        <v>0.045</v>
      </c>
      <c r="FJ27" s="194">
        <f t="shared" si="30"/>
        <v>0</v>
      </c>
      <c r="FK27" s="196">
        <v>89.57</v>
      </c>
      <c r="FL27" s="127">
        <f t="shared" si="38"/>
        <v>13.4355</v>
      </c>
      <c r="FM27" s="196">
        <v>5.19</v>
      </c>
      <c r="FN27" s="127">
        <f t="shared" si="31"/>
        <v>34.95</v>
      </c>
      <c r="FO27" s="127"/>
      <c r="FP27" s="127">
        <f t="shared" si="32"/>
        <v>32.18</v>
      </c>
      <c r="FQ27" s="127">
        <f t="shared" si="33"/>
        <v>0</v>
      </c>
      <c r="FR27" s="196">
        <v>32.18</v>
      </c>
      <c r="FS27" s="127"/>
      <c r="FT27" s="127"/>
      <c r="FU27" s="127"/>
      <c r="FV27" s="127"/>
      <c r="FW27" s="127"/>
      <c r="FX27" s="127"/>
      <c r="FY27" s="127"/>
      <c r="FZ27" s="127"/>
      <c r="GA27" s="127"/>
      <c r="GB27" s="127"/>
      <c r="GC27" s="127"/>
      <c r="GD27" s="127"/>
      <c r="GE27" s="127"/>
      <c r="GF27" s="127"/>
      <c r="GG27" s="127"/>
      <c r="GH27" s="127"/>
      <c r="GI27" s="127"/>
      <c r="GJ27" s="127"/>
      <c r="GK27" s="127"/>
      <c r="GL27" s="127"/>
      <c r="GM27" s="127"/>
      <c r="GN27" s="127"/>
      <c r="GO27" s="127"/>
      <c r="GP27" s="127"/>
      <c r="GQ27" s="127"/>
      <c r="GR27" s="127"/>
      <c r="GS27" s="127"/>
      <c r="GT27" s="127"/>
      <c r="GU27" s="127"/>
      <c r="GV27" s="127"/>
      <c r="GW27" s="127"/>
      <c r="GX27" s="127"/>
      <c r="GY27" s="127"/>
      <c r="GZ27" s="127"/>
    </row>
    <row r="28" spans="1:208">
      <c r="A28" s="172">
        <v>45819</v>
      </c>
      <c r="B28" s="20" t="s">
        <v>377</v>
      </c>
      <c r="C28" s="173" t="s">
        <v>393</v>
      </c>
      <c r="D28" s="174">
        <v>139.99</v>
      </c>
      <c r="E28" s="175">
        <v>89.57</v>
      </c>
      <c r="F28" s="176">
        <v>0.3</v>
      </c>
      <c r="G28" s="176">
        <v>0.15</v>
      </c>
      <c r="H28" s="177">
        <f t="shared" si="0"/>
        <v>83.29405</v>
      </c>
      <c r="I28" s="176">
        <v>0.08</v>
      </c>
      <c r="J28" s="178">
        <v>0.06</v>
      </c>
      <c r="K28" s="20">
        <v>6</v>
      </c>
      <c r="L28" s="20">
        <v>5</v>
      </c>
      <c r="M28" s="20">
        <f t="shared" si="39"/>
        <v>11</v>
      </c>
      <c r="N28" s="176">
        <f t="shared" si="1"/>
        <v>0</v>
      </c>
      <c r="O28" s="179">
        <f t="shared" si="2"/>
        <v>0</v>
      </c>
      <c r="P28" s="179">
        <f t="shared" si="3"/>
        <v>0</v>
      </c>
      <c r="Q28" s="20">
        <v>0</v>
      </c>
      <c r="R28" s="20"/>
      <c r="S28" s="20">
        <v>0</v>
      </c>
      <c r="T28" s="20">
        <v>0</v>
      </c>
      <c r="U28" s="176">
        <v>0</v>
      </c>
      <c r="V28" s="20">
        <v>0</v>
      </c>
      <c r="W28" s="20">
        <v>0</v>
      </c>
      <c r="X28" s="20">
        <v>34</v>
      </c>
      <c r="Y28" s="20"/>
      <c r="Z28" s="20">
        <v>44</v>
      </c>
      <c r="AA28" s="20"/>
      <c r="AB28" s="20">
        <v>91</v>
      </c>
      <c r="AC28" s="20"/>
      <c r="AD28" s="20">
        <v>26</v>
      </c>
      <c r="AE28" s="20"/>
      <c r="AF28" s="20" t="s">
        <v>84</v>
      </c>
      <c r="AG28" s="20"/>
      <c r="AH28" s="20">
        <v>29</v>
      </c>
      <c r="AI28" s="20"/>
      <c r="AJ28" s="20" t="s">
        <v>84</v>
      </c>
      <c r="AK28" s="20"/>
      <c r="AL28" s="20">
        <v>136</v>
      </c>
      <c r="AM28" s="180">
        <v>186251</v>
      </c>
      <c r="AN28" s="173">
        <v>265</v>
      </c>
      <c r="AO28" s="174">
        <v>9</v>
      </c>
      <c r="AP28" s="174">
        <v>5</v>
      </c>
      <c r="AQ28" s="174"/>
      <c r="AR28" s="174"/>
      <c r="AS28" s="181">
        <v>4775</v>
      </c>
      <c r="AT28" s="20">
        <v>13</v>
      </c>
      <c r="AU28" s="182">
        <f t="shared" si="4"/>
        <v>0.00272251308900524</v>
      </c>
      <c r="AV28" s="20">
        <v>0</v>
      </c>
      <c r="AW28" s="183">
        <f t="shared" si="5"/>
        <v>0.878461538461538</v>
      </c>
      <c r="AX28" s="184">
        <f t="shared" si="6"/>
        <v>0</v>
      </c>
      <c r="AY28" s="176">
        <f t="shared" si="7"/>
        <v>0</v>
      </c>
      <c r="AZ28" s="185">
        <f t="shared" si="8"/>
        <v>0</v>
      </c>
      <c r="BA28" s="183">
        <v>11.42</v>
      </c>
      <c r="BB28" s="176">
        <f t="shared" si="40"/>
        <v>0</v>
      </c>
      <c r="BC28" s="179">
        <f t="shared" si="10"/>
        <v>0</v>
      </c>
      <c r="BD28" s="179">
        <v>0</v>
      </c>
      <c r="BE28" s="182">
        <v>0</v>
      </c>
      <c r="BF28" s="186">
        <f t="shared" si="11"/>
        <v>32.18</v>
      </c>
      <c r="BG28" s="186">
        <v>32.18</v>
      </c>
      <c r="BH28" s="187">
        <f t="shared" si="12"/>
        <v>0</v>
      </c>
      <c r="BI28" s="182">
        <f t="shared" si="13"/>
        <v>0</v>
      </c>
      <c r="BJ28" s="179">
        <f t="shared" si="14"/>
        <v>0</v>
      </c>
      <c r="BK28" s="179"/>
      <c r="BL28" s="179">
        <f t="shared" si="15"/>
        <v>0</v>
      </c>
      <c r="BM28" s="178"/>
      <c r="BN28" s="7"/>
      <c r="BO28" s="20"/>
      <c r="BP28" s="182"/>
      <c r="BQ28" s="182">
        <f t="shared" si="34"/>
        <v>0</v>
      </c>
      <c r="BR28" s="182">
        <f t="shared" si="16"/>
        <v>0</v>
      </c>
      <c r="BS28" s="182">
        <f t="shared" si="17"/>
        <v>1.18181818181818</v>
      </c>
      <c r="BT28" s="188">
        <f t="shared" si="18"/>
        <v>13</v>
      </c>
      <c r="BU28" s="20">
        <f t="shared" si="19"/>
        <v>11</v>
      </c>
      <c r="BV28" s="20">
        <f t="shared" si="20"/>
        <v>-2</v>
      </c>
      <c r="BW28" s="185">
        <f t="shared" si="21"/>
        <v>-0.181818181818182</v>
      </c>
      <c r="BX28" s="182">
        <f t="shared" si="22"/>
        <v>0</v>
      </c>
      <c r="BY28" s="182">
        <f t="shared" si="23"/>
        <v>0</v>
      </c>
      <c r="BZ28" s="182">
        <f t="shared" si="24"/>
        <v>0</v>
      </c>
      <c r="CA28" s="182">
        <f t="shared" si="25"/>
        <v>0</v>
      </c>
      <c r="CB28" s="189">
        <f t="shared" si="35"/>
        <v>0</v>
      </c>
      <c r="CC28" s="190">
        <f t="shared" si="36"/>
        <v>0</v>
      </c>
      <c r="CD28" s="190">
        <f t="shared" si="37"/>
        <v>0</v>
      </c>
      <c r="CE28" s="189">
        <v>0.08</v>
      </c>
      <c r="CF28" s="189">
        <v>0.08</v>
      </c>
      <c r="CG28" s="189">
        <v>0.08</v>
      </c>
      <c r="CH28" s="189">
        <v>0.08</v>
      </c>
      <c r="CI28" s="189">
        <v>0.05</v>
      </c>
      <c r="CJ28" s="189">
        <v>0.06</v>
      </c>
      <c r="CK28" s="189">
        <v>0.04</v>
      </c>
      <c r="CL28" s="191">
        <v>34</v>
      </c>
      <c r="CM28" s="191" t="s">
        <v>84</v>
      </c>
      <c r="CN28" s="191">
        <v>44</v>
      </c>
      <c r="CO28" s="191"/>
      <c r="CP28" s="191">
        <v>91</v>
      </c>
      <c r="CQ28" s="191"/>
      <c r="CR28" s="191">
        <v>26</v>
      </c>
      <c r="CS28" s="191"/>
      <c r="CT28" s="191" t="s">
        <v>84</v>
      </c>
      <c r="CU28" s="191"/>
      <c r="CV28" s="191">
        <v>29</v>
      </c>
      <c r="CW28" s="191"/>
      <c r="CX28" s="191" t="s">
        <v>84</v>
      </c>
      <c r="CY28" s="191"/>
      <c r="CZ28" s="127"/>
      <c r="DA28" s="127"/>
      <c r="DB28" s="127"/>
      <c r="DC28" s="127"/>
      <c r="DD28" s="127">
        <v>2.9</v>
      </c>
      <c r="DE28" s="127">
        <v>4.02</v>
      </c>
      <c r="DF28" s="127">
        <v>0.47</v>
      </c>
      <c r="DG28" s="127">
        <v>3.41</v>
      </c>
      <c r="DH28" s="127">
        <v>3.36</v>
      </c>
      <c r="DI28" s="127">
        <v>2.72</v>
      </c>
      <c r="DJ28" s="127">
        <v>0.34</v>
      </c>
      <c r="DK28" s="127"/>
      <c r="DL28" s="198">
        <v>0.0023</v>
      </c>
      <c r="DM28" s="198">
        <v>0.0025</v>
      </c>
      <c r="DN28" s="198">
        <v>0.0025</v>
      </c>
      <c r="DO28" s="198">
        <v>0.0025</v>
      </c>
      <c r="DP28" s="127"/>
      <c r="DQ28" s="192">
        <v>0.045</v>
      </c>
      <c r="DR28" s="192">
        <v>0.0508</v>
      </c>
      <c r="DS28" s="192">
        <v>0.0489</v>
      </c>
      <c r="DT28" s="192">
        <v>0.0486</v>
      </c>
      <c r="DU28" s="192">
        <v>0.061</v>
      </c>
      <c r="DV28" s="192">
        <v>0.0628</v>
      </c>
      <c r="DW28" s="127"/>
      <c r="DX28" s="192">
        <v>0.0175</v>
      </c>
      <c r="DY28" s="192">
        <v>0.0205</v>
      </c>
      <c r="DZ28" s="192">
        <v>0.0205</v>
      </c>
      <c r="EA28" s="192">
        <v>0.0205</v>
      </c>
      <c r="EB28" s="192">
        <v>0.031</v>
      </c>
      <c r="EC28" s="192">
        <v>0.0257</v>
      </c>
      <c r="ED28" s="127"/>
      <c r="EE28" s="127">
        <v>0.39</v>
      </c>
      <c r="EF28" s="127">
        <v>0.61</v>
      </c>
      <c r="EG28" s="127">
        <v>0.54</v>
      </c>
      <c r="EH28" s="127">
        <v>0.35</v>
      </c>
      <c r="EI28" s="127">
        <v>0.58</v>
      </c>
      <c r="EJ28" s="127">
        <v>0.55</v>
      </c>
      <c r="EK28" s="127"/>
      <c r="EL28" s="127"/>
      <c r="EM28" s="127"/>
      <c r="EN28" s="127"/>
      <c r="EO28" s="127"/>
      <c r="EP28" s="127"/>
      <c r="EQ28" s="127"/>
      <c r="ER28" s="127"/>
      <c r="ES28" s="127"/>
      <c r="ET28" s="127"/>
      <c r="EU28" s="127"/>
      <c r="EV28" s="127"/>
      <c r="EW28" s="127"/>
      <c r="EX28" s="127"/>
      <c r="EY28" s="127"/>
      <c r="EZ28" s="127">
        <v>0.55</v>
      </c>
      <c r="FA28" s="192">
        <f t="shared" si="26"/>
        <v>0.00272251308900524</v>
      </c>
      <c r="FB28" s="192">
        <v>0.0025</v>
      </c>
      <c r="FC28" s="192">
        <f t="shared" si="27"/>
        <v>0</v>
      </c>
      <c r="FD28" s="192">
        <f t="shared" si="28"/>
        <v>0</v>
      </c>
      <c r="FE28" s="193">
        <f t="shared" si="29"/>
        <v>0</v>
      </c>
      <c r="FF28" s="127"/>
      <c r="FG28" s="127"/>
      <c r="FH28" s="127"/>
      <c r="FI28" s="194">
        <v>0.045</v>
      </c>
      <c r="FJ28" s="194">
        <f t="shared" si="30"/>
        <v>0</v>
      </c>
      <c r="FK28" s="196">
        <v>89.57</v>
      </c>
      <c r="FL28" s="127">
        <f t="shared" si="38"/>
        <v>13.4355</v>
      </c>
      <c r="FM28" s="196">
        <v>5.19</v>
      </c>
      <c r="FN28" s="127">
        <f t="shared" si="31"/>
        <v>11.42</v>
      </c>
      <c r="FO28" s="127"/>
      <c r="FP28" s="127">
        <f t="shared" si="32"/>
        <v>32.18</v>
      </c>
      <c r="FQ28" s="127">
        <f t="shared" si="33"/>
        <v>0</v>
      </c>
      <c r="FR28" s="196">
        <v>32.18</v>
      </c>
      <c r="FS28" s="127"/>
      <c r="FT28" s="127"/>
      <c r="FU28" s="127"/>
      <c r="FV28" s="127"/>
      <c r="FW28" s="127"/>
      <c r="FX28" s="127"/>
      <c r="FY28" s="127"/>
      <c r="FZ28" s="127"/>
      <c r="GA28" s="127"/>
      <c r="GB28" s="127"/>
      <c r="GC28" s="127"/>
      <c r="GD28" s="127"/>
      <c r="GE28" s="127"/>
      <c r="GF28" s="127"/>
      <c r="GG28" s="127"/>
      <c r="GH28" s="127"/>
      <c r="GI28" s="127"/>
      <c r="GJ28" s="127"/>
      <c r="GK28" s="127"/>
      <c r="GL28" s="127"/>
      <c r="GM28" s="127"/>
      <c r="GN28" s="127"/>
      <c r="GO28" s="127"/>
      <c r="GP28" s="127"/>
      <c r="GQ28" s="127"/>
      <c r="GR28" s="127"/>
      <c r="GS28" s="127"/>
      <c r="GT28" s="127"/>
      <c r="GU28" s="127"/>
      <c r="GV28" s="127"/>
      <c r="GW28" s="127"/>
      <c r="GX28" s="127"/>
      <c r="GY28" s="127"/>
      <c r="GZ28" s="127"/>
    </row>
    <row r="29" spans="1:208">
      <c r="A29" s="172">
        <v>45820</v>
      </c>
      <c r="B29" s="20" t="s">
        <v>379</v>
      </c>
      <c r="C29" s="173" t="s">
        <v>395</v>
      </c>
      <c r="D29" s="174">
        <v>139.99</v>
      </c>
      <c r="E29" s="175">
        <v>89.57</v>
      </c>
      <c r="F29" s="176">
        <v>0.3</v>
      </c>
      <c r="G29" s="176">
        <v>0.15</v>
      </c>
      <c r="H29" s="177">
        <f t="shared" si="0"/>
        <v>83.29405</v>
      </c>
      <c r="I29" s="176">
        <v>0.08</v>
      </c>
      <c r="J29" s="178">
        <v>0.06</v>
      </c>
      <c r="K29" s="20">
        <v>22</v>
      </c>
      <c r="L29" s="20">
        <v>20</v>
      </c>
      <c r="M29" s="20">
        <f t="shared" si="39"/>
        <v>42</v>
      </c>
      <c r="N29" s="176">
        <f t="shared" si="1"/>
        <v>0.0238095238095238</v>
      </c>
      <c r="O29" s="179">
        <f t="shared" si="2"/>
        <v>-1</v>
      </c>
      <c r="P29" s="179">
        <f t="shared" si="3"/>
        <v>1</v>
      </c>
      <c r="Q29" s="20">
        <v>1</v>
      </c>
      <c r="R29" s="20">
        <v>1</v>
      </c>
      <c r="S29" s="20">
        <v>0</v>
      </c>
      <c r="T29" s="20">
        <v>0</v>
      </c>
      <c r="U29" s="176">
        <v>0</v>
      </c>
      <c r="V29" s="20">
        <v>0</v>
      </c>
      <c r="W29" s="174">
        <v>87.33</v>
      </c>
      <c r="X29" s="20">
        <v>30</v>
      </c>
      <c r="Y29" s="174" t="s">
        <v>84</v>
      </c>
      <c r="Z29" s="20">
        <v>42</v>
      </c>
      <c r="AA29" s="174" t="s">
        <v>84</v>
      </c>
      <c r="AB29" s="20">
        <v>93</v>
      </c>
      <c r="AC29" s="174" t="s">
        <v>84</v>
      </c>
      <c r="AD29" s="20">
        <v>23</v>
      </c>
      <c r="AE29" s="174" t="s">
        <v>84</v>
      </c>
      <c r="AF29" s="20">
        <v>37</v>
      </c>
      <c r="AG29" s="174" t="s">
        <v>84</v>
      </c>
      <c r="AH29" s="20">
        <v>32</v>
      </c>
      <c r="AI29" s="174" t="s">
        <v>84</v>
      </c>
      <c r="AJ29" s="20" t="s">
        <v>84</v>
      </c>
      <c r="AK29" s="174" t="s">
        <v>84</v>
      </c>
      <c r="AL29" s="20">
        <v>136</v>
      </c>
      <c r="AM29" s="180">
        <v>247413</v>
      </c>
      <c r="AN29" s="173">
        <v>316</v>
      </c>
      <c r="AO29" s="174">
        <v>10</v>
      </c>
      <c r="AP29" s="174">
        <v>5</v>
      </c>
      <c r="AQ29" s="174"/>
      <c r="AR29" s="174"/>
      <c r="AS29" s="181">
        <v>8166</v>
      </c>
      <c r="AT29" s="20">
        <v>35</v>
      </c>
      <c r="AU29" s="182">
        <f t="shared" si="4"/>
        <v>0.00428606416850355</v>
      </c>
      <c r="AV29" s="20">
        <v>2</v>
      </c>
      <c r="AW29" s="183">
        <f t="shared" si="5"/>
        <v>1.03228571428571</v>
      </c>
      <c r="AX29" s="184">
        <f t="shared" si="6"/>
        <v>0</v>
      </c>
      <c r="AY29" s="176">
        <f t="shared" si="7"/>
        <v>0.0571428571428571</v>
      </c>
      <c r="AZ29" s="185">
        <f t="shared" si="8"/>
        <v>2</v>
      </c>
      <c r="BA29" s="183">
        <v>36.13</v>
      </c>
      <c r="BB29" s="176">
        <f t="shared" si="40"/>
        <v>0</v>
      </c>
      <c r="BC29" s="179">
        <f t="shared" si="10"/>
        <v>18.065</v>
      </c>
      <c r="BD29" s="179">
        <v>0</v>
      </c>
      <c r="BE29" s="182">
        <v>0</v>
      </c>
      <c r="BF29" s="186">
        <f t="shared" si="11"/>
        <v>14.115</v>
      </c>
      <c r="BG29" s="186">
        <v>32.18</v>
      </c>
      <c r="BH29" s="187">
        <f t="shared" si="12"/>
        <v>-3.95</v>
      </c>
      <c r="BI29" s="182">
        <f t="shared" si="13"/>
        <v>-0.0452307339974809</v>
      </c>
      <c r="BJ29" s="179">
        <f t="shared" si="14"/>
        <v>145</v>
      </c>
      <c r="BK29" s="179"/>
      <c r="BL29" s="179">
        <f t="shared" si="15"/>
        <v>0</v>
      </c>
      <c r="BM29" s="178"/>
      <c r="BN29" s="7"/>
      <c r="BO29" s="20"/>
      <c r="BP29" s="182"/>
      <c r="BQ29" s="182">
        <f t="shared" si="34"/>
        <v>2</v>
      </c>
      <c r="BR29" s="182">
        <f t="shared" si="16"/>
        <v>-1</v>
      </c>
      <c r="BS29" s="182">
        <f t="shared" si="17"/>
        <v>0.833333333333333</v>
      </c>
      <c r="BT29" s="188">
        <f t="shared" si="18"/>
        <v>35</v>
      </c>
      <c r="BU29" s="20">
        <f t="shared" si="19"/>
        <v>42</v>
      </c>
      <c r="BV29" s="20">
        <f t="shared" si="20"/>
        <v>7</v>
      </c>
      <c r="BW29" s="185">
        <f t="shared" si="21"/>
        <v>0.166666666666667</v>
      </c>
      <c r="BX29" s="182">
        <f t="shared" si="22"/>
        <v>-1</v>
      </c>
      <c r="BY29" s="182">
        <f t="shared" si="23"/>
        <v>1</v>
      </c>
      <c r="BZ29" s="182">
        <f t="shared" si="24"/>
        <v>-1</v>
      </c>
      <c r="CA29" s="182">
        <f t="shared" si="25"/>
        <v>2</v>
      </c>
      <c r="CB29" s="189">
        <f t="shared" si="35"/>
        <v>-2</v>
      </c>
      <c r="CC29" s="190">
        <f t="shared" si="36"/>
        <v>0.0238095238095238</v>
      </c>
      <c r="CD29" s="190">
        <f t="shared" si="37"/>
        <v>0.0571428571428571</v>
      </c>
      <c r="CE29" s="189">
        <v>0.08</v>
      </c>
      <c r="CF29" s="189">
        <v>0.08</v>
      </c>
      <c r="CG29" s="189">
        <v>0.08</v>
      </c>
      <c r="CH29" s="189">
        <v>0.08</v>
      </c>
      <c r="CI29" s="189">
        <v>0.05</v>
      </c>
      <c r="CJ29" s="189">
        <v>0.06</v>
      </c>
      <c r="CK29" s="189">
        <v>0.04</v>
      </c>
      <c r="CL29" s="191">
        <v>30</v>
      </c>
      <c r="CM29" s="191" t="s">
        <v>84</v>
      </c>
      <c r="CN29" s="191">
        <v>42</v>
      </c>
      <c r="CO29" s="191" t="s">
        <v>84</v>
      </c>
      <c r="CP29" s="191">
        <v>93</v>
      </c>
      <c r="CQ29" s="191" t="s">
        <v>84</v>
      </c>
      <c r="CR29" s="191">
        <v>23</v>
      </c>
      <c r="CS29" s="191" t="s">
        <v>84</v>
      </c>
      <c r="CT29" s="191">
        <v>37</v>
      </c>
      <c r="CU29" s="191" t="s">
        <v>84</v>
      </c>
      <c r="CV29" s="191">
        <v>32</v>
      </c>
      <c r="CW29" s="191" t="s">
        <v>84</v>
      </c>
      <c r="CX29" s="191" t="s">
        <v>84</v>
      </c>
      <c r="CY29" s="191" t="s">
        <v>84</v>
      </c>
      <c r="CZ29" s="127"/>
      <c r="DA29" s="127"/>
      <c r="DB29" s="127"/>
      <c r="DC29" s="127"/>
      <c r="DD29" s="127">
        <v>2.9</v>
      </c>
      <c r="DE29" s="127">
        <v>4.02</v>
      </c>
      <c r="DF29" s="127">
        <v>0.47</v>
      </c>
      <c r="DG29" s="127">
        <v>3.41</v>
      </c>
      <c r="DH29" s="127">
        <v>3.36</v>
      </c>
      <c r="DI29" s="127">
        <v>2.72</v>
      </c>
      <c r="DJ29" s="127">
        <v>0.34</v>
      </c>
      <c r="DK29" s="127"/>
      <c r="DL29" s="198">
        <v>0.0023</v>
      </c>
      <c r="DM29" s="198">
        <v>0.0025</v>
      </c>
      <c r="DN29" s="198">
        <v>0.0025</v>
      </c>
      <c r="DO29" s="198">
        <v>0.0025</v>
      </c>
      <c r="DP29" s="127"/>
      <c r="DQ29" s="192">
        <v>0.045</v>
      </c>
      <c r="DR29" s="192">
        <v>0.0508</v>
      </c>
      <c r="DS29" s="192">
        <v>0.0489</v>
      </c>
      <c r="DT29" s="192">
        <v>0.0486</v>
      </c>
      <c r="DU29" s="192">
        <v>0.061</v>
      </c>
      <c r="DV29" s="192">
        <v>0.0628</v>
      </c>
      <c r="DW29" s="127"/>
      <c r="DX29" s="192">
        <v>0.0175</v>
      </c>
      <c r="DY29" s="192">
        <v>0.0205</v>
      </c>
      <c r="DZ29" s="192">
        <v>0.0205</v>
      </c>
      <c r="EA29" s="192">
        <v>0.0205</v>
      </c>
      <c r="EB29" s="192">
        <v>0.031</v>
      </c>
      <c r="EC29" s="192">
        <v>0.0257</v>
      </c>
      <c r="ED29" s="127"/>
      <c r="EE29" s="127">
        <v>0.39</v>
      </c>
      <c r="EF29" s="127">
        <v>0.61</v>
      </c>
      <c r="EG29" s="127">
        <v>0.54</v>
      </c>
      <c r="EH29" s="127">
        <v>0.35</v>
      </c>
      <c r="EI29" s="127">
        <v>0.58</v>
      </c>
      <c r="EJ29" s="127">
        <v>0.55</v>
      </c>
      <c r="EK29" s="127"/>
      <c r="EL29" s="127"/>
      <c r="EM29" s="127"/>
      <c r="EN29" s="127"/>
      <c r="EO29" s="127"/>
      <c r="EP29" s="127"/>
      <c r="EQ29" s="127"/>
      <c r="ER29" s="127"/>
      <c r="ES29" s="127"/>
      <c r="ET29" s="127"/>
      <c r="EU29" s="127"/>
      <c r="EV29" s="127"/>
      <c r="EW29" s="127"/>
      <c r="EX29" s="127"/>
      <c r="EY29" s="127"/>
      <c r="EZ29" s="127">
        <v>0.55</v>
      </c>
      <c r="FA29" s="192">
        <f t="shared" si="26"/>
        <v>0.00428606416850355</v>
      </c>
      <c r="FB29" s="192">
        <v>0.0025</v>
      </c>
      <c r="FC29" s="192">
        <f t="shared" si="27"/>
        <v>0.0238095238095238</v>
      </c>
      <c r="FD29" s="192">
        <f t="shared" si="28"/>
        <v>0.0571428571428571</v>
      </c>
      <c r="FE29" s="193">
        <f t="shared" si="29"/>
        <v>-1</v>
      </c>
      <c r="FF29" s="127"/>
      <c r="FG29" s="127"/>
      <c r="FH29" s="127"/>
      <c r="FI29" s="194">
        <v>0.045</v>
      </c>
      <c r="FJ29" s="194">
        <f t="shared" si="30"/>
        <v>0.0238095238095238</v>
      </c>
      <c r="FK29" s="196">
        <v>89.57</v>
      </c>
      <c r="FL29" s="127">
        <f t="shared" si="38"/>
        <v>13.4355</v>
      </c>
      <c r="FM29" s="196">
        <v>5.19</v>
      </c>
      <c r="FN29" s="127">
        <f t="shared" si="31"/>
        <v>36.13</v>
      </c>
      <c r="FO29" s="127"/>
      <c r="FP29" s="127">
        <f t="shared" si="32"/>
        <v>14.115</v>
      </c>
      <c r="FQ29" s="127">
        <f t="shared" si="33"/>
        <v>-3.95</v>
      </c>
      <c r="FR29" s="196">
        <v>32.18</v>
      </c>
      <c r="FS29" s="127"/>
      <c r="FT29" s="127"/>
      <c r="FU29" s="127"/>
      <c r="FV29" s="127"/>
      <c r="FW29" s="127"/>
      <c r="FX29" s="127"/>
      <c r="FY29" s="127"/>
      <c r="FZ29" s="127"/>
      <c r="GA29" s="127"/>
      <c r="GB29" s="127"/>
      <c r="GC29" s="127"/>
      <c r="GD29" s="127"/>
      <c r="GE29" s="127"/>
      <c r="GF29" s="127"/>
      <c r="GG29" s="127"/>
      <c r="GH29" s="127"/>
      <c r="GI29" s="127"/>
      <c r="GJ29" s="127"/>
      <c r="GK29" s="127"/>
      <c r="GL29" s="127"/>
      <c r="GM29" s="127"/>
      <c r="GN29" s="127"/>
      <c r="GO29" s="127"/>
      <c r="GP29" s="127"/>
      <c r="GQ29" s="127"/>
      <c r="GR29" s="127"/>
      <c r="GS29" s="127"/>
      <c r="GT29" s="127"/>
      <c r="GU29" s="127"/>
      <c r="GV29" s="127"/>
      <c r="GW29" s="127"/>
      <c r="GX29" s="127"/>
      <c r="GY29" s="127"/>
      <c r="GZ29" s="127"/>
    </row>
    <row r="30" spans="1:208">
      <c r="A30" s="172">
        <v>45821</v>
      </c>
      <c r="B30" s="20" t="s">
        <v>381</v>
      </c>
      <c r="C30" s="173" t="s">
        <v>396</v>
      </c>
      <c r="D30" s="174">
        <v>139.99</v>
      </c>
      <c r="E30" s="175">
        <v>89.57</v>
      </c>
      <c r="F30" s="176">
        <v>0.3</v>
      </c>
      <c r="G30" s="176">
        <v>0.15</v>
      </c>
      <c r="H30" s="177">
        <f t="shared" si="0"/>
        <v>83.29405</v>
      </c>
      <c r="I30" s="176">
        <v>0.08</v>
      </c>
      <c r="J30" s="178">
        <v>0.06</v>
      </c>
      <c r="K30" s="20">
        <v>34</v>
      </c>
      <c r="L30" s="20">
        <v>18</v>
      </c>
      <c r="M30" s="20">
        <f t="shared" si="39"/>
        <v>52</v>
      </c>
      <c r="N30" s="176">
        <f t="shared" si="1"/>
        <v>0.0576923076923077</v>
      </c>
      <c r="O30" s="179">
        <f t="shared" si="2"/>
        <v>0</v>
      </c>
      <c r="P30" s="179">
        <f t="shared" si="3"/>
        <v>2</v>
      </c>
      <c r="Q30" s="20">
        <v>3</v>
      </c>
      <c r="R30" s="20">
        <v>3</v>
      </c>
      <c r="S30" s="20">
        <v>1</v>
      </c>
      <c r="T30" s="20">
        <v>1</v>
      </c>
      <c r="U30" s="176">
        <v>1</v>
      </c>
      <c r="V30" s="20">
        <v>0</v>
      </c>
      <c r="W30" s="174">
        <v>261.99</v>
      </c>
      <c r="X30" s="20">
        <v>36</v>
      </c>
      <c r="Y30" s="174" t="s">
        <v>84</v>
      </c>
      <c r="Z30" s="20">
        <v>43</v>
      </c>
      <c r="AA30" s="174" t="s">
        <v>84</v>
      </c>
      <c r="AB30" s="20">
        <v>90</v>
      </c>
      <c r="AC30" s="174" t="s">
        <v>84</v>
      </c>
      <c r="AD30" s="20">
        <v>24</v>
      </c>
      <c r="AE30" s="174" t="s">
        <v>84</v>
      </c>
      <c r="AF30" s="20">
        <v>36</v>
      </c>
      <c r="AG30" s="174" t="s">
        <v>84</v>
      </c>
      <c r="AH30" s="20" t="s">
        <v>84</v>
      </c>
      <c r="AI30" s="174" t="s">
        <v>84</v>
      </c>
      <c r="AJ30" s="20" t="s">
        <v>84</v>
      </c>
      <c r="AK30" s="174" t="s">
        <v>84</v>
      </c>
      <c r="AL30" s="20">
        <v>136</v>
      </c>
      <c r="AM30" s="180">
        <v>244805</v>
      </c>
      <c r="AN30" s="173">
        <v>331</v>
      </c>
      <c r="AO30" s="174">
        <v>11</v>
      </c>
      <c r="AP30" s="174">
        <v>5</v>
      </c>
      <c r="AQ30" s="174"/>
      <c r="AR30" s="174"/>
      <c r="AS30" s="181">
        <v>9091</v>
      </c>
      <c r="AT30" s="20">
        <v>44</v>
      </c>
      <c r="AU30" s="182">
        <f t="shared" si="4"/>
        <v>0.004839951600484</v>
      </c>
      <c r="AV30" s="20">
        <v>2</v>
      </c>
      <c r="AW30" s="183">
        <f t="shared" si="5"/>
        <v>1.09204545454545</v>
      </c>
      <c r="AX30" s="184">
        <f t="shared" si="6"/>
        <v>0</v>
      </c>
      <c r="AY30" s="176">
        <f t="shared" si="7"/>
        <v>0.0454545454545455</v>
      </c>
      <c r="AZ30" s="185">
        <f t="shared" si="8"/>
        <v>1</v>
      </c>
      <c r="BA30" s="183">
        <v>48.05</v>
      </c>
      <c r="BB30" s="176">
        <f t="shared" si="40"/>
        <v>0</v>
      </c>
      <c r="BC30" s="179">
        <f t="shared" si="10"/>
        <v>24.025</v>
      </c>
      <c r="BD30" s="179">
        <v>0</v>
      </c>
      <c r="BE30" s="182">
        <v>0</v>
      </c>
      <c r="BF30" s="186">
        <f t="shared" si="11"/>
        <v>8.155</v>
      </c>
      <c r="BG30" s="186">
        <v>32.18</v>
      </c>
      <c r="BH30" s="187">
        <f t="shared" si="12"/>
        <v>-5.27</v>
      </c>
      <c r="BI30" s="182">
        <f t="shared" si="13"/>
        <v>-0.0201152715752509</v>
      </c>
      <c r="BJ30" s="179">
        <f t="shared" si="14"/>
        <v>435</v>
      </c>
      <c r="BK30" s="179"/>
      <c r="BL30" s="179">
        <f t="shared" si="15"/>
        <v>21.58</v>
      </c>
      <c r="BM30" s="178"/>
      <c r="BN30" s="7"/>
      <c r="BO30" s="20"/>
      <c r="BP30" s="182"/>
      <c r="BQ30" s="182">
        <f t="shared" si="34"/>
        <v>0.666666666666667</v>
      </c>
      <c r="BR30" s="182">
        <f t="shared" si="16"/>
        <v>0</v>
      </c>
      <c r="BS30" s="182">
        <f t="shared" si="17"/>
        <v>0.846153846153846</v>
      </c>
      <c r="BT30" s="188">
        <f t="shared" si="18"/>
        <v>44</v>
      </c>
      <c r="BU30" s="20">
        <f t="shared" si="19"/>
        <v>52</v>
      </c>
      <c r="BV30" s="20">
        <f t="shared" si="20"/>
        <v>8</v>
      </c>
      <c r="BW30" s="185">
        <f t="shared" si="21"/>
        <v>0.153846153846154</v>
      </c>
      <c r="BX30" s="182">
        <f t="shared" si="22"/>
        <v>0</v>
      </c>
      <c r="BY30" s="182">
        <f t="shared" si="23"/>
        <v>0.666666666666667</v>
      </c>
      <c r="BZ30" s="182">
        <f t="shared" si="24"/>
        <v>0</v>
      </c>
      <c r="CA30" s="182">
        <f t="shared" si="25"/>
        <v>0.666666666666667</v>
      </c>
      <c r="CB30" s="189">
        <f t="shared" si="35"/>
        <v>0</v>
      </c>
      <c r="CC30" s="190">
        <f t="shared" si="36"/>
        <v>0.0576923076923077</v>
      </c>
      <c r="CD30" s="190">
        <f t="shared" si="37"/>
        <v>0.0454545454545455</v>
      </c>
      <c r="CE30" s="189">
        <v>0.08</v>
      </c>
      <c r="CF30" s="189">
        <v>0.08</v>
      </c>
      <c r="CG30" s="189">
        <v>0.08</v>
      </c>
      <c r="CH30" s="189">
        <v>0.08</v>
      </c>
      <c r="CI30" s="189">
        <v>0.05</v>
      </c>
      <c r="CJ30" s="189">
        <v>0.06</v>
      </c>
      <c r="CK30" s="189">
        <v>0.04</v>
      </c>
      <c r="CL30" s="191">
        <v>36</v>
      </c>
      <c r="CM30" s="191" t="s">
        <v>84</v>
      </c>
      <c r="CN30" s="191">
        <v>43</v>
      </c>
      <c r="CO30" s="191" t="s">
        <v>84</v>
      </c>
      <c r="CP30" s="191">
        <v>90</v>
      </c>
      <c r="CQ30" s="191" t="s">
        <v>84</v>
      </c>
      <c r="CR30" s="191">
        <v>24</v>
      </c>
      <c r="CS30" s="191" t="s">
        <v>84</v>
      </c>
      <c r="CT30" s="191">
        <v>36</v>
      </c>
      <c r="CU30" s="191" t="s">
        <v>84</v>
      </c>
      <c r="CV30" s="191" t="s">
        <v>84</v>
      </c>
      <c r="CW30" s="191" t="s">
        <v>84</v>
      </c>
      <c r="CX30" s="191" t="s">
        <v>84</v>
      </c>
      <c r="CY30" s="191" t="s">
        <v>84</v>
      </c>
      <c r="CZ30" s="127"/>
      <c r="DA30" s="127"/>
      <c r="DB30" s="127"/>
      <c r="DC30" s="127"/>
      <c r="DD30" s="127">
        <v>2.9</v>
      </c>
      <c r="DE30" s="127">
        <v>4.02</v>
      </c>
      <c r="DF30" s="127">
        <v>0.47</v>
      </c>
      <c r="DG30" s="127">
        <v>3.41</v>
      </c>
      <c r="DH30" s="127">
        <v>3.36</v>
      </c>
      <c r="DI30" s="127">
        <v>2.72</v>
      </c>
      <c r="DJ30" s="127">
        <v>0.34</v>
      </c>
      <c r="DK30" s="127"/>
      <c r="DL30" s="198">
        <v>0.0023</v>
      </c>
      <c r="DM30" s="198">
        <v>0.0025</v>
      </c>
      <c r="DN30" s="198">
        <v>0.0025</v>
      </c>
      <c r="DO30" s="198">
        <v>0.0025</v>
      </c>
      <c r="DP30" s="127"/>
      <c r="DQ30" s="192">
        <v>0.045</v>
      </c>
      <c r="DR30" s="192">
        <v>0.0508</v>
      </c>
      <c r="DS30" s="192">
        <v>0.0489</v>
      </c>
      <c r="DT30" s="192">
        <v>0.0486</v>
      </c>
      <c r="DU30" s="192">
        <v>0.061</v>
      </c>
      <c r="DV30" s="192">
        <v>0.0628</v>
      </c>
      <c r="DW30" s="127"/>
      <c r="DX30" s="192">
        <v>0.0175</v>
      </c>
      <c r="DY30" s="192">
        <v>0.0205</v>
      </c>
      <c r="DZ30" s="192">
        <v>0.0205</v>
      </c>
      <c r="EA30" s="192">
        <v>0.0205</v>
      </c>
      <c r="EB30" s="192">
        <v>0.031</v>
      </c>
      <c r="EC30" s="192">
        <v>0.0257</v>
      </c>
      <c r="ED30" s="127"/>
      <c r="EE30" s="127">
        <v>0.39</v>
      </c>
      <c r="EF30" s="127">
        <v>0.61</v>
      </c>
      <c r="EG30" s="127">
        <v>0.54</v>
      </c>
      <c r="EH30" s="127">
        <v>0.35</v>
      </c>
      <c r="EI30" s="127">
        <v>0.58</v>
      </c>
      <c r="EJ30" s="127">
        <v>0.55</v>
      </c>
      <c r="EK30" s="127"/>
      <c r="EL30" s="127"/>
      <c r="EM30" s="127"/>
      <c r="EN30" s="127"/>
      <c r="EO30" s="127"/>
      <c r="EP30" s="127"/>
      <c r="EQ30" s="127"/>
      <c r="ER30" s="127"/>
      <c r="ES30" s="127"/>
      <c r="ET30" s="127"/>
      <c r="EU30" s="127"/>
      <c r="EV30" s="127"/>
      <c r="EW30" s="127"/>
      <c r="EX30" s="127"/>
      <c r="EY30" s="127"/>
      <c r="EZ30" s="127">
        <v>0.55</v>
      </c>
      <c r="FA30" s="192">
        <f t="shared" si="26"/>
        <v>0.004839951600484</v>
      </c>
      <c r="FB30" s="192">
        <v>0.0025</v>
      </c>
      <c r="FC30" s="192">
        <f t="shared" si="27"/>
        <v>0.0576923076923077</v>
      </c>
      <c r="FD30" s="192">
        <f t="shared" si="28"/>
        <v>0.0454545454545455</v>
      </c>
      <c r="FE30" s="193">
        <f t="shared" si="29"/>
        <v>0</v>
      </c>
      <c r="FF30" s="127"/>
      <c r="FG30" s="127"/>
      <c r="FH30" s="127"/>
      <c r="FI30" s="194">
        <v>0.045</v>
      </c>
      <c r="FJ30" s="194">
        <f t="shared" si="30"/>
        <v>0.0576923076923077</v>
      </c>
      <c r="FK30" s="196">
        <v>89.57</v>
      </c>
      <c r="FL30" s="127">
        <f t="shared" si="38"/>
        <v>13.4355</v>
      </c>
      <c r="FM30" s="196">
        <v>5.19</v>
      </c>
      <c r="FN30" s="127">
        <f t="shared" si="31"/>
        <v>48.05</v>
      </c>
      <c r="FO30" s="127"/>
      <c r="FP30" s="127">
        <f t="shared" si="32"/>
        <v>8.155</v>
      </c>
      <c r="FQ30" s="127">
        <f t="shared" si="33"/>
        <v>-5.27</v>
      </c>
      <c r="FR30" s="196">
        <v>32.18</v>
      </c>
      <c r="FS30" s="127"/>
      <c r="FT30" s="127"/>
      <c r="FU30" s="127"/>
      <c r="FV30" s="127"/>
      <c r="FW30" s="127"/>
      <c r="FX30" s="127"/>
      <c r="FY30" s="127"/>
      <c r="FZ30" s="127"/>
      <c r="GA30" s="127"/>
      <c r="GB30" s="127"/>
      <c r="GC30" s="127"/>
      <c r="GD30" s="127"/>
      <c r="GE30" s="127"/>
      <c r="GF30" s="127"/>
      <c r="GG30" s="127"/>
      <c r="GH30" s="127"/>
      <c r="GI30" s="127"/>
      <c r="GJ30" s="127"/>
      <c r="GK30" s="127"/>
      <c r="GL30" s="127"/>
      <c r="GM30" s="127"/>
      <c r="GN30" s="127"/>
      <c r="GO30" s="127"/>
      <c r="GP30" s="127"/>
      <c r="GQ30" s="127"/>
      <c r="GR30" s="127"/>
      <c r="GS30" s="127"/>
      <c r="GT30" s="127"/>
      <c r="GU30" s="127"/>
      <c r="GV30" s="127"/>
      <c r="GW30" s="127"/>
      <c r="GX30" s="127"/>
      <c r="GY30" s="127"/>
      <c r="GZ30" s="127"/>
    </row>
    <row r="31" spans="1:208">
      <c r="A31" s="172">
        <v>45822</v>
      </c>
      <c r="B31" s="20" t="s">
        <v>369</v>
      </c>
      <c r="C31" s="173" t="s">
        <v>397</v>
      </c>
      <c r="D31" s="174">
        <v>139.99</v>
      </c>
      <c r="E31" s="175">
        <v>89.57</v>
      </c>
      <c r="F31" s="176">
        <v>0.3</v>
      </c>
      <c r="G31" s="176">
        <v>0.15</v>
      </c>
      <c r="H31" s="177">
        <f t="shared" si="0"/>
        <v>83.29405</v>
      </c>
      <c r="I31" s="176">
        <v>0.08</v>
      </c>
      <c r="J31" s="178">
        <v>0.06</v>
      </c>
      <c r="K31" s="20">
        <v>32</v>
      </c>
      <c r="L31" s="20">
        <v>21</v>
      </c>
      <c r="M31" s="20">
        <f t="shared" si="39"/>
        <v>53</v>
      </c>
      <c r="N31" s="176">
        <f t="shared" si="1"/>
        <v>0.150943396226415</v>
      </c>
      <c r="O31" s="179">
        <f t="shared" si="2"/>
        <v>6</v>
      </c>
      <c r="P31" s="179">
        <f t="shared" si="3"/>
        <v>7</v>
      </c>
      <c r="Q31" s="20">
        <v>8</v>
      </c>
      <c r="R31" s="20">
        <v>8</v>
      </c>
      <c r="S31" s="20">
        <v>1</v>
      </c>
      <c r="T31" s="20">
        <v>1</v>
      </c>
      <c r="U31" s="176">
        <v>1</v>
      </c>
      <c r="V31" s="20">
        <v>0</v>
      </c>
      <c r="W31" s="174">
        <v>698.64</v>
      </c>
      <c r="X31" s="20">
        <v>37</v>
      </c>
      <c r="Y31" s="174" t="s">
        <v>84</v>
      </c>
      <c r="Z31" s="20">
        <v>36</v>
      </c>
      <c r="AA31" s="174" t="s">
        <v>84</v>
      </c>
      <c r="AB31" s="20">
        <v>85</v>
      </c>
      <c r="AC31" s="174" t="s">
        <v>84</v>
      </c>
      <c r="AD31" s="20">
        <v>23</v>
      </c>
      <c r="AE31" s="174" t="s">
        <v>84</v>
      </c>
      <c r="AF31" s="20">
        <v>31</v>
      </c>
      <c r="AG31" s="174" t="s">
        <v>84</v>
      </c>
      <c r="AH31" s="20">
        <v>32</v>
      </c>
      <c r="AI31" s="174" t="s">
        <v>84</v>
      </c>
      <c r="AJ31" s="20" t="s">
        <v>84</v>
      </c>
      <c r="AK31" s="174" t="s">
        <v>84</v>
      </c>
      <c r="AL31" s="20">
        <v>136</v>
      </c>
      <c r="AM31" s="180">
        <v>199709</v>
      </c>
      <c r="AN31" s="173">
        <v>272</v>
      </c>
      <c r="AO31" s="174">
        <v>11</v>
      </c>
      <c r="AP31" s="174">
        <v>5</v>
      </c>
      <c r="AQ31" s="174"/>
      <c r="AR31" s="174"/>
      <c r="AS31" s="181">
        <v>11047</v>
      </c>
      <c r="AT31" s="20">
        <v>42</v>
      </c>
      <c r="AU31" s="182">
        <f t="shared" si="4"/>
        <v>0.00380193717751426</v>
      </c>
      <c r="AV31" s="20">
        <v>1</v>
      </c>
      <c r="AW31" s="183">
        <f t="shared" si="5"/>
        <v>1.02261904761905</v>
      </c>
      <c r="AX31" s="184">
        <f t="shared" si="6"/>
        <v>0</v>
      </c>
      <c r="AY31" s="176">
        <f t="shared" si="7"/>
        <v>0.0238095238095238</v>
      </c>
      <c r="AZ31" s="185">
        <f t="shared" si="8"/>
        <v>0.142857142857143</v>
      </c>
      <c r="BA31" s="183">
        <v>42.95</v>
      </c>
      <c r="BB31" s="176">
        <f t="shared" si="40"/>
        <v>0</v>
      </c>
      <c r="BC31" s="179">
        <f t="shared" si="10"/>
        <v>42.95</v>
      </c>
      <c r="BD31" s="179">
        <v>0</v>
      </c>
      <c r="BE31" s="182">
        <v>0</v>
      </c>
      <c r="BF31" s="186">
        <f t="shared" si="11"/>
        <v>-10.77</v>
      </c>
      <c r="BG31" s="186">
        <v>32.18</v>
      </c>
      <c r="BH31" s="187">
        <f t="shared" si="12"/>
        <v>160.73</v>
      </c>
      <c r="BI31" s="182">
        <f t="shared" si="13"/>
        <v>0.230061261880224</v>
      </c>
      <c r="BJ31" s="179">
        <f t="shared" si="14"/>
        <v>1160</v>
      </c>
      <c r="BK31" s="179"/>
      <c r="BL31" s="179">
        <f t="shared" si="15"/>
        <v>21.58</v>
      </c>
      <c r="BM31" s="178"/>
      <c r="BN31" s="7"/>
      <c r="BO31" s="20"/>
      <c r="BP31" s="182"/>
      <c r="BQ31" s="182">
        <f t="shared" si="34"/>
        <v>0.125</v>
      </c>
      <c r="BR31" s="182">
        <f t="shared" si="16"/>
        <v>0.75</v>
      </c>
      <c r="BS31" s="182">
        <f t="shared" si="17"/>
        <v>0.792452830188679</v>
      </c>
      <c r="BT31" s="188">
        <f t="shared" si="18"/>
        <v>42</v>
      </c>
      <c r="BU31" s="20">
        <f t="shared" si="19"/>
        <v>53</v>
      </c>
      <c r="BV31" s="20">
        <f t="shared" si="20"/>
        <v>11</v>
      </c>
      <c r="BW31" s="185">
        <f t="shared" si="21"/>
        <v>0.207547169811321</v>
      </c>
      <c r="BX31" s="182">
        <f t="shared" si="22"/>
        <v>0.75</v>
      </c>
      <c r="BY31" s="182">
        <f t="shared" si="23"/>
        <v>0.875</v>
      </c>
      <c r="BZ31" s="182">
        <f t="shared" si="24"/>
        <v>0.75</v>
      </c>
      <c r="CA31" s="182">
        <f t="shared" si="25"/>
        <v>0.125</v>
      </c>
      <c r="CB31" s="189">
        <f t="shared" si="35"/>
        <v>0.166666666666667</v>
      </c>
      <c r="CC31" s="190">
        <f t="shared" si="36"/>
        <v>0.150943396226415</v>
      </c>
      <c r="CD31" s="190">
        <f t="shared" si="37"/>
        <v>0.0238095238095238</v>
      </c>
      <c r="CE31" s="189">
        <v>0.08</v>
      </c>
      <c r="CF31" s="189">
        <v>0.08</v>
      </c>
      <c r="CG31" s="189">
        <v>0.08</v>
      </c>
      <c r="CH31" s="189">
        <v>0.08</v>
      </c>
      <c r="CI31" s="189">
        <v>0.05</v>
      </c>
      <c r="CJ31" s="189">
        <v>0.06</v>
      </c>
      <c r="CK31" s="189">
        <v>0.04</v>
      </c>
      <c r="CL31" s="191">
        <v>37</v>
      </c>
      <c r="CM31" s="191" t="s">
        <v>84</v>
      </c>
      <c r="CN31" s="191">
        <v>36</v>
      </c>
      <c r="CO31" s="191" t="s">
        <v>84</v>
      </c>
      <c r="CP31" s="191">
        <v>85</v>
      </c>
      <c r="CQ31" s="191" t="s">
        <v>84</v>
      </c>
      <c r="CR31" s="191">
        <v>23</v>
      </c>
      <c r="CS31" s="191" t="s">
        <v>84</v>
      </c>
      <c r="CT31" s="191">
        <v>31</v>
      </c>
      <c r="CU31" s="191" t="s">
        <v>84</v>
      </c>
      <c r="CV31" s="191">
        <v>32</v>
      </c>
      <c r="CW31" s="191" t="s">
        <v>84</v>
      </c>
      <c r="CX31" s="191" t="s">
        <v>84</v>
      </c>
      <c r="CY31" s="191" t="s">
        <v>84</v>
      </c>
      <c r="CZ31" s="127"/>
      <c r="DA31" s="127"/>
      <c r="DB31" s="127"/>
      <c r="DC31" s="127"/>
      <c r="DD31" s="127">
        <v>2.9</v>
      </c>
      <c r="DE31" s="127">
        <v>4.02</v>
      </c>
      <c r="DF31" s="127">
        <v>0.47</v>
      </c>
      <c r="DG31" s="127">
        <v>3.41</v>
      </c>
      <c r="DH31" s="127">
        <v>3.36</v>
      </c>
      <c r="DI31" s="127">
        <v>2.72</v>
      </c>
      <c r="DJ31" s="127">
        <v>0.34</v>
      </c>
      <c r="DK31" s="127"/>
      <c r="DL31" s="198">
        <v>0.0023</v>
      </c>
      <c r="DM31" s="198">
        <v>0.0025</v>
      </c>
      <c r="DN31" s="198">
        <v>0.0025</v>
      </c>
      <c r="DO31" s="198">
        <v>0.0025</v>
      </c>
      <c r="DP31" s="127"/>
      <c r="DQ31" s="192">
        <v>0.045</v>
      </c>
      <c r="DR31" s="192">
        <v>0.0508</v>
      </c>
      <c r="DS31" s="192">
        <v>0.0489</v>
      </c>
      <c r="DT31" s="192">
        <v>0.0486</v>
      </c>
      <c r="DU31" s="192">
        <v>0.061</v>
      </c>
      <c r="DV31" s="192">
        <v>0.0628</v>
      </c>
      <c r="DW31" s="127"/>
      <c r="DX31" s="192">
        <v>0.0175</v>
      </c>
      <c r="DY31" s="192">
        <v>0.0205</v>
      </c>
      <c r="DZ31" s="192">
        <v>0.0205</v>
      </c>
      <c r="EA31" s="192">
        <v>0.0205</v>
      </c>
      <c r="EB31" s="192">
        <v>0.031</v>
      </c>
      <c r="EC31" s="192">
        <v>0.0257</v>
      </c>
      <c r="ED31" s="127"/>
      <c r="EE31" s="127">
        <v>0.39</v>
      </c>
      <c r="EF31" s="127">
        <v>0.61</v>
      </c>
      <c r="EG31" s="127">
        <v>0.54</v>
      </c>
      <c r="EH31" s="127">
        <v>0.35</v>
      </c>
      <c r="EI31" s="127">
        <v>0.58</v>
      </c>
      <c r="EJ31" s="127">
        <v>0.55</v>
      </c>
      <c r="EK31" s="127"/>
      <c r="EL31" s="127"/>
      <c r="EM31" s="127"/>
      <c r="EN31" s="127"/>
      <c r="EO31" s="127"/>
      <c r="EP31" s="127"/>
      <c r="EQ31" s="127"/>
      <c r="ER31" s="127"/>
      <c r="ES31" s="127"/>
      <c r="ET31" s="127"/>
      <c r="EU31" s="127"/>
      <c r="EV31" s="127"/>
      <c r="EW31" s="127"/>
      <c r="EX31" s="127"/>
      <c r="EY31" s="127"/>
      <c r="EZ31" s="127">
        <v>0.55</v>
      </c>
      <c r="FA31" s="192">
        <f t="shared" si="26"/>
        <v>0.00380193717751426</v>
      </c>
      <c r="FB31" s="192">
        <v>0.0025</v>
      </c>
      <c r="FC31" s="192">
        <f t="shared" si="27"/>
        <v>0.150943396226415</v>
      </c>
      <c r="FD31" s="192">
        <f t="shared" si="28"/>
        <v>0.0238095238095238</v>
      </c>
      <c r="FE31" s="193">
        <f t="shared" si="29"/>
        <v>0.75</v>
      </c>
      <c r="FF31" s="127"/>
      <c r="FG31" s="127"/>
      <c r="FH31" s="127"/>
      <c r="FI31" s="194">
        <v>0.045</v>
      </c>
      <c r="FJ31" s="194">
        <f t="shared" si="30"/>
        <v>0.150943396226415</v>
      </c>
      <c r="FK31" s="196">
        <v>89.57</v>
      </c>
      <c r="FL31" s="127">
        <f t="shared" si="38"/>
        <v>13.4355</v>
      </c>
      <c r="FM31" s="196">
        <v>5.19</v>
      </c>
      <c r="FN31" s="127">
        <f t="shared" si="31"/>
        <v>42.95</v>
      </c>
      <c r="FO31" s="127"/>
      <c r="FP31" s="127">
        <f t="shared" si="32"/>
        <v>-10.77</v>
      </c>
      <c r="FQ31" s="127">
        <f t="shared" si="33"/>
        <v>160.73</v>
      </c>
      <c r="FR31" s="196">
        <v>32.18</v>
      </c>
      <c r="FS31" s="127"/>
      <c r="FT31" s="127"/>
      <c r="FU31" s="127"/>
      <c r="FV31" s="127"/>
      <c r="FW31" s="127"/>
      <c r="FX31" s="127"/>
      <c r="FY31" s="127"/>
      <c r="FZ31" s="127"/>
      <c r="GA31" s="127"/>
      <c r="GB31" s="127"/>
      <c r="GC31" s="127"/>
      <c r="GD31" s="127"/>
      <c r="GE31" s="127"/>
      <c r="GF31" s="127"/>
      <c r="GG31" s="127"/>
      <c r="GH31" s="127"/>
      <c r="GI31" s="127"/>
      <c r="GJ31" s="127"/>
      <c r="GK31" s="127"/>
      <c r="GL31" s="127"/>
      <c r="GM31" s="127"/>
      <c r="GN31" s="127"/>
      <c r="GO31" s="127"/>
      <c r="GP31" s="127"/>
      <c r="GQ31" s="127"/>
      <c r="GR31" s="127"/>
      <c r="GS31" s="127"/>
      <c r="GT31" s="127"/>
      <c r="GU31" s="127"/>
      <c r="GV31" s="127"/>
      <c r="GW31" s="127"/>
      <c r="GX31" s="127"/>
      <c r="GY31" s="127"/>
      <c r="GZ31" s="127"/>
    </row>
    <row r="32" spans="1:208">
      <c r="A32" s="172">
        <v>45823</v>
      </c>
      <c r="B32" s="20" t="s">
        <v>371</v>
      </c>
      <c r="C32" s="173" t="s">
        <v>398</v>
      </c>
      <c r="D32" s="174">
        <v>139.99</v>
      </c>
      <c r="E32" s="175">
        <v>89.57</v>
      </c>
      <c r="F32" s="176">
        <v>0.3</v>
      </c>
      <c r="G32" s="176">
        <v>0.15</v>
      </c>
      <c r="H32" s="177">
        <f t="shared" si="0"/>
        <v>83.29405</v>
      </c>
      <c r="I32" s="176">
        <v>0.08</v>
      </c>
      <c r="J32" s="178">
        <v>0.06</v>
      </c>
      <c r="K32" s="20">
        <v>33</v>
      </c>
      <c r="L32" s="20">
        <v>14</v>
      </c>
      <c r="M32" s="20">
        <f t="shared" si="39"/>
        <v>47</v>
      </c>
      <c r="N32" s="176">
        <f t="shared" si="1"/>
        <v>0.170212765957447</v>
      </c>
      <c r="O32" s="179">
        <f t="shared" si="2"/>
        <v>7</v>
      </c>
      <c r="P32" s="179">
        <f t="shared" si="3"/>
        <v>8</v>
      </c>
      <c r="Q32" s="20">
        <v>8</v>
      </c>
      <c r="R32" s="20">
        <v>8</v>
      </c>
      <c r="S32" s="20">
        <v>0</v>
      </c>
      <c r="T32" s="20">
        <v>0</v>
      </c>
      <c r="U32" s="176">
        <v>0</v>
      </c>
      <c r="V32" s="20">
        <v>0</v>
      </c>
      <c r="W32" s="174">
        <v>698.64</v>
      </c>
      <c r="X32" s="20">
        <v>28</v>
      </c>
      <c r="Y32" s="174" t="s">
        <v>84</v>
      </c>
      <c r="Z32" s="20">
        <v>38</v>
      </c>
      <c r="AA32" s="174" t="s">
        <v>84</v>
      </c>
      <c r="AB32" s="20">
        <v>81</v>
      </c>
      <c r="AC32" s="174" t="s">
        <v>84</v>
      </c>
      <c r="AD32" s="20">
        <v>20</v>
      </c>
      <c r="AE32" s="174" t="s">
        <v>84</v>
      </c>
      <c r="AF32" s="20">
        <v>21</v>
      </c>
      <c r="AG32" s="174" t="s">
        <v>84</v>
      </c>
      <c r="AH32" s="20" t="s">
        <v>84</v>
      </c>
      <c r="AI32" s="174" t="s">
        <v>84</v>
      </c>
      <c r="AJ32" s="20" t="s">
        <v>84</v>
      </c>
      <c r="AK32" s="174" t="s">
        <v>84</v>
      </c>
      <c r="AL32" s="20">
        <v>136</v>
      </c>
      <c r="AM32" s="180">
        <v>212201</v>
      </c>
      <c r="AN32" s="173">
        <v>300</v>
      </c>
      <c r="AO32" s="174">
        <v>11</v>
      </c>
      <c r="AP32" s="174">
        <v>5</v>
      </c>
      <c r="AQ32" s="174"/>
      <c r="AR32" s="174"/>
      <c r="AS32" s="181">
        <v>9918</v>
      </c>
      <c r="AT32" s="20">
        <v>41</v>
      </c>
      <c r="AU32" s="182">
        <f t="shared" si="4"/>
        <v>0.00413389796329905</v>
      </c>
      <c r="AV32" s="20">
        <v>1</v>
      </c>
      <c r="AW32" s="183">
        <f t="shared" si="5"/>
        <v>1.17365853658537</v>
      </c>
      <c r="AX32" s="184">
        <f t="shared" si="6"/>
        <v>0</v>
      </c>
      <c r="AY32" s="176">
        <f t="shared" si="7"/>
        <v>0.024390243902439</v>
      </c>
      <c r="AZ32" s="185">
        <f t="shared" si="8"/>
        <v>0.125</v>
      </c>
      <c r="BA32" s="183">
        <v>48.12</v>
      </c>
      <c r="BB32" s="176">
        <f t="shared" si="40"/>
        <v>0</v>
      </c>
      <c r="BC32" s="179">
        <f t="shared" si="10"/>
        <v>48.12</v>
      </c>
      <c r="BD32" s="179">
        <v>0</v>
      </c>
      <c r="BE32" s="182">
        <v>0</v>
      </c>
      <c r="BF32" s="186">
        <f t="shared" si="11"/>
        <v>-15.94</v>
      </c>
      <c r="BG32" s="186">
        <v>32.18</v>
      </c>
      <c r="BH32" s="187">
        <f t="shared" si="12"/>
        <v>209.32</v>
      </c>
      <c r="BI32" s="182">
        <f t="shared" si="13"/>
        <v>0.29961067216306</v>
      </c>
      <c r="BJ32" s="179">
        <f t="shared" si="14"/>
        <v>1160</v>
      </c>
      <c r="BK32" s="179"/>
      <c r="BL32" s="179">
        <f t="shared" si="15"/>
        <v>0</v>
      </c>
      <c r="BM32" s="178"/>
      <c r="BN32" s="7"/>
      <c r="BO32" s="20"/>
      <c r="BP32" s="182"/>
      <c r="BQ32" s="182">
        <f t="shared" si="34"/>
        <v>0.125</v>
      </c>
      <c r="BR32" s="182">
        <f t="shared" si="16"/>
        <v>0.875</v>
      </c>
      <c r="BS32" s="182">
        <f t="shared" si="17"/>
        <v>0.872340425531915</v>
      </c>
      <c r="BT32" s="188">
        <f t="shared" si="18"/>
        <v>41</v>
      </c>
      <c r="BU32" s="20">
        <f t="shared" si="19"/>
        <v>47</v>
      </c>
      <c r="BV32" s="20">
        <f t="shared" si="20"/>
        <v>6</v>
      </c>
      <c r="BW32" s="185">
        <f t="shared" si="21"/>
        <v>0.127659574468085</v>
      </c>
      <c r="BX32" s="182">
        <f t="shared" si="22"/>
        <v>0.875</v>
      </c>
      <c r="BY32" s="182">
        <f t="shared" si="23"/>
        <v>1</v>
      </c>
      <c r="BZ32" s="182">
        <f t="shared" si="24"/>
        <v>0.875</v>
      </c>
      <c r="CA32" s="182">
        <f t="shared" si="25"/>
        <v>0.125</v>
      </c>
      <c r="CB32" s="189">
        <f t="shared" si="35"/>
        <v>0.142857142857143</v>
      </c>
      <c r="CC32" s="190">
        <f t="shared" si="36"/>
        <v>0.170212765957447</v>
      </c>
      <c r="CD32" s="190">
        <f t="shared" si="37"/>
        <v>0.024390243902439</v>
      </c>
      <c r="CE32" s="189">
        <v>0.08</v>
      </c>
      <c r="CF32" s="189">
        <v>0.08</v>
      </c>
      <c r="CG32" s="189">
        <v>0.08</v>
      </c>
      <c r="CH32" s="189">
        <v>0.08</v>
      </c>
      <c r="CI32" s="189">
        <v>0.05</v>
      </c>
      <c r="CJ32" s="189">
        <v>0.06</v>
      </c>
      <c r="CK32" s="189">
        <v>0.04</v>
      </c>
      <c r="CL32" s="191">
        <v>28</v>
      </c>
      <c r="CM32" s="191" t="s">
        <v>84</v>
      </c>
      <c r="CN32" s="191">
        <v>38</v>
      </c>
      <c r="CO32" s="191" t="s">
        <v>84</v>
      </c>
      <c r="CP32" s="191">
        <v>81</v>
      </c>
      <c r="CQ32" s="191" t="s">
        <v>84</v>
      </c>
      <c r="CR32" s="191">
        <v>20</v>
      </c>
      <c r="CS32" s="191" t="s">
        <v>84</v>
      </c>
      <c r="CT32" s="191">
        <v>21</v>
      </c>
      <c r="CU32" s="191" t="s">
        <v>84</v>
      </c>
      <c r="CV32" s="191" t="s">
        <v>84</v>
      </c>
      <c r="CW32" s="191" t="s">
        <v>84</v>
      </c>
      <c r="CX32" s="191" t="s">
        <v>84</v>
      </c>
      <c r="CY32" s="191" t="s">
        <v>84</v>
      </c>
      <c r="CZ32" s="127"/>
      <c r="DA32" s="127"/>
      <c r="DB32" s="127"/>
      <c r="DC32" s="127"/>
      <c r="DD32" s="127">
        <v>2.9</v>
      </c>
      <c r="DE32" s="127">
        <v>4.02</v>
      </c>
      <c r="DF32" s="127">
        <v>0.47</v>
      </c>
      <c r="DG32" s="127">
        <v>3.41</v>
      </c>
      <c r="DH32" s="127">
        <v>3.36</v>
      </c>
      <c r="DI32" s="127">
        <v>2.72</v>
      </c>
      <c r="DJ32" s="127">
        <v>0.34</v>
      </c>
      <c r="DK32" s="127"/>
      <c r="DL32" s="198">
        <v>0.0023</v>
      </c>
      <c r="DM32" s="198">
        <v>0.0025</v>
      </c>
      <c r="DN32" s="198">
        <v>0.0025</v>
      </c>
      <c r="DO32" s="198">
        <v>0.0025</v>
      </c>
      <c r="DP32" s="127"/>
      <c r="DQ32" s="192">
        <v>0.045</v>
      </c>
      <c r="DR32" s="192">
        <v>0.0508</v>
      </c>
      <c r="DS32" s="192">
        <v>0.0489</v>
      </c>
      <c r="DT32" s="192">
        <v>0.0486</v>
      </c>
      <c r="DU32" s="192">
        <v>0.061</v>
      </c>
      <c r="DV32" s="192">
        <v>0.0628</v>
      </c>
      <c r="DW32" s="127"/>
      <c r="DX32" s="192">
        <v>0.0175</v>
      </c>
      <c r="DY32" s="192">
        <v>0.0205</v>
      </c>
      <c r="DZ32" s="192">
        <v>0.0205</v>
      </c>
      <c r="EA32" s="192">
        <v>0.0205</v>
      </c>
      <c r="EB32" s="192">
        <v>0.031</v>
      </c>
      <c r="EC32" s="192">
        <v>0.0257</v>
      </c>
      <c r="ED32" s="127"/>
      <c r="EE32" s="127">
        <v>0.39</v>
      </c>
      <c r="EF32" s="127">
        <v>0.61</v>
      </c>
      <c r="EG32" s="127">
        <v>0.54</v>
      </c>
      <c r="EH32" s="127">
        <v>0.35</v>
      </c>
      <c r="EI32" s="127">
        <v>0.58</v>
      </c>
      <c r="EJ32" s="127">
        <v>0.55</v>
      </c>
      <c r="EK32" s="127"/>
      <c r="EL32" s="127"/>
      <c r="EM32" s="127"/>
      <c r="EN32" s="127"/>
      <c r="EO32" s="127"/>
      <c r="EP32" s="127"/>
      <c r="EQ32" s="127"/>
      <c r="ER32" s="127"/>
      <c r="ES32" s="127"/>
      <c r="ET32" s="127"/>
      <c r="EU32" s="127"/>
      <c r="EV32" s="127"/>
      <c r="EW32" s="127"/>
      <c r="EX32" s="127"/>
      <c r="EY32" s="127"/>
      <c r="EZ32" s="127">
        <v>0.55</v>
      </c>
      <c r="FA32" s="192">
        <f t="shared" si="26"/>
        <v>0.00413389796329905</v>
      </c>
      <c r="FB32" s="192">
        <v>0.0025</v>
      </c>
      <c r="FC32" s="192">
        <f t="shared" si="27"/>
        <v>0.170212765957447</v>
      </c>
      <c r="FD32" s="192">
        <f t="shared" si="28"/>
        <v>0.024390243902439</v>
      </c>
      <c r="FE32" s="193">
        <f t="shared" si="29"/>
        <v>0.875</v>
      </c>
      <c r="FF32" s="127"/>
      <c r="FG32" s="127"/>
      <c r="FH32" s="127"/>
      <c r="FI32" s="194">
        <v>0.045</v>
      </c>
      <c r="FJ32" s="194">
        <f t="shared" si="30"/>
        <v>0.170212765957447</v>
      </c>
      <c r="FK32" s="196">
        <v>89.57</v>
      </c>
      <c r="FL32" s="127">
        <f t="shared" si="38"/>
        <v>13.4355</v>
      </c>
      <c r="FM32" s="196">
        <v>5.19</v>
      </c>
      <c r="FN32" s="127">
        <f t="shared" si="31"/>
        <v>48.12</v>
      </c>
      <c r="FO32" s="127"/>
      <c r="FP32" s="127">
        <f t="shared" si="32"/>
        <v>-15.94</v>
      </c>
      <c r="FQ32" s="127">
        <f t="shared" si="33"/>
        <v>209.32</v>
      </c>
      <c r="FR32" s="196">
        <v>32.18</v>
      </c>
      <c r="FS32" s="127"/>
      <c r="FT32" s="127"/>
      <c r="FU32" s="127"/>
      <c r="FV32" s="127"/>
      <c r="FW32" s="127"/>
      <c r="FX32" s="127"/>
      <c r="FY32" s="127"/>
      <c r="FZ32" s="127"/>
      <c r="GA32" s="127"/>
      <c r="GB32" s="127"/>
      <c r="GC32" s="127"/>
      <c r="GD32" s="127"/>
      <c r="GE32" s="127"/>
      <c r="GF32" s="127"/>
      <c r="GG32" s="127"/>
      <c r="GH32" s="127"/>
      <c r="GI32" s="127"/>
      <c r="GJ32" s="127"/>
      <c r="GK32" s="127"/>
      <c r="GL32" s="127"/>
      <c r="GM32" s="127"/>
      <c r="GN32" s="127"/>
      <c r="GO32" s="127"/>
      <c r="GP32" s="127"/>
      <c r="GQ32" s="127"/>
      <c r="GR32" s="127"/>
      <c r="GS32" s="127"/>
      <c r="GT32" s="127"/>
      <c r="GU32" s="127"/>
      <c r="GV32" s="127"/>
      <c r="GW32" s="127"/>
      <c r="GX32" s="127"/>
      <c r="GY32" s="127"/>
      <c r="GZ32" s="127"/>
    </row>
    <row r="33" spans="1:208">
      <c r="A33" s="172">
        <v>45824</v>
      </c>
      <c r="B33" s="20" t="s">
        <v>373</v>
      </c>
      <c r="C33" s="173" t="s">
        <v>398</v>
      </c>
      <c r="D33" s="174">
        <v>139.99</v>
      </c>
      <c r="E33" s="175">
        <v>89.57</v>
      </c>
      <c r="F33" s="176">
        <v>0.3</v>
      </c>
      <c r="G33" s="176">
        <v>0.15</v>
      </c>
      <c r="H33" s="177">
        <f t="shared" si="0"/>
        <v>83.29405</v>
      </c>
      <c r="I33" s="176">
        <v>0.08</v>
      </c>
      <c r="J33" s="178">
        <v>0.06</v>
      </c>
      <c r="K33" s="20">
        <v>25</v>
      </c>
      <c r="L33" s="20">
        <v>19</v>
      </c>
      <c r="M33" s="20">
        <f t="shared" si="39"/>
        <v>44</v>
      </c>
      <c r="N33" s="176">
        <f t="shared" si="1"/>
        <v>0.113636363636364</v>
      </c>
      <c r="O33" s="179">
        <f t="shared" si="2"/>
        <v>3</v>
      </c>
      <c r="P33" s="179">
        <f t="shared" si="3"/>
        <v>4</v>
      </c>
      <c r="Q33" s="20">
        <v>5</v>
      </c>
      <c r="R33" s="20">
        <v>5</v>
      </c>
      <c r="S33" s="20">
        <v>1</v>
      </c>
      <c r="T33" s="20">
        <v>1</v>
      </c>
      <c r="U33" s="176">
        <v>1</v>
      </c>
      <c r="V33" s="20">
        <v>0</v>
      </c>
      <c r="W33" s="174">
        <v>436.65</v>
      </c>
      <c r="X33" s="20">
        <v>28</v>
      </c>
      <c r="Y33" s="20"/>
      <c r="Z33" s="20">
        <v>38</v>
      </c>
      <c r="AA33" s="20"/>
      <c r="AB33" s="20">
        <v>81</v>
      </c>
      <c r="AC33" s="20"/>
      <c r="AD33" s="20">
        <v>20</v>
      </c>
      <c r="AE33" s="20"/>
      <c r="AF33" s="20">
        <v>21</v>
      </c>
      <c r="AG33" s="20"/>
      <c r="AH33" s="20" t="s">
        <v>84</v>
      </c>
      <c r="AI33" s="20"/>
      <c r="AJ33" s="20" t="s">
        <v>84</v>
      </c>
      <c r="AK33" s="20"/>
      <c r="AL33" s="20">
        <v>136</v>
      </c>
      <c r="AM33" s="180">
        <v>222090</v>
      </c>
      <c r="AN33" s="173">
        <v>324</v>
      </c>
      <c r="AO33" s="174">
        <v>11</v>
      </c>
      <c r="AP33" s="174">
        <v>5</v>
      </c>
      <c r="AQ33" s="174"/>
      <c r="AR33" s="174"/>
      <c r="AS33" s="181">
        <v>7044</v>
      </c>
      <c r="AT33" s="20">
        <v>24</v>
      </c>
      <c r="AU33" s="182">
        <f t="shared" si="4"/>
        <v>0.00340715502555366</v>
      </c>
      <c r="AV33" s="20">
        <v>1</v>
      </c>
      <c r="AW33" s="183">
        <f t="shared" si="5"/>
        <v>1.02291666666667</v>
      </c>
      <c r="AX33" s="184">
        <f t="shared" si="6"/>
        <v>0</v>
      </c>
      <c r="AY33" s="176">
        <f t="shared" si="7"/>
        <v>0.0416666666666667</v>
      </c>
      <c r="AZ33" s="185">
        <f t="shared" si="8"/>
        <v>0.25</v>
      </c>
      <c r="BA33" s="183">
        <v>24.55</v>
      </c>
      <c r="BB33" s="176">
        <f t="shared" si="40"/>
        <v>0</v>
      </c>
      <c r="BC33" s="179">
        <f t="shared" si="10"/>
        <v>24.55</v>
      </c>
      <c r="BD33" s="179">
        <v>0</v>
      </c>
      <c r="BE33" s="182">
        <v>0</v>
      </c>
      <c r="BF33" s="186">
        <f t="shared" si="11"/>
        <v>7.63</v>
      </c>
      <c r="BG33" s="186">
        <v>32.18</v>
      </c>
      <c r="BH33" s="187">
        <f t="shared" si="12"/>
        <v>82.59</v>
      </c>
      <c r="BI33" s="182">
        <f t="shared" si="13"/>
        <v>0.189144623840605</v>
      </c>
      <c r="BJ33" s="179">
        <f t="shared" si="14"/>
        <v>725</v>
      </c>
      <c r="BK33" s="179"/>
      <c r="BL33" s="179">
        <f t="shared" si="15"/>
        <v>21.58</v>
      </c>
      <c r="BM33" s="178"/>
      <c r="BN33" s="7"/>
      <c r="BO33" s="20"/>
      <c r="BP33" s="182"/>
      <c r="BQ33" s="182">
        <f t="shared" si="34"/>
        <v>0.2</v>
      </c>
      <c r="BR33" s="182">
        <f t="shared" si="16"/>
        <v>0.6</v>
      </c>
      <c r="BS33" s="182">
        <f t="shared" si="17"/>
        <v>0.545454545454545</v>
      </c>
      <c r="BT33" s="188">
        <f t="shared" si="18"/>
        <v>24</v>
      </c>
      <c r="BU33" s="20">
        <f t="shared" si="19"/>
        <v>44</v>
      </c>
      <c r="BV33" s="20">
        <f t="shared" si="20"/>
        <v>20</v>
      </c>
      <c r="BW33" s="185">
        <f t="shared" si="21"/>
        <v>0.454545454545455</v>
      </c>
      <c r="BX33" s="182">
        <f t="shared" si="22"/>
        <v>0.6</v>
      </c>
      <c r="BY33" s="182">
        <f t="shared" si="23"/>
        <v>0.8</v>
      </c>
      <c r="BZ33" s="182">
        <f t="shared" si="24"/>
        <v>0.6</v>
      </c>
      <c r="CA33" s="182">
        <f t="shared" si="25"/>
        <v>0.2</v>
      </c>
      <c r="CB33" s="189">
        <f t="shared" si="35"/>
        <v>0.333333333333333</v>
      </c>
      <c r="CC33" s="190">
        <f t="shared" si="36"/>
        <v>0.113636363636364</v>
      </c>
      <c r="CD33" s="190">
        <f t="shared" si="37"/>
        <v>0.0416666666666667</v>
      </c>
      <c r="CE33" s="189">
        <v>0.08</v>
      </c>
      <c r="CF33" s="189">
        <v>0.08</v>
      </c>
      <c r="CG33" s="189">
        <v>0.08</v>
      </c>
      <c r="CH33" s="189">
        <v>0.08</v>
      </c>
      <c r="CI33" s="189">
        <v>0.05</v>
      </c>
      <c r="CJ33" s="189">
        <v>0.06</v>
      </c>
      <c r="CK33" s="189">
        <v>0.04</v>
      </c>
      <c r="CL33" s="191">
        <v>28</v>
      </c>
      <c r="CM33" s="191"/>
      <c r="CN33" s="191">
        <v>38</v>
      </c>
      <c r="CO33" s="191"/>
      <c r="CP33" s="191">
        <v>81</v>
      </c>
      <c r="CQ33" s="191"/>
      <c r="CR33" s="191">
        <v>20</v>
      </c>
      <c r="CS33" s="191"/>
      <c r="CT33" s="191">
        <v>21</v>
      </c>
      <c r="CU33" s="191"/>
      <c r="CV33" s="191" t="s">
        <v>84</v>
      </c>
      <c r="CW33" s="191"/>
      <c r="CX33" s="191" t="s">
        <v>84</v>
      </c>
      <c r="CY33" s="191"/>
      <c r="CZ33" s="127"/>
      <c r="DA33" s="127"/>
      <c r="DB33" s="127"/>
      <c r="DC33" s="127"/>
      <c r="DD33" s="127">
        <v>2.9</v>
      </c>
      <c r="DE33" s="127">
        <v>4.02</v>
      </c>
      <c r="DF33" s="127">
        <v>0.47</v>
      </c>
      <c r="DG33" s="127">
        <v>3.41</v>
      </c>
      <c r="DH33" s="127">
        <v>3.36</v>
      </c>
      <c r="DI33" s="127">
        <v>2.72</v>
      </c>
      <c r="DJ33" s="127">
        <v>0.34</v>
      </c>
      <c r="DK33" s="127"/>
      <c r="DL33" s="198">
        <v>0.0023</v>
      </c>
      <c r="DM33" s="198">
        <v>0.0025</v>
      </c>
      <c r="DN33" s="198">
        <v>0.0025</v>
      </c>
      <c r="DO33" s="198">
        <v>0.0025</v>
      </c>
      <c r="DP33" s="127"/>
      <c r="DQ33" s="192">
        <v>0.045</v>
      </c>
      <c r="DR33" s="192">
        <v>0.0508</v>
      </c>
      <c r="DS33" s="192">
        <v>0.0489</v>
      </c>
      <c r="DT33" s="192">
        <v>0.0486</v>
      </c>
      <c r="DU33" s="192">
        <v>0.061</v>
      </c>
      <c r="DV33" s="192">
        <v>0.0628</v>
      </c>
      <c r="DW33" s="127"/>
      <c r="DX33" s="192">
        <v>0.0175</v>
      </c>
      <c r="DY33" s="192">
        <v>0.0205</v>
      </c>
      <c r="DZ33" s="192">
        <v>0.0205</v>
      </c>
      <c r="EA33" s="192">
        <v>0.0205</v>
      </c>
      <c r="EB33" s="192">
        <v>0.031</v>
      </c>
      <c r="EC33" s="192">
        <v>0.0257</v>
      </c>
      <c r="ED33" s="127"/>
      <c r="EE33" s="127">
        <v>0.39</v>
      </c>
      <c r="EF33" s="127">
        <v>0.61</v>
      </c>
      <c r="EG33" s="127">
        <v>0.54</v>
      </c>
      <c r="EH33" s="127">
        <v>0.35</v>
      </c>
      <c r="EI33" s="127">
        <v>0.58</v>
      </c>
      <c r="EJ33" s="127">
        <v>0.55</v>
      </c>
      <c r="EK33" s="127"/>
      <c r="EL33" s="127"/>
      <c r="EM33" s="127"/>
      <c r="EN33" s="127"/>
      <c r="EO33" s="127"/>
      <c r="EP33" s="127"/>
      <c r="EQ33" s="127"/>
      <c r="ER33" s="127"/>
      <c r="ES33" s="127"/>
      <c r="ET33" s="127"/>
      <c r="EU33" s="127"/>
      <c r="EV33" s="127"/>
      <c r="EW33" s="127"/>
      <c r="EX33" s="127"/>
      <c r="EY33" s="127"/>
      <c r="EZ33" s="127">
        <v>0.55</v>
      </c>
      <c r="FA33" s="192">
        <f t="shared" si="26"/>
        <v>0.00340715502555366</v>
      </c>
      <c r="FB33" s="192">
        <v>0.0025</v>
      </c>
      <c r="FC33" s="192">
        <f t="shared" si="27"/>
        <v>0.113636363636364</v>
      </c>
      <c r="FD33" s="192">
        <f t="shared" si="28"/>
        <v>0.0416666666666667</v>
      </c>
      <c r="FE33" s="193">
        <f t="shared" si="29"/>
        <v>0.6</v>
      </c>
      <c r="FF33" s="127"/>
      <c r="FG33" s="127"/>
      <c r="FH33" s="127"/>
      <c r="FI33" s="194">
        <v>0.045</v>
      </c>
      <c r="FJ33" s="194">
        <f t="shared" si="30"/>
        <v>0.113636363636364</v>
      </c>
      <c r="FK33" s="196">
        <v>89.57</v>
      </c>
      <c r="FL33" s="127">
        <f t="shared" si="38"/>
        <v>13.4355</v>
      </c>
      <c r="FM33" s="196">
        <v>5.19</v>
      </c>
      <c r="FN33" s="127">
        <f t="shared" si="31"/>
        <v>24.55</v>
      </c>
      <c r="FO33" s="127"/>
      <c r="FP33" s="127">
        <f t="shared" si="32"/>
        <v>7.63</v>
      </c>
      <c r="FQ33" s="127">
        <f t="shared" si="33"/>
        <v>82.59</v>
      </c>
      <c r="FR33" s="196">
        <v>32.18</v>
      </c>
      <c r="FS33" s="127"/>
      <c r="FT33" s="127"/>
      <c r="FU33" s="127"/>
      <c r="FV33" s="127"/>
      <c r="FW33" s="127"/>
      <c r="FX33" s="127"/>
      <c r="FY33" s="127"/>
      <c r="FZ33" s="127"/>
      <c r="GA33" s="127"/>
      <c r="GB33" s="127"/>
      <c r="GC33" s="127"/>
      <c r="GD33" s="127"/>
      <c r="GE33" s="127"/>
      <c r="GF33" s="127"/>
      <c r="GG33" s="127"/>
      <c r="GH33" s="127"/>
      <c r="GI33" s="127"/>
      <c r="GJ33" s="127"/>
      <c r="GK33" s="127"/>
      <c r="GL33" s="127"/>
      <c r="GM33" s="127"/>
      <c r="GN33" s="127"/>
      <c r="GO33" s="127"/>
      <c r="GP33" s="127"/>
      <c r="GQ33" s="127"/>
      <c r="GR33" s="127"/>
      <c r="GS33" s="127"/>
      <c r="GT33" s="127"/>
      <c r="GU33" s="127"/>
      <c r="GV33" s="127"/>
      <c r="GW33" s="127"/>
      <c r="GX33" s="127"/>
      <c r="GY33" s="127"/>
      <c r="GZ33" s="127"/>
    </row>
    <row r="34" spans="1:208">
      <c r="A34" s="172">
        <v>45825</v>
      </c>
      <c r="B34" s="20" t="s">
        <v>375</v>
      </c>
      <c r="C34" s="173" t="s">
        <v>398</v>
      </c>
      <c r="D34" s="174">
        <v>139.99</v>
      </c>
      <c r="E34" s="175">
        <v>89.57</v>
      </c>
      <c r="F34" s="176">
        <v>0.3</v>
      </c>
      <c r="G34" s="176">
        <v>0.15</v>
      </c>
      <c r="H34" s="177">
        <f t="shared" si="0"/>
        <v>83.29405</v>
      </c>
      <c r="I34" s="176">
        <v>0.08</v>
      </c>
      <c r="J34" s="178">
        <v>0.06</v>
      </c>
      <c r="K34" s="20">
        <v>20</v>
      </c>
      <c r="L34" s="20">
        <v>15</v>
      </c>
      <c r="M34" s="20">
        <f t="shared" si="39"/>
        <v>35</v>
      </c>
      <c r="N34" s="176">
        <f t="shared" si="1"/>
        <v>0.142857142857143</v>
      </c>
      <c r="O34" s="179">
        <f t="shared" si="2"/>
        <v>4</v>
      </c>
      <c r="P34" s="179">
        <f t="shared" si="3"/>
        <v>4</v>
      </c>
      <c r="Q34" s="20">
        <v>5</v>
      </c>
      <c r="R34" s="20">
        <v>5</v>
      </c>
      <c r="S34" s="20">
        <v>1</v>
      </c>
      <c r="T34" s="20">
        <v>1</v>
      </c>
      <c r="U34" s="176">
        <v>1</v>
      </c>
      <c r="V34" s="20">
        <v>0</v>
      </c>
      <c r="W34" s="174">
        <v>436.65</v>
      </c>
      <c r="X34" s="20">
        <v>31</v>
      </c>
      <c r="Y34" s="20" t="s">
        <v>84</v>
      </c>
      <c r="Z34" s="20">
        <v>40</v>
      </c>
      <c r="AA34" s="20" t="s">
        <v>84</v>
      </c>
      <c r="AB34" s="20">
        <v>76</v>
      </c>
      <c r="AC34" s="20" t="s">
        <v>84</v>
      </c>
      <c r="AD34" s="20">
        <v>28</v>
      </c>
      <c r="AE34" s="20">
        <v>17</v>
      </c>
      <c r="AF34" s="20">
        <v>13</v>
      </c>
      <c r="AG34" s="20">
        <v>17</v>
      </c>
      <c r="AH34" s="20">
        <v>35</v>
      </c>
      <c r="AI34" s="20" t="s">
        <v>84</v>
      </c>
      <c r="AJ34" s="20" t="s">
        <v>84</v>
      </c>
      <c r="AK34" s="20">
        <v>12</v>
      </c>
      <c r="AL34" s="20">
        <v>211</v>
      </c>
      <c r="AM34" s="180">
        <v>229620</v>
      </c>
      <c r="AN34" s="173">
        <v>339</v>
      </c>
      <c r="AO34" s="174">
        <v>11</v>
      </c>
      <c r="AP34" s="174">
        <v>5</v>
      </c>
      <c r="AQ34" s="174"/>
      <c r="AR34" s="174"/>
      <c r="AS34" s="181">
        <v>3924</v>
      </c>
      <c r="AT34" s="20">
        <v>25</v>
      </c>
      <c r="AU34" s="182">
        <f t="shared" si="4"/>
        <v>0.0063710499490316</v>
      </c>
      <c r="AV34" s="20">
        <v>0</v>
      </c>
      <c r="AW34" s="183">
        <f t="shared" si="5"/>
        <v>1.2228</v>
      </c>
      <c r="AX34" s="184">
        <f t="shared" si="6"/>
        <v>0</v>
      </c>
      <c r="AY34" s="176">
        <f t="shared" si="7"/>
        <v>0</v>
      </c>
      <c r="AZ34" s="185">
        <f t="shared" si="8"/>
        <v>0</v>
      </c>
      <c r="BA34" s="183">
        <v>30.57</v>
      </c>
      <c r="BB34" s="176">
        <f t="shared" si="40"/>
        <v>0</v>
      </c>
      <c r="BC34" s="179">
        <f t="shared" si="10"/>
        <v>0</v>
      </c>
      <c r="BD34" s="179">
        <v>0</v>
      </c>
      <c r="BE34" s="182">
        <v>0</v>
      </c>
      <c r="BF34" s="186">
        <f t="shared" si="11"/>
        <v>32.18</v>
      </c>
      <c r="BG34" s="186">
        <v>32.18</v>
      </c>
      <c r="BH34" s="187">
        <f t="shared" si="12"/>
        <v>107.14</v>
      </c>
      <c r="BI34" s="182">
        <f t="shared" si="13"/>
        <v>0.245368143822283</v>
      </c>
      <c r="BJ34" s="179">
        <f t="shared" si="14"/>
        <v>725</v>
      </c>
      <c r="BK34" s="179"/>
      <c r="BL34" s="179">
        <f t="shared" si="15"/>
        <v>21.58</v>
      </c>
      <c r="BM34" s="178"/>
      <c r="BN34" s="7"/>
      <c r="BO34" s="20"/>
      <c r="BP34" s="182"/>
      <c r="BQ34" s="182">
        <f t="shared" si="34"/>
        <v>0</v>
      </c>
      <c r="BR34" s="182">
        <f t="shared" si="16"/>
        <v>0.8</v>
      </c>
      <c r="BS34" s="182">
        <f t="shared" si="17"/>
        <v>0.714285714285714</v>
      </c>
      <c r="BT34" s="188">
        <f t="shared" si="18"/>
        <v>25</v>
      </c>
      <c r="BU34" s="20">
        <f t="shared" si="19"/>
        <v>35</v>
      </c>
      <c r="BV34" s="20">
        <f t="shared" si="20"/>
        <v>10</v>
      </c>
      <c r="BW34" s="185">
        <f t="shared" si="21"/>
        <v>0.285714285714286</v>
      </c>
      <c r="BX34" s="182">
        <f t="shared" si="22"/>
        <v>0.8</v>
      </c>
      <c r="BY34" s="182">
        <f t="shared" si="23"/>
        <v>0.8</v>
      </c>
      <c r="BZ34" s="182">
        <f t="shared" si="24"/>
        <v>0.8</v>
      </c>
      <c r="CA34" s="182">
        <f t="shared" si="25"/>
        <v>0</v>
      </c>
      <c r="CB34" s="189">
        <f t="shared" si="35"/>
        <v>0</v>
      </c>
      <c r="CC34" s="190">
        <f t="shared" si="36"/>
        <v>0.142857142857143</v>
      </c>
      <c r="CD34" s="190">
        <f t="shared" si="37"/>
        <v>0</v>
      </c>
      <c r="CE34" s="189">
        <v>0.08</v>
      </c>
      <c r="CF34" s="189">
        <v>0.08</v>
      </c>
      <c r="CG34" s="189">
        <v>0.08</v>
      </c>
      <c r="CH34" s="189">
        <v>0.08</v>
      </c>
      <c r="CI34" s="189">
        <v>0.05</v>
      </c>
      <c r="CJ34" s="189">
        <v>0.06</v>
      </c>
      <c r="CK34" s="189">
        <v>0.04</v>
      </c>
      <c r="CL34" s="191">
        <v>31</v>
      </c>
      <c r="CM34" s="191" t="s">
        <v>84</v>
      </c>
      <c r="CN34" s="191">
        <v>40</v>
      </c>
      <c r="CO34" s="191" t="s">
        <v>84</v>
      </c>
      <c r="CP34" s="191">
        <v>76</v>
      </c>
      <c r="CQ34" s="191" t="s">
        <v>84</v>
      </c>
      <c r="CR34" s="191">
        <v>28</v>
      </c>
      <c r="CS34" s="191">
        <v>17</v>
      </c>
      <c r="CT34" s="191">
        <v>13</v>
      </c>
      <c r="CU34" s="191">
        <v>17</v>
      </c>
      <c r="CV34" s="191">
        <v>35</v>
      </c>
      <c r="CW34" s="191" t="s">
        <v>84</v>
      </c>
      <c r="CX34" s="191" t="s">
        <v>84</v>
      </c>
      <c r="CY34" s="191">
        <v>12</v>
      </c>
      <c r="CZ34" s="127"/>
      <c r="DA34" s="127"/>
      <c r="DB34" s="127"/>
      <c r="DC34" s="127"/>
      <c r="DD34" s="127">
        <v>2.9</v>
      </c>
      <c r="DE34" s="127">
        <v>4.02</v>
      </c>
      <c r="DF34" s="127">
        <v>0.47</v>
      </c>
      <c r="DG34" s="127">
        <v>3.41</v>
      </c>
      <c r="DH34" s="127">
        <v>3.36</v>
      </c>
      <c r="DI34" s="127">
        <v>2.72</v>
      </c>
      <c r="DJ34" s="127">
        <v>0.34</v>
      </c>
      <c r="DK34" s="127"/>
      <c r="DL34" s="198">
        <v>0.0023</v>
      </c>
      <c r="DM34" s="198">
        <v>0.0025</v>
      </c>
      <c r="DN34" s="198">
        <v>0.0025</v>
      </c>
      <c r="DO34" s="198">
        <v>0.0025</v>
      </c>
      <c r="DP34" s="127"/>
      <c r="DQ34" s="192">
        <v>0.045</v>
      </c>
      <c r="DR34" s="192">
        <v>0.0508</v>
      </c>
      <c r="DS34" s="192">
        <v>0.0489</v>
      </c>
      <c r="DT34" s="192">
        <v>0.0486</v>
      </c>
      <c r="DU34" s="192">
        <v>0.061</v>
      </c>
      <c r="DV34" s="192">
        <v>0.0628</v>
      </c>
      <c r="DW34" s="127"/>
      <c r="DX34" s="192">
        <v>0.0175</v>
      </c>
      <c r="DY34" s="192">
        <v>0.0205</v>
      </c>
      <c r="DZ34" s="192">
        <v>0.0205</v>
      </c>
      <c r="EA34" s="192">
        <v>0.0205</v>
      </c>
      <c r="EB34" s="192">
        <v>0.031</v>
      </c>
      <c r="EC34" s="192">
        <v>0.0257</v>
      </c>
      <c r="ED34" s="127"/>
      <c r="EE34" s="127">
        <v>0.39</v>
      </c>
      <c r="EF34" s="127">
        <v>0.61</v>
      </c>
      <c r="EG34" s="127">
        <v>0.54</v>
      </c>
      <c r="EH34" s="127">
        <v>0.35</v>
      </c>
      <c r="EI34" s="127">
        <v>0.58</v>
      </c>
      <c r="EJ34" s="127">
        <v>0.55</v>
      </c>
      <c r="EK34" s="127"/>
      <c r="EL34" s="127"/>
      <c r="EM34" s="127"/>
      <c r="EN34" s="127"/>
      <c r="EO34" s="127"/>
      <c r="EP34" s="127"/>
      <c r="EQ34" s="127"/>
      <c r="ER34" s="127"/>
      <c r="ES34" s="127"/>
      <c r="ET34" s="127"/>
      <c r="EU34" s="127"/>
      <c r="EV34" s="127"/>
      <c r="EW34" s="127"/>
      <c r="EX34" s="127"/>
      <c r="EY34" s="127"/>
      <c r="EZ34" s="127">
        <v>0.55</v>
      </c>
      <c r="FA34" s="192">
        <f t="shared" si="26"/>
        <v>0.0063710499490316</v>
      </c>
      <c r="FB34" s="192">
        <v>0.0025</v>
      </c>
      <c r="FC34" s="192">
        <f t="shared" si="27"/>
        <v>0.142857142857143</v>
      </c>
      <c r="FD34" s="192">
        <f t="shared" si="28"/>
        <v>0</v>
      </c>
      <c r="FE34" s="193">
        <f t="shared" si="29"/>
        <v>0.8</v>
      </c>
      <c r="FF34" s="127"/>
      <c r="FG34" s="127"/>
      <c r="FH34" s="127"/>
      <c r="FI34" s="194">
        <v>0.045</v>
      </c>
      <c r="FJ34" s="194">
        <f t="shared" si="30"/>
        <v>0.142857142857143</v>
      </c>
      <c r="FK34" s="196">
        <v>89.57</v>
      </c>
      <c r="FL34" s="127">
        <f t="shared" si="38"/>
        <v>13.4355</v>
      </c>
      <c r="FM34" s="196">
        <v>5.19</v>
      </c>
      <c r="FN34" s="127">
        <f t="shared" si="31"/>
        <v>30.57</v>
      </c>
      <c r="FO34" s="127"/>
      <c r="FP34" s="127">
        <f t="shared" si="32"/>
        <v>32.18</v>
      </c>
      <c r="FQ34" s="127">
        <f t="shared" si="33"/>
        <v>107.14</v>
      </c>
      <c r="FR34" s="196">
        <v>32.18</v>
      </c>
      <c r="FS34" s="127"/>
      <c r="FT34" s="127"/>
      <c r="FU34" s="127"/>
      <c r="FV34" s="127"/>
      <c r="FW34" s="127"/>
      <c r="FX34" s="127"/>
      <c r="FY34" s="127"/>
      <c r="FZ34" s="127"/>
      <c r="GA34" s="127"/>
      <c r="GB34" s="127"/>
      <c r="GC34" s="127"/>
      <c r="GD34" s="127"/>
      <c r="GE34" s="127"/>
      <c r="GF34" s="127"/>
      <c r="GG34" s="127"/>
      <c r="GH34" s="127"/>
      <c r="GI34" s="127"/>
      <c r="GJ34" s="127"/>
      <c r="GK34" s="127"/>
      <c r="GL34" s="127"/>
      <c r="GM34" s="127"/>
      <c r="GN34" s="127"/>
      <c r="GO34" s="127"/>
      <c r="GP34" s="127"/>
      <c r="GQ34" s="127"/>
      <c r="GR34" s="127"/>
      <c r="GS34" s="127"/>
      <c r="GT34" s="127"/>
      <c r="GU34" s="127"/>
      <c r="GV34" s="127"/>
      <c r="GW34" s="127"/>
      <c r="GX34" s="127"/>
      <c r="GY34" s="127"/>
      <c r="GZ34" s="127"/>
    </row>
    <row r="35" spans="1:208">
      <c r="A35" s="172">
        <v>45826</v>
      </c>
      <c r="B35" s="20" t="s">
        <v>377</v>
      </c>
      <c r="C35" s="173" t="s">
        <v>399</v>
      </c>
      <c r="D35" s="174">
        <v>139.99</v>
      </c>
      <c r="E35" s="175">
        <v>89.57</v>
      </c>
      <c r="F35" s="176">
        <v>0.3</v>
      </c>
      <c r="G35" s="176">
        <v>0.15</v>
      </c>
      <c r="H35" s="177">
        <f t="shared" si="0"/>
        <v>83.29405</v>
      </c>
      <c r="I35" s="176">
        <v>0.08</v>
      </c>
      <c r="J35" s="178">
        <v>0.06</v>
      </c>
      <c r="K35" s="20">
        <v>38</v>
      </c>
      <c r="L35" s="20">
        <v>23</v>
      </c>
      <c r="M35" s="20">
        <f t="shared" si="39"/>
        <v>61</v>
      </c>
      <c r="N35" s="176">
        <f t="shared" si="1"/>
        <v>0.131147540983607</v>
      </c>
      <c r="O35" s="179">
        <f t="shared" si="2"/>
        <v>8</v>
      </c>
      <c r="P35" s="179">
        <f t="shared" si="3"/>
        <v>8</v>
      </c>
      <c r="Q35" s="20">
        <v>8</v>
      </c>
      <c r="R35" s="20">
        <v>8</v>
      </c>
      <c r="S35" s="20">
        <v>0</v>
      </c>
      <c r="T35" s="20">
        <v>0</v>
      </c>
      <c r="U35" s="176">
        <v>0</v>
      </c>
      <c r="V35" s="20">
        <v>0</v>
      </c>
      <c r="W35" s="174">
        <v>698.64</v>
      </c>
      <c r="X35" s="20">
        <v>25</v>
      </c>
      <c r="Y35" s="20" t="s">
        <v>84</v>
      </c>
      <c r="Z35" s="20">
        <v>34</v>
      </c>
      <c r="AA35" s="20" t="s">
        <v>84</v>
      </c>
      <c r="AB35" s="20">
        <v>80</v>
      </c>
      <c r="AC35" s="20" t="s">
        <v>84</v>
      </c>
      <c r="AD35" s="20">
        <v>26</v>
      </c>
      <c r="AE35" s="20">
        <v>16</v>
      </c>
      <c r="AF35" s="20" t="s">
        <v>84</v>
      </c>
      <c r="AG35" s="20" t="s">
        <v>84</v>
      </c>
      <c r="AH35" s="20">
        <v>26</v>
      </c>
      <c r="AI35" s="20">
        <v>18</v>
      </c>
      <c r="AJ35" s="20" t="s">
        <v>84</v>
      </c>
      <c r="AK35" s="20">
        <v>10</v>
      </c>
      <c r="AL35" s="174">
        <v>211</v>
      </c>
      <c r="AM35" s="180">
        <v>139191</v>
      </c>
      <c r="AN35" s="173">
        <v>214</v>
      </c>
      <c r="AO35" s="174">
        <v>12</v>
      </c>
      <c r="AP35" s="174">
        <v>5</v>
      </c>
      <c r="AQ35" s="174"/>
      <c r="AR35" s="174"/>
      <c r="AS35" s="181">
        <v>8662</v>
      </c>
      <c r="AT35" s="20">
        <v>52</v>
      </c>
      <c r="AU35" s="182">
        <f t="shared" si="4"/>
        <v>0.00600323250981298</v>
      </c>
      <c r="AV35" s="20">
        <v>0</v>
      </c>
      <c r="AW35" s="183">
        <f t="shared" si="5"/>
        <v>0.873269230769231</v>
      </c>
      <c r="AX35" s="184">
        <f t="shared" si="6"/>
        <v>0</v>
      </c>
      <c r="AY35" s="176">
        <f t="shared" si="7"/>
        <v>0</v>
      </c>
      <c r="AZ35" s="185">
        <f t="shared" si="8"/>
        <v>0</v>
      </c>
      <c r="BA35" s="183">
        <v>45.41</v>
      </c>
      <c r="BB35" s="176">
        <f t="shared" si="40"/>
        <v>0</v>
      </c>
      <c r="BC35" s="179">
        <f t="shared" si="10"/>
        <v>0</v>
      </c>
      <c r="BD35" s="179">
        <v>0</v>
      </c>
      <c r="BE35" s="182">
        <v>0</v>
      </c>
      <c r="BF35" s="186">
        <f t="shared" si="11"/>
        <v>32.18</v>
      </c>
      <c r="BG35" s="186">
        <v>32.18</v>
      </c>
      <c r="BH35" s="187">
        <f t="shared" si="12"/>
        <v>257.44</v>
      </c>
      <c r="BI35" s="182">
        <f t="shared" si="13"/>
        <v>0.368487346845299</v>
      </c>
      <c r="BJ35" s="179">
        <f t="shared" si="14"/>
        <v>1160</v>
      </c>
      <c r="BK35" s="179"/>
      <c r="BL35" s="179">
        <f t="shared" si="15"/>
        <v>0</v>
      </c>
      <c r="BM35" s="178"/>
      <c r="BN35" s="7"/>
      <c r="BO35" s="20"/>
      <c r="BP35" s="182"/>
      <c r="BQ35" s="182">
        <f t="shared" si="34"/>
        <v>0</v>
      </c>
      <c r="BR35" s="182">
        <f t="shared" si="16"/>
        <v>1</v>
      </c>
      <c r="BS35" s="182">
        <f t="shared" si="17"/>
        <v>0.852459016393443</v>
      </c>
      <c r="BT35" s="188">
        <f t="shared" si="18"/>
        <v>52</v>
      </c>
      <c r="BU35" s="20">
        <f t="shared" si="19"/>
        <v>61</v>
      </c>
      <c r="BV35" s="20">
        <f t="shared" si="20"/>
        <v>9</v>
      </c>
      <c r="BW35" s="185">
        <f t="shared" si="21"/>
        <v>0.147540983606557</v>
      </c>
      <c r="BX35" s="182">
        <f t="shared" si="22"/>
        <v>1</v>
      </c>
      <c r="BY35" s="182">
        <f t="shared" si="23"/>
        <v>1</v>
      </c>
      <c r="BZ35" s="182">
        <f t="shared" si="24"/>
        <v>1</v>
      </c>
      <c r="CA35" s="182">
        <f t="shared" si="25"/>
        <v>0</v>
      </c>
      <c r="CB35" s="189">
        <f t="shared" si="35"/>
        <v>0</v>
      </c>
      <c r="CC35" s="190">
        <f t="shared" si="36"/>
        <v>0.131147540983607</v>
      </c>
      <c r="CD35" s="190">
        <f t="shared" si="37"/>
        <v>0</v>
      </c>
      <c r="CE35" s="189">
        <v>0.08</v>
      </c>
      <c r="CF35" s="189">
        <v>0.08</v>
      </c>
      <c r="CG35" s="189">
        <v>0.08</v>
      </c>
      <c r="CH35" s="189">
        <v>0.08</v>
      </c>
      <c r="CI35" s="189">
        <v>0.05</v>
      </c>
      <c r="CJ35" s="189">
        <v>0.06</v>
      </c>
      <c r="CK35" s="189">
        <v>0.04</v>
      </c>
      <c r="CL35" s="191">
        <v>25</v>
      </c>
      <c r="CM35" s="191" t="s">
        <v>84</v>
      </c>
      <c r="CN35" s="191">
        <v>34</v>
      </c>
      <c r="CO35" s="191" t="s">
        <v>84</v>
      </c>
      <c r="CP35" s="191">
        <v>80</v>
      </c>
      <c r="CQ35" s="191" t="s">
        <v>84</v>
      </c>
      <c r="CR35" s="191">
        <v>26</v>
      </c>
      <c r="CS35" s="191">
        <v>16</v>
      </c>
      <c r="CT35" s="191" t="s">
        <v>84</v>
      </c>
      <c r="CU35" s="191" t="s">
        <v>84</v>
      </c>
      <c r="CV35" s="191">
        <v>26</v>
      </c>
      <c r="CW35" s="191">
        <v>18</v>
      </c>
      <c r="CX35" s="191" t="s">
        <v>84</v>
      </c>
      <c r="CY35" s="191">
        <v>10</v>
      </c>
      <c r="CZ35" s="127"/>
      <c r="DA35" s="127"/>
      <c r="DB35" s="127"/>
      <c r="DC35" s="127"/>
      <c r="DD35" s="127">
        <v>2.9</v>
      </c>
      <c r="DE35" s="127">
        <v>4.02</v>
      </c>
      <c r="DF35" s="127">
        <v>0.47</v>
      </c>
      <c r="DG35" s="127">
        <v>3.41</v>
      </c>
      <c r="DH35" s="127">
        <v>3.36</v>
      </c>
      <c r="DI35" s="127">
        <v>2.72</v>
      </c>
      <c r="DJ35" s="127">
        <v>0.34</v>
      </c>
      <c r="DK35" s="127"/>
      <c r="DL35" s="198">
        <v>0.0023</v>
      </c>
      <c r="DM35" s="198">
        <v>0.0025</v>
      </c>
      <c r="DN35" s="198">
        <v>0.0025</v>
      </c>
      <c r="DO35" s="198">
        <v>0.0025</v>
      </c>
      <c r="DP35" s="127"/>
      <c r="DQ35" s="192">
        <v>0.045</v>
      </c>
      <c r="DR35" s="192">
        <v>0.0508</v>
      </c>
      <c r="DS35" s="192">
        <v>0.0489</v>
      </c>
      <c r="DT35" s="192">
        <v>0.0486</v>
      </c>
      <c r="DU35" s="192">
        <v>0.061</v>
      </c>
      <c r="DV35" s="192">
        <v>0.0628</v>
      </c>
      <c r="DW35" s="127"/>
      <c r="DX35" s="192">
        <v>0.0175</v>
      </c>
      <c r="DY35" s="192">
        <v>0.0205</v>
      </c>
      <c r="DZ35" s="192">
        <v>0.0205</v>
      </c>
      <c r="EA35" s="192">
        <v>0.0205</v>
      </c>
      <c r="EB35" s="192">
        <v>0.031</v>
      </c>
      <c r="EC35" s="192">
        <v>0.0257</v>
      </c>
      <c r="ED35" s="127"/>
      <c r="EE35" s="127">
        <v>0.39</v>
      </c>
      <c r="EF35" s="127">
        <v>0.61</v>
      </c>
      <c r="EG35" s="127">
        <v>0.54</v>
      </c>
      <c r="EH35" s="127">
        <v>0.35</v>
      </c>
      <c r="EI35" s="127">
        <v>0.58</v>
      </c>
      <c r="EJ35" s="127">
        <v>0.55</v>
      </c>
      <c r="EK35" s="127"/>
      <c r="EL35" s="127"/>
      <c r="EM35" s="127"/>
      <c r="EN35" s="127"/>
      <c r="EO35" s="127"/>
      <c r="EP35" s="127"/>
      <c r="EQ35" s="127"/>
      <c r="ER35" s="127"/>
      <c r="ES35" s="127"/>
      <c r="ET35" s="127"/>
      <c r="EU35" s="127"/>
      <c r="EV35" s="127"/>
      <c r="EW35" s="127"/>
      <c r="EX35" s="127"/>
      <c r="EY35" s="127"/>
      <c r="EZ35" s="127">
        <v>0.55</v>
      </c>
      <c r="FA35" s="192">
        <f t="shared" si="26"/>
        <v>0.00600323250981298</v>
      </c>
      <c r="FB35" s="192">
        <v>0.0025</v>
      </c>
      <c r="FC35" s="192">
        <f t="shared" si="27"/>
        <v>0.131147540983607</v>
      </c>
      <c r="FD35" s="192">
        <f t="shared" si="28"/>
        <v>0</v>
      </c>
      <c r="FE35" s="193">
        <f t="shared" si="29"/>
        <v>1</v>
      </c>
      <c r="FF35" s="127"/>
      <c r="FG35" s="127"/>
      <c r="FH35" s="127"/>
      <c r="FI35" s="194">
        <v>0.045</v>
      </c>
      <c r="FJ35" s="194">
        <f t="shared" si="30"/>
        <v>0.131147540983607</v>
      </c>
      <c r="FK35" s="196">
        <v>89.57</v>
      </c>
      <c r="FL35" s="127">
        <f t="shared" si="38"/>
        <v>13.4355</v>
      </c>
      <c r="FM35" s="196">
        <v>5.19</v>
      </c>
      <c r="FN35" s="127">
        <f t="shared" si="31"/>
        <v>45.41</v>
      </c>
      <c r="FO35" s="127"/>
      <c r="FP35" s="127">
        <f t="shared" si="32"/>
        <v>32.18</v>
      </c>
      <c r="FQ35" s="127">
        <f t="shared" si="33"/>
        <v>257.44</v>
      </c>
      <c r="FR35" s="196">
        <v>32.18</v>
      </c>
      <c r="FS35" s="127"/>
      <c r="FT35" s="127"/>
      <c r="FU35" s="127"/>
      <c r="FV35" s="127"/>
      <c r="FW35" s="127"/>
      <c r="FX35" s="127"/>
      <c r="FY35" s="127"/>
      <c r="FZ35" s="127"/>
      <c r="GA35" s="127"/>
      <c r="GB35" s="127"/>
      <c r="GC35" s="127"/>
      <c r="GD35" s="127"/>
      <c r="GE35" s="127"/>
      <c r="GF35" s="127"/>
      <c r="GG35" s="127"/>
      <c r="GH35" s="127"/>
      <c r="GI35" s="127"/>
      <c r="GJ35" s="127"/>
      <c r="GK35" s="127"/>
      <c r="GL35" s="127"/>
      <c r="GM35" s="127"/>
      <c r="GN35" s="127"/>
      <c r="GO35" s="127"/>
      <c r="GP35" s="127"/>
      <c r="GQ35" s="127"/>
      <c r="GR35" s="127"/>
      <c r="GS35" s="127"/>
      <c r="GT35" s="127"/>
      <c r="GU35" s="127"/>
      <c r="GV35" s="127"/>
      <c r="GW35" s="127"/>
      <c r="GX35" s="127"/>
      <c r="GY35" s="127"/>
      <c r="GZ35" s="127"/>
    </row>
    <row r="36" spans="1:208">
      <c r="A36" s="172">
        <v>45827</v>
      </c>
      <c r="B36" s="20" t="s">
        <v>379</v>
      </c>
      <c r="C36" s="173" t="s">
        <v>400</v>
      </c>
      <c r="D36" s="174">
        <v>139.99</v>
      </c>
      <c r="E36" s="175">
        <v>89.57</v>
      </c>
      <c r="F36" s="176">
        <v>0.3</v>
      </c>
      <c r="G36" s="176">
        <v>0.15</v>
      </c>
      <c r="H36" s="177">
        <f t="shared" si="0"/>
        <v>83.29405</v>
      </c>
      <c r="I36" s="176">
        <v>0.08</v>
      </c>
      <c r="J36" s="178">
        <v>0.06</v>
      </c>
      <c r="K36" s="20">
        <v>28</v>
      </c>
      <c r="L36" s="20">
        <v>8</v>
      </c>
      <c r="M36" s="20">
        <f t="shared" si="39"/>
        <v>36</v>
      </c>
      <c r="N36" s="176">
        <f t="shared" si="1"/>
        <v>0.138888888888889</v>
      </c>
      <c r="O36" s="179">
        <f t="shared" si="2"/>
        <v>4</v>
      </c>
      <c r="P36" s="179">
        <f t="shared" si="3"/>
        <v>5</v>
      </c>
      <c r="Q36" s="20">
        <v>5</v>
      </c>
      <c r="R36" s="20">
        <v>5</v>
      </c>
      <c r="S36" s="20">
        <v>0</v>
      </c>
      <c r="T36" s="20">
        <v>0</v>
      </c>
      <c r="U36" s="176">
        <v>0</v>
      </c>
      <c r="V36" s="20">
        <v>0</v>
      </c>
      <c r="W36" s="174">
        <v>436.65</v>
      </c>
      <c r="X36" s="20">
        <v>21</v>
      </c>
      <c r="Y36" s="20">
        <v>10</v>
      </c>
      <c r="Z36" s="20">
        <v>41</v>
      </c>
      <c r="AA36" s="20" t="s">
        <v>84</v>
      </c>
      <c r="AB36" s="20">
        <v>86</v>
      </c>
      <c r="AC36" s="20" t="s">
        <v>84</v>
      </c>
      <c r="AD36" s="20">
        <v>21</v>
      </c>
      <c r="AE36" s="20">
        <v>17</v>
      </c>
      <c r="AF36" s="20">
        <v>16</v>
      </c>
      <c r="AG36" s="20">
        <v>16</v>
      </c>
      <c r="AH36" s="20">
        <v>31</v>
      </c>
      <c r="AI36" s="20" t="s">
        <v>84</v>
      </c>
      <c r="AJ36" s="20" t="s">
        <v>84</v>
      </c>
      <c r="AK36" s="20">
        <v>5</v>
      </c>
      <c r="AL36" s="174">
        <v>211</v>
      </c>
      <c r="AM36" s="180">
        <v>135571</v>
      </c>
      <c r="AN36" s="173">
        <v>214</v>
      </c>
      <c r="AO36" s="174">
        <v>12</v>
      </c>
      <c r="AP36" s="174">
        <v>5</v>
      </c>
      <c r="AQ36" s="174"/>
      <c r="AR36" s="174"/>
      <c r="AS36" s="181">
        <v>8749</v>
      </c>
      <c r="AT36" s="20">
        <v>22</v>
      </c>
      <c r="AU36" s="182">
        <f t="shared" si="4"/>
        <v>0.00251457309406789</v>
      </c>
      <c r="AV36" s="20">
        <v>1</v>
      </c>
      <c r="AW36" s="183">
        <f t="shared" si="5"/>
        <v>1.17636363636364</v>
      </c>
      <c r="AX36" s="184">
        <f t="shared" si="6"/>
        <v>0</v>
      </c>
      <c r="AY36" s="176">
        <f t="shared" si="7"/>
        <v>0.0454545454545455</v>
      </c>
      <c r="AZ36" s="185">
        <f t="shared" si="8"/>
        <v>0.2</v>
      </c>
      <c r="BA36" s="183">
        <v>25.88</v>
      </c>
      <c r="BB36" s="176">
        <f t="shared" si="40"/>
        <v>0</v>
      </c>
      <c r="BC36" s="179">
        <f t="shared" si="10"/>
        <v>25.88</v>
      </c>
      <c r="BD36" s="179">
        <v>0</v>
      </c>
      <c r="BE36" s="182">
        <v>0</v>
      </c>
      <c r="BF36" s="186">
        <f t="shared" si="11"/>
        <v>6.3</v>
      </c>
      <c r="BG36" s="186">
        <v>32.18</v>
      </c>
      <c r="BH36" s="187">
        <f t="shared" si="12"/>
        <v>135.02</v>
      </c>
      <c r="BI36" s="182">
        <f t="shared" si="13"/>
        <v>0.309217909080499</v>
      </c>
      <c r="BJ36" s="179">
        <f t="shared" si="14"/>
        <v>725</v>
      </c>
      <c r="BK36" s="179"/>
      <c r="BL36" s="179">
        <f t="shared" si="15"/>
        <v>0</v>
      </c>
      <c r="BM36" s="178"/>
      <c r="BN36" s="7"/>
      <c r="BO36" s="20"/>
      <c r="BP36" s="182"/>
      <c r="BQ36" s="182">
        <f t="shared" si="34"/>
        <v>0.2</v>
      </c>
      <c r="BR36" s="182">
        <f t="shared" si="16"/>
        <v>0.8</v>
      </c>
      <c r="BS36" s="182">
        <f t="shared" si="17"/>
        <v>0.611111111111111</v>
      </c>
      <c r="BT36" s="188">
        <f t="shared" si="18"/>
        <v>22</v>
      </c>
      <c r="BU36" s="20">
        <f t="shared" si="19"/>
        <v>36</v>
      </c>
      <c r="BV36" s="20">
        <f t="shared" si="20"/>
        <v>14</v>
      </c>
      <c r="BW36" s="185">
        <f t="shared" si="21"/>
        <v>0.388888888888889</v>
      </c>
      <c r="BX36" s="182">
        <f t="shared" si="22"/>
        <v>0.8</v>
      </c>
      <c r="BY36" s="182">
        <f t="shared" si="23"/>
        <v>1</v>
      </c>
      <c r="BZ36" s="182">
        <f t="shared" si="24"/>
        <v>0.8</v>
      </c>
      <c r="CA36" s="182">
        <f t="shared" si="25"/>
        <v>0.2</v>
      </c>
      <c r="CB36" s="189">
        <f t="shared" ref="CB36:CB62" si="41">IFERROR(CA36/BZ36,0)</f>
        <v>0.25</v>
      </c>
      <c r="CC36" s="190">
        <f t="shared" ref="CC36:CC62" si="42">N36</f>
        <v>0.138888888888889</v>
      </c>
      <c r="CD36" s="190">
        <f t="shared" ref="CD36:CD62" si="43">AY36</f>
        <v>0.0454545454545455</v>
      </c>
      <c r="CE36" s="189">
        <v>0.08</v>
      </c>
      <c r="CF36" s="189">
        <v>0.08</v>
      </c>
      <c r="CG36" s="189">
        <v>0.08</v>
      </c>
      <c r="CH36" s="189">
        <v>0.08</v>
      </c>
      <c r="CI36" s="189">
        <v>0.05</v>
      </c>
      <c r="CJ36" s="189">
        <v>0.06</v>
      </c>
      <c r="CK36" s="189">
        <v>0.04</v>
      </c>
      <c r="CL36" s="191">
        <v>21</v>
      </c>
      <c r="CM36" s="191">
        <v>10</v>
      </c>
      <c r="CN36" s="191">
        <v>41</v>
      </c>
      <c r="CO36" s="191" t="s">
        <v>84</v>
      </c>
      <c r="CP36" s="191">
        <v>86</v>
      </c>
      <c r="CQ36" s="191" t="s">
        <v>84</v>
      </c>
      <c r="CR36" s="191">
        <v>21</v>
      </c>
      <c r="CS36" s="191">
        <v>17</v>
      </c>
      <c r="CT36" s="191">
        <v>16</v>
      </c>
      <c r="CU36" s="191">
        <v>16</v>
      </c>
      <c r="CV36" s="191">
        <v>31</v>
      </c>
      <c r="CW36" s="191" t="s">
        <v>84</v>
      </c>
      <c r="CX36" s="191" t="s">
        <v>84</v>
      </c>
      <c r="CY36" s="191">
        <v>5</v>
      </c>
      <c r="CZ36" s="127"/>
      <c r="DA36" s="127"/>
      <c r="DB36" s="127"/>
      <c r="DC36" s="127"/>
      <c r="DD36" s="127">
        <v>2.9</v>
      </c>
      <c r="DE36" s="127">
        <v>4.02</v>
      </c>
      <c r="DF36" s="127">
        <v>0.47</v>
      </c>
      <c r="DG36" s="127">
        <v>3.41</v>
      </c>
      <c r="DH36" s="127">
        <v>3.36</v>
      </c>
      <c r="DI36" s="127">
        <v>2.72</v>
      </c>
      <c r="DJ36" s="127">
        <v>0.34</v>
      </c>
      <c r="DK36" s="127"/>
      <c r="DL36" s="198">
        <v>0.0023</v>
      </c>
      <c r="DM36" s="198">
        <v>0.0025</v>
      </c>
      <c r="DN36" s="198">
        <v>0.0025</v>
      </c>
      <c r="DO36" s="198">
        <v>0.0025</v>
      </c>
      <c r="DP36" s="127"/>
      <c r="DQ36" s="192">
        <v>0.045</v>
      </c>
      <c r="DR36" s="192">
        <v>0.0508</v>
      </c>
      <c r="DS36" s="192">
        <v>0.0489</v>
      </c>
      <c r="DT36" s="192">
        <v>0.0486</v>
      </c>
      <c r="DU36" s="192">
        <v>0.061</v>
      </c>
      <c r="DV36" s="192">
        <v>0.0628</v>
      </c>
      <c r="DW36" s="127"/>
      <c r="DX36" s="192">
        <v>0.0175</v>
      </c>
      <c r="DY36" s="192">
        <v>0.0205</v>
      </c>
      <c r="DZ36" s="192">
        <v>0.0205</v>
      </c>
      <c r="EA36" s="192">
        <v>0.0205</v>
      </c>
      <c r="EB36" s="192">
        <v>0.031</v>
      </c>
      <c r="EC36" s="192">
        <v>0.0257</v>
      </c>
      <c r="ED36" s="127"/>
      <c r="EE36" s="127">
        <v>0.39</v>
      </c>
      <c r="EF36" s="127">
        <v>0.61</v>
      </c>
      <c r="EG36" s="127">
        <v>0.54</v>
      </c>
      <c r="EH36" s="127">
        <v>0.35</v>
      </c>
      <c r="EI36" s="127">
        <v>0.58</v>
      </c>
      <c r="EJ36" s="127">
        <v>0.55</v>
      </c>
      <c r="EK36" s="127"/>
      <c r="EL36" s="127"/>
      <c r="EM36" s="127"/>
      <c r="EN36" s="127"/>
      <c r="EO36" s="127"/>
      <c r="EP36" s="127"/>
      <c r="EQ36" s="127"/>
      <c r="ER36" s="127"/>
      <c r="ES36" s="127"/>
      <c r="ET36" s="127"/>
      <c r="EU36" s="127"/>
      <c r="EV36" s="127"/>
      <c r="EW36" s="127"/>
      <c r="EX36" s="127"/>
      <c r="EY36" s="127"/>
      <c r="EZ36" s="127">
        <v>0.55</v>
      </c>
      <c r="FA36" s="192">
        <f t="shared" si="26"/>
        <v>0.00251457309406789</v>
      </c>
      <c r="FB36" s="192">
        <v>0.0025</v>
      </c>
      <c r="FC36" s="192">
        <f t="shared" si="27"/>
        <v>0.138888888888889</v>
      </c>
      <c r="FD36" s="192">
        <f t="shared" si="28"/>
        <v>0.0454545454545455</v>
      </c>
      <c r="FE36" s="193">
        <f t="shared" si="29"/>
        <v>0.8</v>
      </c>
      <c r="FF36" s="127"/>
      <c r="FG36" s="127"/>
      <c r="FH36" s="127"/>
      <c r="FI36" s="194">
        <v>0.045</v>
      </c>
      <c r="FJ36" s="194">
        <f t="shared" si="30"/>
        <v>0.138888888888889</v>
      </c>
      <c r="FK36" s="196">
        <v>89.57</v>
      </c>
      <c r="FL36" s="127">
        <f t="shared" si="38"/>
        <v>13.4355</v>
      </c>
      <c r="FM36" s="196">
        <v>5.19</v>
      </c>
      <c r="FN36" s="127">
        <f t="shared" si="31"/>
        <v>25.88</v>
      </c>
      <c r="FO36" s="127"/>
      <c r="FP36" s="127">
        <f t="shared" si="32"/>
        <v>6.3</v>
      </c>
      <c r="FQ36" s="127">
        <f t="shared" si="33"/>
        <v>135.02</v>
      </c>
      <c r="FR36" s="196">
        <v>32.18</v>
      </c>
      <c r="FS36" s="127"/>
      <c r="FT36" s="127"/>
      <c r="FU36" s="127"/>
      <c r="FV36" s="127"/>
      <c r="FW36" s="127"/>
      <c r="FX36" s="127"/>
      <c r="FY36" s="127"/>
      <c r="FZ36" s="127"/>
      <c r="GA36" s="127"/>
      <c r="GB36" s="127"/>
      <c r="GC36" s="127"/>
      <c r="GD36" s="127"/>
      <c r="GE36" s="127"/>
      <c r="GF36" s="127"/>
      <c r="GG36" s="127"/>
      <c r="GH36" s="127"/>
      <c r="GI36" s="127"/>
      <c r="GJ36" s="127"/>
      <c r="GK36" s="127"/>
      <c r="GL36" s="127"/>
      <c r="GM36" s="127"/>
      <c r="GN36" s="127"/>
      <c r="GO36" s="127"/>
      <c r="GP36" s="127"/>
      <c r="GQ36" s="127"/>
      <c r="GR36" s="127"/>
      <c r="GS36" s="127"/>
      <c r="GT36" s="127"/>
      <c r="GU36" s="127"/>
      <c r="GV36" s="127"/>
      <c r="GW36" s="127"/>
      <c r="GX36" s="127"/>
      <c r="GY36" s="127"/>
      <c r="GZ36" s="127"/>
    </row>
    <row r="37" spans="1:208">
      <c r="A37" s="172">
        <v>45828</v>
      </c>
      <c r="B37" s="20" t="s">
        <v>381</v>
      </c>
      <c r="C37" s="173" t="s">
        <v>393</v>
      </c>
      <c r="D37" s="174">
        <v>139.99</v>
      </c>
      <c r="E37" s="175">
        <v>89.57</v>
      </c>
      <c r="F37" s="176">
        <v>0.3</v>
      </c>
      <c r="G37" s="176">
        <v>0.15</v>
      </c>
      <c r="H37" s="177">
        <f t="shared" si="0"/>
        <v>83.29405</v>
      </c>
      <c r="I37" s="176">
        <v>0.08</v>
      </c>
      <c r="J37" s="178">
        <v>0.06</v>
      </c>
      <c r="K37" s="20">
        <v>45</v>
      </c>
      <c r="L37" s="20">
        <v>23</v>
      </c>
      <c r="M37" s="20">
        <f t="shared" si="39"/>
        <v>68</v>
      </c>
      <c r="N37" s="176">
        <f t="shared" si="1"/>
        <v>0.117647058823529</v>
      </c>
      <c r="O37" s="179">
        <f t="shared" si="2"/>
        <v>7</v>
      </c>
      <c r="P37" s="179">
        <f t="shared" si="3"/>
        <v>8</v>
      </c>
      <c r="Q37" s="20">
        <v>8</v>
      </c>
      <c r="R37" s="20">
        <v>8</v>
      </c>
      <c r="S37" s="20">
        <v>0</v>
      </c>
      <c r="T37" s="20">
        <v>0</v>
      </c>
      <c r="U37" s="176">
        <v>0</v>
      </c>
      <c r="V37" s="20">
        <v>0</v>
      </c>
      <c r="W37" s="174">
        <v>698.64</v>
      </c>
      <c r="X37" s="20">
        <v>23</v>
      </c>
      <c r="Y37" s="20">
        <v>16</v>
      </c>
      <c r="Z37" s="20">
        <v>39</v>
      </c>
      <c r="AA37" s="20" t="s">
        <v>84</v>
      </c>
      <c r="AB37" s="20">
        <v>92</v>
      </c>
      <c r="AC37" s="20" t="s">
        <v>84</v>
      </c>
      <c r="AD37" s="20">
        <v>25</v>
      </c>
      <c r="AE37" s="20">
        <v>9</v>
      </c>
      <c r="AF37" s="20" t="s">
        <v>84</v>
      </c>
      <c r="AG37" s="20">
        <v>10</v>
      </c>
      <c r="AH37" s="20">
        <v>30</v>
      </c>
      <c r="AI37" s="20">
        <v>15</v>
      </c>
      <c r="AJ37" s="20" t="s">
        <v>84</v>
      </c>
      <c r="AK37" s="20">
        <v>11</v>
      </c>
      <c r="AL37" s="174">
        <v>211</v>
      </c>
      <c r="AM37" s="180">
        <v>186356</v>
      </c>
      <c r="AN37" s="173">
        <v>264</v>
      </c>
      <c r="AO37" s="174">
        <v>12</v>
      </c>
      <c r="AP37" s="174">
        <v>5</v>
      </c>
      <c r="AQ37" s="174"/>
      <c r="AR37" s="174"/>
      <c r="AS37" s="181">
        <v>17118</v>
      </c>
      <c r="AT37" s="20">
        <v>66</v>
      </c>
      <c r="AU37" s="182">
        <f t="shared" si="4"/>
        <v>0.00385559060637925</v>
      </c>
      <c r="AV37" s="20">
        <v>1</v>
      </c>
      <c r="AW37" s="183">
        <f t="shared" si="5"/>
        <v>1.12484848484848</v>
      </c>
      <c r="AX37" s="184">
        <f t="shared" si="6"/>
        <v>0</v>
      </c>
      <c r="AY37" s="176">
        <f t="shared" si="7"/>
        <v>0.0151515151515152</v>
      </c>
      <c r="AZ37" s="185">
        <f t="shared" si="8"/>
        <v>0.125</v>
      </c>
      <c r="BA37" s="183">
        <v>74.24</v>
      </c>
      <c r="BB37" s="176">
        <f t="shared" si="40"/>
        <v>0</v>
      </c>
      <c r="BC37" s="179">
        <f t="shared" si="10"/>
        <v>74.24</v>
      </c>
      <c r="BD37" s="179">
        <v>0</v>
      </c>
      <c r="BE37" s="182">
        <v>0</v>
      </c>
      <c r="BF37" s="186">
        <f t="shared" si="11"/>
        <v>-42.06</v>
      </c>
      <c r="BG37" s="186">
        <v>32.18</v>
      </c>
      <c r="BH37" s="187">
        <f t="shared" si="12"/>
        <v>183.2</v>
      </c>
      <c r="BI37" s="182">
        <f t="shared" si="13"/>
        <v>0.262223748998053</v>
      </c>
      <c r="BJ37" s="179">
        <f t="shared" si="14"/>
        <v>1160</v>
      </c>
      <c r="BK37" s="179"/>
      <c r="BL37" s="179">
        <f t="shared" si="15"/>
        <v>0</v>
      </c>
      <c r="BM37" s="178"/>
      <c r="BN37" s="7"/>
      <c r="BO37" s="20"/>
      <c r="BP37" s="182"/>
      <c r="BQ37" s="182">
        <f t="shared" si="34"/>
        <v>0.125</v>
      </c>
      <c r="BR37" s="182">
        <f t="shared" si="16"/>
        <v>0.875</v>
      </c>
      <c r="BS37" s="182">
        <f t="shared" si="17"/>
        <v>0.970588235294118</v>
      </c>
      <c r="BT37" s="188">
        <f t="shared" si="18"/>
        <v>66</v>
      </c>
      <c r="BU37" s="20">
        <f t="shared" si="19"/>
        <v>68</v>
      </c>
      <c r="BV37" s="20">
        <f t="shared" si="20"/>
        <v>2</v>
      </c>
      <c r="BW37" s="185">
        <f t="shared" si="21"/>
        <v>0.0294117647058824</v>
      </c>
      <c r="BX37" s="182">
        <f t="shared" si="22"/>
        <v>0.875</v>
      </c>
      <c r="BY37" s="182">
        <f t="shared" si="23"/>
        <v>1</v>
      </c>
      <c r="BZ37" s="182">
        <f t="shared" si="24"/>
        <v>0.875</v>
      </c>
      <c r="CA37" s="182">
        <f t="shared" si="25"/>
        <v>0.125</v>
      </c>
      <c r="CB37" s="189">
        <f t="shared" si="41"/>
        <v>0.142857142857143</v>
      </c>
      <c r="CC37" s="190">
        <f t="shared" si="42"/>
        <v>0.117647058823529</v>
      </c>
      <c r="CD37" s="190">
        <f t="shared" si="43"/>
        <v>0.0151515151515152</v>
      </c>
      <c r="CE37" s="189">
        <v>0.08</v>
      </c>
      <c r="CF37" s="189">
        <v>0.08</v>
      </c>
      <c r="CG37" s="189">
        <v>0.08</v>
      </c>
      <c r="CH37" s="189">
        <v>0.08</v>
      </c>
      <c r="CI37" s="189">
        <v>0.05</v>
      </c>
      <c r="CJ37" s="189">
        <v>0.06</v>
      </c>
      <c r="CK37" s="189">
        <v>0.04</v>
      </c>
      <c r="CL37" s="191">
        <v>23</v>
      </c>
      <c r="CM37" s="191">
        <v>16</v>
      </c>
      <c r="CN37" s="191">
        <v>39</v>
      </c>
      <c r="CO37" s="191" t="s">
        <v>84</v>
      </c>
      <c r="CP37" s="191">
        <v>92</v>
      </c>
      <c r="CQ37" s="191" t="s">
        <v>84</v>
      </c>
      <c r="CR37" s="191">
        <v>25</v>
      </c>
      <c r="CS37" s="191">
        <v>9</v>
      </c>
      <c r="CT37" s="191" t="s">
        <v>84</v>
      </c>
      <c r="CU37" s="191">
        <v>10</v>
      </c>
      <c r="CV37" s="191">
        <v>30</v>
      </c>
      <c r="CW37" s="191">
        <v>15</v>
      </c>
      <c r="CX37" s="191" t="s">
        <v>84</v>
      </c>
      <c r="CY37" s="191">
        <v>11</v>
      </c>
      <c r="CZ37" s="127"/>
      <c r="DA37" s="127"/>
      <c r="DB37" s="127"/>
      <c r="DC37" s="127"/>
      <c r="DD37" s="127">
        <v>2.9</v>
      </c>
      <c r="DE37" s="127">
        <v>4.02</v>
      </c>
      <c r="DF37" s="127">
        <v>0.47</v>
      </c>
      <c r="DG37" s="127">
        <v>3.41</v>
      </c>
      <c r="DH37" s="127">
        <v>3.36</v>
      </c>
      <c r="DI37" s="127">
        <v>2.72</v>
      </c>
      <c r="DJ37" s="127">
        <v>0.34</v>
      </c>
      <c r="DK37" s="127"/>
      <c r="DL37" s="198">
        <v>0.0023</v>
      </c>
      <c r="DM37" s="198">
        <v>0.0025</v>
      </c>
      <c r="DN37" s="198">
        <v>0.0025</v>
      </c>
      <c r="DO37" s="198">
        <v>0.0025</v>
      </c>
      <c r="DP37" s="127"/>
      <c r="DQ37" s="192">
        <v>0.045</v>
      </c>
      <c r="DR37" s="192">
        <v>0.0508</v>
      </c>
      <c r="DS37" s="192">
        <v>0.0489</v>
      </c>
      <c r="DT37" s="192">
        <v>0.0486</v>
      </c>
      <c r="DU37" s="192">
        <v>0.061</v>
      </c>
      <c r="DV37" s="192">
        <v>0.0628</v>
      </c>
      <c r="DW37" s="127"/>
      <c r="DX37" s="192">
        <v>0.0175</v>
      </c>
      <c r="DY37" s="192">
        <v>0.0205</v>
      </c>
      <c r="DZ37" s="192">
        <v>0.0205</v>
      </c>
      <c r="EA37" s="192">
        <v>0.0205</v>
      </c>
      <c r="EB37" s="192">
        <v>0.031</v>
      </c>
      <c r="EC37" s="192">
        <v>0.0257</v>
      </c>
      <c r="ED37" s="127"/>
      <c r="EE37" s="127">
        <v>0.39</v>
      </c>
      <c r="EF37" s="127">
        <v>0.61</v>
      </c>
      <c r="EG37" s="127">
        <v>0.54</v>
      </c>
      <c r="EH37" s="127">
        <v>0.35</v>
      </c>
      <c r="EI37" s="127">
        <v>0.58</v>
      </c>
      <c r="EJ37" s="127">
        <v>0.55</v>
      </c>
      <c r="EK37" s="127"/>
      <c r="EL37" s="127"/>
      <c r="EM37" s="127"/>
      <c r="EN37" s="127"/>
      <c r="EO37" s="127"/>
      <c r="EP37" s="127"/>
      <c r="EQ37" s="127"/>
      <c r="ER37" s="127"/>
      <c r="ES37" s="127"/>
      <c r="ET37" s="127"/>
      <c r="EU37" s="127"/>
      <c r="EV37" s="127"/>
      <c r="EW37" s="127"/>
      <c r="EX37" s="127"/>
      <c r="EY37" s="127"/>
      <c r="EZ37" s="127">
        <v>0.55</v>
      </c>
      <c r="FA37" s="192">
        <f t="shared" si="26"/>
        <v>0.00385559060637925</v>
      </c>
      <c r="FB37" s="192">
        <v>0.0025</v>
      </c>
      <c r="FC37" s="192">
        <f t="shared" si="27"/>
        <v>0.117647058823529</v>
      </c>
      <c r="FD37" s="192">
        <f t="shared" si="28"/>
        <v>0.0151515151515152</v>
      </c>
      <c r="FE37" s="193">
        <f t="shared" si="29"/>
        <v>0.875</v>
      </c>
      <c r="FF37" s="127"/>
      <c r="FG37" s="127"/>
      <c r="FH37" s="127"/>
      <c r="FI37" s="194">
        <v>0.045</v>
      </c>
      <c r="FJ37" s="194">
        <f t="shared" si="30"/>
        <v>0.117647058823529</v>
      </c>
      <c r="FK37" s="196">
        <v>89.57</v>
      </c>
      <c r="FL37" s="127">
        <f t="shared" si="38"/>
        <v>13.4355</v>
      </c>
      <c r="FM37" s="196">
        <v>5.19</v>
      </c>
      <c r="FN37" s="127">
        <f t="shared" si="31"/>
        <v>74.24</v>
      </c>
      <c r="FO37" s="127"/>
      <c r="FP37" s="127">
        <f t="shared" si="32"/>
        <v>-42.06</v>
      </c>
      <c r="FQ37" s="127">
        <f t="shared" si="33"/>
        <v>183.2</v>
      </c>
      <c r="FR37" s="196">
        <v>32.18</v>
      </c>
      <c r="FS37" s="127"/>
      <c r="FT37" s="127"/>
      <c r="FU37" s="127"/>
      <c r="FV37" s="127"/>
      <c r="FW37" s="127"/>
      <c r="FX37" s="127"/>
      <c r="FY37" s="127"/>
      <c r="FZ37" s="127"/>
      <c r="GA37" s="127"/>
      <c r="GB37" s="127"/>
      <c r="GC37" s="127"/>
      <c r="GD37" s="127"/>
      <c r="GE37" s="127"/>
      <c r="GF37" s="127"/>
      <c r="GG37" s="127"/>
      <c r="GH37" s="127"/>
      <c r="GI37" s="127"/>
      <c r="GJ37" s="127"/>
      <c r="GK37" s="127"/>
      <c r="GL37" s="127"/>
      <c r="GM37" s="127"/>
      <c r="GN37" s="127"/>
      <c r="GO37" s="127"/>
      <c r="GP37" s="127"/>
      <c r="GQ37" s="127"/>
      <c r="GR37" s="127"/>
      <c r="GS37" s="127"/>
      <c r="GT37" s="127"/>
      <c r="GU37" s="127"/>
      <c r="GV37" s="127"/>
      <c r="GW37" s="127"/>
      <c r="GX37" s="127"/>
      <c r="GY37" s="127"/>
      <c r="GZ37" s="127"/>
    </row>
    <row r="38" spans="1:208">
      <c r="A38" s="172">
        <v>45829</v>
      </c>
      <c r="B38" s="20" t="s">
        <v>369</v>
      </c>
      <c r="C38" s="173" t="s">
        <v>394</v>
      </c>
      <c r="D38" s="174">
        <v>139.99</v>
      </c>
      <c r="E38" s="175">
        <v>89.57</v>
      </c>
      <c r="F38" s="176">
        <v>0.3</v>
      </c>
      <c r="G38" s="176">
        <v>0.15</v>
      </c>
      <c r="H38" s="177">
        <f t="shared" si="0"/>
        <v>83.29405</v>
      </c>
      <c r="I38" s="176">
        <v>0.08</v>
      </c>
      <c r="J38" s="178">
        <v>0.06</v>
      </c>
      <c r="K38" s="20">
        <v>81</v>
      </c>
      <c r="L38" s="20">
        <v>15</v>
      </c>
      <c r="M38" s="20">
        <f t="shared" si="39"/>
        <v>96</v>
      </c>
      <c r="N38" s="176">
        <f t="shared" si="1"/>
        <v>0.0833333333333333</v>
      </c>
      <c r="O38" s="179">
        <f t="shared" si="2"/>
        <v>7</v>
      </c>
      <c r="P38" s="179">
        <f t="shared" si="3"/>
        <v>7</v>
      </c>
      <c r="Q38" s="20">
        <v>8</v>
      </c>
      <c r="R38" s="174">
        <v>8</v>
      </c>
      <c r="S38" s="20">
        <v>1</v>
      </c>
      <c r="T38" s="174">
        <v>1</v>
      </c>
      <c r="U38" s="176">
        <v>1</v>
      </c>
      <c r="V38" s="20">
        <v>0</v>
      </c>
      <c r="W38" s="174">
        <v>698.64</v>
      </c>
      <c r="X38" s="20">
        <v>23</v>
      </c>
      <c r="Y38" s="20">
        <v>4</v>
      </c>
      <c r="Z38" s="20">
        <v>44</v>
      </c>
      <c r="AA38" s="20">
        <v>9</v>
      </c>
      <c r="AB38" s="20">
        <v>88</v>
      </c>
      <c r="AC38" s="20" t="s">
        <v>84</v>
      </c>
      <c r="AD38" s="20">
        <v>20</v>
      </c>
      <c r="AE38" s="20">
        <v>10</v>
      </c>
      <c r="AF38" s="20">
        <v>20</v>
      </c>
      <c r="AG38" s="20">
        <v>9</v>
      </c>
      <c r="AH38" s="20">
        <v>21</v>
      </c>
      <c r="AI38" s="20">
        <v>11</v>
      </c>
      <c r="AJ38" s="20" t="s">
        <v>84</v>
      </c>
      <c r="AK38" s="20">
        <v>12</v>
      </c>
      <c r="AL38" s="174">
        <v>211</v>
      </c>
      <c r="AM38" s="180">
        <v>158039</v>
      </c>
      <c r="AN38" s="173">
        <v>232</v>
      </c>
      <c r="AO38" s="174">
        <v>12</v>
      </c>
      <c r="AP38" s="174">
        <v>5</v>
      </c>
      <c r="AQ38" s="174"/>
      <c r="AR38" s="174"/>
      <c r="AS38" s="181">
        <v>19773</v>
      </c>
      <c r="AT38" s="20">
        <v>90</v>
      </c>
      <c r="AU38" s="182">
        <f t="shared" si="4"/>
        <v>0.00455166135639508</v>
      </c>
      <c r="AV38" s="20">
        <v>0</v>
      </c>
      <c r="AW38" s="183">
        <f t="shared" si="5"/>
        <v>0.993555555555556</v>
      </c>
      <c r="AX38" s="184">
        <f t="shared" si="6"/>
        <v>0</v>
      </c>
      <c r="AY38" s="176">
        <f t="shared" si="7"/>
        <v>0</v>
      </c>
      <c r="AZ38" s="185">
        <f t="shared" si="8"/>
        <v>0</v>
      </c>
      <c r="BA38" s="183">
        <v>89.42</v>
      </c>
      <c r="BB38" s="176">
        <f t="shared" si="40"/>
        <v>0</v>
      </c>
      <c r="BC38" s="179">
        <f t="shared" si="10"/>
        <v>0</v>
      </c>
      <c r="BD38" s="179">
        <v>0</v>
      </c>
      <c r="BE38" s="182">
        <v>0</v>
      </c>
      <c r="BF38" s="186">
        <f t="shared" si="11"/>
        <v>32.18</v>
      </c>
      <c r="BG38" s="186">
        <v>32.18</v>
      </c>
      <c r="BH38" s="187">
        <f t="shared" si="12"/>
        <v>203.68</v>
      </c>
      <c r="BI38" s="182">
        <f t="shared" si="13"/>
        <v>0.291537844955914</v>
      </c>
      <c r="BJ38" s="179">
        <f t="shared" si="14"/>
        <v>1160</v>
      </c>
      <c r="BK38" s="179"/>
      <c r="BL38" s="179">
        <f t="shared" si="15"/>
        <v>21.58</v>
      </c>
      <c r="BM38" s="178"/>
      <c r="BN38" s="7"/>
      <c r="BO38" s="20"/>
      <c r="BP38" s="182"/>
      <c r="BQ38" s="182">
        <f t="shared" si="34"/>
        <v>0</v>
      </c>
      <c r="BR38" s="182">
        <f t="shared" si="16"/>
        <v>0.875</v>
      </c>
      <c r="BS38" s="182">
        <f t="shared" si="17"/>
        <v>0.9375</v>
      </c>
      <c r="BT38" s="188">
        <f t="shared" si="18"/>
        <v>90</v>
      </c>
      <c r="BU38" s="20">
        <f t="shared" si="19"/>
        <v>96</v>
      </c>
      <c r="BV38" s="20">
        <f t="shared" si="20"/>
        <v>6</v>
      </c>
      <c r="BW38" s="185">
        <f t="shared" si="21"/>
        <v>0.0625</v>
      </c>
      <c r="BX38" s="182">
        <f t="shared" si="22"/>
        <v>0.875</v>
      </c>
      <c r="BY38" s="182">
        <f t="shared" si="23"/>
        <v>0.875</v>
      </c>
      <c r="BZ38" s="182">
        <f t="shared" si="24"/>
        <v>0.875</v>
      </c>
      <c r="CA38" s="182">
        <f t="shared" si="25"/>
        <v>0</v>
      </c>
      <c r="CB38" s="189">
        <f t="shared" si="41"/>
        <v>0</v>
      </c>
      <c r="CC38" s="190">
        <f t="shared" si="42"/>
        <v>0.0833333333333333</v>
      </c>
      <c r="CD38" s="190">
        <f t="shared" si="43"/>
        <v>0</v>
      </c>
      <c r="CE38" s="189">
        <v>0.08</v>
      </c>
      <c r="CF38" s="189">
        <v>0.08</v>
      </c>
      <c r="CG38" s="189">
        <v>0.08</v>
      </c>
      <c r="CH38" s="189">
        <v>0.08</v>
      </c>
      <c r="CI38" s="189">
        <v>0.05</v>
      </c>
      <c r="CJ38" s="189">
        <v>0.06</v>
      </c>
      <c r="CK38" s="189">
        <v>0.04</v>
      </c>
      <c r="CL38" s="191">
        <v>23</v>
      </c>
      <c r="CM38" s="191">
        <v>4</v>
      </c>
      <c r="CN38" s="191">
        <v>44</v>
      </c>
      <c r="CO38" s="191">
        <v>9</v>
      </c>
      <c r="CP38" s="191">
        <v>88</v>
      </c>
      <c r="CQ38" s="191" t="s">
        <v>84</v>
      </c>
      <c r="CR38" s="191">
        <v>20</v>
      </c>
      <c r="CS38" s="191">
        <v>10</v>
      </c>
      <c r="CT38" s="191">
        <v>20</v>
      </c>
      <c r="CU38" s="191">
        <v>9</v>
      </c>
      <c r="CV38" s="191">
        <v>21</v>
      </c>
      <c r="CW38" s="191">
        <v>11</v>
      </c>
      <c r="CX38" s="191" t="s">
        <v>84</v>
      </c>
      <c r="CY38" s="191">
        <v>12</v>
      </c>
      <c r="CZ38" s="127"/>
      <c r="DA38" s="127"/>
      <c r="DB38" s="127"/>
      <c r="DC38" s="127"/>
      <c r="DD38" s="127">
        <v>2.9</v>
      </c>
      <c r="DE38" s="127">
        <v>4.02</v>
      </c>
      <c r="DF38" s="127">
        <v>0.47</v>
      </c>
      <c r="DG38" s="127">
        <v>3.41</v>
      </c>
      <c r="DH38" s="127">
        <v>3.36</v>
      </c>
      <c r="DI38" s="127">
        <v>2.72</v>
      </c>
      <c r="DJ38" s="127">
        <v>0.34</v>
      </c>
      <c r="DK38" s="127"/>
      <c r="DL38" s="198">
        <v>0.0023</v>
      </c>
      <c r="DM38" s="198">
        <v>0.0025</v>
      </c>
      <c r="DN38" s="198">
        <v>0.0025</v>
      </c>
      <c r="DO38" s="198">
        <v>0.0025</v>
      </c>
      <c r="DP38" s="127"/>
      <c r="DQ38" s="192">
        <v>0.045</v>
      </c>
      <c r="DR38" s="192">
        <v>0.0508</v>
      </c>
      <c r="DS38" s="192">
        <v>0.0489</v>
      </c>
      <c r="DT38" s="192">
        <v>0.0486</v>
      </c>
      <c r="DU38" s="192">
        <v>0.061</v>
      </c>
      <c r="DV38" s="192">
        <v>0.0628</v>
      </c>
      <c r="DW38" s="127"/>
      <c r="DX38" s="192">
        <v>0.0175</v>
      </c>
      <c r="DY38" s="192">
        <v>0.0205</v>
      </c>
      <c r="DZ38" s="192">
        <v>0.0205</v>
      </c>
      <c r="EA38" s="192">
        <v>0.0205</v>
      </c>
      <c r="EB38" s="192">
        <v>0.031</v>
      </c>
      <c r="EC38" s="192">
        <v>0.0257</v>
      </c>
      <c r="ED38" s="127"/>
      <c r="EE38" s="127">
        <v>0.39</v>
      </c>
      <c r="EF38" s="127">
        <v>0.61</v>
      </c>
      <c r="EG38" s="127">
        <v>0.54</v>
      </c>
      <c r="EH38" s="127">
        <v>0.35</v>
      </c>
      <c r="EI38" s="127">
        <v>0.58</v>
      </c>
      <c r="EJ38" s="127">
        <v>0.55</v>
      </c>
      <c r="EK38" s="127"/>
      <c r="EL38" s="127"/>
      <c r="EM38" s="127"/>
      <c r="EN38" s="127"/>
      <c r="EO38" s="127"/>
      <c r="EP38" s="127"/>
      <c r="EQ38" s="127"/>
      <c r="ER38" s="127"/>
      <c r="ES38" s="127"/>
      <c r="ET38" s="127"/>
      <c r="EU38" s="127"/>
      <c r="EV38" s="127"/>
      <c r="EW38" s="127"/>
      <c r="EX38" s="127"/>
      <c r="EY38" s="127"/>
      <c r="EZ38" s="127">
        <v>0.55</v>
      </c>
      <c r="FA38" s="192">
        <f t="shared" si="26"/>
        <v>0.00455166135639508</v>
      </c>
      <c r="FB38" s="192">
        <v>0.0025</v>
      </c>
      <c r="FC38" s="192">
        <f t="shared" si="27"/>
        <v>0.0833333333333333</v>
      </c>
      <c r="FD38" s="192">
        <f t="shared" si="28"/>
        <v>0</v>
      </c>
      <c r="FE38" s="193">
        <f t="shared" si="29"/>
        <v>0.875</v>
      </c>
      <c r="FF38" s="127"/>
      <c r="FG38" s="127"/>
      <c r="FH38" s="127"/>
      <c r="FI38" s="194">
        <v>0.045</v>
      </c>
      <c r="FJ38" s="194">
        <f t="shared" si="30"/>
        <v>0.0833333333333333</v>
      </c>
      <c r="FK38" s="196">
        <v>89.57</v>
      </c>
      <c r="FL38" s="127">
        <f t="shared" si="38"/>
        <v>13.4355</v>
      </c>
      <c r="FM38" s="196">
        <v>5.19</v>
      </c>
      <c r="FN38" s="127">
        <f t="shared" si="31"/>
        <v>89.42</v>
      </c>
      <c r="FO38" s="127"/>
      <c r="FP38" s="127">
        <f t="shared" si="32"/>
        <v>32.18</v>
      </c>
      <c r="FQ38" s="127">
        <f t="shared" si="33"/>
        <v>203.68</v>
      </c>
      <c r="FR38" s="196">
        <v>32.18</v>
      </c>
      <c r="FS38" s="127"/>
      <c r="FT38" s="127"/>
      <c r="FU38" s="127"/>
      <c r="FV38" s="127"/>
      <c r="FW38" s="127"/>
      <c r="FX38" s="127"/>
      <c r="FY38" s="127"/>
      <c r="FZ38" s="127"/>
      <c r="GA38" s="127"/>
      <c r="GB38" s="127"/>
      <c r="GC38" s="127"/>
      <c r="GD38" s="127"/>
      <c r="GE38" s="127"/>
      <c r="GF38" s="127"/>
      <c r="GG38" s="127"/>
      <c r="GH38" s="127"/>
      <c r="GI38" s="127"/>
      <c r="GJ38" s="127"/>
      <c r="GK38" s="127"/>
      <c r="GL38" s="127"/>
      <c r="GM38" s="127"/>
      <c r="GN38" s="127"/>
      <c r="GO38" s="127"/>
      <c r="GP38" s="127"/>
      <c r="GQ38" s="127"/>
      <c r="GR38" s="127"/>
      <c r="GS38" s="127"/>
      <c r="GT38" s="127"/>
      <c r="GU38" s="127"/>
      <c r="GV38" s="127"/>
      <c r="GW38" s="127"/>
      <c r="GX38" s="127"/>
      <c r="GY38" s="127"/>
      <c r="GZ38" s="127"/>
    </row>
    <row r="39" spans="1:208">
      <c r="A39" s="172">
        <v>45830</v>
      </c>
      <c r="B39" s="20" t="s">
        <v>371</v>
      </c>
      <c r="C39" s="173" t="s">
        <v>393</v>
      </c>
      <c r="D39" s="174">
        <v>139.99</v>
      </c>
      <c r="E39" s="175">
        <v>89.57</v>
      </c>
      <c r="F39" s="176">
        <v>0.3</v>
      </c>
      <c r="G39" s="176">
        <v>0.15</v>
      </c>
      <c r="H39" s="177">
        <f t="shared" si="0"/>
        <v>83.29405</v>
      </c>
      <c r="I39" s="176">
        <v>0.08</v>
      </c>
      <c r="J39" s="178">
        <v>0.06</v>
      </c>
      <c r="K39" s="20">
        <v>70</v>
      </c>
      <c r="L39" s="20">
        <v>27</v>
      </c>
      <c r="M39" s="20">
        <f t="shared" si="39"/>
        <v>97</v>
      </c>
      <c r="N39" s="176">
        <f t="shared" si="1"/>
        <v>0.0721649484536082</v>
      </c>
      <c r="O39" s="179">
        <f t="shared" si="2"/>
        <v>6</v>
      </c>
      <c r="P39" s="179">
        <f t="shared" si="3"/>
        <v>7</v>
      </c>
      <c r="Q39" s="20">
        <v>7</v>
      </c>
      <c r="R39" s="20">
        <v>7</v>
      </c>
      <c r="S39" s="20">
        <v>0</v>
      </c>
      <c r="T39" s="20">
        <v>0</v>
      </c>
      <c r="U39" s="176">
        <v>0</v>
      </c>
      <c r="V39" s="20">
        <v>0</v>
      </c>
      <c r="W39" s="174">
        <v>611.31</v>
      </c>
      <c r="X39" s="20">
        <v>24</v>
      </c>
      <c r="Y39" s="20">
        <v>5</v>
      </c>
      <c r="Z39" s="20">
        <v>41</v>
      </c>
      <c r="AA39" s="20">
        <v>11</v>
      </c>
      <c r="AB39" s="20">
        <v>83</v>
      </c>
      <c r="AC39" s="20" t="s">
        <v>84</v>
      </c>
      <c r="AD39" s="20">
        <v>23</v>
      </c>
      <c r="AE39" s="20">
        <v>9</v>
      </c>
      <c r="AF39" s="20" t="s">
        <v>84</v>
      </c>
      <c r="AG39" s="20">
        <v>10</v>
      </c>
      <c r="AH39" s="20">
        <v>31</v>
      </c>
      <c r="AI39" s="20" t="s">
        <v>84</v>
      </c>
      <c r="AJ39" s="20" t="s">
        <v>84</v>
      </c>
      <c r="AK39" s="20" t="s">
        <v>84</v>
      </c>
      <c r="AL39" s="174">
        <v>211</v>
      </c>
      <c r="AM39" s="180">
        <v>158039</v>
      </c>
      <c r="AN39" s="173">
        <v>232</v>
      </c>
      <c r="AO39" s="174">
        <v>13</v>
      </c>
      <c r="AP39" s="174">
        <v>5</v>
      </c>
      <c r="AQ39" s="174"/>
      <c r="AR39" s="174"/>
      <c r="AS39" s="181">
        <v>20232</v>
      </c>
      <c r="AT39" s="20">
        <v>85</v>
      </c>
      <c r="AU39" s="182">
        <f t="shared" si="4"/>
        <v>0.00420126532226176</v>
      </c>
      <c r="AV39" s="20">
        <v>1</v>
      </c>
      <c r="AW39" s="183">
        <f t="shared" si="5"/>
        <v>0.998235294117647</v>
      </c>
      <c r="AX39" s="184">
        <f t="shared" si="6"/>
        <v>0</v>
      </c>
      <c r="AY39" s="176">
        <f t="shared" si="7"/>
        <v>0.0117647058823529</v>
      </c>
      <c r="AZ39" s="185">
        <f t="shared" si="8"/>
        <v>0.142857142857143</v>
      </c>
      <c r="BA39" s="183">
        <v>84.85</v>
      </c>
      <c r="BB39" s="176">
        <f t="shared" si="40"/>
        <v>0</v>
      </c>
      <c r="BC39" s="179">
        <f t="shared" si="10"/>
        <v>84.85</v>
      </c>
      <c r="BD39" s="179">
        <v>0</v>
      </c>
      <c r="BE39" s="182">
        <v>0</v>
      </c>
      <c r="BF39" s="186">
        <f t="shared" si="11"/>
        <v>-52.67</v>
      </c>
      <c r="BG39" s="186">
        <v>32.18</v>
      </c>
      <c r="BH39" s="187">
        <f t="shared" si="12"/>
        <v>140.41</v>
      </c>
      <c r="BI39" s="182">
        <f t="shared" si="13"/>
        <v>0.229687065482325</v>
      </c>
      <c r="BJ39" s="179">
        <f t="shared" si="14"/>
        <v>1015</v>
      </c>
      <c r="BK39" s="179"/>
      <c r="BL39" s="179">
        <f t="shared" si="15"/>
        <v>0</v>
      </c>
      <c r="BM39" s="178"/>
      <c r="BN39" s="7"/>
      <c r="BO39" s="20"/>
      <c r="BP39" s="182"/>
      <c r="BQ39" s="182">
        <f t="shared" si="34"/>
        <v>0.142857142857143</v>
      </c>
      <c r="BR39" s="182">
        <f t="shared" si="16"/>
        <v>0.857142857142857</v>
      </c>
      <c r="BS39" s="182">
        <f t="shared" si="17"/>
        <v>0.876288659793814</v>
      </c>
      <c r="BT39" s="188">
        <f t="shared" si="18"/>
        <v>85</v>
      </c>
      <c r="BU39" s="20">
        <f t="shared" si="19"/>
        <v>97</v>
      </c>
      <c r="BV39" s="20">
        <f t="shared" si="20"/>
        <v>12</v>
      </c>
      <c r="BW39" s="185">
        <f t="shared" si="21"/>
        <v>0.123711340206186</v>
      </c>
      <c r="BX39" s="182">
        <f t="shared" si="22"/>
        <v>0.857142857142857</v>
      </c>
      <c r="BY39" s="182">
        <f t="shared" si="23"/>
        <v>1</v>
      </c>
      <c r="BZ39" s="182">
        <f t="shared" si="24"/>
        <v>0.857142857142857</v>
      </c>
      <c r="CA39" s="182">
        <f t="shared" si="25"/>
        <v>0.142857142857143</v>
      </c>
      <c r="CB39" s="189">
        <f t="shared" si="41"/>
        <v>0.166666666666667</v>
      </c>
      <c r="CC39" s="190">
        <f t="shared" si="42"/>
        <v>0.0721649484536082</v>
      </c>
      <c r="CD39" s="190">
        <f t="shared" si="43"/>
        <v>0.0117647058823529</v>
      </c>
      <c r="CE39" s="189">
        <v>0.08</v>
      </c>
      <c r="CF39" s="189">
        <v>0.08</v>
      </c>
      <c r="CG39" s="189">
        <v>0.08</v>
      </c>
      <c r="CH39" s="189">
        <v>0.08</v>
      </c>
      <c r="CI39" s="189">
        <v>0.05</v>
      </c>
      <c r="CJ39" s="189">
        <v>0.06</v>
      </c>
      <c r="CK39" s="189">
        <v>0.04</v>
      </c>
      <c r="CL39" s="191">
        <v>24</v>
      </c>
      <c r="CM39" s="191">
        <v>5</v>
      </c>
      <c r="CN39" s="191">
        <v>41</v>
      </c>
      <c r="CO39" s="191">
        <v>11</v>
      </c>
      <c r="CP39" s="191">
        <v>83</v>
      </c>
      <c r="CQ39" s="191" t="s">
        <v>84</v>
      </c>
      <c r="CR39" s="191">
        <v>23</v>
      </c>
      <c r="CS39" s="191">
        <v>9</v>
      </c>
      <c r="CT39" s="191" t="s">
        <v>84</v>
      </c>
      <c r="CU39" s="191">
        <v>10</v>
      </c>
      <c r="CV39" s="191">
        <v>31</v>
      </c>
      <c r="CW39" s="191" t="s">
        <v>84</v>
      </c>
      <c r="CX39" s="191" t="s">
        <v>84</v>
      </c>
      <c r="CY39" s="191" t="s">
        <v>84</v>
      </c>
      <c r="CZ39" s="127"/>
      <c r="DA39" s="127"/>
      <c r="DB39" s="127"/>
      <c r="DC39" s="127"/>
      <c r="DD39" s="127">
        <v>2.9</v>
      </c>
      <c r="DE39" s="127">
        <v>4.02</v>
      </c>
      <c r="DF39" s="127">
        <v>0.47</v>
      </c>
      <c r="DG39" s="127">
        <v>3.41</v>
      </c>
      <c r="DH39" s="127">
        <v>3.37</v>
      </c>
      <c r="DI39" s="127">
        <v>2.72</v>
      </c>
      <c r="DJ39" s="127">
        <v>0.34</v>
      </c>
      <c r="DK39" s="127"/>
      <c r="DL39" s="198">
        <v>0.0023</v>
      </c>
      <c r="DM39" s="198">
        <v>0.0025</v>
      </c>
      <c r="DN39" s="198">
        <v>0.0025</v>
      </c>
      <c r="DO39" s="198">
        <v>0.0025</v>
      </c>
      <c r="DP39" s="127"/>
      <c r="DQ39" s="192">
        <v>0.045</v>
      </c>
      <c r="DR39" s="192">
        <v>0.0508</v>
      </c>
      <c r="DS39" s="192">
        <v>0.0489</v>
      </c>
      <c r="DT39" s="192">
        <v>0.0486</v>
      </c>
      <c r="DU39" s="192">
        <v>0.061</v>
      </c>
      <c r="DV39" s="192">
        <v>0.0628</v>
      </c>
      <c r="DW39" s="127"/>
      <c r="DX39" s="192">
        <v>0.0175</v>
      </c>
      <c r="DY39" s="192">
        <v>0.0205</v>
      </c>
      <c r="DZ39" s="192">
        <v>0.0205</v>
      </c>
      <c r="EA39" s="192">
        <v>0.0205</v>
      </c>
      <c r="EB39" s="192">
        <v>0.031</v>
      </c>
      <c r="EC39" s="192">
        <v>0.0257</v>
      </c>
      <c r="ED39" s="127"/>
      <c r="EE39" s="127">
        <v>0.39</v>
      </c>
      <c r="EF39" s="127">
        <v>0.61</v>
      </c>
      <c r="EG39" s="127">
        <v>0.54</v>
      </c>
      <c r="EH39" s="127">
        <v>0.35</v>
      </c>
      <c r="EI39" s="127">
        <v>0.58</v>
      </c>
      <c r="EJ39" s="127">
        <v>0.55</v>
      </c>
      <c r="EK39" s="127"/>
      <c r="EL39" s="127"/>
      <c r="EM39" s="127"/>
      <c r="EN39" s="127"/>
      <c r="EO39" s="127"/>
      <c r="EP39" s="127"/>
      <c r="EQ39" s="127"/>
      <c r="ER39" s="127"/>
      <c r="ES39" s="127"/>
      <c r="ET39" s="127"/>
      <c r="EU39" s="127"/>
      <c r="EV39" s="127"/>
      <c r="EW39" s="127"/>
      <c r="EX39" s="127"/>
      <c r="EY39" s="127"/>
      <c r="EZ39" s="127">
        <v>0.55</v>
      </c>
      <c r="FA39" s="192">
        <f t="shared" si="26"/>
        <v>0.00420126532226176</v>
      </c>
      <c r="FB39" s="192">
        <v>0.0025</v>
      </c>
      <c r="FC39" s="192">
        <f t="shared" si="27"/>
        <v>0.0721649484536082</v>
      </c>
      <c r="FD39" s="192">
        <f t="shared" si="28"/>
        <v>0.0117647058823529</v>
      </c>
      <c r="FE39" s="193">
        <f t="shared" si="29"/>
        <v>0.857142857142857</v>
      </c>
      <c r="FF39" s="127"/>
      <c r="FG39" s="127"/>
      <c r="FH39" s="127"/>
      <c r="FI39" s="194">
        <v>0.045</v>
      </c>
      <c r="FJ39" s="194">
        <f t="shared" si="30"/>
        <v>0.0721649484536082</v>
      </c>
      <c r="FK39" s="196">
        <v>89.57</v>
      </c>
      <c r="FL39" s="127">
        <f t="shared" si="38"/>
        <v>13.4355</v>
      </c>
      <c r="FM39" s="196">
        <v>5.19</v>
      </c>
      <c r="FN39" s="127">
        <f t="shared" si="31"/>
        <v>84.85</v>
      </c>
      <c r="FO39" s="127"/>
      <c r="FP39" s="127">
        <f t="shared" si="32"/>
        <v>-52.67</v>
      </c>
      <c r="FQ39" s="127">
        <f t="shared" si="33"/>
        <v>140.41</v>
      </c>
      <c r="FR39" s="196">
        <v>32.18</v>
      </c>
      <c r="FS39" s="127"/>
      <c r="FT39" s="127"/>
      <c r="FU39" s="127"/>
      <c r="FV39" s="127"/>
      <c r="FW39" s="127"/>
      <c r="FX39" s="127"/>
      <c r="FY39" s="127"/>
      <c r="FZ39" s="127"/>
      <c r="GA39" s="127"/>
      <c r="GB39" s="127"/>
      <c r="GC39" s="127"/>
      <c r="GD39" s="127"/>
      <c r="GE39" s="127"/>
      <c r="GF39" s="127"/>
      <c r="GG39" s="127"/>
      <c r="GH39" s="127"/>
      <c r="GI39" s="127"/>
      <c r="GJ39" s="127"/>
      <c r="GK39" s="127"/>
      <c r="GL39" s="127"/>
      <c r="GM39" s="127"/>
      <c r="GN39" s="127"/>
      <c r="GO39" s="127"/>
      <c r="GP39" s="127"/>
      <c r="GQ39" s="127"/>
      <c r="GR39" s="127"/>
      <c r="GS39" s="127"/>
      <c r="GT39" s="127"/>
      <c r="GU39" s="127"/>
      <c r="GV39" s="127"/>
      <c r="GW39" s="127"/>
      <c r="GX39" s="127"/>
      <c r="GY39" s="127"/>
      <c r="GZ39" s="127"/>
    </row>
    <row r="40" spans="1:208">
      <c r="A40" s="172">
        <v>45831</v>
      </c>
      <c r="B40" s="20" t="s">
        <v>373</v>
      </c>
      <c r="C40" s="173" t="s">
        <v>226</v>
      </c>
      <c r="D40" s="174">
        <v>139.99</v>
      </c>
      <c r="E40" s="175">
        <v>89.57</v>
      </c>
      <c r="F40" s="176">
        <v>0.3</v>
      </c>
      <c r="G40" s="176">
        <v>0.15</v>
      </c>
      <c r="H40" s="177">
        <f t="shared" si="0"/>
        <v>83.29405</v>
      </c>
      <c r="I40" s="176">
        <v>0.08</v>
      </c>
      <c r="J40" s="178">
        <v>0.06</v>
      </c>
      <c r="K40" s="20">
        <v>35</v>
      </c>
      <c r="L40" s="20">
        <v>49</v>
      </c>
      <c r="M40" s="20">
        <f t="shared" si="39"/>
        <v>84</v>
      </c>
      <c r="N40" s="176">
        <f t="shared" si="1"/>
        <v>0.107142857142857</v>
      </c>
      <c r="O40" s="179">
        <f t="shared" si="2"/>
        <v>9</v>
      </c>
      <c r="P40" s="179">
        <f t="shared" si="3"/>
        <v>9</v>
      </c>
      <c r="Q40" s="20">
        <v>9</v>
      </c>
      <c r="R40" s="20">
        <v>9</v>
      </c>
      <c r="S40" s="20">
        <v>0</v>
      </c>
      <c r="T40" s="20">
        <v>0</v>
      </c>
      <c r="U40" s="176">
        <v>0</v>
      </c>
      <c r="V40" s="20">
        <v>0</v>
      </c>
      <c r="W40" s="174">
        <v>785.97</v>
      </c>
      <c r="X40" s="20">
        <v>23</v>
      </c>
      <c r="Y40" s="20" t="s">
        <v>84</v>
      </c>
      <c r="Z40" s="20">
        <v>29</v>
      </c>
      <c r="AA40" s="20" t="s">
        <v>84</v>
      </c>
      <c r="AB40" s="20">
        <v>73</v>
      </c>
      <c r="AC40" s="20">
        <v>22</v>
      </c>
      <c r="AD40" s="20">
        <v>24</v>
      </c>
      <c r="AE40" s="20">
        <v>9</v>
      </c>
      <c r="AF40" s="20">
        <v>17</v>
      </c>
      <c r="AG40" s="20">
        <v>9</v>
      </c>
      <c r="AH40" s="20">
        <v>24</v>
      </c>
      <c r="AI40" s="20">
        <v>8</v>
      </c>
      <c r="AJ40" s="20" t="s">
        <v>84</v>
      </c>
      <c r="AK40" s="20">
        <v>5</v>
      </c>
      <c r="AL40" s="174">
        <v>211</v>
      </c>
      <c r="AM40" s="180">
        <v>186761</v>
      </c>
      <c r="AN40" s="173">
        <v>256</v>
      </c>
      <c r="AO40" s="174">
        <v>14</v>
      </c>
      <c r="AP40" s="174">
        <v>5</v>
      </c>
      <c r="AQ40" s="174"/>
      <c r="AR40" s="174"/>
      <c r="AS40" s="181">
        <v>10004</v>
      </c>
      <c r="AT40" s="20">
        <v>66</v>
      </c>
      <c r="AU40" s="182">
        <f t="shared" si="4"/>
        <v>0.00659736105557777</v>
      </c>
      <c r="AV40" s="20">
        <v>0</v>
      </c>
      <c r="AW40" s="183">
        <f t="shared" si="5"/>
        <v>1.16666666666667</v>
      </c>
      <c r="AX40" s="184">
        <f t="shared" si="6"/>
        <v>0</v>
      </c>
      <c r="AY40" s="176">
        <f t="shared" si="7"/>
        <v>0</v>
      </c>
      <c r="AZ40" s="185">
        <f t="shared" si="8"/>
        <v>0</v>
      </c>
      <c r="BA40" s="183">
        <v>77</v>
      </c>
      <c r="BB40" s="176">
        <f t="shared" si="40"/>
        <v>0</v>
      </c>
      <c r="BC40" s="179">
        <f t="shared" si="10"/>
        <v>0</v>
      </c>
      <c r="BD40" s="179">
        <v>0</v>
      </c>
      <c r="BE40" s="182">
        <v>0</v>
      </c>
      <c r="BF40" s="186">
        <f t="shared" si="11"/>
        <v>32.18</v>
      </c>
      <c r="BG40" s="186">
        <v>32.18</v>
      </c>
      <c r="BH40" s="187">
        <f t="shared" si="12"/>
        <v>289.62</v>
      </c>
      <c r="BI40" s="182">
        <f t="shared" si="13"/>
        <v>0.368487346845299</v>
      </c>
      <c r="BJ40" s="179">
        <f t="shared" si="14"/>
        <v>1305</v>
      </c>
      <c r="BK40" s="179"/>
      <c r="BL40" s="179">
        <f t="shared" si="15"/>
        <v>0</v>
      </c>
      <c r="BM40" s="178"/>
      <c r="BN40" s="7"/>
      <c r="BO40" s="20"/>
      <c r="BP40" s="182"/>
      <c r="BQ40" s="182">
        <f t="shared" si="34"/>
        <v>0</v>
      </c>
      <c r="BR40" s="182">
        <f t="shared" si="16"/>
        <v>1</v>
      </c>
      <c r="BS40" s="182">
        <f t="shared" si="17"/>
        <v>0.785714285714286</v>
      </c>
      <c r="BT40" s="188">
        <f t="shared" si="18"/>
        <v>66</v>
      </c>
      <c r="BU40" s="20">
        <f t="shared" si="19"/>
        <v>84</v>
      </c>
      <c r="BV40" s="20">
        <f t="shared" si="20"/>
        <v>18</v>
      </c>
      <c r="BW40" s="185">
        <f t="shared" si="21"/>
        <v>0.214285714285714</v>
      </c>
      <c r="BX40" s="182">
        <f t="shared" si="22"/>
        <v>1</v>
      </c>
      <c r="BY40" s="182">
        <f t="shared" si="23"/>
        <v>1</v>
      </c>
      <c r="BZ40" s="182">
        <f t="shared" si="24"/>
        <v>1</v>
      </c>
      <c r="CA40" s="182">
        <f t="shared" si="25"/>
        <v>0</v>
      </c>
      <c r="CB40" s="189">
        <f t="shared" si="41"/>
        <v>0</v>
      </c>
      <c r="CC40" s="190">
        <f t="shared" si="42"/>
        <v>0.107142857142857</v>
      </c>
      <c r="CD40" s="190">
        <f t="shared" si="43"/>
        <v>0</v>
      </c>
      <c r="CE40" s="189">
        <v>0.08</v>
      </c>
      <c r="CF40" s="189">
        <v>0.08</v>
      </c>
      <c r="CG40" s="189">
        <v>0.08</v>
      </c>
      <c r="CH40" s="189">
        <v>0.08</v>
      </c>
      <c r="CI40" s="189">
        <v>0.05</v>
      </c>
      <c r="CJ40" s="189">
        <v>0.06</v>
      </c>
      <c r="CK40" s="189">
        <v>0.04</v>
      </c>
      <c r="CL40" s="191">
        <v>23</v>
      </c>
      <c r="CM40" s="191" t="s">
        <v>84</v>
      </c>
      <c r="CN40" s="191">
        <v>29</v>
      </c>
      <c r="CO40" s="191" t="s">
        <v>84</v>
      </c>
      <c r="CP40" s="191">
        <v>73</v>
      </c>
      <c r="CQ40" s="191">
        <v>22</v>
      </c>
      <c r="CR40" s="191">
        <v>24</v>
      </c>
      <c r="CS40" s="191">
        <v>9</v>
      </c>
      <c r="CT40" s="191">
        <v>17</v>
      </c>
      <c r="CU40" s="191">
        <v>9</v>
      </c>
      <c r="CV40" s="191">
        <v>24</v>
      </c>
      <c r="CW40" s="191">
        <v>8</v>
      </c>
      <c r="CX40" s="191" t="s">
        <v>84</v>
      </c>
      <c r="CY40" s="191">
        <v>5</v>
      </c>
      <c r="CZ40" s="127"/>
      <c r="DA40" s="127"/>
      <c r="DB40" s="127"/>
      <c r="DC40" s="127"/>
      <c r="DD40" s="127">
        <v>2.9</v>
      </c>
      <c r="DE40" s="127">
        <v>4.02</v>
      </c>
      <c r="DF40" s="127">
        <v>0.47</v>
      </c>
      <c r="DG40" s="127">
        <v>3.41</v>
      </c>
      <c r="DH40" s="127">
        <v>3.38</v>
      </c>
      <c r="DI40" s="127">
        <v>2.72</v>
      </c>
      <c r="DJ40" s="127">
        <v>0.34</v>
      </c>
      <c r="DK40" s="127"/>
      <c r="DL40" s="198">
        <v>0.0023</v>
      </c>
      <c r="DM40" s="198">
        <v>0.0025</v>
      </c>
      <c r="DN40" s="198">
        <v>0.0025</v>
      </c>
      <c r="DO40" s="198">
        <v>0.0025</v>
      </c>
      <c r="DP40" s="127"/>
      <c r="DQ40" s="192">
        <v>0.045</v>
      </c>
      <c r="DR40" s="192">
        <v>0.0508</v>
      </c>
      <c r="DS40" s="192">
        <v>0.0489</v>
      </c>
      <c r="DT40" s="192">
        <v>0.0486</v>
      </c>
      <c r="DU40" s="192">
        <v>0.061</v>
      </c>
      <c r="DV40" s="192">
        <v>0.0628</v>
      </c>
      <c r="DW40" s="127"/>
      <c r="DX40" s="192">
        <v>0.0175</v>
      </c>
      <c r="DY40" s="192">
        <v>0.0205</v>
      </c>
      <c r="DZ40" s="192">
        <v>0.0205</v>
      </c>
      <c r="EA40" s="192">
        <v>0.0205</v>
      </c>
      <c r="EB40" s="192">
        <v>0.031</v>
      </c>
      <c r="EC40" s="192">
        <v>0.0257</v>
      </c>
      <c r="ED40" s="127"/>
      <c r="EE40" s="127">
        <v>0.39</v>
      </c>
      <c r="EF40" s="127">
        <v>0.61</v>
      </c>
      <c r="EG40" s="127">
        <v>0.54</v>
      </c>
      <c r="EH40" s="127">
        <v>0.35</v>
      </c>
      <c r="EI40" s="127">
        <v>0.58</v>
      </c>
      <c r="EJ40" s="127">
        <v>0.55</v>
      </c>
      <c r="EK40" s="127"/>
      <c r="EL40" s="127"/>
      <c r="EM40" s="127"/>
      <c r="EN40" s="127"/>
      <c r="EO40" s="127"/>
      <c r="EP40" s="127"/>
      <c r="EQ40" s="127"/>
      <c r="ER40" s="127"/>
      <c r="ES40" s="127"/>
      <c r="ET40" s="127"/>
      <c r="EU40" s="127"/>
      <c r="EV40" s="127"/>
      <c r="EW40" s="127"/>
      <c r="EX40" s="127"/>
      <c r="EY40" s="127"/>
      <c r="EZ40" s="127">
        <v>0.55</v>
      </c>
      <c r="FA40" s="192">
        <f t="shared" si="26"/>
        <v>0.00659736105557777</v>
      </c>
      <c r="FB40" s="192">
        <v>0.0025</v>
      </c>
      <c r="FC40" s="192">
        <f t="shared" si="27"/>
        <v>0.107142857142857</v>
      </c>
      <c r="FD40" s="192">
        <f t="shared" si="28"/>
        <v>0</v>
      </c>
      <c r="FE40" s="193">
        <f t="shared" si="29"/>
        <v>1</v>
      </c>
      <c r="FF40" s="127"/>
      <c r="FG40" s="127"/>
      <c r="FH40" s="127"/>
      <c r="FI40" s="194">
        <v>0.045</v>
      </c>
      <c r="FJ40" s="194">
        <f t="shared" si="30"/>
        <v>0.107142857142857</v>
      </c>
      <c r="FK40" s="196">
        <v>89.57</v>
      </c>
      <c r="FL40" s="127">
        <f t="shared" si="38"/>
        <v>13.4355</v>
      </c>
      <c r="FM40" s="196">
        <v>5.19</v>
      </c>
      <c r="FN40" s="127">
        <f t="shared" si="31"/>
        <v>77</v>
      </c>
      <c r="FO40" s="127"/>
      <c r="FP40" s="127">
        <f t="shared" si="32"/>
        <v>32.18</v>
      </c>
      <c r="FQ40" s="127">
        <f t="shared" si="33"/>
        <v>289.62</v>
      </c>
      <c r="FR40" s="196">
        <v>32.18</v>
      </c>
      <c r="FS40" s="127"/>
      <c r="FT40" s="127"/>
      <c r="FU40" s="127"/>
      <c r="FV40" s="127"/>
      <c r="FW40" s="127"/>
      <c r="FX40" s="127"/>
      <c r="FY40" s="127"/>
      <c r="FZ40" s="127"/>
      <c r="GA40" s="127"/>
      <c r="GB40" s="127"/>
      <c r="GC40" s="127"/>
      <c r="GD40" s="127"/>
      <c r="GE40" s="127"/>
      <c r="GF40" s="127"/>
      <c r="GG40" s="127"/>
      <c r="GH40" s="127"/>
      <c r="GI40" s="127"/>
      <c r="GJ40" s="127"/>
      <c r="GK40" s="127"/>
      <c r="GL40" s="127"/>
      <c r="GM40" s="127"/>
      <c r="GN40" s="127"/>
      <c r="GO40" s="127"/>
      <c r="GP40" s="127"/>
      <c r="GQ40" s="127"/>
      <c r="GR40" s="127"/>
      <c r="GS40" s="127"/>
      <c r="GT40" s="127"/>
      <c r="GU40" s="127"/>
      <c r="GV40" s="127"/>
      <c r="GW40" s="127"/>
      <c r="GX40" s="127"/>
      <c r="GY40" s="127"/>
      <c r="GZ40" s="127"/>
    </row>
    <row r="41" ht="13.2" spans="1:208">
      <c r="A41" s="172">
        <v>45832</v>
      </c>
      <c r="B41" s="20" t="s">
        <v>375</v>
      </c>
      <c r="C41" s="173" t="s">
        <v>401</v>
      </c>
      <c r="D41" s="174">
        <v>139.99</v>
      </c>
      <c r="E41" s="175">
        <v>89.57</v>
      </c>
      <c r="F41" s="176">
        <v>0.3</v>
      </c>
      <c r="G41" s="176">
        <v>0.15</v>
      </c>
      <c r="H41" s="177">
        <f t="shared" si="0"/>
        <v>83.29405</v>
      </c>
      <c r="I41" s="176">
        <v>0.08</v>
      </c>
      <c r="J41" s="178">
        <v>0.06</v>
      </c>
      <c r="K41" s="20">
        <v>84</v>
      </c>
      <c r="L41" s="20">
        <v>25</v>
      </c>
      <c r="M41" s="20">
        <f t="shared" si="39"/>
        <v>109</v>
      </c>
      <c r="N41" s="176">
        <f t="shared" si="1"/>
        <v>0.0917431192660551</v>
      </c>
      <c r="O41" s="179">
        <f t="shared" si="2"/>
        <v>8</v>
      </c>
      <c r="P41" s="179">
        <f t="shared" si="3"/>
        <v>9</v>
      </c>
      <c r="Q41" s="20">
        <v>10</v>
      </c>
      <c r="R41" s="20">
        <v>10</v>
      </c>
      <c r="S41" s="20">
        <v>1</v>
      </c>
      <c r="T41" s="174">
        <v>1</v>
      </c>
      <c r="U41" s="176">
        <v>1</v>
      </c>
      <c r="V41" s="20">
        <v>0</v>
      </c>
      <c r="W41" s="174">
        <v>873.3</v>
      </c>
      <c r="X41" s="20">
        <v>21</v>
      </c>
      <c r="Y41" s="20">
        <v>8</v>
      </c>
      <c r="Z41" s="20">
        <v>39</v>
      </c>
      <c r="AA41" s="20" t="s">
        <v>84</v>
      </c>
      <c r="AB41" s="20">
        <v>84</v>
      </c>
      <c r="AC41" s="20">
        <v>24</v>
      </c>
      <c r="AD41" s="20">
        <v>28</v>
      </c>
      <c r="AE41" s="20">
        <v>10</v>
      </c>
      <c r="AF41" s="20">
        <v>21</v>
      </c>
      <c r="AG41" s="20">
        <v>6</v>
      </c>
      <c r="AH41" s="20">
        <v>22</v>
      </c>
      <c r="AI41" s="20" t="s">
        <v>84</v>
      </c>
      <c r="AJ41" s="20" t="s">
        <v>84</v>
      </c>
      <c r="AK41" s="20" t="s">
        <v>84</v>
      </c>
      <c r="AL41" s="174">
        <v>211</v>
      </c>
      <c r="AM41" s="180">
        <v>264228</v>
      </c>
      <c r="AN41" s="173">
        <v>310</v>
      </c>
      <c r="AO41" s="174">
        <v>14</v>
      </c>
      <c r="AP41" s="174">
        <v>5</v>
      </c>
      <c r="AQ41" s="174"/>
      <c r="AR41" s="174"/>
      <c r="AS41" s="181">
        <v>12533</v>
      </c>
      <c r="AT41" s="20">
        <v>64</v>
      </c>
      <c r="AU41" s="182">
        <f t="shared" si="4"/>
        <v>0.00510651879039336</v>
      </c>
      <c r="AV41" s="20">
        <v>1</v>
      </c>
      <c r="AW41" s="183">
        <f t="shared" si="5"/>
        <v>0.9171875</v>
      </c>
      <c r="AX41" s="184">
        <f t="shared" si="6"/>
        <v>0</v>
      </c>
      <c r="AY41" s="176">
        <f t="shared" si="7"/>
        <v>0.015625</v>
      </c>
      <c r="AZ41" s="185">
        <f t="shared" si="8"/>
        <v>0.111111111111111</v>
      </c>
      <c r="BA41" s="183">
        <v>58.7</v>
      </c>
      <c r="BB41" s="176">
        <f t="shared" si="40"/>
        <v>0</v>
      </c>
      <c r="BC41" s="179">
        <f t="shared" si="10"/>
        <v>58.7</v>
      </c>
      <c r="BD41" s="179">
        <v>0</v>
      </c>
      <c r="BE41" s="182">
        <v>0</v>
      </c>
      <c r="BF41" s="186">
        <f t="shared" si="11"/>
        <v>-26.52</v>
      </c>
      <c r="BG41" s="186">
        <v>32.18</v>
      </c>
      <c r="BH41" s="187">
        <f t="shared" si="12"/>
        <v>209.34</v>
      </c>
      <c r="BI41" s="182">
        <f t="shared" si="13"/>
        <v>0.239711439367915</v>
      </c>
      <c r="BJ41" s="179">
        <f t="shared" si="14"/>
        <v>1450</v>
      </c>
      <c r="BK41" s="179"/>
      <c r="BL41" s="179">
        <f t="shared" si="15"/>
        <v>21.58</v>
      </c>
      <c r="BM41" s="178"/>
      <c r="BN41" s="7"/>
      <c r="BO41" s="20"/>
      <c r="BP41" s="182"/>
      <c r="BQ41" s="182">
        <f t="shared" si="34"/>
        <v>0.1</v>
      </c>
      <c r="BR41" s="182">
        <f t="shared" si="16"/>
        <v>0.8</v>
      </c>
      <c r="BS41" s="182">
        <f t="shared" si="17"/>
        <v>0.587155963302752</v>
      </c>
      <c r="BT41" s="188">
        <f t="shared" si="18"/>
        <v>64</v>
      </c>
      <c r="BU41" s="20">
        <f t="shared" si="19"/>
        <v>109</v>
      </c>
      <c r="BV41" s="20">
        <f t="shared" si="20"/>
        <v>45</v>
      </c>
      <c r="BW41" s="185">
        <f t="shared" si="21"/>
        <v>0.412844036697248</v>
      </c>
      <c r="BX41" s="182">
        <f t="shared" si="22"/>
        <v>0.8</v>
      </c>
      <c r="BY41" s="182">
        <f t="shared" si="23"/>
        <v>0.9</v>
      </c>
      <c r="BZ41" s="182">
        <f t="shared" si="24"/>
        <v>0.8</v>
      </c>
      <c r="CA41" s="182">
        <f t="shared" si="25"/>
        <v>0.1</v>
      </c>
      <c r="CB41" s="189">
        <f t="shared" si="41"/>
        <v>0.125</v>
      </c>
      <c r="CC41" s="190">
        <f t="shared" si="42"/>
        <v>0.0917431192660551</v>
      </c>
      <c r="CD41" s="190">
        <f t="shared" si="43"/>
        <v>0.015625</v>
      </c>
      <c r="CE41" s="189">
        <v>0.08</v>
      </c>
      <c r="CF41" s="189">
        <v>0.08</v>
      </c>
      <c r="CG41" s="189">
        <v>0.08</v>
      </c>
      <c r="CH41" s="189">
        <v>0.08</v>
      </c>
      <c r="CI41" s="189">
        <v>0.05</v>
      </c>
      <c r="CJ41" s="189">
        <v>0.06</v>
      </c>
      <c r="CK41" s="189">
        <v>0.04</v>
      </c>
      <c r="CL41" s="191">
        <v>21</v>
      </c>
      <c r="CM41" s="191">
        <v>8</v>
      </c>
      <c r="CN41" s="191">
        <v>39</v>
      </c>
      <c r="CO41" s="191" t="s">
        <v>84</v>
      </c>
      <c r="CP41" s="191">
        <v>84</v>
      </c>
      <c r="CQ41" s="191">
        <v>24</v>
      </c>
      <c r="CR41" s="191">
        <v>28</v>
      </c>
      <c r="CS41" s="191">
        <v>10</v>
      </c>
      <c r="CT41" s="191">
        <v>21</v>
      </c>
      <c r="CU41" s="191">
        <v>6</v>
      </c>
      <c r="CV41" s="191">
        <v>22</v>
      </c>
      <c r="CW41" s="191" t="s">
        <v>84</v>
      </c>
      <c r="CX41" s="191" t="s">
        <v>84</v>
      </c>
      <c r="CY41" s="191" t="s">
        <v>84</v>
      </c>
      <c r="CZ41" s="127"/>
      <c r="DA41" s="127"/>
      <c r="DB41" s="127"/>
      <c r="DC41" s="127"/>
      <c r="DD41" s="127">
        <v>2.9</v>
      </c>
      <c r="DE41" s="127">
        <v>4.02</v>
      </c>
      <c r="DF41" s="127">
        <v>0.47</v>
      </c>
      <c r="DG41" s="127">
        <v>3.41</v>
      </c>
      <c r="DH41" s="127">
        <v>3.39</v>
      </c>
      <c r="DI41" s="127">
        <v>2.72</v>
      </c>
      <c r="DJ41" s="127">
        <v>0.34</v>
      </c>
      <c r="DK41" s="127"/>
      <c r="DL41" s="198">
        <v>0.0023</v>
      </c>
      <c r="DM41" s="198">
        <v>0.0025</v>
      </c>
      <c r="DN41" s="198">
        <v>0.0025</v>
      </c>
      <c r="DO41" s="198">
        <v>0.0025</v>
      </c>
      <c r="DP41" s="127"/>
      <c r="DQ41" s="192">
        <v>0.045</v>
      </c>
      <c r="DR41" s="192">
        <v>0.0508</v>
      </c>
      <c r="DS41" s="192">
        <v>0.0489</v>
      </c>
      <c r="DT41" s="192">
        <v>0.0486</v>
      </c>
      <c r="DU41" s="192">
        <v>0.061</v>
      </c>
      <c r="DV41" s="192">
        <v>0.0628</v>
      </c>
      <c r="DW41" s="127"/>
      <c r="DX41" s="192">
        <v>0.0175</v>
      </c>
      <c r="DY41" s="192">
        <v>0.0205</v>
      </c>
      <c r="DZ41" s="192">
        <v>0.0205</v>
      </c>
      <c r="EA41" s="192">
        <v>0.0205</v>
      </c>
      <c r="EB41" s="192">
        <v>0.031</v>
      </c>
      <c r="EC41" s="192">
        <v>0.0257</v>
      </c>
      <c r="ED41" s="127"/>
      <c r="EE41" s="127">
        <v>0.39</v>
      </c>
      <c r="EF41" s="127">
        <v>0.61</v>
      </c>
      <c r="EG41" s="127">
        <v>0.54</v>
      </c>
      <c r="EH41" s="127">
        <v>0.35</v>
      </c>
      <c r="EI41" s="127">
        <v>0.58</v>
      </c>
      <c r="EJ41" s="127">
        <v>0.55</v>
      </c>
      <c r="EK41" s="127"/>
      <c r="EL41" s="127"/>
      <c r="EM41" s="127"/>
      <c r="EN41" s="127"/>
      <c r="EO41" s="127"/>
      <c r="EP41" s="127"/>
      <c r="EQ41" s="127"/>
      <c r="ER41" s="195" t="s">
        <v>402</v>
      </c>
      <c r="ES41" s="127"/>
      <c r="ET41" s="127"/>
      <c r="EU41" s="127"/>
      <c r="EV41" s="127"/>
      <c r="EW41" s="127"/>
      <c r="EX41" s="127"/>
      <c r="EY41" s="127"/>
      <c r="EZ41" s="127">
        <v>0.55</v>
      </c>
      <c r="FA41" s="192">
        <f t="shared" si="26"/>
        <v>0.00510651879039336</v>
      </c>
      <c r="FB41" s="192">
        <v>0.0025</v>
      </c>
      <c r="FC41" s="192">
        <f t="shared" si="27"/>
        <v>0.0917431192660551</v>
      </c>
      <c r="FD41" s="192">
        <f t="shared" si="28"/>
        <v>0.015625</v>
      </c>
      <c r="FE41" s="193">
        <f t="shared" si="29"/>
        <v>0.8</v>
      </c>
      <c r="FF41" s="127"/>
      <c r="FG41" s="127"/>
      <c r="FH41" s="127"/>
      <c r="FI41" s="194">
        <v>0.045</v>
      </c>
      <c r="FJ41" s="194">
        <f t="shared" si="30"/>
        <v>0.0917431192660551</v>
      </c>
      <c r="FK41" s="196">
        <v>89.57</v>
      </c>
      <c r="FL41" s="127">
        <f t="shared" si="38"/>
        <v>13.4355</v>
      </c>
      <c r="FM41" s="196">
        <v>5.19</v>
      </c>
      <c r="FN41" s="127">
        <f t="shared" si="31"/>
        <v>58.7</v>
      </c>
      <c r="FO41" s="127"/>
      <c r="FP41" s="127">
        <f t="shared" si="32"/>
        <v>-26.52</v>
      </c>
      <c r="FQ41" s="127">
        <f t="shared" si="33"/>
        <v>209.34</v>
      </c>
      <c r="FR41" s="196">
        <v>32.18</v>
      </c>
      <c r="FS41" s="127"/>
      <c r="FT41" s="127"/>
      <c r="FU41" s="127"/>
      <c r="FV41" s="127"/>
      <c r="FW41" s="127"/>
      <c r="FX41" s="127"/>
      <c r="FY41" s="127"/>
      <c r="FZ41" s="127"/>
      <c r="GA41" s="127"/>
      <c r="GB41" s="127"/>
      <c r="GC41" s="127"/>
      <c r="GD41" s="127"/>
      <c r="GE41" s="127"/>
      <c r="GF41" s="127"/>
      <c r="GG41" s="127"/>
      <c r="GH41" s="127"/>
      <c r="GI41" s="127"/>
      <c r="GJ41" s="127"/>
      <c r="GK41" s="127"/>
      <c r="GL41" s="127"/>
      <c r="GM41" s="127"/>
      <c r="GN41" s="127"/>
      <c r="GO41" s="127"/>
      <c r="GP41" s="127"/>
      <c r="GQ41" s="127"/>
      <c r="GR41" s="127"/>
      <c r="GS41" s="127"/>
      <c r="GT41" s="127"/>
      <c r="GU41" s="127"/>
      <c r="GV41" s="127"/>
      <c r="GW41" s="127"/>
      <c r="GX41" s="127"/>
      <c r="GY41" s="127"/>
      <c r="GZ41" s="127"/>
    </row>
    <row r="42" ht="13.2" spans="1:208">
      <c r="A42" s="172">
        <v>45833</v>
      </c>
      <c r="B42" s="20" t="s">
        <v>377</v>
      </c>
      <c r="C42" s="173" t="s">
        <v>403</v>
      </c>
      <c r="D42" s="174">
        <v>139.99</v>
      </c>
      <c r="E42" s="175">
        <v>89.57</v>
      </c>
      <c r="F42" s="176">
        <v>0.3</v>
      </c>
      <c r="G42" s="176">
        <v>0.15</v>
      </c>
      <c r="H42" s="177">
        <f t="shared" si="0"/>
        <v>83.29405</v>
      </c>
      <c r="I42" s="176">
        <v>0.08</v>
      </c>
      <c r="J42" s="178">
        <v>0.06</v>
      </c>
      <c r="K42" s="20">
        <v>85</v>
      </c>
      <c r="L42" s="20">
        <v>20</v>
      </c>
      <c r="M42" s="20">
        <f t="shared" si="39"/>
        <v>105</v>
      </c>
      <c r="N42" s="176">
        <f t="shared" si="1"/>
        <v>0.0952380952380952</v>
      </c>
      <c r="O42" s="179">
        <f t="shared" si="2"/>
        <v>8</v>
      </c>
      <c r="P42" s="179">
        <f t="shared" si="3"/>
        <v>10</v>
      </c>
      <c r="Q42" s="174">
        <v>10</v>
      </c>
      <c r="R42" s="174">
        <v>10</v>
      </c>
      <c r="S42" s="20">
        <v>0</v>
      </c>
      <c r="T42" s="20">
        <v>0</v>
      </c>
      <c r="U42" s="176">
        <v>0</v>
      </c>
      <c r="V42" s="20">
        <v>0</v>
      </c>
      <c r="W42" s="174">
        <v>873.3</v>
      </c>
      <c r="X42" s="20">
        <v>28</v>
      </c>
      <c r="Y42" s="20">
        <v>10</v>
      </c>
      <c r="Z42" s="20">
        <v>28</v>
      </c>
      <c r="AA42" s="20" t="s">
        <v>84</v>
      </c>
      <c r="AB42" s="20">
        <v>91</v>
      </c>
      <c r="AC42" s="20">
        <v>11</v>
      </c>
      <c r="AD42" s="20">
        <v>28</v>
      </c>
      <c r="AE42" s="20">
        <v>11</v>
      </c>
      <c r="AF42" s="20">
        <v>24</v>
      </c>
      <c r="AG42" s="20" t="s">
        <v>84</v>
      </c>
      <c r="AH42" s="20">
        <v>29</v>
      </c>
      <c r="AI42" s="20">
        <v>8</v>
      </c>
      <c r="AJ42" s="20" t="s">
        <v>84</v>
      </c>
      <c r="AK42" s="20">
        <v>17</v>
      </c>
      <c r="AL42" s="174">
        <v>211</v>
      </c>
      <c r="AM42" s="180">
        <v>175175</v>
      </c>
      <c r="AN42" s="173">
        <v>239</v>
      </c>
      <c r="AO42" s="174">
        <v>67</v>
      </c>
      <c r="AP42" s="174">
        <v>4.9</v>
      </c>
      <c r="AQ42" s="174"/>
      <c r="AR42" s="174"/>
      <c r="AS42" s="181">
        <v>4169</v>
      </c>
      <c r="AT42" s="20">
        <v>44</v>
      </c>
      <c r="AU42" s="182">
        <f t="shared" si="4"/>
        <v>0.0105540897097625</v>
      </c>
      <c r="AV42" s="20">
        <v>2</v>
      </c>
      <c r="AW42" s="183">
        <f t="shared" si="5"/>
        <v>1.24886363636364</v>
      </c>
      <c r="AX42" s="184">
        <f t="shared" si="6"/>
        <v>0</v>
      </c>
      <c r="AY42" s="176">
        <f t="shared" si="7"/>
        <v>0.0454545454545455</v>
      </c>
      <c r="AZ42" s="185">
        <f t="shared" si="8"/>
        <v>0.2</v>
      </c>
      <c r="BA42" s="183">
        <v>54.95</v>
      </c>
      <c r="BB42" s="176">
        <f t="shared" si="40"/>
        <v>0</v>
      </c>
      <c r="BC42" s="179">
        <f t="shared" si="10"/>
        <v>27.475</v>
      </c>
      <c r="BD42" s="179">
        <v>0</v>
      </c>
      <c r="BE42" s="182">
        <v>0</v>
      </c>
      <c r="BF42" s="186">
        <f t="shared" si="11"/>
        <v>4.705</v>
      </c>
      <c r="BG42" s="186">
        <v>32.18</v>
      </c>
      <c r="BH42" s="187">
        <f t="shared" si="12"/>
        <v>266.85</v>
      </c>
      <c r="BI42" s="182">
        <f t="shared" si="13"/>
        <v>0.3055650979045</v>
      </c>
      <c r="BJ42" s="179">
        <f t="shared" si="14"/>
        <v>1450</v>
      </c>
      <c r="BK42" s="179"/>
      <c r="BL42" s="179">
        <f t="shared" si="15"/>
        <v>0</v>
      </c>
      <c r="BM42" s="178"/>
      <c r="BN42" s="7"/>
      <c r="BO42" s="20"/>
      <c r="BP42" s="182"/>
      <c r="BQ42" s="182">
        <f t="shared" si="34"/>
        <v>0.2</v>
      </c>
      <c r="BR42" s="182">
        <f t="shared" si="16"/>
        <v>0.8</v>
      </c>
      <c r="BS42" s="182">
        <f t="shared" si="17"/>
        <v>0.419047619047619</v>
      </c>
      <c r="BT42" s="188">
        <f t="shared" si="18"/>
        <v>44</v>
      </c>
      <c r="BU42" s="20">
        <f t="shared" si="19"/>
        <v>105</v>
      </c>
      <c r="BV42" s="20">
        <f t="shared" si="20"/>
        <v>61</v>
      </c>
      <c r="BW42" s="185">
        <f t="shared" si="21"/>
        <v>0.580952380952381</v>
      </c>
      <c r="BX42" s="182">
        <f t="shared" si="22"/>
        <v>0.8</v>
      </c>
      <c r="BY42" s="182">
        <f t="shared" si="23"/>
        <v>1</v>
      </c>
      <c r="BZ42" s="182">
        <f t="shared" si="24"/>
        <v>0.8</v>
      </c>
      <c r="CA42" s="182">
        <f t="shared" si="25"/>
        <v>0.2</v>
      </c>
      <c r="CB42" s="189">
        <f t="shared" si="41"/>
        <v>0.25</v>
      </c>
      <c r="CC42" s="190">
        <f t="shared" si="42"/>
        <v>0.0952380952380952</v>
      </c>
      <c r="CD42" s="190">
        <f t="shared" si="43"/>
        <v>0.0454545454545455</v>
      </c>
      <c r="CE42" s="189">
        <v>0.08</v>
      </c>
      <c r="CF42" s="189">
        <v>0.08</v>
      </c>
      <c r="CG42" s="189">
        <v>0.08</v>
      </c>
      <c r="CH42" s="189">
        <v>0.08</v>
      </c>
      <c r="CI42" s="189">
        <v>0.05</v>
      </c>
      <c r="CJ42" s="189">
        <v>0.06</v>
      </c>
      <c r="CK42" s="189">
        <v>0.04</v>
      </c>
      <c r="CL42" s="191">
        <v>28</v>
      </c>
      <c r="CM42" s="191">
        <v>10</v>
      </c>
      <c r="CN42" s="191">
        <v>28</v>
      </c>
      <c r="CO42" s="191" t="s">
        <v>84</v>
      </c>
      <c r="CP42" s="191">
        <v>91</v>
      </c>
      <c r="CQ42" s="191">
        <v>11</v>
      </c>
      <c r="CR42" s="191">
        <v>28</v>
      </c>
      <c r="CS42" s="191">
        <v>11</v>
      </c>
      <c r="CT42" s="191">
        <v>24</v>
      </c>
      <c r="CU42" s="191" t="s">
        <v>84</v>
      </c>
      <c r="CV42" s="191">
        <v>29</v>
      </c>
      <c r="CW42" s="191">
        <v>8</v>
      </c>
      <c r="CX42" s="191" t="s">
        <v>84</v>
      </c>
      <c r="CY42" s="191">
        <v>17</v>
      </c>
      <c r="CZ42" s="127"/>
      <c r="DA42" s="127"/>
      <c r="DB42" s="127"/>
      <c r="DC42" s="127"/>
      <c r="DD42" s="127">
        <v>2.9</v>
      </c>
      <c r="DE42" s="127">
        <v>4.02</v>
      </c>
      <c r="DF42" s="127">
        <v>0.47</v>
      </c>
      <c r="DG42" s="127">
        <v>3.41</v>
      </c>
      <c r="DH42" s="127">
        <v>3.41</v>
      </c>
      <c r="DI42" s="127">
        <v>2.72</v>
      </c>
      <c r="DJ42" s="127">
        <v>0.34</v>
      </c>
      <c r="DK42" s="127"/>
      <c r="DL42" s="198">
        <v>0.0023</v>
      </c>
      <c r="DM42" s="198">
        <v>0.0025</v>
      </c>
      <c r="DN42" s="198">
        <v>0.0025</v>
      </c>
      <c r="DO42" s="198">
        <v>0.0025</v>
      </c>
      <c r="DP42" s="127"/>
      <c r="DQ42" s="192">
        <v>0.045</v>
      </c>
      <c r="DR42" s="192">
        <v>0.0508</v>
      </c>
      <c r="DS42" s="192">
        <v>0.0489</v>
      </c>
      <c r="DT42" s="192">
        <v>0.0486</v>
      </c>
      <c r="DU42" s="192">
        <v>0.061</v>
      </c>
      <c r="DV42" s="192">
        <v>0.0628</v>
      </c>
      <c r="DW42" s="127"/>
      <c r="DX42" s="192">
        <v>0.0175</v>
      </c>
      <c r="DY42" s="192">
        <v>0.0205</v>
      </c>
      <c r="DZ42" s="192">
        <v>0.0205</v>
      </c>
      <c r="EA42" s="192">
        <v>0.0205</v>
      </c>
      <c r="EB42" s="192">
        <v>0.031</v>
      </c>
      <c r="EC42" s="192">
        <v>0.0257</v>
      </c>
      <c r="ED42" s="127"/>
      <c r="EE42" s="127">
        <v>0.39</v>
      </c>
      <c r="EF42" s="127">
        <v>0.61</v>
      </c>
      <c r="EG42" s="127">
        <v>0.54</v>
      </c>
      <c r="EH42" s="127">
        <v>0.35</v>
      </c>
      <c r="EI42" s="127">
        <v>0.58</v>
      </c>
      <c r="EJ42" s="127">
        <v>0.55</v>
      </c>
      <c r="EK42" s="127"/>
      <c r="EL42" s="127"/>
      <c r="EM42" s="127"/>
      <c r="EN42" s="127"/>
      <c r="EO42" s="127"/>
      <c r="EP42" s="127"/>
      <c r="EQ42" s="127"/>
      <c r="ER42" s="195" t="s">
        <v>404</v>
      </c>
      <c r="ES42" s="192">
        <v>0.0055</v>
      </c>
      <c r="ET42" s="192">
        <v>0.0065</v>
      </c>
      <c r="EU42" s="192">
        <v>0.008</v>
      </c>
      <c r="EV42" s="192">
        <v>0.0058</v>
      </c>
      <c r="EW42" s="192">
        <v>0.0088</v>
      </c>
      <c r="EX42" s="192">
        <v>0.0065</v>
      </c>
      <c r="EY42" s="127"/>
      <c r="EZ42" s="127">
        <v>0.55</v>
      </c>
      <c r="FA42" s="192">
        <f t="shared" si="26"/>
        <v>0.0105540897097625</v>
      </c>
      <c r="FB42" s="192">
        <v>0.0025</v>
      </c>
      <c r="FC42" s="192">
        <f t="shared" si="27"/>
        <v>0.0952380952380952</v>
      </c>
      <c r="FD42" s="192">
        <f t="shared" si="28"/>
        <v>0.0454545454545455</v>
      </c>
      <c r="FE42" s="193">
        <f t="shared" si="29"/>
        <v>0.8</v>
      </c>
      <c r="FF42" s="127"/>
      <c r="FG42" s="127"/>
      <c r="FH42" s="127"/>
      <c r="FI42" s="194">
        <v>0.045</v>
      </c>
      <c r="FJ42" s="194">
        <f t="shared" si="30"/>
        <v>0.0952380952380952</v>
      </c>
      <c r="FK42" s="196">
        <v>89.57</v>
      </c>
      <c r="FL42" s="127">
        <f t="shared" si="38"/>
        <v>13.4355</v>
      </c>
      <c r="FM42" s="196">
        <v>5.19</v>
      </c>
      <c r="FN42" s="127">
        <f t="shared" si="31"/>
        <v>54.95</v>
      </c>
      <c r="FO42" s="127"/>
      <c r="FP42" s="127">
        <f t="shared" si="32"/>
        <v>4.705</v>
      </c>
      <c r="FQ42" s="127">
        <f t="shared" si="33"/>
        <v>266.85</v>
      </c>
      <c r="FR42" s="196">
        <v>32.18</v>
      </c>
      <c r="FS42" s="127"/>
      <c r="FT42" s="127"/>
      <c r="FU42" s="127"/>
      <c r="FV42" s="127"/>
      <c r="FW42" s="127"/>
      <c r="FX42" s="127"/>
      <c r="FY42" s="127"/>
      <c r="FZ42" s="127"/>
      <c r="GA42" s="127"/>
      <c r="GB42" s="127"/>
      <c r="GC42" s="127"/>
      <c r="GD42" s="127"/>
      <c r="GE42" s="127"/>
      <c r="GF42" s="127"/>
      <c r="GG42" s="127"/>
      <c r="GH42" s="127"/>
      <c r="GI42" s="127"/>
      <c r="GJ42" s="127"/>
      <c r="GK42" s="127"/>
      <c r="GL42" s="127"/>
      <c r="GM42" s="127"/>
      <c r="GN42" s="127"/>
      <c r="GO42" s="127"/>
      <c r="GP42" s="127"/>
      <c r="GQ42" s="127"/>
      <c r="GR42" s="127"/>
      <c r="GS42" s="127"/>
      <c r="GT42" s="127"/>
      <c r="GU42" s="127"/>
      <c r="GV42" s="127"/>
      <c r="GW42" s="127"/>
      <c r="GX42" s="127"/>
      <c r="GY42" s="127"/>
      <c r="GZ42" s="127"/>
    </row>
    <row r="43" spans="1:208">
      <c r="A43" s="172">
        <v>45834</v>
      </c>
      <c r="B43" s="20" t="s">
        <v>379</v>
      </c>
      <c r="C43" s="173" t="s">
        <v>405</v>
      </c>
      <c r="D43" s="174">
        <v>139.99</v>
      </c>
      <c r="E43" s="175">
        <v>89.57</v>
      </c>
      <c r="F43" s="176">
        <v>0.3</v>
      </c>
      <c r="G43" s="176">
        <v>0.15</v>
      </c>
      <c r="H43" s="177">
        <f t="shared" si="0"/>
        <v>83.29405</v>
      </c>
      <c r="I43" s="176">
        <v>0.08</v>
      </c>
      <c r="J43" s="178">
        <v>0.06</v>
      </c>
      <c r="K43" s="20">
        <v>85</v>
      </c>
      <c r="L43" s="20">
        <v>20</v>
      </c>
      <c r="M43" s="20">
        <f t="shared" si="39"/>
        <v>105</v>
      </c>
      <c r="N43" s="176">
        <f t="shared" si="1"/>
        <v>0.142857142857143</v>
      </c>
      <c r="O43" s="179">
        <f t="shared" si="2"/>
        <v>12</v>
      </c>
      <c r="P43" s="179">
        <f t="shared" si="3"/>
        <v>15</v>
      </c>
      <c r="Q43" s="20">
        <v>15</v>
      </c>
      <c r="R43" s="20">
        <v>15</v>
      </c>
      <c r="S43" s="20">
        <v>0</v>
      </c>
      <c r="T43" s="20">
        <v>0</v>
      </c>
      <c r="U43" s="176">
        <v>0</v>
      </c>
      <c r="V43" s="20">
        <v>0</v>
      </c>
      <c r="W43" s="174">
        <v>1309.95</v>
      </c>
      <c r="X43" s="20">
        <v>27</v>
      </c>
      <c r="Y43" s="20">
        <v>9</v>
      </c>
      <c r="Z43" s="20">
        <v>16</v>
      </c>
      <c r="AA43" s="20">
        <v>12</v>
      </c>
      <c r="AB43" s="20">
        <v>64</v>
      </c>
      <c r="AC43" s="20" t="s">
        <v>84</v>
      </c>
      <c r="AD43" s="20">
        <v>21</v>
      </c>
      <c r="AE43" s="20" t="s">
        <v>84</v>
      </c>
      <c r="AF43" s="20">
        <v>18</v>
      </c>
      <c r="AG43" s="20">
        <v>15</v>
      </c>
      <c r="AH43" s="20">
        <v>19</v>
      </c>
      <c r="AI43" s="20">
        <v>6</v>
      </c>
      <c r="AJ43" s="20" t="s">
        <v>84</v>
      </c>
      <c r="AK43" s="20" t="s">
        <v>84</v>
      </c>
      <c r="AL43" s="20">
        <v>314</v>
      </c>
      <c r="AM43" s="180">
        <v>155080</v>
      </c>
      <c r="AN43" s="173">
        <v>213</v>
      </c>
      <c r="AO43" s="174">
        <v>49</v>
      </c>
      <c r="AP43" s="174">
        <v>4.9</v>
      </c>
      <c r="AQ43" s="174"/>
      <c r="AR43" s="174"/>
      <c r="AS43" s="181">
        <v>6107</v>
      </c>
      <c r="AT43" s="20">
        <v>31</v>
      </c>
      <c r="AU43" s="182">
        <f t="shared" si="4"/>
        <v>0.0050761421319797</v>
      </c>
      <c r="AV43" s="20">
        <v>3</v>
      </c>
      <c r="AW43" s="183">
        <f t="shared" si="5"/>
        <v>1.35129032258065</v>
      </c>
      <c r="AX43" s="184">
        <f t="shared" si="6"/>
        <v>0</v>
      </c>
      <c r="AY43" s="176">
        <f t="shared" si="7"/>
        <v>0.0967741935483871</v>
      </c>
      <c r="AZ43" s="185">
        <f t="shared" si="8"/>
        <v>0.2</v>
      </c>
      <c r="BA43" s="183">
        <v>41.89</v>
      </c>
      <c r="BB43" s="176">
        <f t="shared" si="40"/>
        <v>0</v>
      </c>
      <c r="BC43" s="179">
        <f t="shared" si="10"/>
        <v>13.9633333333333</v>
      </c>
      <c r="BD43" s="179">
        <v>0</v>
      </c>
      <c r="BE43" s="182">
        <v>0</v>
      </c>
      <c r="BF43" s="186">
        <f t="shared" si="11"/>
        <v>18.2166666666667</v>
      </c>
      <c r="BG43" s="186">
        <v>32.18</v>
      </c>
      <c r="BH43" s="187">
        <f t="shared" si="12"/>
        <v>440.81</v>
      </c>
      <c r="BI43" s="182">
        <f t="shared" si="13"/>
        <v>0.336509027062102</v>
      </c>
      <c r="BJ43" s="179">
        <f t="shared" si="14"/>
        <v>2175</v>
      </c>
      <c r="BK43" s="179"/>
      <c r="BL43" s="179">
        <f t="shared" si="15"/>
        <v>0</v>
      </c>
      <c r="BM43" s="178"/>
      <c r="BN43" s="7"/>
      <c r="BO43" s="20"/>
      <c r="BP43" s="182"/>
      <c r="BQ43" s="182">
        <f t="shared" si="34"/>
        <v>0.2</v>
      </c>
      <c r="BR43" s="182">
        <f t="shared" si="16"/>
        <v>0.8</v>
      </c>
      <c r="BS43" s="182">
        <f t="shared" si="17"/>
        <v>0.295238095238095</v>
      </c>
      <c r="BT43" s="188">
        <f t="shared" si="18"/>
        <v>31</v>
      </c>
      <c r="BU43" s="20">
        <f t="shared" si="19"/>
        <v>105</v>
      </c>
      <c r="BV43" s="20">
        <f t="shared" si="20"/>
        <v>74</v>
      </c>
      <c r="BW43" s="185">
        <f t="shared" si="21"/>
        <v>0.704761904761905</v>
      </c>
      <c r="BX43" s="182">
        <f t="shared" si="22"/>
        <v>0.8</v>
      </c>
      <c r="BY43" s="182">
        <f t="shared" si="23"/>
        <v>1</v>
      </c>
      <c r="BZ43" s="182">
        <f t="shared" si="24"/>
        <v>0.8</v>
      </c>
      <c r="CA43" s="182">
        <f t="shared" si="25"/>
        <v>0.2</v>
      </c>
      <c r="CB43" s="189">
        <f t="shared" si="41"/>
        <v>0.25</v>
      </c>
      <c r="CC43" s="190">
        <f t="shared" si="42"/>
        <v>0.142857142857143</v>
      </c>
      <c r="CD43" s="190">
        <f t="shared" si="43"/>
        <v>0.0967741935483871</v>
      </c>
      <c r="CE43" s="189">
        <v>0.08</v>
      </c>
      <c r="CF43" s="189">
        <v>0.08</v>
      </c>
      <c r="CG43" s="189">
        <v>0.08</v>
      </c>
      <c r="CH43" s="189">
        <v>0.08</v>
      </c>
      <c r="CI43" s="189">
        <v>0.05</v>
      </c>
      <c r="CJ43" s="189">
        <v>0.06</v>
      </c>
      <c r="CK43" s="189">
        <v>0.04</v>
      </c>
      <c r="CL43" s="191">
        <v>27</v>
      </c>
      <c r="CM43" s="191">
        <v>9</v>
      </c>
      <c r="CN43" s="191">
        <v>16</v>
      </c>
      <c r="CO43" s="191">
        <v>12</v>
      </c>
      <c r="CP43" s="191">
        <v>64</v>
      </c>
      <c r="CQ43" s="191" t="s">
        <v>84</v>
      </c>
      <c r="CR43" s="191">
        <v>21</v>
      </c>
      <c r="CS43" s="191" t="s">
        <v>84</v>
      </c>
      <c r="CT43" s="191">
        <v>18</v>
      </c>
      <c r="CU43" s="191">
        <v>15</v>
      </c>
      <c r="CV43" s="191">
        <v>19</v>
      </c>
      <c r="CW43" s="191">
        <v>6</v>
      </c>
      <c r="CX43" s="191" t="s">
        <v>84</v>
      </c>
      <c r="CY43" s="191" t="s">
        <v>84</v>
      </c>
      <c r="CZ43" s="127"/>
      <c r="DA43" s="127"/>
      <c r="DB43" s="127"/>
      <c r="DC43" s="127"/>
      <c r="DD43" s="127">
        <v>2.9</v>
      </c>
      <c r="DE43" s="127">
        <v>4.02</v>
      </c>
      <c r="DF43" s="127">
        <v>0.47</v>
      </c>
      <c r="DG43" s="127">
        <v>3.41</v>
      </c>
      <c r="DH43" s="127">
        <v>3.45</v>
      </c>
      <c r="DI43" s="127">
        <v>2.72</v>
      </c>
      <c r="DJ43" s="127">
        <v>0.34</v>
      </c>
      <c r="DK43" s="127"/>
      <c r="DL43" s="198">
        <v>0.0023</v>
      </c>
      <c r="DM43" s="198">
        <v>0.0025</v>
      </c>
      <c r="DN43" s="198">
        <v>0.0025</v>
      </c>
      <c r="DO43" s="198">
        <v>0.0025</v>
      </c>
      <c r="DP43" s="127"/>
      <c r="DQ43" s="192">
        <v>0.045</v>
      </c>
      <c r="DR43" s="192">
        <v>0.0508</v>
      </c>
      <c r="DS43" s="192">
        <v>0.0489</v>
      </c>
      <c r="DT43" s="192">
        <v>0.0486</v>
      </c>
      <c r="DU43" s="192">
        <v>0.061</v>
      </c>
      <c r="DV43" s="192">
        <v>0.0628</v>
      </c>
      <c r="DW43" s="127"/>
      <c r="DX43" s="192">
        <v>0.0175</v>
      </c>
      <c r="DY43" s="192">
        <v>0.0205</v>
      </c>
      <c r="DZ43" s="192">
        <v>0.0205</v>
      </c>
      <c r="EA43" s="192">
        <v>0.0205</v>
      </c>
      <c r="EB43" s="192">
        <v>0.031</v>
      </c>
      <c r="EC43" s="192">
        <v>0.0257</v>
      </c>
      <c r="ED43" s="127"/>
      <c r="EE43" s="127">
        <v>0.39</v>
      </c>
      <c r="EF43" s="127">
        <v>0.61</v>
      </c>
      <c r="EG43" s="127">
        <v>0.54</v>
      </c>
      <c r="EH43" s="127">
        <v>0.35</v>
      </c>
      <c r="EI43" s="127">
        <v>0.58</v>
      </c>
      <c r="EJ43" s="127">
        <v>0.55</v>
      </c>
      <c r="EK43" s="127"/>
      <c r="EL43" s="127"/>
      <c r="EM43" s="127"/>
      <c r="EN43" s="127"/>
      <c r="EO43" s="127"/>
      <c r="EP43" s="127"/>
      <c r="EQ43" s="127"/>
      <c r="ER43" s="127"/>
      <c r="ES43" s="192">
        <v>0.0055</v>
      </c>
      <c r="ET43" s="192">
        <v>0.0065</v>
      </c>
      <c r="EU43" s="192">
        <v>0.008</v>
      </c>
      <c r="EV43" s="192">
        <v>0.0058</v>
      </c>
      <c r="EW43" s="192">
        <v>0.0088</v>
      </c>
      <c r="EX43" s="192">
        <v>0.0065</v>
      </c>
      <c r="EY43" s="127"/>
      <c r="EZ43" s="127">
        <v>0.55</v>
      </c>
      <c r="FA43" s="192">
        <f t="shared" si="26"/>
        <v>0.0050761421319797</v>
      </c>
      <c r="FB43" s="192">
        <v>0.0025</v>
      </c>
      <c r="FC43" s="192">
        <f t="shared" si="27"/>
        <v>0.142857142857143</v>
      </c>
      <c r="FD43" s="192">
        <f t="shared" si="28"/>
        <v>0.0967741935483871</v>
      </c>
      <c r="FE43" s="193">
        <f t="shared" si="29"/>
        <v>0.8</v>
      </c>
      <c r="FF43" s="127"/>
      <c r="FG43" s="127"/>
      <c r="FH43" s="127"/>
      <c r="FI43" s="194">
        <v>0.045</v>
      </c>
      <c r="FJ43" s="194">
        <f t="shared" si="30"/>
        <v>0.142857142857143</v>
      </c>
      <c r="FK43" s="196">
        <v>89.57</v>
      </c>
      <c r="FL43" s="127">
        <f t="shared" si="38"/>
        <v>13.4355</v>
      </c>
      <c r="FM43" s="196">
        <v>5.19</v>
      </c>
      <c r="FN43" s="127">
        <f t="shared" si="31"/>
        <v>41.89</v>
      </c>
      <c r="FO43" s="127"/>
      <c r="FP43" s="127">
        <f t="shared" si="32"/>
        <v>18.2166666666667</v>
      </c>
      <c r="FQ43" s="127">
        <f t="shared" si="33"/>
        <v>440.81</v>
      </c>
      <c r="FR43" s="196">
        <v>32.18</v>
      </c>
      <c r="FS43" s="127"/>
      <c r="FT43" s="127"/>
      <c r="FU43" s="127"/>
      <c r="FV43" s="127"/>
      <c r="FW43" s="127"/>
      <c r="FX43" s="127"/>
      <c r="FY43" s="127"/>
      <c r="FZ43" s="127"/>
      <c r="GA43" s="127"/>
      <c r="GB43" s="127"/>
      <c r="GC43" s="127"/>
      <c r="GD43" s="127"/>
      <c r="GE43" s="127"/>
      <c r="GF43" s="127"/>
      <c r="GG43" s="127"/>
      <c r="GH43" s="127"/>
      <c r="GI43" s="127"/>
      <c r="GJ43" s="127"/>
      <c r="GK43" s="127"/>
      <c r="GL43" s="127"/>
      <c r="GM43" s="127"/>
      <c r="GN43" s="127"/>
      <c r="GO43" s="127"/>
      <c r="GP43" s="127"/>
      <c r="GQ43" s="127"/>
      <c r="GR43" s="127"/>
      <c r="GS43" s="127"/>
      <c r="GT43" s="127"/>
      <c r="GU43" s="127"/>
      <c r="GV43" s="127"/>
      <c r="GW43" s="127"/>
      <c r="GX43" s="127"/>
      <c r="GY43" s="127"/>
      <c r="GZ43" s="127"/>
    </row>
    <row r="44" spans="1:208">
      <c r="A44" s="172">
        <v>45835</v>
      </c>
      <c r="B44" s="20" t="s">
        <v>381</v>
      </c>
      <c r="C44" s="173" t="s">
        <v>406</v>
      </c>
      <c r="D44" s="174">
        <v>139.99</v>
      </c>
      <c r="E44" s="175">
        <v>89.57</v>
      </c>
      <c r="F44" s="176">
        <v>0.3</v>
      </c>
      <c r="G44" s="176">
        <v>0.15</v>
      </c>
      <c r="H44" s="177">
        <f t="shared" si="0"/>
        <v>83.29405</v>
      </c>
      <c r="I44" s="176">
        <v>0.08</v>
      </c>
      <c r="J44" s="178">
        <v>0.06</v>
      </c>
      <c r="K44" s="20">
        <v>82</v>
      </c>
      <c r="L44" s="20">
        <v>20</v>
      </c>
      <c r="M44" s="20">
        <f t="shared" si="39"/>
        <v>102</v>
      </c>
      <c r="N44" s="176">
        <f t="shared" si="1"/>
        <v>0.117647058823529</v>
      </c>
      <c r="O44" s="179">
        <f t="shared" si="2"/>
        <v>10</v>
      </c>
      <c r="P44" s="179">
        <f t="shared" si="3"/>
        <v>11</v>
      </c>
      <c r="Q44" s="20">
        <v>12</v>
      </c>
      <c r="R44" s="20">
        <v>12</v>
      </c>
      <c r="S44" s="20">
        <v>1</v>
      </c>
      <c r="T44" s="20">
        <v>1</v>
      </c>
      <c r="U44" s="176">
        <v>0</v>
      </c>
      <c r="V44" s="20">
        <v>0</v>
      </c>
      <c r="W44" s="174">
        <v>1047.96</v>
      </c>
      <c r="X44" s="20">
        <v>23</v>
      </c>
      <c r="Y44" s="20" t="s">
        <v>84</v>
      </c>
      <c r="Z44" s="20" t="s">
        <v>84</v>
      </c>
      <c r="AA44" s="20" t="s">
        <v>84</v>
      </c>
      <c r="AB44" s="20">
        <v>68</v>
      </c>
      <c r="AC44" s="20" t="s">
        <v>84</v>
      </c>
      <c r="AD44" s="20">
        <v>18</v>
      </c>
      <c r="AE44" s="20" t="s">
        <v>84</v>
      </c>
      <c r="AF44" s="20">
        <v>16</v>
      </c>
      <c r="AG44" s="20" t="s">
        <v>84</v>
      </c>
      <c r="AH44" s="20">
        <v>21</v>
      </c>
      <c r="AI44" s="20">
        <v>9</v>
      </c>
      <c r="AJ44" s="20" t="s">
        <v>84</v>
      </c>
      <c r="AK44" s="20" t="s">
        <v>84</v>
      </c>
      <c r="AL44" s="20">
        <v>314</v>
      </c>
      <c r="AM44" s="180">
        <v>158494</v>
      </c>
      <c r="AN44" s="173">
        <v>227</v>
      </c>
      <c r="AO44" s="174">
        <v>49</v>
      </c>
      <c r="AP44" s="174">
        <v>4.9</v>
      </c>
      <c r="AQ44" s="174"/>
      <c r="AR44" s="174"/>
      <c r="AS44" s="181">
        <v>5881</v>
      </c>
      <c r="AT44" s="20">
        <v>16</v>
      </c>
      <c r="AU44" s="182">
        <f t="shared" si="4"/>
        <v>0.0027206257439211</v>
      </c>
      <c r="AV44" s="20">
        <v>1</v>
      </c>
      <c r="AW44" s="183">
        <f t="shared" si="5"/>
        <v>1.129375</v>
      </c>
      <c r="AX44" s="184">
        <f t="shared" si="6"/>
        <v>0.242095391211147</v>
      </c>
      <c r="AY44" s="176">
        <f t="shared" si="7"/>
        <v>0.0625</v>
      </c>
      <c r="AZ44" s="185">
        <f t="shared" si="8"/>
        <v>0.0909090909090909</v>
      </c>
      <c r="BA44" s="183">
        <v>18.07</v>
      </c>
      <c r="BB44" s="176">
        <f t="shared" si="40"/>
        <v>0.242095391211147</v>
      </c>
      <c r="BC44" s="179">
        <f t="shared" si="10"/>
        <v>18.07</v>
      </c>
      <c r="BD44" s="179">
        <v>74.64</v>
      </c>
      <c r="BE44" s="182">
        <v>0</v>
      </c>
      <c r="BF44" s="186">
        <f t="shared" si="11"/>
        <v>14.11</v>
      </c>
      <c r="BG44" s="186">
        <v>32.18</v>
      </c>
      <c r="BH44" s="187">
        <f t="shared" si="12"/>
        <v>314.33</v>
      </c>
      <c r="BI44" s="182">
        <f t="shared" si="13"/>
        <v>0.299944654376121</v>
      </c>
      <c r="BJ44" s="179">
        <f t="shared" si="14"/>
        <v>1740</v>
      </c>
      <c r="BK44" s="179"/>
      <c r="BL44" s="179">
        <f t="shared" si="15"/>
        <v>21.58</v>
      </c>
      <c r="BM44" s="178"/>
      <c r="BN44" s="7"/>
      <c r="BO44" s="20"/>
      <c r="BP44" s="182"/>
      <c r="BQ44" s="182">
        <f t="shared" si="34"/>
        <v>0.0833333333333333</v>
      </c>
      <c r="BR44" s="182">
        <f t="shared" si="16"/>
        <v>0.833333333333333</v>
      </c>
      <c r="BS44" s="182">
        <f t="shared" si="17"/>
        <v>0.156862745098039</v>
      </c>
      <c r="BT44" s="188">
        <f t="shared" si="18"/>
        <v>16</v>
      </c>
      <c r="BU44" s="20">
        <f t="shared" si="19"/>
        <v>102</v>
      </c>
      <c r="BV44" s="20">
        <f t="shared" si="20"/>
        <v>86</v>
      </c>
      <c r="BW44" s="185">
        <f t="shared" si="21"/>
        <v>0.843137254901961</v>
      </c>
      <c r="BX44" s="182">
        <f t="shared" si="22"/>
        <v>0.833333333333333</v>
      </c>
      <c r="BY44" s="182">
        <f t="shared" si="23"/>
        <v>0.916666666666667</v>
      </c>
      <c r="BZ44" s="182">
        <f t="shared" si="24"/>
        <v>0.833333333333333</v>
      </c>
      <c r="CA44" s="182">
        <f t="shared" si="25"/>
        <v>0.0833333333333333</v>
      </c>
      <c r="CB44" s="189">
        <f t="shared" si="41"/>
        <v>0.1</v>
      </c>
      <c r="CC44" s="190">
        <f t="shared" si="42"/>
        <v>0.117647058823529</v>
      </c>
      <c r="CD44" s="190">
        <f t="shared" si="43"/>
        <v>0.0625</v>
      </c>
      <c r="CE44" s="189">
        <v>0.08</v>
      </c>
      <c r="CF44" s="189">
        <v>0.08</v>
      </c>
      <c r="CG44" s="189">
        <v>0.08</v>
      </c>
      <c r="CH44" s="189">
        <v>0.08</v>
      </c>
      <c r="CI44" s="189">
        <v>0.05</v>
      </c>
      <c r="CJ44" s="189">
        <v>0.06</v>
      </c>
      <c r="CK44" s="189">
        <v>0.04</v>
      </c>
      <c r="CL44" s="191">
        <v>23</v>
      </c>
      <c r="CM44" s="191" t="s">
        <v>84</v>
      </c>
      <c r="CN44" s="191" t="s">
        <v>84</v>
      </c>
      <c r="CO44" s="191" t="s">
        <v>84</v>
      </c>
      <c r="CP44" s="191">
        <v>68</v>
      </c>
      <c r="CQ44" s="191" t="s">
        <v>84</v>
      </c>
      <c r="CR44" s="191">
        <v>18</v>
      </c>
      <c r="CS44" s="191" t="s">
        <v>84</v>
      </c>
      <c r="CT44" s="191">
        <v>16</v>
      </c>
      <c r="CU44" s="191" t="s">
        <v>84</v>
      </c>
      <c r="CV44" s="191">
        <v>21</v>
      </c>
      <c r="CW44" s="191">
        <v>9</v>
      </c>
      <c r="CX44" s="191" t="s">
        <v>84</v>
      </c>
      <c r="CY44" s="191" t="s">
        <v>84</v>
      </c>
      <c r="CZ44" s="127"/>
      <c r="DA44" s="127"/>
      <c r="DB44" s="127"/>
      <c r="DC44" s="127"/>
      <c r="DD44" s="127">
        <v>2.9</v>
      </c>
      <c r="DE44" s="127">
        <v>4.02</v>
      </c>
      <c r="DF44" s="127">
        <v>0.47</v>
      </c>
      <c r="DG44" s="127">
        <v>3.41</v>
      </c>
      <c r="DH44" s="127">
        <v>3.45</v>
      </c>
      <c r="DI44" s="127">
        <v>2.72</v>
      </c>
      <c r="DJ44" s="127">
        <v>0.34</v>
      </c>
      <c r="DK44" s="127"/>
      <c r="DL44" s="198">
        <v>0.0023</v>
      </c>
      <c r="DM44" s="198">
        <v>0.0025</v>
      </c>
      <c r="DN44" s="198">
        <v>0.0025</v>
      </c>
      <c r="DO44" s="198">
        <v>0.0025</v>
      </c>
      <c r="DP44" s="127"/>
      <c r="DQ44" s="192">
        <v>0.045</v>
      </c>
      <c r="DR44" s="192">
        <v>0.0508</v>
      </c>
      <c r="DS44" s="192">
        <v>0.0489</v>
      </c>
      <c r="DT44" s="192">
        <v>0.0486</v>
      </c>
      <c r="DU44" s="192">
        <v>0.061</v>
      </c>
      <c r="DV44" s="192">
        <v>0.0628</v>
      </c>
      <c r="DW44" s="127"/>
      <c r="DX44" s="192">
        <v>0.0175</v>
      </c>
      <c r="DY44" s="192">
        <v>0.0205</v>
      </c>
      <c r="DZ44" s="192">
        <v>0.0205</v>
      </c>
      <c r="EA44" s="192">
        <v>0.0205</v>
      </c>
      <c r="EB44" s="192">
        <v>0.031</v>
      </c>
      <c r="EC44" s="192">
        <v>0.0257</v>
      </c>
      <c r="ED44" s="127"/>
      <c r="EE44" s="127">
        <v>0.39</v>
      </c>
      <c r="EF44" s="127">
        <v>0.61</v>
      </c>
      <c r="EG44" s="127">
        <v>0.54</v>
      </c>
      <c r="EH44" s="127">
        <v>0.35</v>
      </c>
      <c r="EI44" s="127">
        <v>0.58</v>
      </c>
      <c r="EJ44" s="127">
        <v>0.55</v>
      </c>
      <c r="EK44" s="127"/>
      <c r="EL44" s="127"/>
      <c r="EM44" s="127"/>
      <c r="EN44" s="127"/>
      <c r="EO44" s="127"/>
      <c r="EP44" s="127"/>
      <c r="EQ44" s="127"/>
      <c r="ER44" s="127"/>
      <c r="ES44" s="192">
        <v>0.0055</v>
      </c>
      <c r="ET44" s="192">
        <v>0.0065</v>
      </c>
      <c r="EU44" s="192">
        <v>0.008</v>
      </c>
      <c r="EV44" s="192">
        <v>0.0058</v>
      </c>
      <c r="EW44" s="192">
        <v>0.0088</v>
      </c>
      <c r="EX44" s="192">
        <v>0.0065</v>
      </c>
      <c r="EY44" s="127"/>
      <c r="EZ44" s="127">
        <v>0.55</v>
      </c>
      <c r="FA44" s="192">
        <f t="shared" si="26"/>
        <v>0.0027206257439211</v>
      </c>
      <c r="FB44" s="192">
        <v>0.0025</v>
      </c>
      <c r="FC44" s="192">
        <f t="shared" si="27"/>
        <v>0.117647058823529</v>
      </c>
      <c r="FD44" s="192">
        <f t="shared" si="28"/>
        <v>0.0625</v>
      </c>
      <c r="FE44" s="193">
        <f t="shared" si="29"/>
        <v>0.833333333333333</v>
      </c>
      <c r="FF44" s="127"/>
      <c r="FG44" s="127"/>
      <c r="FH44" s="127"/>
      <c r="FI44" s="194">
        <v>0.045</v>
      </c>
      <c r="FJ44" s="194">
        <f t="shared" si="30"/>
        <v>0.117647058823529</v>
      </c>
      <c r="FK44" s="196">
        <v>89.57</v>
      </c>
      <c r="FL44" s="127">
        <f t="shared" si="38"/>
        <v>13.4355</v>
      </c>
      <c r="FM44" s="196">
        <v>5.19</v>
      </c>
      <c r="FN44" s="127">
        <f t="shared" si="31"/>
        <v>18.07</v>
      </c>
      <c r="FO44" s="127"/>
      <c r="FP44" s="127">
        <f t="shared" si="32"/>
        <v>14.11</v>
      </c>
      <c r="FQ44" s="127">
        <f t="shared" si="33"/>
        <v>314.33</v>
      </c>
      <c r="FR44" s="196">
        <v>32.18</v>
      </c>
      <c r="FS44" s="127"/>
      <c r="FT44" s="127"/>
      <c r="FU44" s="127"/>
      <c r="FV44" s="127"/>
      <c r="FW44" s="127"/>
      <c r="FX44" s="127"/>
      <c r="FY44" s="127"/>
      <c r="FZ44" s="127"/>
      <c r="GA44" s="127"/>
      <c r="GB44" s="127"/>
      <c r="GC44" s="127"/>
      <c r="GD44" s="127"/>
      <c r="GE44" s="127"/>
      <c r="GF44" s="127"/>
      <c r="GG44" s="127"/>
      <c r="GH44" s="127"/>
      <c r="GI44" s="127"/>
      <c r="GJ44" s="127"/>
      <c r="GK44" s="127"/>
      <c r="GL44" s="127"/>
      <c r="GM44" s="127"/>
      <c r="GN44" s="127"/>
      <c r="GO44" s="127"/>
      <c r="GP44" s="127"/>
      <c r="GQ44" s="127"/>
      <c r="GR44" s="127"/>
      <c r="GS44" s="127"/>
      <c r="GT44" s="127"/>
      <c r="GU44" s="127"/>
      <c r="GV44" s="127"/>
      <c r="GW44" s="127"/>
      <c r="GX44" s="127"/>
      <c r="GY44" s="127"/>
      <c r="GZ44" s="127"/>
    </row>
    <row r="45" spans="1:208">
      <c r="A45" s="172">
        <v>45836</v>
      </c>
      <c r="B45" s="20" t="s">
        <v>369</v>
      </c>
      <c r="C45" s="173" t="s">
        <v>407</v>
      </c>
      <c r="D45" s="174">
        <v>139.99</v>
      </c>
      <c r="E45" s="175">
        <v>89.57</v>
      </c>
      <c r="F45" s="176">
        <v>0.3</v>
      </c>
      <c r="G45" s="176">
        <v>0.15</v>
      </c>
      <c r="H45" s="177">
        <f t="shared" si="0"/>
        <v>83.29405</v>
      </c>
      <c r="I45" s="176">
        <v>0.08</v>
      </c>
      <c r="J45" s="178">
        <v>0.06</v>
      </c>
      <c r="K45" s="20">
        <v>82</v>
      </c>
      <c r="L45" s="20">
        <v>20</v>
      </c>
      <c r="M45" s="20">
        <f t="shared" si="39"/>
        <v>102</v>
      </c>
      <c r="N45" s="176">
        <f t="shared" si="1"/>
        <v>0.117647058823529</v>
      </c>
      <c r="O45" s="179">
        <f t="shared" si="2"/>
        <v>9</v>
      </c>
      <c r="P45" s="179">
        <f t="shared" si="3"/>
        <v>12</v>
      </c>
      <c r="Q45" s="20">
        <v>12</v>
      </c>
      <c r="R45" s="20">
        <v>12</v>
      </c>
      <c r="S45" s="20">
        <v>0</v>
      </c>
      <c r="T45" s="20">
        <v>0</v>
      </c>
      <c r="U45" s="176">
        <v>0</v>
      </c>
      <c r="V45" s="20">
        <v>0</v>
      </c>
      <c r="W45" s="174">
        <v>1047.96</v>
      </c>
      <c r="X45" s="20">
        <v>12</v>
      </c>
      <c r="Y45" s="20" t="s">
        <v>84</v>
      </c>
      <c r="Z45" s="20">
        <v>15</v>
      </c>
      <c r="AA45" s="20" t="s">
        <v>84</v>
      </c>
      <c r="AB45" s="20">
        <v>53</v>
      </c>
      <c r="AC45" s="20" t="s">
        <v>84</v>
      </c>
      <c r="AD45" s="20">
        <v>14</v>
      </c>
      <c r="AE45" s="20" t="s">
        <v>84</v>
      </c>
      <c r="AF45" s="20">
        <v>12</v>
      </c>
      <c r="AG45" s="20" t="s">
        <v>84</v>
      </c>
      <c r="AH45" s="20">
        <v>8</v>
      </c>
      <c r="AI45" s="20">
        <v>15</v>
      </c>
      <c r="AJ45" s="20" t="s">
        <v>84</v>
      </c>
      <c r="AK45" s="20">
        <v>5</v>
      </c>
      <c r="AL45" s="20">
        <v>314</v>
      </c>
      <c r="AM45" s="180">
        <v>68250</v>
      </c>
      <c r="AN45" s="173">
        <v>109</v>
      </c>
      <c r="AO45" s="174">
        <v>49</v>
      </c>
      <c r="AP45" s="174">
        <v>4.9</v>
      </c>
      <c r="AQ45" s="174"/>
      <c r="AR45" s="174"/>
      <c r="AS45" s="181">
        <v>6782</v>
      </c>
      <c r="AT45" s="20">
        <v>44</v>
      </c>
      <c r="AU45" s="182">
        <f t="shared" si="4"/>
        <v>0.00648776172220584</v>
      </c>
      <c r="AV45" s="20">
        <v>3</v>
      </c>
      <c r="AW45" s="183">
        <f t="shared" si="5"/>
        <v>1.22522727272727</v>
      </c>
      <c r="AX45" s="184">
        <f t="shared" si="6"/>
        <v>0.240755627009646</v>
      </c>
      <c r="AY45" s="176">
        <f t="shared" si="7"/>
        <v>0.0681818181818182</v>
      </c>
      <c r="AZ45" s="185">
        <f t="shared" si="8"/>
        <v>0.25</v>
      </c>
      <c r="BA45" s="183">
        <v>53.91</v>
      </c>
      <c r="BB45" s="176">
        <f t="shared" si="40"/>
        <v>0.240755627009646</v>
      </c>
      <c r="BC45" s="179">
        <f t="shared" si="10"/>
        <v>17.97</v>
      </c>
      <c r="BD45" s="179">
        <v>223.92</v>
      </c>
      <c r="BE45" s="182">
        <v>0</v>
      </c>
      <c r="BF45" s="186">
        <f t="shared" si="11"/>
        <v>14.21</v>
      </c>
      <c r="BG45" s="186">
        <v>32.18</v>
      </c>
      <c r="BH45" s="187">
        <f t="shared" si="12"/>
        <v>332.25</v>
      </c>
      <c r="BI45" s="182">
        <f t="shared" si="13"/>
        <v>0.317044543684873</v>
      </c>
      <c r="BJ45" s="179">
        <f t="shared" si="14"/>
        <v>1740</v>
      </c>
      <c r="BK45" s="179"/>
      <c r="BL45" s="179">
        <f t="shared" si="15"/>
        <v>0</v>
      </c>
      <c r="BM45" s="178"/>
      <c r="BN45" s="7"/>
      <c r="BO45" s="20"/>
      <c r="BP45" s="182"/>
      <c r="BQ45" s="182">
        <f t="shared" si="34"/>
        <v>0.25</v>
      </c>
      <c r="BR45" s="182">
        <f t="shared" si="16"/>
        <v>0.75</v>
      </c>
      <c r="BS45" s="182">
        <f t="shared" si="17"/>
        <v>0.431372549019608</v>
      </c>
      <c r="BT45" s="188">
        <f t="shared" si="18"/>
        <v>44</v>
      </c>
      <c r="BU45" s="20">
        <f t="shared" si="19"/>
        <v>102</v>
      </c>
      <c r="BV45" s="20">
        <f t="shared" si="20"/>
        <v>58</v>
      </c>
      <c r="BW45" s="185">
        <f t="shared" si="21"/>
        <v>0.568627450980392</v>
      </c>
      <c r="BX45" s="182">
        <f t="shared" si="22"/>
        <v>0.75</v>
      </c>
      <c r="BY45" s="182">
        <f t="shared" si="23"/>
        <v>1</v>
      </c>
      <c r="BZ45" s="182">
        <f t="shared" si="24"/>
        <v>0.75</v>
      </c>
      <c r="CA45" s="182">
        <f t="shared" si="25"/>
        <v>0.25</v>
      </c>
      <c r="CB45" s="189">
        <f t="shared" si="41"/>
        <v>0.333333333333333</v>
      </c>
      <c r="CC45" s="190">
        <f t="shared" si="42"/>
        <v>0.117647058823529</v>
      </c>
      <c r="CD45" s="190">
        <f t="shared" si="43"/>
        <v>0.0681818181818182</v>
      </c>
      <c r="CE45" s="189">
        <v>0.08</v>
      </c>
      <c r="CF45" s="189">
        <v>0.08</v>
      </c>
      <c r="CG45" s="189">
        <v>0.08</v>
      </c>
      <c r="CH45" s="189">
        <v>0.08</v>
      </c>
      <c r="CI45" s="189">
        <v>0.05</v>
      </c>
      <c r="CJ45" s="189">
        <v>0.06</v>
      </c>
      <c r="CK45" s="189">
        <v>0.04</v>
      </c>
      <c r="CL45" s="191">
        <v>12</v>
      </c>
      <c r="CM45" s="191" t="s">
        <v>84</v>
      </c>
      <c r="CN45" s="191">
        <v>15</v>
      </c>
      <c r="CO45" s="191" t="s">
        <v>84</v>
      </c>
      <c r="CP45" s="191">
        <v>53</v>
      </c>
      <c r="CQ45" s="191" t="s">
        <v>84</v>
      </c>
      <c r="CR45" s="191">
        <v>14</v>
      </c>
      <c r="CS45" s="191" t="s">
        <v>84</v>
      </c>
      <c r="CT45" s="191">
        <v>12</v>
      </c>
      <c r="CU45" s="191" t="s">
        <v>84</v>
      </c>
      <c r="CV45" s="191">
        <v>8</v>
      </c>
      <c r="CW45" s="191">
        <v>15</v>
      </c>
      <c r="CX45" s="191" t="s">
        <v>84</v>
      </c>
      <c r="CY45" s="191">
        <v>5</v>
      </c>
      <c r="CZ45" s="127"/>
      <c r="DA45" s="127"/>
      <c r="DB45" s="127"/>
      <c r="DC45" s="127"/>
      <c r="DD45" s="127">
        <v>2.9</v>
      </c>
      <c r="DE45" s="127">
        <v>4.02</v>
      </c>
      <c r="DF45" s="127">
        <v>0.47</v>
      </c>
      <c r="DG45" s="127">
        <v>3.41</v>
      </c>
      <c r="DH45" s="127">
        <v>3.55</v>
      </c>
      <c r="DI45" s="127">
        <v>2.72</v>
      </c>
      <c r="DJ45" s="127">
        <v>0.34</v>
      </c>
      <c r="DK45" s="127"/>
      <c r="DL45" s="198">
        <v>0.0023</v>
      </c>
      <c r="DM45" s="198">
        <v>0.0025</v>
      </c>
      <c r="DN45" s="198">
        <v>0.0025</v>
      </c>
      <c r="DO45" s="198">
        <v>0.0025</v>
      </c>
      <c r="DP45" s="127"/>
      <c r="DQ45" s="192">
        <v>0.045</v>
      </c>
      <c r="DR45" s="192">
        <v>0.0508</v>
      </c>
      <c r="DS45" s="192">
        <v>0.0489</v>
      </c>
      <c r="DT45" s="192">
        <v>0.0486</v>
      </c>
      <c r="DU45" s="192">
        <v>0.061</v>
      </c>
      <c r="DV45" s="192">
        <v>0.0628</v>
      </c>
      <c r="DW45" s="127"/>
      <c r="DX45" s="192">
        <v>0.0175</v>
      </c>
      <c r="DY45" s="192">
        <v>0.0205</v>
      </c>
      <c r="DZ45" s="192">
        <v>0.0205</v>
      </c>
      <c r="EA45" s="192">
        <v>0.0205</v>
      </c>
      <c r="EB45" s="192">
        <v>0.031</v>
      </c>
      <c r="EC45" s="192">
        <v>0.0257</v>
      </c>
      <c r="ED45" s="127"/>
      <c r="EE45" s="127">
        <v>0.39</v>
      </c>
      <c r="EF45" s="127">
        <v>0.61</v>
      </c>
      <c r="EG45" s="127">
        <v>0.54</v>
      </c>
      <c r="EH45" s="127">
        <v>0.35</v>
      </c>
      <c r="EI45" s="127">
        <v>0.58</v>
      </c>
      <c r="EJ45" s="127">
        <v>0.55</v>
      </c>
      <c r="EK45" s="127"/>
      <c r="EL45" s="127"/>
      <c r="EM45" s="127"/>
      <c r="EN45" s="127"/>
      <c r="EO45" s="127"/>
      <c r="EP45" s="127"/>
      <c r="EQ45" s="127"/>
      <c r="ER45" s="127"/>
      <c r="ES45" s="192">
        <v>0.0055</v>
      </c>
      <c r="ET45" s="192">
        <v>0.0065</v>
      </c>
      <c r="EU45" s="192">
        <v>0.008</v>
      </c>
      <c r="EV45" s="192">
        <v>0.0058</v>
      </c>
      <c r="EW45" s="192">
        <v>0.0088</v>
      </c>
      <c r="EX45" s="192">
        <v>0.0065</v>
      </c>
      <c r="EY45" s="127"/>
      <c r="EZ45" s="127">
        <v>0.55</v>
      </c>
      <c r="FA45" s="192">
        <f t="shared" si="26"/>
        <v>0.00648776172220584</v>
      </c>
      <c r="FB45" s="192">
        <v>0.0025</v>
      </c>
      <c r="FC45" s="192">
        <f t="shared" si="27"/>
        <v>0.117647058823529</v>
      </c>
      <c r="FD45" s="192">
        <f t="shared" si="28"/>
        <v>0.0681818181818182</v>
      </c>
      <c r="FE45" s="193">
        <f t="shared" si="29"/>
        <v>0.75</v>
      </c>
      <c r="FF45" s="127"/>
      <c r="FG45" s="127"/>
      <c r="FH45" s="127"/>
      <c r="FI45" s="194">
        <v>0.045</v>
      </c>
      <c r="FJ45" s="194">
        <f t="shared" si="30"/>
        <v>0.117647058823529</v>
      </c>
      <c r="FK45" s="196">
        <v>89.57</v>
      </c>
      <c r="FL45" s="127">
        <f t="shared" si="38"/>
        <v>13.4355</v>
      </c>
      <c r="FM45" s="196">
        <v>5.19</v>
      </c>
      <c r="FN45" s="127">
        <f t="shared" si="31"/>
        <v>53.91</v>
      </c>
      <c r="FO45" s="127"/>
      <c r="FP45" s="127">
        <f t="shared" si="32"/>
        <v>14.21</v>
      </c>
      <c r="FQ45" s="127">
        <f t="shared" si="33"/>
        <v>332.25</v>
      </c>
      <c r="FR45" s="196">
        <v>32.18</v>
      </c>
      <c r="FS45" s="127"/>
      <c r="FT45" s="127"/>
      <c r="FU45" s="127"/>
      <c r="FV45" s="127"/>
      <c r="FW45" s="127"/>
      <c r="FX45" s="127"/>
      <c r="FY45" s="127"/>
      <c r="FZ45" s="127"/>
      <c r="GA45" s="127"/>
      <c r="GB45" s="127"/>
      <c r="GC45" s="127"/>
      <c r="GD45" s="127"/>
      <c r="GE45" s="127"/>
      <c r="GF45" s="127"/>
      <c r="GG45" s="127"/>
      <c r="GH45" s="127"/>
      <c r="GI45" s="127"/>
      <c r="GJ45" s="127"/>
      <c r="GK45" s="127"/>
      <c r="GL45" s="127"/>
      <c r="GM45" s="127"/>
      <c r="GN45" s="127"/>
      <c r="GO45" s="127"/>
      <c r="GP45" s="127"/>
      <c r="GQ45" s="127"/>
      <c r="GR45" s="127"/>
      <c r="GS45" s="127"/>
      <c r="GT45" s="127"/>
      <c r="GU45" s="127"/>
      <c r="GV45" s="127"/>
      <c r="GW45" s="127"/>
      <c r="GX45" s="127"/>
      <c r="GY45" s="127"/>
      <c r="GZ45" s="127"/>
    </row>
    <row r="46" spans="1:208">
      <c r="A46" s="172">
        <v>45837</v>
      </c>
      <c r="B46" s="20" t="s">
        <v>371</v>
      </c>
      <c r="C46" s="173" t="s">
        <v>408</v>
      </c>
      <c r="D46" s="174">
        <v>139.99</v>
      </c>
      <c r="E46" s="175">
        <v>89.57</v>
      </c>
      <c r="F46" s="176">
        <v>0.3</v>
      </c>
      <c r="G46" s="176">
        <v>0.15</v>
      </c>
      <c r="H46" s="177">
        <f t="shared" si="0"/>
        <v>83.29405</v>
      </c>
      <c r="I46" s="176">
        <v>0.08</v>
      </c>
      <c r="J46" s="178">
        <v>0.06</v>
      </c>
      <c r="K46" s="20">
        <v>135</v>
      </c>
      <c r="L46" s="20">
        <v>15</v>
      </c>
      <c r="M46" s="20">
        <f t="shared" si="39"/>
        <v>150</v>
      </c>
      <c r="N46" s="176">
        <f t="shared" si="1"/>
        <v>0.106666666666667</v>
      </c>
      <c r="O46" s="179">
        <f t="shared" si="2"/>
        <v>14</v>
      </c>
      <c r="P46" s="179">
        <f t="shared" si="3"/>
        <v>16</v>
      </c>
      <c r="Q46" s="20">
        <v>16</v>
      </c>
      <c r="R46" s="20">
        <v>16</v>
      </c>
      <c r="S46" s="20">
        <v>0</v>
      </c>
      <c r="T46" s="20">
        <v>0</v>
      </c>
      <c r="U46" s="176">
        <v>0</v>
      </c>
      <c r="V46" s="20">
        <v>0</v>
      </c>
      <c r="W46" s="174">
        <v>1397.28</v>
      </c>
      <c r="X46" s="20">
        <v>14</v>
      </c>
      <c r="Y46" s="20">
        <v>12</v>
      </c>
      <c r="Z46" s="20">
        <v>13</v>
      </c>
      <c r="AA46" s="20">
        <v>17</v>
      </c>
      <c r="AB46" s="20">
        <v>60</v>
      </c>
      <c r="AC46" s="20" t="s">
        <v>84</v>
      </c>
      <c r="AD46" s="20">
        <v>12</v>
      </c>
      <c r="AE46" s="20">
        <v>4</v>
      </c>
      <c r="AF46" s="20">
        <v>14</v>
      </c>
      <c r="AG46" s="20">
        <v>11</v>
      </c>
      <c r="AH46" s="20">
        <v>17</v>
      </c>
      <c r="AI46" s="20">
        <v>3</v>
      </c>
      <c r="AJ46" s="20" t="s">
        <v>84</v>
      </c>
      <c r="AK46" s="20" t="s">
        <v>84</v>
      </c>
      <c r="AL46" s="20">
        <v>314</v>
      </c>
      <c r="AM46" s="180">
        <v>76562</v>
      </c>
      <c r="AN46" s="173">
        <v>130</v>
      </c>
      <c r="AO46" s="174">
        <v>53</v>
      </c>
      <c r="AP46" s="174">
        <v>4.9</v>
      </c>
      <c r="AQ46" s="174"/>
      <c r="AR46" s="174"/>
      <c r="AS46" s="181">
        <v>9425</v>
      </c>
      <c r="AT46" s="20">
        <v>41</v>
      </c>
      <c r="AU46" s="182">
        <f t="shared" si="4"/>
        <v>0.00435013262599469</v>
      </c>
      <c r="AV46" s="20">
        <v>2</v>
      </c>
      <c r="AW46" s="183">
        <f t="shared" si="5"/>
        <v>1.06609756097561</v>
      </c>
      <c r="AX46" s="184">
        <f t="shared" si="6"/>
        <v>0.292805466237942</v>
      </c>
      <c r="AY46" s="176">
        <f t="shared" si="7"/>
        <v>0.0487804878048781</v>
      </c>
      <c r="AZ46" s="185">
        <f t="shared" si="8"/>
        <v>0.125</v>
      </c>
      <c r="BA46" s="183">
        <v>43.71</v>
      </c>
      <c r="BB46" s="176">
        <f t="shared" si="40"/>
        <v>0.292805466237942</v>
      </c>
      <c r="BC46" s="179">
        <f t="shared" si="10"/>
        <v>21.855</v>
      </c>
      <c r="BD46" s="179">
        <v>149.28</v>
      </c>
      <c r="BE46" s="182">
        <v>0</v>
      </c>
      <c r="BF46" s="186">
        <f t="shared" si="11"/>
        <v>10.325</v>
      </c>
      <c r="BG46" s="186">
        <v>32.18</v>
      </c>
      <c r="BH46" s="187">
        <f t="shared" si="12"/>
        <v>471.17</v>
      </c>
      <c r="BI46" s="182">
        <f t="shared" si="13"/>
        <v>0.337205141417611</v>
      </c>
      <c r="BJ46" s="179">
        <f t="shared" si="14"/>
        <v>2320</v>
      </c>
      <c r="BK46" s="179"/>
      <c r="BL46" s="179">
        <f t="shared" si="15"/>
        <v>0</v>
      </c>
      <c r="BM46" s="178"/>
      <c r="BN46" s="7"/>
      <c r="BO46" s="20"/>
      <c r="BP46" s="182"/>
      <c r="BQ46" s="182">
        <f t="shared" si="34"/>
        <v>0.125</v>
      </c>
      <c r="BR46" s="182">
        <f t="shared" si="16"/>
        <v>0.875</v>
      </c>
      <c r="BS46" s="182">
        <f t="shared" si="17"/>
        <v>0.273333333333333</v>
      </c>
      <c r="BT46" s="188">
        <f t="shared" si="18"/>
        <v>41</v>
      </c>
      <c r="BU46" s="20">
        <f t="shared" si="19"/>
        <v>150</v>
      </c>
      <c r="BV46" s="20">
        <f t="shared" si="20"/>
        <v>109</v>
      </c>
      <c r="BW46" s="185">
        <f t="shared" si="21"/>
        <v>0.726666666666667</v>
      </c>
      <c r="BX46" s="182">
        <f t="shared" si="22"/>
        <v>0.875</v>
      </c>
      <c r="BY46" s="182">
        <f t="shared" si="23"/>
        <v>1</v>
      </c>
      <c r="BZ46" s="182">
        <f t="shared" si="24"/>
        <v>0.875</v>
      </c>
      <c r="CA46" s="182">
        <f t="shared" si="25"/>
        <v>0.125</v>
      </c>
      <c r="CB46" s="189">
        <f t="shared" si="41"/>
        <v>0.142857142857143</v>
      </c>
      <c r="CC46" s="190">
        <f t="shared" si="42"/>
        <v>0.106666666666667</v>
      </c>
      <c r="CD46" s="190">
        <f t="shared" si="43"/>
        <v>0.0487804878048781</v>
      </c>
      <c r="CE46" s="189">
        <v>0.08</v>
      </c>
      <c r="CF46" s="189">
        <v>0.08</v>
      </c>
      <c r="CG46" s="189">
        <v>0.08</v>
      </c>
      <c r="CH46" s="189">
        <v>0.08</v>
      </c>
      <c r="CI46" s="189">
        <v>0.05</v>
      </c>
      <c r="CJ46" s="189">
        <v>0.06</v>
      </c>
      <c r="CK46" s="189">
        <v>0.04</v>
      </c>
      <c r="CL46" s="191">
        <v>14</v>
      </c>
      <c r="CM46" s="191">
        <v>12</v>
      </c>
      <c r="CN46" s="191">
        <v>13</v>
      </c>
      <c r="CO46" s="191">
        <v>17</v>
      </c>
      <c r="CP46" s="191">
        <v>60</v>
      </c>
      <c r="CQ46" s="191" t="s">
        <v>84</v>
      </c>
      <c r="CR46" s="191">
        <v>12</v>
      </c>
      <c r="CS46" s="191">
        <v>4</v>
      </c>
      <c r="CT46" s="191">
        <v>14</v>
      </c>
      <c r="CU46" s="191">
        <v>11</v>
      </c>
      <c r="CV46" s="191">
        <v>17</v>
      </c>
      <c r="CW46" s="191">
        <v>3</v>
      </c>
      <c r="CX46" s="191" t="s">
        <v>84</v>
      </c>
      <c r="CY46" s="191" t="s">
        <v>84</v>
      </c>
      <c r="CZ46" s="127"/>
      <c r="DA46" s="127"/>
      <c r="DB46" s="127"/>
      <c r="DC46" s="127"/>
      <c r="DD46" s="127">
        <v>2.9</v>
      </c>
      <c r="DE46" s="127">
        <v>4.02</v>
      </c>
      <c r="DF46" s="127">
        <v>0.47</v>
      </c>
      <c r="DG46" s="127">
        <v>3.41</v>
      </c>
      <c r="DH46" s="127">
        <v>3.68</v>
      </c>
      <c r="DI46" s="127">
        <v>2.72</v>
      </c>
      <c r="DJ46" s="127">
        <v>0.34</v>
      </c>
      <c r="DK46" s="127"/>
      <c r="DL46" s="198">
        <v>0.0023</v>
      </c>
      <c r="DM46" s="198">
        <v>0.0025</v>
      </c>
      <c r="DN46" s="198">
        <v>0.0025</v>
      </c>
      <c r="DO46" s="198">
        <v>0.0025</v>
      </c>
      <c r="DP46" s="127"/>
      <c r="DQ46" s="192">
        <v>0.045</v>
      </c>
      <c r="DR46" s="192">
        <v>0.0508</v>
      </c>
      <c r="DS46" s="192">
        <v>0.0489</v>
      </c>
      <c r="DT46" s="192">
        <v>0.0486</v>
      </c>
      <c r="DU46" s="192">
        <v>0.061</v>
      </c>
      <c r="DV46" s="192">
        <v>0.0628</v>
      </c>
      <c r="DW46" s="127"/>
      <c r="DX46" s="192">
        <v>0.0175</v>
      </c>
      <c r="DY46" s="192">
        <v>0.0205</v>
      </c>
      <c r="DZ46" s="192">
        <v>0.0205</v>
      </c>
      <c r="EA46" s="192">
        <v>0.0205</v>
      </c>
      <c r="EB46" s="192">
        <v>0.031</v>
      </c>
      <c r="EC46" s="192">
        <v>0.0257</v>
      </c>
      <c r="ED46" s="127"/>
      <c r="EE46" s="127">
        <v>0.39</v>
      </c>
      <c r="EF46" s="127">
        <v>0.61</v>
      </c>
      <c r="EG46" s="127">
        <v>0.54</v>
      </c>
      <c r="EH46" s="127">
        <v>0.35</v>
      </c>
      <c r="EI46" s="127">
        <v>0.58</v>
      </c>
      <c r="EJ46" s="127">
        <v>0.55</v>
      </c>
      <c r="EK46" s="127"/>
      <c r="EL46" s="127"/>
      <c r="EM46" s="127"/>
      <c r="EN46" s="127"/>
      <c r="EO46" s="127"/>
      <c r="EP46" s="127"/>
      <c r="EQ46" s="127"/>
      <c r="ER46" s="127"/>
      <c r="ES46" s="192">
        <v>0.0055</v>
      </c>
      <c r="ET46" s="192">
        <v>0.0065</v>
      </c>
      <c r="EU46" s="192">
        <v>0.008</v>
      </c>
      <c r="EV46" s="192">
        <v>0.0058</v>
      </c>
      <c r="EW46" s="192">
        <v>0.0088</v>
      </c>
      <c r="EX46" s="192">
        <v>0.0065</v>
      </c>
      <c r="EY46" s="127"/>
      <c r="EZ46" s="127">
        <v>0.55</v>
      </c>
      <c r="FA46" s="192">
        <f t="shared" si="26"/>
        <v>0.00435013262599469</v>
      </c>
      <c r="FB46" s="192">
        <v>0.0025</v>
      </c>
      <c r="FC46" s="192">
        <f t="shared" si="27"/>
        <v>0.106666666666667</v>
      </c>
      <c r="FD46" s="192">
        <f t="shared" si="28"/>
        <v>0.0487804878048781</v>
      </c>
      <c r="FE46" s="193">
        <f t="shared" si="29"/>
        <v>0.875</v>
      </c>
      <c r="FF46" s="127"/>
      <c r="FG46" s="127"/>
      <c r="FH46" s="127"/>
      <c r="FI46" s="194">
        <v>0.045</v>
      </c>
      <c r="FJ46" s="194">
        <f t="shared" si="30"/>
        <v>0.106666666666667</v>
      </c>
      <c r="FK46" s="196">
        <v>89.57</v>
      </c>
      <c r="FL46" s="127">
        <f t="shared" si="38"/>
        <v>13.4355</v>
      </c>
      <c r="FM46" s="196">
        <v>5.19</v>
      </c>
      <c r="FN46" s="127">
        <f t="shared" si="31"/>
        <v>43.71</v>
      </c>
      <c r="FO46" s="127"/>
      <c r="FP46" s="127">
        <f t="shared" si="32"/>
        <v>10.325</v>
      </c>
      <c r="FQ46" s="127">
        <f t="shared" si="33"/>
        <v>471.17</v>
      </c>
      <c r="FR46" s="196">
        <v>32.18</v>
      </c>
      <c r="FS46" s="127"/>
      <c r="FT46" s="127"/>
      <c r="FU46" s="127"/>
      <c r="FV46" s="127"/>
      <c r="FW46" s="127"/>
      <c r="FX46" s="127"/>
      <c r="FY46" s="127"/>
      <c r="FZ46" s="127"/>
      <c r="GA46" s="127"/>
      <c r="GB46" s="127"/>
      <c r="GC46" s="127"/>
      <c r="GD46" s="127"/>
      <c r="GE46" s="127"/>
      <c r="GF46" s="127"/>
      <c r="GG46" s="127"/>
      <c r="GH46" s="127"/>
      <c r="GI46" s="127"/>
      <c r="GJ46" s="127"/>
      <c r="GK46" s="127"/>
      <c r="GL46" s="127"/>
      <c r="GM46" s="127"/>
      <c r="GN46" s="127"/>
      <c r="GO46" s="127"/>
      <c r="GP46" s="127"/>
      <c r="GQ46" s="127"/>
      <c r="GR46" s="127"/>
      <c r="GS46" s="127"/>
      <c r="GT46" s="127"/>
      <c r="GU46" s="127"/>
      <c r="GV46" s="127"/>
      <c r="GW46" s="127"/>
      <c r="GX46" s="127"/>
      <c r="GY46" s="127"/>
      <c r="GZ46" s="127"/>
    </row>
    <row r="47" spans="1:208">
      <c r="A47" s="172">
        <v>45838</v>
      </c>
      <c r="B47" s="20" t="s">
        <v>373</v>
      </c>
      <c r="C47" s="173" t="s">
        <v>409</v>
      </c>
      <c r="D47" s="174">
        <v>139.99</v>
      </c>
      <c r="E47" s="175">
        <v>89.57</v>
      </c>
      <c r="F47" s="176">
        <v>0.3</v>
      </c>
      <c r="G47" s="176">
        <v>0.15</v>
      </c>
      <c r="H47" s="177">
        <f t="shared" si="0"/>
        <v>83.29405</v>
      </c>
      <c r="I47" s="176">
        <v>0.08</v>
      </c>
      <c r="J47" s="178">
        <v>0.06</v>
      </c>
      <c r="K47" s="20">
        <v>137</v>
      </c>
      <c r="L47" s="20">
        <v>13</v>
      </c>
      <c r="M47" s="20">
        <f t="shared" si="39"/>
        <v>150</v>
      </c>
      <c r="N47" s="176">
        <f t="shared" si="1"/>
        <v>0.1</v>
      </c>
      <c r="O47" s="179">
        <f t="shared" si="2"/>
        <v>12</v>
      </c>
      <c r="P47" s="179">
        <f t="shared" si="3"/>
        <v>15</v>
      </c>
      <c r="Q47" s="20">
        <v>15</v>
      </c>
      <c r="R47" s="20">
        <v>15</v>
      </c>
      <c r="S47" s="20">
        <v>0</v>
      </c>
      <c r="T47" s="20">
        <v>0</v>
      </c>
      <c r="U47" s="176">
        <v>0</v>
      </c>
      <c r="V47" s="20">
        <v>0</v>
      </c>
      <c r="W47" s="174">
        <v>1309.95</v>
      </c>
      <c r="X47" s="20">
        <v>9</v>
      </c>
      <c r="Y47" s="20">
        <v>11</v>
      </c>
      <c r="Z47" s="20">
        <v>6</v>
      </c>
      <c r="AA47" s="20">
        <v>17</v>
      </c>
      <c r="AB47" s="20">
        <v>58</v>
      </c>
      <c r="AC47" s="20" t="s">
        <v>84</v>
      </c>
      <c r="AD47" s="20">
        <v>7</v>
      </c>
      <c r="AE47" s="20">
        <v>11</v>
      </c>
      <c r="AF47" s="20">
        <v>9</v>
      </c>
      <c r="AG47" s="20">
        <v>9</v>
      </c>
      <c r="AH47" s="20">
        <v>14</v>
      </c>
      <c r="AI47" s="20">
        <v>7</v>
      </c>
      <c r="AJ47" s="20" t="s">
        <v>84</v>
      </c>
      <c r="AK47" s="20" t="s">
        <v>84</v>
      </c>
      <c r="AL47" s="20">
        <v>314</v>
      </c>
      <c r="AM47" s="180">
        <v>8276</v>
      </c>
      <c r="AN47" s="173">
        <v>108</v>
      </c>
      <c r="AO47" s="174">
        <v>53</v>
      </c>
      <c r="AP47" s="174">
        <v>4.9</v>
      </c>
      <c r="AQ47" s="174"/>
      <c r="AR47" s="174"/>
      <c r="AS47" s="181">
        <v>8025</v>
      </c>
      <c r="AT47" s="20">
        <v>33</v>
      </c>
      <c r="AU47" s="182">
        <f t="shared" si="4"/>
        <v>0.00411214953271028</v>
      </c>
      <c r="AV47" s="20">
        <v>3</v>
      </c>
      <c r="AW47" s="183">
        <f t="shared" si="5"/>
        <v>1.11181818181818</v>
      </c>
      <c r="AX47" s="184">
        <f t="shared" si="6"/>
        <v>0.163853161843516</v>
      </c>
      <c r="AY47" s="176">
        <f t="shared" si="7"/>
        <v>0.0909090909090909</v>
      </c>
      <c r="AZ47" s="185">
        <f t="shared" si="8"/>
        <v>0.2</v>
      </c>
      <c r="BA47" s="183">
        <v>36.69</v>
      </c>
      <c r="BB47" s="176">
        <f t="shared" si="40"/>
        <v>0.163853161843516</v>
      </c>
      <c r="BC47" s="179">
        <f t="shared" si="10"/>
        <v>12.23</v>
      </c>
      <c r="BD47" s="179">
        <v>223.92</v>
      </c>
      <c r="BE47" s="182">
        <v>0</v>
      </c>
      <c r="BF47" s="186">
        <f t="shared" si="11"/>
        <v>19.95</v>
      </c>
      <c r="BG47" s="186">
        <v>32.18</v>
      </c>
      <c r="BH47" s="187">
        <f t="shared" si="12"/>
        <v>446.01</v>
      </c>
      <c r="BI47" s="182">
        <f t="shared" si="13"/>
        <v>0.340478644223062</v>
      </c>
      <c r="BJ47" s="179">
        <f t="shared" si="14"/>
        <v>2175</v>
      </c>
      <c r="BK47" s="179"/>
      <c r="BL47" s="179">
        <f t="shared" si="15"/>
        <v>0</v>
      </c>
      <c r="BM47" s="178"/>
      <c r="BN47" s="7"/>
      <c r="BO47" s="20"/>
      <c r="BP47" s="182"/>
      <c r="BQ47" s="182">
        <f t="shared" si="34"/>
        <v>0.2</v>
      </c>
      <c r="BR47" s="182">
        <f t="shared" si="16"/>
        <v>0.8</v>
      </c>
      <c r="BS47" s="182">
        <f t="shared" si="17"/>
        <v>0.22</v>
      </c>
      <c r="BT47" s="188">
        <f t="shared" si="18"/>
        <v>33</v>
      </c>
      <c r="BU47" s="20">
        <f t="shared" si="19"/>
        <v>150</v>
      </c>
      <c r="BV47" s="20">
        <f t="shared" si="20"/>
        <v>117</v>
      </c>
      <c r="BW47" s="185">
        <f t="shared" si="21"/>
        <v>0.78</v>
      </c>
      <c r="BX47" s="182">
        <f t="shared" si="22"/>
        <v>0.8</v>
      </c>
      <c r="BY47" s="182">
        <f t="shared" si="23"/>
        <v>1</v>
      </c>
      <c r="BZ47" s="182">
        <f t="shared" si="24"/>
        <v>0.8</v>
      </c>
      <c r="CA47" s="182">
        <f t="shared" si="25"/>
        <v>0.2</v>
      </c>
      <c r="CB47" s="189">
        <f t="shared" si="41"/>
        <v>0.25</v>
      </c>
      <c r="CC47" s="190">
        <f t="shared" si="42"/>
        <v>0.1</v>
      </c>
      <c r="CD47" s="190">
        <f t="shared" si="43"/>
        <v>0.0909090909090909</v>
      </c>
      <c r="CE47" s="189">
        <v>0.08</v>
      </c>
      <c r="CF47" s="189">
        <v>0.08</v>
      </c>
      <c r="CG47" s="189">
        <v>0.08</v>
      </c>
      <c r="CH47" s="189">
        <v>0.08</v>
      </c>
      <c r="CI47" s="189">
        <v>0.05</v>
      </c>
      <c r="CJ47" s="189">
        <v>0.06</v>
      </c>
      <c r="CK47" s="189">
        <v>0.04</v>
      </c>
      <c r="CL47" s="191">
        <v>9</v>
      </c>
      <c r="CM47" s="191">
        <v>11</v>
      </c>
      <c r="CN47" s="191">
        <v>6</v>
      </c>
      <c r="CO47" s="191">
        <v>17</v>
      </c>
      <c r="CP47" s="191">
        <v>58</v>
      </c>
      <c r="CQ47" s="191" t="s">
        <v>84</v>
      </c>
      <c r="CR47" s="191">
        <v>7</v>
      </c>
      <c r="CS47" s="191">
        <v>11</v>
      </c>
      <c r="CT47" s="191">
        <v>9</v>
      </c>
      <c r="CU47" s="191">
        <v>9</v>
      </c>
      <c r="CV47" s="191">
        <v>14</v>
      </c>
      <c r="CW47" s="191">
        <v>7</v>
      </c>
      <c r="CX47" s="191" t="s">
        <v>84</v>
      </c>
      <c r="CY47" s="191" t="s">
        <v>84</v>
      </c>
      <c r="CZ47" s="127"/>
      <c r="DA47" s="127"/>
      <c r="DB47" s="127"/>
      <c r="DC47" s="127"/>
      <c r="DD47" s="127">
        <v>2.9</v>
      </c>
      <c r="DE47" s="127">
        <v>4.02</v>
      </c>
      <c r="DF47" s="127">
        <v>0.47</v>
      </c>
      <c r="DG47" s="127">
        <v>3.41</v>
      </c>
      <c r="DH47" s="127">
        <v>3.69</v>
      </c>
      <c r="DI47" s="127">
        <v>2.72</v>
      </c>
      <c r="DJ47" s="127">
        <v>0.34</v>
      </c>
      <c r="DK47" s="127"/>
      <c r="DL47" s="198">
        <v>0.0023</v>
      </c>
      <c r="DM47" s="198">
        <v>0.0025</v>
      </c>
      <c r="DN47" s="198">
        <v>0.0025</v>
      </c>
      <c r="DO47" s="198">
        <v>0.0025</v>
      </c>
      <c r="DP47" s="127"/>
      <c r="DQ47" s="192">
        <v>0.045</v>
      </c>
      <c r="DR47" s="192">
        <v>0.0508</v>
      </c>
      <c r="DS47" s="192">
        <v>0.0489</v>
      </c>
      <c r="DT47" s="192">
        <v>0.0486</v>
      </c>
      <c r="DU47" s="192">
        <v>0.061</v>
      </c>
      <c r="DV47" s="192">
        <v>0.0628</v>
      </c>
      <c r="DW47" s="127"/>
      <c r="DX47" s="192">
        <v>0.0175</v>
      </c>
      <c r="DY47" s="192">
        <v>0.0205</v>
      </c>
      <c r="DZ47" s="192">
        <v>0.0205</v>
      </c>
      <c r="EA47" s="192">
        <v>0.0205</v>
      </c>
      <c r="EB47" s="192">
        <v>0.031</v>
      </c>
      <c r="EC47" s="192">
        <v>0.0257</v>
      </c>
      <c r="ED47" s="127"/>
      <c r="EE47" s="127">
        <v>0.39</v>
      </c>
      <c r="EF47" s="127">
        <v>0.61</v>
      </c>
      <c r="EG47" s="127">
        <v>0.56</v>
      </c>
      <c r="EH47" s="127">
        <v>0.56</v>
      </c>
      <c r="EI47" s="127">
        <v>0.56</v>
      </c>
      <c r="EJ47" s="127">
        <v>0.55</v>
      </c>
      <c r="EK47" s="127"/>
      <c r="EL47" s="200">
        <f t="shared" ref="EL47:EQ47" si="44">EE47/DQ47</f>
        <v>8.66666666666667</v>
      </c>
      <c r="EM47" s="200">
        <f t="shared" si="44"/>
        <v>12.007874015748</v>
      </c>
      <c r="EN47" s="200">
        <f t="shared" si="44"/>
        <v>11.4519427402863</v>
      </c>
      <c r="EO47" s="200">
        <f t="shared" si="44"/>
        <v>11.522633744856</v>
      </c>
      <c r="EP47" s="200">
        <f t="shared" si="44"/>
        <v>9.18032786885246</v>
      </c>
      <c r="EQ47" s="200">
        <f t="shared" si="44"/>
        <v>8.75796178343949</v>
      </c>
      <c r="ER47" s="127"/>
      <c r="ES47" s="192">
        <v>0.0055</v>
      </c>
      <c r="ET47" s="192">
        <v>0.0065</v>
      </c>
      <c r="EU47" s="192">
        <v>0.008</v>
      </c>
      <c r="EV47" s="192">
        <v>0.0058</v>
      </c>
      <c r="EW47" s="192">
        <v>0.0088</v>
      </c>
      <c r="EX47" s="192">
        <v>0.0065</v>
      </c>
      <c r="EY47" s="127"/>
      <c r="EZ47" s="127">
        <v>0.55</v>
      </c>
      <c r="FA47" s="192">
        <f t="shared" si="26"/>
        <v>0.00411214953271028</v>
      </c>
      <c r="FB47" s="192">
        <v>0.0025</v>
      </c>
      <c r="FC47" s="192">
        <f t="shared" si="27"/>
        <v>0.1</v>
      </c>
      <c r="FD47" s="192">
        <f t="shared" si="28"/>
        <v>0.0909090909090909</v>
      </c>
      <c r="FE47" s="193">
        <f t="shared" si="29"/>
        <v>0.8</v>
      </c>
      <c r="FF47" s="127"/>
      <c r="FG47" s="127"/>
      <c r="FH47" s="127"/>
      <c r="FI47" s="194">
        <v>0.045</v>
      </c>
      <c r="FJ47" s="194">
        <f t="shared" si="30"/>
        <v>0.1</v>
      </c>
      <c r="FK47" s="196">
        <v>89.57</v>
      </c>
      <c r="FL47" s="127">
        <f t="shared" si="38"/>
        <v>13.4355</v>
      </c>
      <c r="FM47" s="196">
        <v>5.19</v>
      </c>
      <c r="FN47" s="127">
        <f t="shared" si="31"/>
        <v>36.69</v>
      </c>
      <c r="FO47" s="127"/>
      <c r="FP47" s="127">
        <f t="shared" si="32"/>
        <v>19.95</v>
      </c>
      <c r="FQ47" s="127">
        <f t="shared" si="33"/>
        <v>446.01</v>
      </c>
      <c r="FR47" s="196">
        <v>32.18</v>
      </c>
      <c r="FS47" s="127"/>
      <c r="FT47" s="127"/>
      <c r="FU47" s="127"/>
      <c r="FV47" s="127"/>
      <c r="FW47" s="127"/>
      <c r="FX47" s="127"/>
      <c r="FY47" s="127"/>
      <c r="FZ47" s="127"/>
      <c r="GA47" s="127"/>
      <c r="GB47" s="127"/>
      <c r="GC47" s="127"/>
      <c r="GD47" s="127"/>
      <c r="GE47" s="127"/>
      <c r="GF47" s="127"/>
      <c r="GG47" s="127"/>
      <c r="GH47" s="127"/>
      <c r="GI47" s="127"/>
      <c r="GJ47" s="127"/>
      <c r="GK47" s="127"/>
      <c r="GL47" s="127"/>
      <c r="GM47" s="127"/>
      <c r="GN47" s="127"/>
      <c r="GO47" s="127"/>
      <c r="GP47" s="127"/>
      <c r="GQ47" s="127"/>
      <c r="GR47" s="127"/>
      <c r="GS47" s="127"/>
      <c r="GT47" s="127"/>
      <c r="GU47" s="127"/>
      <c r="GV47" s="127"/>
      <c r="GW47" s="127"/>
      <c r="GX47" s="127"/>
      <c r="GY47" s="127"/>
      <c r="GZ47" s="127"/>
    </row>
    <row r="48" spans="1:208">
      <c r="A48" s="172">
        <v>45839</v>
      </c>
      <c r="B48" s="20" t="s">
        <v>375</v>
      </c>
      <c r="C48" s="173" t="s">
        <v>410</v>
      </c>
      <c r="D48" s="174">
        <v>139.99</v>
      </c>
      <c r="E48" s="175">
        <v>89.57</v>
      </c>
      <c r="F48" s="176">
        <v>0.3</v>
      </c>
      <c r="G48" s="176">
        <v>0.15</v>
      </c>
      <c r="H48" s="177">
        <f t="shared" si="0"/>
        <v>83.29405</v>
      </c>
      <c r="I48" s="176">
        <v>0.08</v>
      </c>
      <c r="J48" s="178">
        <v>0.06</v>
      </c>
      <c r="K48" s="20">
        <v>135</v>
      </c>
      <c r="L48" s="20">
        <v>19</v>
      </c>
      <c r="M48" s="20">
        <f t="shared" si="39"/>
        <v>154</v>
      </c>
      <c r="N48" s="176">
        <f t="shared" si="1"/>
        <v>0.0974025974025974</v>
      </c>
      <c r="O48" s="179">
        <f t="shared" si="2"/>
        <v>9</v>
      </c>
      <c r="P48" s="179">
        <f t="shared" si="3"/>
        <v>14</v>
      </c>
      <c r="Q48" s="20">
        <v>15</v>
      </c>
      <c r="R48" s="20">
        <v>15</v>
      </c>
      <c r="S48" s="20">
        <v>1</v>
      </c>
      <c r="T48" s="20">
        <v>1</v>
      </c>
      <c r="U48" s="176">
        <v>0</v>
      </c>
      <c r="V48" s="20">
        <v>0</v>
      </c>
      <c r="W48" s="174">
        <v>1309.95</v>
      </c>
      <c r="X48" s="20">
        <v>7</v>
      </c>
      <c r="Y48" s="20">
        <v>12</v>
      </c>
      <c r="Z48" s="20">
        <v>6</v>
      </c>
      <c r="AA48" s="20" t="s">
        <v>84</v>
      </c>
      <c r="AB48" s="20" t="s">
        <v>84</v>
      </c>
      <c r="AC48" s="20" t="s">
        <v>84</v>
      </c>
      <c r="AD48" s="20">
        <v>7</v>
      </c>
      <c r="AE48" s="20">
        <v>9</v>
      </c>
      <c r="AF48" s="20">
        <v>6</v>
      </c>
      <c r="AG48" s="20">
        <v>6</v>
      </c>
      <c r="AH48" s="20">
        <v>8</v>
      </c>
      <c r="AI48" s="20">
        <v>9</v>
      </c>
      <c r="AJ48" s="20" t="s">
        <v>84</v>
      </c>
      <c r="AK48" s="20" t="s">
        <v>84</v>
      </c>
      <c r="AL48" s="20">
        <v>314</v>
      </c>
      <c r="AM48" s="180">
        <v>7577</v>
      </c>
      <c r="AN48" s="173">
        <v>82</v>
      </c>
      <c r="AO48" s="174">
        <v>54</v>
      </c>
      <c r="AP48" s="174">
        <v>4.9</v>
      </c>
      <c r="AQ48" s="174"/>
      <c r="AR48" s="174"/>
      <c r="AS48" s="181">
        <v>8868</v>
      </c>
      <c r="AT48" s="20">
        <v>41</v>
      </c>
      <c r="AU48" s="182">
        <f t="shared" si="4"/>
        <v>0.0046233649075327</v>
      </c>
      <c r="AV48" s="20">
        <v>5</v>
      </c>
      <c r="AW48" s="183">
        <f t="shared" si="5"/>
        <v>1.14707317073171</v>
      </c>
      <c r="AX48" s="184">
        <f t="shared" si="6"/>
        <v>0.12601822079314</v>
      </c>
      <c r="AY48" s="176">
        <f t="shared" si="7"/>
        <v>0.121951219512195</v>
      </c>
      <c r="AZ48" s="185">
        <f t="shared" si="8"/>
        <v>0.357142857142857</v>
      </c>
      <c r="BA48" s="183">
        <v>47.03</v>
      </c>
      <c r="BB48" s="176">
        <f t="shared" si="40"/>
        <v>0.12601822079314</v>
      </c>
      <c r="BC48" s="179">
        <f t="shared" si="10"/>
        <v>9.406</v>
      </c>
      <c r="BD48" s="179">
        <v>373.2</v>
      </c>
      <c r="BE48" s="182">
        <v>0</v>
      </c>
      <c r="BF48" s="186">
        <f t="shared" si="11"/>
        <v>22.774</v>
      </c>
      <c r="BG48" s="186">
        <v>32.18</v>
      </c>
      <c r="BH48" s="187">
        <f t="shared" si="12"/>
        <v>381.91</v>
      </c>
      <c r="BI48" s="182">
        <f t="shared" si="13"/>
        <v>0.29154547883507</v>
      </c>
      <c r="BJ48" s="179">
        <f t="shared" si="14"/>
        <v>2175</v>
      </c>
      <c r="BK48" s="179"/>
      <c r="BL48" s="179">
        <f t="shared" si="15"/>
        <v>21.58</v>
      </c>
      <c r="BM48" s="178"/>
      <c r="BN48" s="7"/>
      <c r="BO48" s="20"/>
      <c r="BP48" s="182"/>
      <c r="BQ48" s="182">
        <f t="shared" si="34"/>
        <v>0.333333333333333</v>
      </c>
      <c r="BR48" s="182">
        <f t="shared" si="16"/>
        <v>0.6</v>
      </c>
      <c r="BS48" s="182">
        <f t="shared" si="17"/>
        <v>0.266233766233766</v>
      </c>
      <c r="BT48" s="188">
        <f t="shared" si="18"/>
        <v>41</v>
      </c>
      <c r="BU48" s="20">
        <f t="shared" si="19"/>
        <v>154</v>
      </c>
      <c r="BV48" s="20">
        <f t="shared" si="20"/>
        <v>113</v>
      </c>
      <c r="BW48" s="185">
        <f t="shared" si="21"/>
        <v>0.733766233766234</v>
      </c>
      <c r="BX48" s="182">
        <f t="shared" si="22"/>
        <v>0.6</v>
      </c>
      <c r="BY48" s="182">
        <f t="shared" si="23"/>
        <v>0.933333333333333</v>
      </c>
      <c r="BZ48" s="182">
        <f t="shared" si="24"/>
        <v>0.6</v>
      </c>
      <c r="CA48" s="182">
        <f t="shared" si="25"/>
        <v>0.333333333333333</v>
      </c>
      <c r="CB48" s="189">
        <f t="shared" si="41"/>
        <v>0.555555555555556</v>
      </c>
      <c r="CC48" s="190">
        <f t="shared" si="42"/>
        <v>0.0974025974025974</v>
      </c>
      <c r="CD48" s="190">
        <f t="shared" si="43"/>
        <v>0.121951219512195</v>
      </c>
      <c r="CE48" s="189">
        <v>0.08</v>
      </c>
      <c r="CF48" s="189">
        <v>0.08</v>
      </c>
      <c r="CG48" s="189">
        <v>0.08</v>
      </c>
      <c r="CH48" s="189">
        <v>0.08</v>
      </c>
      <c r="CI48" s="189">
        <v>0.05</v>
      </c>
      <c r="CJ48" s="189">
        <v>0.06</v>
      </c>
      <c r="CK48" s="189">
        <v>0.04</v>
      </c>
      <c r="CL48" s="191">
        <v>7</v>
      </c>
      <c r="CM48" s="191">
        <v>12</v>
      </c>
      <c r="CN48" s="191">
        <v>6</v>
      </c>
      <c r="CO48" s="191" t="s">
        <v>84</v>
      </c>
      <c r="CP48" s="191" t="s">
        <v>84</v>
      </c>
      <c r="CQ48" s="191" t="s">
        <v>84</v>
      </c>
      <c r="CR48" s="191">
        <v>7</v>
      </c>
      <c r="CS48" s="191">
        <v>9</v>
      </c>
      <c r="CT48" s="191">
        <v>6</v>
      </c>
      <c r="CU48" s="191">
        <v>6</v>
      </c>
      <c r="CV48" s="191">
        <v>8</v>
      </c>
      <c r="CW48" s="191">
        <v>9</v>
      </c>
      <c r="CX48" s="191" t="s">
        <v>84</v>
      </c>
      <c r="CY48" s="191" t="s">
        <v>84</v>
      </c>
      <c r="CZ48" s="127"/>
      <c r="DA48" s="127"/>
      <c r="DB48" s="127"/>
      <c r="DC48" s="127"/>
      <c r="DD48" s="127">
        <v>2.9</v>
      </c>
      <c r="DE48" s="127">
        <v>4.02</v>
      </c>
      <c r="DF48" s="127">
        <v>0.47</v>
      </c>
      <c r="DG48" s="127">
        <v>3.41</v>
      </c>
      <c r="DH48" s="127">
        <v>3.81</v>
      </c>
      <c r="DI48" s="127">
        <v>2.72</v>
      </c>
      <c r="DJ48" s="127">
        <v>0.34</v>
      </c>
      <c r="DK48" s="127"/>
      <c r="DL48" s="198">
        <v>0.0023</v>
      </c>
      <c r="DM48" s="198">
        <v>0.0025</v>
      </c>
      <c r="DN48" s="198">
        <v>0.0025</v>
      </c>
      <c r="DO48" s="198">
        <v>0.0025</v>
      </c>
      <c r="DP48" s="127"/>
      <c r="DQ48" s="192">
        <v>0.045</v>
      </c>
      <c r="DR48" s="192">
        <v>0.0508</v>
      </c>
      <c r="DS48" s="192">
        <v>0.0489</v>
      </c>
      <c r="DT48" s="192">
        <v>0.0486</v>
      </c>
      <c r="DU48" s="192">
        <v>0.061</v>
      </c>
      <c r="DV48" s="192">
        <v>0.0628</v>
      </c>
      <c r="DW48" s="127"/>
      <c r="DX48" s="192">
        <v>0.0175</v>
      </c>
      <c r="DY48" s="192">
        <v>0.0205</v>
      </c>
      <c r="DZ48" s="192">
        <v>0.0205</v>
      </c>
      <c r="EA48" s="192">
        <v>0.0205</v>
      </c>
      <c r="EB48" s="192">
        <v>0.031</v>
      </c>
      <c r="EC48" s="192">
        <v>0.0257</v>
      </c>
      <c r="ED48" s="127"/>
      <c r="EE48" s="196">
        <v>0.39</v>
      </c>
      <c r="EF48" s="196">
        <v>0.61</v>
      </c>
      <c r="EG48" s="196">
        <v>0.56</v>
      </c>
      <c r="EH48" s="196">
        <v>0.56</v>
      </c>
      <c r="EI48" s="196">
        <v>0.56</v>
      </c>
      <c r="EJ48" s="127">
        <v>0.55</v>
      </c>
      <c r="EK48" s="127"/>
      <c r="EL48" s="200">
        <f t="shared" ref="EL48:EQ48" si="45">EE48/DQ48</f>
        <v>8.66666666666667</v>
      </c>
      <c r="EM48" s="200">
        <f t="shared" si="45"/>
        <v>12.007874015748</v>
      </c>
      <c r="EN48" s="200">
        <f t="shared" si="45"/>
        <v>11.4519427402863</v>
      </c>
      <c r="EO48" s="200">
        <f t="shared" si="45"/>
        <v>11.522633744856</v>
      </c>
      <c r="EP48" s="200">
        <f t="shared" si="45"/>
        <v>9.18032786885246</v>
      </c>
      <c r="EQ48" s="200">
        <f t="shared" si="45"/>
        <v>8.75796178343949</v>
      </c>
      <c r="ER48" s="127"/>
      <c r="ES48" s="192">
        <v>0.0055</v>
      </c>
      <c r="ET48" s="192">
        <v>0.0065</v>
      </c>
      <c r="EU48" s="192">
        <v>0.008</v>
      </c>
      <c r="EV48" s="192">
        <v>0.0058</v>
      </c>
      <c r="EW48" s="192">
        <v>0.0088</v>
      </c>
      <c r="EX48" s="192">
        <v>0.0065</v>
      </c>
      <c r="EY48" s="127"/>
      <c r="EZ48" s="127">
        <v>0.55</v>
      </c>
      <c r="FA48" s="192">
        <f t="shared" si="26"/>
        <v>0.0046233649075327</v>
      </c>
      <c r="FB48" s="192">
        <v>0.0025</v>
      </c>
      <c r="FC48" s="192">
        <f t="shared" si="27"/>
        <v>0.0974025974025974</v>
      </c>
      <c r="FD48" s="192">
        <f t="shared" si="28"/>
        <v>0.121951219512195</v>
      </c>
      <c r="FE48" s="193">
        <f t="shared" si="29"/>
        <v>0.6</v>
      </c>
      <c r="FF48" s="127"/>
      <c r="FG48" s="127"/>
      <c r="FH48" s="127"/>
      <c r="FI48" s="194">
        <v>0.045</v>
      </c>
      <c r="FJ48" s="194">
        <f t="shared" si="30"/>
        <v>0.0974025974025974</v>
      </c>
      <c r="FK48" s="196">
        <v>89.57</v>
      </c>
      <c r="FL48" s="127">
        <f t="shared" si="38"/>
        <v>13.4355</v>
      </c>
      <c r="FM48" s="196">
        <v>5.19</v>
      </c>
      <c r="FN48" s="127">
        <f t="shared" si="31"/>
        <v>47.03</v>
      </c>
      <c r="FO48" s="127"/>
      <c r="FP48" s="127">
        <f t="shared" si="32"/>
        <v>22.774</v>
      </c>
      <c r="FQ48" s="127">
        <f t="shared" si="33"/>
        <v>381.91</v>
      </c>
      <c r="FR48" s="196">
        <v>32.18</v>
      </c>
      <c r="FS48" s="127"/>
      <c r="FT48" s="127"/>
      <c r="FU48" s="127"/>
      <c r="FV48" s="127"/>
      <c r="FW48" s="127"/>
      <c r="FX48" s="127"/>
      <c r="FY48" s="127"/>
      <c r="FZ48" s="127"/>
      <c r="GA48" s="127"/>
      <c r="GB48" s="127"/>
      <c r="GC48" s="127"/>
      <c r="GD48" s="127"/>
      <c r="GE48" s="127"/>
      <c r="GF48" s="127"/>
      <c r="GG48" s="127"/>
      <c r="GH48" s="127"/>
      <c r="GI48" s="127"/>
      <c r="GJ48" s="127"/>
      <c r="GK48" s="127"/>
      <c r="GL48" s="127"/>
      <c r="GM48" s="127"/>
      <c r="GN48" s="127"/>
      <c r="GO48" s="127"/>
      <c r="GP48" s="127"/>
      <c r="GQ48" s="127"/>
      <c r="GR48" s="127"/>
      <c r="GS48" s="127"/>
      <c r="GT48" s="127"/>
      <c r="GU48" s="127"/>
      <c r="GV48" s="127"/>
      <c r="GW48" s="127"/>
      <c r="GX48" s="127"/>
      <c r="GY48" s="127"/>
      <c r="GZ48" s="127"/>
    </row>
    <row r="49" spans="1:208">
      <c r="A49" s="172">
        <v>45840</v>
      </c>
      <c r="B49" s="20" t="s">
        <v>377</v>
      </c>
      <c r="C49" s="173" t="s">
        <v>411</v>
      </c>
      <c r="D49" s="174">
        <v>139.99</v>
      </c>
      <c r="E49" s="175">
        <v>89.57</v>
      </c>
      <c r="F49" s="176">
        <v>0.3</v>
      </c>
      <c r="G49" s="176">
        <v>0.15</v>
      </c>
      <c r="H49" s="177">
        <f t="shared" si="0"/>
        <v>83.29405</v>
      </c>
      <c r="I49" s="176">
        <v>0.08</v>
      </c>
      <c r="J49" s="178">
        <v>0.06</v>
      </c>
      <c r="K49" s="20">
        <v>156</v>
      </c>
      <c r="L49" s="20">
        <v>36</v>
      </c>
      <c r="M49" s="20">
        <f t="shared" si="39"/>
        <v>192</v>
      </c>
      <c r="N49" s="176">
        <f t="shared" si="1"/>
        <v>0.0885416666666667</v>
      </c>
      <c r="O49" s="179">
        <f t="shared" si="2"/>
        <v>13</v>
      </c>
      <c r="P49" s="179">
        <f t="shared" si="3"/>
        <v>16</v>
      </c>
      <c r="Q49" s="20">
        <v>17</v>
      </c>
      <c r="R49" s="20">
        <v>17</v>
      </c>
      <c r="S49" s="20">
        <v>1</v>
      </c>
      <c r="T49" s="20">
        <v>1</v>
      </c>
      <c r="U49" s="176">
        <v>0</v>
      </c>
      <c r="V49" s="20">
        <v>0</v>
      </c>
      <c r="W49" s="174">
        <v>1484.61</v>
      </c>
      <c r="X49" s="20">
        <v>8</v>
      </c>
      <c r="Y49" s="20">
        <v>16</v>
      </c>
      <c r="Z49" s="20">
        <v>5</v>
      </c>
      <c r="AA49" s="20" t="s">
        <v>84</v>
      </c>
      <c r="AB49" s="20">
        <v>48</v>
      </c>
      <c r="AC49" s="20">
        <v>23</v>
      </c>
      <c r="AD49" s="20">
        <v>7</v>
      </c>
      <c r="AE49" s="20">
        <v>5</v>
      </c>
      <c r="AF49" s="20">
        <v>6</v>
      </c>
      <c r="AG49" s="20">
        <v>10</v>
      </c>
      <c r="AH49" s="20">
        <v>8</v>
      </c>
      <c r="AI49" s="20">
        <v>2</v>
      </c>
      <c r="AJ49" s="20" t="s">
        <v>84</v>
      </c>
      <c r="AK49" s="20">
        <v>12</v>
      </c>
      <c r="AL49" s="20">
        <v>314</v>
      </c>
      <c r="AM49" s="180">
        <v>6694</v>
      </c>
      <c r="AN49" s="173">
        <v>52</v>
      </c>
      <c r="AO49" s="174">
        <v>159</v>
      </c>
      <c r="AP49" s="174">
        <v>4.9</v>
      </c>
      <c r="AQ49" s="174"/>
      <c r="AR49" s="174"/>
      <c r="AS49" s="181">
        <v>12126</v>
      </c>
      <c r="AT49" s="20">
        <v>73</v>
      </c>
      <c r="AU49" s="182">
        <f t="shared" si="4"/>
        <v>0.00602012205178954</v>
      </c>
      <c r="AV49" s="20">
        <v>3</v>
      </c>
      <c r="AW49" s="183">
        <f t="shared" si="5"/>
        <v>1.14835616438356</v>
      </c>
      <c r="AX49" s="184">
        <f t="shared" si="6"/>
        <v>0.374374776705966</v>
      </c>
      <c r="AY49" s="176">
        <f t="shared" si="7"/>
        <v>0.0410958904109589</v>
      </c>
      <c r="AZ49" s="185">
        <f t="shared" si="8"/>
        <v>0.1875</v>
      </c>
      <c r="BA49" s="183">
        <v>83.83</v>
      </c>
      <c r="BB49" s="176">
        <f t="shared" si="40"/>
        <v>0.374374776705966</v>
      </c>
      <c r="BC49" s="179">
        <f t="shared" si="10"/>
        <v>27.9433333333333</v>
      </c>
      <c r="BD49" s="179">
        <v>223.92</v>
      </c>
      <c r="BE49" s="182">
        <v>0</v>
      </c>
      <c r="BF49" s="186">
        <f t="shared" si="11"/>
        <v>4.23666666666667</v>
      </c>
      <c r="BG49" s="186">
        <v>32.18</v>
      </c>
      <c r="BH49" s="187">
        <f t="shared" si="12"/>
        <v>409.47</v>
      </c>
      <c r="BI49" s="182">
        <f t="shared" si="13"/>
        <v>0.275809808636612</v>
      </c>
      <c r="BJ49" s="179">
        <f t="shared" si="14"/>
        <v>2465</v>
      </c>
      <c r="BK49" s="179"/>
      <c r="BL49" s="179">
        <f t="shared" si="15"/>
        <v>21.58</v>
      </c>
      <c r="BM49" s="178"/>
      <c r="BN49" s="7"/>
      <c r="BO49" s="20"/>
      <c r="BP49" s="182"/>
      <c r="BQ49" s="182">
        <f t="shared" si="34"/>
        <v>0.176470588235294</v>
      </c>
      <c r="BR49" s="182">
        <f t="shared" si="16"/>
        <v>0.764705882352941</v>
      </c>
      <c r="BS49" s="182">
        <f t="shared" si="17"/>
        <v>0.380208333333333</v>
      </c>
      <c r="BT49" s="188">
        <f t="shared" si="18"/>
        <v>73</v>
      </c>
      <c r="BU49" s="20">
        <f t="shared" si="19"/>
        <v>192</v>
      </c>
      <c r="BV49" s="20">
        <f t="shared" si="20"/>
        <v>119</v>
      </c>
      <c r="BW49" s="185">
        <f t="shared" si="21"/>
        <v>0.619791666666667</v>
      </c>
      <c r="BX49" s="182">
        <f t="shared" si="22"/>
        <v>0.764705882352941</v>
      </c>
      <c r="BY49" s="182">
        <f t="shared" si="23"/>
        <v>0.941176470588235</v>
      </c>
      <c r="BZ49" s="182">
        <f t="shared" si="24"/>
        <v>0.764705882352941</v>
      </c>
      <c r="CA49" s="182">
        <f t="shared" si="25"/>
        <v>0.176470588235294</v>
      </c>
      <c r="CB49" s="189">
        <f t="shared" si="41"/>
        <v>0.230769230769231</v>
      </c>
      <c r="CC49" s="190">
        <f t="shared" si="42"/>
        <v>0.0885416666666667</v>
      </c>
      <c r="CD49" s="190">
        <f t="shared" si="43"/>
        <v>0.0410958904109589</v>
      </c>
      <c r="CE49" s="189">
        <v>0.08</v>
      </c>
      <c r="CF49" s="189">
        <v>0.08</v>
      </c>
      <c r="CG49" s="189">
        <v>0.08</v>
      </c>
      <c r="CH49" s="189">
        <v>0.08</v>
      </c>
      <c r="CI49" s="189">
        <v>0.05</v>
      </c>
      <c r="CJ49" s="189">
        <v>0.06</v>
      </c>
      <c r="CK49" s="189">
        <v>0.04</v>
      </c>
      <c r="CL49" s="191">
        <v>8</v>
      </c>
      <c r="CM49" s="191">
        <v>16</v>
      </c>
      <c r="CN49" s="191">
        <v>5</v>
      </c>
      <c r="CO49" s="191" t="s">
        <v>84</v>
      </c>
      <c r="CP49" s="191">
        <v>48</v>
      </c>
      <c r="CQ49" s="191">
        <v>23</v>
      </c>
      <c r="CR49" s="191">
        <v>7</v>
      </c>
      <c r="CS49" s="191">
        <v>5</v>
      </c>
      <c r="CT49" s="191">
        <v>6</v>
      </c>
      <c r="CU49" s="191">
        <v>10</v>
      </c>
      <c r="CV49" s="191">
        <v>8</v>
      </c>
      <c r="CW49" s="191">
        <v>2</v>
      </c>
      <c r="CX49" s="191" t="s">
        <v>84</v>
      </c>
      <c r="CY49" s="191">
        <v>12</v>
      </c>
      <c r="CZ49" s="127"/>
      <c r="DA49" s="127"/>
      <c r="DB49" s="127"/>
      <c r="DC49" s="127"/>
      <c r="DD49" s="196">
        <v>2.9</v>
      </c>
      <c r="DE49" s="196">
        <v>4.02</v>
      </c>
      <c r="DF49" s="196">
        <v>0.47</v>
      </c>
      <c r="DG49" s="196">
        <v>3.41</v>
      </c>
      <c r="DH49" s="127">
        <v>3.81</v>
      </c>
      <c r="DI49" s="196">
        <v>2.72</v>
      </c>
      <c r="DJ49" s="196">
        <v>0.34</v>
      </c>
      <c r="DK49" s="127"/>
      <c r="DL49" s="198">
        <v>0.0023</v>
      </c>
      <c r="DM49" s="198">
        <v>0.0025</v>
      </c>
      <c r="DN49" s="198">
        <v>0.0025</v>
      </c>
      <c r="DO49" s="198">
        <v>0.0025</v>
      </c>
      <c r="DP49" s="127"/>
      <c r="DQ49" s="192">
        <v>0.045</v>
      </c>
      <c r="DR49" s="192">
        <v>0.0508</v>
      </c>
      <c r="DS49" s="192">
        <v>0.0489</v>
      </c>
      <c r="DT49" s="192">
        <v>0.0486</v>
      </c>
      <c r="DU49" s="192">
        <v>0.061</v>
      </c>
      <c r="DV49" s="192">
        <v>0.0628</v>
      </c>
      <c r="DW49" s="127"/>
      <c r="DX49" s="192">
        <v>0.0175</v>
      </c>
      <c r="DY49" s="192">
        <v>0.0205</v>
      </c>
      <c r="DZ49" s="192">
        <v>0.0205</v>
      </c>
      <c r="EA49" s="192">
        <v>0.0205</v>
      </c>
      <c r="EB49" s="192">
        <v>0.031</v>
      </c>
      <c r="EC49" s="192">
        <v>0.0257</v>
      </c>
      <c r="ED49" s="127"/>
      <c r="EE49" s="196">
        <v>0.39</v>
      </c>
      <c r="EF49" s="196">
        <v>0.61</v>
      </c>
      <c r="EG49" s="196">
        <v>0.56</v>
      </c>
      <c r="EH49" s="196">
        <v>0.56</v>
      </c>
      <c r="EI49" s="196">
        <v>0.56</v>
      </c>
      <c r="EJ49" s="127">
        <v>0.55</v>
      </c>
      <c r="EK49" s="127"/>
      <c r="EL49" s="200">
        <f t="shared" ref="EL49:EQ49" si="46">EE49/DQ49</f>
        <v>8.66666666666667</v>
      </c>
      <c r="EM49" s="200">
        <f t="shared" si="46"/>
        <v>12.007874015748</v>
      </c>
      <c r="EN49" s="200">
        <f t="shared" si="46"/>
        <v>11.4519427402863</v>
      </c>
      <c r="EO49" s="200">
        <f t="shared" si="46"/>
        <v>11.522633744856</v>
      </c>
      <c r="EP49" s="200">
        <f t="shared" si="46"/>
        <v>9.18032786885246</v>
      </c>
      <c r="EQ49" s="200">
        <f t="shared" si="46"/>
        <v>8.75796178343949</v>
      </c>
      <c r="ER49" s="127"/>
      <c r="ES49" s="192">
        <v>0.0055</v>
      </c>
      <c r="ET49" s="192">
        <v>0.0065</v>
      </c>
      <c r="EU49" s="192">
        <v>0.008</v>
      </c>
      <c r="EV49" s="192">
        <v>0.0058</v>
      </c>
      <c r="EW49" s="192">
        <v>0.0088</v>
      </c>
      <c r="EX49" s="192">
        <v>0.0065</v>
      </c>
      <c r="EY49" s="127"/>
      <c r="EZ49" s="127">
        <v>0.55</v>
      </c>
      <c r="FA49" s="192">
        <f t="shared" si="26"/>
        <v>0.00602012205178954</v>
      </c>
      <c r="FB49" s="192">
        <v>0.0025</v>
      </c>
      <c r="FC49" s="192">
        <f t="shared" si="27"/>
        <v>0.0885416666666667</v>
      </c>
      <c r="FD49" s="192">
        <f t="shared" si="28"/>
        <v>0.0410958904109589</v>
      </c>
      <c r="FE49" s="193">
        <f t="shared" si="29"/>
        <v>0.764705882352941</v>
      </c>
      <c r="FF49" s="127"/>
      <c r="FG49" s="127"/>
      <c r="FH49" s="127"/>
      <c r="FI49" s="194">
        <v>0.045</v>
      </c>
      <c r="FJ49" s="194">
        <f t="shared" si="30"/>
        <v>0.0885416666666667</v>
      </c>
      <c r="FK49" s="196">
        <v>89.57</v>
      </c>
      <c r="FL49" s="127">
        <f t="shared" si="38"/>
        <v>13.4355</v>
      </c>
      <c r="FM49" s="196">
        <v>5.19</v>
      </c>
      <c r="FN49" s="127">
        <f t="shared" si="31"/>
        <v>83.83</v>
      </c>
      <c r="FO49" s="127"/>
      <c r="FP49" s="127">
        <f t="shared" si="32"/>
        <v>4.23666666666667</v>
      </c>
      <c r="FQ49" s="127">
        <f t="shared" si="33"/>
        <v>409.47</v>
      </c>
      <c r="FR49" s="196">
        <v>32.18</v>
      </c>
      <c r="FS49" s="127"/>
      <c r="FT49" s="127"/>
      <c r="FU49" s="127"/>
      <c r="FV49" s="127"/>
      <c r="FW49" s="127"/>
      <c r="FX49" s="127"/>
      <c r="FY49" s="127"/>
      <c r="FZ49" s="127"/>
      <c r="GA49" s="127"/>
      <c r="GB49" s="127"/>
      <c r="GC49" s="127"/>
      <c r="GD49" s="127"/>
      <c r="GE49" s="127"/>
      <c r="GF49" s="127"/>
      <c r="GG49" s="127"/>
      <c r="GH49" s="127"/>
      <c r="GI49" s="127"/>
      <c r="GJ49" s="127"/>
      <c r="GK49" s="127"/>
      <c r="GL49" s="127"/>
      <c r="GM49" s="127"/>
      <c r="GN49" s="127"/>
      <c r="GO49" s="127"/>
      <c r="GP49" s="127"/>
      <c r="GQ49" s="127"/>
      <c r="GR49" s="127"/>
      <c r="GS49" s="127"/>
      <c r="GT49" s="127"/>
      <c r="GU49" s="127"/>
      <c r="GV49" s="127"/>
      <c r="GW49" s="127"/>
      <c r="GX49" s="127"/>
      <c r="GY49" s="127"/>
      <c r="GZ49" s="127"/>
    </row>
    <row r="50" spans="1:208">
      <c r="A50" s="172">
        <v>45841</v>
      </c>
      <c r="B50" s="20" t="s">
        <v>379</v>
      </c>
      <c r="C50" s="173" t="s">
        <v>84</v>
      </c>
      <c r="D50" s="174">
        <v>139.99</v>
      </c>
      <c r="E50" s="175">
        <v>89.57</v>
      </c>
      <c r="F50" s="176">
        <v>0.3</v>
      </c>
      <c r="G50" s="176">
        <v>0.15</v>
      </c>
      <c r="H50" s="177">
        <f t="shared" si="0"/>
        <v>83.29405</v>
      </c>
      <c r="I50" s="176">
        <v>0.08</v>
      </c>
      <c r="J50" s="178">
        <v>0.06</v>
      </c>
      <c r="K50" s="20">
        <v>137</v>
      </c>
      <c r="L50" s="20">
        <v>24</v>
      </c>
      <c r="M50" s="20">
        <f t="shared" si="39"/>
        <v>161</v>
      </c>
      <c r="N50" s="176">
        <f t="shared" si="1"/>
        <v>0.130434782608696</v>
      </c>
      <c r="O50" s="179">
        <f t="shared" si="2"/>
        <v>19</v>
      </c>
      <c r="P50" s="179">
        <f t="shared" si="3"/>
        <v>21</v>
      </c>
      <c r="Q50" s="20">
        <v>21</v>
      </c>
      <c r="R50" s="20">
        <v>21</v>
      </c>
      <c r="S50" s="20">
        <v>0</v>
      </c>
      <c r="T50" s="20">
        <v>0</v>
      </c>
      <c r="U50" s="176">
        <v>0</v>
      </c>
      <c r="V50" s="20">
        <v>0</v>
      </c>
      <c r="W50" s="174">
        <v>1833.93</v>
      </c>
      <c r="X50" s="20">
        <v>9</v>
      </c>
      <c r="Y50" s="20">
        <v>12</v>
      </c>
      <c r="Z50" s="20">
        <v>5</v>
      </c>
      <c r="AA50" s="20">
        <v>4</v>
      </c>
      <c r="AB50" s="20">
        <v>50</v>
      </c>
      <c r="AC50" s="20">
        <v>11</v>
      </c>
      <c r="AD50" s="20">
        <v>7</v>
      </c>
      <c r="AE50" s="20">
        <v>10</v>
      </c>
      <c r="AF50" s="20">
        <v>6</v>
      </c>
      <c r="AG50" s="20">
        <v>6</v>
      </c>
      <c r="AH50" s="20">
        <v>11</v>
      </c>
      <c r="AI50" s="20">
        <v>3</v>
      </c>
      <c r="AJ50" s="20" t="s">
        <v>84</v>
      </c>
      <c r="AK50" s="20">
        <v>12</v>
      </c>
      <c r="AL50" s="20">
        <v>314</v>
      </c>
      <c r="AM50" s="180">
        <v>6113</v>
      </c>
      <c r="AN50" s="173">
        <v>44</v>
      </c>
      <c r="AO50" s="174">
        <v>161</v>
      </c>
      <c r="AP50" s="174">
        <v>4.9</v>
      </c>
      <c r="AQ50" s="174"/>
      <c r="AR50" s="174"/>
      <c r="AS50" s="181">
        <v>10037</v>
      </c>
      <c r="AT50" s="20">
        <v>39</v>
      </c>
      <c r="AU50" s="182">
        <f t="shared" si="4"/>
        <v>0.00388562319418153</v>
      </c>
      <c r="AV50" s="20">
        <v>2</v>
      </c>
      <c r="AW50" s="183">
        <f t="shared" si="5"/>
        <v>1.24230769230769</v>
      </c>
      <c r="AX50" s="184">
        <f t="shared" si="6"/>
        <v>0.333081259452771</v>
      </c>
      <c r="AY50" s="176">
        <f t="shared" si="7"/>
        <v>0.0512820512820513</v>
      </c>
      <c r="AZ50" s="185">
        <f t="shared" si="8"/>
        <v>0.0952380952380952</v>
      </c>
      <c r="BA50" s="183">
        <v>48.45</v>
      </c>
      <c r="BB50" s="176">
        <f t="shared" si="40"/>
        <v>0.333081259452771</v>
      </c>
      <c r="BC50" s="179">
        <f t="shared" si="10"/>
        <v>24.225</v>
      </c>
      <c r="BD50" s="179">
        <v>145.46</v>
      </c>
      <c r="BE50" s="182">
        <v>0</v>
      </c>
      <c r="BF50" s="186">
        <f t="shared" si="11"/>
        <v>7.955</v>
      </c>
      <c r="BG50" s="186">
        <v>32.18</v>
      </c>
      <c r="BH50" s="187">
        <f t="shared" si="12"/>
        <v>627.33</v>
      </c>
      <c r="BI50" s="182">
        <f t="shared" si="13"/>
        <v>0.342068672195776</v>
      </c>
      <c r="BJ50" s="179">
        <f t="shared" si="14"/>
        <v>3045</v>
      </c>
      <c r="BK50" s="179"/>
      <c r="BL50" s="179">
        <f t="shared" si="15"/>
        <v>0</v>
      </c>
      <c r="BM50" s="178"/>
      <c r="BN50" s="7"/>
      <c r="BO50" s="20"/>
      <c r="BP50" s="182"/>
      <c r="BQ50" s="182">
        <f t="shared" si="34"/>
        <v>0.0952380952380952</v>
      </c>
      <c r="BR50" s="182">
        <f t="shared" si="16"/>
        <v>0.904761904761905</v>
      </c>
      <c r="BS50" s="182">
        <f t="shared" si="17"/>
        <v>0.242236024844721</v>
      </c>
      <c r="BT50" s="188">
        <f t="shared" si="18"/>
        <v>39</v>
      </c>
      <c r="BU50" s="20">
        <f t="shared" si="19"/>
        <v>161</v>
      </c>
      <c r="BV50" s="20">
        <f t="shared" si="20"/>
        <v>122</v>
      </c>
      <c r="BW50" s="185">
        <f t="shared" si="21"/>
        <v>0.757763975155279</v>
      </c>
      <c r="BX50" s="182">
        <f t="shared" si="22"/>
        <v>0.904761904761905</v>
      </c>
      <c r="BY50" s="182">
        <f t="shared" si="23"/>
        <v>1</v>
      </c>
      <c r="BZ50" s="182">
        <f t="shared" si="24"/>
        <v>0.904761904761905</v>
      </c>
      <c r="CA50" s="182">
        <f t="shared" si="25"/>
        <v>0.0952380952380952</v>
      </c>
      <c r="CB50" s="189">
        <f t="shared" si="41"/>
        <v>0.105263157894737</v>
      </c>
      <c r="CC50" s="190">
        <f t="shared" si="42"/>
        <v>0.130434782608696</v>
      </c>
      <c r="CD50" s="190">
        <f t="shared" si="43"/>
        <v>0.0512820512820513</v>
      </c>
      <c r="CE50" s="189">
        <v>0.08</v>
      </c>
      <c r="CF50" s="189">
        <v>0.08</v>
      </c>
      <c r="CG50" s="189">
        <v>0.08</v>
      </c>
      <c r="CH50" s="189">
        <v>0.08</v>
      </c>
      <c r="CI50" s="189">
        <v>0.05</v>
      </c>
      <c r="CJ50" s="189">
        <v>0.06</v>
      </c>
      <c r="CK50" s="189">
        <v>0.04</v>
      </c>
      <c r="CL50" s="191">
        <v>9</v>
      </c>
      <c r="CM50" s="191">
        <v>12</v>
      </c>
      <c r="CN50" s="191">
        <v>5</v>
      </c>
      <c r="CO50" s="191">
        <v>4</v>
      </c>
      <c r="CP50" s="191">
        <v>50</v>
      </c>
      <c r="CQ50" s="191">
        <v>11</v>
      </c>
      <c r="CR50" s="191">
        <v>7</v>
      </c>
      <c r="CS50" s="191">
        <v>10</v>
      </c>
      <c r="CT50" s="191">
        <v>6</v>
      </c>
      <c r="CU50" s="191">
        <v>6</v>
      </c>
      <c r="CV50" s="191">
        <v>11</v>
      </c>
      <c r="CW50" s="191">
        <v>3</v>
      </c>
      <c r="CX50" s="191" t="s">
        <v>84</v>
      </c>
      <c r="CY50" s="191">
        <v>12</v>
      </c>
      <c r="CZ50" s="127"/>
      <c r="DA50" s="127"/>
      <c r="DB50" s="127"/>
      <c r="DC50" s="127"/>
      <c r="DD50" s="196">
        <v>2.9</v>
      </c>
      <c r="DE50" s="196">
        <v>4.02</v>
      </c>
      <c r="DF50" s="196">
        <v>0.47</v>
      </c>
      <c r="DG50" s="196">
        <v>3.41</v>
      </c>
      <c r="DH50" s="127">
        <v>3.82</v>
      </c>
      <c r="DI50" s="196">
        <v>2.72</v>
      </c>
      <c r="DJ50" s="196">
        <v>0.34</v>
      </c>
      <c r="DK50" s="127"/>
      <c r="DL50" s="198">
        <v>0.0023</v>
      </c>
      <c r="DM50" s="198">
        <v>0.0025</v>
      </c>
      <c r="DN50" s="198">
        <v>0.0025</v>
      </c>
      <c r="DO50" s="198">
        <v>0.0025</v>
      </c>
      <c r="DP50" s="127"/>
      <c r="DQ50" s="192">
        <v>0.045</v>
      </c>
      <c r="DR50" s="192">
        <v>0.0508</v>
      </c>
      <c r="DS50" s="192">
        <v>0.0489</v>
      </c>
      <c r="DT50" s="192">
        <v>0.0486</v>
      </c>
      <c r="DU50" s="192">
        <v>0.061</v>
      </c>
      <c r="DV50" s="192">
        <v>0.0628</v>
      </c>
      <c r="DW50" s="127"/>
      <c r="DX50" s="192">
        <v>0.0175</v>
      </c>
      <c r="DY50" s="192">
        <v>0.0205</v>
      </c>
      <c r="DZ50" s="192">
        <v>0.0205</v>
      </c>
      <c r="EA50" s="192">
        <v>0.0205</v>
      </c>
      <c r="EB50" s="192">
        <v>0.031</v>
      </c>
      <c r="EC50" s="192">
        <v>0.0257</v>
      </c>
      <c r="ED50" s="127"/>
      <c r="EE50" s="196">
        <v>0.39</v>
      </c>
      <c r="EF50" s="196">
        <v>0.61</v>
      </c>
      <c r="EG50" s="196">
        <v>0.56</v>
      </c>
      <c r="EH50" s="196">
        <v>0.56</v>
      </c>
      <c r="EI50" s="196">
        <v>0.56</v>
      </c>
      <c r="EJ50" s="127">
        <v>0.55</v>
      </c>
      <c r="EK50" s="127"/>
      <c r="EL50" s="200">
        <f t="shared" ref="EL50:EQ50" si="47">EE50/DQ50</f>
        <v>8.66666666666667</v>
      </c>
      <c r="EM50" s="200">
        <f t="shared" si="47"/>
        <v>12.007874015748</v>
      </c>
      <c r="EN50" s="200">
        <f t="shared" si="47"/>
        <v>11.4519427402863</v>
      </c>
      <c r="EO50" s="200">
        <f t="shared" si="47"/>
        <v>11.522633744856</v>
      </c>
      <c r="EP50" s="200">
        <f t="shared" si="47"/>
        <v>9.18032786885246</v>
      </c>
      <c r="EQ50" s="200">
        <f t="shared" si="47"/>
        <v>8.75796178343949</v>
      </c>
      <c r="ER50" s="127"/>
      <c r="ES50" s="192">
        <v>0.0055</v>
      </c>
      <c r="ET50" s="192">
        <v>0.0065</v>
      </c>
      <c r="EU50" s="192">
        <v>0.008</v>
      </c>
      <c r="EV50" s="192">
        <v>0.0058</v>
      </c>
      <c r="EW50" s="192">
        <v>0.0088</v>
      </c>
      <c r="EX50" s="192">
        <v>0.0065</v>
      </c>
      <c r="EY50" s="127"/>
      <c r="EZ50" s="127">
        <v>0.55</v>
      </c>
      <c r="FA50" s="192">
        <f t="shared" si="26"/>
        <v>0.00388562319418153</v>
      </c>
      <c r="FB50" s="192">
        <v>0.0025</v>
      </c>
      <c r="FC50" s="192">
        <f t="shared" si="27"/>
        <v>0.130434782608696</v>
      </c>
      <c r="FD50" s="192">
        <f t="shared" si="28"/>
        <v>0.0512820512820513</v>
      </c>
      <c r="FE50" s="193">
        <f t="shared" si="29"/>
        <v>0.904761904761905</v>
      </c>
      <c r="FF50" s="127"/>
      <c r="FG50" s="127"/>
      <c r="FH50" s="127"/>
      <c r="FI50" s="194">
        <v>0.045</v>
      </c>
      <c r="FJ50" s="194">
        <f t="shared" si="30"/>
        <v>0.130434782608696</v>
      </c>
      <c r="FK50" s="196">
        <v>89.57</v>
      </c>
      <c r="FL50" s="127">
        <f t="shared" si="38"/>
        <v>13.4355</v>
      </c>
      <c r="FM50" s="196">
        <v>5.19</v>
      </c>
      <c r="FN50" s="127">
        <f t="shared" si="31"/>
        <v>48.45</v>
      </c>
      <c r="FO50" s="127"/>
      <c r="FP50" s="127">
        <f t="shared" si="32"/>
        <v>7.955</v>
      </c>
      <c r="FQ50" s="127">
        <f t="shared" si="33"/>
        <v>627.33</v>
      </c>
      <c r="FR50" s="196">
        <v>32.18</v>
      </c>
      <c r="FS50" s="127"/>
      <c r="FT50" s="127"/>
      <c r="FU50" s="127"/>
      <c r="FV50" s="127"/>
      <c r="FW50" s="127"/>
      <c r="FX50" s="127"/>
      <c r="FY50" s="127"/>
      <c r="FZ50" s="127"/>
      <c r="GA50" s="127"/>
      <c r="GB50" s="127"/>
      <c r="GC50" s="127"/>
      <c r="GD50" s="127"/>
      <c r="GE50" s="127"/>
      <c r="GF50" s="127"/>
      <c r="GG50" s="127"/>
      <c r="GH50" s="127"/>
      <c r="GI50" s="127"/>
      <c r="GJ50" s="127"/>
      <c r="GK50" s="127"/>
      <c r="GL50" s="127"/>
      <c r="GM50" s="127"/>
      <c r="GN50" s="127"/>
      <c r="GO50" s="127"/>
      <c r="GP50" s="127"/>
      <c r="GQ50" s="127"/>
      <c r="GR50" s="127"/>
      <c r="GS50" s="127"/>
      <c r="GT50" s="127"/>
      <c r="GU50" s="127"/>
      <c r="GV50" s="127"/>
      <c r="GW50" s="127"/>
      <c r="GX50" s="127"/>
      <c r="GY50" s="127"/>
      <c r="GZ50" s="127"/>
    </row>
    <row r="51" spans="1:208">
      <c r="A51" s="172">
        <v>45842</v>
      </c>
      <c r="B51" s="20" t="s">
        <v>381</v>
      </c>
      <c r="C51" s="173" t="s">
        <v>84</v>
      </c>
      <c r="D51" s="174">
        <v>139.99</v>
      </c>
      <c r="E51" s="175">
        <v>89.57</v>
      </c>
      <c r="F51" s="176">
        <v>0.3</v>
      </c>
      <c r="G51" s="176">
        <v>0.15</v>
      </c>
      <c r="H51" s="177">
        <f t="shared" si="0"/>
        <v>83.29405</v>
      </c>
      <c r="I51" s="176">
        <v>0.08</v>
      </c>
      <c r="J51" s="178">
        <v>0.06</v>
      </c>
      <c r="K51" s="20">
        <v>172</v>
      </c>
      <c r="L51" s="20">
        <v>26</v>
      </c>
      <c r="M51" s="20">
        <f t="shared" si="39"/>
        <v>198</v>
      </c>
      <c r="N51" s="176">
        <f t="shared" si="1"/>
        <v>0.131313131313131</v>
      </c>
      <c r="O51" s="179">
        <f t="shared" si="2"/>
        <v>23</v>
      </c>
      <c r="P51" s="179">
        <f t="shared" si="3"/>
        <v>26</v>
      </c>
      <c r="Q51" s="20">
        <v>26</v>
      </c>
      <c r="R51" s="20">
        <v>26</v>
      </c>
      <c r="S51" s="20">
        <v>0</v>
      </c>
      <c r="T51" s="20">
        <v>0</v>
      </c>
      <c r="U51" s="176">
        <v>0</v>
      </c>
      <c r="V51" s="20">
        <v>0</v>
      </c>
      <c r="W51" s="174">
        <v>2270.58</v>
      </c>
      <c r="X51" s="20">
        <v>8</v>
      </c>
      <c r="Y51" s="20">
        <v>6</v>
      </c>
      <c r="Z51" s="20">
        <v>5</v>
      </c>
      <c r="AA51" s="20" t="s">
        <v>84</v>
      </c>
      <c r="AB51" s="20">
        <v>43</v>
      </c>
      <c r="AC51" s="20" t="s">
        <v>84</v>
      </c>
      <c r="AD51" s="20">
        <v>7</v>
      </c>
      <c r="AE51" s="20">
        <v>18</v>
      </c>
      <c r="AF51" s="20">
        <v>4</v>
      </c>
      <c r="AG51" s="20">
        <v>9</v>
      </c>
      <c r="AH51" s="20">
        <v>8</v>
      </c>
      <c r="AI51" s="20">
        <v>3</v>
      </c>
      <c r="AJ51" s="20" t="s">
        <v>84</v>
      </c>
      <c r="AK51" s="20" t="s">
        <v>84</v>
      </c>
      <c r="AL51" s="20">
        <v>350</v>
      </c>
      <c r="AM51" s="180">
        <v>5307</v>
      </c>
      <c r="AN51" s="173">
        <v>22</v>
      </c>
      <c r="AO51" s="174">
        <v>163</v>
      </c>
      <c r="AP51" s="174">
        <v>4.9</v>
      </c>
      <c r="AQ51" s="174"/>
      <c r="AR51" s="174"/>
      <c r="AS51" s="181">
        <v>15048</v>
      </c>
      <c r="AT51" s="20">
        <v>65</v>
      </c>
      <c r="AU51" s="182">
        <f t="shared" si="4"/>
        <v>0.00431951089845827</v>
      </c>
      <c r="AV51" s="20">
        <v>3</v>
      </c>
      <c r="AW51" s="183">
        <f t="shared" si="5"/>
        <v>1.11676923076923</v>
      </c>
      <c r="AX51" s="184">
        <f t="shared" si="6"/>
        <v>0.3416643132825</v>
      </c>
      <c r="AY51" s="176">
        <f t="shared" si="7"/>
        <v>0.0461538461538462</v>
      </c>
      <c r="AZ51" s="185">
        <f t="shared" si="8"/>
        <v>0.115384615384615</v>
      </c>
      <c r="BA51" s="183">
        <v>72.59</v>
      </c>
      <c r="BB51" s="176">
        <f t="shared" si="40"/>
        <v>0.3416643132825</v>
      </c>
      <c r="BC51" s="179">
        <f t="shared" si="10"/>
        <v>24.1966666666667</v>
      </c>
      <c r="BD51" s="179">
        <v>212.46</v>
      </c>
      <c r="BE51" s="182">
        <v>0</v>
      </c>
      <c r="BF51" s="186">
        <f t="shared" si="11"/>
        <v>7.98333333333333</v>
      </c>
      <c r="BG51" s="186">
        <v>32.18</v>
      </c>
      <c r="BH51" s="187">
        <f t="shared" si="12"/>
        <v>764.09</v>
      </c>
      <c r="BI51" s="182">
        <f t="shared" si="13"/>
        <v>0.336517541773468</v>
      </c>
      <c r="BJ51" s="179">
        <f t="shared" si="14"/>
        <v>3770</v>
      </c>
      <c r="BK51" s="179"/>
      <c r="BL51" s="179">
        <f t="shared" si="15"/>
        <v>0</v>
      </c>
      <c r="BM51" s="178"/>
      <c r="BN51" s="7"/>
      <c r="BO51" s="20"/>
      <c r="BP51" s="182"/>
      <c r="BQ51" s="182">
        <f t="shared" si="34"/>
        <v>0.115384615384615</v>
      </c>
      <c r="BR51" s="182">
        <f t="shared" si="16"/>
        <v>0.884615384615385</v>
      </c>
      <c r="BS51" s="182">
        <f t="shared" si="17"/>
        <v>0.328282828282828</v>
      </c>
      <c r="BT51" s="188">
        <f t="shared" si="18"/>
        <v>65</v>
      </c>
      <c r="BU51" s="20">
        <f t="shared" si="19"/>
        <v>198</v>
      </c>
      <c r="BV51" s="20">
        <f t="shared" si="20"/>
        <v>133</v>
      </c>
      <c r="BW51" s="185">
        <f t="shared" si="21"/>
        <v>0.671717171717172</v>
      </c>
      <c r="BX51" s="182">
        <f t="shared" si="22"/>
        <v>0.884615384615385</v>
      </c>
      <c r="BY51" s="182">
        <f t="shared" si="23"/>
        <v>1</v>
      </c>
      <c r="BZ51" s="182">
        <f t="shared" si="24"/>
        <v>0.884615384615385</v>
      </c>
      <c r="CA51" s="182">
        <f t="shared" si="25"/>
        <v>0.115384615384615</v>
      </c>
      <c r="CB51" s="189">
        <f t="shared" si="41"/>
        <v>0.130434782608696</v>
      </c>
      <c r="CC51" s="190">
        <f t="shared" si="42"/>
        <v>0.131313131313131</v>
      </c>
      <c r="CD51" s="190">
        <f t="shared" si="43"/>
        <v>0.0461538461538462</v>
      </c>
      <c r="CE51" s="189">
        <v>0.08</v>
      </c>
      <c r="CF51" s="189">
        <v>0.08</v>
      </c>
      <c r="CG51" s="189">
        <v>0.08</v>
      </c>
      <c r="CH51" s="189">
        <v>0.08</v>
      </c>
      <c r="CI51" s="189">
        <v>0.05</v>
      </c>
      <c r="CJ51" s="189">
        <v>0.06</v>
      </c>
      <c r="CK51" s="189">
        <v>0.04</v>
      </c>
      <c r="CL51" s="191">
        <v>8</v>
      </c>
      <c r="CM51" s="191" t="s">
        <v>84</v>
      </c>
      <c r="CN51" s="191">
        <v>5</v>
      </c>
      <c r="CO51" s="191" t="s">
        <v>84</v>
      </c>
      <c r="CP51" s="191">
        <v>43</v>
      </c>
      <c r="CQ51" s="191" t="s">
        <v>84</v>
      </c>
      <c r="CR51" s="191">
        <v>7</v>
      </c>
      <c r="CS51" s="191">
        <v>18</v>
      </c>
      <c r="CT51" s="191">
        <v>4</v>
      </c>
      <c r="CU51" s="191">
        <v>9</v>
      </c>
      <c r="CV51" s="191">
        <v>8</v>
      </c>
      <c r="CW51" s="191">
        <v>3</v>
      </c>
      <c r="CX51" s="191" t="s">
        <v>84</v>
      </c>
      <c r="CY51" s="191" t="s">
        <v>84</v>
      </c>
      <c r="CZ51" s="127"/>
      <c r="DA51" s="127"/>
      <c r="DB51" s="127"/>
      <c r="DC51" s="127"/>
      <c r="DD51" s="196">
        <v>2.9</v>
      </c>
      <c r="DE51" s="196">
        <v>4.02</v>
      </c>
      <c r="DF51" s="196">
        <v>0.47</v>
      </c>
      <c r="DG51" s="196">
        <v>3.41</v>
      </c>
      <c r="DH51" s="127">
        <v>3.83</v>
      </c>
      <c r="DI51" s="196">
        <v>2.72</v>
      </c>
      <c r="DJ51" s="196">
        <v>0.34</v>
      </c>
      <c r="DK51" s="127"/>
      <c r="DL51" s="198">
        <v>0.0023</v>
      </c>
      <c r="DM51" s="198">
        <v>0.0025</v>
      </c>
      <c r="DN51" s="198">
        <v>0.0025</v>
      </c>
      <c r="DO51" s="198">
        <v>0.0025</v>
      </c>
      <c r="DP51" s="127"/>
      <c r="DQ51" s="192">
        <v>0.045</v>
      </c>
      <c r="DR51" s="192">
        <v>0.0508</v>
      </c>
      <c r="DS51" s="192">
        <v>0.0489</v>
      </c>
      <c r="DT51" s="192">
        <v>0.0486</v>
      </c>
      <c r="DU51" s="192">
        <v>0.061</v>
      </c>
      <c r="DV51" s="192">
        <v>0.0628</v>
      </c>
      <c r="DW51" s="127"/>
      <c r="DX51" s="192">
        <v>0.0175</v>
      </c>
      <c r="DY51" s="192">
        <v>0.0205</v>
      </c>
      <c r="DZ51" s="192">
        <v>0.0205</v>
      </c>
      <c r="EA51" s="192">
        <v>0.0205</v>
      </c>
      <c r="EB51" s="192">
        <v>0.031</v>
      </c>
      <c r="EC51" s="192">
        <v>0.0257</v>
      </c>
      <c r="ED51" s="127"/>
      <c r="EE51" s="196">
        <v>0.39</v>
      </c>
      <c r="EF51" s="196">
        <v>0.61</v>
      </c>
      <c r="EG51" s="196">
        <v>0.56</v>
      </c>
      <c r="EH51" s="196">
        <v>0.56</v>
      </c>
      <c r="EI51" s="196">
        <v>0.56</v>
      </c>
      <c r="EJ51" s="127">
        <v>0.55</v>
      </c>
      <c r="EK51" s="127"/>
      <c r="EL51" s="200">
        <f t="shared" ref="EL51:EQ51" si="48">EE51/DQ51</f>
        <v>8.66666666666667</v>
      </c>
      <c r="EM51" s="200">
        <f t="shared" si="48"/>
        <v>12.007874015748</v>
      </c>
      <c r="EN51" s="200">
        <f t="shared" si="48"/>
        <v>11.4519427402863</v>
      </c>
      <c r="EO51" s="200">
        <f t="shared" si="48"/>
        <v>11.522633744856</v>
      </c>
      <c r="EP51" s="200">
        <f t="shared" si="48"/>
        <v>9.18032786885246</v>
      </c>
      <c r="EQ51" s="200">
        <f t="shared" si="48"/>
        <v>8.75796178343949</v>
      </c>
      <c r="ER51" s="127"/>
      <c r="ES51" s="192">
        <v>0.0055</v>
      </c>
      <c r="ET51" s="192">
        <v>0.0065</v>
      </c>
      <c r="EU51" s="192">
        <v>0.008</v>
      </c>
      <c r="EV51" s="192">
        <v>0.0058</v>
      </c>
      <c r="EW51" s="192">
        <v>0.0088</v>
      </c>
      <c r="EX51" s="192">
        <v>0.0065</v>
      </c>
      <c r="EY51" s="127"/>
      <c r="EZ51" s="127">
        <v>0.55</v>
      </c>
      <c r="FA51" s="192">
        <f t="shared" si="26"/>
        <v>0.00431951089845827</v>
      </c>
      <c r="FB51" s="192">
        <v>0.0025</v>
      </c>
      <c r="FC51" s="192">
        <f t="shared" si="27"/>
        <v>0.131313131313131</v>
      </c>
      <c r="FD51" s="192">
        <f t="shared" si="28"/>
        <v>0.0461538461538462</v>
      </c>
      <c r="FE51" s="193">
        <f t="shared" si="29"/>
        <v>0.884615384615385</v>
      </c>
      <c r="FF51" s="127"/>
      <c r="FG51" s="127"/>
      <c r="FH51" s="127"/>
      <c r="FI51" s="194">
        <v>0.045</v>
      </c>
      <c r="FJ51" s="194">
        <f t="shared" si="30"/>
        <v>0.131313131313131</v>
      </c>
      <c r="FK51" s="196">
        <v>89.57</v>
      </c>
      <c r="FL51" s="127">
        <f t="shared" si="38"/>
        <v>13.4355</v>
      </c>
      <c r="FM51" s="196">
        <v>5.19</v>
      </c>
      <c r="FN51" s="127">
        <f t="shared" si="31"/>
        <v>72.59</v>
      </c>
      <c r="FO51" s="127"/>
      <c r="FP51" s="127">
        <f t="shared" si="32"/>
        <v>7.98333333333333</v>
      </c>
      <c r="FQ51" s="127">
        <f t="shared" si="33"/>
        <v>764.09</v>
      </c>
      <c r="FR51" s="196">
        <v>32.18</v>
      </c>
      <c r="FS51" s="127"/>
      <c r="FT51" s="127"/>
      <c r="FU51" s="127"/>
      <c r="FV51" s="127"/>
      <c r="FW51" s="127"/>
      <c r="FX51" s="127"/>
      <c r="FY51" s="127"/>
      <c r="FZ51" s="127"/>
      <c r="GA51" s="127"/>
      <c r="GB51" s="127"/>
      <c r="GC51" s="127"/>
      <c r="GD51" s="127"/>
      <c r="GE51" s="127"/>
      <c r="GF51" s="127"/>
      <c r="GG51" s="127"/>
      <c r="GH51" s="127"/>
      <c r="GI51" s="127"/>
      <c r="GJ51" s="127"/>
      <c r="GK51" s="127"/>
      <c r="GL51" s="127"/>
      <c r="GM51" s="127"/>
      <c r="GN51" s="127"/>
      <c r="GO51" s="127"/>
      <c r="GP51" s="127"/>
      <c r="GQ51" s="127"/>
      <c r="GR51" s="127"/>
      <c r="GS51" s="127"/>
      <c r="GT51" s="127"/>
      <c r="GU51" s="127"/>
      <c r="GV51" s="127"/>
      <c r="GW51" s="127"/>
      <c r="GX51" s="127"/>
      <c r="GY51" s="127"/>
      <c r="GZ51" s="127"/>
    </row>
    <row r="52" spans="1:208">
      <c r="A52" s="172">
        <v>45843</v>
      </c>
      <c r="B52" s="20" t="s">
        <v>369</v>
      </c>
      <c r="C52" s="173" t="s">
        <v>84</v>
      </c>
      <c r="D52" s="174">
        <v>139.99</v>
      </c>
      <c r="E52" s="175">
        <v>89.57</v>
      </c>
      <c r="F52" s="176">
        <v>0.3</v>
      </c>
      <c r="G52" s="176">
        <v>0.15</v>
      </c>
      <c r="H52" s="177">
        <f t="shared" si="0"/>
        <v>83.29405</v>
      </c>
      <c r="I52" s="176">
        <v>0.08</v>
      </c>
      <c r="J52" s="178">
        <v>0.06</v>
      </c>
      <c r="K52" s="20">
        <v>189</v>
      </c>
      <c r="L52" s="20">
        <v>39</v>
      </c>
      <c r="M52" s="20">
        <f t="shared" si="39"/>
        <v>228</v>
      </c>
      <c r="N52" s="176">
        <f t="shared" si="1"/>
        <v>0.109649122807018</v>
      </c>
      <c r="O52" s="179">
        <f t="shared" si="2"/>
        <v>20</v>
      </c>
      <c r="P52" s="179">
        <f t="shared" si="3"/>
        <v>25</v>
      </c>
      <c r="Q52" s="20">
        <v>25</v>
      </c>
      <c r="R52" s="20">
        <v>25</v>
      </c>
      <c r="S52" s="20">
        <v>0</v>
      </c>
      <c r="T52" s="20">
        <v>0</v>
      </c>
      <c r="U52" s="176">
        <v>0</v>
      </c>
      <c r="V52" s="20">
        <v>0</v>
      </c>
      <c r="W52" s="174">
        <v>2183.25</v>
      </c>
      <c r="X52" s="20">
        <v>7</v>
      </c>
      <c r="Y52" s="20">
        <v>5</v>
      </c>
      <c r="Z52" s="20">
        <v>7</v>
      </c>
      <c r="AA52" s="20" t="s">
        <v>84</v>
      </c>
      <c r="AB52" s="20">
        <v>36</v>
      </c>
      <c r="AC52" s="20">
        <v>12</v>
      </c>
      <c r="AD52" s="20">
        <v>8</v>
      </c>
      <c r="AE52" s="20" t="s">
        <v>84</v>
      </c>
      <c r="AF52" s="20">
        <v>6</v>
      </c>
      <c r="AG52" s="20">
        <v>5</v>
      </c>
      <c r="AH52" s="20">
        <v>8</v>
      </c>
      <c r="AI52" s="20">
        <v>14</v>
      </c>
      <c r="AJ52" s="20" t="s">
        <v>84</v>
      </c>
      <c r="AK52" s="20" t="s">
        <v>84</v>
      </c>
      <c r="AL52" s="20">
        <v>350</v>
      </c>
      <c r="AM52" s="180">
        <v>5199</v>
      </c>
      <c r="AN52" s="173">
        <v>10</v>
      </c>
      <c r="AO52" s="174">
        <v>164</v>
      </c>
      <c r="AP52" s="174">
        <v>4.9</v>
      </c>
      <c r="AQ52" s="174"/>
      <c r="AR52" s="174"/>
      <c r="AS52" s="181">
        <v>19110</v>
      </c>
      <c r="AT52" s="20">
        <v>90</v>
      </c>
      <c r="AU52" s="182">
        <f t="shared" si="4"/>
        <v>0.00470957613814757</v>
      </c>
      <c r="AV52" s="20">
        <v>5</v>
      </c>
      <c r="AW52" s="183">
        <f t="shared" si="5"/>
        <v>1.029</v>
      </c>
      <c r="AX52" s="184">
        <f t="shared" si="6"/>
        <v>0.261536289183846</v>
      </c>
      <c r="AY52" s="176">
        <f t="shared" si="7"/>
        <v>0.0555555555555556</v>
      </c>
      <c r="AZ52" s="185">
        <f t="shared" si="8"/>
        <v>0.2</v>
      </c>
      <c r="BA52" s="183">
        <v>92.61</v>
      </c>
      <c r="BB52" s="176">
        <f t="shared" si="40"/>
        <v>0.261536289183846</v>
      </c>
      <c r="BC52" s="179">
        <f t="shared" si="10"/>
        <v>18.522</v>
      </c>
      <c r="BD52" s="179">
        <v>354.1</v>
      </c>
      <c r="BE52" s="182">
        <v>0</v>
      </c>
      <c r="BF52" s="186">
        <f t="shared" si="11"/>
        <v>13.658</v>
      </c>
      <c r="BG52" s="186">
        <v>32.18</v>
      </c>
      <c r="BH52" s="187">
        <f t="shared" si="12"/>
        <v>711.89</v>
      </c>
      <c r="BI52" s="182">
        <f t="shared" si="13"/>
        <v>0.326068933928776</v>
      </c>
      <c r="BJ52" s="179">
        <f t="shared" si="14"/>
        <v>3625</v>
      </c>
      <c r="BK52" s="179"/>
      <c r="BL52" s="179">
        <f t="shared" si="15"/>
        <v>0</v>
      </c>
      <c r="BM52" s="178"/>
      <c r="BN52" s="7"/>
      <c r="BO52" s="20"/>
      <c r="BP52" s="182"/>
      <c r="BQ52" s="182">
        <f t="shared" si="34"/>
        <v>0.2</v>
      </c>
      <c r="BR52" s="182">
        <f t="shared" si="16"/>
        <v>0.8</v>
      </c>
      <c r="BS52" s="182">
        <f t="shared" si="17"/>
        <v>0.394736842105263</v>
      </c>
      <c r="BT52" s="188">
        <f t="shared" si="18"/>
        <v>90</v>
      </c>
      <c r="BU52" s="20">
        <f t="shared" si="19"/>
        <v>228</v>
      </c>
      <c r="BV52" s="20">
        <f t="shared" si="20"/>
        <v>138</v>
      </c>
      <c r="BW52" s="185">
        <f t="shared" si="21"/>
        <v>0.605263157894737</v>
      </c>
      <c r="BX52" s="182">
        <f t="shared" si="22"/>
        <v>0.8</v>
      </c>
      <c r="BY52" s="182">
        <f t="shared" si="23"/>
        <v>1</v>
      </c>
      <c r="BZ52" s="182">
        <f t="shared" si="24"/>
        <v>0.8</v>
      </c>
      <c r="CA52" s="182">
        <f t="shared" si="25"/>
        <v>0.2</v>
      </c>
      <c r="CB52" s="189">
        <f t="shared" si="41"/>
        <v>0.25</v>
      </c>
      <c r="CC52" s="190">
        <f t="shared" si="42"/>
        <v>0.109649122807018</v>
      </c>
      <c r="CD52" s="190">
        <f t="shared" si="43"/>
        <v>0.0555555555555556</v>
      </c>
      <c r="CE52" s="189">
        <v>0.08</v>
      </c>
      <c r="CF52" s="189">
        <v>0.08</v>
      </c>
      <c r="CG52" s="189">
        <v>0.08</v>
      </c>
      <c r="CH52" s="189">
        <v>0.08</v>
      </c>
      <c r="CI52" s="189">
        <v>0.05</v>
      </c>
      <c r="CJ52" s="189">
        <v>0.06</v>
      </c>
      <c r="CK52" s="189">
        <v>0.04</v>
      </c>
      <c r="CL52" s="191">
        <v>9</v>
      </c>
      <c r="CM52" s="191" t="s">
        <v>84</v>
      </c>
      <c r="CN52" s="191">
        <v>7</v>
      </c>
      <c r="CO52" s="191" t="s">
        <v>84</v>
      </c>
      <c r="CP52" s="191">
        <v>36</v>
      </c>
      <c r="CQ52" s="191">
        <v>12</v>
      </c>
      <c r="CR52" s="191">
        <v>8</v>
      </c>
      <c r="CS52" s="191" t="s">
        <v>84</v>
      </c>
      <c r="CT52" s="191">
        <v>6</v>
      </c>
      <c r="CU52" s="191">
        <v>5</v>
      </c>
      <c r="CV52" s="191">
        <v>8</v>
      </c>
      <c r="CW52" s="191">
        <v>14</v>
      </c>
      <c r="CX52" s="191" t="s">
        <v>84</v>
      </c>
      <c r="CY52" s="191" t="s">
        <v>84</v>
      </c>
      <c r="CZ52" s="127"/>
      <c r="DA52" s="127"/>
      <c r="DB52" s="127"/>
      <c r="DC52" s="127"/>
      <c r="DD52" s="196">
        <v>2.9</v>
      </c>
      <c r="DE52" s="196">
        <v>4.02</v>
      </c>
      <c r="DF52" s="196">
        <v>0.47</v>
      </c>
      <c r="DG52" s="196">
        <v>3.41</v>
      </c>
      <c r="DH52" s="127">
        <v>3.84</v>
      </c>
      <c r="DI52" s="196">
        <v>2.72</v>
      </c>
      <c r="DJ52" s="196">
        <v>0.34</v>
      </c>
      <c r="DK52" s="127"/>
      <c r="DL52" s="198">
        <v>0.0023</v>
      </c>
      <c r="DM52" s="198">
        <v>0.0025</v>
      </c>
      <c r="DN52" s="198">
        <v>0.0025</v>
      </c>
      <c r="DO52" s="198">
        <v>0.0025</v>
      </c>
      <c r="DP52" s="127"/>
      <c r="DQ52" s="192">
        <v>0.045</v>
      </c>
      <c r="DR52" s="192">
        <v>0.0508</v>
      </c>
      <c r="DS52" s="192">
        <v>0.0489</v>
      </c>
      <c r="DT52" s="192">
        <v>0.0486</v>
      </c>
      <c r="DU52" s="192">
        <v>0.061</v>
      </c>
      <c r="DV52" s="192">
        <v>0.0628</v>
      </c>
      <c r="DW52" s="127"/>
      <c r="DX52" s="192">
        <v>0.0175</v>
      </c>
      <c r="DY52" s="192">
        <v>0.0205</v>
      </c>
      <c r="DZ52" s="192">
        <v>0.0205</v>
      </c>
      <c r="EA52" s="192">
        <v>0.0205</v>
      </c>
      <c r="EB52" s="192">
        <v>0.031</v>
      </c>
      <c r="EC52" s="192">
        <v>0.0257</v>
      </c>
      <c r="ED52" s="127"/>
      <c r="EE52" s="196">
        <v>0.39</v>
      </c>
      <c r="EF52" s="196">
        <v>0.61</v>
      </c>
      <c r="EG52" s="196">
        <v>0.56</v>
      </c>
      <c r="EH52" s="196">
        <v>0.56</v>
      </c>
      <c r="EI52" s="196">
        <v>0.56</v>
      </c>
      <c r="EJ52" s="127">
        <v>0.55</v>
      </c>
      <c r="EK52" s="127"/>
      <c r="EL52" s="200">
        <f t="shared" ref="EL52:EQ52" si="49">EE52/DQ52</f>
        <v>8.66666666666667</v>
      </c>
      <c r="EM52" s="200">
        <f t="shared" si="49"/>
        <v>12.007874015748</v>
      </c>
      <c r="EN52" s="200">
        <f t="shared" si="49"/>
        <v>11.4519427402863</v>
      </c>
      <c r="EO52" s="200">
        <f t="shared" si="49"/>
        <v>11.522633744856</v>
      </c>
      <c r="EP52" s="200">
        <f t="shared" si="49"/>
        <v>9.18032786885246</v>
      </c>
      <c r="EQ52" s="200">
        <f t="shared" si="49"/>
        <v>8.75796178343949</v>
      </c>
      <c r="ER52" s="127"/>
      <c r="ES52" s="192">
        <v>0.0055</v>
      </c>
      <c r="ET52" s="192">
        <v>0.0065</v>
      </c>
      <c r="EU52" s="192">
        <v>0.008</v>
      </c>
      <c r="EV52" s="192">
        <v>0.0058</v>
      </c>
      <c r="EW52" s="192">
        <v>0.0088</v>
      </c>
      <c r="EX52" s="192">
        <v>0.0065</v>
      </c>
      <c r="EY52" s="127"/>
      <c r="EZ52" s="127">
        <v>0.55</v>
      </c>
      <c r="FA52" s="192">
        <f t="shared" si="26"/>
        <v>0.00470957613814757</v>
      </c>
      <c r="FB52" s="192">
        <v>0.0025</v>
      </c>
      <c r="FC52" s="192">
        <f t="shared" si="27"/>
        <v>0.109649122807018</v>
      </c>
      <c r="FD52" s="192">
        <f t="shared" si="28"/>
        <v>0.0555555555555556</v>
      </c>
      <c r="FE52" s="193">
        <f t="shared" si="29"/>
        <v>0.8</v>
      </c>
      <c r="FF52" s="127"/>
      <c r="FG52" s="127"/>
      <c r="FH52" s="127"/>
      <c r="FI52" s="194">
        <v>0.045</v>
      </c>
      <c r="FJ52" s="194">
        <f t="shared" si="30"/>
        <v>0.109649122807018</v>
      </c>
      <c r="FK52" s="196">
        <v>89.57</v>
      </c>
      <c r="FL52" s="127">
        <f t="shared" si="38"/>
        <v>13.4355</v>
      </c>
      <c r="FM52" s="196">
        <v>5.19</v>
      </c>
      <c r="FN52" s="127">
        <f t="shared" si="31"/>
        <v>92.61</v>
      </c>
      <c r="FO52" s="127"/>
      <c r="FP52" s="127">
        <f t="shared" si="32"/>
        <v>13.658</v>
      </c>
      <c r="FQ52" s="127">
        <f t="shared" si="33"/>
        <v>711.89</v>
      </c>
      <c r="FR52" s="196">
        <v>32.18</v>
      </c>
      <c r="FS52" s="127"/>
      <c r="FT52" s="127"/>
      <c r="FU52" s="127"/>
      <c r="FV52" s="127"/>
      <c r="FW52" s="127"/>
      <c r="FX52" s="127"/>
      <c r="FY52" s="127"/>
      <c r="FZ52" s="127"/>
      <c r="GA52" s="127"/>
      <c r="GB52" s="127"/>
      <c r="GC52" s="127"/>
      <c r="GD52" s="127"/>
      <c r="GE52" s="127"/>
      <c r="GF52" s="127"/>
      <c r="GG52" s="127"/>
      <c r="GH52" s="127"/>
      <c r="GI52" s="127"/>
      <c r="GJ52" s="127"/>
      <c r="GK52" s="127"/>
      <c r="GL52" s="127"/>
      <c r="GM52" s="127"/>
      <c r="GN52" s="127"/>
      <c r="GO52" s="127"/>
      <c r="GP52" s="127"/>
      <c r="GQ52" s="127"/>
      <c r="GR52" s="127"/>
      <c r="GS52" s="127"/>
      <c r="GT52" s="127"/>
      <c r="GU52" s="127"/>
      <c r="GV52" s="127"/>
      <c r="GW52" s="127"/>
      <c r="GX52" s="127"/>
      <c r="GY52" s="127"/>
      <c r="GZ52" s="127"/>
    </row>
    <row r="53" spans="1:208">
      <c r="A53" s="172">
        <v>45844</v>
      </c>
      <c r="B53" s="20" t="s">
        <v>371</v>
      </c>
      <c r="C53" s="173" t="s">
        <v>84</v>
      </c>
      <c r="D53" s="174">
        <v>139.99</v>
      </c>
      <c r="E53" s="175">
        <v>89.57</v>
      </c>
      <c r="F53" s="176">
        <v>0.3</v>
      </c>
      <c r="G53" s="176">
        <v>0.15</v>
      </c>
      <c r="H53" s="177">
        <f t="shared" si="0"/>
        <v>83.29405</v>
      </c>
      <c r="I53" s="176">
        <v>0.08</v>
      </c>
      <c r="J53" s="178">
        <v>0.06</v>
      </c>
      <c r="K53" s="20">
        <v>198</v>
      </c>
      <c r="L53" s="20">
        <v>64</v>
      </c>
      <c r="M53" s="20">
        <f t="shared" si="39"/>
        <v>262</v>
      </c>
      <c r="N53" s="176">
        <f t="shared" si="1"/>
        <v>0.145038167938931</v>
      </c>
      <c r="O53" s="179">
        <f t="shared" si="2"/>
        <v>31</v>
      </c>
      <c r="P53" s="179">
        <f t="shared" si="3"/>
        <v>38</v>
      </c>
      <c r="Q53" s="20">
        <v>38</v>
      </c>
      <c r="R53" s="20">
        <v>38</v>
      </c>
      <c r="S53" s="20">
        <v>0</v>
      </c>
      <c r="T53" s="20">
        <v>0</v>
      </c>
      <c r="U53" s="176">
        <v>0</v>
      </c>
      <c r="V53" s="20">
        <v>0</v>
      </c>
      <c r="W53" s="174">
        <v>3318.54</v>
      </c>
      <c r="X53" s="20">
        <v>6</v>
      </c>
      <c r="Y53" s="20">
        <v>4</v>
      </c>
      <c r="Z53" s="20">
        <v>5</v>
      </c>
      <c r="AA53" s="20" t="s">
        <v>84</v>
      </c>
      <c r="AB53" s="20">
        <v>36</v>
      </c>
      <c r="AC53" s="20">
        <v>7</v>
      </c>
      <c r="AD53" s="20">
        <v>7</v>
      </c>
      <c r="AE53" s="20">
        <v>11</v>
      </c>
      <c r="AF53" s="20">
        <v>6</v>
      </c>
      <c r="AG53" s="20">
        <v>6</v>
      </c>
      <c r="AH53" s="20">
        <v>8</v>
      </c>
      <c r="AI53" s="20">
        <v>7</v>
      </c>
      <c r="AJ53" s="20" t="s">
        <v>84</v>
      </c>
      <c r="AK53" s="20" t="s">
        <v>84</v>
      </c>
      <c r="AL53" s="20">
        <v>350</v>
      </c>
      <c r="AM53" s="180">
        <v>4947</v>
      </c>
      <c r="AN53" s="173">
        <v>8</v>
      </c>
      <c r="AO53" s="174">
        <v>166</v>
      </c>
      <c r="AP53" s="174">
        <v>4.9</v>
      </c>
      <c r="AQ53" s="20"/>
      <c r="AR53" s="20"/>
      <c r="AS53" s="181">
        <v>23584</v>
      </c>
      <c r="AT53" s="20">
        <v>104</v>
      </c>
      <c r="AU53" s="182">
        <f t="shared" si="4"/>
        <v>0.00440976933514247</v>
      </c>
      <c r="AV53" s="20">
        <v>7</v>
      </c>
      <c r="AW53" s="183">
        <f t="shared" si="5"/>
        <v>1.05365384615385</v>
      </c>
      <c r="AX53" s="184">
        <f t="shared" si="6"/>
        <v>0.221043288820753</v>
      </c>
      <c r="AY53" s="176">
        <f t="shared" si="7"/>
        <v>0.0673076923076923</v>
      </c>
      <c r="AZ53" s="185">
        <f t="shared" si="8"/>
        <v>0.184210526315789</v>
      </c>
      <c r="BA53" s="183">
        <v>109.58</v>
      </c>
      <c r="BB53" s="176">
        <f t="shared" si="40"/>
        <v>0.221043288820753</v>
      </c>
      <c r="BC53" s="179">
        <f t="shared" si="10"/>
        <v>15.6542857142857</v>
      </c>
      <c r="BD53" s="179">
        <v>495.74</v>
      </c>
      <c r="BE53" s="182">
        <v>0</v>
      </c>
      <c r="BF53" s="186">
        <f t="shared" si="11"/>
        <v>16.5257142857143</v>
      </c>
      <c r="BG53" s="186">
        <v>32.18</v>
      </c>
      <c r="BH53" s="187">
        <f t="shared" si="12"/>
        <v>1113.26</v>
      </c>
      <c r="BI53" s="182">
        <f t="shared" si="13"/>
        <v>0.335466801665793</v>
      </c>
      <c r="BJ53" s="179">
        <f t="shared" si="14"/>
        <v>5510</v>
      </c>
      <c r="BK53" s="179"/>
      <c r="BL53" s="179">
        <f t="shared" si="15"/>
        <v>0</v>
      </c>
      <c r="BM53" s="178"/>
      <c r="BN53" s="7"/>
      <c r="BO53" s="20"/>
      <c r="BP53" s="182"/>
      <c r="BQ53" s="182">
        <f t="shared" si="34"/>
        <v>0.184210526315789</v>
      </c>
      <c r="BR53" s="182">
        <f t="shared" si="16"/>
        <v>0.815789473684211</v>
      </c>
      <c r="BS53" s="182">
        <f t="shared" si="17"/>
        <v>0.396946564885496</v>
      </c>
      <c r="BT53" s="188">
        <f t="shared" si="18"/>
        <v>104</v>
      </c>
      <c r="BU53" s="20">
        <f t="shared" si="19"/>
        <v>262</v>
      </c>
      <c r="BV53" s="20">
        <f t="shared" si="20"/>
        <v>158</v>
      </c>
      <c r="BW53" s="185">
        <f t="shared" si="21"/>
        <v>0.603053435114504</v>
      </c>
      <c r="BX53" s="182">
        <f t="shared" si="22"/>
        <v>0.815789473684211</v>
      </c>
      <c r="BY53" s="182">
        <f t="shared" si="23"/>
        <v>1</v>
      </c>
      <c r="BZ53" s="182">
        <f t="shared" si="24"/>
        <v>0.815789473684211</v>
      </c>
      <c r="CA53" s="182">
        <f t="shared" si="25"/>
        <v>0.184210526315789</v>
      </c>
      <c r="CB53" s="189">
        <f t="shared" si="41"/>
        <v>0.225806451612903</v>
      </c>
      <c r="CC53" s="190">
        <f t="shared" si="42"/>
        <v>0.145038167938931</v>
      </c>
      <c r="CD53" s="190">
        <f t="shared" si="43"/>
        <v>0.0673076923076923</v>
      </c>
      <c r="CE53" s="189">
        <v>0.08</v>
      </c>
      <c r="CF53" s="189">
        <v>0.08</v>
      </c>
      <c r="CG53" s="189">
        <v>0.08</v>
      </c>
      <c r="CH53" s="189">
        <v>0.08</v>
      </c>
      <c r="CI53" s="189">
        <v>0.05</v>
      </c>
      <c r="CJ53" s="189">
        <v>0.06</v>
      </c>
      <c r="CK53" s="189">
        <v>0.04</v>
      </c>
      <c r="CL53" s="191">
        <v>8</v>
      </c>
      <c r="CM53" s="191" t="s">
        <v>84</v>
      </c>
      <c r="CN53" s="191">
        <v>5</v>
      </c>
      <c r="CO53" s="191" t="s">
        <v>84</v>
      </c>
      <c r="CP53" s="191">
        <v>36</v>
      </c>
      <c r="CQ53" s="191">
        <v>7</v>
      </c>
      <c r="CR53" s="191">
        <v>7</v>
      </c>
      <c r="CS53" s="191">
        <v>11</v>
      </c>
      <c r="CT53" s="191">
        <v>6</v>
      </c>
      <c r="CU53" s="191">
        <v>6</v>
      </c>
      <c r="CV53" s="191">
        <v>8</v>
      </c>
      <c r="CW53" s="191">
        <v>7</v>
      </c>
      <c r="CX53" s="191" t="s">
        <v>84</v>
      </c>
      <c r="CY53" s="191" t="s">
        <v>84</v>
      </c>
      <c r="CZ53" s="127"/>
      <c r="DA53" s="127"/>
      <c r="DB53" s="127"/>
      <c r="DC53" s="127"/>
      <c r="DD53" s="196">
        <v>2.9</v>
      </c>
      <c r="DE53" s="196">
        <v>4.02</v>
      </c>
      <c r="DF53" s="196">
        <v>0.47</v>
      </c>
      <c r="DG53" s="196">
        <v>3.41</v>
      </c>
      <c r="DH53" s="127">
        <v>3.85</v>
      </c>
      <c r="DI53" s="196">
        <v>2.72</v>
      </c>
      <c r="DJ53" s="196">
        <v>0.34</v>
      </c>
      <c r="DK53" s="127"/>
      <c r="DL53" s="198">
        <v>0.0023</v>
      </c>
      <c r="DM53" s="198">
        <v>0.0025</v>
      </c>
      <c r="DN53" s="198">
        <v>0.0025</v>
      </c>
      <c r="DO53" s="198">
        <v>0.0025</v>
      </c>
      <c r="DP53" s="127"/>
      <c r="DQ53" s="192">
        <v>0.045</v>
      </c>
      <c r="DR53" s="192">
        <v>0.0508</v>
      </c>
      <c r="DS53" s="192">
        <v>0.0489</v>
      </c>
      <c r="DT53" s="192">
        <v>0.0486</v>
      </c>
      <c r="DU53" s="192">
        <v>0.061</v>
      </c>
      <c r="DV53" s="192">
        <v>0.0628</v>
      </c>
      <c r="DW53" s="127"/>
      <c r="DX53" s="192">
        <v>0.0175</v>
      </c>
      <c r="DY53" s="192">
        <v>0.0205</v>
      </c>
      <c r="DZ53" s="192">
        <v>0.0205</v>
      </c>
      <c r="EA53" s="192">
        <v>0.0205</v>
      </c>
      <c r="EB53" s="192">
        <v>0.031</v>
      </c>
      <c r="EC53" s="192">
        <v>0.0257</v>
      </c>
      <c r="ED53" s="127"/>
      <c r="EE53" s="196">
        <v>0.39</v>
      </c>
      <c r="EF53" s="196">
        <v>0.61</v>
      </c>
      <c r="EG53" s="196">
        <v>0.56</v>
      </c>
      <c r="EH53" s="196">
        <v>0.56</v>
      </c>
      <c r="EI53" s="196">
        <v>0.56</v>
      </c>
      <c r="EJ53" s="127">
        <v>0.55</v>
      </c>
      <c r="EK53" s="127"/>
      <c r="EL53" s="200">
        <f t="shared" ref="EL53:EQ53" si="50">EE53/DQ53</f>
        <v>8.66666666666667</v>
      </c>
      <c r="EM53" s="200">
        <f t="shared" si="50"/>
        <v>12.007874015748</v>
      </c>
      <c r="EN53" s="200">
        <f t="shared" si="50"/>
        <v>11.4519427402863</v>
      </c>
      <c r="EO53" s="200">
        <f t="shared" si="50"/>
        <v>11.522633744856</v>
      </c>
      <c r="EP53" s="200">
        <f t="shared" si="50"/>
        <v>9.18032786885246</v>
      </c>
      <c r="EQ53" s="200">
        <f t="shared" si="50"/>
        <v>8.75796178343949</v>
      </c>
      <c r="ER53" s="127"/>
      <c r="ES53" s="192">
        <v>0.0055</v>
      </c>
      <c r="ET53" s="192">
        <v>0.0065</v>
      </c>
      <c r="EU53" s="192">
        <v>0.008</v>
      </c>
      <c r="EV53" s="192">
        <v>0.0058</v>
      </c>
      <c r="EW53" s="192">
        <v>0.0088</v>
      </c>
      <c r="EX53" s="192">
        <v>0.0065</v>
      </c>
      <c r="EY53" s="127"/>
      <c r="EZ53" s="127">
        <v>0.55</v>
      </c>
      <c r="FA53" s="192">
        <f t="shared" si="26"/>
        <v>0.00440976933514247</v>
      </c>
      <c r="FB53" s="192">
        <v>0.0025</v>
      </c>
      <c r="FC53" s="192">
        <f t="shared" si="27"/>
        <v>0.145038167938931</v>
      </c>
      <c r="FD53" s="192">
        <f t="shared" si="28"/>
        <v>0.0673076923076923</v>
      </c>
      <c r="FE53" s="193">
        <f t="shared" si="29"/>
        <v>0.815789473684211</v>
      </c>
      <c r="FF53" s="127"/>
      <c r="FG53" s="127"/>
      <c r="FH53" s="127"/>
      <c r="FI53" s="194">
        <v>0.045</v>
      </c>
      <c r="FJ53" s="194">
        <f t="shared" si="30"/>
        <v>0.145038167938931</v>
      </c>
      <c r="FK53" s="196">
        <v>89.57</v>
      </c>
      <c r="FL53" s="127">
        <f t="shared" si="38"/>
        <v>13.4355</v>
      </c>
      <c r="FM53" s="196">
        <v>5.19</v>
      </c>
      <c r="FN53" s="127">
        <f t="shared" si="31"/>
        <v>109.58</v>
      </c>
      <c r="FO53" s="127"/>
      <c r="FP53" s="127">
        <f t="shared" si="32"/>
        <v>16.5257142857143</v>
      </c>
      <c r="FQ53" s="127">
        <f t="shared" si="33"/>
        <v>1113.26</v>
      </c>
      <c r="FR53" s="196">
        <v>32.18</v>
      </c>
      <c r="FS53" s="127"/>
      <c r="FT53" s="127"/>
      <c r="FU53" s="127"/>
      <c r="FV53" s="127"/>
      <c r="FW53" s="127"/>
      <c r="FX53" s="127"/>
      <c r="FY53" s="127"/>
      <c r="FZ53" s="127"/>
      <c r="GA53" s="127"/>
      <c r="GB53" s="127"/>
      <c r="GC53" s="127"/>
      <c r="GD53" s="127"/>
      <c r="GE53" s="127"/>
      <c r="GF53" s="127"/>
      <c r="GG53" s="127"/>
      <c r="GH53" s="127"/>
      <c r="GI53" s="127"/>
      <c r="GJ53" s="127"/>
      <c r="GK53" s="127"/>
      <c r="GL53" s="127"/>
      <c r="GM53" s="127"/>
      <c r="GN53" s="127"/>
      <c r="GO53" s="127"/>
      <c r="GP53" s="127"/>
      <c r="GQ53" s="127"/>
      <c r="GR53" s="127"/>
      <c r="GS53" s="127"/>
      <c r="GT53" s="127"/>
      <c r="GU53" s="127"/>
      <c r="GV53" s="127"/>
      <c r="GW53" s="127"/>
      <c r="GX53" s="127"/>
      <c r="GY53" s="127"/>
      <c r="GZ53" s="127"/>
    </row>
    <row r="54" spans="1:208">
      <c r="A54" s="172">
        <v>45845</v>
      </c>
      <c r="B54" s="20" t="s">
        <v>373</v>
      </c>
      <c r="C54" s="173" t="s">
        <v>84</v>
      </c>
      <c r="D54" s="174">
        <v>139.99</v>
      </c>
      <c r="E54" s="175">
        <v>89.57</v>
      </c>
      <c r="F54" s="176">
        <v>0.3</v>
      </c>
      <c r="G54" s="176">
        <v>0.15</v>
      </c>
      <c r="H54" s="177">
        <f t="shared" si="0"/>
        <v>83.29405</v>
      </c>
      <c r="I54" s="176">
        <v>0.08</v>
      </c>
      <c r="J54" s="178">
        <v>0.06</v>
      </c>
      <c r="K54" s="20">
        <v>199</v>
      </c>
      <c r="L54" s="20">
        <v>52</v>
      </c>
      <c r="M54" s="20">
        <f t="shared" si="39"/>
        <v>251</v>
      </c>
      <c r="N54" s="176">
        <f t="shared" si="1"/>
        <v>0.163346613545817</v>
      </c>
      <c r="O54" s="179">
        <f t="shared" si="2"/>
        <v>28</v>
      </c>
      <c r="P54" s="179">
        <f t="shared" si="3"/>
        <v>41</v>
      </c>
      <c r="Q54" s="20">
        <v>41</v>
      </c>
      <c r="R54" s="20">
        <v>41</v>
      </c>
      <c r="S54" s="20">
        <v>0</v>
      </c>
      <c r="T54" s="20">
        <v>0</v>
      </c>
      <c r="U54" s="176">
        <v>0</v>
      </c>
      <c r="V54" s="20">
        <v>0</v>
      </c>
      <c r="W54" s="174">
        <v>3580.53</v>
      </c>
      <c r="X54" s="20">
        <v>5</v>
      </c>
      <c r="Y54" s="20">
        <v>3</v>
      </c>
      <c r="Z54" s="20">
        <v>5</v>
      </c>
      <c r="AA54" s="20" t="s">
        <v>84</v>
      </c>
      <c r="AB54" s="20">
        <v>33</v>
      </c>
      <c r="AC54" s="20">
        <v>8</v>
      </c>
      <c r="AD54" s="20">
        <v>8</v>
      </c>
      <c r="AE54" s="20">
        <v>9</v>
      </c>
      <c r="AF54" s="20">
        <v>6</v>
      </c>
      <c r="AG54" s="20">
        <v>5</v>
      </c>
      <c r="AH54" s="20">
        <v>8</v>
      </c>
      <c r="AI54" s="20">
        <v>8</v>
      </c>
      <c r="AJ54" s="20" t="s">
        <v>84</v>
      </c>
      <c r="AK54" s="20" t="s">
        <v>84</v>
      </c>
      <c r="AL54" s="20">
        <v>350</v>
      </c>
      <c r="AM54" s="180">
        <v>4592</v>
      </c>
      <c r="AN54" s="173">
        <v>7</v>
      </c>
      <c r="AO54" s="174">
        <v>189</v>
      </c>
      <c r="AP54" s="174">
        <v>4.9</v>
      </c>
      <c r="AQ54" s="20"/>
      <c r="AR54" s="20"/>
      <c r="AS54" s="181">
        <v>16733</v>
      </c>
      <c r="AT54" s="20">
        <v>82</v>
      </c>
      <c r="AU54" s="182">
        <f t="shared" si="4"/>
        <v>0.00490049602581725</v>
      </c>
      <c r="AV54" s="20">
        <v>13</v>
      </c>
      <c r="AW54" s="183">
        <f t="shared" si="5"/>
        <v>1.16646341463415</v>
      </c>
      <c r="AX54" s="184">
        <f t="shared" si="6"/>
        <v>0.106294312448603</v>
      </c>
      <c r="AY54" s="176">
        <f t="shared" si="7"/>
        <v>0.158536585365854</v>
      </c>
      <c r="AZ54" s="185">
        <f t="shared" si="8"/>
        <v>0.317073170731707</v>
      </c>
      <c r="BA54" s="183">
        <v>95.65</v>
      </c>
      <c r="BB54" s="176">
        <f t="shared" si="40"/>
        <v>0.106294312448603</v>
      </c>
      <c r="BC54" s="179">
        <f t="shared" si="10"/>
        <v>7.35769230769231</v>
      </c>
      <c r="BD54" s="179">
        <v>899.86</v>
      </c>
      <c r="BE54" s="182">
        <v>0</v>
      </c>
      <c r="BF54" s="186">
        <f t="shared" si="11"/>
        <v>24.8223076923077</v>
      </c>
      <c r="BG54" s="186">
        <v>32.18</v>
      </c>
      <c r="BH54" s="187">
        <f t="shared" si="12"/>
        <v>1223.73</v>
      </c>
      <c r="BI54" s="182">
        <f t="shared" si="13"/>
        <v>0.341773424604737</v>
      </c>
      <c r="BJ54" s="179">
        <f t="shared" si="14"/>
        <v>5945</v>
      </c>
      <c r="BK54" s="179"/>
      <c r="BL54" s="179">
        <f t="shared" si="15"/>
        <v>0</v>
      </c>
      <c r="BM54" s="178"/>
      <c r="BN54" s="7"/>
      <c r="BO54" s="20"/>
      <c r="BP54" s="182"/>
      <c r="BQ54" s="182">
        <f t="shared" si="34"/>
        <v>0.317073170731707</v>
      </c>
      <c r="BR54" s="182">
        <f t="shared" si="16"/>
        <v>0.682926829268293</v>
      </c>
      <c r="BS54" s="182">
        <f t="shared" si="17"/>
        <v>0.326693227091633</v>
      </c>
      <c r="BT54" s="188">
        <f t="shared" si="18"/>
        <v>82</v>
      </c>
      <c r="BU54" s="20">
        <f t="shared" si="19"/>
        <v>251</v>
      </c>
      <c r="BV54" s="20">
        <f t="shared" si="20"/>
        <v>169</v>
      </c>
      <c r="BW54" s="185">
        <f t="shared" si="21"/>
        <v>0.673306772908366</v>
      </c>
      <c r="BX54" s="182">
        <f t="shared" si="22"/>
        <v>0.682926829268293</v>
      </c>
      <c r="BY54" s="182">
        <f t="shared" si="23"/>
        <v>1</v>
      </c>
      <c r="BZ54" s="182">
        <f t="shared" si="24"/>
        <v>0.682926829268293</v>
      </c>
      <c r="CA54" s="182">
        <f t="shared" si="25"/>
        <v>0.317073170731707</v>
      </c>
      <c r="CB54" s="189">
        <f t="shared" si="41"/>
        <v>0.464285714285714</v>
      </c>
      <c r="CC54" s="190">
        <f t="shared" si="42"/>
        <v>0.163346613545817</v>
      </c>
      <c r="CD54" s="190">
        <f t="shared" si="43"/>
        <v>0.158536585365854</v>
      </c>
      <c r="CE54" s="189">
        <v>0.08</v>
      </c>
      <c r="CF54" s="189">
        <v>0.08</v>
      </c>
      <c r="CG54" s="189">
        <v>0.08</v>
      </c>
      <c r="CH54" s="189">
        <v>0.08</v>
      </c>
      <c r="CI54" s="189">
        <v>0.05</v>
      </c>
      <c r="CJ54" s="189">
        <v>0.06</v>
      </c>
      <c r="CK54" s="189">
        <v>0.04</v>
      </c>
      <c r="CL54" s="191">
        <v>8</v>
      </c>
      <c r="CM54" s="191" t="s">
        <v>84</v>
      </c>
      <c r="CN54" s="191">
        <v>5</v>
      </c>
      <c r="CO54" s="191" t="s">
        <v>84</v>
      </c>
      <c r="CP54" s="191">
        <v>33</v>
      </c>
      <c r="CQ54" s="191">
        <v>8</v>
      </c>
      <c r="CR54" s="191">
        <v>8</v>
      </c>
      <c r="CS54" s="191">
        <v>9</v>
      </c>
      <c r="CT54" s="191">
        <v>6</v>
      </c>
      <c r="CU54" s="191">
        <v>5</v>
      </c>
      <c r="CV54" s="191">
        <v>8</v>
      </c>
      <c r="CW54" s="191">
        <v>8</v>
      </c>
      <c r="CX54" s="191" t="s">
        <v>84</v>
      </c>
      <c r="CY54" s="191" t="s">
        <v>84</v>
      </c>
      <c r="CZ54" s="127"/>
      <c r="DA54" s="127"/>
      <c r="DB54" s="127"/>
      <c r="DC54" s="127"/>
      <c r="DD54" s="196">
        <v>2.9</v>
      </c>
      <c r="DE54" s="196">
        <v>4.02</v>
      </c>
      <c r="DF54" s="196">
        <v>0.47</v>
      </c>
      <c r="DG54" s="196">
        <v>3.41</v>
      </c>
      <c r="DH54" s="127">
        <v>3.86</v>
      </c>
      <c r="DI54" s="196">
        <v>2.72</v>
      </c>
      <c r="DJ54" s="196">
        <v>0.34</v>
      </c>
      <c r="DK54" s="127"/>
      <c r="DL54" s="198">
        <v>0.0023</v>
      </c>
      <c r="DM54" s="198">
        <v>0.0025</v>
      </c>
      <c r="DN54" s="198">
        <v>0.0025</v>
      </c>
      <c r="DO54" s="198">
        <v>0.0025</v>
      </c>
      <c r="DP54" s="127"/>
      <c r="DQ54" s="192">
        <v>0.045</v>
      </c>
      <c r="DR54" s="192">
        <v>0.0508</v>
      </c>
      <c r="DS54" s="192">
        <v>0.0489</v>
      </c>
      <c r="DT54" s="192">
        <v>0.0486</v>
      </c>
      <c r="DU54" s="192">
        <v>0.061</v>
      </c>
      <c r="DV54" s="192">
        <v>0.0628</v>
      </c>
      <c r="DW54" s="127"/>
      <c r="DX54" s="192">
        <v>0.0175</v>
      </c>
      <c r="DY54" s="192">
        <v>0.0205</v>
      </c>
      <c r="DZ54" s="192">
        <v>0.0205</v>
      </c>
      <c r="EA54" s="192">
        <v>0.0205</v>
      </c>
      <c r="EB54" s="192">
        <v>0.031</v>
      </c>
      <c r="EC54" s="192">
        <v>0.0257</v>
      </c>
      <c r="ED54" s="127"/>
      <c r="EE54" s="196">
        <v>0.39</v>
      </c>
      <c r="EF54" s="196">
        <v>0.61</v>
      </c>
      <c r="EG54" s="196">
        <v>0.56</v>
      </c>
      <c r="EH54" s="196">
        <v>0.56</v>
      </c>
      <c r="EI54" s="196">
        <v>0.56</v>
      </c>
      <c r="EJ54" s="127">
        <v>0.55</v>
      </c>
      <c r="EK54" s="127"/>
      <c r="EL54" s="200">
        <f t="shared" ref="EL54:EQ54" si="51">EE54/DQ54</f>
        <v>8.66666666666667</v>
      </c>
      <c r="EM54" s="200">
        <f t="shared" si="51"/>
        <v>12.007874015748</v>
      </c>
      <c r="EN54" s="200">
        <f t="shared" si="51"/>
        <v>11.4519427402863</v>
      </c>
      <c r="EO54" s="200">
        <f t="shared" si="51"/>
        <v>11.522633744856</v>
      </c>
      <c r="EP54" s="200">
        <f t="shared" si="51"/>
        <v>9.18032786885246</v>
      </c>
      <c r="EQ54" s="200">
        <f t="shared" si="51"/>
        <v>8.75796178343949</v>
      </c>
      <c r="ER54" s="127"/>
      <c r="ES54" s="192">
        <v>0.0055</v>
      </c>
      <c r="ET54" s="192">
        <v>0.0065</v>
      </c>
      <c r="EU54" s="192">
        <v>0.008</v>
      </c>
      <c r="EV54" s="192">
        <v>0.0058</v>
      </c>
      <c r="EW54" s="192">
        <v>0.0088</v>
      </c>
      <c r="EX54" s="192">
        <v>0.0065</v>
      </c>
      <c r="EY54" s="127"/>
      <c r="EZ54" s="127">
        <v>0.55</v>
      </c>
      <c r="FA54" s="192">
        <f t="shared" si="26"/>
        <v>0.00490049602581725</v>
      </c>
      <c r="FB54" s="192">
        <v>0.0025</v>
      </c>
      <c r="FC54" s="192">
        <f t="shared" si="27"/>
        <v>0.163346613545817</v>
      </c>
      <c r="FD54" s="192">
        <f t="shared" si="28"/>
        <v>0.158536585365854</v>
      </c>
      <c r="FE54" s="193">
        <f t="shared" si="29"/>
        <v>0.682926829268293</v>
      </c>
      <c r="FF54" s="127"/>
      <c r="FG54" s="127"/>
      <c r="FH54" s="127"/>
      <c r="FI54" s="194">
        <v>0.045</v>
      </c>
      <c r="FJ54" s="194">
        <f t="shared" si="30"/>
        <v>0.163346613545817</v>
      </c>
      <c r="FK54" s="196">
        <v>89.57</v>
      </c>
      <c r="FL54" s="127">
        <f t="shared" si="38"/>
        <v>13.4355</v>
      </c>
      <c r="FM54" s="196">
        <v>5.19</v>
      </c>
      <c r="FN54" s="127">
        <f t="shared" si="31"/>
        <v>95.65</v>
      </c>
      <c r="FO54" s="127"/>
      <c r="FP54" s="127">
        <f t="shared" si="32"/>
        <v>24.8223076923077</v>
      </c>
      <c r="FQ54" s="127">
        <f t="shared" si="33"/>
        <v>1223.73</v>
      </c>
      <c r="FR54" s="196">
        <v>32.18</v>
      </c>
      <c r="FS54" s="127"/>
      <c r="FT54" s="127"/>
      <c r="FU54" s="127"/>
      <c r="FV54" s="127"/>
      <c r="FW54" s="127"/>
      <c r="FX54" s="127"/>
      <c r="FY54" s="127"/>
      <c r="FZ54" s="127"/>
      <c r="GA54" s="127"/>
      <c r="GB54" s="127"/>
      <c r="GC54" s="127"/>
      <c r="GD54" s="127"/>
      <c r="GE54" s="127"/>
      <c r="GF54" s="127"/>
      <c r="GG54" s="127"/>
      <c r="GH54" s="127"/>
      <c r="GI54" s="127"/>
      <c r="GJ54" s="127"/>
      <c r="GK54" s="127"/>
      <c r="GL54" s="127"/>
      <c r="GM54" s="127"/>
      <c r="GN54" s="127"/>
      <c r="GO54" s="127"/>
      <c r="GP54" s="127"/>
      <c r="GQ54" s="127"/>
      <c r="GR54" s="127"/>
      <c r="GS54" s="127"/>
      <c r="GT54" s="127"/>
      <c r="GU54" s="127"/>
      <c r="GV54" s="127"/>
      <c r="GW54" s="127"/>
      <c r="GX54" s="127"/>
      <c r="GY54" s="127"/>
      <c r="GZ54" s="127"/>
    </row>
    <row r="55" spans="1:208">
      <c r="A55" s="172">
        <v>45846</v>
      </c>
      <c r="B55" s="20" t="s">
        <v>375</v>
      </c>
      <c r="C55" s="173" t="s">
        <v>84</v>
      </c>
      <c r="D55" s="174">
        <v>139.99</v>
      </c>
      <c r="E55" s="175">
        <v>89.57</v>
      </c>
      <c r="F55" s="176">
        <v>0.3</v>
      </c>
      <c r="G55" s="176">
        <v>0.15</v>
      </c>
      <c r="H55" s="177">
        <f t="shared" si="0"/>
        <v>83.29405</v>
      </c>
      <c r="I55" s="176">
        <v>0.08</v>
      </c>
      <c r="J55" s="178">
        <v>0.06</v>
      </c>
      <c r="K55" s="20">
        <v>197</v>
      </c>
      <c r="L55" s="20">
        <v>166</v>
      </c>
      <c r="M55" s="20">
        <f t="shared" si="39"/>
        <v>363</v>
      </c>
      <c r="N55" s="176">
        <f t="shared" si="1"/>
        <v>0.162534435261708</v>
      </c>
      <c r="O55" s="179">
        <f t="shared" si="2"/>
        <v>41</v>
      </c>
      <c r="P55" s="179">
        <f t="shared" si="3"/>
        <v>59</v>
      </c>
      <c r="Q55" s="20">
        <v>59</v>
      </c>
      <c r="R55" s="20">
        <v>59</v>
      </c>
      <c r="S55" s="20">
        <v>0</v>
      </c>
      <c r="T55" s="20">
        <v>0</v>
      </c>
      <c r="U55" s="176">
        <v>0</v>
      </c>
      <c r="V55" s="20">
        <v>0</v>
      </c>
      <c r="W55" s="174">
        <v>5152.47</v>
      </c>
      <c r="X55" s="20">
        <v>5</v>
      </c>
      <c r="Y55" s="20">
        <v>2</v>
      </c>
      <c r="Z55" s="20">
        <v>2</v>
      </c>
      <c r="AA55" s="20" t="s">
        <v>84</v>
      </c>
      <c r="AB55" s="20">
        <v>33</v>
      </c>
      <c r="AC55" s="20">
        <v>8</v>
      </c>
      <c r="AD55" s="20">
        <v>8</v>
      </c>
      <c r="AE55" s="20">
        <v>9</v>
      </c>
      <c r="AF55" s="20">
        <v>6</v>
      </c>
      <c r="AG55" s="20">
        <v>5</v>
      </c>
      <c r="AH55" s="20">
        <v>8</v>
      </c>
      <c r="AI55" s="20">
        <v>8</v>
      </c>
      <c r="AJ55" s="20">
        <v>1</v>
      </c>
      <c r="AK55" s="20" t="s">
        <v>84</v>
      </c>
      <c r="AL55" s="20">
        <v>350</v>
      </c>
      <c r="AM55" s="180">
        <v>4592</v>
      </c>
      <c r="AN55" s="173">
        <v>6</v>
      </c>
      <c r="AO55" s="174">
        <v>189</v>
      </c>
      <c r="AP55" s="174">
        <v>4.9</v>
      </c>
      <c r="AQ55" s="20"/>
      <c r="AR55" s="20"/>
      <c r="AS55" s="181">
        <v>60986</v>
      </c>
      <c r="AT55" s="20">
        <v>233</v>
      </c>
      <c r="AU55" s="182">
        <f t="shared" si="4"/>
        <v>0.00382054897845407</v>
      </c>
      <c r="AV55" s="20">
        <v>18</v>
      </c>
      <c r="AW55" s="183">
        <f t="shared" si="5"/>
        <v>1.19343347639485</v>
      </c>
      <c r="AX55" s="184">
        <f t="shared" si="6"/>
        <v>0.228706079747335</v>
      </c>
      <c r="AY55" s="176">
        <f t="shared" si="7"/>
        <v>0.0772532188841202</v>
      </c>
      <c r="AZ55" s="185">
        <f t="shared" si="8"/>
        <v>0.305084745762712</v>
      </c>
      <c r="BA55" s="183">
        <v>278.07</v>
      </c>
      <c r="BB55" s="176">
        <f t="shared" si="40"/>
        <v>0.228706079747335</v>
      </c>
      <c r="BC55" s="179">
        <f t="shared" si="10"/>
        <v>15.4483333333333</v>
      </c>
      <c r="BD55" s="179">
        <v>1215.84</v>
      </c>
      <c r="BE55" s="182">
        <v>0</v>
      </c>
      <c r="BF55" s="186">
        <f t="shared" si="11"/>
        <v>16.7316666666667</v>
      </c>
      <c r="BG55" s="186">
        <v>32.18</v>
      </c>
      <c r="BH55" s="187">
        <f t="shared" si="12"/>
        <v>1620.55</v>
      </c>
      <c r="BI55" s="182">
        <f t="shared" si="13"/>
        <v>0.314519055909108</v>
      </c>
      <c r="BJ55" s="179">
        <f t="shared" si="14"/>
        <v>8555</v>
      </c>
      <c r="BK55" s="179"/>
      <c r="BL55" s="179">
        <f t="shared" si="15"/>
        <v>0</v>
      </c>
      <c r="BM55" s="178"/>
      <c r="BN55" s="7"/>
      <c r="BO55" s="20"/>
      <c r="BP55" s="182"/>
      <c r="BQ55" s="182">
        <f t="shared" si="34"/>
        <v>0.305084745762712</v>
      </c>
      <c r="BR55" s="182">
        <f t="shared" si="16"/>
        <v>0.694915254237288</v>
      </c>
      <c r="BS55" s="182">
        <f t="shared" si="17"/>
        <v>0.641873278236915</v>
      </c>
      <c r="BT55" s="188">
        <f t="shared" si="18"/>
        <v>233</v>
      </c>
      <c r="BU55" s="20">
        <f t="shared" si="19"/>
        <v>363</v>
      </c>
      <c r="BV55" s="20">
        <f t="shared" si="20"/>
        <v>130</v>
      </c>
      <c r="BW55" s="185">
        <f t="shared" si="21"/>
        <v>0.358126721763085</v>
      </c>
      <c r="BX55" s="182">
        <f t="shared" si="22"/>
        <v>0.694915254237288</v>
      </c>
      <c r="BY55" s="182">
        <f t="shared" si="23"/>
        <v>1</v>
      </c>
      <c r="BZ55" s="182">
        <f t="shared" si="24"/>
        <v>0.694915254237288</v>
      </c>
      <c r="CA55" s="182">
        <f t="shared" si="25"/>
        <v>0.305084745762712</v>
      </c>
      <c r="CB55" s="189">
        <f t="shared" si="41"/>
        <v>0.439024390243902</v>
      </c>
      <c r="CC55" s="190">
        <f t="shared" si="42"/>
        <v>0.162534435261708</v>
      </c>
      <c r="CD55" s="190">
        <f t="shared" si="43"/>
        <v>0.0772532188841202</v>
      </c>
      <c r="CE55" s="189">
        <v>0.08</v>
      </c>
      <c r="CF55" s="189">
        <v>0.08</v>
      </c>
      <c r="CG55" s="189">
        <v>0.08</v>
      </c>
      <c r="CH55" s="189">
        <v>0.08</v>
      </c>
      <c r="CI55" s="189">
        <v>0.05</v>
      </c>
      <c r="CJ55" s="189">
        <v>0.06</v>
      </c>
      <c r="CK55" s="189">
        <v>0.04</v>
      </c>
      <c r="CL55" s="191">
        <v>8</v>
      </c>
      <c r="CM55" s="191" t="s">
        <v>84</v>
      </c>
      <c r="CN55" s="191">
        <v>5</v>
      </c>
      <c r="CO55" s="191" t="s">
        <v>84</v>
      </c>
      <c r="CP55" s="191">
        <v>33</v>
      </c>
      <c r="CQ55" s="191">
        <v>8</v>
      </c>
      <c r="CR55" s="191">
        <v>8</v>
      </c>
      <c r="CS55" s="191">
        <v>9</v>
      </c>
      <c r="CT55" s="191">
        <v>6</v>
      </c>
      <c r="CU55" s="191">
        <v>5</v>
      </c>
      <c r="CV55" s="191">
        <v>8</v>
      </c>
      <c r="CW55" s="191">
        <v>8</v>
      </c>
      <c r="CX55" s="191" t="s">
        <v>84</v>
      </c>
      <c r="CY55" s="191" t="s">
        <v>84</v>
      </c>
      <c r="CZ55" s="127"/>
      <c r="DA55" s="127"/>
      <c r="DB55" s="127"/>
      <c r="DC55" s="127"/>
      <c r="DD55" s="196">
        <v>2.9</v>
      </c>
      <c r="DE55" s="196">
        <v>4.02</v>
      </c>
      <c r="DF55" s="196">
        <v>0.47</v>
      </c>
      <c r="DG55" s="196">
        <v>3.41</v>
      </c>
      <c r="DH55" s="127">
        <v>3.86</v>
      </c>
      <c r="DI55" s="196">
        <v>2.72</v>
      </c>
      <c r="DJ55" s="196">
        <v>0.34</v>
      </c>
      <c r="DK55" s="127"/>
      <c r="DL55" s="198">
        <v>0.0023</v>
      </c>
      <c r="DM55" s="198">
        <v>0.0025</v>
      </c>
      <c r="DN55" s="198">
        <v>0.0025</v>
      </c>
      <c r="DO55" s="198">
        <v>0.0025</v>
      </c>
      <c r="DP55" s="127"/>
      <c r="DQ55" s="192">
        <v>0.045</v>
      </c>
      <c r="DR55" s="192">
        <v>0.0508</v>
      </c>
      <c r="DS55" s="192">
        <v>0.0489</v>
      </c>
      <c r="DT55" s="192">
        <v>0.0486</v>
      </c>
      <c r="DU55" s="192">
        <v>0.061</v>
      </c>
      <c r="DV55" s="192">
        <v>0.0628</v>
      </c>
      <c r="DW55" s="127"/>
      <c r="DX55" s="192">
        <v>0.0175</v>
      </c>
      <c r="DY55" s="192">
        <v>0.0205</v>
      </c>
      <c r="DZ55" s="192">
        <v>0.0205</v>
      </c>
      <c r="EA55" s="192">
        <v>0.0205</v>
      </c>
      <c r="EB55" s="192">
        <v>0.031</v>
      </c>
      <c r="EC55" s="192">
        <v>0.0257</v>
      </c>
      <c r="ED55" s="127"/>
      <c r="EE55" s="196">
        <v>0.39</v>
      </c>
      <c r="EF55" s="196">
        <v>0.61</v>
      </c>
      <c r="EG55" s="196">
        <v>0.56</v>
      </c>
      <c r="EH55" s="196">
        <v>0.56</v>
      </c>
      <c r="EI55" s="196">
        <v>0.56</v>
      </c>
      <c r="EJ55" s="127">
        <v>0.55</v>
      </c>
      <c r="EK55" s="127"/>
      <c r="EL55" s="200">
        <f t="shared" ref="EL55:EQ55" si="52">EE55/DQ55</f>
        <v>8.66666666666667</v>
      </c>
      <c r="EM55" s="200">
        <f t="shared" si="52"/>
        <v>12.007874015748</v>
      </c>
      <c r="EN55" s="200">
        <f t="shared" si="52"/>
        <v>11.4519427402863</v>
      </c>
      <c r="EO55" s="200">
        <f t="shared" si="52"/>
        <v>11.522633744856</v>
      </c>
      <c r="EP55" s="200">
        <f t="shared" si="52"/>
        <v>9.18032786885246</v>
      </c>
      <c r="EQ55" s="200">
        <f t="shared" si="52"/>
        <v>8.75796178343949</v>
      </c>
      <c r="ER55" s="127"/>
      <c r="ES55" s="192">
        <v>0.0055</v>
      </c>
      <c r="ET55" s="192">
        <v>0.0065</v>
      </c>
      <c r="EU55" s="192">
        <v>0.008</v>
      </c>
      <c r="EV55" s="192">
        <v>0.0058</v>
      </c>
      <c r="EW55" s="192">
        <v>0.0088</v>
      </c>
      <c r="EX55" s="192">
        <v>0.0065</v>
      </c>
      <c r="EY55" s="127"/>
      <c r="EZ55" s="127">
        <v>0.55</v>
      </c>
      <c r="FA55" s="192">
        <f t="shared" si="26"/>
        <v>0.00382054897845407</v>
      </c>
      <c r="FB55" s="192">
        <v>0.0025</v>
      </c>
      <c r="FC55" s="192">
        <f t="shared" si="27"/>
        <v>0.162534435261708</v>
      </c>
      <c r="FD55" s="192">
        <f t="shared" si="28"/>
        <v>0.0772532188841202</v>
      </c>
      <c r="FE55" s="193">
        <f t="shared" si="29"/>
        <v>0.694915254237288</v>
      </c>
      <c r="FF55" s="127"/>
      <c r="FG55" s="127"/>
      <c r="FH55" s="127"/>
      <c r="FI55" s="194">
        <v>0.045</v>
      </c>
      <c r="FJ55" s="194">
        <f t="shared" si="30"/>
        <v>0.162534435261708</v>
      </c>
      <c r="FK55" s="196">
        <v>89.57</v>
      </c>
      <c r="FL55" s="127">
        <f t="shared" si="38"/>
        <v>13.4355</v>
      </c>
      <c r="FM55" s="196">
        <v>5.19</v>
      </c>
      <c r="FN55" s="127">
        <f t="shared" si="31"/>
        <v>278.07</v>
      </c>
      <c r="FO55" s="127"/>
      <c r="FP55" s="127">
        <f t="shared" si="32"/>
        <v>16.7316666666667</v>
      </c>
      <c r="FQ55" s="127">
        <f t="shared" si="33"/>
        <v>1620.55</v>
      </c>
      <c r="FR55" s="196">
        <v>32.18</v>
      </c>
      <c r="FS55" s="127"/>
      <c r="FT55" s="127"/>
      <c r="FU55" s="127"/>
      <c r="FV55" s="127"/>
      <c r="FW55" s="127"/>
      <c r="FX55" s="127"/>
      <c r="FY55" s="127"/>
      <c r="FZ55" s="127"/>
      <c r="GA55" s="127"/>
      <c r="GB55" s="127"/>
      <c r="GC55" s="127"/>
      <c r="GD55" s="127"/>
      <c r="GE55" s="127"/>
      <c r="GF55" s="127"/>
      <c r="GG55" s="127"/>
      <c r="GH55" s="127"/>
      <c r="GI55" s="127"/>
      <c r="GJ55" s="127"/>
      <c r="GK55" s="127"/>
      <c r="GL55" s="127"/>
      <c r="GM55" s="127"/>
      <c r="GN55" s="127"/>
      <c r="GO55" s="127"/>
      <c r="GP55" s="127"/>
      <c r="GQ55" s="127"/>
      <c r="GR55" s="127"/>
      <c r="GS55" s="127"/>
      <c r="GT55" s="127"/>
      <c r="GU55" s="127"/>
      <c r="GV55" s="127"/>
      <c r="GW55" s="127"/>
      <c r="GX55" s="127"/>
      <c r="GY55" s="127"/>
      <c r="GZ55" s="127"/>
    </row>
    <row r="56" spans="1:208">
      <c r="A56" s="172">
        <v>45847</v>
      </c>
      <c r="B56" s="20" t="s">
        <v>377</v>
      </c>
      <c r="C56" s="173" t="s">
        <v>84</v>
      </c>
      <c r="D56" s="174">
        <v>139.99</v>
      </c>
      <c r="E56" s="175">
        <v>89.57</v>
      </c>
      <c r="F56" s="176">
        <v>0.3</v>
      </c>
      <c r="G56" s="176">
        <v>0.15</v>
      </c>
      <c r="H56" s="177">
        <f t="shared" si="0"/>
        <v>83.29405</v>
      </c>
      <c r="I56" s="176">
        <v>0.08</v>
      </c>
      <c r="J56" s="178">
        <v>0.06</v>
      </c>
      <c r="K56" s="20">
        <v>189</v>
      </c>
      <c r="L56" s="20">
        <v>120</v>
      </c>
      <c r="M56" s="20">
        <f t="shared" si="39"/>
        <v>309</v>
      </c>
      <c r="N56" s="176">
        <f t="shared" si="1"/>
        <v>0.181229773462783</v>
      </c>
      <c r="O56" s="179">
        <f t="shared" si="2"/>
        <v>44</v>
      </c>
      <c r="P56" s="179">
        <f t="shared" si="3"/>
        <v>56</v>
      </c>
      <c r="Q56" s="20">
        <v>56</v>
      </c>
      <c r="R56" s="20">
        <v>56</v>
      </c>
      <c r="S56" s="20">
        <v>0</v>
      </c>
      <c r="T56" s="20">
        <v>0</v>
      </c>
      <c r="U56" s="176">
        <v>0</v>
      </c>
      <c r="V56" s="20">
        <v>0</v>
      </c>
      <c r="W56" s="174">
        <v>4890.48</v>
      </c>
      <c r="X56" s="20">
        <v>5</v>
      </c>
      <c r="Y56" s="20">
        <v>5</v>
      </c>
      <c r="Z56" s="20">
        <v>1</v>
      </c>
      <c r="AA56" s="20" t="s">
        <v>84</v>
      </c>
      <c r="AB56" s="20">
        <v>33</v>
      </c>
      <c r="AC56" s="20">
        <v>8</v>
      </c>
      <c r="AD56" s="20">
        <v>8</v>
      </c>
      <c r="AE56" s="20">
        <v>9</v>
      </c>
      <c r="AF56" s="20">
        <v>6</v>
      </c>
      <c r="AG56" s="20">
        <v>5</v>
      </c>
      <c r="AH56" s="20">
        <v>8</v>
      </c>
      <c r="AI56" s="20">
        <v>8</v>
      </c>
      <c r="AJ56" s="20">
        <v>1</v>
      </c>
      <c r="AK56" s="20" t="s">
        <v>84</v>
      </c>
      <c r="AL56" s="20">
        <v>514</v>
      </c>
      <c r="AM56" s="180">
        <v>3748</v>
      </c>
      <c r="AN56" s="173">
        <v>5</v>
      </c>
      <c r="AO56" s="174">
        <v>189</v>
      </c>
      <c r="AP56" s="174">
        <v>4.9</v>
      </c>
      <c r="AQ56" s="20"/>
      <c r="AR56" s="20"/>
      <c r="AS56" s="181">
        <v>15366</v>
      </c>
      <c r="AT56" s="20">
        <v>84</v>
      </c>
      <c r="AU56" s="182">
        <f t="shared" si="4"/>
        <v>0.00546661460367044</v>
      </c>
      <c r="AV56" s="20">
        <v>12</v>
      </c>
      <c r="AW56" s="183">
        <f t="shared" si="5"/>
        <v>1.41916666666667</v>
      </c>
      <c r="AX56" s="184">
        <f t="shared" si="6"/>
        <v>0.121323454578762</v>
      </c>
      <c r="AY56" s="176">
        <f t="shared" si="7"/>
        <v>0.142857142857143</v>
      </c>
      <c r="AZ56" s="185">
        <f t="shared" si="8"/>
        <v>0.214285714285714</v>
      </c>
      <c r="BA56" s="183">
        <v>119.21</v>
      </c>
      <c r="BB56" s="176">
        <f t="shared" si="40"/>
        <v>0.121323454578762</v>
      </c>
      <c r="BC56" s="179">
        <f t="shared" si="10"/>
        <v>9.93416666666667</v>
      </c>
      <c r="BD56" s="179">
        <v>982.58</v>
      </c>
      <c r="BE56" s="182">
        <v>0</v>
      </c>
      <c r="BF56" s="186">
        <f t="shared" si="11"/>
        <v>22.2458333333333</v>
      </c>
      <c r="BG56" s="186">
        <v>32.18</v>
      </c>
      <c r="BH56" s="187">
        <f t="shared" si="12"/>
        <v>1682.87</v>
      </c>
      <c r="BI56" s="182">
        <f t="shared" si="13"/>
        <v>0.344111416466277</v>
      </c>
      <c r="BJ56" s="179">
        <f t="shared" si="14"/>
        <v>8120</v>
      </c>
      <c r="BK56" s="179"/>
      <c r="BL56" s="179">
        <f t="shared" si="15"/>
        <v>0</v>
      </c>
      <c r="BM56" s="178"/>
      <c r="BN56" s="7"/>
      <c r="BO56" s="20"/>
      <c r="BP56" s="182"/>
      <c r="BQ56" s="182">
        <f t="shared" si="34"/>
        <v>0.214285714285714</v>
      </c>
      <c r="BR56" s="182">
        <f t="shared" si="16"/>
        <v>0.785714285714286</v>
      </c>
      <c r="BS56" s="182">
        <f t="shared" si="17"/>
        <v>0.271844660194175</v>
      </c>
      <c r="BT56" s="188">
        <f t="shared" si="18"/>
        <v>84</v>
      </c>
      <c r="BU56" s="20">
        <f t="shared" si="19"/>
        <v>309</v>
      </c>
      <c r="BV56" s="20">
        <f t="shared" si="20"/>
        <v>225</v>
      </c>
      <c r="BW56" s="185">
        <f t="shared" si="21"/>
        <v>0.728155339805825</v>
      </c>
      <c r="BX56" s="182">
        <f t="shared" si="22"/>
        <v>0.785714285714286</v>
      </c>
      <c r="BY56" s="182">
        <f t="shared" si="23"/>
        <v>1</v>
      </c>
      <c r="BZ56" s="182">
        <f t="shared" si="24"/>
        <v>0.785714285714286</v>
      </c>
      <c r="CA56" s="182">
        <f t="shared" si="25"/>
        <v>0.214285714285714</v>
      </c>
      <c r="CB56" s="189">
        <f t="shared" si="41"/>
        <v>0.272727272727273</v>
      </c>
      <c r="CC56" s="190">
        <f t="shared" si="42"/>
        <v>0.181229773462783</v>
      </c>
      <c r="CD56" s="190">
        <f t="shared" si="43"/>
        <v>0.142857142857143</v>
      </c>
      <c r="CE56" s="189">
        <v>0.08</v>
      </c>
      <c r="CF56" s="189">
        <v>0.08</v>
      </c>
      <c r="CG56" s="189">
        <v>0.08</v>
      </c>
      <c r="CH56" s="189">
        <v>0.08</v>
      </c>
      <c r="CI56" s="189">
        <v>0.05</v>
      </c>
      <c r="CJ56" s="189">
        <v>0.06</v>
      </c>
      <c r="CK56" s="189">
        <v>0.04</v>
      </c>
      <c r="CL56" s="191">
        <v>8</v>
      </c>
      <c r="CM56" s="191" t="s">
        <v>84</v>
      </c>
      <c r="CN56" s="191">
        <v>5</v>
      </c>
      <c r="CO56" s="191" t="s">
        <v>84</v>
      </c>
      <c r="CP56" s="191">
        <v>33</v>
      </c>
      <c r="CQ56" s="191">
        <v>8</v>
      </c>
      <c r="CR56" s="191">
        <v>8</v>
      </c>
      <c r="CS56" s="191">
        <v>9</v>
      </c>
      <c r="CT56" s="191">
        <v>6</v>
      </c>
      <c r="CU56" s="191">
        <v>5</v>
      </c>
      <c r="CV56" s="191">
        <v>8</v>
      </c>
      <c r="CW56" s="191">
        <v>8</v>
      </c>
      <c r="CX56" s="191" t="s">
        <v>84</v>
      </c>
      <c r="CY56" s="191" t="s">
        <v>84</v>
      </c>
      <c r="CZ56" s="127"/>
      <c r="DA56" s="127"/>
      <c r="DB56" s="127"/>
      <c r="DC56" s="127"/>
      <c r="DD56" s="196">
        <v>2.9</v>
      </c>
      <c r="DE56" s="196">
        <v>4.02</v>
      </c>
      <c r="DF56" s="196">
        <v>0.47</v>
      </c>
      <c r="DG56" s="196">
        <v>3.41</v>
      </c>
      <c r="DH56" s="127">
        <v>3.86</v>
      </c>
      <c r="DI56" s="196">
        <v>2.72</v>
      </c>
      <c r="DJ56" s="196">
        <v>0.34</v>
      </c>
      <c r="DK56" s="127"/>
      <c r="DL56" s="198">
        <v>0.0023</v>
      </c>
      <c r="DM56" s="198">
        <v>0.0025</v>
      </c>
      <c r="DN56" s="198">
        <v>0.0025</v>
      </c>
      <c r="DO56" s="198">
        <v>0.0025</v>
      </c>
      <c r="DP56" s="127"/>
      <c r="DQ56" s="192">
        <v>0.045</v>
      </c>
      <c r="DR56" s="192">
        <v>0.0508</v>
      </c>
      <c r="DS56" s="192">
        <v>0.0489</v>
      </c>
      <c r="DT56" s="192">
        <v>0.0486</v>
      </c>
      <c r="DU56" s="192">
        <v>0.061</v>
      </c>
      <c r="DV56" s="192">
        <v>0.0628</v>
      </c>
      <c r="DW56" s="127"/>
      <c r="DX56" s="192">
        <v>0.0175</v>
      </c>
      <c r="DY56" s="192">
        <v>0.0205</v>
      </c>
      <c r="DZ56" s="192">
        <v>0.0205</v>
      </c>
      <c r="EA56" s="192">
        <v>0.0205</v>
      </c>
      <c r="EB56" s="192">
        <v>0.031</v>
      </c>
      <c r="EC56" s="192">
        <v>0.0257</v>
      </c>
      <c r="ED56" s="127"/>
      <c r="EE56" s="196">
        <v>0.39</v>
      </c>
      <c r="EF56" s="196">
        <v>0.61</v>
      </c>
      <c r="EG56" s="196">
        <v>0.56</v>
      </c>
      <c r="EH56" s="196">
        <v>0.56</v>
      </c>
      <c r="EI56" s="196">
        <v>0.56</v>
      </c>
      <c r="EJ56" s="127">
        <v>0.55</v>
      </c>
      <c r="EK56" s="127"/>
      <c r="EL56" s="200">
        <f t="shared" ref="EL56:EQ56" si="53">EE56/DQ56</f>
        <v>8.66666666666667</v>
      </c>
      <c r="EM56" s="200">
        <f t="shared" si="53"/>
        <v>12.007874015748</v>
      </c>
      <c r="EN56" s="200">
        <f t="shared" si="53"/>
        <v>11.4519427402863</v>
      </c>
      <c r="EO56" s="200">
        <f t="shared" si="53"/>
        <v>11.522633744856</v>
      </c>
      <c r="EP56" s="200">
        <f t="shared" si="53"/>
        <v>9.18032786885246</v>
      </c>
      <c r="EQ56" s="200">
        <f t="shared" si="53"/>
        <v>8.75796178343949</v>
      </c>
      <c r="ER56" s="127"/>
      <c r="ES56" s="192">
        <v>0.0055</v>
      </c>
      <c r="ET56" s="192">
        <v>0.0065</v>
      </c>
      <c r="EU56" s="192">
        <v>0.008</v>
      </c>
      <c r="EV56" s="192">
        <v>0.0058</v>
      </c>
      <c r="EW56" s="192">
        <v>0.0088</v>
      </c>
      <c r="EX56" s="192">
        <v>0.0065</v>
      </c>
      <c r="EY56" s="127"/>
      <c r="EZ56" s="127">
        <v>0.55</v>
      </c>
      <c r="FA56" s="192">
        <f t="shared" si="26"/>
        <v>0.00546661460367044</v>
      </c>
      <c r="FB56" s="192">
        <v>0.0025</v>
      </c>
      <c r="FC56" s="192">
        <f t="shared" si="27"/>
        <v>0.181229773462783</v>
      </c>
      <c r="FD56" s="192">
        <f t="shared" si="28"/>
        <v>0.142857142857143</v>
      </c>
      <c r="FE56" s="193">
        <f t="shared" si="29"/>
        <v>0.785714285714286</v>
      </c>
      <c r="FF56" s="127"/>
      <c r="FG56" s="127"/>
      <c r="FH56" s="127"/>
      <c r="FI56" s="194">
        <v>0.045</v>
      </c>
      <c r="FJ56" s="194">
        <f t="shared" si="30"/>
        <v>0.181229773462783</v>
      </c>
      <c r="FK56" s="196">
        <v>89.57</v>
      </c>
      <c r="FL56" s="127">
        <f t="shared" si="38"/>
        <v>13.4355</v>
      </c>
      <c r="FM56" s="196">
        <v>5.19</v>
      </c>
      <c r="FN56" s="127">
        <f t="shared" si="31"/>
        <v>119.21</v>
      </c>
      <c r="FO56" s="127"/>
      <c r="FP56" s="127">
        <f t="shared" si="32"/>
        <v>22.2458333333333</v>
      </c>
      <c r="FQ56" s="127">
        <f t="shared" si="33"/>
        <v>1682.87</v>
      </c>
      <c r="FR56" s="196">
        <v>32.18</v>
      </c>
      <c r="FS56" s="127"/>
      <c r="FT56" s="127"/>
      <c r="FU56" s="127"/>
      <c r="FV56" s="127"/>
      <c r="FW56" s="127"/>
      <c r="FX56" s="127"/>
      <c r="FY56" s="127"/>
      <c r="FZ56" s="127"/>
      <c r="GA56" s="127"/>
      <c r="GB56" s="127"/>
      <c r="GC56" s="127"/>
      <c r="GD56" s="127"/>
      <c r="GE56" s="127"/>
      <c r="GF56" s="127"/>
      <c r="GG56" s="127"/>
      <c r="GH56" s="127"/>
      <c r="GI56" s="127"/>
      <c r="GJ56" s="127"/>
      <c r="GK56" s="127"/>
      <c r="GL56" s="127"/>
      <c r="GM56" s="127"/>
      <c r="GN56" s="127"/>
      <c r="GO56" s="127"/>
      <c r="GP56" s="127"/>
      <c r="GQ56" s="127"/>
      <c r="GR56" s="127"/>
      <c r="GS56" s="127"/>
      <c r="GT56" s="127"/>
      <c r="GU56" s="127"/>
      <c r="GV56" s="127"/>
      <c r="GW56" s="127"/>
      <c r="GX56" s="127"/>
      <c r="GY56" s="127"/>
      <c r="GZ56" s="127"/>
    </row>
    <row r="57" spans="1:208">
      <c r="A57" s="172">
        <v>45848</v>
      </c>
      <c r="B57" s="20" t="s">
        <v>379</v>
      </c>
      <c r="C57" s="173" t="s">
        <v>84</v>
      </c>
      <c r="D57" s="174">
        <v>139.99</v>
      </c>
      <c r="E57" s="175">
        <v>89.57</v>
      </c>
      <c r="F57" s="176">
        <v>0.3</v>
      </c>
      <c r="G57" s="176">
        <v>0.15</v>
      </c>
      <c r="H57" s="177">
        <f t="shared" ref="H57:H62" si="54">D57*(1-F57)*(1-G57)</f>
        <v>83.29405</v>
      </c>
      <c r="I57" s="176">
        <v>0.08</v>
      </c>
      <c r="J57" s="178">
        <v>0.06</v>
      </c>
      <c r="K57" s="20">
        <v>199</v>
      </c>
      <c r="L57" s="20">
        <v>112</v>
      </c>
      <c r="M57" s="20">
        <f t="shared" si="39"/>
        <v>311</v>
      </c>
      <c r="N57" s="176">
        <f t="shared" si="1"/>
        <v>0.154340836012862</v>
      </c>
      <c r="O57" s="179">
        <f t="shared" si="2"/>
        <v>43</v>
      </c>
      <c r="P57" s="179">
        <f t="shared" si="3"/>
        <v>48</v>
      </c>
      <c r="Q57" s="20">
        <v>48</v>
      </c>
      <c r="R57" s="20">
        <v>48</v>
      </c>
      <c r="S57" s="20">
        <v>0</v>
      </c>
      <c r="T57" s="20">
        <v>0</v>
      </c>
      <c r="U57" s="176">
        <v>0</v>
      </c>
      <c r="V57" s="20">
        <v>0</v>
      </c>
      <c r="W57" s="174">
        <v>4191.84</v>
      </c>
      <c r="X57" s="20">
        <v>4</v>
      </c>
      <c r="Y57" s="20">
        <v>5</v>
      </c>
      <c r="Z57" s="20">
        <v>1</v>
      </c>
      <c r="AA57" s="20" t="s">
        <v>84</v>
      </c>
      <c r="AB57" s="20">
        <v>25</v>
      </c>
      <c r="AC57" s="20">
        <v>8</v>
      </c>
      <c r="AD57" s="20">
        <v>1</v>
      </c>
      <c r="AE57" s="20">
        <v>9</v>
      </c>
      <c r="AF57" s="20">
        <v>6</v>
      </c>
      <c r="AG57" s="20">
        <v>5</v>
      </c>
      <c r="AH57" s="20">
        <v>1</v>
      </c>
      <c r="AI57" s="20">
        <v>8</v>
      </c>
      <c r="AJ57" s="20">
        <v>1</v>
      </c>
      <c r="AK57" s="20" t="s">
        <v>84</v>
      </c>
      <c r="AL57" s="20">
        <v>514</v>
      </c>
      <c r="AM57" s="180">
        <v>3748</v>
      </c>
      <c r="AN57" s="173">
        <v>2</v>
      </c>
      <c r="AO57" s="174">
        <v>189</v>
      </c>
      <c r="AP57" s="174">
        <v>4.9</v>
      </c>
      <c r="AQ57" s="20"/>
      <c r="AR57" s="20"/>
      <c r="AS57" s="181">
        <v>12174</v>
      </c>
      <c r="AT57" s="20">
        <v>47</v>
      </c>
      <c r="AU57" s="182">
        <f t="shared" si="4"/>
        <v>0.00386068670938065</v>
      </c>
      <c r="AV57" s="20">
        <v>5</v>
      </c>
      <c r="AW57" s="183">
        <f t="shared" si="5"/>
        <v>1.38170212765957</v>
      </c>
      <c r="AX57" s="184">
        <f t="shared" si="6"/>
        <v>0.174003912006645</v>
      </c>
      <c r="AY57" s="176">
        <f t="shared" si="7"/>
        <v>0.106382978723404</v>
      </c>
      <c r="AZ57" s="185">
        <f t="shared" si="8"/>
        <v>0.104166666666667</v>
      </c>
      <c r="BA57" s="183">
        <v>64.94</v>
      </c>
      <c r="BB57" s="176">
        <f t="shared" si="40"/>
        <v>0.174003912006645</v>
      </c>
      <c r="BC57" s="179">
        <f t="shared" si="10"/>
        <v>12.988</v>
      </c>
      <c r="BD57" s="179">
        <v>373.21</v>
      </c>
      <c r="BE57" s="182">
        <v>0</v>
      </c>
      <c r="BF57" s="186">
        <f t="shared" si="11"/>
        <v>19.192</v>
      </c>
      <c r="BG57" s="186">
        <v>32.18</v>
      </c>
      <c r="BH57" s="187">
        <f t="shared" si="12"/>
        <v>1479.7</v>
      </c>
      <c r="BI57" s="182">
        <f t="shared" si="13"/>
        <v>0.352995343333715</v>
      </c>
      <c r="BJ57" s="179">
        <f t="shared" si="14"/>
        <v>6960</v>
      </c>
      <c r="BK57" s="179"/>
      <c r="BL57" s="179">
        <f t="shared" si="15"/>
        <v>0</v>
      </c>
      <c r="BM57" s="178"/>
      <c r="BN57" s="7"/>
      <c r="BO57" s="20"/>
      <c r="BP57" s="182"/>
      <c r="BQ57" s="182">
        <f t="shared" si="34"/>
        <v>0.104166666666667</v>
      </c>
      <c r="BR57" s="182">
        <f t="shared" si="16"/>
        <v>0.895833333333333</v>
      </c>
      <c r="BS57" s="182">
        <f t="shared" si="17"/>
        <v>0.15112540192926</v>
      </c>
      <c r="BT57" s="188">
        <f t="shared" si="18"/>
        <v>47</v>
      </c>
      <c r="BU57" s="20">
        <f t="shared" si="19"/>
        <v>311</v>
      </c>
      <c r="BV57" s="20">
        <f t="shared" si="20"/>
        <v>264</v>
      </c>
      <c r="BW57" s="185">
        <f t="shared" si="21"/>
        <v>0.84887459807074</v>
      </c>
      <c r="BX57" s="182">
        <f t="shared" si="22"/>
        <v>0.895833333333333</v>
      </c>
      <c r="BY57" s="182">
        <f t="shared" si="23"/>
        <v>1</v>
      </c>
      <c r="BZ57" s="182">
        <f t="shared" si="24"/>
        <v>0.895833333333333</v>
      </c>
      <c r="CA57" s="182">
        <f t="shared" si="25"/>
        <v>0.104166666666667</v>
      </c>
      <c r="CB57" s="189">
        <f t="shared" si="41"/>
        <v>0.116279069767442</v>
      </c>
      <c r="CC57" s="190">
        <f t="shared" si="42"/>
        <v>0.154340836012862</v>
      </c>
      <c r="CD57" s="190">
        <f t="shared" si="43"/>
        <v>0.106382978723404</v>
      </c>
      <c r="CE57" s="189">
        <v>0.08</v>
      </c>
      <c r="CF57" s="189">
        <v>0.08</v>
      </c>
      <c r="CG57" s="189">
        <v>0.08</v>
      </c>
      <c r="CH57" s="189">
        <v>0.08</v>
      </c>
      <c r="CI57" s="189">
        <v>0.05</v>
      </c>
      <c r="CJ57" s="189">
        <v>0.06</v>
      </c>
      <c r="CK57" s="189">
        <v>0.04</v>
      </c>
      <c r="CL57" s="191">
        <v>8</v>
      </c>
      <c r="CM57" s="191" t="s">
        <v>84</v>
      </c>
      <c r="CN57" s="191">
        <v>5</v>
      </c>
      <c r="CO57" s="191" t="s">
        <v>84</v>
      </c>
      <c r="CP57" s="191">
        <v>33</v>
      </c>
      <c r="CQ57" s="191">
        <v>8</v>
      </c>
      <c r="CR57" s="191">
        <v>8</v>
      </c>
      <c r="CS57" s="191">
        <v>9</v>
      </c>
      <c r="CT57" s="191">
        <v>6</v>
      </c>
      <c r="CU57" s="191">
        <v>5</v>
      </c>
      <c r="CV57" s="191">
        <v>8</v>
      </c>
      <c r="CW57" s="191">
        <v>8</v>
      </c>
      <c r="CX57" s="191" t="s">
        <v>84</v>
      </c>
      <c r="CY57" s="191" t="s">
        <v>84</v>
      </c>
      <c r="CZ57" s="127"/>
      <c r="DA57" s="127"/>
      <c r="DB57" s="127"/>
      <c r="DC57" s="127"/>
      <c r="DD57" s="196">
        <v>2.9</v>
      </c>
      <c r="DE57" s="196">
        <v>4.02</v>
      </c>
      <c r="DF57" s="196">
        <v>0.47</v>
      </c>
      <c r="DG57" s="196">
        <v>3.41</v>
      </c>
      <c r="DH57" s="127">
        <v>3.86</v>
      </c>
      <c r="DI57" s="196">
        <v>2.72</v>
      </c>
      <c r="DJ57" s="196">
        <v>0.34</v>
      </c>
      <c r="DK57" s="127"/>
      <c r="DL57" s="198">
        <v>0.0023</v>
      </c>
      <c r="DM57" s="198">
        <v>0.0025</v>
      </c>
      <c r="DN57" s="198">
        <v>0.0025</v>
      </c>
      <c r="DO57" s="198">
        <v>0.0025</v>
      </c>
      <c r="DP57" s="127"/>
      <c r="DQ57" s="192">
        <v>0.045</v>
      </c>
      <c r="DR57" s="192">
        <v>0.0508</v>
      </c>
      <c r="DS57" s="192">
        <v>0.0489</v>
      </c>
      <c r="DT57" s="192">
        <v>0.0486</v>
      </c>
      <c r="DU57" s="192">
        <v>0.061</v>
      </c>
      <c r="DV57" s="192">
        <v>0.0628</v>
      </c>
      <c r="DW57" s="127"/>
      <c r="DX57" s="192">
        <v>0.0175</v>
      </c>
      <c r="DY57" s="192">
        <v>0.0205</v>
      </c>
      <c r="DZ57" s="192">
        <v>0.0205</v>
      </c>
      <c r="EA57" s="192">
        <v>0.0205</v>
      </c>
      <c r="EB57" s="192">
        <v>0.031</v>
      </c>
      <c r="EC57" s="192">
        <v>0.0257</v>
      </c>
      <c r="ED57" s="127"/>
      <c r="EE57" s="196">
        <v>0.39</v>
      </c>
      <c r="EF57" s="196">
        <v>0.61</v>
      </c>
      <c r="EG57" s="196">
        <v>0.56</v>
      </c>
      <c r="EH57" s="196">
        <v>0.56</v>
      </c>
      <c r="EI57" s="196">
        <v>0.56</v>
      </c>
      <c r="EJ57" s="127">
        <v>0.55</v>
      </c>
      <c r="EK57" s="127"/>
      <c r="EL57" s="200">
        <f t="shared" ref="EL57:EQ57" si="55">EE57/DQ57</f>
        <v>8.66666666666667</v>
      </c>
      <c r="EM57" s="200">
        <f t="shared" si="55"/>
        <v>12.007874015748</v>
      </c>
      <c r="EN57" s="200">
        <f t="shared" si="55"/>
        <v>11.4519427402863</v>
      </c>
      <c r="EO57" s="200">
        <f t="shared" si="55"/>
        <v>11.522633744856</v>
      </c>
      <c r="EP57" s="200">
        <f t="shared" si="55"/>
        <v>9.18032786885246</v>
      </c>
      <c r="EQ57" s="200">
        <f t="shared" si="55"/>
        <v>8.75796178343949</v>
      </c>
      <c r="ER57" s="127"/>
      <c r="ES57" s="192">
        <v>0.0055</v>
      </c>
      <c r="ET57" s="192">
        <v>0.0065</v>
      </c>
      <c r="EU57" s="192">
        <v>0.008</v>
      </c>
      <c r="EV57" s="192">
        <v>0.0058</v>
      </c>
      <c r="EW57" s="192">
        <v>0.0088</v>
      </c>
      <c r="EX57" s="192">
        <v>0.0065</v>
      </c>
      <c r="EY57" s="127"/>
      <c r="EZ57" s="127">
        <v>0.55</v>
      </c>
      <c r="FA57" s="192">
        <f t="shared" si="26"/>
        <v>0.00386068670938065</v>
      </c>
      <c r="FB57" s="192">
        <v>0.0025</v>
      </c>
      <c r="FC57" s="192">
        <f t="shared" si="27"/>
        <v>0.154340836012862</v>
      </c>
      <c r="FD57" s="192">
        <f t="shared" si="28"/>
        <v>0.106382978723404</v>
      </c>
      <c r="FE57" s="193">
        <f t="shared" si="29"/>
        <v>0.895833333333333</v>
      </c>
      <c r="FF57" s="127"/>
      <c r="FG57" s="127"/>
      <c r="FH57" s="127"/>
      <c r="FI57" s="194">
        <v>0.045</v>
      </c>
      <c r="FJ57" s="194">
        <f t="shared" si="30"/>
        <v>0.154340836012862</v>
      </c>
      <c r="FK57" s="196">
        <v>89.57</v>
      </c>
      <c r="FL57" s="127">
        <f t="shared" si="38"/>
        <v>13.4355</v>
      </c>
      <c r="FM57" s="196">
        <v>5.19</v>
      </c>
      <c r="FN57" s="127">
        <f t="shared" si="31"/>
        <v>64.94</v>
      </c>
      <c r="FO57" s="127"/>
      <c r="FP57" s="127">
        <f t="shared" si="32"/>
        <v>19.192</v>
      </c>
      <c r="FQ57" s="127">
        <f t="shared" si="33"/>
        <v>1479.7</v>
      </c>
      <c r="FR57" s="196">
        <v>32.18</v>
      </c>
      <c r="FS57" s="127"/>
      <c r="FT57" s="127"/>
      <c r="FU57" s="127"/>
      <c r="FV57" s="127"/>
      <c r="FW57" s="127"/>
      <c r="FX57" s="127"/>
      <c r="FY57" s="127"/>
      <c r="FZ57" s="127"/>
      <c r="GA57" s="127"/>
      <c r="GB57" s="127"/>
      <c r="GC57" s="127"/>
      <c r="GD57" s="127"/>
      <c r="GE57" s="127"/>
      <c r="GF57" s="127"/>
      <c r="GG57" s="127"/>
      <c r="GH57" s="127"/>
      <c r="GI57" s="127"/>
      <c r="GJ57" s="127"/>
      <c r="GK57" s="127"/>
      <c r="GL57" s="127"/>
      <c r="GM57" s="127"/>
      <c r="GN57" s="127"/>
      <c r="GO57" s="127"/>
      <c r="GP57" s="127"/>
      <c r="GQ57" s="127"/>
      <c r="GR57" s="127"/>
      <c r="GS57" s="127"/>
      <c r="GT57" s="127"/>
      <c r="GU57" s="127"/>
      <c r="GV57" s="127"/>
      <c r="GW57" s="127"/>
      <c r="GX57" s="127"/>
      <c r="GY57" s="127"/>
      <c r="GZ57" s="127"/>
    </row>
    <row r="58" spans="1:208">
      <c r="A58" s="172">
        <v>45849</v>
      </c>
      <c r="B58" s="20" t="s">
        <v>381</v>
      </c>
      <c r="C58" s="173" t="s">
        <v>412</v>
      </c>
      <c r="D58" s="174">
        <v>139.99</v>
      </c>
      <c r="E58" s="175">
        <v>89.57</v>
      </c>
      <c r="F58" s="176">
        <v>0.3</v>
      </c>
      <c r="G58" s="176">
        <v>0.15</v>
      </c>
      <c r="H58" s="177">
        <f t="shared" si="54"/>
        <v>83.29405</v>
      </c>
      <c r="I58" s="176">
        <v>0.08</v>
      </c>
      <c r="J58" s="178">
        <v>0.06</v>
      </c>
      <c r="K58" s="20">
        <v>196</v>
      </c>
      <c r="L58" s="20">
        <v>59</v>
      </c>
      <c r="M58" s="20">
        <f t="shared" si="39"/>
        <v>255</v>
      </c>
      <c r="N58" s="176">
        <f t="shared" si="1"/>
        <v>0.149019607843137</v>
      </c>
      <c r="O58" s="179">
        <f t="shared" si="2"/>
        <v>32</v>
      </c>
      <c r="P58" s="179">
        <f t="shared" si="3"/>
        <v>38</v>
      </c>
      <c r="Q58" s="20">
        <v>38</v>
      </c>
      <c r="R58" s="20">
        <v>38</v>
      </c>
      <c r="S58" s="20">
        <v>0</v>
      </c>
      <c r="T58" s="20">
        <v>0</v>
      </c>
      <c r="U58" s="176">
        <v>0</v>
      </c>
      <c r="V58" s="20">
        <v>0</v>
      </c>
      <c r="W58" s="174">
        <v>3318.54</v>
      </c>
      <c r="X58" s="20">
        <v>8</v>
      </c>
      <c r="Y58" s="20">
        <v>1</v>
      </c>
      <c r="Z58" s="20">
        <v>1</v>
      </c>
      <c r="AA58" s="20" t="s">
        <v>84</v>
      </c>
      <c r="AB58" s="20">
        <v>21</v>
      </c>
      <c r="AC58" s="20">
        <v>1</v>
      </c>
      <c r="AD58" s="20">
        <v>5</v>
      </c>
      <c r="AE58" s="20">
        <v>1</v>
      </c>
      <c r="AF58" s="20">
        <v>1</v>
      </c>
      <c r="AG58" s="20">
        <v>1</v>
      </c>
      <c r="AH58" s="20">
        <v>1</v>
      </c>
      <c r="AI58" s="20">
        <v>1</v>
      </c>
      <c r="AJ58" s="20">
        <v>1</v>
      </c>
      <c r="AK58" s="20" t="s">
        <v>84</v>
      </c>
      <c r="AL58" s="20">
        <v>514</v>
      </c>
      <c r="AM58" s="180">
        <v>2900</v>
      </c>
      <c r="AN58" s="173">
        <v>3</v>
      </c>
      <c r="AO58" s="174">
        <v>189</v>
      </c>
      <c r="AP58" s="174">
        <v>4.9</v>
      </c>
      <c r="AQ58" s="20"/>
      <c r="AR58" s="20"/>
      <c r="AS58" s="181">
        <v>11645</v>
      </c>
      <c r="AT58" s="20">
        <v>52</v>
      </c>
      <c r="AU58" s="182">
        <f t="shared" si="4"/>
        <v>0.00446543580936024</v>
      </c>
      <c r="AV58" s="20">
        <v>6</v>
      </c>
      <c r="AW58" s="183">
        <f t="shared" si="5"/>
        <v>1.22</v>
      </c>
      <c r="AX58" s="184">
        <f t="shared" si="6"/>
        <v>0.169984727097345</v>
      </c>
      <c r="AY58" s="176">
        <f t="shared" si="7"/>
        <v>0.115384615384615</v>
      </c>
      <c r="AZ58" s="185">
        <f t="shared" si="8"/>
        <v>0.157894736842105</v>
      </c>
      <c r="BA58" s="183">
        <v>63.44</v>
      </c>
      <c r="BB58" s="176">
        <f t="shared" si="40"/>
        <v>0.169984727097345</v>
      </c>
      <c r="BC58" s="179">
        <f t="shared" si="10"/>
        <v>10.5733333333333</v>
      </c>
      <c r="BD58" s="179">
        <v>373.21</v>
      </c>
      <c r="BE58" s="182">
        <v>0</v>
      </c>
      <c r="BF58" s="186">
        <f t="shared" si="11"/>
        <v>21.6066666666667</v>
      </c>
      <c r="BG58" s="186">
        <v>32.18</v>
      </c>
      <c r="BH58" s="187">
        <f t="shared" si="12"/>
        <v>1159.4</v>
      </c>
      <c r="BI58" s="182">
        <f t="shared" si="13"/>
        <v>0.34937050630699</v>
      </c>
      <c r="BJ58" s="179">
        <f t="shared" si="14"/>
        <v>5510</v>
      </c>
      <c r="BK58" s="179"/>
      <c r="BL58" s="179">
        <f t="shared" si="15"/>
        <v>0</v>
      </c>
      <c r="BM58" s="178"/>
      <c r="BN58" s="7"/>
      <c r="BO58" s="20"/>
      <c r="BP58" s="182"/>
      <c r="BQ58" s="182">
        <f t="shared" si="34"/>
        <v>0.157894736842105</v>
      </c>
      <c r="BR58" s="182">
        <f t="shared" si="16"/>
        <v>0.842105263157895</v>
      </c>
      <c r="BS58" s="182">
        <f t="shared" si="17"/>
        <v>0.203921568627451</v>
      </c>
      <c r="BT58" s="188">
        <f t="shared" si="18"/>
        <v>52</v>
      </c>
      <c r="BU58" s="20">
        <f t="shared" si="19"/>
        <v>255</v>
      </c>
      <c r="BV58" s="20">
        <f t="shared" si="20"/>
        <v>203</v>
      </c>
      <c r="BW58" s="185">
        <f t="shared" si="21"/>
        <v>0.796078431372549</v>
      </c>
      <c r="BX58" s="182">
        <f t="shared" si="22"/>
        <v>0.842105263157895</v>
      </c>
      <c r="BY58" s="182">
        <f t="shared" si="23"/>
        <v>1</v>
      </c>
      <c r="BZ58" s="182">
        <f t="shared" si="24"/>
        <v>0.842105263157895</v>
      </c>
      <c r="CA58" s="182">
        <f t="shared" si="25"/>
        <v>0.157894736842105</v>
      </c>
      <c r="CB58" s="189">
        <f t="shared" si="41"/>
        <v>0.1875</v>
      </c>
      <c r="CC58" s="190">
        <f t="shared" si="42"/>
        <v>0.149019607843137</v>
      </c>
      <c r="CD58" s="190">
        <f t="shared" si="43"/>
        <v>0.115384615384615</v>
      </c>
      <c r="CE58" s="189">
        <v>0.08</v>
      </c>
      <c r="CF58" s="189">
        <v>0.08</v>
      </c>
      <c r="CG58" s="189">
        <v>0.08</v>
      </c>
      <c r="CH58" s="189">
        <v>0.08</v>
      </c>
      <c r="CI58" s="189">
        <v>0.05</v>
      </c>
      <c r="CJ58" s="189">
        <v>0.06</v>
      </c>
      <c r="CK58" s="189">
        <v>0.04</v>
      </c>
      <c r="CL58" s="191">
        <v>8</v>
      </c>
      <c r="CM58" s="191" t="s">
        <v>84</v>
      </c>
      <c r="CN58" s="191">
        <v>5</v>
      </c>
      <c r="CO58" s="191" t="s">
        <v>84</v>
      </c>
      <c r="CP58" s="191">
        <v>33</v>
      </c>
      <c r="CQ58" s="191">
        <v>8</v>
      </c>
      <c r="CR58" s="191">
        <v>8</v>
      </c>
      <c r="CS58" s="191">
        <v>9</v>
      </c>
      <c r="CT58" s="191">
        <v>6</v>
      </c>
      <c r="CU58" s="191">
        <v>5</v>
      </c>
      <c r="CV58" s="191">
        <v>8</v>
      </c>
      <c r="CW58" s="191">
        <v>8</v>
      </c>
      <c r="CX58" s="191" t="s">
        <v>84</v>
      </c>
      <c r="CY58" s="191" t="s">
        <v>84</v>
      </c>
      <c r="CZ58" s="127"/>
      <c r="DA58" s="127"/>
      <c r="DB58" s="127"/>
      <c r="DC58" s="127"/>
      <c r="DD58" s="196">
        <v>2.9</v>
      </c>
      <c r="DE58" s="196">
        <v>4.02</v>
      </c>
      <c r="DF58" s="196">
        <v>0.47</v>
      </c>
      <c r="DG58" s="196">
        <v>3.41</v>
      </c>
      <c r="DH58" s="127">
        <v>3.86</v>
      </c>
      <c r="DI58" s="196">
        <v>2.72</v>
      </c>
      <c r="DJ58" s="196">
        <v>0.34</v>
      </c>
      <c r="DK58" s="127"/>
      <c r="DL58" s="198">
        <v>0.0023</v>
      </c>
      <c r="DM58" s="198">
        <v>0.0025</v>
      </c>
      <c r="DN58" s="198">
        <v>0.0025</v>
      </c>
      <c r="DO58" s="198">
        <v>0.0025</v>
      </c>
      <c r="DP58" s="127"/>
      <c r="DQ58" s="192">
        <v>0.045</v>
      </c>
      <c r="DR58" s="192">
        <v>0.0508</v>
      </c>
      <c r="DS58" s="192">
        <v>0.0489</v>
      </c>
      <c r="DT58" s="192">
        <v>0.0486</v>
      </c>
      <c r="DU58" s="192">
        <v>0.061</v>
      </c>
      <c r="DV58" s="192">
        <v>0.0628</v>
      </c>
      <c r="DW58" s="127"/>
      <c r="DX58" s="192">
        <v>0.0175</v>
      </c>
      <c r="DY58" s="192">
        <v>0.0205</v>
      </c>
      <c r="DZ58" s="192">
        <v>0.0205</v>
      </c>
      <c r="EA58" s="192">
        <v>0.0205</v>
      </c>
      <c r="EB58" s="192">
        <v>0.031</v>
      </c>
      <c r="EC58" s="192">
        <v>0.0257</v>
      </c>
      <c r="ED58" s="127"/>
      <c r="EE58" s="196">
        <v>0.39</v>
      </c>
      <c r="EF58" s="196">
        <v>0.61</v>
      </c>
      <c r="EG58" s="196">
        <v>0.56</v>
      </c>
      <c r="EH58" s="196">
        <v>0.56</v>
      </c>
      <c r="EI58" s="196">
        <v>0.56</v>
      </c>
      <c r="EJ58" s="127">
        <v>0.55</v>
      </c>
      <c r="EK58" s="127"/>
      <c r="EL58" s="200">
        <f t="shared" ref="EL58:EQ58" si="56">EE58/DQ58</f>
        <v>8.66666666666667</v>
      </c>
      <c r="EM58" s="200">
        <f t="shared" si="56"/>
        <v>12.007874015748</v>
      </c>
      <c r="EN58" s="200">
        <f t="shared" si="56"/>
        <v>11.4519427402863</v>
      </c>
      <c r="EO58" s="200">
        <f t="shared" si="56"/>
        <v>11.522633744856</v>
      </c>
      <c r="EP58" s="200">
        <f t="shared" si="56"/>
        <v>9.18032786885246</v>
      </c>
      <c r="EQ58" s="200">
        <f t="shared" si="56"/>
        <v>8.75796178343949</v>
      </c>
      <c r="ER58" s="127"/>
      <c r="ES58" s="192">
        <v>0.0055</v>
      </c>
      <c r="ET58" s="192">
        <v>0.0065</v>
      </c>
      <c r="EU58" s="192">
        <v>0.008</v>
      </c>
      <c r="EV58" s="192">
        <v>0.0058</v>
      </c>
      <c r="EW58" s="192">
        <v>0.0088</v>
      </c>
      <c r="EX58" s="192">
        <v>0.0065</v>
      </c>
      <c r="EY58" s="127"/>
      <c r="EZ58" s="127">
        <v>0.55</v>
      </c>
      <c r="FA58" s="192">
        <f t="shared" si="26"/>
        <v>0.00446543580936024</v>
      </c>
      <c r="FB58" s="192">
        <v>0.0025</v>
      </c>
      <c r="FC58" s="192">
        <f t="shared" si="27"/>
        <v>0.149019607843137</v>
      </c>
      <c r="FD58" s="192">
        <f t="shared" si="28"/>
        <v>0.115384615384615</v>
      </c>
      <c r="FE58" s="193">
        <f t="shared" si="29"/>
        <v>0.842105263157895</v>
      </c>
      <c r="FF58" s="127"/>
      <c r="FG58" s="127"/>
      <c r="FH58" s="127"/>
      <c r="FI58" s="194">
        <v>0.045</v>
      </c>
      <c r="FJ58" s="194">
        <f t="shared" si="30"/>
        <v>0.149019607843137</v>
      </c>
      <c r="FK58" s="196">
        <v>89.57</v>
      </c>
      <c r="FL58" s="127">
        <f t="shared" si="38"/>
        <v>13.4355</v>
      </c>
      <c r="FM58" s="196">
        <v>5.19</v>
      </c>
      <c r="FN58" s="127">
        <f t="shared" si="31"/>
        <v>63.44</v>
      </c>
      <c r="FO58" s="127"/>
      <c r="FP58" s="127">
        <f t="shared" si="32"/>
        <v>21.6066666666667</v>
      </c>
      <c r="FQ58" s="127">
        <f t="shared" si="33"/>
        <v>1159.4</v>
      </c>
      <c r="FR58" s="196">
        <v>32.18</v>
      </c>
      <c r="FS58" s="127"/>
      <c r="FT58" s="127"/>
      <c r="FU58" s="127"/>
      <c r="FV58" s="127"/>
      <c r="FW58" s="127"/>
      <c r="FX58" s="127"/>
      <c r="FY58" s="127"/>
      <c r="FZ58" s="127"/>
      <c r="GA58" s="127"/>
      <c r="GB58" s="127"/>
      <c r="GC58" s="127"/>
      <c r="GD58" s="127"/>
      <c r="GE58" s="127"/>
      <c r="GF58" s="127"/>
      <c r="GG58" s="127"/>
      <c r="GH58" s="127"/>
      <c r="GI58" s="127"/>
      <c r="GJ58" s="127"/>
      <c r="GK58" s="127"/>
      <c r="GL58" s="127"/>
      <c r="GM58" s="127"/>
      <c r="GN58" s="127"/>
      <c r="GO58" s="127"/>
      <c r="GP58" s="127"/>
      <c r="GQ58" s="127"/>
      <c r="GR58" s="127"/>
      <c r="GS58" s="127"/>
      <c r="GT58" s="127"/>
      <c r="GU58" s="127"/>
      <c r="GV58" s="127"/>
      <c r="GW58" s="127"/>
      <c r="GX58" s="127"/>
      <c r="GY58" s="127"/>
      <c r="GZ58" s="127"/>
    </row>
    <row r="59" spans="1:208">
      <c r="A59" s="172">
        <v>45850</v>
      </c>
      <c r="B59" s="20" t="s">
        <v>369</v>
      </c>
      <c r="C59" s="173" t="s">
        <v>84</v>
      </c>
      <c r="D59" s="174">
        <v>139.99</v>
      </c>
      <c r="E59" s="175">
        <v>89.57</v>
      </c>
      <c r="F59" s="176">
        <v>0.3</v>
      </c>
      <c r="G59" s="176">
        <v>0.15</v>
      </c>
      <c r="H59" s="177">
        <f t="shared" si="54"/>
        <v>83.29405</v>
      </c>
      <c r="I59" s="176">
        <v>0.08</v>
      </c>
      <c r="J59" s="178">
        <v>0.06</v>
      </c>
      <c r="K59" s="20">
        <v>156</v>
      </c>
      <c r="L59" s="20">
        <v>66</v>
      </c>
      <c r="M59" s="20">
        <f t="shared" si="39"/>
        <v>222</v>
      </c>
      <c r="N59" s="176">
        <f t="shared" si="1"/>
        <v>0.135135135135135</v>
      </c>
      <c r="O59" s="179">
        <f t="shared" si="2"/>
        <v>25</v>
      </c>
      <c r="P59" s="179">
        <f t="shared" si="3"/>
        <v>30</v>
      </c>
      <c r="Q59" s="20">
        <v>30</v>
      </c>
      <c r="R59" s="20">
        <v>30</v>
      </c>
      <c r="S59" s="20">
        <v>0</v>
      </c>
      <c r="T59" s="20">
        <v>0</v>
      </c>
      <c r="U59" s="176">
        <v>0</v>
      </c>
      <c r="V59" s="20">
        <v>0</v>
      </c>
      <c r="W59" s="174">
        <v>2619.9</v>
      </c>
      <c r="X59" s="20">
        <v>3</v>
      </c>
      <c r="Y59" s="20">
        <v>1</v>
      </c>
      <c r="Z59" s="20">
        <v>1</v>
      </c>
      <c r="AA59" s="20" t="s">
        <v>84</v>
      </c>
      <c r="AB59" s="20">
        <v>20</v>
      </c>
      <c r="AC59" s="20">
        <v>1</v>
      </c>
      <c r="AD59" s="20">
        <v>1</v>
      </c>
      <c r="AE59" s="20">
        <v>1</v>
      </c>
      <c r="AF59" s="20">
        <v>1</v>
      </c>
      <c r="AG59" s="20">
        <v>1</v>
      </c>
      <c r="AH59" s="20">
        <v>1</v>
      </c>
      <c r="AI59" s="20">
        <v>1</v>
      </c>
      <c r="AJ59" s="20">
        <v>1</v>
      </c>
      <c r="AK59" s="20" t="s">
        <v>84</v>
      </c>
      <c r="AL59" s="20">
        <v>514</v>
      </c>
      <c r="AM59" s="180">
        <v>3748</v>
      </c>
      <c r="AN59" s="173">
        <v>1</v>
      </c>
      <c r="AO59" s="174">
        <v>189</v>
      </c>
      <c r="AP59" s="174">
        <v>4.9</v>
      </c>
      <c r="AQ59" s="20"/>
      <c r="AR59" s="20"/>
      <c r="AS59" s="181">
        <v>11445</v>
      </c>
      <c r="AT59" s="20">
        <v>51</v>
      </c>
      <c r="AU59" s="182">
        <f t="shared" si="4"/>
        <v>0.00445609436435125</v>
      </c>
      <c r="AV59" s="20">
        <v>5</v>
      </c>
      <c r="AW59" s="183">
        <f t="shared" si="5"/>
        <v>1.44</v>
      </c>
      <c r="AX59" s="184">
        <f t="shared" si="6"/>
        <v>0.196779293159347</v>
      </c>
      <c r="AY59" s="176">
        <f t="shared" si="7"/>
        <v>0.0980392156862745</v>
      </c>
      <c r="AZ59" s="185">
        <f t="shared" si="8"/>
        <v>0.166666666666667</v>
      </c>
      <c r="BA59" s="183">
        <v>73.44</v>
      </c>
      <c r="BB59" s="176">
        <f t="shared" si="40"/>
        <v>0.196779293159347</v>
      </c>
      <c r="BC59" s="179">
        <f t="shared" si="10"/>
        <v>14.688</v>
      </c>
      <c r="BD59" s="179">
        <v>373.21</v>
      </c>
      <c r="BE59" s="182">
        <v>0</v>
      </c>
      <c r="BF59" s="186">
        <f t="shared" si="11"/>
        <v>17.492</v>
      </c>
      <c r="BG59" s="186">
        <v>32.18</v>
      </c>
      <c r="BH59" s="187">
        <f t="shared" si="12"/>
        <v>891.96</v>
      </c>
      <c r="BI59" s="182">
        <f t="shared" si="13"/>
        <v>0.340455742585595</v>
      </c>
      <c r="BJ59" s="179">
        <f t="shared" si="14"/>
        <v>4350</v>
      </c>
      <c r="BK59" s="179"/>
      <c r="BL59" s="179">
        <f t="shared" si="15"/>
        <v>0</v>
      </c>
      <c r="BM59" s="178"/>
      <c r="BN59" s="7"/>
      <c r="BO59" s="20"/>
      <c r="BP59" s="182"/>
      <c r="BQ59" s="182">
        <f t="shared" si="34"/>
        <v>0.166666666666667</v>
      </c>
      <c r="BR59" s="182">
        <f t="shared" si="16"/>
        <v>0.833333333333333</v>
      </c>
      <c r="BS59" s="182">
        <f t="shared" si="17"/>
        <v>0.22972972972973</v>
      </c>
      <c r="BT59" s="188">
        <f t="shared" si="18"/>
        <v>51</v>
      </c>
      <c r="BU59" s="20">
        <f t="shared" si="19"/>
        <v>222</v>
      </c>
      <c r="BV59" s="20">
        <f t="shared" si="20"/>
        <v>171</v>
      </c>
      <c r="BW59" s="185">
        <f t="shared" si="21"/>
        <v>0.77027027027027</v>
      </c>
      <c r="BX59" s="182">
        <f t="shared" si="22"/>
        <v>0.833333333333333</v>
      </c>
      <c r="BY59" s="182">
        <f t="shared" si="23"/>
        <v>1</v>
      </c>
      <c r="BZ59" s="182">
        <f t="shared" si="24"/>
        <v>0.833333333333333</v>
      </c>
      <c r="CA59" s="182">
        <f t="shared" si="25"/>
        <v>0.166666666666667</v>
      </c>
      <c r="CB59" s="189">
        <f t="shared" si="41"/>
        <v>0.2</v>
      </c>
      <c r="CC59" s="190">
        <f t="shared" si="42"/>
        <v>0.135135135135135</v>
      </c>
      <c r="CD59" s="190">
        <f t="shared" si="43"/>
        <v>0.0980392156862745</v>
      </c>
      <c r="CE59" s="189">
        <v>0.08</v>
      </c>
      <c r="CF59" s="189">
        <v>0.08</v>
      </c>
      <c r="CG59" s="189">
        <v>0.08</v>
      </c>
      <c r="CH59" s="189">
        <v>0.08</v>
      </c>
      <c r="CI59" s="189">
        <v>0.05</v>
      </c>
      <c r="CJ59" s="189">
        <v>0.06</v>
      </c>
      <c r="CK59" s="189">
        <v>0.04</v>
      </c>
      <c r="CL59" s="191">
        <v>8</v>
      </c>
      <c r="CM59" s="191" t="s">
        <v>84</v>
      </c>
      <c r="CN59" s="191">
        <v>5</v>
      </c>
      <c r="CO59" s="191" t="s">
        <v>84</v>
      </c>
      <c r="CP59" s="191">
        <v>33</v>
      </c>
      <c r="CQ59" s="191">
        <v>8</v>
      </c>
      <c r="CR59" s="191">
        <v>8</v>
      </c>
      <c r="CS59" s="191">
        <v>9</v>
      </c>
      <c r="CT59" s="191">
        <v>6</v>
      </c>
      <c r="CU59" s="191">
        <v>5</v>
      </c>
      <c r="CV59" s="191">
        <v>8</v>
      </c>
      <c r="CW59" s="191">
        <v>8</v>
      </c>
      <c r="CX59" s="191" t="s">
        <v>84</v>
      </c>
      <c r="CY59" s="191" t="s">
        <v>84</v>
      </c>
      <c r="CZ59" s="127"/>
      <c r="DA59" s="127"/>
      <c r="DB59" s="127"/>
      <c r="DC59" s="127"/>
      <c r="DD59" s="196">
        <v>2.9</v>
      </c>
      <c r="DE59" s="196">
        <v>4.02</v>
      </c>
      <c r="DF59" s="196">
        <v>0.47</v>
      </c>
      <c r="DG59" s="196">
        <v>3.41</v>
      </c>
      <c r="DH59" s="127">
        <v>3.86</v>
      </c>
      <c r="DI59" s="196">
        <v>2.72</v>
      </c>
      <c r="DJ59" s="196">
        <v>0.34</v>
      </c>
      <c r="DK59" s="127"/>
      <c r="DL59" s="198">
        <v>0.0023</v>
      </c>
      <c r="DM59" s="198">
        <v>0.0025</v>
      </c>
      <c r="DN59" s="198">
        <v>0.0025</v>
      </c>
      <c r="DO59" s="198">
        <v>0.0025</v>
      </c>
      <c r="DP59" s="127"/>
      <c r="DQ59" s="192">
        <v>0.045</v>
      </c>
      <c r="DR59" s="192">
        <v>0.0508</v>
      </c>
      <c r="DS59" s="192">
        <v>0.0489</v>
      </c>
      <c r="DT59" s="192">
        <v>0.0486</v>
      </c>
      <c r="DU59" s="192">
        <v>0.061</v>
      </c>
      <c r="DV59" s="192">
        <v>0.0628</v>
      </c>
      <c r="DW59" s="127"/>
      <c r="DX59" s="192">
        <v>0.0175</v>
      </c>
      <c r="DY59" s="192">
        <v>0.0205</v>
      </c>
      <c r="DZ59" s="192">
        <v>0.0205</v>
      </c>
      <c r="EA59" s="192">
        <v>0.0205</v>
      </c>
      <c r="EB59" s="192">
        <v>0.031</v>
      </c>
      <c r="EC59" s="192">
        <v>0.0257</v>
      </c>
      <c r="ED59" s="127"/>
      <c r="EE59" s="196">
        <v>0.39</v>
      </c>
      <c r="EF59" s="196">
        <v>0.61</v>
      </c>
      <c r="EG59" s="196">
        <v>0.56</v>
      </c>
      <c r="EH59" s="196">
        <v>0.56</v>
      </c>
      <c r="EI59" s="196">
        <v>0.56</v>
      </c>
      <c r="EJ59" s="127">
        <v>0.55</v>
      </c>
      <c r="EK59" s="127"/>
      <c r="EL59" s="200">
        <f t="shared" ref="EL59:EQ59" si="57">EE59/DQ59</f>
        <v>8.66666666666667</v>
      </c>
      <c r="EM59" s="200">
        <f t="shared" si="57"/>
        <v>12.007874015748</v>
      </c>
      <c r="EN59" s="200">
        <f t="shared" si="57"/>
        <v>11.4519427402863</v>
      </c>
      <c r="EO59" s="200">
        <f t="shared" si="57"/>
        <v>11.522633744856</v>
      </c>
      <c r="EP59" s="200">
        <f t="shared" si="57"/>
        <v>9.18032786885246</v>
      </c>
      <c r="EQ59" s="200">
        <f t="shared" si="57"/>
        <v>8.75796178343949</v>
      </c>
      <c r="ER59" s="127"/>
      <c r="ES59" s="192">
        <v>0.0055</v>
      </c>
      <c r="ET59" s="192">
        <v>0.0065</v>
      </c>
      <c r="EU59" s="192">
        <v>0.008</v>
      </c>
      <c r="EV59" s="192">
        <v>0.0058</v>
      </c>
      <c r="EW59" s="192">
        <v>0.0088</v>
      </c>
      <c r="EX59" s="192">
        <v>0.0065</v>
      </c>
      <c r="EY59" s="127"/>
      <c r="EZ59" s="127">
        <v>0.55</v>
      </c>
      <c r="FA59" s="192">
        <f t="shared" si="26"/>
        <v>0.00445609436435125</v>
      </c>
      <c r="FB59" s="192">
        <v>0.0025</v>
      </c>
      <c r="FC59" s="192">
        <f t="shared" si="27"/>
        <v>0.135135135135135</v>
      </c>
      <c r="FD59" s="192">
        <f t="shared" si="28"/>
        <v>0.0980392156862745</v>
      </c>
      <c r="FE59" s="193">
        <f t="shared" si="29"/>
        <v>0.833333333333333</v>
      </c>
      <c r="FF59" s="127"/>
      <c r="FG59" s="127"/>
      <c r="FH59" s="127"/>
      <c r="FI59" s="194">
        <v>0.045</v>
      </c>
      <c r="FJ59" s="194">
        <f t="shared" si="30"/>
        <v>0.135135135135135</v>
      </c>
      <c r="FK59" s="196">
        <v>89.57</v>
      </c>
      <c r="FL59" s="127">
        <f t="shared" si="38"/>
        <v>13.4355</v>
      </c>
      <c r="FM59" s="196">
        <v>5.19</v>
      </c>
      <c r="FN59" s="127">
        <f t="shared" si="31"/>
        <v>73.44</v>
      </c>
      <c r="FO59" s="127"/>
      <c r="FP59" s="127">
        <f t="shared" si="32"/>
        <v>17.492</v>
      </c>
      <c r="FQ59" s="127">
        <f t="shared" si="33"/>
        <v>891.96</v>
      </c>
      <c r="FR59" s="196">
        <v>32.18</v>
      </c>
      <c r="FS59" s="127"/>
      <c r="FT59" s="127"/>
      <c r="FU59" s="127"/>
      <c r="FV59" s="127"/>
      <c r="FW59" s="127"/>
      <c r="FX59" s="127"/>
      <c r="FY59" s="127"/>
      <c r="FZ59" s="127"/>
      <c r="GA59" s="127"/>
      <c r="GB59" s="127"/>
      <c r="GC59" s="127"/>
      <c r="GD59" s="127"/>
      <c r="GE59" s="127"/>
      <c r="GF59" s="127"/>
      <c r="GG59" s="127"/>
      <c r="GH59" s="127"/>
      <c r="GI59" s="127"/>
      <c r="GJ59" s="127"/>
      <c r="GK59" s="127"/>
      <c r="GL59" s="127"/>
      <c r="GM59" s="127"/>
      <c r="GN59" s="127"/>
      <c r="GO59" s="127"/>
      <c r="GP59" s="127"/>
      <c r="GQ59" s="127"/>
      <c r="GR59" s="127"/>
      <c r="GS59" s="127"/>
      <c r="GT59" s="127"/>
      <c r="GU59" s="127"/>
      <c r="GV59" s="127"/>
      <c r="GW59" s="127"/>
      <c r="GX59" s="127"/>
      <c r="GY59" s="127"/>
      <c r="GZ59" s="127"/>
    </row>
    <row r="60" spans="1:208">
      <c r="A60" s="172">
        <v>45851</v>
      </c>
      <c r="B60" s="20" t="s">
        <v>371</v>
      </c>
      <c r="C60" s="173" t="s">
        <v>84</v>
      </c>
      <c r="D60" s="174">
        <v>139.99</v>
      </c>
      <c r="E60" s="175">
        <v>89.57</v>
      </c>
      <c r="F60" s="176">
        <v>0.3</v>
      </c>
      <c r="G60" s="176">
        <v>0.15</v>
      </c>
      <c r="H60" s="177">
        <f t="shared" si="54"/>
        <v>83.29405</v>
      </c>
      <c r="I60" s="176">
        <v>0.08</v>
      </c>
      <c r="J60" s="178">
        <v>0.06</v>
      </c>
      <c r="K60" s="20">
        <v>156</v>
      </c>
      <c r="L60" s="20">
        <v>59</v>
      </c>
      <c r="M60" s="20">
        <f t="shared" si="39"/>
        <v>215</v>
      </c>
      <c r="N60" s="176">
        <f t="shared" si="1"/>
        <v>0.144186046511628</v>
      </c>
      <c r="O60" s="179">
        <f t="shared" si="2"/>
        <v>27</v>
      </c>
      <c r="P60" s="179">
        <f t="shared" si="3"/>
        <v>31</v>
      </c>
      <c r="Q60" s="20">
        <v>31</v>
      </c>
      <c r="R60" s="20">
        <v>31</v>
      </c>
      <c r="S60" s="20">
        <v>0</v>
      </c>
      <c r="T60" s="20">
        <v>0</v>
      </c>
      <c r="U60" s="176">
        <v>0</v>
      </c>
      <c r="V60" s="20">
        <v>0</v>
      </c>
      <c r="W60" s="174">
        <v>2707.23</v>
      </c>
      <c r="X60" s="20">
        <v>1</v>
      </c>
      <c r="Y60" s="20">
        <v>1</v>
      </c>
      <c r="Z60" s="20">
        <v>1</v>
      </c>
      <c r="AA60" s="20" t="s">
        <v>84</v>
      </c>
      <c r="AB60" s="20">
        <v>21</v>
      </c>
      <c r="AC60" s="20">
        <v>1</v>
      </c>
      <c r="AD60" s="20">
        <v>1</v>
      </c>
      <c r="AE60" s="20">
        <v>1</v>
      </c>
      <c r="AF60" s="20">
        <v>1</v>
      </c>
      <c r="AG60" s="20">
        <v>1</v>
      </c>
      <c r="AH60" s="20">
        <v>1</v>
      </c>
      <c r="AI60" s="20">
        <v>1</v>
      </c>
      <c r="AJ60" s="20">
        <v>1</v>
      </c>
      <c r="AK60" s="20" t="s">
        <v>84</v>
      </c>
      <c r="AL60" s="20">
        <v>514</v>
      </c>
      <c r="AM60" s="180">
        <v>3748</v>
      </c>
      <c r="AN60" s="173">
        <v>5</v>
      </c>
      <c r="AO60" s="174">
        <v>189</v>
      </c>
      <c r="AP60" s="174">
        <v>4.9</v>
      </c>
      <c r="AQ60" s="20"/>
      <c r="AR60" s="20"/>
      <c r="AS60" s="181">
        <v>11645</v>
      </c>
      <c r="AT60" s="20">
        <v>50</v>
      </c>
      <c r="AU60" s="182">
        <f t="shared" si="4"/>
        <v>0.004293688278231</v>
      </c>
      <c r="AV60" s="20">
        <v>4</v>
      </c>
      <c r="AW60" s="183">
        <f t="shared" si="5"/>
        <v>1.6688</v>
      </c>
      <c r="AX60" s="184">
        <f t="shared" si="6"/>
        <v>0.22357385922135</v>
      </c>
      <c r="AY60" s="176">
        <f t="shared" si="7"/>
        <v>0.08</v>
      </c>
      <c r="AZ60" s="185">
        <f t="shared" si="8"/>
        <v>0.129032258064516</v>
      </c>
      <c r="BA60" s="183">
        <v>83.44</v>
      </c>
      <c r="BB60" s="176">
        <f t="shared" si="40"/>
        <v>0.22357385922135</v>
      </c>
      <c r="BC60" s="179">
        <f t="shared" si="10"/>
        <v>20.86</v>
      </c>
      <c r="BD60" s="179">
        <v>373.21</v>
      </c>
      <c r="BE60" s="182">
        <v>0</v>
      </c>
      <c r="BF60" s="186">
        <f t="shared" si="11"/>
        <v>11.32</v>
      </c>
      <c r="BG60" s="186">
        <v>32.18</v>
      </c>
      <c r="BH60" s="187">
        <f t="shared" si="12"/>
        <v>914.14</v>
      </c>
      <c r="BI60" s="182">
        <f t="shared" si="13"/>
        <v>0.337666175389605</v>
      </c>
      <c r="BJ60" s="179">
        <f t="shared" si="14"/>
        <v>4495</v>
      </c>
      <c r="BK60" s="179"/>
      <c r="BL60" s="179">
        <f t="shared" si="15"/>
        <v>0</v>
      </c>
      <c r="BM60" s="178"/>
      <c r="BN60" s="7"/>
      <c r="BO60" s="20"/>
      <c r="BP60" s="182"/>
      <c r="BQ60" s="182">
        <f t="shared" si="34"/>
        <v>0.129032258064516</v>
      </c>
      <c r="BR60" s="182">
        <f t="shared" si="16"/>
        <v>0.870967741935484</v>
      </c>
      <c r="BS60" s="182">
        <f t="shared" si="17"/>
        <v>0.232558139534884</v>
      </c>
      <c r="BT60" s="188">
        <f t="shared" si="18"/>
        <v>50</v>
      </c>
      <c r="BU60" s="20">
        <f t="shared" si="19"/>
        <v>215</v>
      </c>
      <c r="BV60" s="20">
        <f t="shared" si="20"/>
        <v>165</v>
      </c>
      <c r="BW60" s="185">
        <f t="shared" si="21"/>
        <v>0.767441860465116</v>
      </c>
      <c r="BX60" s="182">
        <f t="shared" si="22"/>
        <v>0.870967741935484</v>
      </c>
      <c r="BY60" s="182">
        <f t="shared" si="23"/>
        <v>1</v>
      </c>
      <c r="BZ60" s="182">
        <f t="shared" si="24"/>
        <v>0.870967741935484</v>
      </c>
      <c r="CA60" s="182">
        <f t="shared" si="25"/>
        <v>0.129032258064516</v>
      </c>
      <c r="CB60" s="189">
        <f t="shared" si="41"/>
        <v>0.148148148148148</v>
      </c>
      <c r="CC60" s="190">
        <f t="shared" si="42"/>
        <v>0.144186046511628</v>
      </c>
      <c r="CD60" s="190">
        <f t="shared" si="43"/>
        <v>0.08</v>
      </c>
      <c r="CE60" s="189">
        <v>0.08</v>
      </c>
      <c r="CF60" s="189">
        <v>0.08</v>
      </c>
      <c r="CG60" s="189">
        <v>0.08</v>
      </c>
      <c r="CH60" s="189">
        <v>0.08</v>
      </c>
      <c r="CI60" s="189">
        <v>0.05</v>
      </c>
      <c r="CJ60" s="189">
        <v>0.06</v>
      </c>
      <c r="CK60" s="189">
        <v>0.04</v>
      </c>
      <c r="CL60" s="191">
        <v>8</v>
      </c>
      <c r="CM60" s="191" t="s">
        <v>84</v>
      </c>
      <c r="CN60" s="191">
        <v>5</v>
      </c>
      <c r="CO60" s="191" t="s">
        <v>84</v>
      </c>
      <c r="CP60" s="191">
        <v>33</v>
      </c>
      <c r="CQ60" s="191">
        <v>8</v>
      </c>
      <c r="CR60" s="191">
        <v>8</v>
      </c>
      <c r="CS60" s="191">
        <v>9</v>
      </c>
      <c r="CT60" s="191">
        <v>6</v>
      </c>
      <c r="CU60" s="191">
        <v>5</v>
      </c>
      <c r="CV60" s="191">
        <v>8</v>
      </c>
      <c r="CW60" s="191">
        <v>8</v>
      </c>
      <c r="CX60" s="191" t="s">
        <v>84</v>
      </c>
      <c r="CY60" s="191" t="s">
        <v>84</v>
      </c>
      <c r="CZ60" s="127"/>
      <c r="DA60" s="127"/>
      <c r="DB60" s="127"/>
      <c r="DC60" s="127"/>
      <c r="DD60" s="196">
        <v>2.9</v>
      </c>
      <c r="DE60" s="196">
        <v>4.02</v>
      </c>
      <c r="DF60" s="196">
        <v>0.47</v>
      </c>
      <c r="DG60" s="196">
        <v>3.41</v>
      </c>
      <c r="DH60" s="127">
        <v>3.86</v>
      </c>
      <c r="DI60" s="196">
        <v>2.72</v>
      </c>
      <c r="DJ60" s="196">
        <v>0.34</v>
      </c>
      <c r="DK60" s="127"/>
      <c r="DL60" s="198">
        <v>0.0023</v>
      </c>
      <c r="DM60" s="198">
        <v>0.0025</v>
      </c>
      <c r="DN60" s="198">
        <v>0.0025</v>
      </c>
      <c r="DO60" s="198">
        <v>0.0025</v>
      </c>
      <c r="DP60" s="127"/>
      <c r="DQ60" s="192">
        <v>0.045</v>
      </c>
      <c r="DR60" s="192">
        <v>0.0508</v>
      </c>
      <c r="DS60" s="192">
        <v>0.0489</v>
      </c>
      <c r="DT60" s="192">
        <v>0.0486</v>
      </c>
      <c r="DU60" s="192">
        <v>0.061</v>
      </c>
      <c r="DV60" s="192">
        <v>0.0628</v>
      </c>
      <c r="DW60" s="127"/>
      <c r="DX60" s="192">
        <v>0.0175</v>
      </c>
      <c r="DY60" s="192">
        <v>0.0205</v>
      </c>
      <c r="DZ60" s="192">
        <v>0.0205</v>
      </c>
      <c r="EA60" s="192">
        <v>0.0205</v>
      </c>
      <c r="EB60" s="192">
        <v>0.031</v>
      </c>
      <c r="EC60" s="192">
        <v>0.0257</v>
      </c>
      <c r="ED60" s="127"/>
      <c r="EE60" s="196">
        <v>0.39</v>
      </c>
      <c r="EF60" s="196">
        <v>0.61</v>
      </c>
      <c r="EG60" s="196">
        <v>0.56</v>
      </c>
      <c r="EH60" s="196">
        <v>0.56</v>
      </c>
      <c r="EI60" s="196">
        <v>0.56</v>
      </c>
      <c r="EJ60" s="127">
        <v>0.55</v>
      </c>
      <c r="EK60" s="127"/>
      <c r="EL60" s="200">
        <f t="shared" ref="EL60:EQ60" si="58">EE60/DQ60</f>
        <v>8.66666666666667</v>
      </c>
      <c r="EM60" s="200">
        <f t="shared" si="58"/>
        <v>12.007874015748</v>
      </c>
      <c r="EN60" s="200">
        <f t="shared" si="58"/>
        <v>11.4519427402863</v>
      </c>
      <c r="EO60" s="200">
        <f t="shared" si="58"/>
        <v>11.522633744856</v>
      </c>
      <c r="EP60" s="200">
        <f t="shared" si="58"/>
        <v>9.18032786885246</v>
      </c>
      <c r="EQ60" s="200">
        <f t="shared" si="58"/>
        <v>8.75796178343949</v>
      </c>
      <c r="ER60" s="127"/>
      <c r="ES60" s="192">
        <v>0.0055</v>
      </c>
      <c r="ET60" s="192">
        <v>0.0065</v>
      </c>
      <c r="EU60" s="192">
        <v>0.008</v>
      </c>
      <c r="EV60" s="192">
        <v>0.0058</v>
      </c>
      <c r="EW60" s="192">
        <v>0.0088</v>
      </c>
      <c r="EX60" s="192">
        <v>0.0065</v>
      </c>
      <c r="EY60" s="127"/>
      <c r="EZ60" s="127">
        <v>0.55</v>
      </c>
      <c r="FA60" s="192">
        <f t="shared" si="26"/>
        <v>0.004293688278231</v>
      </c>
      <c r="FB60" s="192">
        <v>0.0025</v>
      </c>
      <c r="FC60" s="192">
        <f t="shared" si="27"/>
        <v>0.144186046511628</v>
      </c>
      <c r="FD60" s="192">
        <f t="shared" si="28"/>
        <v>0.08</v>
      </c>
      <c r="FE60" s="193">
        <f t="shared" si="29"/>
        <v>0.870967741935484</v>
      </c>
      <c r="FF60" s="127"/>
      <c r="FG60" s="127"/>
      <c r="FH60" s="127"/>
      <c r="FI60" s="194">
        <v>0.045</v>
      </c>
      <c r="FJ60" s="194">
        <f t="shared" si="30"/>
        <v>0.144186046511628</v>
      </c>
      <c r="FK60" s="196">
        <v>89.57</v>
      </c>
      <c r="FL60" s="127">
        <f t="shared" si="38"/>
        <v>13.4355</v>
      </c>
      <c r="FM60" s="196">
        <v>5.19</v>
      </c>
      <c r="FN60" s="127">
        <f t="shared" si="31"/>
        <v>83.44</v>
      </c>
      <c r="FO60" s="127"/>
      <c r="FP60" s="127">
        <f t="shared" si="32"/>
        <v>11.32</v>
      </c>
      <c r="FQ60" s="127">
        <f t="shared" si="33"/>
        <v>914.14</v>
      </c>
      <c r="FR60" s="196">
        <v>32.18</v>
      </c>
      <c r="FS60" s="127"/>
      <c r="FT60" s="127"/>
      <c r="FU60" s="127"/>
      <c r="FV60" s="127"/>
      <c r="FW60" s="127"/>
      <c r="FX60" s="127"/>
      <c r="FY60" s="127"/>
      <c r="FZ60" s="127"/>
      <c r="GA60" s="127"/>
      <c r="GB60" s="127"/>
      <c r="GC60" s="127"/>
      <c r="GD60" s="127"/>
      <c r="GE60" s="127"/>
      <c r="GF60" s="127"/>
      <c r="GG60" s="127"/>
      <c r="GH60" s="127"/>
      <c r="GI60" s="127"/>
      <c r="GJ60" s="127"/>
      <c r="GK60" s="127"/>
      <c r="GL60" s="127"/>
      <c r="GM60" s="127"/>
      <c r="GN60" s="127"/>
      <c r="GO60" s="127"/>
      <c r="GP60" s="127"/>
      <c r="GQ60" s="127"/>
      <c r="GR60" s="127"/>
      <c r="GS60" s="127"/>
      <c r="GT60" s="127"/>
      <c r="GU60" s="127"/>
      <c r="GV60" s="127"/>
      <c r="GW60" s="127"/>
      <c r="GX60" s="127"/>
      <c r="GY60" s="127"/>
      <c r="GZ60" s="127"/>
    </row>
    <row r="61" spans="1:208">
      <c r="A61" s="172">
        <v>45852</v>
      </c>
      <c r="B61" s="20" t="s">
        <v>373</v>
      </c>
      <c r="C61" s="173" t="s">
        <v>84</v>
      </c>
      <c r="D61" s="174">
        <v>139.99</v>
      </c>
      <c r="E61" s="175">
        <v>89.57</v>
      </c>
      <c r="F61" s="176">
        <v>0.3</v>
      </c>
      <c r="G61" s="176">
        <v>0.15</v>
      </c>
      <c r="H61" s="177">
        <f t="shared" si="54"/>
        <v>83.29405</v>
      </c>
      <c r="I61" s="176">
        <v>0.08</v>
      </c>
      <c r="J61" s="178">
        <v>0.06</v>
      </c>
      <c r="K61" s="20">
        <v>189</v>
      </c>
      <c r="L61" s="20">
        <v>52</v>
      </c>
      <c r="M61" s="20">
        <f t="shared" si="39"/>
        <v>241</v>
      </c>
      <c r="N61" s="176">
        <f t="shared" si="1"/>
        <v>0.116182572614108</v>
      </c>
      <c r="O61" s="179">
        <f t="shared" si="2"/>
        <v>25</v>
      </c>
      <c r="P61" s="179">
        <f t="shared" si="3"/>
        <v>28</v>
      </c>
      <c r="Q61" s="20">
        <v>28</v>
      </c>
      <c r="R61" s="20">
        <v>28</v>
      </c>
      <c r="S61" s="20">
        <v>0</v>
      </c>
      <c r="T61" s="20">
        <v>0</v>
      </c>
      <c r="U61" s="176">
        <v>0</v>
      </c>
      <c r="V61" s="20">
        <v>0</v>
      </c>
      <c r="W61" s="174">
        <v>2445.24</v>
      </c>
      <c r="X61" s="20">
        <v>1</v>
      </c>
      <c r="Y61" s="20">
        <v>1</v>
      </c>
      <c r="Z61" s="20">
        <v>1</v>
      </c>
      <c r="AA61" s="20" t="s">
        <v>84</v>
      </c>
      <c r="AB61" s="20">
        <v>20</v>
      </c>
      <c r="AC61" s="20">
        <v>1</v>
      </c>
      <c r="AD61" s="20">
        <v>8</v>
      </c>
      <c r="AE61" s="20">
        <v>1</v>
      </c>
      <c r="AF61" s="20">
        <v>1</v>
      </c>
      <c r="AG61" s="20">
        <v>1</v>
      </c>
      <c r="AH61" s="20">
        <v>1</v>
      </c>
      <c r="AI61" s="20">
        <v>1</v>
      </c>
      <c r="AJ61" s="20">
        <v>1</v>
      </c>
      <c r="AK61" s="20" t="s">
        <v>84</v>
      </c>
      <c r="AL61" s="20">
        <v>514</v>
      </c>
      <c r="AM61" s="180">
        <v>3748</v>
      </c>
      <c r="AN61" s="173">
        <v>2</v>
      </c>
      <c r="AO61" s="174">
        <v>189</v>
      </c>
      <c r="AP61" s="20">
        <v>4.9</v>
      </c>
      <c r="AQ61" s="20"/>
      <c r="AR61" s="20"/>
      <c r="AS61" s="181">
        <v>11045</v>
      </c>
      <c r="AT61" s="20">
        <v>55</v>
      </c>
      <c r="AU61" s="182">
        <f t="shared" si="4"/>
        <v>0.00497962879130828</v>
      </c>
      <c r="AV61" s="20">
        <v>3</v>
      </c>
      <c r="AW61" s="183">
        <f t="shared" si="5"/>
        <v>1.15345454545455</v>
      </c>
      <c r="AX61" s="184">
        <f t="shared" si="6"/>
        <v>0.169984727097345</v>
      </c>
      <c r="AY61" s="176">
        <f t="shared" si="7"/>
        <v>0.0545454545454545</v>
      </c>
      <c r="AZ61" s="185">
        <f t="shared" si="8"/>
        <v>0.107142857142857</v>
      </c>
      <c r="BA61" s="183">
        <v>63.44</v>
      </c>
      <c r="BB61" s="176">
        <f t="shared" si="40"/>
        <v>0.169984727097345</v>
      </c>
      <c r="BC61" s="179">
        <f t="shared" si="10"/>
        <v>21.1466666666667</v>
      </c>
      <c r="BD61" s="179">
        <v>373.21</v>
      </c>
      <c r="BE61" s="182">
        <v>0</v>
      </c>
      <c r="BF61" s="186">
        <f t="shared" si="11"/>
        <v>11.0333333333333</v>
      </c>
      <c r="BG61" s="186">
        <v>32.18</v>
      </c>
      <c r="BH61" s="187">
        <f t="shared" si="12"/>
        <v>837.6</v>
      </c>
      <c r="BI61" s="182">
        <f t="shared" si="13"/>
        <v>0.342543063257594</v>
      </c>
      <c r="BJ61" s="179">
        <f t="shared" si="14"/>
        <v>4060</v>
      </c>
      <c r="BK61" s="179"/>
      <c r="BL61" s="179">
        <f t="shared" si="15"/>
        <v>0</v>
      </c>
      <c r="BM61" s="178"/>
      <c r="BN61" s="7"/>
      <c r="BO61" s="20"/>
      <c r="BP61" s="182"/>
      <c r="BQ61" s="182">
        <f t="shared" si="34"/>
        <v>0.107142857142857</v>
      </c>
      <c r="BR61" s="182">
        <f t="shared" si="16"/>
        <v>0.892857142857143</v>
      </c>
      <c r="BS61" s="182">
        <f t="shared" si="17"/>
        <v>0.228215767634855</v>
      </c>
      <c r="BT61" s="188">
        <f t="shared" si="18"/>
        <v>55</v>
      </c>
      <c r="BU61" s="20">
        <f t="shared" si="19"/>
        <v>241</v>
      </c>
      <c r="BV61" s="20">
        <f t="shared" si="20"/>
        <v>186</v>
      </c>
      <c r="BW61" s="185">
        <f t="shared" si="21"/>
        <v>0.771784232365145</v>
      </c>
      <c r="BX61" s="182">
        <f t="shared" si="22"/>
        <v>0.892857142857143</v>
      </c>
      <c r="BY61" s="182">
        <f t="shared" si="23"/>
        <v>1</v>
      </c>
      <c r="BZ61" s="182">
        <f t="shared" si="24"/>
        <v>0.892857142857143</v>
      </c>
      <c r="CA61" s="182">
        <f t="shared" si="25"/>
        <v>0.107142857142857</v>
      </c>
      <c r="CB61" s="189">
        <f t="shared" si="41"/>
        <v>0.12</v>
      </c>
      <c r="CC61" s="190">
        <f t="shared" si="42"/>
        <v>0.116182572614108</v>
      </c>
      <c r="CD61" s="190">
        <f t="shared" si="43"/>
        <v>0.0545454545454545</v>
      </c>
      <c r="CE61" s="189">
        <v>0.08</v>
      </c>
      <c r="CF61" s="189">
        <v>0.08</v>
      </c>
      <c r="CG61" s="189">
        <v>0.08</v>
      </c>
      <c r="CH61" s="189">
        <v>0.08</v>
      </c>
      <c r="CI61" s="189">
        <v>0.05</v>
      </c>
      <c r="CJ61" s="189">
        <v>0.06</v>
      </c>
      <c r="CK61" s="189">
        <v>0.04</v>
      </c>
      <c r="CL61" s="191">
        <v>8</v>
      </c>
      <c r="CM61" s="191" t="s">
        <v>84</v>
      </c>
      <c r="CN61" s="191">
        <v>5</v>
      </c>
      <c r="CO61" s="191" t="s">
        <v>84</v>
      </c>
      <c r="CP61" s="191">
        <v>33</v>
      </c>
      <c r="CQ61" s="191">
        <v>8</v>
      </c>
      <c r="CR61" s="191">
        <v>8</v>
      </c>
      <c r="CS61" s="191">
        <v>9</v>
      </c>
      <c r="CT61" s="191">
        <v>6</v>
      </c>
      <c r="CU61" s="191">
        <v>5</v>
      </c>
      <c r="CV61" s="191">
        <v>8</v>
      </c>
      <c r="CW61" s="191">
        <v>8</v>
      </c>
      <c r="CX61" s="191" t="s">
        <v>84</v>
      </c>
      <c r="CY61" s="191" t="s">
        <v>84</v>
      </c>
      <c r="CZ61" s="127"/>
      <c r="DA61" s="127"/>
      <c r="DB61" s="127"/>
      <c r="DC61" s="127"/>
      <c r="DD61" s="196">
        <v>2.9</v>
      </c>
      <c r="DE61" s="196">
        <v>4.02</v>
      </c>
      <c r="DF61" s="196">
        <v>0.47</v>
      </c>
      <c r="DG61" s="196">
        <v>3.41</v>
      </c>
      <c r="DH61" s="127">
        <v>3.86</v>
      </c>
      <c r="DI61" s="196">
        <v>2.72</v>
      </c>
      <c r="DJ61" s="196">
        <v>0.34</v>
      </c>
      <c r="DK61" s="127"/>
      <c r="DL61" s="198">
        <v>0.0023</v>
      </c>
      <c r="DM61" s="198">
        <v>0.0025</v>
      </c>
      <c r="DN61" s="198">
        <v>0.0025</v>
      </c>
      <c r="DO61" s="198">
        <v>0.0025</v>
      </c>
      <c r="DP61" s="127"/>
      <c r="DQ61" s="192">
        <v>0.045</v>
      </c>
      <c r="DR61" s="192">
        <v>0.0508</v>
      </c>
      <c r="DS61" s="192">
        <v>0.0489</v>
      </c>
      <c r="DT61" s="192">
        <v>0.0486</v>
      </c>
      <c r="DU61" s="192">
        <v>0.061</v>
      </c>
      <c r="DV61" s="192">
        <v>0.0628</v>
      </c>
      <c r="DW61" s="127"/>
      <c r="DX61" s="192">
        <v>0.0175</v>
      </c>
      <c r="DY61" s="192">
        <v>0.0205</v>
      </c>
      <c r="DZ61" s="192">
        <v>0.0205</v>
      </c>
      <c r="EA61" s="192">
        <v>0.0205</v>
      </c>
      <c r="EB61" s="192">
        <v>0.031</v>
      </c>
      <c r="EC61" s="192">
        <v>0.0257</v>
      </c>
      <c r="ED61" s="127"/>
      <c r="EE61" s="196">
        <v>0.39</v>
      </c>
      <c r="EF61" s="196">
        <v>0.61</v>
      </c>
      <c r="EG61" s="196">
        <v>0.56</v>
      </c>
      <c r="EH61" s="196">
        <v>0.56</v>
      </c>
      <c r="EI61" s="196">
        <v>0.56</v>
      </c>
      <c r="EJ61" s="127">
        <v>0.55</v>
      </c>
      <c r="EK61" s="127"/>
      <c r="EL61" s="200">
        <f t="shared" ref="EL61:EQ61" si="59">EE61/DQ61</f>
        <v>8.66666666666667</v>
      </c>
      <c r="EM61" s="200">
        <f t="shared" si="59"/>
        <v>12.007874015748</v>
      </c>
      <c r="EN61" s="200">
        <f t="shared" si="59"/>
        <v>11.4519427402863</v>
      </c>
      <c r="EO61" s="200">
        <f t="shared" si="59"/>
        <v>11.522633744856</v>
      </c>
      <c r="EP61" s="200">
        <f t="shared" si="59"/>
        <v>9.18032786885246</v>
      </c>
      <c r="EQ61" s="200">
        <f t="shared" si="59"/>
        <v>8.75796178343949</v>
      </c>
      <c r="ER61" s="127"/>
      <c r="ES61" s="192">
        <v>0.0055</v>
      </c>
      <c r="ET61" s="192">
        <v>0.0065</v>
      </c>
      <c r="EU61" s="192">
        <v>0.008</v>
      </c>
      <c r="EV61" s="192">
        <v>0.0058</v>
      </c>
      <c r="EW61" s="192">
        <v>0.0088</v>
      </c>
      <c r="EX61" s="192">
        <v>0.0065</v>
      </c>
      <c r="EY61" s="127"/>
      <c r="EZ61" s="127">
        <v>0.55</v>
      </c>
      <c r="FA61" s="192">
        <f t="shared" si="26"/>
        <v>0.00497962879130828</v>
      </c>
      <c r="FB61" s="192">
        <v>0.0025</v>
      </c>
      <c r="FC61" s="192">
        <f t="shared" si="27"/>
        <v>0.116182572614108</v>
      </c>
      <c r="FD61" s="192">
        <f t="shared" si="28"/>
        <v>0.0545454545454545</v>
      </c>
      <c r="FE61" s="193">
        <f t="shared" si="29"/>
        <v>0.892857142857143</v>
      </c>
      <c r="FF61" s="127"/>
      <c r="FG61" s="127"/>
      <c r="FH61" s="127"/>
      <c r="FI61" s="194">
        <v>0.045</v>
      </c>
      <c r="FJ61" s="194">
        <f t="shared" si="30"/>
        <v>0.116182572614108</v>
      </c>
      <c r="FK61" s="196">
        <v>89.57</v>
      </c>
      <c r="FL61" s="127">
        <f t="shared" si="38"/>
        <v>13.4355</v>
      </c>
      <c r="FM61" s="196">
        <v>5.19</v>
      </c>
      <c r="FN61" s="127">
        <f t="shared" si="31"/>
        <v>63.44</v>
      </c>
      <c r="FO61" s="127"/>
      <c r="FP61" s="127">
        <f t="shared" si="32"/>
        <v>11.0333333333333</v>
      </c>
      <c r="FQ61" s="127">
        <f t="shared" si="33"/>
        <v>837.6</v>
      </c>
      <c r="FR61" s="196">
        <v>32.18</v>
      </c>
      <c r="FS61" s="127"/>
      <c r="FT61" s="127"/>
      <c r="FU61" s="127"/>
      <c r="FV61" s="127"/>
      <c r="FW61" s="127"/>
      <c r="FX61" s="127"/>
      <c r="FY61" s="127"/>
      <c r="FZ61" s="127"/>
      <c r="GA61" s="127"/>
      <c r="GB61" s="127"/>
      <c r="GC61" s="127"/>
      <c r="GD61" s="127"/>
      <c r="GE61" s="127"/>
      <c r="GF61" s="127"/>
      <c r="GG61" s="127"/>
      <c r="GH61" s="127"/>
      <c r="GI61" s="127"/>
      <c r="GJ61" s="127"/>
      <c r="GK61" s="127"/>
      <c r="GL61" s="127"/>
      <c r="GM61" s="127"/>
      <c r="GN61" s="127"/>
      <c r="GO61" s="127"/>
      <c r="GP61" s="127"/>
      <c r="GQ61" s="127"/>
      <c r="GR61" s="127"/>
      <c r="GS61" s="127"/>
      <c r="GT61" s="127"/>
      <c r="GU61" s="127"/>
      <c r="GV61" s="127"/>
      <c r="GW61" s="127"/>
      <c r="GX61" s="127"/>
      <c r="GY61" s="127"/>
      <c r="GZ61" s="127"/>
    </row>
    <row r="62" spans="1:208">
      <c r="A62" s="172">
        <v>45853</v>
      </c>
      <c r="B62" s="20" t="s">
        <v>375</v>
      </c>
      <c r="C62" s="173" t="s">
        <v>84</v>
      </c>
      <c r="D62" s="174">
        <v>139.99</v>
      </c>
      <c r="E62" s="175">
        <v>89.57</v>
      </c>
      <c r="F62" s="176">
        <v>0.3</v>
      </c>
      <c r="G62" s="176">
        <v>0.15</v>
      </c>
      <c r="H62" s="177">
        <f t="shared" si="54"/>
        <v>83.29405</v>
      </c>
      <c r="I62" s="176">
        <v>0.08</v>
      </c>
      <c r="J62" s="178">
        <v>0.06</v>
      </c>
      <c r="K62" s="20">
        <v>188</v>
      </c>
      <c r="L62" s="20">
        <v>55</v>
      </c>
      <c r="M62" s="20">
        <f t="shared" si="39"/>
        <v>243</v>
      </c>
      <c r="N62" s="176">
        <f t="shared" si="1"/>
        <v>0.11522633744856</v>
      </c>
      <c r="O62" s="179">
        <f t="shared" si="2"/>
        <v>25</v>
      </c>
      <c r="P62" s="179">
        <f t="shared" si="3"/>
        <v>28</v>
      </c>
      <c r="Q62" s="20">
        <v>28</v>
      </c>
      <c r="R62" s="20">
        <v>20</v>
      </c>
      <c r="S62" s="20">
        <v>0</v>
      </c>
      <c r="T62" s="20">
        <v>0</v>
      </c>
      <c r="U62" s="176">
        <v>0</v>
      </c>
      <c r="V62" s="20">
        <v>0</v>
      </c>
      <c r="W62" s="174">
        <v>2445.24</v>
      </c>
      <c r="X62" s="20">
        <v>1</v>
      </c>
      <c r="Y62" s="20">
        <v>1</v>
      </c>
      <c r="Z62" s="20">
        <v>1</v>
      </c>
      <c r="AA62" s="20" t="s">
        <v>84</v>
      </c>
      <c r="AB62" s="20">
        <v>20</v>
      </c>
      <c r="AC62" s="20">
        <v>1</v>
      </c>
      <c r="AD62" s="20">
        <v>8</v>
      </c>
      <c r="AE62" s="20">
        <v>1</v>
      </c>
      <c r="AF62" s="20">
        <v>1</v>
      </c>
      <c r="AG62" s="20">
        <v>1</v>
      </c>
      <c r="AH62" s="20">
        <v>1</v>
      </c>
      <c r="AI62" s="20">
        <v>1</v>
      </c>
      <c r="AJ62" s="20">
        <v>1</v>
      </c>
      <c r="AK62" s="20" t="s">
        <v>84</v>
      </c>
      <c r="AL62" s="20">
        <v>514</v>
      </c>
      <c r="AM62" s="180">
        <v>3748</v>
      </c>
      <c r="AN62" s="173">
        <v>2</v>
      </c>
      <c r="AO62" s="174">
        <v>189</v>
      </c>
      <c r="AP62" s="20">
        <v>4.9</v>
      </c>
      <c r="AQ62" s="20"/>
      <c r="AR62" s="20"/>
      <c r="AS62" s="181">
        <v>11045</v>
      </c>
      <c r="AT62" s="20">
        <v>55</v>
      </c>
      <c r="AU62" s="182">
        <f t="shared" si="4"/>
        <v>0.00497962879130828</v>
      </c>
      <c r="AV62" s="20">
        <v>3</v>
      </c>
      <c r="AW62" s="183">
        <f t="shared" si="5"/>
        <v>1.15345454545455</v>
      </c>
      <c r="AX62" s="184">
        <f t="shared" si="6"/>
        <v>0.169984727097345</v>
      </c>
      <c r="AY62" s="176">
        <f t="shared" si="7"/>
        <v>0.0545454545454545</v>
      </c>
      <c r="AZ62" s="185">
        <f t="shared" si="8"/>
        <v>0.107142857142857</v>
      </c>
      <c r="BA62" s="183">
        <v>63.44</v>
      </c>
      <c r="BB62" s="176">
        <f t="shared" si="40"/>
        <v>0.169984727097345</v>
      </c>
      <c r="BC62" s="179">
        <f t="shared" si="10"/>
        <v>21.1466666666667</v>
      </c>
      <c r="BD62" s="179">
        <v>373.21</v>
      </c>
      <c r="BE62" s="182">
        <v>0</v>
      </c>
      <c r="BF62" s="186">
        <f t="shared" si="11"/>
        <v>11.0333333333333</v>
      </c>
      <c r="BG62" s="186">
        <v>32.18</v>
      </c>
      <c r="BH62" s="187">
        <f t="shared" si="12"/>
        <v>837.6</v>
      </c>
      <c r="BI62" s="182">
        <f t="shared" si="13"/>
        <v>0.342543063257594</v>
      </c>
      <c r="BJ62" s="179">
        <f t="shared" si="14"/>
        <v>4060</v>
      </c>
      <c r="BK62" s="179"/>
      <c r="BL62" s="179">
        <f t="shared" si="15"/>
        <v>0</v>
      </c>
      <c r="BM62" s="178"/>
      <c r="BN62" s="7"/>
      <c r="BO62" s="20"/>
      <c r="BP62" s="182"/>
      <c r="BQ62" s="182">
        <f t="shared" si="34"/>
        <v>0.107142857142857</v>
      </c>
      <c r="BR62" s="182">
        <f t="shared" si="16"/>
        <v>0.892857142857143</v>
      </c>
      <c r="BS62" s="182">
        <f t="shared" si="17"/>
        <v>0.226337448559671</v>
      </c>
      <c r="BT62" s="188">
        <f t="shared" si="18"/>
        <v>55</v>
      </c>
      <c r="BU62" s="20">
        <f t="shared" si="19"/>
        <v>243</v>
      </c>
      <c r="BV62" s="20">
        <f t="shared" si="20"/>
        <v>188</v>
      </c>
      <c r="BW62" s="185">
        <f t="shared" si="21"/>
        <v>0.773662551440329</v>
      </c>
      <c r="BX62" s="182">
        <f t="shared" si="22"/>
        <v>0.892857142857143</v>
      </c>
      <c r="BY62" s="182">
        <f t="shared" si="23"/>
        <v>1</v>
      </c>
      <c r="BZ62" s="182">
        <f t="shared" si="24"/>
        <v>0.892857142857143</v>
      </c>
      <c r="CA62" s="182">
        <f t="shared" si="25"/>
        <v>0.107142857142857</v>
      </c>
      <c r="CB62" s="189">
        <f t="shared" si="41"/>
        <v>0.12</v>
      </c>
      <c r="CC62" s="190">
        <f t="shared" si="42"/>
        <v>0.11522633744856</v>
      </c>
      <c r="CD62" s="190">
        <f t="shared" si="43"/>
        <v>0.0545454545454545</v>
      </c>
      <c r="CE62" s="189">
        <v>0.08</v>
      </c>
      <c r="CF62" s="189">
        <v>0.08</v>
      </c>
      <c r="CG62" s="189">
        <v>0.08</v>
      </c>
      <c r="CH62" s="189">
        <v>0.08</v>
      </c>
      <c r="CI62" s="189">
        <v>0.05</v>
      </c>
      <c r="CJ62" s="189">
        <v>0.06</v>
      </c>
      <c r="CK62" s="189">
        <v>0.04</v>
      </c>
      <c r="CL62" s="191">
        <v>8</v>
      </c>
      <c r="CM62" s="191" t="s">
        <v>84</v>
      </c>
      <c r="CN62" s="191">
        <v>5</v>
      </c>
      <c r="CO62" s="191" t="s">
        <v>84</v>
      </c>
      <c r="CP62" s="191">
        <v>33</v>
      </c>
      <c r="CQ62" s="191">
        <v>8</v>
      </c>
      <c r="CR62" s="191">
        <v>8</v>
      </c>
      <c r="CS62" s="191">
        <v>9</v>
      </c>
      <c r="CT62" s="191">
        <v>6</v>
      </c>
      <c r="CU62" s="191">
        <v>5</v>
      </c>
      <c r="CV62" s="191">
        <v>8</v>
      </c>
      <c r="CW62" s="191">
        <v>8</v>
      </c>
      <c r="CX62" s="191" t="s">
        <v>84</v>
      </c>
      <c r="CY62" s="191" t="s">
        <v>84</v>
      </c>
      <c r="CZ62" s="127"/>
      <c r="DA62" s="127"/>
      <c r="DB62" s="127"/>
      <c r="DC62" s="127"/>
      <c r="DD62" s="196">
        <v>2.9</v>
      </c>
      <c r="DE62" s="196">
        <v>4.02</v>
      </c>
      <c r="DF62" s="196">
        <v>0.47</v>
      </c>
      <c r="DG62" s="196">
        <v>3.41</v>
      </c>
      <c r="DH62" s="127">
        <v>3.86</v>
      </c>
      <c r="DI62" s="196">
        <v>2.72</v>
      </c>
      <c r="DJ62" s="196">
        <v>0.34</v>
      </c>
      <c r="DK62" s="127"/>
      <c r="DL62" s="198">
        <v>0.0023</v>
      </c>
      <c r="DM62" s="198">
        <v>0.0025</v>
      </c>
      <c r="DN62" s="198">
        <v>0.0025</v>
      </c>
      <c r="DO62" s="198">
        <v>0.0025</v>
      </c>
      <c r="DP62" s="127"/>
      <c r="DQ62" s="192">
        <v>0.045</v>
      </c>
      <c r="DR62" s="192">
        <v>0.0508</v>
      </c>
      <c r="DS62" s="192">
        <v>0.0489</v>
      </c>
      <c r="DT62" s="192">
        <v>0.0486</v>
      </c>
      <c r="DU62" s="192">
        <v>0.061</v>
      </c>
      <c r="DV62" s="192">
        <v>0.0628</v>
      </c>
      <c r="DW62" s="127"/>
      <c r="DX62" s="192">
        <v>0.0175</v>
      </c>
      <c r="DY62" s="192">
        <v>0.0205</v>
      </c>
      <c r="DZ62" s="192">
        <v>0.0205</v>
      </c>
      <c r="EA62" s="192">
        <v>0.0205</v>
      </c>
      <c r="EB62" s="192">
        <v>0.031</v>
      </c>
      <c r="EC62" s="192">
        <v>0.0257</v>
      </c>
      <c r="ED62" s="127"/>
      <c r="EE62" s="196">
        <v>0.39</v>
      </c>
      <c r="EF62" s="196">
        <v>0.61</v>
      </c>
      <c r="EG62" s="196">
        <v>0.56</v>
      </c>
      <c r="EH62" s="196">
        <v>0.56</v>
      </c>
      <c r="EI62" s="196">
        <v>0.56</v>
      </c>
      <c r="EJ62" s="127">
        <v>0.55</v>
      </c>
      <c r="EK62" s="127"/>
      <c r="EL62" s="200">
        <f t="shared" ref="EL62:EQ62" si="60">EE62/DQ62</f>
        <v>8.66666666666667</v>
      </c>
      <c r="EM62" s="200">
        <f t="shared" si="60"/>
        <v>12.007874015748</v>
      </c>
      <c r="EN62" s="200">
        <f t="shared" si="60"/>
        <v>11.4519427402863</v>
      </c>
      <c r="EO62" s="200">
        <f t="shared" si="60"/>
        <v>11.522633744856</v>
      </c>
      <c r="EP62" s="200">
        <f t="shared" si="60"/>
        <v>9.18032786885246</v>
      </c>
      <c r="EQ62" s="200">
        <f t="shared" si="60"/>
        <v>8.75796178343949</v>
      </c>
      <c r="ER62" s="127"/>
      <c r="ES62" s="192">
        <v>0.0055</v>
      </c>
      <c r="ET62" s="192">
        <v>0.0065</v>
      </c>
      <c r="EU62" s="192">
        <v>0.008</v>
      </c>
      <c r="EV62" s="192">
        <v>0.0058</v>
      </c>
      <c r="EW62" s="192">
        <v>0.0088</v>
      </c>
      <c r="EX62" s="192">
        <v>0.0065</v>
      </c>
      <c r="EY62" s="127"/>
      <c r="EZ62" s="127">
        <v>0.55</v>
      </c>
      <c r="FA62" s="192">
        <f t="shared" si="26"/>
        <v>0.00497962879130828</v>
      </c>
      <c r="FB62" s="192">
        <v>0.0025</v>
      </c>
      <c r="FC62" s="192">
        <f t="shared" si="27"/>
        <v>0.11522633744856</v>
      </c>
      <c r="FD62" s="192">
        <f t="shared" si="28"/>
        <v>0.0545454545454545</v>
      </c>
      <c r="FE62" s="193">
        <f t="shared" si="29"/>
        <v>0.892857142857143</v>
      </c>
      <c r="FF62" s="127"/>
      <c r="FG62" s="127"/>
      <c r="FH62" s="127"/>
      <c r="FI62" s="194">
        <v>0.045</v>
      </c>
      <c r="FJ62" s="194">
        <f t="shared" si="30"/>
        <v>0.11522633744856</v>
      </c>
      <c r="FK62" s="196">
        <v>89.57</v>
      </c>
      <c r="FL62" s="127">
        <f t="shared" si="38"/>
        <v>13.4355</v>
      </c>
      <c r="FM62" s="196">
        <v>5.19</v>
      </c>
      <c r="FN62" s="127">
        <f t="shared" si="31"/>
        <v>63.44</v>
      </c>
      <c r="FO62" s="127"/>
      <c r="FP62" s="127">
        <f t="shared" si="32"/>
        <v>11.0333333333333</v>
      </c>
      <c r="FQ62" s="127">
        <f t="shared" si="33"/>
        <v>837.6</v>
      </c>
      <c r="FR62" s="196">
        <v>32.18</v>
      </c>
      <c r="FS62" s="127"/>
      <c r="FT62" s="127"/>
      <c r="FU62" s="127"/>
      <c r="FV62" s="127"/>
      <c r="FW62" s="127"/>
      <c r="FX62" s="127"/>
      <c r="FY62" s="127"/>
      <c r="FZ62" s="127"/>
      <c r="GA62" s="127"/>
      <c r="GB62" s="127"/>
      <c r="GC62" s="127"/>
      <c r="GD62" s="127"/>
      <c r="GE62" s="127"/>
      <c r="GF62" s="127"/>
      <c r="GG62" s="127"/>
      <c r="GH62" s="127"/>
      <c r="GI62" s="127"/>
      <c r="GJ62" s="127"/>
      <c r="GK62" s="127"/>
      <c r="GL62" s="127"/>
      <c r="GM62" s="127"/>
      <c r="GN62" s="127"/>
      <c r="GO62" s="127"/>
      <c r="GP62" s="127"/>
      <c r="GQ62" s="127"/>
      <c r="GR62" s="127"/>
      <c r="GS62" s="127"/>
      <c r="GT62" s="127"/>
      <c r="GU62" s="127"/>
      <c r="GV62" s="127"/>
      <c r="GW62" s="127"/>
      <c r="GX62" s="127"/>
      <c r="GY62" s="127"/>
      <c r="GZ62" s="127"/>
    </row>
    <row r="63" spans="1:208">
      <c r="A63" s="172">
        <v>45854</v>
      </c>
      <c r="B63" s="20" t="s">
        <v>377</v>
      </c>
      <c r="C63" s="173" t="s">
        <v>413</v>
      </c>
      <c r="D63" s="174"/>
      <c r="E63" s="175"/>
      <c r="F63" s="20"/>
      <c r="G63" s="176"/>
      <c r="H63" s="175"/>
      <c r="I63" s="176"/>
      <c r="J63" s="178"/>
      <c r="K63" s="174"/>
      <c r="L63" s="174"/>
      <c r="M63" s="20"/>
      <c r="N63" s="176"/>
      <c r="O63" s="179"/>
      <c r="P63" s="179"/>
      <c r="Q63" s="174"/>
      <c r="R63" s="20"/>
      <c r="S63" s="20"/>
      <c r="T63" s="20"/>
      <c r="U63" s="176"/>
      <c r="V63" s="20"/>
      <c r="W63" s="178"/>
      <c r="X63" s="20"/>
      <c r="Y63" s="20"/>
      <c r="Z63" s="20"/>
      <c r="AA63" s="20"/>
      <c r="AB63" s="20"/>
      <c r="AC63" s="20"/>
      <c r="AD63" s="20"/>
      <c r="AE63" s="20"/>
      <c r="AF63" s="20"/>
      <c r="AG63" s="20"/>
      <c r="AH63" s="20"/>
      <c r="AI63" s="20"/>
      <c r="AJ63" s="20"/>
      <c r="AK63" s="20"/>
      <c r="AL63" s="20"/>
      <c r="AM63" s="180"/>
      <c r="AN63" s="173"/>
      <c r="AO63" s="20"/>
      <c r="AP63" s="20"/>
      <c r="AQ63" s="20"/>
      <c r="AR63" s="20"/>
      <c r="AS63" s="181"/>
      <c r="AT63" s="20"/>
      <c r="AU63" s="182"/>
      <c r="AV63" s="20"/>
      <c r="AW63" s="183"/>
      <c r="AX63" s="184"/>
      <c r="AY63" s="176"/>
      <c r="AZ63" s="182"/>
      <c r="BA63" s="183"/>
      <c r="BB63" s="176"/>
      <c r="BC63" s="179"/>
      <c r="BD63" s="179"/>
      <c r="BE63" s="182"/>
      <c r="BF63" s="186"/>
      <c r="BG63" s="186"/>
      <c r="BH63" s="187"/>
      <c r="BI63" s="182"/>
      <c r="BJ63" s="179"/>
      <c r="BK63" s="179"/>
      <c r="BL63" s="179"/>
      <c r="BM63" s="178"/>
      <c r="BN63" s="178"/>
      <c r="BO63" s="20"/>
      <c r="BP63" s="182"/>
      <c r="BQ63" s="182"/>
      <c r="BR63" s="182"/>
      <c r="BS63" s="182"/>
      <c r="BT63" s="20"/>
      <c r="BU63" s="20"/>
      <c r="BV63" s="20"/>
      <c r="BW63" s="185"/>
      <c r="BX63" s="182"/>
      <c r="BY63" s="182"/>
      <c r="BZ63" s="182"/>
      <c r="CA63" s="182"/>
      <c r="CB63" s="201"/>
      <c r="CC63" s="190"/>
      <c r="CD63" s="192"/>
      <c r="CE63" s="127"/>
      <c r="CF63" s="127"/>
      <c r="CG63" s="127"/>
      <c r="CH63" s="127"/>
      <c r="CI63" s="127"/>
      <c r="CJ63" s="127"/>
      <c r="CK63" s="127"/>
      <c r="CL63" s="127"/>
      <c r="CM63" s="127"/>
      <c r="CN63" s="127"/>
      <c r="CO63" s="127"/>
      <c r="CP63" s="127"/>
      <c r="CQ63" s="127"/>
      <c r="CR63" s="127"/>
      <c r="CS63" s="127"/>
      <c r="CT63" s="127"/>
      <c r="CU63" s="127"/>
      <c r="CV63" s="127"/>
      <c r="CW63" s="127"/>
      <c r="CX63" s="127"/>
      <c r="CY63" s="127"/>
      <c r="CZ63" s="127"/>
      <c r="DA63" s="127"/>
      <c r="DB63" s="127"/>
      <c r="DC63" s="127"/>
      <c r="DD63" s="127"/>
      <c r="DE63" s="127"/>
      <c r="DF63" s="127"/>
      <c r="DG63" s="127"/>
      <c r="DH63" s="127"/>
      <c r="DI63" s="127"/>
      <c r="DJ63" s="127"/>
      <c r="DK63" s="127"/>
      <c r="DL63" s="127"/>
      <c r="DM63" s="127"/>
      <c r="DN63" s="127"/>
      <c r="DO63" s="127"/>
      <c r="DP63" s="127"/>
      <c r="DQ63" s="127"/>
      <c r="DR63" s="127"/>
      <c r="DS63" s="127"/>
      <c r="DT63" s="127"/>
      <c r="DU63" s="127"/>
      <c r="DV63" s="127"/>
      <c r="DW63" s="127"/>
      <c r="DX63" s="127"/>
      <c r="DY63" s="127"/>
      <c r="DZ63" s="127"/>
      <c r="EA63" s="127"/>
      <c r="EB63" s="127"/>
      <c r="EC63" s="127"/>
      <c r="ED63" s="127"/>
      <c r="EE63" s="127"/>
      <c r="EF63" s="127"/>
      <c r="EG63" s="127"/>
      <c r="EH63" s="127"/>
      <c r="EI63" s="127"/>
      <c r="EJ63" s="127"/>
      <c r="EK63" s="127"/>
      <c r="EL63" s="127"/>
      <c r="EM63" s="127"/>
      <c r="EN63" s="127"/>
      <c r="EO63" s="127"/>
      <c r="EP63" s="127"/>
      <c r="EQ63" s="127"/>
      <c r="ER63" s="127"/>
      <c r="ES63" s="127"/>
      <c r="ET63" s="127"/>
      <c r="EU63" s="127"/>
      <c r="EV63" s="127"/>
      <c r="EW63" s="127"/>
      <c r="EX63" s="127"/>
      <c r="EY63" s="127"/>
      <c r="EZ63" s="127"/>
      <c r="FA63" s="192"/>
      <c r="FB63" s="192"/>
      <c r="FC63" s="192"/>
      <c r="FD63" s="192"/>
      <c r="FE63" s="193"/>
      <c r="FF63" s="127"/>
      <c r="FG63" s="127"/>
      <c r="FH63" s="127"/>
      <c r="FI63" s="194"/>
      <c r="FJ63" s="194"/>
      <c r="FK63" s="127"/>
      <c r="FL63" s="127"/>
      <c r="FM63" s="127"/>
      <c r="FN63" s="127"/>
      <c r="FO63" s="127"/>
      <c r="FP63" s="127"/>
      <c r="FQ63" s="127"/>
      <c r="FR63" s="127"/>
      <c r="FS63" s="127"/>
      <c r="FT63" s="127"/>
      <c r="FU63" s="127"/>
      <c r="FV63" s="127"/>
      <c r="FW63" s="127"/>
      <c r="FX63" s="127"/>
      <c r="FY63" s="127"/>
      <c r="FZ63" s="127"/>
      <c r="GA63" s="127"/>
      <c r="GB63" s="127"/>
      <c r="GC63" s="127"/>
      <c r="GD63" s="127"/>
      <c r="GE63" s="127"/>
      <c r="GF63" s="127"/>
      <c r="GG63" s="127"/>
      <c r="GH63" s="127"/>
      <c r="GI63" s="127"/>
      <c r="GJ63" s="127"/>
      <c r="GK63" s="127"/>
      <c r="GL63" s="127"/>
      <c r="GM63" s="127"/>
      <c r="GN63" s="127"/>
      <c r="GO63" s="127"/>
      <c r="GP63" s="127"/>
      <c r="GQ63" s="127"/>
      <c r="GR63" s="127"/>
      <c r="GS63" s="127"/>
      <c r="GT63" s="127"/>
      <c r="GU63" s="127"/>
      <c r="GV63" s="127"/>
      <c r="GW63" s="127"/>
      <c r="GX63" s="127"/>
      <c r="GY63" s="127"/>
      <c r="GZ63" s="127"/>
    </row>
    <row r="64" spans="1:208">
      <c r="A64" s="172">
        <v>45855</v>
      </c>
      <c r="B64" s="20" t="s">
        <v>379</v>
      </c>
      <c r="C64" s="173"/>
      <c r="D64" s="174"/>
      <c r="E64" s="175"/>
      <c r="F64" s="20"/>
      <c r="G64" s="176"/>
      <c r="H64" s="175"/>
      <c r="I64" s="176"/>
      <c r="J64" s="178"/>
      <c r="K64" s="174"/>
      <c r="L64" s="174"/>
      <c r="M64" s="20"/>
      <c r="N64" s="176"/>
      <c r="O64" s="179"/>
      <c r="P64" s="179"/>
      <c r="Q64" s="174"/>
      <c r="R64" s="20"/>
      <c r="S64" s="20"/>
      <c r="T64" s="20"/>
      <c r="U64" s="176"/>
      <c r="V64" s="20"/>
      <c r="W64" s="178"/>
      <c r="X64" s="20"/>
      <c r="Y64" s="20"/>
      <c r="Z64" s="20"/>
      <c r="AA64" s="20"/>
      <c r="AB64" s="20"/>
      <c r="AC64" s="20"/>
      <c r="AD64" s="20"/>
      <c r="AE64" s="20"/>
      <c r="AF64" s="20"/>
      <c r="AG64" s="20"/>
      <c r="AH64" s="20"/>
      <c r="AI64" s="20"/>
      <c r="AJ64" s="20"/>
      <c r="AK64" s="20"/>
      <c r="AL64" s="20"/>
      <c r="AM64" s="180"/>
      <c r="AN64" s="173"/>
      <c r="AO64" s="20"/>
      <c r="AP64" s="20"/>
      <c r="AQ64" s="20"/>
      <c r="AR64" s="20"/>
      <c r="AS64" s="181"/>
      <c r="AT64" s="20"/>
      <c r="AU64" s="182"/>
      <c r="AV64" s="20"/>
      <c r="AW64" s="183"/>
      <c r="AX64" s="184"/>
      <c r="AY64" s="176"/>
      <c r="AZ64" s="182"/>
      <c r="BA64" s="183"/>
      <c r="BB64" s="176"/>
      <c r="BC64" s="179"/>
      <c r="BD64" s="179"/>
      <c r="BE64" s="182"/>
      <c r="BF64" s="186"/>
      <c r="BG64" s="186"/>
      <c r="BH64" s="187"/>
      <c r="BI64" s="182"/>
      <c r="BJ64" s="179"/>
      <c r="BK64" s="179"/>
      <c r="BL64" s="179"/>
      <c r="BM64" s="178"/>
      <c r="BN64" s="178"/>
      <c r="BO64" s="20"/>
      <c r="BP64" s="182"/>
      <c r="BQ64" s="182"/>
      <c r="BR64" s="182"/>
      <c r="BS64" s="182"/>
      <c r="BT64" s="20"/>
      <c r="BU64" s="20"/>
      <c r="BV64" s="20"/>
      <c r="BW64" s="185"/>
      <c r="BX64" s="182"/>
      <c r="BY64" s="182"/>
      <c r="BZ64" s="182"/>
      <c r="CA64" s="182"/>
      <c r="CB64" s="201"/>
      <c r="CC64" s="190"/>
      <c r="CD64" s="192"/>
      <c r="CE64" s="127"/>
      <c r="CF64" s="127"/>
      <c r="CG64" s="127"/>
      <c r="CH64" s="127"/>
      <c r="CI64" s="127"/>
      <c r="CJ64" s="127"/>
      <c r="CK64" s="127"/>
      <c r="CL64" s="127"/>
      <c r="CM64" s="127"/>
      <c r="CN64" s="127"/>
      <c r="CO64" s="127"/>
      <c r="CP64" s="127"/>
      <c r="CQ64" s="127"/>
      <c r="CR64" s="127"/>
      <c r="CS64" s="127"/>
      <c r="CT64" s="127"/>
      <c r="CU64" s="127"/>
      <c r="CV64" s="127"/>
      <c r="CW64" s="127"/>
      <c r="CX64" s="127"/>
      <c r="CY64" s="127"/>
      <c r="CZ64" s="127"/>
      <c r="DA64" s="127"/>
      <c r="DB64" s="127"/>
      <c r="DC64" s="127"/>
      <c r="DD64" s="127"/>
      <c r="DE64" s="127"/>
      <c r="DF64" s="127"/>
      <c r="DG64" s="127"/>
      <c r="DH64" s="127"/>
      <c r="DI64" s="127"/>
      <c r="DJ64" s="127"/>
      <c r="DK64" s="127"/>
      <c r="DL64" s="127"/>
      <c r="DM64" s="127"/>
      <c r="DN64" s="127"/>
      <c r="DO64" s="127"/>
      <c r="DP64" s="127"/>
      <c r="DQ64" s="127"/>
      <c r="DR64" s="127"/>
      <c r="DS64" s="127"/>
      <c r="DT64" s="127"/>
      <c r="DU64" s="127"/>
      <c r="DV64" s="127"/>
      <c r="DW64" s="127"/>
      <c r="DX64" s="127"/>
      <c r="DY64" s="127"/>
      <c r="DZ64" s="127"/>
      <c r="EA64" s="127"/>
      <c r="EB64" s="127"/>
      <c r="EC64" s="127"/>
      <c r="ED64" s="127"/>
      <c r="EE64" s="127"/>
      <c r="EF64" s="127"/>
      <c r="EG64" s="127"/>
      <c r="EH64" s="127"/>
      <c r="EI64" s="127"/>
      <c r="EJ64" s="127"/>
      <c r="EK64" s="127"/>
      <c r="EL64" s="127"/>
      <c r="EM64" s="127"/>
      <c r="EN64" s="127"/>
      <c r="EO64" s="127"/>
      <c r="EP64" s="127"/>
      <c r="EQ64" s="127"/>
      <c r="ER64" s="127"/>
      <c r="ES64" s="127"/>
      <c r="ET64" s="127"/>
      <c r="EU64" s="127"/>
      <c r="EV64" s="127"/>
      <c r="EW64" s="127"/>
      <c r="EX64" s="127"/>
      <c r="EY64" s="127"/>
      <c r="EZ64" s="127"/>
      <c r="FA64" s="192"/>
      <c r="FB64" s="192"/>
      <c r="FC64" s="192"/>
      <c r="FD64" s="192"/>
      <c r="FE64" s="193"/>
      <c r="FF64" s="127"/>
      <c r="FG64" s="127"/>
      <c r="FH64" s="127"/>
      <c r="FI64" s="194"/>
      <c r="FJ64" s="194"/>
      <c r="FK64" s="127"/>
      <c r="FL64" s="127"/>
      <c r="FM64" s="127"/>
      <c r="FN64" s="127"/>
      <c r="FO64" s="127"/>
      <c r="FP64" s="127"/>
      <c r="FQ64" s="127"/>
      <c r="FR64" s="127"/>
      <c r="FS64" s="127"/>
      <c r="FT64" s="127"/>
      <c r="FU64" s="127"/>
      <c r="FV64" s="127"/>
      <c r="FW64" s="127"/>
      <c r="FX64" s="127"/>
      <c r="FY64" s="127"/>
      <c r="FZ64" s="127"/>
      <c r="GA64" s="127"/>
      <c r="GB64" s="127"/>
      <c r="GC64" s="127"/>
      <c r="GD64" s="127"/>
      <c r="GE64" s="127"/>
      <c r="GF64" s="127"/>
      <c r="GG64" s="127"/>
      <c r="GH64" s="127"/>
      <c r="GI64" s="127"/>
      <c r="GJ64" s="127"/>
      <c r="GK64" s="127"/>
      <c r="GL64" s="127"/>
      <c r="GM64" s="127"/>
      <c r="GN64" s="127"/>
      <c r="GO64" s="127"/>
      <c r="GP64" s="127"/>
      <c r="GQ64" s="127"/>
      <c r="GR64" s="127"/>
      <c r="GS64" s="127"/>
      <c r="GT64" s="127"/>
      <c r="GU64" s="127"/>
      <c r="GV64" s="127"/>
      <c r="GW64" s="127"/>
      <c r="GX64" s="127"/>
      <c r="GY64" s="127"/>
      <c r="GZ64" s="127"/>
    </row>
    <row r="65" spans="1:208">
      <c r="A65" s="172">
        <v>45856</v>
      </c>
      <c r="B65" s="20" t="s">
        <v>381</v>
      </c>
      <c r="C65" s="173"/>
      <c r="D65" s="174"/>
      <c r="E65" s="175"/>
      <c r="F65" s="20"/>
      <c r="G65" s="176"/>
      <c r="H65" s="175"/>
      <c r="I65" s="176"/>
      <c r="J65" s="178"/>
      <c r="K65" s="174"/>
      <c r="L65" s="174"/>
      <c r="M65" s="20"/>
      <c r="N65" s="176"/>
      <c r="O65" s="179"/>
      <c r="P65" s="179"/>
      <c r="Q65" s="174"/>
      <c r="R65" s="20"/>
      <c r="S65" s="20"/>
      <c r="T65" s="20"/>
      <c r="U65" s="176"/>
      <c r="V65" s="20"/>
      <c r="W65" s="178"/>
      <c r="X65" s="20"/>
      <c r="Y65" s="20"/>
      <c r="Z65" s="20"/>
      <c r="AA65" s="20"/>
      <c r="AB65" s="20"/>
      <c r="AC65" s="20"/>
      <c r="AD65" s="20"/>
      <c r="AE65" s="20"/>
      <c r="AF65" s="20"/>
      <c r="AG65" s="20"/>
      <c r="AH65" s="20"/>
      <c r="AI65" s="20"/>
      <c r="AJ65" s="20"/>
      <c r="AK65" s="20"/>
      <c r="AL65" s="20"/>
      <c r="AM65" s="180"/>
      <c r="AN65" s="173"/>
      <c r="AO65" s="20"/>
      <c r="AP65" s="20"/>
      <c r="AQ65" s="20"/>
      <c r="AR65" s="20"/>
      <c r="AS65" s="181"/>
      <c r="AT65" s="20"/>
      <c r="AU65" s="182"/>
      <c r="AV65" s="20"/>
      <c r="AW65" s="183"/>
      <c r="AX65" s="184"/>
      <c r="AY65" s="176"/>
      <c r="AZ65" s="182"/>
      <c r="BA65" s="183"/>
      <c r="BB65" s="176"/>
      <c r="BC65" s="179"/>
      <c r="BD65" s="179"/>
      <c r="BE65" s="182"/>
      <c r="BF65" s="186"/>
      <c r="BG65" s="186"/>
      <c r="BH65" s="187"/>
      <c r="BI65" s="182"/>
      <c r="BJ65" s="179"/>
      <c r="BK65" s="179"/>
      <c r="BL65" s="179"/>
      <c r="BM65" s="178"/>
      <c r="BN65" s="178"/>
      <c r="BO65" s="20"/>
      <c r="BP65" s="182"/>
      <c r="BQ65" s="182"/>
      <c r="BR65" s="182"/>
      <c r="BS65" s="182"/>
      <c r="BT65" s="20"/>
      <c r="BU65" s="20"/>
      <c r="BV65" s="20"/>
      <c r="BW65" s="185"/>
      <c r="BX65" s="182"/>
      <c r="BY65" s="182"/>
      <c r="BZ65" s="182"/>
      <c r="CA65" s="182"/>
      <c r="CB65" s="201"/>
      <c r="CC65" s="190"/>
      <c r="CD65" s="192"/>
      <c r="CE65" s="127"/>
      <c r="CF65" s="127"/>
      <c r="CG65" s="127"/>
      <c r="CH65" s="127"/>
      <c r="CI65" s="127"/>
      <c r="CJ65" s="127"/>
      <c r="CK65" s="127"/>
      <c r="CL65" s="127"/>
      <c r="CM65" s="127"/>
      <c r="CN65" s="127"/>
      <c r="CO65" s="127"/>
      <c r="CP65" s="127"/>
      <c r="CQ65" s="127"/>
      <c r="CR65" s="127"/>
      <c r="CS65" s="127"/>
      <c r="CT65" s="127"/>
      <c r="CU65" s="127"/>
      <c r="CV65" s="127"/>
      <c r="CW65" s="127"/>
      <c r="CX65" s="127"/>
      <c r="CY65" s="127"/>
      <c r="CZ65" s="127"/>
      <c r="DA65" s="127"/>
      <c r="DB65" s="127"/>
      <c r="DC65" s="127"/>
      <c r="DD65" s="127"/>
      <c r="DE65" s="127"/>
      <c r="DF65" s="127"/>
      <c r="DG65" s="127"/>
      <c r="DH65" s="127"/>
      <c r="DI65" s="127"/>
      <c r="DJ65" s="127"/>
      <c r="DK65" s="127"/>
      <c r="DL65" s="127"/>
      <c r="DM65" s="127"/>
      <c r="DN65" s="127"/>
      <c r="DO65" s="127"/>
      <c r="DP65" s="127"/>
      <c r="DQ65" s="127"/>
      <c r="DR65" s="127"/>
      <c r="DS65" s="127"/>
      <c r="DT65" s="127"/>
      <c r="DU65" s="127"/>
      <c r="DV65" s="127"/>
      <c r="DW65" s="127"/>
      <c r="DX65" s="127"/>
      <c r="DY65" s="127"/>
      <c r="DZ65" s="127"/>
      <c r="EA65" s="127"/>
      <c r="EB65" s="127"/>
      <c r="EC65" s="127"/>
      <c r="ED65" s="127"/>
      <c r="EE65" s="127"/>
      <c r="EF65" s="127"/>
      <c r="EG65" s="127"/>
      <c r="EH65" s="127"/>
      <c r="EI65" s="127"/>
      <c r="EJ65" s="127"/>
      <c r="EK65" s="127"/>
      <c r="EL65" s="127"/>
      <c r="EM65" s="127"/>
      <c r="EN65" s="127"/>
      <c r="EO65" s="127"/>
      <c r="EP65" s="127"/>
      <c r="EQ65" s="127"/>
      <c r="ER65" s="127"/>
      <c r="ES65" s="127"/>
      <c r="ET65" s="127"/>
      <c r="EU65" s="127"/>
      <c r="EV65" s="127"/>
      <c r="EW65" s="127"/>
      <c r="EX65" s="127"/>
      <c r="EY65" s="127"/>
      <c r="EZ65" s="127"/>
      <c r="FA65" s="192"/>
      <c r="FB65" s="192"/>
      <c r="FC65" s="192"/>
      <c r="FD65" s="192"/>
      <c r="FE65" s="193"/>
      <c r="FF65" s="127"/>
      <c r="FG65" s="127"/>
      <c r="FH65" s="127"/>
      <c r="FI65" s="194"/>
      <c r="FJ65" s="194"/>
      <c r="FK65" s="127"/>
      <c r="FL65" s="127"/>
      <c r="FM65" s="127"/>
      <c r="FN65" s="127"/>
      <c r="FO65" s="127"/>
      <c r="FP65" s="127"/>
      <c r="FQ65" s="127"/>
      <c r="FR65" s="127"/>
      <c r="FS65" s="127"/>
      <c r="FT65" s="127"/>
      <c r="FU65" s="127"/>
      <c r="FV65" s="127"/>
      <c r="FW65" s="127"/>
      <c r="FX65" s="127"/>
      <c r="FY65" s="127"/>
      <c r="FZ65" s="127"/>
      <c r="GA65" s="127"/>
      <c r="GB65" s="127"/>
      <c r="GC65" s="127"/>
      <c r="GD65" s="127"/>
      <c r="GE65" s="127"/>
      <c r="GF65" s="127"/>
      <c r="GG65" s="127"/>
      <c r="GH65" s="127"/>
      <c r="GI65" s="127"/>
      <c r="GJ65" s="127"/>
      <c r="GK65" s="127"/>
      <c r="GL65" s="127"/>
      <c r="GM65" s="127"/>
      <c r="GN65" s="127"/>
      <c r="GO65" s="127"/>
      <c r="GP65" s="127"/>
      <c r="GQ65" s="127"/>
      <c r="GR65" s="127"/>
      <c r="GS65" s="127"/>
      <c r="GT65" s="127"/>
      <c r="GU65" s="127"/>
      <c r="GV65" s="127"/>
      <c r="GW65" s="127"/>
      <c r="GX65" s="127"/>
      <c r="GY65" s="127"/>
      <c r="GZ65" s="127"/>
    </row>
    <row r="66" spans="1:208">
      <c r="A66" s="172">
        <v>45857</v>
      </c>
      <c r="B66" s="20" t="s">
        <v>369</v>
      </c>
      <c r="C66" s="173"/>
      <c r="D66" s="174"/>
      <c r="E66" s="175"/>
      <c r="F66" s="20"/>
      <c r="G66" s="176"/>
      <c r="H66" s="175"/>
      <c r="I66" s="176"/>
      <c r="J66" s="178"/>
      <c r="K66" s="174"/>
      <c r="L66" s="174"/>
      <c r="M66" s="20"/>
      <c r="N66" s="176"/>
      <c r="O66" s="179"/>
      <c r="P66" s="179"/>
      <c r="Q66" s="174"/>
      <c r="R66" s="20"/>
      <c r="S66" s="20"/>
      <c r="T66" s="20"/>
      <c r="U66" s="176"/>
      <c r="V66" s="20"/>
      <c r="W66" s="178"/>
      <c r="X66" s="20"/>
      <c r="Y66" s="20"/>
      <c r="Z66" s="20"/>
      <c r="AA66" s="20"/>
      <c r="AB66" s="20"/>
      <c r="AC66" s="20"/>
      <c r="AD66" s="20"/>
      <c r="AE66" s="20"/>
      <c r="AF66" s="20"/>
      <c r="AG66" s="20"/>
      <c r="AH66" s="20"/>
      <c r="AI66" s="20"/>
      <c r="AJ66" s="20"/>
      <c r="AK66" s="20"/>
      <c r="AL66" s="20"/>
      <c r="AM66" s="180"/>
      <c r="AN66" s="173"/>
      <c r="AO66" s="20"/>
      <c r="AP66" s="20"/>
      <c r="AQ66" s="20"/>
      <c r="AR66" s="20"/>
      <c r="AS66" s="181"/>
      <c r="AT66" s="20"/>
      <c r="AU66" s="182"/>
      <c r="AV66" s="20"/>
      <c r="AW66" s="183"/>
      <c r="AX66" s="184"/>
      <c r="AY66" s="176"/>
      <c r="AZ66" s="182"/>
      <c r="BA66" s="183"/>
      <c r="BB66" s="176"/>
      <c r="BC66" s="179"/>
      <c r="BD66" s="179"/>
      <c r="BE66" s="182"/>
      <c r="BF66" s="186"/>
      <c r="BG66" s="186"/>
      <c r="BH66" s="187"/>
      <c r="BI66" s="182"/>
      <c r="BJ66" s="179"/>
      <c r="BK66" s="179"/>
      <c r="BL66" s="179"/>
      <c r="BM66" s="178"/>
      <c r="BN66" s="178"/>
      <c r="BO66" s="20"/>
      <c r="BP66" s="182"/>
      <c r="BQ66" s="182"/>
      <c r="BR66" s="182"/>
      <c r="BS66" s="182"/>
      <c r="BT66" s="20"/>
      <c r="BU66" s="20"/>
      <c r="BV66" s="20"/>
      <c r="BW66" s="185"/>
      <c r="BX66" s="182"/>
      <c r="BY66" s="182"/>
      <c r="BZ66" s="182"/>
      <c r="CA66" s="182"/>
      <c r="CB66" s="201"/>
      <c r="CC66" s="190"/>
      <c r="CD66" s="192"/>
      <c r="CE66" s="127"/>
      <c r="CF66" s="127"/>
      <c r="CG66" s="127"/>
      <c r="CH66" s="127"/>
      <c r="CI66" s="127"/>
      <c r="CJ66" s="127"/>
      <c r="CK66" s="127"/>
      <c r="CL66" s="127"/>
      <c r="CM66" s="127"/>
      <c r="CN66" s="127"/>
      <c r="CO66" s="127"/>
      <c r="CP66" s="127"/>
      <c r="CQ66" s="127"/>
      <c r="CR66" s="127"/>
      <c r="CS66" s="127"/>
      <c r="CT66" s="127"/>
      <c r="CU66" s="127"/>
      <c r="CV66" s="127"/>
      <c r="CW66" s="127"/>
      <c r="CX66" s="127"/>
      <c r="CY66" s="127"/>
      <c r="CZ66" s="127"/>
      <c r="DA66" s="127"/>
      <c r="DB66" s="127"/>
      <c r="DC66" s="127"/>
      <c r="DD66" s="127"/>
      <c r="DE66" s="127"/>
      <c r="DF66" s="127"/>
      <c r="DG66" s="127"/>
      <c r="DH66" s="127"/>
      <c r="DI66" s="127"/>
      <c r="DJ66" s="127"/>
      <c r="DK66" s="127"/>
      <c r="DL66" s="127"/>
      <c r="DM66" s="127"/>
      <c r="DN66" s="127"/>
      <c r="DO66" s="127"/>
      <c r="DP66" s="127"/>
      <c r="DQ66" s="127"/>
      <c r="DR66" s="127"/>
      <c r="DS66" s="127"/>
      <c r="DT66" s="127"/>
      <c r="DU66" s="127"/>
      <c r="DV66" s="127"/>
      <c r="DW66" s="127"/>
      <c r="DX66" s="127"/>
      <c r="DY66" s="127"/>
      <c r="DZ66" s="127"/>
      <c r="EA66" s="127"/>
      <c r="EB66" s="127"/>
      <c r="EC66" s="127"/>
      <c r="ED66" s="127"/>
      <c r="EE66" s="127"/>
      <c r="EF66" s="127"/>
      <c r="EG66" s="127"/>
      <c r="EH66" s="127"/>
      <c r="EI66" s="127"/>
      <c r="EJ66" s="127"/>
      <c r="EK66" s="127"/>
      <c r="EL66" s="127"/>
      <c r="EM66" s="127"/>
      <c r="EN66" s="127"/>
      <c r="EO66" s="127"/>
      <c r="EP66" s="127"/>
      <c r="EQ66" s="127"/>
      <c r="ER66" s="127"/>
      <c r="ES66" s="127"/>
      <c r="ET66" s="127"/>
      <c r="EU66" s="127"/>
      <c r="EV66" s="127"/>
      <c r="EW66" s="127"/>
      <c r="EX66" s="127"/>
      <c r="EY66" s="127"/>
      <c r="EZ66" s="127"/>
      <c r="FA66" s="192"/>
      <c r="FB66" s="192"/>
      <c r="FC66" s="192"/>
      <c r="FD66" s="192"/>
      <c r="FE66" s="193"/>
      <c r="FF66" s="127"/>
      <c r="FG66" s="127"/>
      <c r="FH66" s="127"/>
      <c r="FI66" s="194"/>
      <c r="FJ66" s="194"/>
      <c r="FK66" s="127"/>
      <c r="FL66" s="127"/>
      <c r="FM66" s="127"/>
      <c r="FN66" s="127"/>
      <c r="FO66" s="127"/>
      <c r="FP66" s="127"/>
      <c r="FQ66" s="127"/>
      <c r="FR66" s="127"/>
      <c r="FS66" s="127"/>
      <c r="FT66" s="127"/>
      <c r="FU66" s="127"/>
      <c r="FV66" s="127"/>
      <c r="FW66" s="127"/>
      <c r="FX66" s="127"/>
      <c r="FY66" s="127"/>
      <c r="FZ66" s="127"/>
      <c r="GA66" s="127"/>
      <c r="GB66" s="127"/>
      <c r="GC66" s="127"/>
      <c r="GD66" s="127"/>
      <c r="GE66" s="127"/>
      <c r="GF66" s="127"/>
      <c r="GG66" s="127"/>
      <c r="GH66" s="127"/>
      <c r="GI66" s="127"/>
      <c r="GJ66" s="127"/>
      <c r="GK66" s="127"/>
      <c r="GL66" s="127"/>
      <c r="GM66" s="127"/>
      <c r="GN66" s="127"/>
      <c r="GO66" s="127"/>
      <c r="GP66" s="127"/>
      <c r="GQ66" s="127"/>
      <c r="GR66" s="127"/>
      <c r="GS66" s="127"/>
      <c r="GT66" s="127"/>
      <c r="GU66" s="127"/>
      <c r="GV66" s="127"/>
      <c r="GW66" s="127"/>
      <c r="GX66" s="127"/>
      <c r="GY66" s="127"/>
      <c r="GZ66" s="127"/>
    </row>
    <row r="67" spans="1:208">
      <c r="A67" s="172">
        <v>45858</v>
      </c>
      <c r="B67" s="20" t="s">
        <v>371</v>
      </c>
      <c r="C67" s="173"/>
      <c r="D67" s="174"/>
      <c r="E67" s="175"/>
      <c r="F67" s="20"/>
      <c r="G67" s="176"/>
      <c r="H67" s="175"/>
      <c r="I67" s="176"/>
      <c r="J67" s="178"/>
      <c r="K67" s="174"/>
      <c r="L67" s="174"/>
      <c r="M67" s="20"/>
      <c r="N67" s="176"/>
      <c r="O67" s="179"/>
      <c r="P67" s="179"/>
      <c r="Q67" s="174"/>
      <c r="R67" s="20"/>
      <c r="S67" s="20"/>
      <c r="T67" s="20"/>
      <c r="U67" s="176"/>
      <c r="V67" s="20"/>
      <c r="W67" s="178"/>
      <c r="X67" s="20"/>
      <c r="Y67" s="20"/>
      <c r="Z67" s="20"/>
      <c r="AA67" s="20"/>
      <c r="AB67" s="20"/>
      <c r="AC67" s="20"/>
      <c r="AD67" s="20"/>
      <c r="AE67" s="20"/>
      <c r="AF67" s="20"/>
      <c r="AG67" s="20"/>
      <c r="AH67" s="20"/>
      <c r="AI67" s="20"/>
      <c r="AJ67" s="20"/>
      <c r="AK67" s="20"/>
      <c r="AL67" s="20"/>
      <c r="AM67" s="180"/>
      <c r="AN67" s="173"/>
      <c r="AO67" s="20"/>
      <c r="AP67" s="20"/>
      <c r="AQ67" s="20"/>
      <c r="AR67" s="20"/>
      <c r="AS67" s="181"/>
      <c r="AT67" s="20"/>
      <c r="AU67" s="182"/>
      <c r="AV67" s="20"/>
      <c r="AW67" s="183"/>
      <c r="AX67" s="184"/>
      <c r="AY67" s="176"/>
      <c r="AZ67" s="182"/>
      <c r="BA67" s="183"/>
      <c r="BB67" s="176"/>
      <c r="BC67" s="179"/>
      <c r="BD67" s="179"/>
      <c r="BE67" s="182"/>
      <c r="BF67" s="186"/>
      <c r="BG67" s="186"/>
      <c r="BH67" s="187"/>
      <c r="BI67" s="182"/>
      <c r="BJ67" s="179"/>
      <c r="BK67" s="179"/>
      <c r="BL67" s="179"/>
      <c r="BM67" s="178"/>
      <c r="BN67" s="178"/>
      <c r="BO67" s="20"/>
      <c r="BP67" s="182"/>
      <c r="BQ67" s="182"/>
      <c r="BR67" s="182"/>
      <c r="BS67" s="182"/>
      <c r="BT67" s="20"/>
      <c r="BU67" s="20"/>
      <c r="BV67" s="20"/>
      <c r="BW67" s="185"/>
      <c r="BX67" s="182"/>
      <c r="BY67" s="182"/>
      <c r="BZ67" s="182"/>
      <c r="CA67" s="182"/>
      <c r="CB67" s="201"/>
      <c r="CC67" s="190"/>
      <c r="CD67" s="192"/>
      <c r="CE67" s="127"/>
      <c r="CF67" s="127"/>
      <c r="CG67" s="127"/>
      <c r="CH67" s="127"/>
      <c r="CI67" s="127"/>
      <c r="CJ67" s="127"/>
      <c r="CK67" s="127"/>
      <c r="CL67" s="127"/>
      <c r="CM67" s="127"/>
      <c r="CN67" s="127"/>
      <c r="CO67" s="127"/>
      <c r="CP67" s="127"/>
      <c r="CQ67" s="127"/>
      <c r="CR67" s="127"/>
      <c r="CS67" s="127"/>
      <c r="CT67" s="127"/>
      <c r="CU67" s="127"/>
      <c r="CV67" s="127"/>
      <c r="CW67" s="127"/>
      <c r="CX67" s="127"/>
      <c r="CY67" s="127"/>
      <c r="CZ67" s="127"/>
      <c r="DA67" s="127"/>
      <c r="DB67" s="127"/>
      <c r="DC67" s="127"/>
      <c r="DD67" s="127"/>
      <c r="DE67" s="127"/>
      <c r="DF67" s="127"/>
      <c r="DG67" s="127"/>
      <c r="DH67" s="127"/>
      <c r="DI67" s="127"/>
      <c r="DJ67" s="127"/>
      <c r="DK67" s="127"/>
      <c r="DL67" s="127"/>
      <c r="DM67" s="127"/>
      <c r="DN67" s="127"/>
      <c r="DO67" s="127"/>
      <c r="DP67" s="127"/>
      <c r="DQ67" s="127"/>
      <c r="DR67" s="127"/>
      <c r="DS67" s="127"/>
      <c r="DT67" s="127"/>
      <c r="DU67" s="127"/>
      <c r="DV67" s="127"/>
      <c r="DW67" s="127"/>
      <c r="DX67" s="127"/>
      <c r="DY67" s="127"/>
      <c r="DZ67" s="127"/>
      <c r="EA67" s="127"/>
      <c r="EB67" s="127"/>
      <c r="EC67" s="127"/>
      <c r="ED67" s="127"/>
      <c r="EE67" s="127"/>
      <c r="EF67" s="127"/>
      <c r="EG67" s="127"/>
      <c r="EH67" s="127"/>
      <c r="EI67" s="127"/>
      <c r="EJ67" s="127"/>
      <c r="EK67" s="127"/>
      <c r="EL67" s="127"/>
      <c r="EM67" s="127"/>
      <c r="EN67" s="127"/>
      <c r="EO67" s="127"/>
      <c r="EP67" s="127"/>
      <c r="EQ67" s="127"/>
      <c r="ER67" s="127"/>
      <c r="ES67" s="127"/>
      <c r="ET67" s="127"/>
      <c r="EU67" s="127"/>
      <c r="EV67" s="127"/>
      <c r="EW67" s="127"/>
      <c r="EX67" s="127"/>
      <c r="EY67" s="127"/>
      <c r="EZ67" s="127"/>
      <c r="FA67" s="192"/>
      <c r="FB67" s="192"/>
      <c r="FC67" s="192"/>
      <c r="FD67" s="192"/>
      <c r="FE67" s="193"/>
      <c r="FF67" s="127"/>
      <c r="FG67" s="127"/>
      <c r="FH67" s="127"/>
      <c r="FI67" s="194"/>
      <c r="FJ67" s="194"/>
      <c r="FK67" s="127"/>
      <c r="FL67" s="127"/>
      <c r="FM67" s="127"/>
      <c r="FN67" s="127"/>
      <c r="FO67" s="127"/>
      <c r="FP67" s="127"/>
      <c r="FQ67" s="127"/>
      <c r="FR67" s="127"/>
      <c r="FS67" s="127"/>
      <c r="FT67" s="127"/>
      <c r="FU67" s="127"/>
      <c r="FV67" s="127"/>
      <c r="FW67" s="127"/>
      <c r="FX67" s="127"/>
      <c r="FY67" s="127"/>
      <c r="FZ67" s="127"/>
      <c r="GA67" s="127"/>
      <c r="GB67" s="127"/>
      <c r="GC67" s="127"/>
      <c r="GD67" s="127"/>
      <c r="GE67" s="127"/>
      <c r="GF67" s="127"/>
      <c r="GG67" s="127"/>
      <c r="GH67" s="127"/>
      <c r="GI67" s="127"/>
      <c r="GJ67" s="127"/>
      <c r="GK67" s="127"/>
      <c r="GL67" s="127"/>
      <c r="GM67" s="127"/>
      <c r="GN67" s="127"/>
      <c r="GO67" s="127"/>
      <c r="GP67" s="127"/>
      <c r="GQ67" s="127"/>
      <c r="GR67" s="127"/>
      <c r="GS67" s="127"/>
      <c r="GT67" s="127"/>
      <c r="GU67" s="127"/>
      <c r="GV67" s="127"/>
      <c r="GW67" s="127"/>
      <c r="GX67" s="127"/>
      <c r="GY67" s="127"/>
      <c r="GZ67" s="127"/>
    </row>
    <row r="68" spans="1:208">
      <c r="A68" s="172">
        <v>45859</v>
      </c>
      <c r="B68" s="20" t="s">
        <v>373</v>
      </c>
      <c r="C68" s="173"/>
      <c r="D68" s="174"/>
      <c r="E68" s="175"/>
      <c r="F68" s="20"/>
      <c r="G68" s="176"/>
      <c r="H68" s="175"/>
      <c r="I68" s="176"/>
      <c r="J68" s="178"/>
      <c r="K68" s="174"/>
      <c r="L68" s="174"/>
      <c r="M68" s="20"/>
      <c r="N68" s="176"/>
      <c r="O68" s="179"/>
      <c r="P68" s="179"/>
      <c r="Q68" s="174"/>
      <c r="R68" s="20"/>
      <c r="S68" s="20"/>
      <c r="T68" s="20"/>
      <c r="U68" s="176"/>
      <c r="V68" s="20"/>
      <c r="W68" s="178"/>
      <c r="X68" s="20"/>
      <c r="Y68" s="20"/>
      <c r="Z68" s="20"/>
      <c r="AA68" s="20"/>
      <c r="AB68" s="20"/>
      <c r="AC68" s="20"/>
      <c r="AD68" s="20"/>
      <c r="AE68" s="20"/>
      <c r="AF68" s="20"/>
      <c r="AG68" s="20"/>
      <c r="AH68" s="20"/>
      <c r="AI68" s="20"/>
      <c r="AJ68" s="20"/>
      <c r="AK68" s="20"/>
      <c r="AL68" s="20"/>
      <c r="AM68" s="180"/>
      <c r="AN68" s="173"/>
      <c r="AO68" s="20"/>
      <c r="AP68" s="20"/>
      <c r="AQ68" s="20"/>
      <c r="AR68" s="20"/>
      <c r="AS68" s="181"/>
      <c r="AT68" s="20"/>
      <c r="AU68" s="182"/>
      <c r="AV68" s="20"/>
      <c r="AW68" s="183"/>
      <c r="AX68" s="184"/>
      <c r="AY68" s="176"/>
      <c r="AZ68" s="182"/>
      <c r="BA68" s="183"/>
      <c r="BB68" s="176"/>
      <c r="BC68" s="179"/>
      <c r="BD68" s="179"/>
      <c r="BE68" s="182"/>
      <c r="BF68" s="186"/>
      <c r="BG68" s="186"/>
      <c r="BH68" s="187"/>
      <c r="BI68" s="182"/>
      <c r="BJ68" s="179"/>
      <c r="BK68" s="179"/>
      <c r="BL68" s="179"/>
      <c r="BM68" s="178"/>
      <c r="BN68" s="178"/>
      <c r="BO68" s="20"/>
      <c r="BP68" s="182"/>
      <c r="BQ68" s="182"/>
      <c r="BR68" s="182"/>
      <c r="BS68" s="182"/>
      <c r="BT68" s="20"/>
      <c r="BU68" s="20"/>
      <c r="BV68" s="20"/>
      <c r="BW68" s="185"/>
      <c r="BX68" s="182"/>
      <c r="BY68" s="182"/>
      <c r="BZ68" s="182"/>
      <c r="CA68" s="182"/>
      <c r="CB68" s="201"/>
      <c r="CC68" s="202"/>
      <c r="CD68" s="203"/>
      <c r="CE68" s="204"/>
      <c r="CF68" s="204"/>
      <c r="CG68" s="204"/>
      <c r="CH68" s="204"/>
      <c r="CI68" s="204"/>
      <c r="CJ68" s="204"/>
      <c r="CK68" s="204"/>
      <c r="CL68" s="204"/>
      <c r="CM68" s="204"/>
      <c r="CN68" s="204"/>
      <c r="CO68" s="204"/>
      <c r="CP68" s="204"/>
      <c r="CQ68" s="204"/>
      <c r="CR68" s="204"/>
      <c r="CS68" s="204"/>
      <c r="CT68" s="204"/>
      <c r="CU68" s="204"/>
      <c r="CV68" s="204"/>
      <c r="CW68" s="204"/>
      <c r="CX68" s="204"/>
      <c r="CY68" s="204"/>
      <c r="CZ68" s="204"/>
      <c r="DA68" s="204"/>
      <c r="DB68" s="204"/>
      <c r="DC68" s="204"/>
      <c r="DD68" s="204"/>
      <c r="DE68" s="204"/>
      <c r="DF68" s="204"/>
      <c r="DG68" s="204"/>
      <c r="DH68" s="204"/>
      <c r="DI68" s="204"/>
      <c r="DJ68" s="204"/>
      <c r="DK68" s="204"/>
      <c r="DL68" s="204"/>
      <c r="DM68" s="204"/>
      <c r="DN68" s="204"/>
      <c r="DO68" s="204"/>
      <c r="DP68" s="204"/>
      <c r="DQ68" s="204"/>
      <c r="DR68" s="204"/>
      <c r="DS68" s="204"/>
      <c r="DT68" s="204"/>
      <c r="DU68" s="204"/>
      <c r="DV68" s="204"/>
      <c r="DW68" s="204"/>
      <c r="DX68" s="204"/>
      <c r="DY68" s="204"/>
      <c r="DZ68" s="204"/>
      <c r="EA68" s="204"/>
      <c r="EB68" s="204"/>
      <c r="EC68" s="204"/>
      <c r="ED68" s="204"/>
      <c r="EE68" s="204"/>
      <c r="EF68" s="204"/>
      <c r="EG68" s="204"/>
      <c r="EH68" s="204"/>
      <c r="EI68" s="204"/>
      <c r="EJ68" s="204"/>
      <c r="EK68" s="204"/>
      <c r="EL68" s="204"/>
      <c r="EM68" s="204"/>
      <c r="EN68" s="204"/>
      <c r="EO68" s="204"/>
      <c r="EP68" s="204"/>
      <c r="EQ68" s="204"/>
      <c r="ER68" s="204"/>
      <c r="ES68" s="204"/>
      <c r="ET68" s="204"/>
      <c r="EU68" s="204"/>
      <c r="EV68" s="204"/>
      <c r="EW68" s="204"/>
      <c r="EX68" s="204"/>
      <c r="EY68" s="204"/>
      <c r="EZ68" s="204"/>
      <c r="FA68" s="203"/>
      <c r="FB68" s="203"/>
      <c r="FC68" s="203"/>
      <c r="FD68" s="203"/>
      <c r="FE68" s="205"/>
      <c r="FF68" s="204"/>
      <c r="FG68" s="204"/>
      <c r="FH68" s="204"/>
      <c r="FI68" s="206"/>
      <c r="FJ68" s="206"/>
      <c r="FK68" s="204"/>
      <c r="FL68" s="204"/>
      <c r="FM68" s="204"/>
      <c r="FN68" s="204"/>
      <c r="FO68" s="204"/>
      <c r="FP68" s="204"/>
      <c r="FQ68" s="204"/>
      <c r="FR68" s="204"/>
      <c r="FS68" s="204"/>
      <c r="FT68" s="204"/>
      <c r="FU68" s="204"/>
      <c r="FV68" s="204"/>
      <c r="FW68" s="204"/>
      <c r="FX68" s="204"/>
      <c r="FY68" s="204"/>
      <c r="FZ68" s="204"/>
      <c r="GA68" s="204"/>
      <c r="GB68" s="204"/>
      <c r="GC68" s="204"/>
      <c r="GD68" s="204"/>
      <c r="GE68" s="204"/>
      <c r="GF68" s="204"/>
      <c r="GG68" s="204"/>
      <c r="GH68" s="204"/>
      <c r="GI68" s="204"/>
      <c r="GJ68" s="204"/>
      <c r="GK68" s="204"/>
      <c r="GL68" s="204"/>
      <c r="GM68" s="204"/>
      <c r="GN68" s="204"/>
      <c r="GO68" s="204"/>
      <c r="GP68" s="204"/>
      <c r="GQ68" s="204"/>
      <c r="GR68" s="204"/>
      <c r="GS68" s="204"/>
      <c r="GT68" s="204"/>
      <c r="GU68" s="204"/>
      <c r="GV68" s="204"/>
      <c r="GW68" s="204"/>
      <c r="GX68" s="204"/>
      <c r="GY68" s="204"/>
      <c r="GZ68" s="204"/>
    </row>
    <row r="69" ht="13.2" spans="1:208">
      <c r="A69" s="172">
        <v>45860</v>
      </c>
      <c r="B69" s="20" t="s">
        <v>375</v>
      </c>
      <c r="C69" s="18"/>
      <c r="D69" s="174"/>
      <c r="E69" s="175"/>
      <c r="F69" s="20"/>
      <c r="G69" s="176"/>
      <c r="H69" s="175"/>
      <c r="I69" s="176"/>
      <c r="J69" s="178"/>
      <c r="K69" s="174"/>
      <c r="L69" s="174"/>
      <c r="M69" s="20"/>
      <c r="N69" s="176"/>
      <c r="O69" s="179"/>
      <c r="P69" s="179"/>
      <c r="Q69" s="174"/>
      <c r="R69" s="20"/>
      <c r="S69" s="20"/>
      <c r="T69" s="20"/>
      <c r="U69" s="176"/>
      <c r="V69" s="20"/>
      <c r="W69" s="178"/>
      <c r="X69" s="20"/>
      <c r="Y69" s="20"/>
      <c r="Z69" s="20"/>
      <c r="AA69" s="20"/>
      <c r="AB69" s="20"/>
      <c r="AC69" s="20"/>
      <c r="AD69" s="20"/>
      <c r="AE69" s="20"/>
      <c r="AF69" s="20"/>
      <c r="AG69" s="20"/>
      <c r="AH69" s="20"/>
      <c r="AI69" s="20"/>
      <c r="AJ69" s="20"/>
      <c r="AK69" s="20"/>
      <c r="AL69" s="20"/>
      <c r="AM69" s="180"/>
      <c r="AN69" s="173"/>
      <c r="AO69" s="20"/>
      <c r="AP69" s="20"/>
      <c r="AQ69" s="20"/>
      <c r="AR69" s="20"/>
      <c r="AS69" s="181"/>
      <c r="AT69" s="20"/>
      <c r="AU69" s="182"/>
      <c r="AV69" s="20"/>
      <c r="AW69" s="183"/>
      <c r="AX69" s="184"/>
      <c r="AY69" s="176"/>
      <c r="AZ69" s="182"/>
      <c r="BA69" s="183"/>
      <c r="BB69" s="176"/>
      <c r="BC69" s="179"/>
      <c r="BD69" s="179"/>
      <c r="BE69" s="182"/>
      <c r="BF69" s="186"/>
      <c r="BG69" s="186"/>
      <c r="BH69" s="187"/>
      <c r="BI69" s="182"/>
      <c r="BJ69" s="179"/>
      <c r="BK69" s="179"/>
      <c r="BL69" s="179"/>
      <c r="BM69" s="178"/>
      <c r="BN69" s="178"/>
      <c r="BO69" s="20"/>
      <c r="BP69" s="182"/>
      <c r="BQ69" s="182"/>
      <c r="BR69" s="182"/>
      <c r="BS69" s="182"/>
      <c r="BT69" s="20"/>
      <c r="BU69" s="20"/>
      <c r="BV69" s="20"/>
      <c r="BW69" s="185"/>
      <c r="BX69" s="182"/>
      <c r="BY69" s="182"/>
      <c r="BZ69" s="182"/>
      <c r="CA69" s="182"/>
      <c r="CB69" s="201"/>
      <c r="CC69" s="202"/>
      <c r="CD69" s="203"/>
      <c r="CE69" s="204"/>
      <c r="CF69" s="204"/>
      <c r="CG69" s="204"/>
      <c r="CH69" s="204"/>
      <c r="CI69" s="204"/>
      <c r="CJ69" s="204"/>
      <c r="CK69" s="204"/>
      <c r="CL69" s="204"/>
      <c r="CM69" s="204"/>
      <c r="CN69" s="204"/>
      <c r="CO69" s="204"/>
      <c r="CP69" s="204"/>
      <c r="CQ69" s="204"/>
      <c r="CR69" s="204"/>
      <c r="CS69" s="204"/>
      <c r="CT69" s="204"/>
      <c r="CU69" s="204"/>
      <c r="CV69" s="204"/>
      <c r="CW69" s="204"/>
      <c r="CX69" s="204"/>
      <c r="CY69" s="204"/>
      <c r="CZ69" s="204"/>
      <c r="DA69" s="204"/>
      <c r="DB69" s="204"/>
      <c r="DC69" s="204"/>
      <c r="DD69" s="204"/>
      <c r="DE69" s="204"/>
      <c r="DF69" s="204"/>
      <c r="DG69" s="204"/>
      <c r="DH69" s="204"/>
      <c r="DI69" s="204"/>
      <c r="DJ69" s="204"/>
      <c r="DK69" s="204"/>
      <c r="DL69" s="204"/>
      <c r="DM69" s="204"/>
      <c r="DN69" s="204"/>
      <c r="DO69" s="204"/>
      <c r="DP69" s="204"/>
      <c r="DQ69" s="204"/>
      <c r="DR69" s="204"/>
      <c r="DS69" s="204"/>
      <c r="DT69" s="204"/>
      <c r="DU69" s="204"/>
      <c r="DV69" s="204"/>
      <c r="DW69" s="204"/>
      <c r="DX69" s="204"/>
      <c r="DY69" s="204"/>
      <c r="DZ69" s="204"/>
      <c r="EA69" s="204"/>
      <c r="EB69" s="204"/>
      <c r="EC69" s="204"/>
      <c r="ED69" s="204"/>
      <c r="EE69" s="204"/>
      <c r="EF69" s="204"/>
      <c r="EG69" s="204"/>
      <c r="EH69" s="204"/>
      <c r="EI69" s="204"/>
      <c r="EJ69" s="204"/>
      <c r="EK69" s="204"/>
      <c r="EL69" s="204"/>
      <c r="EM69" s="204"/>
      <c r="EN69" s="204"/>
      <c r="EO69" s="204"/>
      <c r="EP69" s="204"/>
      <c r="EQ69" s="204"/>
      <c r="ER69" s="204"/>
      <c r="ES69" s="204"/>
      <c r="ET69" s="204"/>
      <c r="EU69" s="204"/>
      <c r="EV69" s="204"/>
      <c r="EW69" s="204"/>
      <c r="EX69" s="204"/>
      <c r="EY69" s="204"/>
      <c r="EZ69" s="204"/>
      <c r="FA69" s="203"/>
      <c r="FB69" s="203"/>
      <c r="FC69" s="203"/>
      <c r="FD69" s="203"/>
      <c r="FE69" s="205"/>
      <c r="FF69" s="204"/>
      <c r="FG69" s="204"/>
      <c r="FH69" s="204"/>
      <c r="FI69" s="206"/>
      <c r="FJ69" s="206"/>
      <c r="FK69" s="204"/>
      <c r="FL69" s="204"/>
      <c r="FM69" s="204"/>
      <c r="FN69" s="204"/>
      <c r="FO69" s="204"/>
      <c r="FP69" s="204"/>
      <c r="FQ69" s="204"/>
      <c r="FR69" s="204"/>
      <c r="FS69" s="204"/>
      <c r="FT69" s="204"/>
      <c r="FU69" s="204"/>
      <c r="FV69" s="204"/>
      <c r="FW69" s="204"/>
      <c r="FX69" s="204"/>
      <c r="FY69" s="204"/>
      <c r="FZ69" s="204"/>
      <c r="GA69" s="204"/>
      <c r="GB69" s="204"/>
      <c r="GC69" s="204"/>
      <c r="GD69" s="204"/>
      <c r="GE69" s="204"/>
      <c r="GF69" s="204"/>
      <c r="GG69" s="204"/>
      <c r="GH69" s="204"/>
      <c r="GI69" s="204"/>
      <c r="GJ69" s="204"/>
      <c r="GK69" s="204"/>
      <c r="GL69" s="204"/>
      <c r="GM69" s="204"/>
      <c r="GN69" s="204"/>
      <c r="GO69" s="204"/>
      <c r="GP69" s="204"/>
      <c r="GQ69" s="204"/>
      <c r="GR69" s="204"/>
      <c r="GS69" s="204"/>
      <c r="GT69" s="204"/>
      <c r="GU69" s="204"/>
      <c r="GV69" s="204"/>
      <c r="GW69" s="204"/>
      <c r="GX69" s="204"/>
      <c r="GY69" s="204"/>
      <c r="GZ69" s="204"/>
    </row>
    <row r="70" ht="13.2" spans="1:208">
      <c r="A70" s="172">
        <v>45861</v>
      </c>
      <c r="B70" s="20" t="s">
        <v>377</v>
      </c>
      <c r="C70" s="18"/>
      <c r="D70" s="174"/>
      <c r="E70" s="175"/>
      <c r="F70" s="20"/>
      <c r="G70" s="176"/>
      <c r="H70" s="175"/>
      <c r="I70" s="176"/>
      <c r="J70" s="178"/>
      <c r="K70" s="174"/>
      <c r="L70" s="174"/>
      <c r="M70" s="20"/>
      <c r="N70" s="176"/>
      <c r="O70" s="179"/>
      <c r="P70" s="179"/>
      <c r="Q70" s="174"/>
      <c r="R70" s="20"/>
      <c r="S70" s="20"/>
      <c r="T70" s="20"/>
      <c r="U70" s="176"/>
      <c r="V70" s="20"/>
      <c r="W70" s="178"/>
      <c r="X70" s="20"/>
      <c r="Y70" s="20"/>
      <c r="Z70" s="20"/>
      <c r="AA70" s="20"/>
      <c r="AB70" s="20"/>
      <c r="AC70" s="20"/>
      <c r="AD70" s="20"/>
      <c r="AE70" s="20"/>
      <c r="AF70" s="20"/>
      <c r="AG70" s="20"/>
      <c r="AH70" s="20"/>
      <c r="AI70" s="20"/>
      <c r="AJ70" s="20"/>
      <c r="AK70" s="20"/>
      <c r="AL70" s="20"/>
      <c r="AM70" s="180"/>
      <c r="AN70" s="173"/>
      <c r="AO70" s="20"/>
      <c r="AP70" s="20"/>
      <c r="AQ70" s="20"/>
      <c r="AR70" s="20"/>
      <c r="AS70" s="181"/>
      <c r="AT70" s="20"/>
      <c r="AU70" s="182"/>
      <c r="AV70" s="20"/>
      <c r="AW70" s="183"/>
      <c r="AX70" s="184"/>
      <c r="AY70" s="176"/>
      <c r="AZ70" s="182"/>
      <c r="BA70" s="183"/>
      <c r="BB70" s="176"/>
      <c r="BC70" s="179"/>
      <c r="BD70" s="179"/>
      <c r="BE70" s="182"/>
      <c r="BF70" s="186"/>
      <c r="BG70" s="186"/>
      <c r="BH70" s="187"/>
      <c r="BI70" s="182"/>
      <c r="BJ70" s="179"/>
      <c r="BK70" s="179"/>
      <c r="BL70" s="179"/>
      <c r="BM70" s="178"/>
      <c r="BN70" s="178"/>
      <c r="BO70" s="20"/>
      <c r="BP70" s="182"/>
      <c r="BQ70" s="182"/>
      <c r="BR70" s="182"/>
      <c r="BS70" s="182"/>
      <c r="BT70" s="20"/>
      <c r="BU70" s="20"/>
      <c r="BV70" s="20"/>
      <c r="BW70" s="185"/>
      <c r="BX70" s="182"/>
      <c r="BY70" s="182"/>
      <c r="BZ70" s="182"/>
      <c r="CA70" s="182"/>
      <c r="CB70" s="201"/>
      <c r="CC70" s="202"/>
      <c r="CD70" s="203"/>
      <c r="CE70" s="204"/>
      <c r="CF70" s="204"/>
      <c r="CG70" s="204"/>
      <c r="CH70" s="204"/>
      <c r="CI70" s="204"/>
      <c r="CJ70" s="204"/>
      <c r="CK70" s="204"/>
      <c r="CL70" s="204"/>
      <c r="CM70" s="204"/>
      <c r="CN70" s="204"/>
      <c r="CO70" s="204"/>
      <c r="CP70" s="204"/>
      <c r="CQ70" s="204"/>
      <c r="CR70" s="204"/>
      <c r="CS70" s="204"/>
      <c r="CT70" s="204"/>
      <c r="CU70" s="204"/>
      <c r="CV70" s="204"/>
      <c r="CW70" s="204"/>
      <c r="CX70" s="204"/>
      <c r="CY70" s="204"/>
      <c r="CZ70" s="204"/>
      <c r="DA70" s="204"/>
      <c r="DB70" s="204"/>
      <c r="DC70" s="204"/>
      <c r="DD70" s="204"/>
      <c r="DE70" s="204"/>
      <c r="DF70" s="204"/>
      <c r="DG70" s="204"/>
      <c r="DH70" s="204"/>
      <c r="DI70" s="204"/>
      <c r="DJ70" s="204"/>
      <c r="DK70" s="204"/>
      <c r="DL70" s="204"/>
      <c r="DM70" s="204"/>
      <c r="DN70" s="204"/>
      <c r="DO70" s="204"/>
      <c r="DP70" s="204"/>
      <c r="DQ70" s="204"/>
      <c r="DR70" s="204"/>
      <c r="DS70" s="204"/>
      <c r="DT70" s="204"/>
      <c r="DU70" s="204"/>
      <c r="DV70" s="204"/>
      <c r="DW70" s="204"/>
      <c r="DX70" s="204"/>
      <c r="DY70" s="204"/>
      <c r="DZ70" s="204"/>
      <c r="EA70" s="204"/>
      <c r="EB70" s="204"/>
      <c r="EC70" s="204"/>
      <c r="ED70" s="204"/>
      <c r="EE70" s="204"/>
      <c r="EF70" s="204"/>
      <c r="EG70" s="204"/>
      <c r="EH70" s="204"/>
      <c r="EI70" s="204"/>
      <c r="EJ70" s="204"/>
      <c r="EK70" s="204"/>
      <c r="EL70" s="204"/>
      <c r="EM70" s="204"/>
      <c r="EN70" s="204"/>
      <c r="EO70" s="204"/>
      <c r="EP70" s="204"/>
      <c r="EQ70" s="204"/>
      <c r="ER70" s="204"/>
      <c r="ES70" s="204"/>
      <c r="ET70" s="204"/>
      <c r="EU70" s="204"/>
      <c r="EV70" s="204"/>
      <c r="EW70" s="204"/>
      <c r="EX70" s="204"/>
      <c r="EY70" s="204"/>
      <c r="EZ70" s="204"/>
      <c r="FA70" s="203"/>
      <c r="FB70" s="203"/>
      <c r="FC70" s="203"/>
      <c r="FD70" s="203"/>
      <c r="FE70" s="205"/>
      <c r="FF70" s="204"/>
      <c r="FG70" s="204"/>
      <c r="FH70" s="204"/>
      <c r="FI70" s="206"/>
      <c r="FJ70" s="206"/>
      <c r="FK70" s="204"/>
      <c r="FL70" s="204"/>
      <c r="FM70" s="204"/>
      <c r="FN70" s="204"/>
      <c r="FO70" s="204"/>
      <c r="FP70" s="204"/>
      <c r="FQ70" s="204"/>
      <c r="FR70" s="204"/>
      <c r="FS70" s="204"/>
      <c r="FT70" s="204"/>
      <c r="FU70" s="204"/>
      <c r="FV70" s="204"/>
      <c r="FW70" s="204"/>
      <c r="FX70" s="204"/>
      <c r="FY70" s="204"/>
      <c r="FZ70" s="204"/>
      <c r="GA70" s="204"/>
      <c r="GB70" s="204"/>
      <c r="GC70" s="204"/>
      <c r="GD70" s="204"/>
      <c r="GE70" s="204"/>
      <c r="GF70" s="204"/>
      <c r="GG70" s="204"/>
      <c r="GH70" s="204"/>
      <c r="GI70" s="204"/>
      <c r="GJ70" s="204"/>
      <c r="GK70" s="204"/>
      <c r="GL70" s="204"/>
      <c r="GM70" s="204"/>
      <c r="GN70" s="204"/>
      <c r="GO70" s="204"/>
      <c r="GP70" s="204"/>
      <c r="GQ70" s="204"/>
      <c r="GR70" s="204"/>
      <c r="GS70" s="204"/>
      <c r="GT70" s="204"/>
      <c r="GU70" s="204"/>
      <c r="GV70" s="204"/>
      <c r="GW70" s="204"/>
      <c r="GX70" s="204"/>
      <c r="GY70" s="204"/>
      <c r="GZ70" s="204"/>
    </row>
    <row r="71" ht="13.2" spans="1:208">
      <c r="A71" s="172">
        <v>45862</v>
      </c>
      <c r="B71" s="20" t="s">
        <v>379</v>
      </c>
      <c r="C71" s="18"/>
      <c r="D71" s="174"/>
      <c r="E71" s="175"/>
      <c r="F71" s="20"/>
      <c r="G71" s="176"/>
      <c r="H71" s="175"/>
      <c r="I71" s="176"/>
      <c r="J71" s="178"/>
      <c r="K71" s="174"/>
      <c r="L71" s="174"/>
      <c r="M71" s="20"/>
      <c r="N71" s="176"/>
      <c r="O71" s="179"/>
      <c r="P71" s="179"/>
      <c r="Q71" s="174"/>
      <c r="R71" s="20"/>
      <c r="S71" s="20"/>
      <c r="T71" s="20"/>
      <c r="U71" s="176"/>
      <c r="V71" s="20"/>
      <c r="W71" s="178"/>
      <c r="X71" s="20"/>
      <c r="Y71" s="20"/>
      <c r="Z71" s="20"/>
      <c r="AA71" s="20"/>
      <c r="AB71" s="20"/>
      <c r="AC71" s="20"/>
      <c r="AD71" s="20"/>
      <c r="AE71" s="20"/>
      <c r="AF71" s="20"/>
      <c r="AG71" s="20"/>
      <c r="AH71" s="20"/>
      <c r="AI71" s="20"/>
      <c r="AJ71" s="20"/>
      <c r="AK71" s="20"/>
      <c r="AL71" s="20"/>
      <c r="AM71" s="180"/>
      <c r="AN71" s="173"/>
      <c r="AO71" s="20"/>
      <c r="AP71" s="20"/>
      <c r="AQ71" s="20"/>
      <c r="AR71" s="20"/>
      <c r="AS71" s="181"/>
      <c r="AT71" s="20"/>
      <c r="AU71" s="182"/>
      <c r="AV71" s="20"/>
      <c r="AW71" s="183"/>
      <c r="AX71" s="184"/>
      <c r="AY71" s="176"/>
      <c r="AZ71" s="182"/>
      <c r="BA71" s="183"/>
      <c r="BB71" s="176"/>
      <c r="BC71" s="179"/>
      <c r="BD71" s="179"/>
      <c r="BE71" s="182"/>
      <c r="BF71" s="186"/>
      <c r="BG71" s="186"/>
      <c r="BH71" s="187"/>
      <c r="BI71" s="182"/>
      <c r="BJ71" s="179"/>
      <c r="BK71" s="179"/>
      <c r="BL71" s="179"/>
      <c r="BM71" s="178"/>
      <c r="BN71" s="178"/>
      <c r="BO71" s="20"/>
      <c r="BP71" s="182"/>
      <c r="BQ71" s="182"/>
      <c r="BR71" s="182"/>
      <c r="BS71" s="182"/>
      <c r="BT71" s="20"/>
      <c r="BU71" s="20"/>
      <c r="BV71" s="20"/>
      <c r="BW71" s="185"/>
      <c r="BX71" s="182"/>
      <c r="BY71" s="182"/>
      <c r="BZ71" s="182"/>
      <c r="CA71" s="182"/>
      <c r="CB71" s="201"/>
      <c r="CC71" s="202"/>
      <c r="CD71" s="203"/>
      <c r="CE71" s="204"/>
      <c r="CF71" s="204"/>
      <c r="CG71" s="204"/>
      <c r="CH71" s="204"/>
      <c r="CI71" s="204"/>
      <c r="CJ71" s="204"/>
      <c r="CK71" s="204"/>
      <c r="CL71" s="204"/>
      <c r="CM71" s="204"/>
      <c r="CN71" s="204"/>
      <c r="CO71" s="204"/>
      <c r="CP71" s="204"/>
      <c r="CQ71" s="204"/>
      <c r="CR71" s="204"/>
      <c r="CS71" s="204"/>
      <c r="CT71" s="204"/>
      <c r="CU71" s="204"/>
      <c r="CV71" s="204"/>
      <c r="CW71" s="204"/>
      <c r="CX71" s="204"/>
      <c r="CY71" s="204"/>
      <c r="CZ71" s="204"/>
      <c r="DA71" s="204"/>
      <c r="DB71" s="204"/>
      <c r="DC71" s="204"/>
      <c r="DD71" s="204"/>
      <c r="DE71" s="204"/>
      <c r="DF71" s="204"/>
      <c r="DG71" s="204"/>
      <c r="DH71" s="204"/>
      <c r="DI71" s="204"/>
      <c r="DJ71" s="204"/>
      <c r="DK71" s="204"/>
      <c r="DL71" s="204"/>
      <c r="DM71" s="204"/>
      <c r="DN71" s="204"/>
      <c r="DO71" s="204"/>
      <c r="DP71" s="204"/>
      <c r="DQ71" s="204"/>
      <c r="DR71" s="204"/>
      <c r="DS71" s="204"/>
      <c r="DT71" s="204"/>
      <c r="DU71" s="204"/>
      <c r="DV71" s="204"/>
      <c r="DW71" s="204"/>
      <c r="DX71" s="204"/>
      <c r="DY71" s="204"/>
      <c r="DZ71" s="204"/>
      <c r="EA71" s="204"/>
      <c r="EB71" s="204"/>
      <c r="EC71" s="204"/>
      <c r="ED71" s="204"/>
      <c r="EE71" s="204"/>
      <c r="EF71" s="204"/>
      <c r="EG71" s="204"/>
      <c r="EH71" s="204"/>
      <c r="EI71" s="204"/>
      <c r="EJ71" s="204"/>
      <c r="EK71" s="204"/>
      <c r="EL71" s="204"/>
      <c r="EM71" s="204"/>
      <c r="EN71" s="204"/>
      <c r="EO71" s="204"/>
      <c r="EP71" s="204"/>
      <c r="EQ71" s="204"/>
      <c r="ER71" s="204"/>
      <c r="ES71" s="204"/>
      <c r="ET71" s="204"/>
      <c r="EU71" s="204"/>
      <c r="EV71" s="204"/>
      <c r="EW71" s="204"/>
      <c r="EX71" s="204"/>
      <c r="EY71" s="204"/>
      <c r="EZ71" s="204"/>
      <c r="FA71" s="203"/>
      <c r="FB71" s="203"/>
      <c r="FC71" s="203"/>
      <c r="FD71" s="203"/>
      <c r="FE71" s="205"/>
      <c r="FF71" s="204"/>
      <c r="FG71" s="204"/>
      <c r="FH71" s="204"/>
      <c r="FI71" s="206"/>
      <c r="FJ71" s="206"/>
      <c r="FK71" s="204"/>
      <c r="FL71" s="204"/>
      <c r="FM71" s="204"/>
      <c r="FN71" s="204"/>
      <c r="FO71" s="204"/>
      <c r="FP71" s="204"/>
      <c r="FQ71" s="204"/>
      <c r="FR71" s="204"/>
      <c r="FS71" s="204"/>
      <c r="FT71" s="204"/>
      <c r="FU71" s="204"/>
      <c r="FV71" s="204"/>
      <c r="FW71" s="204"/>
      <c r="FX71" s="204"/>
      <c r="FY71" s="204"/>
      <c r="FZ71" s="204"/>
      <c r="GA71" s="204"/>
      <c r="GB71" s="204"/>
      <c r="GC71" s="204"/>
      <c r="GD71" s="204"/>
      <c r="GE71" s="204"/>
      <c r="GF71" s="204"/>
      <c r="GG71" s="204"/>
      <c r="GH71" s="204"/>
      <c r="GI71" s="204"/>
      <c r="GJ71" s="204"/>
      <c r="GK71" s="204"/>
      <c r="GL71" s="204"/>
      <c r="GM71" s="204"/>
      <c r="GN71" s="204"/>
      <c r="GO71" s="204"/>
      <c r="GP71" s="204"/>
      <c r="GQ71" s="204"/>
      <c r="GR71" s="204"/>
      <c r="GS71" s="204"/>
      <c r="GT71" s="204"/>
      <c r="GU71" s="204"/>
      <c r="GV71" s="204"/>
      <c r="GW71" s="204"/>
      <c r="GX71" s="204"/>
      <c r="GY71" s="204"/>
      <c r="GZ71" s="204"/>
    </row>
    <row r="72" ht="13.2" spans="1:208">
      <c r="A72" s="172">
        <v>45863</v>
      </c>
      <c r="B72" s="20" t="s">
        <v>381</v>
      </c>
      <c r="C72" s="18"/>
      <c r="D72" s="174"/>
      <c r="E72" s="175"/>
      <c r="F72" s="20"/>
      <c r="G72" s="176"/>
      <c r="H72" s="175"/>
      <c r="I72" s="176"/>
      <c r="J72" s="178"/>
      <c r="K72" s="174"/>
      <c r="L72" s="174"/>
      <c r="M72" s="20"/>
      <c r="N72" s="176"/>
      <c r="O72" s="179"/>
      <c r="P72" s="179"/>
      <c r="Q72" s="174"/>
      <c r="R72" s="20"/>
      <c r="S72" s="20"/>
      <c r="T72" s="20"/>
      <c r="U72" s="176"/>
      <c r="V72" s="20"/>
      <c r="W72" s="178"/>
      <c r="X72" s="20"/>
      <c r="Y72" s="20"/>
      <c r="Z72" s="20"/>
      <c r="AA72" s="20"/>
      <c r="AB72" s="20"/>
      <c r="AC72" s="20"/>
      <c r="AD72" s="20"/>
      <c r="AE72" s="20"/>
      <c r="AF72" s="20"/>
      <c r="AG72" s="20"/>
      <c r="AH72" s="20"/>
      <c r="AI72" s="20"/>
      <c r="AJ72" s="20"/>
      <c r="AK72" s="20"/>
      <c r="AL72" s="20"/>
      <c r="AM72" s="180"/>
      <c r="AN72" s="173"/>
      <c r="AO72" s="20"/>
      <c r="AP72" s="20"/>
      <c r="AQ72" s="20"/>
      <c r="AR72" s="20"/>
      <c r="AS72" s="181"/>
      <c r="AT72" s="20"/>
      <c r="AU72" s="182"/>
      <c r="AV72" s="20"/>
      <c r="AW72" s="183"/>
      <c r="AX72" s="184"/>
      <c r="AY72" s="176"/>
      <c r="AZ72" s="182"/>
      <c r="BA72" s="183"/>
      <c r="BB72" s="176"/>
      <c r="BC72" s="179"/>
      <c r="BD72" s="179"/>
      <c r="BE72" s="182"/>
      <c r="BF72" s="186"/>
      <c r="BG72" s="186"/>
      <c r="BH72" s="187"/>
      <c r="BI72" s="182"/>
      <c r="BJ72" s="179"/>
      <c r="BK72" s="179"/>
      <c r="BL72" s="179"/>
      <c r="BM72" s="178"/>
      <c r="BN72" s="178"/>
      <c r="BO72" s="20"/>
      <c r="BP72" s="182"/>
      <c r="BQ72" s="182"/>
      <c r="BR72" s="182"/>
      <c r="BS72" s="182"/>
      <c r="BT72" s="20"/>
      <c r="BU72" s="20"/>
      <c r="BV72" s="20"/>
      <c r="BW72" s="185"/>
      <c r="BX72" s="182"/>
      <c r="BY72" s="182"/>
      <c r="BZ72" s="182"/>
      <c r="CA72" s="182"/>
      <c r="CB72" s="201"/>
      <c r="CC72" s="202"/>
      <c r="CD72" s="203"/>
      <c r="CE72" s="204"/>
      <c r="CF72" s="204"/>
      <c r="CG72" s="204"/>
      <c r="CH72" s="204"/>
      <c r="CI72" s="204"/>
      <c r="CJ72" s="204"/>
      <c r="CK72" s="204"/>
      <c r="CL72" s="204"/>
      <c r="CM72" s="204"/>
      <c r="CN72" s="204"/>
      <c r="CO72" s="204"/>
      <c r="CP72" s="204"/>
      <c r="CQ72" s="204"/>
      <c r="CR72" s="204"/>
      <c r="CS72" s="204"/>
      <c r="CT72" s="204"/>
      <c r="CU72" s="204"/>
      <c r="CV72" s="204"/>
      <c r="CW72" s="204"/>
      <c r="CX72" s="204"/>
      <c r="CY72" s="204"/>
      <c r="CZ72" s="204"/>
      <c r="DA72" s="204"/>
      <c r="DB72" s="204"/>
      <c r="DC72" s="204"/>
      <c r="DD72" s="204"/>
      <c r="DE72" s="204"/>
      <c r="DF72" s="204"/>
      <c r="DG72" s="204"/>
      <c r="DH72" s="204"/>
      <c r="DI72" s="204"/>
      <c r="DJ72" s="204"/>
      <c r="DK72" s="204"/>
      <c r="DL72" s="204"/>
      <c r="DM72" s="204"/>
      <c r="DN72" s="204"/>
      <c r="DO72" s="204"/>
      <c r="DP72" s="204"/>
      <c r="DQ72" s="204"/>
      <c r="DR72" s="204"/>
      <c r="DS72" s="204"/>
      <c r="DT72" s="204"/>
      <c r="DU72" s="204"/>
      <c r="DV72" s="204"/>
      <c r="DW72" s="204"/>
      <c r="DX72" s="204"/>
      <c r="DY72" s="204"/>
      <c r="DZ72" s="204"/>
      <c r="EA72" s="204"/>
      <c r="EB72" s="204"/>
      <c r="EC72" s="204"/>
      <c r="ED72" s="204"/>
      <c r="EE72" s="204"/>
      <c r="EF72" s="204"/>
      <c r="EG72" s="204"/>
      <c r="EH72" s="204"/>
      <c r="EI72" s="204"/>
      <c r="EJ72" s="204"/>
      <c r="EK72" s="204"/>
      <c r="EL72" s="204"/>
      <c r="EM72" s="204"/>
      <c r="EN72" s="204"/>
      <c r="EO72" s="204"/>
      <c r="EP72" s="204"/>
      <c r="EQ72" s="204"/>
      <c r="ER72" s="204"/>
      <c r="ES72" s="204"/>
      <c r="ET72" s="204"/>
      <c r="EU72" s="204"/>
      <c r="EV72" s="204"/>
      <c r="EW72" s="204"/>
      <c r="EX72" s="204"/>
      <c r="EY72" s="204"/>
      <c r="EZ72" s="204"/>
      <c r="FA72" s="203"/>
      <c r="FB72" s="203"/>
      <c r="FC72" s="203"/>
      <c r="FD72" s="203"/>
      <c r="FE72" s="205"/>
      <c r="FF72" s="204"/>
      <c r="FG72" s="204"/>
      <c r="FH72" s="204"/>
      <c r="FI72" s="206"/>
      <c r="FJ72" s="206"/>
      <c r="FK72" s="204"/>
      <c r="FL72" s="204"/>
      <c r="FM72" s="204"/>
      <c r="FN72" s="204"/>
      <c r="FO72" s="204"/>
      <c r="FP72" s="204"/>
      <c r="FQ72" s="204"/>
      <c r="FR72" s="204"/>
      <c r="FS72" s="204"/>
      <c r="FT72" s="204"/>
      <c r="FU72" s="204"/>
      <c r="FV72" s="204"/>
      <c r="FW72" s="204"/>
      <c r="FX72" s="204"/>
      <c r="FY72" s="204"/>
      <c r="FZ72" s="204"/>
      <c r="GA72" s="204"/>
      <c r="GB72" s="204"/>
      <c r="GC72" s="204"/>
      <c r="GD72" s="204"/>
      <c r="GE72" s="204"/>
      <c r="GF72" s="204"/>
      <c r="GG72" s="204"/>
      <c r="GH72" s="204"/>
      <c r="GI72" s="204"/>
      <c r="GJ72" s="204"/>
      <c r="GK72" s="204"/>
      <c r="GL72" s="204"/>
      <c r="GM72" s="204"/>
      <c r="GN72" s="204"/>
      <c r="GO72" s="204"/>
      <c r="GP72" s="204"/>
      <c r="GQ72" s="204"/>
      <c r="GR72" s="204"/>
      <c r="GS72" s="204"/>
      <c r="GT72" s="204"/>
      <c r="GU72" s="204"/>
      <c r="GV72" s="204"/>
      <c r="GW72" s="204"/>
      <c r="GX72" s="204"/>
      <c r="GY72" s="204"/>
      <c r="GZ72" s="204"/>
    </row>
    <row r="73" ht="13.2" spans="1:208">
      <c r="A73" s="172">
        <v>45864</v>
      </c>
      <c r="B73" s="20" t="s">
        <v>369</v>
      </c>
      <c r="C73" s="18"/>
      <c r="D73" s="174"/>
      <c r="E73" s="175"/>
      <c r="F73" s="20"/>
      <c r="G73" s="176"/>
      <c r="H73" s="175"/>
      <c r="I73" s="176"/>
      <c r="J73" s="178"/>
      <c r="K73" s="174"/>
      <c r="L73" s="174"/>
      <c r="M73" s="20"/>
      <c r="N73" s="176"/>
      <c r="O73" s="179"/>
      <c r="P73" s="179"/>
      <c r="Q73" s="174"/>
      <c r="R73" s="20"/>
      <c r="S73" s="20"/>
      <c r="T73" s="20"/>
      <c r="U73" s="176"/>
      <c r="V73" s="20"/>
      <c r="W73" s="178"/>
      <c r="X73" s="20"/>
      <c r="Y73" s="20"/>
      <c r="Z73" s="20"/>
      <c r="AA73" s="20"/>
      <c r="AB73" s="20"/>
      <c r="AC73" s="20"/>
      <c r="AD73" s="20"/>
      <c r="AE73" s="20"/>
      <c r="AF73" s="20"/>
      <c r="AG73" s="20"/>
      <c r="AH73" s="20"/>
      <c r="AI73" s="20"/>
      <c r="AJ73" s="20"/>
      <c r="AK73" s="20"/>
      <c r="AL73" s="20"/>
      <c r="AM73" s="180"/>
      <c r="AN73" s="173"/>
      <c r="AO73" s="20"/>
      <c r="AP73" s="20"/>
      <c r="AQ73" s="20"/>
      <c r="AR73" s="20"/>
      <c r="AS73" s="181"/>
      <c r="AT73" s="20"/>
      <c r="AU73" s="182"/>
      <c r="AV73" s="20"/>
      <c r="AW73" s="183"/>
      <c r="AX73" s="184"/>
      <c r="AY73" s="176"/>
      <c r="AZ73" s="182"/>
      <c r="BA73" s="183"/>
      <c r="BB73" s="176"/>
      <c r="BC73" s="179"/>
      <c r="BD73" s="179"/>
      <c r="BE73" s="182"/>
      <c r="BF73" s="186"/>
      <c r="BG73" s="186"/>
      <c r="BH73" s="187"/>
      <c r="BI73" s="182"/>
      <c r="BJ73" s="179"/>
      <c r="BK73" s="179"/>
      <c r="BL73" s="179"/>
      <c r="BM73" s="178"/>
      <c r="BN73" s="178"/>
      <c r="BO73" s="20"/>
      <c r="BP73" s="182"/>
      <c r="BQ73" s="182"/>
      <c r="BR73" s="182"/>
      <c r="BS73" s="182"/>
      <c r="BT73" s="20"/>
      <c r="BU73" s="20"/>
      <c r="BV73" s="20"/>
      <c r="BW73" s="185"/>
      <c r="BX73" s="182"/>
      <c r="BY73" s="182"/>
      <c r="BZ73" s="182"/>
      <c r="CA73" s="182"/>
      <c r="CB73" s="201"/>
      <c r="CC73" s="202"/>
      <c r="CD73" s="203"/>
      <c r="CE73" s="204"/>
      <c r="CF73" s="204"/>
      <c r="CG73" s="204"/>
      <c r="CH73" s="204"/>
      <c r="CI73" s="204"/>
      <c r="CJ73" s="204"/>
      <c r="CK73" s="204"/>
      <c r="CL73" s="204"/>
      <c r="CM73" s="204"/>
      <c r="CN73" s="204"/>
      <c r="CO73" s="204"/>
      <c r="CP73" s="204"/>
      <c r="CQ73" s="204"/>
      <c r="CR73" s="204"/>
      <c r="CS73" s="204"/>
      <c r="CT73" s="204"/>
      <c r="CU73" s="204"/>
      <c r="CV73" s="204"/>
      <c r="CW73" s="204"/>
      <c r="CX73" s="204"/>
      <c r="CY73" s="204"/>
      <c r="CZ73" s="204"/>
      <c r="DA73" s="204"/>
      <c r="DB73" s="204"/>
      <c r="DC73" s="204"/>
      <c r="DD73" s="204"/>
      <c r="DE73" s="204"/>
      <c r="DF73" s="204"/>
      <c r="DG73" s="204"/>
      <c r="DH73" s="204"/>
      <c r="DI73" s="204"/>
      <c r="DJ73" s="204"/>
      <c r="DK73" s="204"/>
      <c r="DL73" s="204"/>
      <c r="DM73" s="204"/>
      <c r="DN73" s="204"/>
      <c r="DO73" s="204"/>
      <c r="DP73" s="204"/>
      <c r="DQ73" s="204"/>
      <c r="DR73" s="204"/>
      <c r="DS73" s="204"/>
      <c r="DT73" s="204"/>
      <c r="DU73" s="204"/>
      <c r="DV73" s="204"/>
      <c r="DW73" s="204"/>
      <c r="DX73" s="204"/>
      <c r="DY73" s="204"/>
      <c r="DZ73" s="204"/>
      <c r="EA73" s="204"/>
      <c r="EB73" s="204"/>
      <c r="EC73" s="204"/>
      <c r="ED73" s="204"/>
      <c r="EE73" s="204"/>
      <c r="EF73" s="204"/>
      <c r="EG73" s="204"/>
      <c r="EH73" s="204"/>
      <c r="EI73" s="204"/>
      <c r="EJ73" s="204"/>
      <c r="EK73" s="204"/>
      <c r="EL73" s="204"/>
      <c r="EM73" s="204"/>
      <c r="EN73" s="204"/>
      <c r="EO73" s="204"/>
      <c r="EP73" s="204"/>
      <c r="EQ73" s="204"/>
      <c r="ER73" s="204"/>
      <c r="ES73" s="204"/>
      <c r="ET73" s="204"/>
      <c r="EU73" s="204"/>
      <c r="EV73" s="204"/>
      <c r="EW73" s="204"/>
      <c r="EX73" s="204"/>
      <c r="EY73" s="204"/>
      <c r="EZ73" s="204"/>
      <c r="FA73" s="203"/>
      <c r="FB73" s="203"/>
      <c r="FC73" s="203"/>
      <c r="FD73" s="203"/>
      <c r="FE73" s="205"/>
      <c r="FF73" s="204"/>
      <c r="FG73" s="204"/>
      <c r="FH73" s="204"/>
      <c r="FI73" s="206"/>
      <c r="FJ73" s="206"/>
      <c r="FK73" s="204"/>
      <c r="FL73" s="204"/>
      <c r="FM73" s="204"/>
      <c r="FN73" s="204"/>
      <c r="FO73" s="204"/>
      <c r="FP73" s="204"/>
      <c r="FQ73" s="204"/>
      <c r="FR73" s="204"/>
      <c r="FS73" s="204"/>
      <c r="FT73" s="204"/>
      <c r="FU73" s="204"/>
      <c r="FV73" s="204"/>
      <c r="FW73" s="204"/>
      <c r="FX73" s="204"/>
      <c r="FY73" s="204"/>
      <c r="FZ73" s="204"/>
      <c r="GA73" s="204"/>
      <c r="GB73" s="204"/>
      <c r="GC73" s="204"/>
      <c r="GD73" s="204"/>
      <c r="GE73" s="204"/>
      <c r="GF73" s="204"/>
      <c r="GG73" s="204"/>
      <c r="GH73" s="204"/>
      <c r="GI73" s="204"/>
      <c r="GJ73" s="204"/>
      <c r="GK73" s="204"/>
      <c r="GL73" s="204"/>
      <c r="GM73" s="204"/>
      <c r="GN73" s="204"/>
      <c r="GO73" s="204"/>
      <c r="GP73" s="204"/>
      <c r="GQ73" s="204"/>
      <c r="GR73" s="204"/>
      <c r="GS73" s="204"/>
      <c r="GT73" s="204"/>
      <c r="GU73" s="204"/>
      <c r="GV73" s="204"/>
      <c r="GW73" s="204"/>
      <c r="GX73" s="204"/>
      <c r="GY73" s="204"/>
      <c r="GZ73" s="204"/>
    </row>
    <row r="74" ht="13.2" spans="1:208">
      <c r="A74" s="172">
        <v>45865</v>
      </c>
      <c r="B74" s="20" t="s">
        <v>371</v>
      </c>
      <c r="C74" s="18"/>
      <c r="D74" s="174"/>
      <c r="E74" s="175"/>
      <c r="F74" s="20"/>
      <c r="G74" s="176"/>
      <c r="H74" s="175"/>
      <c r="I74" s="176"/>
      <c r="J74" s="178"/>
      <c r="K74" s="174"/>
      <c r="L74" s="174"/>
      <c r="M74" s="20"/>
      <c r="N74" s="176"/>
      <c r="O74" s="179"/>
      <c r="P74" s="179"/>
      <c r="Q74" s="174"/>
      <c r="R74" s="20"/>
      <c r="S74" s="20"/>
      <c r="T74" s="20"/>
      <c r="U74" s="176"/>
      <c r="V74" s="20"/>
      <c r="W74" s="178"/>
      <c r="X74" s="20"/>
      <c r="Y74" s="20"/>
      <c r="Z74" s="20"/>
      <c r="AA74" s="20"/>
      <c r="AB74" s="20"/>
      <c r="AC74" s="20"/>
      <c r="AD74" s="20"/>
      <c r="AE74" s="20"/>
      <c r="AF74" s="20"/>
      <c r="AG74" s="20"/>
      <c r="AH74" s="20"/>
      <c r="AI74" s="20"/>
      <c r="AJ74" s="20"/>
      <c r="AK74" s="20"/>
      <c r="AL74" s="20"/>
      <c r="AM74" s="180"/>
      <c r="AN74" s="173"/>
      <c r="AO74" s="20"/>
      <c r="AP74" s="20"/>
      <c r="AQ74" s="20"/>
      <c r="AR74" s="20"/>
      <c r="AS74" s="181"/>
      <c r="AT74" s="20"/>
      <c r="AU74" s="182"/>
      <c r="AV74" s="20"/>
      <c r="AW74" s="183"/>
      <c r="AX74" s="184"/>
      <c r="AY74" s="176"/>
      <c r="AZ74" s="182"/>
      <c r="BA74" s="183"/>
      <c r="BB74" s="176"/>
      <c r="BC74" s="179"/>
      <c r="BD74" s="179"/>
      <c r="BE74" s="182"/>
      <c r="BF74" s="186"/>
      <c r="BG74" s="186"/>
      <c r="BH74" s="187"/>
      <c r="BI74" s="182"/>
      <c r="BJ74" s="179"/>
      <c r="BK74" s="179"/>
      <c r="BL74" s="179"/>
      <c r="BM74" s="178"/>
      <c r="BN74" s="178"/>
      <c r="BO74" s="20"/>
      <c r="BP74" s="182"/>
      <c r="BQ74" s="182"/>
      <c r="BR74" s="182"/>
      <c r="BS74" s="182"/>
      <c r="BT74" s="20"/>
      <c r="BU74" s="20"/>
      <c r="BV74" s="20"/>
      <c r="BW74" s="185"/>
      <c r="BX74" s="182"/>
      <c r="BY74" s="182"/>
      <c r="BZ74" s="182"/>
      <c r="CA74" s="182"/>
      <c r="CB74" s="201"/>
      <c r="CC74" s="202"/>
      <c r="CD74" s="203"/>
      <c r="CE74" s="204"/>
      <c r="CF74" s="204"/>
      <c r="CG74" s="204"/>
      <c r="CH74" s="204"/>
      <c r="CI74" s="204"/>
      <c r="CJ74" s="204"/>
      <c r="CK74" s="204"/>
      <c r="CL74" s="204"/>
      <c r="CM74" s="204"/>
      <c r="CN74" s="204"/>
      <c r="CO74" s="204"/>
      <c r="CP74" s="204"/>
      <c r="CQ74" s="204"/>
      <c r="CR74" s="204"/>
      <c r="CS74" s="204"/>
      <c r="CT74" s="204"/>
      <c r="CU74" s="204"/>
      <c r="CV74" s="204"/>
      <c r="CW74" s="204"/>
      <c r="CX74" s="204"/>
      <c r="CY74" s="204"/>
      <c r="CZ74" s="204"/>
      <c r="DA74" s="204"/>
      <c r="DB74" s="204"/>
      <c r="DC74" s="204"/>
      <c r="DD74" s="204"/>
      <c r="DE74" s="204"/>
      <c r="DF74" s="204"/>
      <c r="DG74" s="204"/>
      <c r="DH74" s="204"/>
      <c r="DI74" s="204"/>
      <c r="DJ74" s="204"/>
      <c r="DK74" s="204"/>
      <c r="DL74" s="204"/>
      <c r="DM74" s="204"/>
      <c r="DN74" s="204"/>
      <c r="DO74" s="204"/>
      <c r="DP74" s="204"/>
      <c r="DQ74" s="204"/>
      <c r="DR74" s="204"/>
      <c r="DS74" s="204"/>
      <c r="DT74" s="204"/>
      <c r="DU74" s="204"/>
      <c r="DV74" s="204"/>
      <c r="DW74" s="204"/>
      <c r="DX74" s="204"/>
      <c r="DY74" s="204"/>
      <c r="DZ74" s="204"/>
      <c r="EA74" s="204"/>
      <c r="EB74" s="204"/>
      <c r="EC74" s="204"/>
      <c r="ED74" s="204"/>
      <c r="EE74" s="204"/>
      <c r="EF74" s="204"/>
      <c r="EG74" s="204"/>
      <c r="EH74" s="204"/>
      <c r="EI74" s="204"/>
      <c r="EJ74" s="204"/>
      <c r="EK74" s="204"/>
      <c r="EL74" s="204"/>
      <c r="EM74" s="204"/>
      <c r="EN74" s="204"/>
      <c r="EO74" s="204"/>
      <c r="EP74" s="204"/>
      <c r="EQ74" s="204"/>
      <c r="ER74" s="204"/>
      <c r="ES74" s="204"/>
      <c r="ET74" s="204"/>
      <c r="EU74" s="204"/>
      <c r="EV74" s="204"/>
      <c r="EW74" s="204"/>
      <c r="EX74" s="204"/>
      <c r="EY74" s="204"/>
      <c r="EZ74" s="204"/>
      <c r="FA74" s="203"/>
      <c r="FB74" s="203"/>
      <c r="FC74" s="203"/>
      <c r="FD74" s="203"/>
      <c r="FE74" s="205"/>
      <c r="FF74" s="204"/>
      <c r="FG74" s="204"/>
      <c r="FH74" s="204"/>
      <c r="FI74" s="206"/>
      <c r="FJ74" s="206"/>
      <c r="FK74" s="204"/>
      <c r="FL74" s="204"/>
      <c r="FM74" s="204"/>
      <c r="FN74" s="204"/>
      <c r="FO74" s="204"/>
      <c r="FP74" s="204"/>
      <c r="FQ74" s="204"/>
      <c r="FR74" s="204"/>
      <c r="FS74" s="204"/>
      <c r="FT74" s="204"/>
      <c r="FU74" s="204"/>
      <c r="FV74" s="204"/>
      <c r="FW74" s="204"/>
      <c r="FX74" s="204"/>
      <c r="FY74" s="204"/>
      <c r="FZ74" s="204"/>
      <c r="GA74" s="204"/>
      <c r="GB74" s="204"/>
      <c r="GC74" s="204"/>
      <c r="GD74" s="204"/>
      <c r="GE74" s="204"/>
      <c r="GF74" s="204"/>
      <c r="GG74" s="204"/>
      <c r="GH74" s="204"/>
      <c r="GI74" s="204"/>
      <c r="GJ74" s="204"/>
      <c r="GK74" s="204"/>
      <c r="GL74" s="204"/>
      <c r="GM74" s="204"/>
      <c r="GN74" s="204"/>
      <c r="GO74" s="204"/>
      <c r="GP74" s="204"/>
      <c r="GQ74" s="204"/>
      <c r="GR74" s="204"/>
      <c r="GS74" s="204"/>
      <c r="GT74" s="204"/>
      <c r="GU74" s="204"/>
      <c r="GV74" s="204"/>
      <c r="GW74" s="204"/>
      <c r="GX74" s="204"/>
      <c r="GY74" s="204"/>
      <c r="GZ74" s="204"/>
    </row>
    <row r="75" ht="13.2" spans="1:208">
      <c r="A75" s="172">
        <v>45866</v>
      </c>
      <c r="B75" s="20" t="s">
        <v>373</v>
      </c>
      <c r="C75" s="18"/>
      <c r="D75" s="20"/>
      <c r="E75" s="175"/>
      <c r="F75" s="20"/>
      <c r="G75" s="176"/>
      <c r="H75" s="175"/>
      <c r="I75" s="176"/>
      <c r="J75" s="178"/>
      <c r="K75" s="174"/>
      <c r="L75" s="174"/>
      <c r="M75" s="20"/>
      <c r="N75" s="176"/>
      <c r="O75" s="179"/>
      <c r="P75" s="179"/>
      <c r="Q75" s="174"/>
      <c r="R75" s="20"/>
      <c r="S75" s="20"/>
      <c r="T75" s="20"/>
      <c r="U75" s="176"/>
      <c r="V75" s="20"/>
      <c r="W75" s="178"/>
      <c r="X75" s="20"/>
      <c r="Y75" s="20"/>
      <c r="Z75" s="20"/>
      <c r="AA75" s="20"/>
      <c r="AB75" s="20"/>
      <c r="AC75" s="20"/>
      <c r="AD75" s="20"/>
      <c r="AE75" s="20"/>
      <c r="AF75" s="20"/>
      <c r="AG75" s="20"/>
      <c r="AH75" s="20"/>
      <c r="AI75" s="20"/>
      <c r="AJ75" s="20"/>
      <c r="AK75" s="20"/>
      <c r="AL75" s="20"/>
      <c r="AM75" s="180"/>
      <c r="AN75" s="173"/>
      <c r="AO75" s="20"/>
      <c r="AP75" s="20"/>
      <c r="AQ75" s="20"/>
      <c r="AR75" s="20"/>
      <c r="AS75" s="181"/>
      <c r="AT75" s="20"/>
      <c r="AU75" s="182"/>
      <c r="AV75" s="20"/>
      <c r="AW75" s="183"/>
      <c r="AX75" s="184"/>
      <c r="AY75" s="176"/>
      <c r="AZ75" s="182"/>
      <c r="BA75" s="183"/>
      <c r="BB75" s="176"/>
      <c r="BC75" s="179"/>
      <c r="BD75" s="179"/>
      <c r="BE75" s="182"/>
      <c r="BF75" s="186"/>
      <c r="BG75" s="186"/>
      <c r="BH75" s="187"/>
      <c r="BI75" s="182"/>
      <c r="BJ75" s="179"/>
      <c r="BK75" s="179"/>
      <c r="BL75" s="179"/>
      <c r="BM75" s="178"/>
      <c r="BN75" s="178"/>
      <c r="BO75" s="20"/>
      <c r="BP75" s="182"/>
      <c r="BQ75" s="182"/>
      <c r="BR75" s="182"/>
      <c r="BS75" s="182"/>
      <c r="BT75" s="20"/>
      <c r="BU75" s="20"/>
      <c r="BV75" s="20"/>
      <c r="BW75" s="185"/>
      <c r="BX75" s="182"/>
      <c r="BY75" s="182"/>
      <c r="BZ75" s="182"/>
      <c r="CA75" s="182"/>
      <c r="CB75" s="201"/>
      <c r="CC75" s="202"/>
      <c r="CD75" s="203"/>
      <c r="CE75" s="204"/>
      <c r="CF75" s="204"/>
      <c r="CG75" s="204"/>
      <c r="CH75" s="204"/>
      <c r="CI75" s="204"/>
      <c r="CJ75" s="204"/>
      <c r="CK75" s="204"/>
      <c r="CL75" s="204"/>
      <c r="CM75" s="204"/>
      <c r="CN75" s="204"/>
      <c r="CO75" s="204"/>
      <c r="CP75" s="204"/>
      <c r="CQ75" s="204"/>
      <c r="CR75" s="204"/>
      <c r="CS75" s="204"/>
      <c r="CT75" s="204"/>
      <c r="CU75" s="204"/>
      <c r="CV75" s="204"/>
      <c r="CW75" s="204"/>
      <c r="CX75" s="204"/>
      <c r="CY75" s="204"/>
      <c r="CZ75" s="204"/>
      <c r="DA75" s="204"/>
      <c r="DB75" s="204"/>
      <c r="DC75" s="204"/>
      <c r="DD75" s="204"/>
      <c r="DE75" s="204"/>
      <c r="DF75" s="204"/>
      <c r="DG75" s="204"/>
      <c r="DH75" s="204"/>
      <c r="DI75" s="204"/>
      <c r="DJ75" s="204"/>
      <c r="DK75" s="204"/>
      <c r="DL75" s="204"/>
      <c r="DM75" s="204"/>
      <c r="DN75" s="204"/>
      <c r="DO75" s="204"/>
      <c r="DP75" s="204"/>
      <c r="DQ75" s="204"/>
      <c r="DR75" s="204"/>
      <c r="DS75" s="204"/>
      <c r="DT75" s="204"/>
      <c r="DU75" s="204"/>
      <c r="DV75" s="204"/>
      <c r="DW75" s="204"/>
      <c r="DX75" s="204"/>
      <c r="DY75" s="204"/>
      <c r="DZ75" s="204"/>
      <c r="EA75" s="204"/>
      <c r="EB75" s="204"/>
      <c r="EC75" s="204"/>
      <c r="ED75" s="204"/>
      <c r="EE75" s="204"/>
      <c r="EF75" s="204"/>
      <c r="EG75" s="204"/>
      <c r="EH75" s="204"/>
      <c r="EI75" s="204"/>
      <c r="EJ75" s="204"/>
      <c r="EK75" s="204"/>
      <c r="EL75" s="204"/>
      <c r="EM75" s="204"/>
      <c r="EN75" s="204"/>
      <c r="EO75" s="204"/>
      <c r="EP75" s="204"/>
      <c r="EQ75" s="204"/>
      <c r="ER75" s="204"/>
      <c r="ES75" s="204"/>
      <c r="ET75" s="204"/>
      <c r="EU75" s="204"/>
      <c r="EV75" s="204"/>
      <c r="EW75" s="204"/>
      <c r="EX75" s="204"/>
      <c r="EY75" s="204"/>
      <c r="EZ75" s="204"/>
      <c r="FA75" s="203"/>
      <c r="FB75" s="203"/>
      <c r="FC75" s="203"/>
      <c r="FD75" s="203"/>
      <c r="FE75" s="205"/>
      <c r="FF75" s="204"/>
      <c r="FG75" s="204"/>
      <c r="FH75" s="204"/>
      <c r="FI75" s="206"/>
      <c r="FJ75" s="206"/>
      <c r="FK75" s="204"/>
      <c r="FL75" s="204"/>
      <c r="FM75" s="204"/>
      <c r="FN75" s="204"/>
      <c r="FO75" s="204"/>
      <c r="FP75" s="204"/>
      <c r="FQ75" s="204"/>
      <c r="FR75" s="204"/>
      <c r="FS75" s="204"/>
      <c r="FT75" s="204"/>
      <c r="FU75" s="204"/>
      <c r="FV75" s="204"/>
      <c r="FW75" s="204"/>
      <c r="FX75" s="204"/>
      <c r="FY75" s="204"/>
      <c r="FZ75" s="204"/>
      <c r="GA75" s="204"/>
      <c r="GB75" s="204"/>
      <c r="GC75" s="204"/>
      <c r="GD75" s="204"/>
      <c r="GE75" s="204"/>
      <c r="GF75" s="204"/>
      <c r="GG75" s="204"/>
      <c r="GH75" s="204"/>
      <c r="GI75" s="204"/>
      <c r="GJ75" s="204"/>
      <c r="GK75" s="204"/>
      <c r="GL75" s="204"/>
      <c r="GM75" s="204"/>
      <c r="GN75" s="204"/>
      <c r="GO75" s="204"/>
      <c r="GP75" s="204"/>
      <c r="GQ75" s="204"/>
      <c r="GR75" s="204"/>
      <c r="GS75" s="204"/>
      <c r="GT75" s="204"/>
      <c r="GU75" s="204"/>
      <c r="GV75" s="204"/>
      <c r="GW75" s="204"/>
      <c r="GX75" s="204"/>
      <c r="GY75" s="204"/>
      <c r="GZ75" s="204"/>
    </row>
    <row r="76" ht="13.2" spans="1:208">
      <c r="A76" s="172">
        <v>45867</v>
      </c>
      <c r="B76" s="20" t="s">
        <v>375</v>
      </c>
      <c r="C76" s="18"/>
      <c r="D76" s="20"/>
      <c r="E76" s="207"/>
      <c r="F76" s="20"/>
      <c r="G76" s="176"/>
      <c r="H76" s="175"/>
      <c r="I76" s="176"/>
      <c r="J76" s="178"/>
      <c r="K76" s="174"/>
      <c r="L76" s="174"/>
      <c r="M76" s="20"/>
      <c r="N76" s="176"/>
      <c r="O76" s="179"/>
      <c r="P76" s="179"/>
      <c r="Q76" s="174"/>
      <c r="R76" s="20"/>
      <c r="S76" s="20"/>
      <c r="T76" s="20"/>
      <c r="U76" s="176"/>
      <c r="V76" s="20"/>
      <c r="W76" s="178"/>
      <c r="X76" s="20"/>
      <c r="Y76" s="20"/>
      <c r="Z76" s="20"/>
      <c r="AA76" s="20"/>
      <c r="AB76" s="20"/>
      <c r="AC76" s="20"/>
      <c r="AD76" s="20"/>
      <c r="AE76" s="20"/>
      <c r="AF76" s="20"/>
      <c r="AG76" s="20"/>
      <c r="AH76" s="20"/>
      <c r="AI76" s="20"/>
      <c r="AJ76" s="20"/>
      <c r="AK76" s="20"/>
      <c r="AL76" s="20"/>
      <c r="AM76" s="180"/>
      <c r="AN76" s="173"/>
      <c r="AO76" s="20"/>
      <c r="AP76" s="20"/>
      <c r="AQ76" s="20"/>
      <c r="AR76" s="20"/>
      <c r="AS76" s="181"/>
      <c r="AT76" s="20"/>
      <c r="AU76" s="182"/>
      <c r="AV76" s="20"/>
      <c r="AW76" s="183"/>
      <c r="AX76" s="184"/>
      <c r="AY76" s="176"/>
      <c r="AZ76" s="182"/>
      <c r="BA76" s="183"/>
      <c r="BB76" s="176"/>
      <c r="BC76" s="179"/>
      <c r="BD76" s="179"/>
      <c r="BE76" s="182"/>
      <c r="BF76" s="186"/>
      <c r="BG76" s="186"/>
      <c r="BH76" s="187"/>
      <c r="BI76" s="182"/>
      <c r="BJ76" s="179"/>
      <c r="BK76" s="179"/>
      <c r="BL76" s="208"/>
      <c r="BM76" s="209"/>
      <c r="BN76" s="15"/>
      <c r="BO76" s="15"/>
      <c r="BP76" s="210"/>
      <c r="BQ76" s="182"/>
      <c r="BR76" s="182"/>
      <c r="BS76" s="182"/>
      <c r="BT76" s="20"/>
      <c r="BU76" s="20"/>
      <c r="BV76" s="20"/>
      <c r="BW76" s="185"/>
      <c r="BX76" s="182"/>
      <c r="BY76" s="182"/>
      <c r="BZ76" s="182"/>
      <c r="CA76" s="182"/>
      <c r="CB76" s="201"/>
      <c r="CC76" s="202"/>
      <c r="CD76" s="203"/>
      <c r="CE76" s="204"/>
      <c r="CF76" s="204"/>
      <c r="CG76" s="204"/>
      <c r="CH76" s="204"/>
      <c r="CI76" s="204"/>
      <c r="CJ76" s="204"/>
      <c r="CK76" s="204"/>
      <c r="CL76" s="204"/>
      <c r="CM76" s="204"/>
      <c r="CN76" s="204"/>
      <c r="CO76" s="204"/>
      <c r="CP76" s="204"/>
      <c r="CQ76" s="204"/>
      <c r="CR76" s="204"/>
      <c r="CS76" s="204"/>
      <c r="CT76" s="204"/>
      <c r="CU76" s="204"/>
      <c r="CV76" s="204"/>
      <c r="CW76" s="204"/>
      <c r="CX76" s="204"/>
      <c r="CY76" s="204"/>
      <c r="CZ76" s="204"/>
      <c r="DA76" s="204"/>
      <c r="DB76" s="204"/>
      <c r="DC76" s="204"/>
      <c r="DD76" s="204"/>
      <c r="DE76" s="204"/>
      <c r="DF76" s="204"/>
      <c r="DG76" s="204"/>
      <c r="DH76" s="204"/>
      <c r="DI76" s="204"/>
      <c r="DJ76" s="204"/>
      <c r="DK76" s="204"/>
      <c r="DL76" s="204"/>
      <c r="DM76" s="204"/>
      <c r="DN76" s="204"/>
      <c r="DO76" s="204"/>
      <c r="DP76" s="204"/>
      <c r="DQ76" s="204"/>
      <c r="DR76" s="204"/>
      <c r="DS76" s="204"/>
      <c r="DT76" s="204"/>
      <c r="DU76" s="204"/>
      <c r="DV76" s="204"/>
      <c r="DW76" s="204"/>
      <c r="DX76" s="204"/>
      <c r="DY76" s="204"/>
      <c r="DZ76" s="204"/>
      <c r="EA76" s="204"/>
      <c r="EB76" s="204"/>
      <c r="EC76" s="204"/>
      <c r="ED76" s="204"/>
      <c r="EE76" s="204"/>
      <c r="EF76" s="204"/>
      <c r="EG76" s="204"/>
      <c r="EH76" s="204"/>
      <c r="EI76" s="204"/>
      <c r="EJ76" s="204"/>
      <c r="EK76" s="204"/>
      <c r="EL76" s="204"/>
      <c r="EM76" s="204"/>
      <c r="EN76" s="204"/>
      <c r="EO76" s="204"/>
      <c r="EP76" s="204"/>
      <c r="EQ76" s="204"/>
      <c r="ER76" s="204"/>
      <c r="ES76" s="204"/>
      <c r="ET76" s="204"/>
      <c r="EU76" s="204"/>
      <c r="EV76" s="204"/>
      <c r="EW76" s="204"/>
      <c r="EX76" s="204"/>
      <c r="EY76" s="204"/>
      <c r="EZ76" s="204"/>
      <c r="FA76" s="203"/>
      <c r="FB76" s="203"/>
      <c r="FC76" s="203"/>
      <c r="FD76" s="203"/>
      <c r="FE76" s="205"/>
      <c r="FF76" s="204"/>
      <c r="FG76" s="204"/>
      <c r="FH76" s="204"/>
      <c r="FI76" s="206"/>
      <c r="FJ76" s="206"/>
      <c r="FK76" s="204"/>
      <c r="FL76" s="204"/>
      <c r="FM76" s="204"/>
      <c r="FN76" s="204"/>
      <c r="FO76" s="204"/>
      <c r="FP76" s="204"/>
      <c r="FQ76" s="204"/>
      <c r="FR76" s="204"/>
      <c r="FS76" s="204"/>
      <c r="FT76" s="204"/>
      <c r="FU76" s="204"/>
      <c r="FV76" s="204"/>
      <c r="FW76" s="204"/>
      <c r="FX76" s="204"/>
      <c r="FY76" s="204"/>
      <c r="FZ76" s="204"/>
      <c r="GA76" s="204"/>
      <c r="GB76" s="204"/>
      <c r="GC76" s="204"/>
      <c r="GD76" s="204"/>
      <c r="GE76" s="204"/>
      <c r="GF76" s="204"/>
      <c r="GG76" s="204"/>
      <c r="GH76" s="204"/>
      <c r="GI76" s="204"/>
      <c r="GJ76" s="204"/>
      <c r="GK76" s="204"/>
      <c r="GL76" s="204"/>
      <c r="GM76" s="204"/>
      <c r="GN76" s="204"/>
      <c r="GO76" s="204"/>
      <c r="GP76" s="204"/>
      <c r="GQ76" s="204"/>
      <c r="GR76" s="204"/>
      <c r="GS76" s="204"/>
      <c r="GT76" s="204"/>
      <c r="GU76" s="204"/>
      <c r="GV76" s="204"/>
      <c r="GW76" s="204"/>
      <c r="GX76" s="204"/>
      <c r="GY76" s="204"/>
      <c r="GZ76" s="204"/>
    </row>
    <row r="77" ht="13.2" spans="1:208">
      <c r="A77" s="172">
        <v>45868</v>
      </c>
      <c r="B77" s="20" t="s">
        <v>377</v>
      </c>
      <c r="C77" s="18"/>
      <c r="D77" s="20"/>
      <c r="E77" s="207"/>
      <c r="F77" s="20"/>
      <c r="G77" s="176"/>
      <c r="H77" s="175"/>
      <c r="I77" s="176"/>
      <c r="J77" s="178"/>
      <c r="K77" s="174"/>
      <c r="L77" s="174"/>
      <c r="M77" s="20"/>
      <c r="N77" s="176"/>
      <c r="O77" s="179"/>
      <c r="P77" s="179"/>
      <c r="Q77" s="174"/>
      <c r="R77" s="20"/>
      <c r="S77" s="20"/>
      <c r="T77" s="20"/>
      <c r="U77" s="176"/>
      <c r="V77" s="20"/>
      <c r="W77" s="178"/>
      <c r="X77" s="20"/>
      <c r="Y77" s="20"/>
      <c r="Z77" s="20"/>
      <c r="AA77" s="20"/>
      <c r="AB77" s="20"/>
      <c r="AC77" s="20"/>
      <c r="AD77" s="20"/>
      <c r="AE77" s="20"/>
      <c r="AF77" s="20"/>
      <c r="AG77" s="20"/>
      <c r="AH77" s="20"/>
      <c r="AI77" s="20"/>
      <c r="AJ77" s="20"/>
      <c r="AK77" s="20"/>
      <c r="AL77" s="20"/>
      <c r="AM77" s="180"/>
      <c r="AN77" s="173"/>
      <c r="AO77" s="20"/>
      <c r="AP77" s="20"/>
      <c r="AQ77" s="20"/>
      <c r="AR77" s="20"/>
      <c r="AS77" s="181"/>
      <c r="AT77" s="20"/>
      <c r="AU77" s="182"/>
      <c r="AV77" s="20"/>
      <c r="AW77" s="183"/>
      <c r="AX77" s="184"/>
      <c r="AY77" s="176"/>
      <c r="AZ77" s="182"/>
      <c r="BA77" s="183"/>
      <c r="BB77" s="176"/>
      <c r="BC77" s="179"/>
      <c r="BD77" s="179"/>
      <c r="BE77" s="182"/>
      <c r="BF77" s="186"/>
      <c r="BG77" s="186"/>
      <c r="BH77" s="187"/>
      <c r="BI77" s="182"/>
      <c r="BJ77" s="179"/>
      <c r="BK77" s="179"/>
      <c r="BL77" s="208"/>
      <c r="BM77" s="209"/>
      <c r="BN77" s="15"/>
      <c r="BO77" s="15"/>
      <c r="BP77" s="210"/>
      <c r="BQ77" s="182"/>
      <c r="BR77" s="182"/>
      <c r="BS77" s="182"/>
      <c r="BT77" s="20"/>
      <c r="BU77" s="20"/>
      <c r="BV77" s="20"/>
      <c r="BW77" s="185"/>
      <c r="BX77" s="182"/>
      <c r="BY77" s="182"/>
      <c r="BZ77" s="182"/>
      <c r="CA77" s="182"/>
      <c r="CB77" s="201"/>
      <c r="CC77" s="202"/>
      <c r="CD77" s="203"/>
      <c r="CE77" s="204"/>
      <c r="CF77" s="204"/>
      <c r="CG77" s="204"/>
      <c r="CH77" s="204"/>
      <c r="CI77" s="204"/>
      <c r="CJ77" s="204"/>
      <c r="CK77" s="204"/>
      <c r="CL77" s="204"/>
      <c r="CM77" s="204"/>
      <c r="CN77" s="204"/>
      <c r="CO77" s="204"/>
      <c r="CP77" s="204"/>
      <c r="CQ77" s="204"/>
      <c r="CR77" s="204"/>
      <c r="CS77" s="204"/>
      <c r="CT77" s="204"/>
      <c r="CU77" s="204"/>
      <c r="CV77" s="204"/>
      <c r="CW77" s="204"/>
      <c r="CX77" s="204"/>
      <c r="CY77" s="204"/>
      <c r="CZ77" s="204"/>
      <c r="DA77" s="204"/>
      <c r="DB77" s="204"/>
      <c r="DC77" s="204"/>
      <c r="DD77" s="204"/>
      <c r="DE77" s="204"/>
      <c r="DF77" s="204"/>
      <c r="DG77" s="204"/>
      <c r="DH77" s="204"/>
      <c r="DI77" s="204"/>
      <c r="DJ77" s="204"/>
      <c r="DK77" s="204"/>
      <c r="DL77" s="204"/>
      <c r="DM77" s="204"/>
      <c r="DN77" s="204"/>
      <c r="DO77" s="204"/>
      <c r="DP77" s="204"/>
      <c r="DQ77" s="204"/>
      <c r="DR77" s="204"/>
      <c r="DS77" s="204"/>
      <c r="DT77" s="204"/>
      <c r="DU77" s="204"/>
      <c r="DV77" s="204"/>
      <c r="DW77" s="204"/>
      <c r="DX77" s="204"/>
      <c r="DY77" s="204"/>
      <c r="DZ77" s="204"/>
      <c r="EA77" s="204"/>
      <c r="EB77" s="204"/>
      <c r="EC77" s="204"/>
      <c r="ED77" s="204"/>
      <c r="EE77" s="204"/>
      <c r="EF77" s="204"/>
      <c r="EG77" s="204"/>
      <c r="EH77" s="204"/>
      <c r="EI77" s="204"/>
      <c r="EJ77" s="204"/>
      <c r="EK77" s="204"/>
      <c r="EL77" s="204"/>
      <c r="EM77" s="204"/>
      <c r="EN77" s="204"/>
      <c r="EO77" s="204"/>
      <c r="EP77" s="204"/>
      <c r="EQ77" s="204"/>
      <c r="ER77" s="204"/>
      <c r="ES77" s="204"/>
      <c r="ET77" s="204"/>
      <c r="EU77" s="204"/>
      <c r="EV77" s="204"/>
      <c r="EW77" s="204"/>
      <c r="EX77" s="204"/>
      <c r="EY77" s="204"/>
      <c r="EZ77" s="204"/>
      <c r="FA77" s="203"/>
      <c r="FB77" s="203"/>
      <c r="FC77" s="203"/>
      <c r="FD77" s="203"/>
      <c r="FE77" s="205"/>
      <c r="FF77" s="204"/>
      <c r="FG77" s="204"/>
      <c r="FH77" s="204"/>
      <c r="FI77" s="206"/>
      <c r="FJ77" s="206"/>
      <c r="FK77" s="204"/>
      <c r="FL77" s="204"/>
      <c r="FM77" s="204"/>
      <c r="FN77" s="204"/>
      <c r="FO77" s="204"/>
      <c r="FP77" s="204"/>
      <c r="FQ77" s="204"/>
      <c r="FR77" s="204"/>
      <c r="FS77" s="204"/>
      <c r="FT77" s="204"/>
      <c r="FU77" s="204"/>
      <c r="FV77" s="204"/>
      <c r="FW77" s="204"/>
      <c r="FX77" s="204"/>
      <c r="FY77" s="204"/>
      <c r="FZ77" s="204"/>
      <c r="GA77" s="204"/>
      <c r="GB77" s="204"/>
      <c r="GC77" s="204"/>
      <c r="GD77" s="204"/>
      <c r="GE77" s="204"/>
      <c r="GF77" s="204"/>
      <c r="GG77" s="204"/>
      <c r="GH77" s="204"/>
      <c r="GI77" s="204"/>
      <c r="GJ77" s="204"/>
      <c r="GK77" s="204"/>
      <c r="GL77" s="204"/>
      <c r="GM77" s="204"/>
      <c r="GN77" s="204"/>
      <c r="GO77" s="204"/>
      <c r="GP77" s="204"/>
      <c r="GQ77" s="204"/>
      <c r="GR77" s="204"/>
      <c r="GS77" s="204"/>
      <c r="GT77" s="204"/>
      <c r="GU77" s="204"/>
      <c r="GV77" s="204"/>
      <c r="GW77" s="204"/>
      <c r="GX77" s="204"/>
      <c r="GY77" s="204"/>
      <c r="GZ77" s="204"/>
    </row>
    <row r="78" ht="13.2" spans="1:208">
      <c r="A78" s="172">
        <v>45869</v>
      </c>
      <c r="B78" s="20" t="s">
        <v>379</v>
      </c>
      <c r="C78" s="18"/>
      <c r="D78" s="20"/>
      <c r="E78" s="207"/>
      <c r="F78" s="20"/>
      <c r="G78" s="176"/>
      <c r="H78" s="175"/>
      <c r="I78" s="176"/>
      <c r="J78" s="178"/>
      <c r="K78" s="174"/>
      <c r="L78" s="174"/>
      <c r="M78" s="20"/>
      <c r="N78" s="176"/>
      <c r="O78" s="179"/>
      <c r="P78" s="179"/>
      <c r="Q78" s="174"/>
      <c r="R78" s="20"/>
      <c r="S78" s="20"/>
      <c r="T78" s="20"/>
      <c r="U78" s="176"/>
      <c r="V78" s="20"/>
      <c r="W78" s="178"/>
      <c r="X78" s="20"/>
      <c r="Y78" s="20"/>
      <c r="Z78" s="20"/>
      <c r="AA78" s="20"/>
      <c r="AB78" s="20"/>
      <c r="AC78" s="20"/>
      <c r="AD78" s="20"/>
      <c r="AE78" s="20"/>
      <c r="AF78" s="20"/>
      <c r="AG78" s="20"/>
      <c r="AH78" s="20"/>
      <c r="AI78" s="20"/>
      <c r="AJ78" s="20"/>
      <c r="AK78" s="20"/>
      <c r="AL78" s="20"/>
      <c r="AM78" s="180"/>
      <c r="AN78" s="173"/>
      <c r="AO78" s="20"/>
      <c r="AP78" s="20"/>
      <c r="AQ78" s="20"/>
      <c r="AR78" s="20"/>
      <c r="AS78" s="181"/>
      <c r="AT78" s="20"/>
      <c r="AU78" s="182"/>
      <c r="AV78" s="20"/>
      <c r="AW78" s="183"/>
      <c r="AX78" s="184"/>
      <c r="AY78" s="176"/>
      <c r="AZ78" s="182"/>
      <c r="BA78" s="183"/>
      <c r="BB78" s="176"/>
      <c r="BC78" s="179"/>
      <c r="BD78" s="179"/>
      <c r="BE78" s="182"/>
      <c r="BF78" s="186"/>
      <c r="BG78" s="186"/>
      <c r="BH78" s="187"/>
      <c r="BI78" s="182"/>
      <c r="BJ78" s="179"/>
      <c r="BK78" s="179"/>
      <c r="BL78" s="208"/>
      <c r="BM78" s="209"/>
      <c r="BN78" s="15"/>
      <c r="BO78" s="15"/>
      <c r="BP78" s="210"/>
      <c r="BQ78" s="182"/>
      <c r="BR78" s="182"/>
      <c r="BS78" s="182"/>
      <c r="BT78" s="20"/>
      <c r="BU78" s="20"/>
      <c r="BV78" s="20"/>
      <c r="BW78" s="185"/>
      <c r="BX78" s="182"/>
      <c r="BY78" s="182"/>
      <c r="BZ78" s="182"/>
      <c r="CA78" s="182"/>
      <c r="CB78" s="201"/>
      <c r="CC78" s="202"/>
      <c r="CD78" s="203"/>
      <c r="CE78" s="204"/>
      <c r="CF78" s="204"/>
      <c r="CG78" s="204"/>
      <c r="CH78" s="204"/>
      <c r="CI78" s="204"/>
      <c r="CJ78" s="204"/>
      <c r="CK78" s="204"/>
      <c r="CL78" s="204"/>
      <c r="CM78" s="204"/>
      <c r="CN78" s="204"/>
      <c r="CO78" s="204"/>
      <c r="CP78" s="204"/>
      <c r="CQ78" s="204"/>
      <c r="CR78" s="204"/>
      <c r="CS78" s="204"/>
      <c r="CT78" s="204"/>
      <c r="CU78" s="204"/>
      <c r="CV78" s="204"/>
      <c r="CW78" s="204"/>
      <c r="CX78" s="204"/>
      <c r="CY78" s="204"/>
      <c r="CZ78" s="204"/>
      <c r="DA78" s="204"/>
      <c r="DB78" s="204"/>
      <c r="DC78" s="204"/>
      <c r="DD78" s="204"/>
      <c r="DE78" s="204"/>
      <c r="DF78" s="204"/>
      <c r="DG78" s="204"/>
      <c r="DH78" s="204"/>
      <c r="DI78" s="204"/>
      <c r="DJ78" s="204"/>
      <c r="DK78" s="204"/>
      <c r="DL78" s="204"/>
      <c r="DM78" s="204"/>
      <c r="DN78" s="204"/>
      <c r="DO78" s="204"/>
      <c r="DP78" s="204"/>
      <c r="DQ78" s="204"/>
      <c r="DR78" s="204"/>
      <c r="DS78" s="204"/>
      <c r="DT78" s="204"/>
      <c r="DU78" s="204"/>
      <c r="DV78" s="204"/>
      <c r="DW78" s="204"/>
      <c r="DX78" s="204"/>
      <c r="DY78" s="204"/>
      <c r="DZ78" s="204"/>
      <c r="EA78" s="204"/>
      <c r="EB78" s="204"/>
      <c r="EC78" s="204"/>
      <c r="ED78" s="204"/>
      <c r="EE78" s="204"/>
      <c r="EF78" s="204"/>
      <c r="EG78" s="204"/>
      <c r="EH78" s="204"/>
      <c r="EI78" s="204"/>
      <c r="EJ78" s="204"/>
      <c r="EK78" s="204"/>
      <c r="EL78" s="204"/>
      <c r="EM78" s="204"/>
      <c r="EN78" s="204"/>
      <c r="EO78" s="204"/>
      <c r="EP78" s="204"/>
      <c r="EQ78" s="204"/>
      <c r="ER78" s="204"/>
      <c r="ES78" s="204"/>
      <c r="ET78" s="204"/>
      <c r="EU78" s="204"/>
      <c r="EV78" s="204"/>
      <c r="EW78" s="204"/>
      <c r="EX78" s="204"/>
      <c r="EY78" s="204"/>
      <c r="EZ78" s="204"/>
      <c r="FA78" s="203"/>
      <c r="FB78" s="203"/>
      <c r="FC78" s="203"/>
      <c r="FD78" s="203"/>
      <c r="FE78" s="205"/>
      <c r="FF78" s="204"/>
      <c r="FG78" s="204"/>
      <c r="FH78" s="204"/>
      <c r="FI78" s="206"/>
      <c r="FJ78" s="206"/>
      <c r="FK78" s="204"/>
      <c r="FL78" s="204"/>
      <c r="FM78" s="204"/>
      <c r="FN78" s="204"/>
      <c r="FO78" s="204"/>
      <c r="FP78" s="204"/>
      <c r="FQ78" s="204"/>
      <c r="FR78" s="204"/>
      <c r="FS78" s="204"/>
      <c r="FT78" s="204"/>
      <c r="FU78" s="204"/>
      <c r="FV78" s="204"/>
      <c r="FW78" s="204"/>
      <c r="FX78" s="204"/>
      <c r="FY78" s="204"/>
      <c r="FZ78" s="204"/>
      <c r="GA78" s="204"/>
      <c r="GB78" s="204"/>
      <c r="GC78" s="204"/>
      <c r="GD78" s="204"/>
      <c r="GE78" s="204"/>
      <c r="GF78" s="204"/>
      <c r="GG78" s="204"/>
      <c r="GH78" s="204"/>
      <c r="GI78" s="204"/>
      <c r="GJ78" s="204"/>
      <c r="GK78" s="204"/>
      <c r="GL78" s="204"/>
      <c r="GM78" s="204"/>
      <c r="GN78" s="204"/>
      <c r="GO78" s="204"/>
      <c r="GP78" s="204"/>
      <c r="GQ78" s="204"/>
      <c r="GR78" s="204"/>
      <c r="GS78" s="204"/>
      <c r="GT78" s="204"/>
      <c r="GU78" s="204"/>
      <c r="GV78" s="204"/>
      <c r="GW78" s="204"/>
      <c r="GX78" s="204"/>
      <c r="GY78" s="204"/>
      <c r="GZ78" s="204"/>
    </row>
    <row r="79" ht="13.2" spans="1:208">
      <c r="A79" s="172">
        <v>45870</v>
      </c>
      <c r="B79" s="20" t="s">
        <v>381</v>
      </c>
      <c r="C79" s="18"/>
      <c r="D79" s="20"/>
      <c r="E79" s="207"/>
      <c r="F79" s="20"/>
      <c r="G79" s="176"/>
      <c r="H79" s="175"/>
      <c r="I79" s="176"/>
      <c r="J79" s="178"/>
      <c r="K79" s="174"/>
      <c r="L79" s="174"/>
      <c r="M79" s="20"/>
      <c r="N79" s="176"/>
      <c r="O79" s="179"/>
      <c r="P79" s="179"/>
      <c r="Q79" s="174"/>
      <c r="R79" s="20"/>
      <c r="S79" s="20"/>
      <c r="T79" s="20"/>
      <c r="U79" s="176"/>
      <c r="V79" s="20"/>
      <c r="W79" s="178"/>
      <c r="X79" s="20"/>
      <c r="Y79" s="20"/>
      <c r="Z79" s="20"/>
      <c r="AA79" s="20"/>
      <c r="AB79" s="20"/>
      <c r="AC79" s="20"/>
      <c r="AD79" s="20"/>
      <c r="AE79" s="20"/>
      <c r="AF79" s="20"/>
      <c r="AG79" s="20"/>
      <c r="AH79" s="20"/>
      <c r="AI79" s="20"/>
      <c r="AJ79" s="20"/>
      <c r="AK79" s="20"/>
      <c r="AL79" s="20"/>
      <c r="AM79" s="180"/>
      <c r="AN79" s="173"/>
      <c r="AO79" s="20"/>
      <c r="AP79" s="20"/>
      <c r="AQ79" s="20"/>
      <c r="AR79" s="20"/>
      <c r="AS79" s="181"/>
      <c r="AT79" s="20"/>
      <c r="AU79" s="182"/>
      <c r="AV79" s="20"/>
      <c r="AW79" s="183"/>
      <c r="AX79" s="184"/>
      <c r="AY79" s="176"/>
      <c r="AZ79" s="182"/>
      <c r="BA79" s="183"/>
      <c r="BB79" s="176"/>
      <c r="BC79" s="179"/>
      <c r="BD79" s="179"/>
      <c r="BE79" s="182"/>
      <c r="BF79" s="186"/>
      <c r="BG79" s="186"/>
      <c r="BH79" s="187"/>
      <c r="BI79" s="182"/>
      <c r="BJ79" s="179"/>
      <c r="BK79" s="179"/>
      <c r="BL79" s="208"/>
      <c r="BM79" s="209"/>
      <c r="BN79" s="15"/>
      <c r="BO79" s="15"/>
      <c r="BP79" s="210"/>
      <c r="BQ79" s="182"/>
      <c r="BR79" s="182"/>
      <c r="BS79" s="182"/>
      <c r="BT79" s="20"/>
      <c r="BU79" s="20"/>
      <c r="BV79" s="20"/>
      <c r="BW79" s="185"/>
      <c r="BX79" s="182"/>
      <c r="BY79" s="182"/>
      <c r="BZ79" s="182"/>
      <c r="CA79" s="182"/>
      <c r="CB79" s="201"/>
      <c r="CC79" s="202"/>
      <c r="CD79" s="203"/>
      <c r="CE79" s="204"/>
      <c r="CF79" s="204"/>
      <c r="CG79" s="204"/>
      <c r="CH79" s="204"/>
      <c r="CI79" s="204"/>
      <c r="CJ79" s="204"/>
      <c r="CK79" s="204"/>
      <c r="CL79" s="204"/>
      <c r="CM79" s="204"/>
      <c r="CN79" s="204"/>
      <c r="CO79" s="204"/>
      <c r="CP79" s="204"/>
      <c r="CQ79" s="204"/>
      <c r="CR79" s="204"/>
      <c r="CS79" s="204"/>
      <c r="CT79" s="204"/>
      <c r="CU79" s="204"/>
      <c r="CV79" s="204"/>
      <c r="CW79" s="204"/>
      <c r="CX79" s="204"/>
      <c r="CY79" s="204"/>
      <c r="CZ79" s="204"/>
      <c r="DA79" s="204"/>
      <c r="DB79" s="204"/>
      <c r="DC79" s="204"/>
      <c r="DD79" s="204"/>
      <c r="DE79" s="204"/>
      <c r="DF79" s="204"/>
      <c r="DG79" s="204"/>
      <c r="DH79" s="204"/>
      <c r="DI79" s="204"/>
      <c r="DJ79" s="204"/>
      <c r="DK79" s="204"/>
      <c r="DL79" s="204"/>
      <c r="DM79" s="204"/>
      <c r="DN79" s="204"/>
      <c r="DO79" s="204"/>
      <c r="DP79" s="204"/>
      <c r="DQ79" s="204"/>
      <c r="DR79" s="204"/>
      <c r="DS79" s="204"/>
      <c r="DT79" s="204"/>
      <c r="DU79" s="204"/>
      <c r="DV79" s="204"/>
      <c r="DW79" s="204"/>
      <c r="DX79" s="204"/>
      <c r="DY79" s="204"/>
      <c r="DZ79" s="204"/>
      <c r="EA79" s="204"/>
      <c r="EB79" s="204"/>
      <c r="EC79" s="204"/>
      <c r="ED79" s="204"/>
      <c r="EE79" s="204"/>
      <c r="EF79" s="204"/>
      <c r="EG79" s="204"/>
      <c r="EH79" s="204"/>
      <c r="EI79" s="204"/>
      <c r="EJ79" s="204"/>
      <c r="EK79" s="204"/>
      <c r="EL79" s="204"/>
      <c r="EM79" s="204"/>
      <c r="EN79" s="204"/>
      <c r="EO79" s="204"/>
      <c r="EP79" s="204"/>
      <c r="EQ79" s="204"/>
      <c r="ER79" s="204"/>
      <c r="ES79" s="204"/>
      <c r="ET79" s="204"/>
      <c r="EU79" s="204"/>
      <c r="EV79" s="204"/>
      <c r="EW79" s="204"/>
      <c r="EX79" s="204"/>
      <c r="EY79" s="204"/>
      <c r="EZ79" s="204"/>
      <c r="FA79" s="203"/>
      <c r="FB79" s="203"/>
      <c r="FC79" s="203"/>
      <c r="FD79" s="203"/>
      <c r="FE79" s="205"/>
      <c r="FF79" s="204"/>
      <c r="FG79" s="204"/>
      <c r="FH79" s="204"/>
      <c r="FI79" s="206"/>
      <c r="FJ79" s="206"/>
      <c r="FK79" s="204"/>
      <c r="FL79" s="204"/>
      <c r="FM79" s="204"/>
      <c r="FN79" s="204"/>
      <c r="FO79" s="204"/>
      <c r="FP79" s="204"/>
      <c r="FQ79" s="204"/>
      <c r="FR79" s="204"/>
      <c r="FS79" s="204"/>
      <c r="FT79" s="204"/>
      <c r="FU79" s="204"/>
      <c r="FV79" s="204"/>
      <c r="FW79" s="204"/>
      <c r="FX79" s="204"/>
      <c r="FY79" s="204"/>
      <c r="FZ79" s="204"/>
      <c r="GA79" s="204"/>
      <c r="GB79" s="204"/>
      <c r="GC79" s="204"/>
      <c r="GD79" s="204"/>
      <c r="GE79" s="204"/>
      <c r="GF79" s="204"/>
      <c r="GG79" s="204"/>
      <c r="GH79" s="204"/>
      <c r="GI79" s="204"/>
      <c r="GJ79" s="204"/>
      <c r="GK79" s="204"/>
      <c r="GL79" s="204"/>
      <c r="GM79" s="204"/>
      <c r="GN79" s="204"/>
      <c r="GO79" s="204"/>
      <c r="GP79" s="204"/>
      <c r="GQ79" s="204"/>
      <c r="GR79" s="204"/>
      <c r="GS79" s="204"/>
      <c r="GT79" s="204"/>
      <c r="GU79" s="204"/>
      <c r="GV79" s="204"/>
      <c r="GW79" s="204"/>
      <c r="GX79" s="204"/>
      <c r="GY79" s="204"/>
      <c r="GZ79" s="204"/>
    </row>
    <row r="80" ht="13.2" spans="1:208">
      <c r="A80" s="172">
        <v>45871</v>
      </c>
      <c r="B80" s="20" t="s">
        <v>369</v>
      </c>
      <c r="C80" s="18"/>
      <c r="D80" s="20"/>
      <c r="E80" s="207"/>
      <c r="F80" s="20"/>
      <c r="G80" s="176"/>
      <c r="H80" s="175"/>
      <c r="I80" s="176"/>
      <c r="J80" s="178"/>
      <c r="K80" s="174"/>
      <c r="L80" s="174"/>
      <c r="M80" s="20"/>
      <c r="N80" s="176"/>
      <c r="O80" s="179"/>
      <c r="P80" s="179"/>
      <c r="Q80" s="174"/>
      <c r="R80" s="20"/>
      <c r="S80" s="20"/>
      <c r="T80" s="20"/>
      <c r="U80" s="176"/>
      <c r="V80" s="20"/>
      <c r="W80" s="178"/>
      <c r="X80" s="20"/>
      <c r="Y80" s="20"/>
      <c r="Z80" s="20"/>
      <c r="AA80" s="20"/>
      <c r="AB80" s="20"/>
      <c r="AC80" s="20"/>
      <c r="AD80" s="20"/>
      <c r="AE80" s="20"/>
      <c r="AF80" s="20"/>
      <c r="AG80" s="20"/>
      <c r="AH80" s="20"/>
      <c r="AI80" s="20"/>
      <c r="AJ80" s="20"/>
      <c r="AK80" s="20"/>
      <c r="AL80" s="20"/>
      <c r="AM80" s="180"/>
      <c r="AN80" s="173"/>
      <c r="AO80" s="20"/>
      <c r="AP80" s="20"/>
      <c r="AQ80" s="20"/>
      <c r="AR80" s="20"/>
      <c r="AS80" s="181"/>
      <c r="AT80" s="20"/>
      <c r="AU80" s="182"/>
      <c r="AV80" s="20"/>
      <c r="AW80" s="183"/>
      <c r="AX80" s="184"/>
      <c r="AY80" s="176"/>
      <c r="AZ80" s="182"/>
      <c r="BA80" s="183"/>
      <c r="BB80" s="176"/>
      <c r="BC80" s="179"/>
      <c r="BD80" s="179"/>
      <c r="BE80" s="182"/>
      <c r="BF80" s="186"/>
      <c r="BG80" s="186"/>
      <c r="BH80" s="187"/>
      <c r="BI80" s="182"/>
      <c r="BJ80" s="179"/>
      <c r="BK80" s="179"/>
      <c r="BL80" s="208"/>
      <c r="BM80" s="209"/>
      <c r="BN80" s="15"/>
      <c r="BO80" s="15"/>
      <c r="BP80" s="210"/>
      <c r="BQ80" s="182"/>
      <c r="BR80" s="182"/>
      <c r="BS80" s="182"/>
      <c r="BT80" s="20"/>
      <c r="BU80" s="20"/>
      <c r="BV80" s="20"/>
      <c r="BW80" s="185"/>
      <c r="BX80" s="182"/>
      <c r="BY80" s="182"/>
      <c r="BZ80" s="182"/>
      <c r="CA80" s="182"/>
      <c r="CB80" s="201"/>
      <c r="CC80" s="202"/>
      <c r="CD80" s="203"/>
      <c r="CE80" s="204"/>
      <c r="CF80" s="204"/>
      <c r="CG80" s="204"/>
      <c r="CH80" s="204"/>
      <c r="CI80" s="204"/>
      <c r="CJ80" s="204"/>
      <c r="CK80" s="204"/>
      <c r="CL80" s="204"/>
      <c r="CM80" s="204"/>
      <c r="CN80" s="204"/>
      <c r="CO80" s="204"/>
      <c r="CP80" s="204"/>
      <c r="CQ80" s="204"/>
      <c r="CR80" s="204"/>
      <c r="CS80" s="204"/>
      <c r="CT80" s="204"/>
      <c r="CU80" s="204"/>
      <c r="CV80" s="204"/>
      <c r="CW80" s="204"/>
      <c r="CX80" s="204"/>
      <c r="CY80" s="204"/>
      <c r="CZ80" s="204"/>
      <c r="DA80" s="204"/>
      <c r="DB80" s="204"/>
      <c r="DC80" s="204"/>
      <c r="DD80" s="204"/>
      <c r="DE80" s="204"/>
      <c r="DF80" s="204"/>
      <c r="DG80" s="204"/>
      <c r="DH80" s="204"/>
      <c r="DI80" s="204"/>
      <c r="DJ80" s="204"/>
      <c r="DK80" s="204"/>
      <c r="DL80" s="204"/>
      <c r="DM80" s="204"/>
      <c r="DN80" s="204"/>
      <c r="DO80" s="204"/>
      <c r="DP80" s="204"/>
      <c r="DQ80" s="204"/>
      <c r="DR80" s="204"/>
      <c r="DS80" s="204"/>
      <c r="DT80" s="204"/>
      <c r="DU80" s="204"/>
      <c r="DV80" s="204"/>
      <c r="DW80" s="204"/>
      <c r="DX80" s="204"/>
      <c r="DY80" s="204"/>
      <c r="DZ80" s="204"/>
      <c r="EA80" s="204"/>
      <c r="EB80" s="204"/>
      <c r="EC80" s="204"/>
      <c r="ED80" s="204"/>
      <c r="EE80" s="204"/>
      <c r="EF80" s="204"/>
      <c r="EG80" s="204"/>
      <c r="EH80" s="204"/>
      <c r="EI80" s="204"/>
      <c r="EJ80" s="204"/>
      <c r="EK80" s="204"/>
      <c r="EL80" s="204"/>
      <c r="EM80" s="204"/>
      <c r="EN80" s="204"/>
      <c r="EO80" s="204"/>
      <c r="EP80" s="204"/>
      <c r="EQ80" s="204"/>
      <c r="ER80" s="204"/>
      <c r="ES80" s="204"/>
      <c r="ET80" s="204"/>
      <c r="EU80" s="204"/>
      <c r="EV80" s="204"/>
      <c r="EW80" s="204"/>
      <c r="EX80" s="204"/>
      <c r="EY80" s="204"/>
      <c r="EZ80" s="204"/>
      <c r="FA80" s="203"/>
      <c r="FB80" s="203"/>
      <c r="FC80" s="203"/>
      <c r="FD80" s="203"/>
      <c r="FE80" s="205"/>
      <c r="FF80" s="204"/>
      <c r="FG80" s="204"/>
      <c r="FH80" s="204"/>
      <c r="FI80" s="206"/>
      <c r="FJ80" s="206"/>
      <c r="FK80" s="204"/>
      <c r="FL80" s="204"/>
      <c r="FM80" s="204"/>
      <c r="FN80" s="204"/>
      <c r="FO80" s="204"/>
      <c r="FP80" s="204"/>
      <c r="FQ80" s="204"/>
      <c r="FR80" s="204"/>
      <c r="FS80" s="204"/>
      <c r="FT80" s="204"/>
      <c r="FU80" s="204"/>
      <c r="FV80" s="204"/>
      <c r="FW80" s="204"/>
      <c r="FX80" s="204"/>
      <c r="FY80" s="204"/>
      <c r="FZ80" s="204"/>
      <c r="GA80" s="204"/>
      <c r="GB80" s="204"/>
      <c r="GC80" s="204"/>
      <c r="GD80" s="204"/>
      <c r="GE80" s="204"/>
      <c r="GF80" s="204"/>
      <c r="GG80" s="204"/>
      <c r="GH80" s="204"/>
      <c r="GI80" s="204"/>
      <c r="GJ80" s="204"/>
      <c r="GK80" s="204"/>
      <c r="GL80" s="204"/>
      <c r="GM80" s="204"/>
      <c r="GN80" s="204"/>
      <c r="GO80" s="204"/>
      <c r="GP80" s="204"/>
      <c r="GQ80" s="204"/>
      <c r="GR80" s="204"/>
      <c r="GS80" s="204"/>
      <c r="GT80" s="204"/>
      <c r="GU80" s="204"/>
      <c r="GV80" s="204"/>
      <c r="GW80" s="204"/>
      <c r="GX80" s="204"/>
      <c r="GY80" s="204"/>
      <c r="GZ80" s="204"/>
    </row>
    <row r="81" ht="13.2" spans="1:208">
      <c r="A81" s="172">
        <v>45872</v>
      </c>
      <c r="B81" s="20" t="s">
        <v>371</v>
      </c>
      <c r="C81" s="18"/>
      <c r="D81" s="20"/>
      <c r="E81" s="207"/>
      <c r="F81" s="20"/>
      <c r="G81" s="176"/>
      <c r="H81" s="175"/>
      <c r="I81" s="176"/>
      <c r="J81" s="178"/>
      <c r="K81" s="174"/>
      <c r="L81" s="174"/>
      <c r="M81" s="20"/>
      <c r="N81" s="176"/>
      <c r="O81" s="179"/>
      <c r="P81" s="179"/>
      <c r="Q81" s="174"/>
      <c r="R81" s="20"/>
      <c r="S81" s="20"/>
      <c r="T81" s="20"/>
      <c r="U81" s="176"/>
      <c r="V81" s="20"/>
      <c r="W81" s="178"/>
      <c r="X81" s="20"/>
      <c r="Y81" s="20"/>
      <c r="Z81" s="20"/>
      <c r="AA81" s="20"/>
      <c r="AB81" s="20"/>
      <c r="AC81" s="20"/>
      <c r="AD81" s="20"/>
      <c r="AE81" s="20"/>
      <c r="AF81" s="20"/>
      <c r="AG81" s="20"/>
      <c r="AH81" s="20"/>
      <c r="AI81" s="20"/>
      <c r="AJ81" s="20"/>
      <c r="AK81" s="20"/>
      <c r="AL81" s="20"/>
      <c r="AM81" s="180"/>
      <c r="AN81" s="173"/>
      <c r="AO81" s="20"/>
      <c r="AP81" s="20"/>
      <c r="AQ81" s="20"/>
      <c r="AR81" s="20"/>
      <c r="AS81" s="181"/>
      <c r="AT81" s="20"/>
      <c r="AU81" s="182"/>
      <c r="AV81" s="20"/>
      <c r="AW81" s="183"/>
      <c r="AX81" s="184"/>
      <c r="AY81" s="176"/>
      <c r="AZ81" s="182"/>
      <c r="BA81" s="183"/>
      <c r="BB81" s="176"/>
      <c r="BC81" s="179"/>
      <c r="BD81" s="179"/>
      <c r="BE81" s="182"/>
      <c r="BF81" s="186"/>
      <c r="BG81" s="186"/>
      <c r="BH81" s="187"/>
      <c r="BI81" s="182"/>
      <c r="BJ81" s="179"/>
      <c r="BK81" s="179"/>
      <c r="BL81" s="208"/>
      <c r="BM81" s="209"/>
      <c r="BN81" s="15"/>
      <c r="BO81" s="15"/>
      <c r="BP81" s="210"/>
      <c r="BQ81" s="182"/>
      <c r="BR81" s="182"/>
      <c r="BS81" s="182"/>
      <c r="BT81" s="20"/>
      <c r="BU81" s="20"/>
      <c r="BV81" s="20"/>
      <c r="BW81" s="185"/>
      <c r="BX81" s="182"/>
      <c r="BY81" s="182"/>
      <c r="BZ81" s="182"/>
      <c r="CA81" s="182"/>
      <c r="CB81" s="201"/>
      <c r="CC81" s="202"/>
      <c r="CD81" s="203"/>
      <c r="CE81" s="204"/>
      <c r="CF81" s="204"/>
      <c r="CG81" s="204"/>
      <c r="CH81" s="204"/>
      <c r="CI81" s="204"/>
      <c r="CJ81" s="204"/>
      <c r="CK81" s="204"/>
      <c r="CL81" s="204"/>
      <c r="CM81" s="204"/>
      <c r="CN81" s="204"/>
      <c r="CO81" s="204"/>
      <c r="CP81" s="204"/>
      <c r="CQ81" s="204"/>
      <c r="CR81" s="204"/>
      <c r="CS81" s="204"/>
      <c r="CT81" s="204"/>
      <c r="CU81" s="204"/>
      <c r="CV81" s="204"/>
      <c r="CW81" s="204"/>
      <c r="CX81" s="204"/>
      <c r="CY81" s="204"/>
      <c r="CZ81" s="204"/>
      <c r="DA81" s="204"/>
      <c r="DB81" s="204"/>
      <c r="DC81" s="204"/>
      <c r="DD81" s="204"/>
      <c r="DE81" s="204"/>
      <c r="DF81" s="204"/>
      <c r="DG81" s="204"/>
      <c r="DH81" s="204"/>
      <c r="DI81" s="204"/>
      <c r="DJ81" s="204"/>
      <c r="DK81" s="204"/>
      <c r="DL81" s="204"/>
      <c r="DM81" s="204"/>
      <c r="DN81" s="204"/>
      <c r="DO81" s="204"/>
      <c r="DP81" s="204"/>
      <c r="DQ81" s="204"/>
      <c r="DR81" s="204"/>
      <c r="DS81" s="204"/>
      <c r="DT81" s="204"/>
      <c r="DU81" s="204"/>
      <c r="DV81" s="204"/>
      <c r="DW81" s="204"/>
      <c r="DX81" s="204"/>
      <c r="DY81" s="204"/>
      <c r="DZ81" s="204"/>
      <c r="EA81" s="204"/>
      <c r="EB81" s="204"/>
      <c r="EC81" s="204"/>
      <c r="ED81" s="204"/>
      <c r="EE81" s="204"/>
      <c r="EF81" s="204"/>
      <c r="EG81" s="204"/>
      <c r="EH81" s="204"/>
      <c r="EI81" s="204"/>
      <c r="EJ81" s="204"/>
      <c r="EK81" s="204"/>
      <c r="EL81" s="204"/>
      <c r="EM81" s="204"/>
      <c r="EN81" s="204"/>
      <c r="EO81" s="204"/>
      <c r="EP81" s="204"/>
      <c r="EQ81" s="204"/>
      <c r="ER81" s="204"/>
      <c r="ES81" s="204"/>
      <c r="ET81" s="204"/>
      <c r="EU81" s="204"/>
      <c r="EV81" s="204"/>
      <c r="EW81" s="204"/>
      <c r="EX81" s="204"/>
      <c r="EY81" s="204"/>
      <c r="EZ81" s="204"/>
      <c r="FA81" s="203"/>
      <c r="FB81" s="203"/>
      <c r="FC81" s="203"/>
      <c r="FD81" s="203"/>
      <c r="FE81" s="205"/>
      <c r="FF81" s="204"/>
      <c r="FG81" s="204"/>
      <c r="FH81" s="204"/>
      <c r="FI81" s="206"/>
      <c r="FJ81" s="206"/>
      <c r="FK81" s="204"/>
      <c r="FL81" s="204"/>
      <c r="FM81" s="204"/>
      <c r="FN81" s="204"/>
      <c r="FO81" s="204"/>
      <c r="FP81" s="204"/>
      <c r="FQ81" s="204"/>
      <c r="FR81" s="204"/>
      <c r="FS81" s="204"/>
      <c r="FT81" s="204"/>
      <c r="FU81" s="204"/>
      <c r="FV81" s="204"/>
      <c r="FW81" s="204"/>
      <c r="FX81" s="204"/>
      <c r="FY81" s="204"/>
      <c r="FZ81" s="204"/>
      <c r="GA81" s="204"/>
      <c r="GB81" s="204"/>
      <c r="GC81" s="204"/>
      <c r="GD81" s="204"/>
      <c r="GE81" s="204"/>
      <c r="GF81" s="204"/>
      <c r="GG81" s="204"/>
      <c r="GH81" s="204"/>
      <c r="GI81" s="204"/>
      <c r="GJ81" s="204"/>
      <c r="GK81" s="204"/>
      <c r="GL81" s="204"/>
      <c r="GM81" s="204"/>
      <c r="GN81" s="204"/>
      <c r="GO81" s="204"/>
      <c r="GP81" s="204"/>
      <c r="GQ81" s="204"/>
      <c r="GR81" s="204"/>
      <c r="GS81" s="204"/>
      <c r="GT81" s="204"/>
      <c r="GU81" s="204"/>
      <c r="GV81" s="204"/>
      <c r="GW81" s="204"/>
      <c r="GX81" s="204"/>
      <c r="GY81" s="204"/>
      <c r="GZ81" s="204"/>
    </row>
    <row r="82" ht="13.2" spans="1:208">
      <c r="A82" s="172">
        <v>45873</v>
      </c>
      <c r="B82" s="20" t="s">
        <v>373</v>
      </c>
      <c r="C82" s="18"/>
      <c r="D82" s="20"/>
      <c r="E82" s="207"/>
      <c r="F82" s="20"/>
      <c r="G82" s="176"/>
      <c r="H82" s="175"/>
      <c r="I82" s="176"/>
      <c r="J82" s="178"/>
      <c r="K82" s="174"/>
      <c r="L82" s="174"/>
      <c r="M82" s="20"/>
      <c r="N82" s="176"/>
      <c r="O82" s="179"/>
      <c r="P82" s="179"/>
      <c r="Q82" s="174"/>
      <c r="R82" s="20"/>
      <c r="S82" s="20"/>
      <c r="T82" s="20"/>
      <c r="U82" s="176"/>
      <c r="V82" s="20"/>
      <c r="W82" s="178"/>
      <c r="X82" s="20"/>
      <c r="Y82" s="20"/>
      <c r="Z82" s="20"/>
      <c r="AA82" s="20"/>
      <c r="AB82" s="20"/>
      <c r="AC82" s="20"/>
      <c r="AD82" s="20"/>
      <c r="AE82" s="20"/>
      <c r="AF82" s="20"/>
      <c r="AG82" s="20"/>
      <c r="AH82" s="20"/>
      <c r="AI82" s="20"/>
      <c r="AJ82" s="20"/>
      <c r="AK82" s="20"/>
      <c r="AL82" s="20"/>
      <c r="AM82" s="180"/>
      <c r="AN82" s="173"/>
      <c r="AO82" s="20"/>
      <c r="AP82" s="20"/>
      <c r="AQ82" s="20"/>
      <c r="AR82" s="20"/>
      <c r="AS82" s="181"/>
      <c r="AT82" s="20"/>
      <c r="AU82" s="182"/>
      <c r="AV82" s="20"/>
      <c r="AW82" s="183"/>
      <c r="AX82" s="184"/>
      <c r="AY82" s="176"/>
      <c r="AZ82" s="182"/>
      <c r="BA82" s="183"/>
      <c r="BB82" s="176"/>
      <c r="BC82" s="179"/>
      <c r="BD82" s="179"/>
      <c r="BE82" s="182"/>
      <c r="BF82" s="186"/>
      <c r="BG82" s="186"/>
      <c r="BH82" s="187"/>
      <c r="BI82" s="182"/>
      <c r="BJ82" s="179"/>
      <c r="BK82" s="179"/>
      <c r="BL82" s="208"/>
      <c r="BM82" s="209"/>
      <c r="BN82" s="15"/>
      <c r="BO82" s="15"/>
      <c r="BP82" s="210"/>
      <c r="BQ82" s="182"/>
      <c r="BR82" s="182"/>
      <c r="BS82" s="182"/>
      <c r="BT82" s="20"/>
      <c r="BU82" s="20"/>
      <c r="BV82" s="20"/>
      <c r="BW82" s="185"/>
      <c r="BX82" s="182"/>
      <c r="BY82" s="182"/>
      <c r="BZ82" s="182"/>
      <c r="CA82" s="182"/>
      <c r="CB82" s="201"/>
      <c r="CC82" s="202"/>
      <c r="CD82" s="203"/>
      <c r="CE82" s="204"/>
      <c r="CF82" s="204"/>
      <c r="CG82" s="204"/>
      <c r="CH82" s="204"/>
      <c r="CI82" s="204"/>
      <c r="CJ82" s="204"/>
      <c r="CK82" s="204"/>
      <c r="CL82" s="204"/>
      <c r="CM82" s="204"/>
      <c r="CN82" s="204"/>
      <c r="CO82" s="204"/>
      <c r="CP82" s="204"/>
      <c r="CQ82" s="204"/>
      <c r="CR82" s="204"/>
      <c r="CS82" s="204"/>
      <c r="CT82" s="204"/>
      <c r="CU82" s="204"/>
      <c r="CV82" s="204"/>
      <c r="CW82" s="204"/>
      <c r="CX82" s="204"/>
      <c r="CY82" s="204"/>
      <c r="CZ82" s="204"/>
      <c r="DA82" s="204"/>
      <c r="DB82" s="204"/>
      <c r="DC82" s="204"/>
      <c r="DD82" s="204"/>
      <c r="DE82" s="204"/>
      <c r="DF82" s="204"/>
      <c r="DG82" s="204"/>
      <c r="DH82" s="204"/>
      <c r="DI82" s="204"/>
      <c r="DJ82" s="204"/>
      <c r="DK82" s="204"/>
      <c r="DL82" s="204"/>
      <c r="DM82" s="204"/>
      <c r="DN82" s="204"/>
      <c r="DO82" s="204"/>
      <c r="DP82" s="204"/>
      <c r="DQ82" s="204"/>
      <c r="DR82" s="204"/>
      <c r="DS82" s="204"/>
      <c r="DT82" s="204"/>
      <c r="DU82" s="204"/>
      <c r="DV82" s="204"/>
      <c r="DW82" s="204"/>
      <c r="DX82" s="204"/>
      <c r="DY82" s="204"/>
      <c r="DZ82" s="204"/>
      <c r="EA82" s="204"/>
      <c r="EB82" s="204"/>
      <c r="EC82" s="204"/>
      <c r="ED82" s="204"/>
      <c r="EE82" s="204"/>
      <c r="EF82" s="204"/>
      <c r="EG82" s="204"/>
      <c r="EH82" s="204"/>
      <c r="EI82" s="204"/>
      <c r="EJ82" s="204"/>
      <c r="EK82" s="204"/>
      <c r="EL82" s="204"/>
      <c r="EM82" s="204"/>
      <c r="EN82" s="204"/>
      <c r="EO82" s="204"/>
      <c r="EP82" s="204"/>
      <c r="EQ82" s="204"/>
      <c r="ER82" s="204"/>
      <c r="ES82" s="204"/>
      <c r="ET82" s="204"/>
      <c r="EU82" s="204"/>
      <c r="EV82" s="204"/>
      <c r="EW82" s="204"/>
      <c r="EX82" s="204"/>
      <c r="EY82" s="204"/>
      <c r="EZ82" s="204"/>
      <c r="FA82" s="203"/>
      <c r="FB82" s="203"/>
      <c r="FC82" s="203"/>
      <c r="FD82" s="203"/>
      <c r="FE82" s="205"/>
      <c r="FF82" s="204"/>
      <c r="FG82" s="204"/>
      <c r="FH82" s="204"/>
      <c r="FI82" s="206"/>
      <c r="FJ82" s="206"/>
      <c r="FK82" s="204"/>
      <c r="FL82" s="204"/>
      <c r="FM82" s="204"/>
      <c r="FN82" s="204"/>
      <c r="FO82" s="204"/>
      <c r="FP82" s="204"/>
      <c r="FQ82" s="204"/>
      <c r="FR82" s="204"/>
      <c r="FS82" s="204"/>
      <c r="FT82" s="204"/>
      <c r="FU82" s="204"/>
      <c r="FV82" s="204"/>
      <c r="FW82" s="204"/>
      <c r="FX82" s="204"/>
      <c r="FY82" s="204"/>
      <c r="FZ82" s="204"/>
      <c r="GA82" s="204"/>
      <c r="GB82" s="204"/>
      <c r="GC82" s="204"/>
      <c r="GD82" s="204"/>
      <c r="GE82" s="204"/>
      <c r="GF82" s="204"/>
      <c r="GG82" s="204"/>
      <c r="GH82" s="204"/>
      <c r="GI82" s="204"/>
      <c r="GJ82" s="204"/>
      <c r="GK82" s="204"/>
      <c r="GL82" s="204"/>
      <c r="GM82" s="204"/>
      <c r="GN82" s="204"/>
      <c r="GO82" s="204"/>
      <c r="GP82" s="204"/>
      <c r="GQ82" s="204"/>
      <c r="GR82" s="204"/>
      <c r="GS82" s="204"/>
      <c r="GT82" s="204"/>
      <c r="GU82" s="204"/>
      <c r="GV82" s="204"/>
      <c r="GW82" s="204"/>
      <c r="GX82" s="204"/>
      <c r="GY82" s="204"/>
      <c r="GZ82" s="204"/>
    </row>
    <row r="83" ht="13.2" spans="1:208">
      <c r="A83" s="172">
        <v>45874</v>
      </c>
      <c r="B83" s="20" t="s">
        <v>375</v>
      </c>
      <c r="C83" s="18"/>
      <c r="D83" s="20"/>
      <c r="E83" s="207"/>
      <c r="F83" s="20"/>
      <c r="G83" s="176"/>
      <c r="H83" s="175"/>
      <c r="I83" s="176"/>
      <c r="J83" s="178"/>
      <c r="K83" s="174"/>
      <c r="L83" s="174"/>
      <c r="M83" s="20"/>
      <c r="N83" s="176"/>
      <c r="O83" s="179"/>
      <c r="P83" s="179"/>
      <c r="Q83" s="174"/>
      <c r="R83" s="20"/>
      <c r="S83" s="20"/>
      <c r="T83" s="20"/>
      <c r="U83" s="176"/>
      <c r="V83" s="20"/>
      <c r="W83" s="178"/>
      <c r="X83" s="20"/>
      <c r="Y83" s="20"/>
      <c r="Z83" s="20"/>
      <c r="AA83" s="20"/>
      <c r="AB83" s="20"/>
      <c r="AC83" s="20"/>
      <c r="AD83" s="20"/>
      <c r="AE83" s="20"/>
      <c r="AF83" s="20"/>
      <c r="AG83" s="20"/>
      <c r="AH83" s="20"/>
      <c r="AI83" s="20"/>
      <c r="AJ83" s="20"/>
      <c r="AK83" s="20"/>
      <c r="AL83" s="20"/>
      <c r="AM83" s="180"/>
      <c r="AN83" s="173"/>
      <c r="AO83" s="20"/>
      <c r="AP83" s="20"/>
      <c r="AQ83" s="20"/>
      <c r="AR83" s="20"/>
      <c r="AS83" s="181"/>
      <c r="AT83" s="20"/>
      <c r="AU83" s="182"/>
      <c r="AV83" s="20"/>
      <c r="AW83" s="183"/>
      <c r="AX83" s="184"/>
      <c r="AY83" s="176"/>
      <c r="AZ83" s="182"/>
      <c r="BA83" s="183"/>
      <c r="BB83" s="176"/>
      <c r="BC83" s="179"/>
      <c r="BD83" s="179"/>
      <c r="BE83" s="182"/>
      <c r="BF83" s="186"/>
      <c r="BG83" s="186"/>
      <c r="BH83" s="187"/>
      <c r="BI83" s="182"/>
      <c r="BJ83" s="179"/>
      <c r="BK83" s="179"/>
      <c r="BL83" s="208"/>
      <c r="BM83" s="209"/>
      <c r="BN83" s="15"/>
      <c r="BO83" s="15"/>
      <c r="BP83" s="210"/>
      <c r="BQ83" s="182"/>
      <c r="BR83" s="182"/>
      <c r="BS83" s="182"/>
      <c r="BT83" s="20"/>
      <c r="BU83" s="20"/>
      <c r="BV83" s="20"/>
      <c r="BW83" s="185"/>
      <c r="BX83" s="182"/>
      <c r="BY83" s="182"/>
      <c r="BZ83" s="182"/>
      <c r="CA83" s="182"/>
      <c r="CC83" s="8"/>
      <c r="CD83" s="198"/>
      <c r="CE83" s="197"/>
      <c r="CF83" s="197"/>
      <c r="CG83" s="197"/>
      <c r="CH83" s="197"/>
      <c r="CI83" s="197"/>
      <c r="CJ83" s="197"/>
      <c r="CK83" s="197"/>
      <c r="CL83" s="197"/>
      <c r="CM83" s="197"/>
      <c r="CN83" s="197"/>
      <c r="CO83" s="197"/>
      <c r="CP83" s="197"/>
      <c r="CQ83" s="197"/>
      <c r="CR83" s="197"/>
      <c r="CS83" s="197"/>
      <c r="CT83" s="197"/>
      <c r="CU83" s="197"/>
      <c r="CV83" s="197"/>
      <c r="CW83" s="197"/>
      <c r="CX83" s="197"/>
      <c r="CY83" s="197"/>
      <c r="CZ83" s="197"/>
      <c r="DA83" s="197"/>
      <c r="DB83" s="197"/>
      <c r="DC83" s="197"/>
      <c r="DD83" s="197"/>
      <c r="DE83" s="197"/>
      <c r="DF83" s="197"/>
      <c r="DG83" s="197"/>
      <c r="DH83" s="197"/>
      <c r="DI83" s="197"/>
      <c r="DJ83" s="197"/>
      <c r="DK83" s="197"/>
      <c r="DL83" s="197"/>
      <c r="DM83" s="197"/>
      <c r="DN83" s="197"/>
      <c r="DO83" s="197"/>
      <c r="DP83" s="197"/>
      <c r="DQ83" s="197"/>
      <c r="DR83" s="197"/>
      <c r="DS83" s="197"/>
      <c r="DT83" s="197"/>
      <c r="DU83" s="197"/>
      <c r="DV83" s="197"/>
      <c r="DW83" s="197"/>
      <c r="DX83" s="197"/>
      <c r="DY83" s="197"/>
      <c r="DZ83" s="197"/>
      <c r="EA83" s="197"/>
      <c r="EB83" s="197"/>
      <c r="EC83" s="197"/>
      <c r="ED83" s="197"/>
      <c r="EE83" s="197"/>
      <c r="EF83" s="197"/>
      <c r="EG83" s="197"/>
      <c r="EH83" s="197"/>
      <c r="EI83" s="197"/>
      <c r="EJ83" s="197"/>
      <c r="EK83" s="197"/>
      <c r="EL83" s="197"/>
      <c r="EM83" s="197"/>
      <c r="EN83" s="197"/>
      <c r="EO83" s="197"/>
      <c r="EP83" s="197"/>
      <c r="EQ83" s="197"/>
      <c r="ER83" s="197"/>
      <c r="ES83" s="197"/>
      <c r="ET83" s="197"/>
      <c r="EU83" s="197"/>
      <c r="EV83" s="197"/>
      <c r="EW83" s="197"/>
      <c r="EX83" s="197"/>
      <c r="EY83" s="197"/>
      <c r="EZ83" s="197"/>
      <c r="FA83" s="198"/>
      <c r="FB83" s="198"/>
      <c r="FC83" s="198"/>
      <c r="FD83" s="198"/>
      <c r="FE83" s="211"/>
      <c r="FF83" s="197"/>
      <c r="FG83" s="197"/>
      <c r="FH83" s="197"/>
      <c r="FI83" s="212"/>
      <c r="FJ83" s="212"/>
      <c r="FK83" s="197"/>
      <c r="FL83" s="197"/>
      <c r="FM83" s="197"/>
      <c r="FN83" s="197"/>
      <c r="FO83" s="197"/>
      <c r="FP83" s="197"/>
      <c r="FQ83" s="197"/>
      <c r="FR83" s="197"/>
      <c r="FS83" s="197"/>
      <c r="FT83" s="197"/>
      <c r="FU83" s="197"/>
      <c r="FV83" s="197"/>
      <c r="FW83" s="197"/>
      <c r="FX83" s="197"/>
      <c r="FY83" s="197"/>
      <c r="FZ83" s="197"/>
      <c r="GA83" s="197"/>
      <c r="GB83" s="197"/>
      <c r="GC83" s="197"/>
      <c r="GD83" s="197"/>
      <c r="GE83" s="197"/>
      <c r="GF83" s="197"/>
      <c r="GG83" s="197"/>
      <c r="GH83" s="197"/>
      <c r="GI83" s="197"/>
      <c r="GJ83" s="197"/>
      <c r="GK83" s="197"/>
      <c r="GL83" s="197"/>
      <c r="GM83" s="197"/>
      <c r="GN83" s="197"/>
      <c r="GO83" s="197"/>
      <c r="GP83" s="197"/>
      <c r="GQ83" s="197"/>
      <c r="GR83" s="197"/>
      <c r="GS83" s="197"/>
      <c r="GT83" s="197"/>
      <c r="GU83" s="197"/>
      <c r="GV83" s="197"/>
      <c r="GW83" s="197"/>
      <c r="GX83" s="197"/>
      <c r="GY83" s="197"/>
      <c r="GZ83" s="197"/>
    </row>
    <row r="84" ht="13.2" spans="1:208">
      <c r="A84" s="172">
        <v>45875</v>
      </c>
      <c r="B84" s="20" t="s">
        <v>377</v>
      </c>
      <c r="C84" s="18"/>
      <c r="D84" s="20"/>
      <c r="E84" s="207"/>
      <c r="F84" s="20"/>
      <c r="G84" s="176"/>
      <c r="H84" s="175"/>
      <c r="I84" s="176"/>
      <c r="J84" s="178"/>
      <c r="K84" s="174"/>
      <c r="L84" s="174"/>
      <c r="M84" s="20"/>
      <c r="N84" s="176"/>
      <c r="O84" s="179"/>
      <c r="P84" s="179"/>
      <c r="Q84" s="174"/>
      <c r="R84" s="20"/>
      <c r="S84" s="20"/>
      <c r="T84" s="20"/>
      <c r="U84" s="176"/>
      <c r="V84" s="20"/>
      <c r="W84" s="178"/>
      <c r="X84" s="20"/>
      <c r="Y84" s="20"/>
      <c r="Z84" s="20"/>
      <c r="AA84" s="20"/>
      <c r="AB84" s="20"/>
      <c r="AC84" s="20"/>
      <c r="AD84" s="20"/>
      <c r="AE84" s="20"/>
      <c r="AF84" s="20"/>
      <c r="AG84" s="20"/>
      <c r="AH84" s="20"/>
      <c r="AI84" s="20"/>
      <c r="AJ84" s="20"/>
      <c r="AK84" s="20"/>
      <c r="AL84" s="20"/>
      <c r="AM84" s="180"/>
      <c r="AN84" s="173"/>
      <c r="AO84" s="20"/>
      <c r="AP84" s="20"/>
      <c r="AQ84" s="20"/>
      <c r="AR84" s="20"/>
      <c r="AS84" s="181"/>
      <c r="AT84" s="20"/>
      <c r="AU84" s="182"/>
      <c r="AV84" s="20"/>
      <c r="AW84" s="183"/>
      <c r="AX84" s="184"/>
      <c r="AY84" s="176"/>
      <c r="AZ84" s="182"/>
      <c r="BA84" s="183"/>
      <c r="BB84" s="176"/>
      <c r="BC84" s="179"/>
      <c r="BD84" s="179"/>
      <c r="BE84" s="182"/>
      <c r="BF84" s="186"/>
      <c r="BG84" s="186"/>
      <c r="BH84" s="187"/>
      <c r="BI84" s="182"/>
      <c r="BJ84" s="179"/>
      <c r="BK84" s="179"/>
      <c r="BL84" s="208"/>
      <c r="BM84" s="209"/>
      <c r="BN84" s="15"/>
      <c r="BO84" s="15"/>
      <c r="BP84" s="210"/>
      <c r="BQ84" s="182"/>
      <c r="BR84" s="182"/>
      <c r="BS84" s="182"/>
      <c r="BT84" s="20"/>
      <c r="BU84" s="20"/>
      <c r="BV84" s="20"/>
      <c r="BW84" s="185"/>
      <c r="BX84" s="182"/>
      <c r="BY84" s="182"/>
      <c r="BZ84" s="182"/>
      <c r="CA84" s="182"/>
      <c r="CC84" s="8"/>
      <c r="CD84" s="198"/>
      <c r="CE84" s="197"/>
      <c r="CF84" s="197"/>
      <c r="CG84" s="197"/>
      <c r="CH84" s="197"/>
      <c r="CI84" s="197"/>
      <c r="CJ84" s="197"/>
      <c r="CK84" s="197"/>
      <c r="CL84" s="197"/>
      <c r="CM84" s="197"/>
      <c r="CN84" s="197"/>
      <c r="CO84" s="197"/>
      <c r="CP84" s="197"/>
      <c r="CQ84" s="197"/>
      <c r="CR84" s="197"/>
      <c r="CS84" s="197"/>
      <c r="CT84" s="197"/>
      <c r="CU84" s="197"/>
      <c r="CV84" s="197"/>
      <c r="CW84" s="197"/>
      <c r="CX84" s="197"/>
      <c r="CY84" s="197"/>
      <c r="CZ84" s="197"/>
      <c r="DA84" s="197"/>
      <c r="DB84" s="197"/>
      <c r="DC84" s="197"/>
      <c r="DD84" s="197"/>
      <c r="DE84" s="197"/>
      <c r="DF84" s="197"/>
      <c r="DG84" s="197"/>
      <c r="DH84" s="197"/>
      <c r="DI84" s="197"/>
      <c r="DJ84" s="197"/>
      <c r="DK84" s="197"/>
      <c r="DL84" s="197"/>
      <c r="DM84" s="197"/>
      <c r="DN84" s="197"/>
      <c r="DO84" s="197"/>
      <c r="DP84" s="197"/>
      <c r="DQ84" s="197"/>
      <c r="DR84" s="197"/>
      <c r="DS84" s="197"/>
      <c r="DT84" s="197"/>
      <c r="DU84" s="197"/>
      <c r="DV84" s="197"/>
      <c r="DW84" s="197"/>
      <c r="DX84" s="197"/>
      <c r="DY84" s="197"/>
      <c r="DZ84" s="197"/>
      <c r="EA84" s="197"/>
      <c r="EB84" s="197"/>
      <c r="EC84" s="197"/>
      <c r="ED84" s="197"/>
      <c r="EE84" s="197"/>
      <c r="EF84" s="197"/>
      <c r="EG84" s="197"/>
      <c r="EH84" s="197"/>
      <c r="EI84" s="197"/>
      <c r="EJ84" s="197"/>
      <c r="EK84" s="197"/>
      <c r="EL84" s="197"/>
      <c r="EM84" s="197"/>
      <c r="EN84" s="197"/>
      <c r="EO84" s="197"/>
      <c r="EP84" s="197"/>
      <c r="EQ84" s="197"/>
      <c r="ER84" s="197"/>
      <c r="ES84" s="197"/>
      <c r="ET84" s="197"/>
      <c r="EU84" s="197"/>
      <c r="EV84" s="197"/>
      <c r="EW84" s="197"/>
      <c r="EX84" s="197"/>
      <c r="EY84" s="197"/>
      <c r="EZ84" s="197"/>
      <c r="FA84" s="198"/>
      <c r="FB84" s="198"/>
      <c r="FC84" s="198"/>
      <c r="FD84" s="198"/>
      <c r="FE84" s="211"/>
      <c r="FF84" s="197"/>
      <c r="FG84" s="197"/>
      <c r="FH84" s="197"/>
      <c r="FI84" s="212"/>
      <c r="FJ84" s="212"/>
      <c r="FK84" s="197"/>
      <c r="FL84" s="197"/>
      <c r="FM84" s="197"/>
      <c r="FN84" s="197"/>
      <c r="FO84" s="197"/>
      <c r="FP84" s="197"/>
      <c r="FQ84" s="197"/>
      <c r="FR84" s="197"/>
      <c r="FS84" s="197"/>
      <c r="FT84" s="197"/>
      <c r="FU84" s="197"/>
      <c r="FV84" s="197"/>
      <c r="FW84" s="197"/>
      <c r="FX84" s="197"/>
      <c r="FY84" s="197"/>
      <c r="FZ84" s="197"/>
      <c r="GA84" s="197"/>
      <c r="GB84" s="197"/>
      <c r="GC84" s="197"/>
      <c r="GD84" s="197"/>
      <c r="GE84" s="197"/>
      <c r="GF84" s="197"/>
      <c r="GG84" s="197"/>
      <c r="GH84" s="197"/>
      <c r="GI84" s="197"/>
      <c r="GJ84" s="197"/>
      <c r="GK84" s="197"/>
      <c r="GL84" s="197"/>
      <c r="GM84" s="197"/>
      <c r="GN84" s="197"/>
      <c r="GO84" s="197"/>
      <c r="GP84" s="197"/>
      <c r="GQ84" s="197"/>
      <c r="GR84" s="197"/>
      <c r="GS84" s="197"/>
      <c r="GT84" s="197"/>
      <c r="GU84" s="197"/>
      <c r="GV84" s="197"/>
      <c r="GW84" s="197"/>
      <c r="GX84" s="197"/>
      <c r="GY84" s="197"/>
      <c r="GZ84" s="197"/>
    </row>
    <row r="85" ht="13.2" spans="1:208">
      <c r="A85" s="172">
        <v>45876</v>
      </c>
      <c r="B85" s="20" t="s">
        <v>379</v>
      </c>
      <c r="C85" s="18"/>
      <c r="D85" s="20"/>
      <c r="E85" s="207"/>
      <c r="F85" s="20"/>
      <c r="G85" s="176"/>
      <c r="H85" s="175"/>
      <c r="I85" s="176"/>
      <c r="J85" s="178"/>
      <c r="K85" s="174"/>
      <c r="L85" s="174"/>
      <c r="M85" s="20"/>
      <c r="N85" s="176"/>
      <c r="O85" s="179"/>
      <c r="P85" s="179"/>
      <c r="Q85" s="174"/>
      <c r="R85" s="20"/>
      <c r="S85" s="20"/>
      <c r="T85" s="20"/>
      <c r="U85" s="176"/>
      <c r="V85" s="20"/>
      <c r="W85" s="178"/>
      <c r="X85" s="20"/>
      <c r="Y85" s="20"/>
      <c r="Z85" s="20"/>
      <c r="AA85" s="20"/>
      <c r="AB85" s="20"/>
      <c r="AC85" s="20"/>
      <c r="AD85" s="20"/>
      <c r="AE85" s="20"/>
      <c r="AF85" s="20"/>
      <c r="AG85" s="20"/>
      <c r="AH85" s="20"/>
      <c r="AI85" s="20"/>
      <c r="AJ85" s="20"/>
      <c r="AK85" s="20"/>
      <c r="AL85" s="20"/>
      <c r="AM85" s="180"/>
      <c r="AN85" s="173"/>
      <c r="AO85" s="20"/>
      <c r="AP85" s="20"/>
      <c r="AQ85" s="20"/>
      <c r="AR85" s="20"/>
      <c r="AS85" s="181"/>
      <c r="AT85" s="20"/>
      <c r="AU85" s="182"/>
      <c r="AV85" s="20"/>
      <c r="AW85" s="183"/>
      <c r="AX85" s="184"/>
      <c r="AY85" s="176"/>
      <c r="AZ85" s="182"/>
      <c r="BA85" s="183"/>
      <c r="BB85" s="176"/>
      <c r="BC85" s="179"/>
      <c r="BD85" s="179"/>
      <c r="BE85" s="182"/>
      <c r="BF85" s="186"/>
      <c r="BG85" s="186"/>
      <c r="BH85" s="187"/>
      <c r="BI85" s="182"/>
      <c r="BJ85" s="179"/>
      <c r="BK85" s="179"/>
      <c r="BL85" s="208"/>
      <c r="BM85" s="209"/>
      <c r="BN85" s="15"/>
      <c r="BO85" s="15"/>
      <c r="BP85" s="210"/>
      <c r="BQ85" s="182"/>
      <c r="BR85" s="182"/>
      <c r="BS85" s="182"/>
      <c r="BT85" s="20"/>
      <c r="BU85" s="20"/>
      <c r="BV85" s="20"/>
      <c r="BW85" s="185"/>
      <c r="BX85" s="182"/>
      <c r="BY85" s="182"/>
      <c r="BZ85" s="182"/>
      <c r="CA85" s="182"/>
      <c r="CC85" s="8"/>
      <c r="CD85" s="198"/>
      <c r="CE85" s="197"/>
      <c r="CF85" s="197"/>
      <c r="CG85" s="197"/>
      <c r="CH85" s="197"/>
      <c r="CI85" s="197"/>
      <c r="CJ85" s="197"/>
      <c r="CK85" s="197"/>
      <c r="CL85" s="197"/>
      <c r="CM85" s="197"/>
      <c r="CN85" s="197"/>
      <c r="CO85" s="197"/>
      <c r="CP85" s="197"/>
      <c r="CQ85" s="197"/>
      <c r="CR85" s="197"/>
      <c r="CS85" s="197"/>
      <c r="CT85" s="197"/>
      <c r="CU85" s="197"/>
      <c r="CV85" s="197"/>
      <c r="CW85" s="197"/>
      <c r="CX85" s="197"/>
      <c r="CY85" s="197"/>
      <c r="CZ85" s="197"/>
      <c r="DA85" s="197"/>
      <c r="DB85" s="197"/>
      <c r="DC85" s="197"/>
      <c r="DD85" s="197"/>
      <c r="DE85" s="197"/>
      <c r="DF85" s="197"/>
      <c r="DG85" s="197"/>
      <c r="DH85" s="197"/>
      <c r="DI85" s="197"/>
      <c r="DJ85" s="197"/>
      <c r="DK85" s="197"/>
      <c r="DL85" s="197"/>
      <c r="DM85" s="197"/>
      <c r="DN85" s="197"/>
      <c r="DO85" s="197"/>
      <c r="DP85" s="197"/>
      <c r="DQ85" s="197"/>
      <c r="DR85" s="197"/>
      <c r="DS85" s="197"/>
      <c r="DT85" s="197"/>
      <c r="DU85" s="197"/>
      <c r="DV85" s="197"/>
      <c r="DW85" s="197"/>
      <c r="DX85" s="197"/>
      <c r="DY85" s="197"/>
      <c r="DZ85" s="197"/>
      <c r="EA85" s="197"/>
      <c r="EB85" s="197"/>
      <c r="EC85" s="197"/>
      <c r="ED85" s="197"/>
      <c r="EE85" s="197"/>
      <c r="EF85" s="197"/>
      <c r="EG85" s="197"/>
      <c r="EH85" s="197"/>
      <c r="EI85" s="197"/>
      <c r="EJ85" s="197"/>
      <c r="EK85" s="197"/>
      <c r="EL85" s="197"/>
      <c r="EM85" s="197"/>
      <c r="EN85" s="197"/>
      <c r="EO85" s="197"/>
      <c r="EP85" s="197"/>
      <c r="EQ85" s="197"/>
      <c r="ER85" s="197"/>
      <c r="ES85" s="197"/>
      <c r="ET85" s="197"/>
      <c r="EU85" s="197"/>
      <c r="EV85" s="197"/>
      <c r="EW85" s="197"/>
      <c r="EX85" s="197"/>
      <c r="EY85" s="197"/>
      <c r="EZ85" s="197"/>
      <c r="FA85" s="198"/>
      <c r="FB85" s="198"/>
      <c r="FC85" s="198"/>
      <c r="FD85" s="198"/>
      <c r="FE85" s="211"/>
      <c r="FF85" s="197"/>
      <c r="FG85" s="197"/>
      <c r="FH85" s="197"/>
      <c r="FI85" s="212"/>
      <c r="FJ85" s="212"/>
      <c r="FK85" s="197"/>
      <c r="FL85" s="197"/>
      <c r="FM85" s="197"/>
      <c r="FN85" s="197"/>
      <c r="FO85" s="197"/>
      <c r="FP85" s="197"/>
      <c r="FQ85" s="197"/>
      <c r="FR85" s="197"/>
      <c r="FS85" s="197"/>
      <c r="FT85" s="197"/>
      <c r="FU85" s="197"/>
      <c r="FV85" s="197"/>
      <c r="FW85" s="197"/>
      <c r="FX85" s="197"/>
      <c r="FY85" s="197"/>
      <c r="FZ85" s="197"/>
      <c r="GA85" s="197"/>
      <c r="GB85" s="197"/>
      <c r="GC85" s="197"/>
      <c r="GD85" s="197"/>
      <c r="GE85" s="197"/>
      <c r="GF85" s="197"/>
      <c r="GG85" s="197"/>
      <c r="GH85" s="197"/>
      <c r="GI85" s="197"/>
      <c r="GJ85" s="197"/>
      <c r="GK85" s="197"/>
      <c r="GL85" s="197"/>
      <c r="GM85" s="197"/>
      <c r="GN85" s="197"/>
      <c r="GO85" s="197"/>
      <c r="GP85" s="197"/>
      <c r="GQ85" s="197"/>
      <c r="GR85" s="197"/>
      <c r="GS85" s="197"/>
      <c r="GT85" s="197"/>
      <c r="GU85" s="197"/>
      <c r="GV85" s="197"/>
      <c r="GW85" s="197"/>
      <c r="GX85" s="197"/>
      <c r="GY85" s="197"/>
      <c r="GZ85" s="197"/>
    </row>
    <row r="86" ht="13.2" spans="1:208">
      <c r="A86" s="172">
        <v>45877</v>
      </c>
      <c r="B86" s="20" t="s">
        <v>381</v>
      </c>
      <c r="C86" s="18"/>
      <c r="D86" s="20"/>
      <c r="E86" s="207"/>
      <c r="F86" s="20"/>
      <c r="G86" s="176"/>
      <c r="H86" s="175"/>
      <c r="I86" s="176"/>
      <c r="J86" s="178"/>
      <c r="K86" s="174"/>
      <c r="L86" s="174"/>
      <c r="M86" s="20"/>
      <c r="N86" s="176"/>
      <c r="O86" s="179"/>
      <c r="P86" s="179"/>
      <c r="Q86" s="174"/>
      <c r="R86" s="20"/>
      <c r="S86" s="20"/>
      <c r="T86" s="20"/>
      <c r="U86" s="176"/>
      <c r="V86" s="20"/>
      <c r="W86" s="178"/>
      <c r="X86" s="20"/>
      <c r="Y86" s="20"/>
      <c r="Z86" s="20"/>
      <c r="AA86" s="20"/>
      <c r="AB86" s="20"/>
      <c r="AC86" s="20"/>
      <c r="AD86" s="20"/>
      <c r="AE86" s="20"/>
      <c r="AF86" s="20"/>
      <c r="AG86" s="20"/>
      <c r="AH86" s="20"/>
      <c r="AI86" s="20"/>
      <c r="AJ86" s="20"/>
      <c r="AK86" s="20"/>
      <c r="AL86" s="20"/>
      <c r="AM86" s="180"/>
      <c r="AN86" s="173"/>
      <c r="AO86" s="20"/>
      <c r="AP86" s="20"/>
      <c r="AQ86" s="20"/>
      <c r="AR86" s="20"/>
      <c r="AS86" s="181"/>
      <c r="AT86" s="20"/>
      <c r="AU86" s="182"/>
      <c r="AV86" s="20"/>
      <c r="AW86" s="183"/>
      <c r="AX86" s="184"/>
      <c r="AY86" s="176"/>
      <c r="AZ86" s="182"/>
      <c r="BA86" s="183"/>
      <c r="BB86" s="176"/>
      <c r="BC86" s="179"/>
      <c r="BD86" s="179"/>
      <c r="BE86" s="182"/>
      <c r="BF86" s="186"/>
      <c r="BG86" s="186"/>
      <c r="BH86" s="187"/>
      <c r="BI86" s="182"/>
      <c r="BJ86" s="179"/>
      <c r="BK86" s="179"/>
      <c r="BL86" s="208"/>
      <c r="BM86" s="209"/>
      <c r="BN86" s="15"/>
      <c r="BO86" s="15"/>
      <c r="BP86" s="210"/>
      <c r="BQ86" s="182"/>
      <c r="BR86" s="182"/>
      <c r="BS86" s="182"/>
      <c r="BT86" s="20"/>
      <c r="BU86" s="20"/>
      <c r="BV86" s="20"/>
      <c r="BW86" s="185"/>
      <c r="BX86" s="182"/>
      <c r="BY86" s="182"/>
      <c r="BZ86" s="182"/>
      <c r="CA86" s="182"/>
      <c r="CC86" s="8"/>
      <c r="CD86" s="198"/>
      <c r="CE86" s="197"/>
      <c r="CF86" s="197"/>
      <c r="CG86" s="197"/>
      <c r="CH86" s="197"/>
      <c r="CI86" s="197"/>
      <c r="CJ86" s="197"/>
      <c r="CK86" s="197"/>
      <c r="CL86" s="197"/>
      <c r="CM86" s="197"/>
      <c r="CN86" s="197"/>
      <c r="CO86" s="197"/>
      <c r="CP86" s="197"/>
      <c r="CQ86" s="197"/>
      <c r="CR86" s="197"/>
      <c r="CS86" s="197"/>
      <c r="CT86" s="197"/>
      <c r="CU86" s="197"/>
      <c r="CV86" s="197"/>
      <c r="CW86" s="197"/>
      <c r="CX86" s="197"/>
      <c r="CY86" s="197"/>
      <c r="CZ86" s="197"/>
      <c r="DA86" s="197"/>
      <c r="DB86" s="197"/>
      <c r="DC86" s="197"/>
      <c r="DD86" s="197"/>
      <c r="DE86" s="197"/>
      <c r="DF86" s="197"/>
      <c r="DG86" s="197"/>
      <c r="DH86" s="197"/>
      <c r="DI86" s="197"/>
      <c r="DJ86" s="197"/>
      <c r="DK86" s="197"/>
      <c r="DL86" s="197"/>
      <c r="DM86" s="197"/>
      <c r="DN86" s="197"/>
      <c r="DO86" s="197"/>
      <c r="DP86" s="197"/>
      <c r="DQ86" s="197"/>
      <c r="DR86" s="197"/>
      <c r="DS86" s="197"/>
      <c r="DT86" s="197"/>
      <c r="DU86" s="197"/>
      <c r="DV86" s="197"/>
      <c r="DW86" s="197"/>
      <c r="DX86" s="197"/>
      <c r="DY86" s="197"/>
      <c r="DZ86" s="197"/>
      <c r="EA86" s="197"/>
      <c r="EB86" s="197"/>
      <c r="EC86" s="197"/>
      <c r="ED86" s="197"/>
      <c r="EE86" s="197"/>
      <c r="EF86" s="197"/>
      <c r="EG86" s="197"/>
      <c r="EH86" s="197"/>
      <c r="EI86" s="197"/>
      <c r="EJ86" s="197"/>
      <c r="EK86" s="197"/>
      <c r="EL86" s="197"/>
      <c r="EM86" s="197"/>
      <c r="EN86" s="197"/>
      <c r="EO86" s="197"/>
      <c r="EP86" s="197"/>
      <c r="EQ86" s="197"/>
      <c r="ER86" s="197"/>
      <c r="ES86" s="197"/>
      <c r="ET86" s="197"/>
      <c r="EU86" s="197"/>
      <c r="EV86" s="197"/>
      <c r="EW86" s="197"/>
      <c r="EX86" s="197"/>
      <c r="EY86" s="197"/>
      <c r="EZ86" s="197"/>
      <c r="FA86" s="198"/>
      <c r="FB86" s="198"/>
      <c r="FC86" s="198"/>
      <c r="FD86" s="198"/>
      <c r="FE86" s="211"/>
      <c r="FF86" s="197"/>
      <c r="FG86" s="197"/>
      <c r="FH86" s="197"/>
      <c r="FI86" s="212"/>
      <c r="FJ86" s="212"/>
      <c r="FK86" s="197"/>
      <c r="FL86" s="197"/>
      <c r="FM86" s="197"/>
      <c r="FN86" s="197"/>
      <c r="FO86" s="197"/>
      <c r="FP86" s="197"/>
      <c r="FQ86" s="197"/>
      <c r="FR86" s="197"/>
      <c r="FS86" s="197"/>
      <c r="FT86" s="197"/>
      <c r="FU86" s="197"/>
      <c r="FV86" s="197"/>
      <c r="FW86" s="197"/>
      <c r="FX86" s="197"/>
      <c r="FY86" s="197"/>
      <c r="FZ86" s="197"/>
      <c r="GA86" s="197"/>
      <c r="GB86" s="197"/>
      <c r="GC86" s="197"/>
      <c r="GD86" s="197"/>
      <c r="GE86" s="197"/>
      <c r="GF86" s="197"/>
      <c r="GG86" s="197"/>
      <c r="GH86" s="197"/>
      <c r="GI86" s="197"/>
      <c r="GJ86" s="197"/>
      <c r="GK86" s="197"/>
      <c r="GL86" s="197"/>
      <c r="GM86" s="197"/>
      <c r="GN86" s="197"/>
      <c r="GO86" s="197"/>
      <c r="GP86" s="197"/>
      <c r="GQ86" s="197"/>
      <c r="GR86" s="197"/>
      <c r="GS86" s="197"/>
      <c r="GT86" s="197"/>
      <c r="GU86" s="197"/>
      <c r="GV86" s="197"/>
      <c r="GW86" s="197"/>
      <c r="GX86" s="197"/>
      <c r="GY86" s="197"/>
      <c r="GZ86" s="197"/>
    </row>
    <row r="87" ht="13.2" spans="1:208">
      <c r="A87" s="172">
        <v>45878</v>
      </c>
      <c r="B87" s="20" t="s">
        <v>369</v>
      </c>
      <c r="C87" s="18"/>
      <c r="D87" s="20"/>
      <c r="E87" s="207"/>
      <c r="F87" s="20"/>
      <c r="G87" s="176"/>
      <c r="H87" s="175"/>
      <c r="I87" s="176"/>
      <c r="J87" s="178"/>
      <c r="K87" s="174"/>
      <c r="L87" s="174"/>
      <c r="M87" s="20"/>
      <c r="N87" s="176"/>
      <c r="O87" s="179"/>
      <c r="P87" s="179"/>
      <c r="Q87" s="174"/>
      <c r="R87" s="20"/>
      <c r="S87" s="20"/>
      <c r="T87" s="20"/>
      <c r="U87" s="176"/>
      <c r="V87" s="20"/>
      <c r="W87" s="178"/>
      <c r="X87" s="20"/>
      <c r="Y87" s="20"/>
      <c r="Z87" s="20"/>
      <c r="AA87" s="20"/>
      <c r="AB87" s="20"/>
      <c r="AC87" s="20"/>
      <c r="AD87" s="20"/>
      <c r="AE87" s="20"/>
      <c r="AF87" s="20"/>
      <c r="AG87" s="20"/>
      <c r="AH87" s="20"/>
      <c r="AI87" s="20"/>
      <c r="AJ87" s="20"/>
      <c r="AK87" s="20"/>
      <c r="AL87" s="20"/>
      <c r="AM87" s="180"/>
      <c r="AN87" s="173"/>
      <c r="AO87" s="20"/>
      <c r="AP87" s="20"/>
      <c r="AQ87" s="20"/>
      <c r="AR87" s="20"/>
      <c r="AS87" s="181"/>
      <c r="AT87" s="20"/>
      <c r="AU87" s="182"/>
      <c r="AV87" s="20"/>
      <c r="AW87" s="183"/>
      <c r="AX87" s="184"/>
      <c r="AY87" s="176"/>
      <c r="AZ87" s="182"/>
      <c r="BA87" s="183"/>
      <c r="BB87" s="176"/>
      <c r="BC87" s="179"/>
      <c r="BD87" s="179"/>
      <c r="BE87" s="182"/>
      <c r="BF87" s="186"/>
      <c r="BG87" s="186"/>
      <c r="BH87" s="187"/>
      <c r="BI87" s="182"/>
      <c r="BJ87" s="179"/>
      <c r="BK87" s="179"/>
      <c r="BL87" s="208"/>
      <c r="BM87" s="209"/>
      <c r="BN87" s="15"/>
      <c r="BO87" s="15"/>
      <c r="BP87" s="210"/>
      <c r="BQ87" s="182"/>
      <c r="BR87" s="182"/>
      <c r="BS87" s="182"/>
      <c r="BT87" s="20"/>
      <c r="BU87" s="20"/>
      <c r="BV87" s="20"/>
      <c r="BW87" s="185"/>
      <c r="BX87" s="182"/>
      <c r="BY87" s="182"/>
      <c r="BZ87" s="182"/>
      <c r="CA87" s="182"/>
      <c r="CC87" s="8"/>
      <c r="CD87" s="198"/>
      <c r="CE87" s="197"/>
      <c r="CF87" s="197"/>
      <c r="CG87" s="197"/>
      <c r="CH87" s="197"/>
      <c r="CI87" s="197"/>
      <c r="CJ87" s="197"/>
      <c r="CK87" s="197"/>
      <c r="CL87" s="197"/>
      <c r="CM87" s="197"/>
      <c r="CN87" s="197"/>
      <c r="CO87" s="197"/>
      <c r="CP87" s="197"/>
      <c r="CQ87" s="197"/>
      <c r="CR87" s="197"/>
      <c r="CS87" s="197"/>
      <c r="CT87" s="197"/>
      <c r="CU87" s="197"/>
      <c r="CV87" s="197"/>
      <c r="CW87" s="197"/>
      <c r="CX87" s="197"/>
      <c r="CY87" s="197"/>
      <c r="CZ87" s="197"/>
      <c r="DA87" s="197"/>
      <c r="DB87" s="197"/>
      <c r="DC87" s="197"/>
      <c r="DD87" s="197"/>
      <c r="DE87" s="197"/>
      <c r="DF87" s="197"/>
      <c r="DG87" s="197"/>
      <c r="DH87" s="197"/>
      <c r="DI87" s="197"/>
      <c r="DJ87" s="197"/>
      <c r="DK87" s="197"/>
      <c r="DL87" s="197"/>
      <c r="DM87" s="197"/>
      <c r="DN87" s="197"/>
      <c r="DO87" s="197"/>
      <c r="DP87" s="197"/>
      <c r="DQ87" s="197"/>
      <c r="DR87" s="197"/>
      <c r="DS87" s="197"/>
      <c r="DT87" s="197"/>
      <c r="DU87" s="197"/>
      <c r="DV87" s="197"/>
      <c r="DW87" s="197"/>
      <c r="DX87" s="197"/>
      <c r="DY87" s="197"/>
      <c r="DZ87" s="197"/>
      <c r="EA87" s="197"/>
      <c r="EB87" s="197"/>
      <c r="EC87" s="197"/>
      <c r="ED87" s="197"/>
      <c r="EE87" s="197"/>
      <c r="EF87" s="197"/>
      <c r="EG87" s="197"/>
      <c r="EH87" s="197"/>
      <c r="EI87" s="197"/>
      <c r="EJ87" s="197"/>
      <c r="EK87" s="197"/>
      <c r="EL87" s="197"/>
      <c r="EM87" s="197"/>
      <c r="EN87" s="197"/>
      <c r="EO87" s="197"/>
      <c r="EP87" s="197"/>
      <c r="EQ87" s="197"/>
      <c r="ER87" s="197"/>
      <c r="ES87" s="197"/>
      <c r="ET87" s="197"/>
      <c r="EU87" s="197"/>
      <c r="EV87" s="197"/>
      <c r="EW87" s="197"/>
      <c r="EX87" s="197"/>
      <c r="EY87" s="197"/>
      <c r="EZ87" s="197"/>
      <c r="FA87" s="198"/>
      <c r="FB87" s="198"/>
      <c r="FC87" s="198"/>
      <c r="FD87" s="198"/>
      <c r="FE87" s="211"/>
      <c r="FF87" s="197"/>
      <c r="FG87" s="197"/>
      <c r="FH87" s="197"/>
      <c r="FI87" s="212"/>
      <c r="FJ87" s="212"/>
      <c r="FK87" s="197"/>
      <c r="FL87" s="197"/>
      <c r="FM87" s="197"/>
      <c r="FN87" s="197"/>
      <c r="FO87" s="197"/>
      <c r="FP87" s="197"/>
      <c r="FQ87" s="197"/>
      <c r="FR87" s="197"/>
      <c r="FS87" s="197"/>
      <c r="FT87" s="197"/>
      <c r="FU87" s="197"/>
      <c r="FV87" s="197"/>
      <c r="FW87" s="197"/>
      <c r="FX87" s="197"/>
      <c r="FY87" s="197"/>
      <c r="FZ87" s="197"/>
      <c r="GA87" s="197"/>
      <c r="GB87" s="197"/>
      <c r="GC87" s="197"/>
      <c r="GD87" s="197"/>
      <c r="GE87" s="197"/>
      <c r="GF87" s="197"/>
      <c r="GG87" s="197"/>
      <c r="GH87" s="197"/>
      <c r="GI87" s="197"/>
      <c r="GJ87" s="197"/>
      <c r="GK87" s="197"/>
      <c r="GL87" s="197"/>
      <c r="GM87" s="197"/>
      <c r="GN87" s="197"/>
      <c r="GO87" s="197"/>
      <c r="GP87" s="197"/>
      <c r="GQ87" s="197"/>
      <c r="GR87" s="197"/>
      <c r="GS87" s="197"/>
      <c r="GT87" s="197"/>
      <c r="GU87" s="197"/>
      <c r="GV87" s="197"/>
      <c r="GW87" s="197"/>
      <c r="GX87" s="197"/>
      <c r="GY87" s="197"/>
      <c r="GZ87" s="197"/>
    </row>
    <row r="88" ht="13.2" spans="1:208">
      <c r="A88" s="172">
        <v>45879</v>
      </c>
      <c r="B88" s="20" t="s">
        <v>371</v>
      </c>
      <c r="C88" s="18"/>
      <c r="D88" s="20"/>
      <c r="E88" s="207"/>
      <c r="F88" s="20"/>
      <c r="G88" s="176"/>
      <c r="H88" s="175"/>
      <c r="I88" s="176"/>
      <c r="J88" s="178"/>
      <c r="K88" s="174"/>
      <c r="L88" s="174"/>
      <c r="M88" s="20"/>
      <c r="N88" s="176"/>
      <c r="O88" s="179"/>
      <c r="P88" s="179"/>
      <c r="Q88" s="174"/>
      <c r="R88" s="20"/>
      <c r="S88" s="20"/>
      <c r="T88" s="20"/>
      <c r="U88" s="176"/>
      <c r="V88" s="20"/>
      <c r="W88" s="178"/>
      <c r="X88" s="20"/>
      <c r="Y88" s="20"/>
      <c r="Z88" s="20"/>
      <c r="AA88" s="20"/>
      <c r="AB88" s="20"/>
      <c r="AC88" s="20"/>
      <c r="AD88" s="20"/>
      <c r="AE88" s="20"/>
      <c r="AF88" s="20"/>
      <c r="AG88" s="20"/>
      <c r="AH88" s="20"/>
      <c r="AI88" s="20"/>
      <c r="AJ88" s="20"/>
      <c r="AK88" s="20"/>
      <c r="AL88" s="20"/>
      <c r="AM88" s="180"/>
      <c r="AN88" s="173"/>
      <c r="AO88" s="20"/>
      <c r="AP88" s="20"/>
      <c r="AQ88" s="20"/>
      <c r="AR88" s="20"/>
      <c r="AS88" s="181"/>
      <c r="AT88" s="20"/>
      <c r="AU88" s="182"/>
      <c r="AV88" s="20"/>
      <c r="AW88" s="183"/>
      <c r="AX88" s="184"/>
      <c r="AY88" s="176"/>
      <c r="AZ88" s="182"/>
      <c r="BA88" s="183"/>
      <c r="BB88" s="176"/>
      <c r="BC88" s="179"/>
      <c r="BD88" s="179"/>
      <c r="BE88" s="182"/>
      <c r="BF88" s="186"/>
      <c r="BG88" s="186"/>
      <c r="BH88" s="187"/>
      <c r="BI88" s="182"/>
      <c r="BJ88" s="179"/>
      <c r="BK88" s="179"/>
      <c r="BL88" s="208"/>
      <c r="BM88" s="209"/>
      <c r="BN88" s="15"/>
      <c r="BO88" s="15"/>
      <c r="BP88" s="210"/>
      <c r="BQ88" s="182"/>
      <c r="BR88" s="182"/>
      <c r="BS88" s="182"/>
      <c r="BT88" s="20"/>
      <c r="BU88" s="20"/>
      <c r="BV88" s="20"/>
      <c r="BW88" s="185"/>
      <c r="BX88" s="182"/>
      <c r="BY88" s="182"/>
      <c r="BZ88" s="182"/>
      <c r="CA88" s="182"/>
      <c r="CC88" s="8"/>
      <c r="CD88" s="198"/>
      <c r="CE88" s="197"/>
      <c r="CF88" s="197"/>
      <c r="CG88" s="197"/>
      <c r="CH88" s="197"/>
      <c r="CI88" s="197"/>
      <c r="CJ88" s="197"/>
      <c r="CK88" s="197"/>
      <c r="CL88" s="197"/>
      <c r="CM88" s="197"/>
      <c r="CN88" s="197"/>
      <c r="CO88" s="197"/>
      <c r="CP88" s="197"/>
      <c r="CQ88" s="197"/>
      <c r="CR88" s="197"/>
      <c r="CS88" s="197"/>
      <c r="CT88" s="197"/>
      <c r="CU88" s="197"/>
      <c r="CV88" s="197"/>
      <c r="CW88" s="197"/>
      <c r="CX88" s="197"/>
      <c r="CY88" s="197"/>
      <c r="CZ88" s="197"/>
      <c r="DA88" s="197"/>
      <c r="DB88" s="197"/>
      <c r="DC88" s="197"/>
      <c r="DD88" s="197"/>
      <c r="DE88" s="197"/>
      <c r="DF88" s="197"/>
      <c r="DG88" s="197"/>
      <c r="DH88" s="197"/>
      <c r="DI88" s="197"/>
      <c r="DJ88" s="197"/>
      <c r="DK88" s="197"/>
      <c r="DL88" s="197"/>
      <c r="DM88" s="197"/>
      <c r="DN88" s="197"/>
      <c r="DO88" s="197"/>
      <c r="DP88" s="197"/>
      <c r="DQ88" s="197"/>
      <c r="DR88" s="197"/>
      <c r="DS88" s="197"/>
      <c r="DT88" s="197"/>
      <c r="DU88" s="197"/>
      <c r="DV88" s="197"/>
      <c r="DW88" s="197"/>
      <c r="DX88" s="197"/>
      <c r="DY88" s="197"/>
      <c r="DZ88" s="197"/>
      <c r="EA88" s="197"/>
      <c r="EB88" s="197"/>
      <c r="EC88" s="197"/>
      <c r="ED88" s="197"/>
      <c r="EE88" s="197"/>
      <c r="EF88" s="197"/>
      <c r="EG88" s="197"/>
      <c r="EH88" s="197"/>
      <c r="EI88" s="197"/>
      <c r="EJ88" s="197"/>
      <c r="EK88" s="197"/>
      <c r="EL88" s="197"/>
      <c r="EM88" s="197"/>
      <c r="EN88" s="197"/>
      <c r="EO88" s="197"/>
      <c r="EP88" s="197"/>
      <c r="EQ88" s="197"/>
      <c r="ER88" s="197"/>
      <c r="ES88" s="197"/>
      <c r="ET88" s="197"/>
      <c r="EU88" s="197"/>
      <c r="EV88" s="197"/>
      <c r="EW88" s="197"/>
      <c r="EX88" s="197"/>
      <c r="EY88" s="197"/>
      <c r="EZ88" s="197"/>
      <c r="FA88" s="198"/>
      <c r="FB88" s="198"/>
      <c r="FC88" s="198"/>
      <c r="FD88" s="198"/>
      <c r="FE88" s="211"/>
      <c r="FF88" s="197"/>
      <c r="FG88" s="197"/>
      <c r="FH88" s="197"/>
      <c r="FI88" s="212"/>
      <c r="FJ88" s="212"/>
      <c r="FK88" s="197"/>
      <c r="FL88" s="197"/>
      <c r="FM88" s="197"/>
      <c r="FN88" s="197"/>
      <c r="FO88" s="197"/>
      <c r="FP88" s="197"/>
      <c r="FQ88" s="197"/>
      <c r="FR88" s="197"/>
      <c r="FS88" s="197"/>
      <c r="FT88" s="197"/>
      <c r="FU88" s="197"/>
      <c r="FV88" s="197"/>
      <c r="FW88" s="197"/>
      <c r="FX88" s="197"/>
      <c r="FY88" s="197"/>
      <c r="FZ88" s="197"/>
      <c r="GA88" s="197"/>
      <c r="GB88" s="197"/>
      <c r="GC88" s="197"/>
      <c r="GD88" s="197"/>
      <c r="GE88" s="197"/>
      <c r="GF88" s="197"/>
      <c r="GG88" s="197"/>
      <c r="GH88" s="197"/>
      <c r="GI88" s="197"/>
      <c r="GJ88" s="197"/>
      <c r="GK88" s="197"/>
      <c r="GL88" s="197"/>
      <c r="GM88" s="197"/>
      <c r="GN88" s="197"/>
      <c r="GO88" s="197"/>
      <c r="GP88" s="197"/>
      <c r="GQ88" s="197"/>
      <c r="GR88" s="197"/>
      <c r="GS88" s="197"/>
      <c r="GT88" s="197"/>
      <c r="GU88" s="197"/>
      <c r="GV88" s="197"/>
      <c r="GW88" s="197"/>
      <c r="GX88" s="197"/>
      <c r="GY88" s="197"/>
      <c r="GZ88" s="197"/>
    </row>
    <row r="89" ht="13.2" spans="1:208">
      <c r="A89" s="172">
        <v>45880</v>
      </c>
      <c r="B89" s="20" t="s">
        <v>373</v>
      </c>
      <c r="C89" s="18"/>
      <c r="D89" s="20"/>
      <c r="E89" s="207"/>
      <c r="F89" s="20"/>
      <c r="G89" s="176"/>
      <c r="H89" s="175"/>
      <c r="I89" s="176"/>
      <c r="J89" s="178"/>
      <c r="K89" s="174"/>
      <c r="L89" s="174"/>
      <c r="M89" s="20"/>
      <c r="N89" s="176"/>
      <c r="O89" s="179"/>
      <c r="P89" s="179"/>
      <c r="Q89" s="174"/>
      <c r="R89" s="20"/>
      <c r="S89" s="20"/>
      <c r="T89" s="20"/>
      <c r="U89" s="176"/>
      <c r="V89" s="20"/>
      <c r="W89" s="178"/>
      <c r="X89" s="20"/>
      <c r="Y89" s="20"/>
      <c r="Z89" s="20"/>
      <c r="AA89" s="20"/>
      <c r="AB89" s="20"/>
      <c r="AC89" s="20"/>
      <c r="AD89" s="20"/>
      <c r="AE89" s="20"/>
      <c r="AF89" s="20"/>
      <c r="AG89" s="20"/>
      <c r="AH89" s="20"/>
      <c r="AI89" s="20"/>
      <c r="AJ89" s="20"/>
      <c r="AK89" s="20"/>
      <c r="AL89" s="20"/>
      <c r="AM89" s="180"/>
      <c r="AN89" s="173"/>
      <c r="AO89" s="20"/>
      <c r="AP89" s="20"/>
      <c r="AQ89" s="20"/>
      <c r="AR89" s="20"/>
      <c r="AS89" s="181"/>
      <c r="AT89" s="20"/>
      <c r="AU89" s="182"/>
      <c r="AV89" s="20"/>
      <c r="AW89" s="183"/>
      <c r="AX89" s="184"/>
      <c r="AY89" s="176"/>
      <c r="AZ89" s="182"/>
      <c r="BA89" s="183"/>
      <c r="BB89" s="176"/>
      <c r="BC89" s="179"/>
      <c r="BD89" s="179"/>
      <c r="BE89" s="182"/>
      <c r="BF89" s="186"/>
      <c r="BG89" s="186"/>
      <c r="BH89" s="187"/>
      <c r="BI89" s="182"/>
      <c r="BJ89" s="179"/>
      <c r="BK89" s="179"/>
      <c r="BL89" s="208"/>
      <c r="BM89" s="209"/>
      <c r="BN89" s="15"/>
      <c r="BO89" s="15"/>
      <c r="BP89" s="210"/>
      <c r="BQ89" s="182"/>
      <c r="BR89" s="182"/>
      <c r="BS89" s="182"/>
      <c r="BT89" s="20"/>
      <c r="BU89" s="20"/>
      <c r="BV89" s="20"/>
      <c r="BW89" s="185"/>
      <c r="BX89" s="182"/>
      <c r="BY89" s="182"/>
      <c r="BZ89" s="182"/>
      <c r="CA89" s="182"/>
      <c r="CC89" s="8"/>
      <c r="CD89" s="198"/>
      <c r="CE89" s="197"/>
      <c r="CF89" s="197"/>
      <c r="CG89" s="197"/>
      <c r="CH89" s="197"/>
      <c r="CI89" s="197"/>
      <c r="CJ89" s="197"/>
      <c r="CK89" s="197"/>
      <c r="CL89" s="197"/>
      <c r="CM89" s="197"/>
      <c r="CN89" s="197"/>
      <c r="CO89" s="197"/>
      <c r="CP89" s="197"/>
      <c r="CQ89" s="197"/>
      <c r="CR89" s="197"/>
      <c r="CS89" s="197"/>
      <c r="CT89" s="197"/>
      <c r="CU89" s="197"/>
      <c r="CV89" s="197"/>
      <c r="CW89" s="197"/>
      <c r="CX89" s="197"/>
      <c r="CY89" s="197"/>
      <c r="CZ89" s="197"/>
      <c r="DA89" s="197"/>
      <c r="DB89" s="197"/>
      <c r="DC89" s="197"/>
      <c r="DD89" s="197"/>
      <c r="DE89" s="197"/>
      <c r="DF89" s="197"/>
      <c r="DG89" s="197"/>
      <c r="DH89" s="197"/>
      <c r="DI89" s="197"/>
      <c r="DJ89" s="197"/>
      <c r="DK89" s="197"/>
      <c r="DL89" s="197"/>
      <c r="DM89" s="197"/>
      <c r="DN89" s="197"/>
      <c r="DO89" s="197"/>
      <c r="DP89" s="197"/>
      <c r="DQ89" s="197"/>
      <c r="DR89" s="197"/>
      <c r="DS89" s="197"/>
      <c r="DT89" s="197"/>
      <c r="DU89" s="197"/>
      <c r="DV89" s="197"/>
      <c r="DW89" s="197"/>
      <c r="DX89" s="197"/>
      <c r="DY89" s="197"/>
      <c r="DZ89" s="197"/>
      <c r="EA89" s="197"/>
      <c r="EB89" s="197"/>
      <c r="EC89" s="197"/>
      <c r="ED89" s="197"/>
      <c r="EE89" s="197"/>
      <c r="EF89" s="197"/>
      <c r="EG89" s="197"/>
      <c r="EH89" s="197"/>
      <c r="EI89" s="197"/>
      <c r="EJ89" s="197"/>
      <c r="EK89" s="197"/>
      <c r="EL89" s="197"/>
      <c r="EM89" s="197"/>
      <c r="EN89" s="197"/>
      <c r="EO89" s="197"/>
      <c r="EP89" s="197"/>
      <c r="EQ89" s="197"/>
      <c r="ER89" s="197"/>
      <c r="ES89" s="197"/>
      <c r="ET89" s="197"/>
      <c r="EU89" s="197"/>
      <c r="EV89" s="197"/>
      <c r="EW89" s="197"/>
      <c r="EX89" s="197"/>
      <c r="EY89" s="197"/>
      <c r="EZ89" s="197"/>
      <c r="FA89" s="198"/>
      <c r="FB89" s="198"/>
      <c r="FC89" s="198"/>
      <c r="FD89" s="198"/>
      <c r="FE89" s="211"/>
      <c r="FF89" s="197"/>
      <c r="FG89" s="197"/>
      <c r="FH89" s="197"/>
      <c r="FI89" s="212"/>
      <c r="FJ89" s="212"/>
      <c r="FK89" s="197"/>
      <c r="FL89" s="197"/>
      <c r="FM89" s="197"/>
      <c r="FN89" s="197"/>
      <c r="FO89" s="197"/>
      <c r="FP89" s="197"/>
      <c r="FQ89" s="197"/>
      <c r="FR89" s="197"/>
      <c r="FS89" s="197"/>
      <c r="FT89" s="197"/>
      <c r="FU89" s="197"/>
      <c r="FV89" s="197"/>
      <c r="FW89" s="197"/>
      <c r="FX89" s="197"/>
      <c r="FY89" s="197"/>
      <c r="FZ89" s="197"/>
      <c r="GA89" s="197"/>
      <c r="GB89" s="197"/>
      <c r="GC89" s="197"/>
      <c r="GD89" s="197"/>
      <c r="GE89" s="197"/>
      <c r="GF89" s="197"/>
      <c r="GG89" s="197"/>
      <c r="GH89" s="197"/>
      <c r="GI89" s="197"/>
      <c r="GJ89" s="197"/>
      <c r="GK89" s="197"/>
      <c r="GL89" s="197"/>
      <c r="GM89" s="197"/>
      <c r="GN89" s="197"/>
      <c r="GO89" s="197"/>
      <c r="GP89" s="197"/>
      <c r="GQ89" s="197"/>
      <c r="GR89" s="197"/>
      <c r="GS89" s="197"/>
      <c r="GT89" s="197"/>
      <c r="GU89" s="197"/>
      <c r="GV89" s="197"/>
      <c r="GW89" s="197"/>
      <c r="GX89" s="197"/>
      <c r="GY89" s="197"/>
      <c r="GZ89" s="197"/>
    </row>
    <row r="90" ht="13.2" spans="1:208">
      <c r="A90" s="172">
        <v>45881</v>
      </c>
      <c r="B90" s="20" t="s">
        <v>375</v>
      </c>
      <c r="C90" s="18"/>
      <c r="D90" s="20"/>
      <c r="E90" s="207"/>
      <c r="F90" s="20"/>
      <c r="G90" s="176"/>
      <c r="H90" s="175"/>
      <c r="I90" s="176"/>
      <c r="J90" s="178"/>
      <c r="K90" s="174"/>
      <c r="L90" s="174"/>
      <c r="M90" s="20"/>
      <c r="N90" s="176"/>
      <c r="O90" s="179"/>
      <c r="P90" s="179"/>
      <c r="Q90" s="174"/>
      <c r="R90" s="20"/>
      <c r="S90" s="20"/>
      <c r="T90" s="20"/>
      <c r="U90" s="176"/>
      <c r="V90" s="20"/>
      <c r="W90" s="178"/>
      <c r="X90" s="20"/>
      <c r="Y90" s="20"/>
      <c r="Z90" s="20"/>
      <c r="AA90" s="20"/>
      <c r="AB90" s="20"/>
      <c r="AC90" s="20"/>
      <c r="AD90" s="20"/>
      <c r="AE90" s="20"/>
      <c r="AF90" s="20"/>
      <c r="AG90" s="20"/>
      <c r="AH90" s="20"/>
      <c r="AI90" s="20"/>
      <c r="AJ90" s="20"/>
      <c r="AK90" s="20"/>
      <c r="AL90" s="20"/>
      <c r="AM90" s="180"/>
      <c r="AN90" s="173"/>
      <c r="AO90" s="20"/>
      <c r="AP90" s="20"/>
      <c r="AQ90" s="20"/>
      <c r="AR90" s="20"/>
      <c r="AS90" s="181"/>
      <c r="AT90" s="20"/>
      <c r="AU90" s="182"/>
      <c r="AV90" s="20"/>
      <c r="AW90" s="183"/>
      <c r="AX90" s="184"/>
      <c r="AY90" s="176"/>
      <c r="AZ90" s="182"/>
      <c r="BA90" s="183"/>
      <c r="BB90" s="176"/>
      <c r="BC90" s="179"/>
      <c r="BD90" s="179"/>
      <c r="BE90" s="182"/>
      <c r="BF90" s="186"/>
      <c r="BG90" s="186"/>
      <c r="BH90" s="187"/>
      <c r="BI90" s="182"/>
      <c r="BJ90" s="179"/>
      <c r="BK90" s="179"/>
      <c r="BL90" s="208"/>
      <c r="BM90" s="209"/>
      <c r="BN90" s="15"/>
      <c r="BO90" s="15"/>
      <c r="BP90" s="210"/>
      <c r="BQ90" s="182"/>
      <c r="BR90" s="182"/>
      <c r="BS90" s="182"/>
      <c r="BT90" s="20"/>
      <c r="BU90" s="20"/>
      <c r="BV90" s="20"/>
      <c r="BW90" s="185"/>
      <c r="BX90" s="182"/>
      <c r="BY90" s="182"/>
      <c r="BZ90" s="182"/>
      <c r="CA90" s="182"/>
      <c r="CC90" s="8"/>
      <c r="CD90" s="198"/>
      <c r="CE90" s="197"/>
      <c r="CF90" s="197"/>
      <c r="CG90" s="197"/>
      <c r="CH90" s="197"/>
      <c r="CI90" s="197"/>
      <c r="CJ90" s="197"/>
      <c r="CK90" s="197"/>
      <c r="CL90" s="197"/>
      <c r="CM90" s="197"/>
      <c r="CN90" s="197"/>
      <c r="CO90" s="197"/>
      <c r="CP90" s="197"/>
      <c r="CQ90" s="197"/>
      <c r="CR90" s="197"/>
      <c r="CS90" s="197"/>
      <c r="CT90" s="197"/>
      <c r="CU90" s="197"/>
      <c r="CV90" s="197"/>
      <c r="CW90" s="197"/>
      <c r="CX90" s="197"/>
      <c r="CY90" s="197"/>
      <c r="CZ90" s="197"/>
      <c r="DA90" s="197"/>
      <c r="DB90" s="197"/>
      <c r="DC90" s="197"/>
      <c r="DD90" s="197"/>
      <c r="DE90" s="197"/>
      <c r="DF90" s="197"/>
      <c r="DG90" s="197"/>
      <c r="DH90" s="197"/>
      <c r="DI90" s="197"/>
      <c r="DJ90" s="197"/>
      <c r="DK90" s="197"/>
      <c r="DL90" s="197"/>
      <c r="DM90" s="197"/>
      <c r="DN90" s="197"/>
      <c r="DO90" s="197"/>
      <c r="DP90" s="197"/>
      <c r="DQ90" s="197"/>
      <c r="DR90" s="197"/>
      <c r="DS90" s="197"/>
      <c r="DT90" s="197"/>
      <c r="DU90" s="197"/>
      <c r="DV90" s="197"/>
      <c r="DW90" s="197"/>
      <c r="DX90" s="197"/>
      <c r="DY90" s="197"/>
      <c r="DZ90" s="197"/>
      <c r="EA90" s="197"/>
      <c r="EB90" s="197"/>
      <c r="EC90" s="197"/>
      <c r="ED90" s="197"/>
      <c r="EE90" s="197"/>
      <c r="EF90" s="197"/>
      <c r="EG90" s="197"/>
      <c r="EH90" s="197"/>
      <c r="EI90" s="197"/>
      <c r="EJ90" s="197"/>
      <c r="EK90" s="197"/>
      <c r="EL90" s="197"/>
      <c r="EM90" s="197"/>
      <c r="EN90" s="197"/>
      <c r="EO90" s="197"/>
      <c r="EP90" s="197"/>
      <c r="EQ90" s="197"/>
      <c r="ER90" s="197"/>
      <c r="ES90" s="197"/>
      <c r="ET90" s="197"/>
      <c r="EU90" s="197"/>
      <c r="EV90" s="197"/>
      <c r="EW90" s="197"/>
      <c r="EX90" s="197"/>
      <c r="EY90" s="197"/>
      <c r="EZ90" s="197"/>
      <c r="FA90" s="198"/>
      <c r="FB90" s="198"/>
      <c r="FC90" s="198"/>
      <c r="FD90" s="198"/>
      <c r="FE90" s="211"/>
      <c r="FF90" s="197"/>
      <c r="FG90" s="197"/>
      <c r="FH90" s="197"/>
      <c r="FI90" s="212"/>
      <c r="FJ90" s="212"/>
      <c r="FK90" s="197"/>
      <c r="FL90" s="197"/>
      <c r="FM90" s="197"/>
      <c r="FN90" s="197"/>
      <c r="FO90" s="197"/>
      <c r="FP90" s="197"/>
      <c r="FQ90" s="197"/>
      <c r="FR90" s="197"/>
      <c r="FS90" s="197"/>
      <c r="FT90" s="197"/>
      <c r="FU90" s="197"/>
      <c r="FV90" s="197"/>
      <c r="FW90" s="197"/>
      <c r="FX90" s="197"/>
      <c r="FY90" s="197"/>
      <c r="FZ90" s="197"/>
      <c r="GA90" s="197"/>
      <c r="GB90" s="197"/>
      <c r="GC90" s="197"/>
      <c r="GD90" s="197"/>
      <c r="GE90" s="197"/>
      <c r="GF90" s="197"/>
      <c r="GG90" s="197"/>
      <c r="GH90" s="197"/>
      <c r="GI90" s="197"/>
      <c r="GJ90" s="197"/>
      <c r="GK90" s="197"/>
      <c r="GL90" s="197"/>
      <c r="GM90" s="197"/>
      <c r="GN90" s="197"/>
      <c r="GO90" s="197"/>
      <c r="GP90" s="197"/>
      <c r="GQ90" s="197"/>
      <c r="GR90" s="197"/>
      <c r="GS90" s="197"/>
      <c r="GT90" s="197"/>
      <c r="GU90" s="197"/>
      <c r="GV90" s="197"/>
      <c r="GW90" s="197"/>
      <c r="GX90" s="197"/>
      <c r="GY90" s="197"/>
      <c r="GZ90" s="197"/>
    </row>
    <row r="91" ht="13.2" spans="1:208">
      <c r="A91" s="172">
        <v>45882</v>
      </c>
      <c r="B91" s="20" t="s">
        <v>377</v>
      </c>
      <c r="C91" s="18"/>
      <c r="D91" s="20"/>
      <c r="E91" s="207"/>
      <c r="F91" s="20"/>
      <c r="G91" s="176"/>
      <c r="H91" s="175"/>
      <c r="I91" s="176"/>
      <c r="J91" s="178"/>
      <c r="K91" s="174"/>
      <c r="L91" s="174"/>
      <c r="M91" s="20"/>
      <c r="N91" s="176"/>
      <c r="O91" s="179"/>
      <c r="P91" s="179"/>
      <c r="Q91" s="174"/>
      <c r="R91" s="20"/>
      <c r="S91" s="20"/>
      <c r="T91" s="20"/>
      <c r="U91" s="176"/>
      <c r="V91" s="20"/>
      <c r="W91" s="178"/>
      <c r="X91" s="20"/>
      <c r="Y91" s="20"/>
      <c r="Z91" s="20"/>
      <c r="AA91" s="20"/>
      <c r="AB91" s="20"/>
      <c r="AC91" s="20"/>
      <c r="AD91" s="20"/>
      <c r="AE91" s="20"/>
      <c r="AF91" s="20"/>
      <c r="AG91" s="20"/>
      <c r="AH91" s="20"/>
      <c r="AI91" s="20"/>
      <c r="AJ91" s="20"/>
      <c r="AK91" s="20"/>
      <c r="AL91" s="20"/>
      <c r="AM91" s="180"/>
      <c r="AN91" s="173"/>
      <c r="AO91" s="20"/>
      <c r="AP91" s="20"/>
      <c r="AQ91" s="20"/>
      <c r="AR91" s="20"/>
      <c r="AS91" s="181"/>
      <c r="AT91" s="20"/>
      <c r="AU91" s="182"/>
      <c r="AV91" s="20"/>
      <c r="AW91" s="183"/>
      <c r="AX91" s="184"/>
      <c r="AY91" s="176"/>
      <c r="AZ91" s="182"/>
      <c r="BA91" s="183"/>
      <c r="BB91" s="176"/>
      <c r="BC91" s="179"/>
      <c r="BD91" s="179"/>
      <c r="BE91" s="182"/>
      <c r="BF91" s="186"/>
      <c r="BG91" s="186"/>
      <c r="BH91" s="187"/>
      <c r="BI91" s="182"/>
      <c r="BJ91" s="179"/>
      <c r="BK91" s="179"/>
      <c r="BL91" s="208"/>
      <c r="BM91" s="209"/>
      <c r="BN91" s="15"/>
      <c r="BO91" s="15"/>
      <c r="BP91" s="210"/>
      <c r="BQ91" s="182"/>
      <c r="BR91" s="182"/>
      <c r="BS91" s="182"/>
      <c r="BT91" s="20"/>
      <c r="BU91" s="20"/>
      <c r="BV91" s="20"/>
      <c r="BW91" s="185"/>
      <c r="BX91" s="182"/>
      <c r="BY91" s="182"/>
      <c r="BZ91" s="182"/>
      <c r="CA91" s="182"/>
      <c r="CC91" s="8"/>
      <c r="CD91" s="198"/>
      <c r="CE91" s="197"/>
      <c r="CF91" s="197"/>
      <c r="CG91" s="197"/>
      <c r="CH91" s="197"/>
      <c r="CI91" s="197"/>
      <c r="CJ91" s="197"/>
      <c r="CK91" s="197"/>
      <c r="CL91" s="197"/>
      <c r="CM91" s="197"/>
      <c r="CN91" s="197"/>
      <c r="CO91" s="197"/>
      <c r="CP91" s="197"/>
      <c r="CQ91" s="197"/>
      <c r="CR91" s="197"/>
      <c r="CS91" s="197"/>
      <c r="CT91" s="197"/>
      <c r="CU91" s="197"/>
      <c r="CV91" s="197"/>
      <c r="CW91" s="197"/>
      <c r="CX91" s="197"/>
      <c r="CY91" s="197"/>
      <c r="CZ91" s="197"/>
      <c r="DA91" s="197"/>
      <c r="DB91" s="197"/>
      <c r="DC91" s="197"/>
      <c r="DD91" s="197"/>
      <c r="DE91" s="197"/>
      <c r="DF91" s="197"/>
      <c r="DG91" s="197"/>
      <c r="DH91" s="197"/>
      <c r="DI91" s="197"/>
      <c r="DJ91" s="197"/>
      <c r="DK91" s="197"/>
      <c r="DL91" s="197"/>
      <c r="DM91" s="197"/>
      <c r="DN91" s="197"/>
      <c r="DO91" s="197"/>
      <c r="DP91" s="197"/>
      <c r="DQ91" s="197"/>
      <c r="DR91" s="197"/>
      <c r="DS91" s="197"/>
      <c r="DT91" s="197"/>
      <c r="DU91" s="197"/>
      <c r="DV91" s="197"/>
      <c r="DW91" s="197"/>
      <c r="DX91" s="197"/>
      <c r="DY91" s="197"/>
      <c r="DZ91" s="197"/>
      <c r="EA91" s="197"/>
      <c r="EB91" s="197"/>
      <c r="EC91" s="197"/>
      <c r="ED91" s="197"/>
      <c r="EE91" s="197"/>
      <c r="EF91" s="197"/>
      <c r="EG91" s="197"/>
      <c r="EH91" s="197"/>
      <c r="EI91" s="197"/>
      <c r="EJ91" s="197"/>
      <c r="EK91" s="197"/>
      <c r="EL91" s="197"/>
      <c r="EM91" s="197"/>
      <c r="EN91" s="197"/>
      <c r="EO91" s="197"/>
      <c r="EP91" s="197"/>
      <c r="EQ91" s="197"/>
      <c r="ER91" s="197"/>
      <c r="ES91" s="197"/>
      <c r="ET91" s="197"/>
      <c r="EU91" s="197"/>
      <c r="EV91" s="197"/>
      <c r="EW91" s="197"/>
      <c r="EX91" s="197"/>
      <c r="EY91" s="197"/>
      <c r="EZ91" s="197"/>
      <c r="FA91" s="198"/>
      <c r="FB91" s="198"/>
      <c r="FC91" s="198"/>
      <c r="FD91" s="198"/>
      <c r="FE91" s="211"/>
      <c r="FF91" s="197"/>
      <c r="FG91" s="197"/>
      <c r="FH91" s="197"/>
      <c r="FI91" s="212"/>
      <c r="FJ91" s="212"/>
      <c r="FK91" s="197"/>
      <c r="FL91" s="197"/>
      <c r="FM91" s="197"/>
      <c r="FN91" s="197"/>
      <c r="FO91" s="197"/>
      <c r="FP91" s="197"/>
      <c r="FQ91" s="197"/>
      <c r="FR91" s="197"/>
      <c r="FS91" s="197"/>
      <c r="FT91" s="197"/>
      <c r="FU91" s="197"/>
      <c r="FV91" s="197"/>
      <c r="FW91" s="197"/>
      <c r="FX91" s="197"/>
      <c r="FY91" s="197"/>
      <c r="FZ91" s="197"/>
      <c r="GA91" s="197"/>
      <c r="GB91" s="197"/>
      <c r="GC91" s="197"/>
      <c r="GD91" s="197"/>
      <c r="GE91" s="197"/>
      <c r="GF91" s="197"/>
      <c r="GG91" s="197"/>
      <c r="GH91" s="197"/>
      <c r="GI91" s="197"/>
      <c r="GJ91" s="197"/>
      <c r="GK91" s="197"/>
      <c r="GL91" s="197"/>
      <c r="GM91" s="197"/>
      <c r="GN91" s="197"/>
      <c r="GO91" s="197"/>
      <c r="GP91" s="197"/>
      <c r="GQ91" s="197"/>
      <c r="GR91" s="197"/>
      <c r="GS91" s="197"/>
      <c r="GT91" s="197"/>
      <c r="GU91" s="197"/>
      <c r="GV91" s="197"/>
      <c r="GW91" s="197"/>
      <c r="GX91" s="197"/>
      <c r="GY91" s="197"/>
      <c r="GZ91" s="197"/>
    </row>
    <row r="92" ht="13.2" spans="1:208">
      <c r="A92" s="172">
        <v>45883</v>
      </c>
      <c r="B92" s="20" t="s">
        <v>379</v>
      </c>
      <c r="C92" s="18"/>
      <c r="D92" s="20"/>
      <c r="E92" s="207"/>
      <c r="F92" s="20"/>
      <c r="G92" s="176"/>
      <c r="H92" s="175"/>
      <c r="I92" s="176"/>
      <c r="J92" s="178"/>
      <c r="K92" s="174"/>
      <c r="L92" s="174"/>
      <c r="M92" s="20"/>
      <c r="N92" s="176"/>
      <c r="O92" s="179"/>
      <c r="P92" s="179"/>
      <c r="Q92" s="174"/>
      <c r="R92" s="20"/>
      <c r="S92" s="20"/>
      <c r="T92" s="20"/>
      <c r="U92" s="176"/>
      <c r="V92" s="20"/>
      <c r="W92" s="178"/>
      <c r="X92" s="20"/>
      <c r="Y92" s="20"/>
      <c r="Z92" s="20"/>
      <c r="AA92" s="20"/>
      <c r="AB92" s="20"/>
      <c r="AC92" s="20"/>
      <c r="AD92" s="20"/>
      <c r="AE92" s="20"/>
      <c r="AF92" s="20"/>
      <c r="AG92" s="20"/>
      <c r="AH92" s="20"/>
      <c r="AI92" s="20"/>
      <c r="AJ92" s="20"/>
      <c r="AK92" s="20"/>
      <c r="AL92" s="20"/>
      <c r="AM92" s="180"/>
      <c r="AN92" s="173"/>
      <c r="AO92" s="20"/>
      <c r="AP92" s="20"/>
      <c r="AQ92" s="20"/>
      <c r="AR92" s="20"/>
      <c r="AS92" s="181"/>
      <c r="AT92" s="20"/>
      <c r="AU92" s="182"/>
      <c r="AV92" s="20"/>
      <c r="AW92" s="183"/>
      <c r="AX92" s="184"/>
      <c r="AY92" s="176"/>
      <c r="AZ92" s="182"/>
      <c r="BA92" s="183"/>
      <c r="BB92" s="176"/>
      <c r="BC92" s="179"/>
      <c r="BD92" s="179"/>
      <c r="BE92" s="182"/>
      <c r="BF92" s="186"/>
      <c r="BG92" s="186"/>
      <c r="BH92" s="187"/>
      <c r="BI92" s="182"/>
      <c r="BJ92" s="179"/>
      <c r="BK92" s="179"/>
      <c r="BL92" s="208"/>
      <c r="BM92" s="209"/>
      <c r="BN92" s="15"/>
      <c r="BO92" s="15"/>
      <c r="BP92" s="210"/>
      <c r="BQ92" s="182"/>
      <c r="BR92" s="182"/>
      <c r="BS92" s="182"/>
      <c r="BT92" s="20"/>
      <c r="BU92" s="20"/>
      <c r="BV92" s="20"/>
      <c r="BW92" s="185"/>
      <c r="BX92" s="182"/>
      <c r="BY92" s="182"/>
      <c r="BZ92" s="182"/>
      <c r="CA92" s="182"/>
      <c r="CC92" s="8"/>
      <c r="CD92" s="198"/>
      <c r="CE92" s="197"/>
      <c r="CF92" s="197"/>
      <c r="CG92" s="197"/>
      <c r="CH92" s="197"/>
      <c r="CI92" s="197"/>
      <c r="CJ92" s="197"/>
      <c r="CK92" s="197"/>
      <c r="CL92" s="197"/>
      <c r="CM92" s="197"/>
      <c r="CN92" s="197"/>
      <c r="CO92" s="197"/>
      <c r="CP92" s="197"/>
      <c r="CQ92" s="197"/>
      <c r="CR92" s="197"/>
      <c r="CS92" s="197"/>
      <c r="CT92" s="197"/>
      <c r="CU92" s="197"/>
      <c r="CV92" s="197"/>
      <c r="CW92" s="197"/>
      <c r="CX92" s="197"/>
      <c r="CY92" s="197"/>
      <c r="CZ92" s="197"/>
      <c r="DA92" s="197"/>
      <c r="DB92" s="197"/>
      <c r="DC92" s="197"/>
      <c r="DD92" s="197"/>
      <c r="DE92" s="197"/>
      <c r="DF92" s="197"/>
      <c r="DG92" s="197"/>
      <c r="DH92" s="197"/>
      <c r="DI92" s="197"/>
      <c r="DJ92" s="197"/>
      <c r="DK92" s="197"/>
      <c r="DL92" s="197"/>
      <c r="DM92" s="197"/>
      <c r="DN92" s="197"/>
      <c r="DO92" s="197"/>
      <c r="DP92" s="197"/>
      <c r="DQ92" s="197"/>
      <c r="DR92" s="197"/>
      <c r="DS92" s="197"/>
      <c r="DT92" s="197"/>
      <c r="DU92" s="197"/>
      <c r="DV92" s="197"/>
      <c r="DW92" s="197"/>
      <c r="DX92" s="197"/>
      <c r="DY92" s="197"/>
      <c r="DZ92" s="197"/>
      <c r="EA92" s="197"/>
      <c r="EB92" s="197"/>
      <c r="EC92" s="197"/>
      <c r="ED92" s="197"/>
      <c r="EE92" s="197"/>
      <c r="EF92" s="197"/>
      <c r="EG92" s="197"/>
      <c r="EH92" s="197"/>
      <c r="EI92" s="197"/>
      <c r="EJ92" s="197"/>
      <c r="EK92" s="197"/>
      <c r="EL92" s="197"/>
      <c r="EM92" s="197"/>
      <c r="EN92" s="197"/>
      <c r="EO92" s="197"/>
      <c r="EP92" s="197"/>
      <c r="EQ92" s="197"/>
      <c r="ER92" s="197"/>
      <c r="ES92" s="197"/>
      <c r="ET92" s="197"/>
      <c r="EU92" s="197"/>
      <c r="EV92" s="197"/>
      <c r="EW92" s="197"/>
      <c r="EX92" s="197"/>
      <c r="EY92" s="197"/>
      <c r="EZ92" s="197"/>
      <c r="FA92" s="198"/>
      <c r="FB92" s="198"/>
      <c r="FC92" s="198"/>
      <c r="FD92" s="198"/>
      <c r="FE92" s="211"/>
      <c r="FF92" s="197"/>
      <c r="FG92" s="197"/>
      <c r="FH92" s="197"/>
      <c r="FI92" s="212"/>
      <c r="FJ92" s="212"/>
      <c r="FK92" s="197"/>
      <c r="FL92" s="197"/>
      <c r="FM92" s="197"/>
      <c r="FN92" s="197"/>
      <c r="FO92" s="197"/>
      <c r="FP92" s="197"/>
      <c r="FQ92" s="197"/>
      <c r="FR92" s="197"/>
      <c r="FS92" s="197"/>
      <c r="FT92" s="197"/>
      <c r="FU92" s="197"/>
      <c r="FV92" s="197"/>
      <c r="FW92" s="197"/>
      <c r="FX92" s="197"/>
      <c r="FY92" s="197"/>
      <c r="FZ92" s="197"/>
      <c r="GA92" s="197"/>
      <c r="GB92" s="197"/>
      <c r="GC92" s="197"/>
      <c r="GD92" s="197"/>
      <c r="GE92" s="197"/>
      <c r="GF92" s="197"/>
      <c r="GG92" s="197"/>
      <c r="GH92" s="197"/>
      <c r="GI92" s="197"/>
      <c r="GJ92" s="197"/>
      <c r="GK92" s="197"/>
      <c r="GL92" s="197"/>
      <c r="GM92" s="197"/>
      <c r="GN92" s="197"/>
      <c r="GO92" s="197"/>
      <c r="GP92" s="197"/>
      <c r="GQ92" s="197"/>
      <c r="GR92" s="197"/>
      <c r="GS92" s="197"/>
      <c r="GT92" s="197"/>
      <c r="GU92" s="197"/>
      <c r="GV92" s="197"/>
      <c r="GW92" s="197"/>
      <c r="GX92" s="197"/>
      <c r="GY92" s="197"/>
      <c r="GZ92" s="197"/>
    </row>
    <row r="93" ht="13.2" spans="1:208">
      <c r="A93" s="172">
        <v>45884</v>
      </c>
      <c r="B93" s="20" t="s">
        <v>381</v>
      </c>
      <c r="C93" s="18"/>
      <c r="D93" s="20"/>
      <c r="E93" s="207"/>
      <c r="F93" s="20"/>
      <c r="G93" s="176"/>
      <c r="H93" s="175"/>
      <c r="I93" s="176"/>
      <c r="J93" s="178"/>
      <c r="K93" s="174"/>
      <c r="L93" s="174"/>
      <c r="M93" s="20"/>
      <c r="N93" s="176"/>
      <c r="O93" s="179"/>
      <c r="P93" s="179"/>
      <c r="Q93" s="174"/>
      <c r="R93" s="20"/>
      <c r="S93" s="20"/>
      <c r="T93" s="20"/>
      <c r="U93" s="176"/>
      <c r="V93" s="20"/>
      <c r="W93" s="178"/>
      <c r="X93" s="20"/>
      <c r="Y93" s="20"/>
      <c r="Z93" s="20"/>
      <c r="AA93" s="20"/>
      <c r="AB93" s="20"/>
      <c r="AC93" s="20"/>
      <c r="AD93" s="20"/>
      <c r="AE93" s="20"/>
      <c r="AF93" s="20"/>
      <c r="AG93" s="20"/>
      <c r="AH93" s="20"/>
      <c r="AI93" s="20"/>
      <c r="AJ93" s="20"/>
      <c r="AK93" s="20"/>
      <c r="AL93" s="20"/>
      <c r="AM93" s="180"/>
      <c r="AN93" s="173"/>
      <c r="AO93" s="20"/>
      <c r="AP93" s="20"/>
      <c r="AQ93" s="20"/>
      <c r="AR93" s="20"/>
      <c r="AS93" s="181"/>
      <c r="AT93" s="20"/>
      <c r="AU93" s="182"/>
      <c r="AV93" s="20"/>
      <c r="AW93" s="183"/>
      <c r="AX93" s="184"/>
      <c r="AY93" s="176"/>
      <c r="AZ93" s="182"/>
      <c r="BA93" s="183"/>
      <c r="BB93" s="176"/>
      <c r="BC93" s="179"/>
      <c r="BD93" s="179"/>
      <c r="BE93" s="182"/>
      <c r="BF93" s="186"/>
      <c r="BG93" s="186"/>
      <c r="BH93" s="187"/>
      <c r="BI93" s="182"/>
      <c r="BJ93" s="179"/>
      <c r="BK93" s="179"/>
      <c r="BL93" s="208"/>
      <c r="BM93" s="209"/>
      <c r="BN93" s="15"/>
      <c r="BO93" s="15"/>
      <c r="BP93" s="210"/>
      <c r="BQ93" s="182"/>
      <c r="BR93" s="182"/>
      <c r="BS93" s="182"/>
      <c r="BT93" s="20"/>
      <c r="BU93" s="20"/>
      <c r="BV93" s="20"/>
      <c r="BW93" s="185"/>
      <c r="BX93" s="182"/>
      <c r="BY93" s="182"/>
      <c r="BZ93" s="182"/>
      <c r="CA93" s="182"/>
      <c r="CC93" s="8"/>
      <c r="CD93" s="198"/>
      <c r="CE93" s="197"/>
      <c r="CF93" s="197"/>
      <c r="CG93" s="197"/>
      <c r="CH93" s="197"/>
      <c r="CI93" s="197"/>
      <c r="CJ93" s="197"/>
      <c r="CK93" s="197"/>
      <c r="CL93" s="197"/>
      <c r="CM93" s="197"/>
      <c r="CN93" s="197"/>
      <c r="CO93" s="197"/>
      <c r="CP93" s="197"/>
      <c r="CQ93" s="197"/>
      <c r="CR93" s="197"/>
      <c r="CS93" s="197"/>
      <c r="CT93" s="197"/>
      <c r="CU93" s="197"/>
      <c r="CV93" s="197"/>
      <c r="CW93" s="197"/>
      <c r="CX93" s="197"/>
      <c r="CY93" s="197"/>
      <c r="CZ93" s="197"/>
      <c r="DA93" s="197"/>
      <c r="DB93" s="197"/>
      <c r="DC93" s="197"/>
      <c r="DD93" s="197"/>
      <c r="DE93" s="197"/>
      <c r="DF93" s="197"/>
      <c r="DG93" s="197"/>
      <c r="DH93" s="197"/>
      <c r="DI93" s="197"/>
      <c r="DJ93" s="197"/>
      <c r="DK93" s="197"/>
      <c r="DL93" s="197"/>
      <c r="DM93" s="197"/>
      <c r="DN93" s="197"/>
      <c r="DO93" s="197"/>
      <c r="DP93" s="197"/>
      <c r="DQ93" s="197"/>
      <c r="DR93" s="197"/>
      <c r="DS93" s="197"/>
      <c r="DT93" s="197"/>
      <c r="DU93" s="197"/>
      <c r="DV93" s="197"/>
      <c r="DW93" s="197"/>
      <c r="DX93" s="197"/>
      <c r="DY93" s="197"/>
      <c r="DZ93" s="197"/>
      <c r="EA93" s="197"/>
      <c r="EB93" s="197"/>
      <c r="EC93" s="197"/>
      <c r="ED93" s="197"/>
      <c r="EE93" s="197"/>
      <c r="EF93" s="197"/>
      <c r="EG93" s="197"/>
      <c r="EH93" s="197"/>
      <c r="EI93" s="197"/>
      <c r="EJ93" s="197"/>
      <c r="EK93" s="197"/>
      <c r="EL93" s="197"/>
      <c r="EM93" s="197"/>
      <c r="EN93" s="197"/>
      <c r="EO93" s="197"/>
      <c r="EP93" s="197"/>
      <c r="EQ93" s="197"/>
      <c r="ER93" s="197"/>
      <c r="ES93" s="197"/>
      <c r="ET93" s="197"/>
      <c r="EU93" s="197"/>
      <c r="EV93" s="197"/>
      <c r="EW93" s="197"/>
      <c r="EX93" s="197"/>
      <c r="EY93" s="197"/>
      <c r="EZ93" s="197"/>
      <c r="FA93" s="198"/>
      <c r="FB93" s="198"/>
      <c r="FC93" s="198"/>
      <c r="FD93" s="198"/>
      <c r="FE93" s="211"/>
      <c r="FF93" s="197"/>
      <c r="FG93" s="197"/>
      <c r="FH93" s="197"/>
      <c r="FI93" s="212"/>
      <c r="FJ93" s="212"/>
      <c r="FK93" s="197"/>
      <c r="FL93" s="197"/>
      <c r="FM93" s="197"/>
      <c r="FN93" s="197"/>
      <c r="FO93" s="197"/>
      <c r="FP93" s="197"/>
      <c r="FQ93" s="197"/>
      <c r="FR93" s="197"/>
      <c r="FS93" s="197"/>
      <c r="FT93" s="197"/>
      <c r="FU93" s="197"/>
      <c r="FV93" s="197"/>
      <c r="FW93" s="197"/>
      <c r="FX93" s="197"/>
      <c r="FY93" s="197"/>
      <c r="FZ93" s="197"/>
      <c r="GA93" s="197"/>
      <c r="GB93" s="197"/>
      <c r="GC93" s="197"/>
      <c r="GD93" s="197"/>
      <c r="GE93" s="197"/>
      <c r="GF93" s="197"/>
      <c r="GG93" s="197"/>
      <c r="GH93" s="197"/>
      <c r="GI93" s="197"/>
      <c r="GJ93" s="197"/>
      <c r="GK93" s="197"/>
      <c r="GL93" s="197"/>
      <c r="GM93" s="197"/>
      <c r="GN93" s="197"/>
      <c r="GO93" s="197"/>
      <c r="GP93" s="197"/>
      <c r="GQ93" s="197"/>
      <c r="GR93" s="197"/>
      <c r="GS93" s="197"/>
      <c r="GT93" s="197"/>
      <c r="GU93" s="197"/>
      <c r="GV93" s="197"/>
      <c r="GW93" s="197"/>
      <c r="GX93" s="197"/>
      <c r="GY93" s="197"/>
      <c r="GZ93" s="197"/>
    </row>
    <row r="94" ht="13.2" spans="1:208">
      <c r="A94" s="172">
        <v>45885</v>
      </c>
      <c r="B94" s="20" t="s">
        <v>369</v>
      </c>
      <c r="C94" s="18"/>
      <c r="D94" s="20"/>
      <c r="E94" s="207"/>
      <c r="F94" s="20"/>
      <c r="G94" s="176"/>
      <c r="H94" s="175"/>
      <c r="I94" s="176"/>
      <c r="J94" s="178"/>
      <c r="K94" s="174"/>
      <c r="L94" s="174"/>
      <c r="M94" s="20"/>
      <c r="N94" s="176"/>
      <c r="O94" s="179"/>
      <c r="P94" s="179"/>
      <c r="Q94" s="174"/>
      <c r="R94" s="20"/>
      <c r="S94" s="20"/>
      <c r="T94" s="20"/>
      <c r="U94" s="176"/>
      <c r="V94" s="20"/>
      <c r="W94" s="178"/>
      <c r="X94" s="20"/>
      <c r="Y94" s="20"/>
      <c r="Z94" s="20"/>
      <c r="AA94" s="20"/>
      <c r="AB94" s="20"/>
      <c r="AC94" s="20"/>
      <c r="AD94" s="20"/>
      <c r="AE94" s="20"/>
      <c r="AF94" s="20"/>
      <c r="AG94" s="20"/>
      <c r="AH94" s="20"/>
      <c r="AI94" s="20"/>
      <c r="AJ94" s="20"/>
      <c r="AK94" s="20"/>
      <c r="AL94" s="20"/>
      <c r="AM94" s="180"/>
      <c r="AN94" s="173"/>
      <c r="AO94" s="20"/>
      <c r="AP94" s="20"/>
      <c r="AQ94" s="20"/>
      <c r="AR94" s="20"/>
      <c r="AS94" s="181"/>
      <c r="AT94" s="20"/>
      <c r="AU94" s="182"/>
      <c r="AV94" s="20"/>
      <c r="AW94" s="183"/>
      <c r="AX94" s="184"/>
      <c r="AY94" s="176"/>
      <c r="AZ94" s="182"/>
      <c r="BA94" s="183"/>
      <c r="BB94" s="176"/>
      <c r="BC94" s="179"/>
      <c r="BD94" s="179"/>
      <c r="BE94" s="182"/>
      <c r="BF94" s="186"/>
      <c r="BG94" s="186"/>
      <c r="BH94" s="187"/>
      <c r="BI94" s="182"/>
      <c r="BJ94" s="179"/>
      <c r="BK94" s="179"/>
      <c r="BL94" s="208"/>
      <c r="BM94" s="209"/>
      <c r="BN94" s="15"/>
      <c r="BO94" s="15"/>
      <c r="BP94" s="210"/>
      <c r="BQ94" s="182"/>
      <c r="BR94" s="182"/>
      <c r="BS94" s="182"/>
      <c r="BT94" s="20"/>
      <c r="BU94" s="20"/>
      <c r="BV94" s="20"/>
      <c r="BW94" s="185"/>
      <c r="BX94" s="182"/>
      <c r="BY94" s="182"/>
      <c r="BZ94" s="182"/>
      <c r="CA94" s="182"/>
      <c r="CC94" s="8"/>
      <c r="CD94" s="198"/>
      <c r="CE94" s="197"/>
      <c r="CF94" s="197"/>
      <c r="CG94" s="197"/>
      <c r="CH94" s="197"/>
      <c r="CI94" s="197"/>
      <c r="CJ94" s="197"/>
      <c r="CK94" s="197"/>
      <c r="CL94" s="197"/>
      <c r="CM94" s="197"/>
      <c r="CN94" s="197"/>
      <c r="CO94" s="197"/>
      <c r="CP94" s="197"/>
      <c r="CQ94" s="197"/>
      <c r="CR94" s="197"/>
      <c r="CS94" s="197"/>
      <c r="CT94" s="197"/>
      <c r="CU94" s="197"/>
      <c r="CV94" s="197"/>
      <c r="CW94" s="197"/>
      <c r="CX94" s="197"/>
      <c r="CY94" s="197"/>
      <c r="CZ94" s="197"/>
      <c r="DA94" s="197"/>
      <c r="DB94" s="197"/>
      <c r="DC94" s="197"/>
      <c r="DD94" s="197"/>
      <c r="DE94" s="197"/>
      <c r="DF94" s="197"/>
      <c r="DG94" s="197"/>
      <c r="DH94" s="197"/>
      <c r="DI94" s="197"/>
      <c r="DJ94" s="197"/>
      <c r="DK94" s="197"/>
      <c r="DL94" s="197"/>
      <c r="DM94" s="197"/>
      <c r="DN94" s="197"/>
      <c r="DO94" s="197"/>
      <c r="DP94" s="197"/>
      <c r="DQ94" s="197"/>
      <c r="DR94" s="197"/>
      <c r="DS94" s="197"/>
      <c r="DT94" s="197"/>
      <c r="DU94" s="197"/>
      <c r="DV94" s="197"/>
      <c r="DW94" s="197"/>
      <c r="DX94" s="197"/>
      <c r="DY94" s="197"/>
      <c r="DZ94" s="197"/>
      <c r="EA94" s="197"/>
      <c r="EB94" s="197"/>
      <c r="EC94" s="197"/>
      <c r="ED94" s="197"/>
      <c r="EE94" s="197"/>
      <c r="EF94" s="197"/>
      <c r="EG94" s="197"/>
      <c r="EH94" s="197"/>
      <c r="EI94" s="197"/>
      <c r="EJ94" s="197"/>
      <c r="EK94" s="197"/>
      <c r="EL94" s="197"/>
      <c r="EM94" s="197"/>
      <c r="EN94" s="197"/>
      <c r="EO94" s="197"/>
      <c r="EP94" s="197"/>
      <c r="EQ94" s="197"/>
      <c r="ER94" s="197"/>
      <c r="ES94" s="197"/>
      <c r="ET94" s="197"/>
      <c r="EU94" s="197"/>
      <c r="EV94" s="197"/>
      <c r="EW94" s="197"/>
      <c r="EX94" s="197"/>
      <c r="EY94" s="197"/>
      <c r="EZ94" s="197"/>
      <c r="FA94" s="198"/>
      <c r="FB94" s="198"/>
      <c r="FC94" s="198"/>
      <c r="FD94" s="198"/>
      <c r="FE94" s="211"/>
      <c r="FF94" s="197"/>
      <c r="FG94" s="197"/>
      <c r="FH94" s="197"/>
      <c r="FI94" s="212"/>
      <c r="FJ94" s="212"/>
      <c r="FK94" s="197"/>
      <c r="FL94" s="197"/>
      <c r="FM94" s="197"/>
      <c r="FN94" s="197"/>
      <c r="FO94" s="197"/>
      <c r="FP94" s="197"/>
      <c r="FQ94" s="197"/>
      <c r="FR94" s="197"/>
      <c r="FS94" s="197"/>
      <c r="FT94" s="197"/>
      <c r="FU94" s="197"/>
      <c r="FV94" s="197"/>
      <c r="FW94" s="197"/>
      <c r="FX94" s="197"/>
      <c r="FY94" s="197"/>
      <c r="FZ94" s="197"/>
      <c r="GA94" s="197"/>
      <c r="GB94" s="197"/>
      <c r="GC94" s="197"/>
      <c r="GD94" s="197"/>
      <c r="GE94" s="197"/>
      <c r="GF94" s="197"/>
      <c r="GG94" s="197"/>
      <c r="GH94" s="197"/>
      <c r="GI94" s="197"/>
      <c r="GJ94" s="197"/>
      <c r="GK94" s="197"/>
      <c r="GL94" s="197"/>
      <c r="GM94" s="197"/>
      <c r="GN94" s="197"/>
      <c r="GO94" s="197"/>
      <c r="GP94" s="197"/>
      <c r="GQ94" s="197"/>
      <c r="GR94" s="197"/>
      <c r="GS94" s="197"/>
      <c r="GT94" s="197"/>
      <c r="GU94" s="197"/>
      <c r="GV94" s="197"/>
      <c r="GW94" s="197"/>
      <c r="GX94" s="197"/>
      <c r="GY94" s="197"/>
      <c r="GZ94" s="197"/>
    </row>
    <row r="95" ht="13.2" spans="1:208">
      <c r="A95" s="172">
        <v>45886</v>
      </c>
      <c r="B95" s="20" t="s">
        <v>371</v>
      </c>
      <c r="C95" s="18"/>
      <c r="D95" s="20"/>
      <c r="E95" s="207"/>
      <c r="F95" s="20"/>
      <c r="G95" s="176"/>
      <c r="H95" s="175"/>
      <c r="I95" s="176"/>
      <c r="J95" s="178"/>
      <c r="K95" s="174"/>
      <c r="L95" s="174"/>
      <c r="M95" s="20"/>
      <c r="N95" s="176"/>
      <c r="O95" s="179"/>
      <c r="P95" s="179"/>
      <c r="Q95" s="174"/>
      <c r="R95" s="20"/>
      <c r="S95" s="20"/>
      <c r="T95" s="20"/>
      <c r="U95" s="176"/>
      <c r="V95" s="20"/>
      <c r="W95" s="178"/>
      <c r="X95" s="20"/>
      <c r="Y95" s="20"/>
      <c r="Z95" s="20"/>
      <c r="AA95" s="20"/>
      <c r="AB95" s="20"/>
      <c r="AC95" s="20"/>
      <c r="AD95" s="20"/>
      <c r="AE95" s="20"/>
      <c r="AF95" s="20"/>
      <c r="AG95" s="20"/>
      <c r="AH95" s="20"/>
      <c r="AI95" s="20"/>
      <c r="AJ95" s="20"/>
      <c r="AK95" s="20"/>
      <c r="AL95" s="20"/>
      <c r="AM95" s="180"/>
      <c r="AN95" s="173"/>
      <c r="AO95" s="20"/>
      <c r="AP95" s="20"/>
      <c r="AQ95" s="20"/>
      <c r="AR95" s="20"/>
      <c r="AS95" s="181"/>
      <c r="AT95" s="20"/>
      <c r="AU95" s="182"/>
      <c r="AV95" s="20"/>
      <c r="AW95" s="183"/>
      <c r="AX95" s="184"/>
      <c r="AY95" s="176"/>
      <c r="AZ95" s="182"/>
      <c r="BA95" s="183"/>
      <c r="BB95" s="176"/>
      <c r="BC95" s="179"/>
      <c r="BD95" s="179"/>
      <c r="BE95" s="182"/>
      <c r="BF95" s="186"/>
      <c r="BG95" s="186"/>
      <c r="BH95" s="187"/>
      <c r="BI95" s="182"/>
      <c r="BJ95" s="179"/>
      <c r="BK95" s="179"/>
      <c r="BL95" s="208"/>
      <c r="BM95" s="209"/>
      <c r="BN95" s="15"/>
      <c r="BO95" s="15"/>
      <c r="BP95" s="210"/>
      <c r="BQ95" s="182"/>
      <c r="BR95" s="182"/>
      <c r="BS95" s="182"/>
      <c r="BT95" s="20"/>
      <c r="BU95" s="20"/>
      <c r="BV95" s="20"/>
      <c r="BW95" s="185"/>
      <c r="BX95" s="182"/>
      <c r="BY95" s="182"/>
      <c r="BZ95" s="182"/>
      <c r="CA95" s="182"/>
      <c r="CC95" s="8"/>
      <c r="CD95" s="198"/>
      <c r="CE95" s="197"/>
      <c r="CF95" s="197"/>
      <c r="CG95" s="197"/>
      <c r="CH95" s="197"/>
      <c r="CI95" s="197"/>
      <c r="CJ95" s="197"/>
      <c r="CK95" s="197"/>
      <c r="CL95" s="197"/>
      <c r="CM95" s="197"/>
      <c r="CN95" s="197"/>
      <c r="CO95" s="197"/>
      <c r="CP95" s="197"/>
      <c r="CQ95" s="197"/>
      <c r="CR95" s="197"/>
      <c r="CS95" s="197"/>
      <c r="CT95" s="197"/>
      <c r="CU95" s="197"/>
      <c r="CV95" s="197"/>
      <c r="CW95" s="197"/>
      <c r="CX95" s="197"/>
      <c r="CY95" s="197"/>
      <c r="CZ95" s="197"/>
      <c r="DA95" s="197"/>
      <c r="DB95" s="197"/>
      <c r="DC95" s="197"/>
      <c r="DD95" s="197"/>
      <c r="DE95" s="197"/>
      <c r="DF95" s="197"/>
      <c r="DG95" s="197"/>
      <c r="DH95" s="197"/>
      <c r="DI95" s="197"/>
      <c r="DJ95" s="197"/>
      <c r="DK95" s="197"/>
      <c r="DL95" s="197"/>
      <c r="DM95" s="197"/>
      <c r="DN95" s="197"/>
      <c r="DO95" s="197"/>
      <c r="DP95" s="197"/>
      <c r="DQ95" s="197"/>
      <c r="DR95" s="197"/>
      <c r="DS95" s="197"/>
      <c r="DT95" s="197"/>
      <c r="DU95" s="197"/>
      <c r="DV95" s="197"/>
      <c r="DW95" s="197"/>
      <c r="DX95" s="197"/>
      <c r="DY95" s="197"/>
      <c r="DZ95" s="197"/>
      <c r="EA95" s="197"/>
      <c r="EB95" s="197"/>
      <c r="EC95" s="197"/>
      <c r="ED95" s="197"/>
      <c r="EE95" s="197"/>
      <c r="EF95" s="197"/>
      <c r="EG95" s="197"/>
      <c r="EH95" s="197"/>
      <c r="EI95" s="197"/>
      <c r="EJ95" s="197"/>
      <c r="EK95" s="197"/>
      <c r="EL95" s="197"/>
      <c r="EM95" s="197"/>
      <c r="EN95" s="197"/>
      <c r="EO95" s="197"/>
      <c r="EP95" s="197"/>
      <c r="EQ95" s="197"/>
      <c r="ER95" s="197"/>
      <c r="ES95" s="197"/>
      <c r="ET95" s="197"/>
      <c r="EU95" s="197"/>
      <c r="EV95" s="197"/>
      <c r="EW95" s="197"/>
      <c r="EX95" s="197"/>
      <c r="EY95" s="197"/>
      <c r="EZ95" s="197"/>
      <c r="FA95" s="198"/>
      <c r="FB95" s="198"/>
      <c r="FC95" s="198"/>
      <c r="FD95" s="198"/>
      <c r="FE95" s="211"/>
      <c r="FF95" s="197"/>
      <c r="FG95" s="197"/>
      <c r="FH95" s="197"/>
      <c r="FI95" s="212"/>
      <c r="FJ95" s="212"/>
      <c r="FK95" s="197"/>
      <c r="FL95" s="197"/>
      <c r="FM95" s="197"/>
      <c r="FN95" s="197"/>
      <c r="FO95" s="197"/>
      <c r="FP95" s="197"/>
      <c r="FQ95" s="197"/>
      <c r="FR95" s="197"/>
      <c r="FS95" s="197"/>
      <c r="FT95" s="197"/>
      <c r="FU95" s="197"/>
      <c r="FV95" s="197"/>
      <c r="FW95" s="197"/>
      <c r="FX95" s="197"/>
      <c r="FY95" s="197"/>
      <c r="FZ95" s="197"/>
      <c r="GA95" s="197"/>
      <c r="GB95" s="197"/>
      <c r="GC95" s="197"/>
      <c r="GD95" s="197"/>
      <c r="GE95" s="197"/>
      <c r="GF95" s="197"/>
      <c r="GG95" s="197"/>
      <c r="GH95" s="197"/>
      <c r="GI95" s="197"/>
      <c r="GJ95" s="197"/>
      <c r="GK95" s="197"/>
      <c r="GL95" s="197"/>
      <c r="GM95" s="197"/>
      <c r="GN95" s="197"/>
      <c r="GO95" s="197"/>
      <c r="GP95" s="197"/>
      <c r="GQ95" s="197"/>
      <c r="GR95" s="197"/>
      <c r="GS95" s="197"/>
      <c r="GT95" s="197"/>
      <c r="GU95" s="197"/>
      <c r="GV95" s="197"/>
      <c r="GW95" s="197"/>
      <c r="GX95" s="197"/>
      <c r="GY95" s="197"/>
      <c r="GZ95" s="197"/>
    </row>
    <row r="96" ht="13.2" spans="1:208">
      <c r="A96" s="172">
        <v>45887</v>
      </c>
      <c r="B96" s="20" t="s">
        <v>373</v>
      </c>
      <c r="C96" s="18"/>
      <c r="D96" s="20"/>
      <c r="E96" s="207"/>
      <c r="F96" s="20"/>
      <c r="G96" s="176"/>
      <c r="H96" s="175"/>
      <c r="I96" s="176"/>
      <c r="J96" s="178"/>
      <c r="K96" s="174"/>
      <c r="L96" s="174"/>
      <c r="M96" s="20"/>
      <c r="N96" s="176"/>
      <c r="O96" s="179"/>
      <c r="P96" s="179"/>
      <c r="Q96" s="174"/>
      <c r="R96" s="20"/>
      <c r="S96" s="20"/>
      <c r="T96" s="20"/>
      <c r="U96" s="176"/>
      <c r="V96" s="20"/>
      <c r="W96" s="178"/>
      <c r="X96" s="20"/>
      <c r="Y96" s="20"/>
      <c r="Z96" s="20"/>
      <c r="AA96" s="20"/>
      <c r="AB96" s="20"/>
      <c r="AC96" s="20"/>
      <c r="AD96" s="20"/>
      <c r="AE96" s="20"/>
      <c r="AF96" s="20"/>
      <c r="AG96" s="20"/>
      <c r="AH96" s="20"/>
      <c r="AI96" s="20"/>
      <c r="AJ96" s="20"/>
      <c r="AK96" s="20"/>
      <c r="AL96" s="20"/>
      <c r="AM96" s="180"/>
      <c r="AN96" s="173"/>
      <c r="AO96" s="20"/>
      <c r="AP96" s="20"/>
      <c r="AQ96" s="20"/>
      <c r="AR96" s="20"/>
      <c r="AS96" s="181"/>
      <c r="AT96" s="20"/>
      <c r="AU96" s="182"/>
      <c r="AV96" s="20"/>
      <c r="AW96" s="183"/>
      <c r="AX96" s="184"/>
      <c r="AY96" s="176"/>
      <c r="AZ96" s="182"/>
      <c r="BA96" s="183"/>
      <c r="BB96" s="176"/>
      <c r="BC96" s="179"/>
      <c r="BD96" s="179"/>
      <c r="BE96" s="182"/>
      <c r="BF96" s="186"/>
      <c r="BG96" s="186"/>
      <c r="BH96" s="187"/>
      <c r="BI96" s="182"/>
      <c r="BJ96" s="179"/>
      <c r="BK96" s="179"/>
      <c r="BL96" s="208"/>
      <c r="BM96" s="209"/>
      <c r="BN96" s="15"/>
      <c r="BO96" s="15"/>
      <c r="BP96" s="210"/>
      <c r="BQ96" s="182"/>
      <c r="BR96" s="182"/>
      <c r="BS96" s="182"/>
      <c r="BT96" s="20"/>
      <c r="BU96" s="20"/>
      <c r="BV96" s="20"/>
      <c r="BW96" s="185"/>
      <c r="BX96" s="182"/>
      <c r="BY96" s="182"/>
      <c r="BZ96" s="182"/>
      <c r="CA96" s="182"/>
      <c r="CC96" s="8"/>
      <c r="CD96" s="198"/>
      <c r="CE96" s="197"/>
      <c r="CF96" s="197"/>
      <c r="CG96" s="197"/>
      <c r="CH96" s="197"/>
      <c r="CI96" s="197"/>
      <c r="CJ96" s="197"/>
      <c r="CK96" s="197"/>
      <c r="CL96" s="197"/>
      <c r="CM96" s="197"/>
      <c r="CN96" s="197"/>
      <c r="CO96" s="197"/>
      <c r="CP96" s="197"/>
      <c r="CQ96" s="197"/>
      <c r="CR96" s="197"/>
      <c r="CS96" s="197"/>
      <c r="CT96" s="197"/>
      <c r="CU96" s="197"/>
      <c r="CV96" s="197"/>
      <c r="CW96" s="197"/>
      <c r="CX96" s="197"/>
      <c r="CY96" s="197"/>
      <c r="CZ96" s="197"/>
      <c r="DA96" s="197"/>
      <c r="DB96" s="197"/>
      <c r="DC96" s="197"/>
      <c r="DD96" s="197"/>
      <c r="DE96" s="197"/>
      <c r="DF96" s="197"/>
      <c r="DG96" s="197"/>
      <c r="DH96" s="197"/>
      <c r="DI96" s="197"/>
      <c r="DJ96" s="197"/>
      <c r="DK96" s="197"/>
      <c r="DL96" s="197"/>
      <c r="DM96" s="197"/>
      <c r="DN96" s="197"/>
      <c r="DO96" s="197"/>
      <c r="DP96" s="197"/>
      <c r="DQ96" s="197"/>
      <c r="DR96" s="197"/>
      <c r="DS96" s="197"/>
      <c r="DT96" s="197"/>
      <c r="DU96" s="197"/>
      <c r="DV96" s="197"/>
      <c r="DW96" s="197"/>
      <c r="DX96" s="197"/>
      <c r="DY96" s="197"/>
      <c r="DZ96" s="197"/>
      <c r="EA96" s="197"/>
      <c r="EB96" s="197"/>
      <c r="EC96" s="197"/>
      <c r="ED96" s="197"/>
      <c r="EE96" s="197"/>
      <c r="EF96" s="197"/>
      <c r="EG96" s="197"/>
      <c r="EH96" s="197"/>
      <c r="EI96" s="197"/>
      <c r="EJ96" s="197"/>
      <c r="EK96" s="197"/>
      <c r="EL96" s="197"/>
      <c r="EM96" s="197"/>
      <c r="EN96" s="197"/>
      <c r="EO96" s="197"/>
      <c r="EP96" s="197"/>
      <c r="EQ96" s="197"/>
      <c r="ER96" s="197"/>
      <c r="ES96" s="197"/>
      <c r="ET96" s="197"/>
      <c r="EU96" s="197"/>
      <c r="EV96" s="197"/>
      <c r="EW96" s="197"/>
      <c r="EX96" s="197"/>
      <c r="EY96" s="197"/>
      <c r="EZ96" s="197"/>
      <c r="FA96" s="198"/>
      <c r="FB96" s="198"/>
      <c r="FC96" s="198"/>
      <c r="FD96" s="198"/>
      <c r="FE96" s="211"/>
      <c r="FF96" s="197"/>
      <c r="FG96" s="197"/>
      <c r="FH96" s="197"/>
      <c r="FI96" s="212"/>
      <c r="FJ96" s="212"/>
      <c r="FK96" s="197"/>
      <c r="FL96" s="197"/>
      <c r="FM96" s="197"/>
      <c r="FN96" s="197"/>
      <c r="FO96" s="197"/>
      <c r="FP96" s="197"/>
      <c r="FQ96" s="197"/>
      <c r="FR96" s="197"/>
      <c r="FS96" s="197"/>
      <c r="FT96" s="197"/>
      <c r="FU96" s="197"/>
      <c r="FV96" s="197"/>
      <c r="FW96" s="197"/>
      <c r="FX96" s="197"/>
      <c r="FY96" s="197"/>
      <c r="FZ96" s="197"/>
      <c r="GA96" s="197"/>
      <c r="GB96" s="197"/>
      <c r="GC96" s="197"/>
      <c r="GD96" s="197"/>
      <c r="GE96" s="197"/>
      <c r="GF96" s="197"/>
      <c r="GG96" s="197"/>
      <c r="GH96" s="197"/>
      <c r="GI96" s="197"/>
      <c r="GJ96" s="197"/>
      <c r="GK96" s="197"/>
      <c r="GL96" s="197"/>
      <c r="GM96" s="197"/>
      <c r="GN96" s="197"/>
      <c r="GO96" s="197"/>
      <c r="GP96" s="197"/>
      <c r="GQ96" s="197"/>
      <c r="GR96" s="197"/>
      <c r="GS96" s="197"/>
      <c r="GT96" s="197"/>
      <c r="GU96" s="197"/>
      <c r="GV96" s="197"/>
      <c r="GW96" s="197"/>
      <c r="GX96" s="197"/>
      <c r="GY96" s="197"/>
      <c r="GZ96" s="197"/>
    </row>
    <row r="97" ht="13.2" spans="1:208">
      <c r="A97" s="172">
        <v>45888</v>
      </c>
      <c r="B97" s="20" t="s">
        <v>375</v>
      </c>
      <c r="C97" s="18"/>
      <c r="D97" s="20"/>
      <c r="E97" s="207"/>
      <c r="F97" s="20"/>
      <c r="G97" s="176"/>
      <c r="H97" s="175"/>
      <c r="I97" s="176"/>
      <c r="J97" s="178"/>
      <c r="K97" s="174"/>
      <c r="L97" s="174"/>
      <c r="M97" s="20"/>
      <c r="N97" s="176"/>
      <c r="O97" s="179"/>
      <c r="P97" s="179"/>
      <c r="Q97" s="174"/>
      <c r="R97" s="20"/>
      <c r="S97" s="20"/>
      <c r="T97" s="20"/>
      <c r="U97" s="176"/>
      <c r="V97" s="20"/>
      <c r="W97" s="178"/>
      <c r="X97" s="20"/>
      <c r="Y97" s="20"/>
      <c r="Z97" s="20"/>
      <c r="AA97" s="20"/>
      <c r="AB97" s="20"/>
      <c r="AC97" s="20"/>
      <c r="AD97" s="20"/>
      <c r="AE97" s="20"/>
      <c r="AF97" s="20"/>
      <c r="AG97" s="20"/>
      <c r="AH97" s="20"/>
      <c r="AI97" s="20"/>
      <c r="AJ97" s="20"/>
      <c r="AK97" s="20"/>
      <c r="AL97" s="20"/>
      <c r="AM97" s="180"/>
      <c r="AN97" s="173"/>
      <c r="AO97" s="20"/>
      <c r="AP97" s="20"/>
      <c r="AQ97" s="20"/>
      <c r="AR97" s="20"/>
      <c r="AS97" s="181"/>
      <c r="AT97" s="20"/>
      <c r="AU97" s="182"/>
      <c r="AV97" s="20"/>
      <c r="AW97" s="183"/>
      <c r="AX97" s="184"/>
      <c r="AY97" s="176"/>
      <c r="AZ97" s="182"/>
      <c r="BA97" s="183"/>
      <c r="BB97" s="176"/>
      <c r="BC97" s="179"/>
      <c r="BD97" s="179"/>
      <c r="BE97" s="182"/>
      <c r="BF97" s="186"/>
      <c r="BG97" s="186"/>
      <c r="BH97" s="187"/>
      <c r="BI97" s="182"/>
      <c r="BJ97" s="179"/>
      <c r="BK97" s="179"/>
      <c r="BL97" s="208"/>
      <c r="BM97" s="209"/>
      <c r="BN97" s="15"/>
      <c r="BO97" s="15"/>
      <c r="BP97" s="210"/>
      <c r="BQ97" s="182"/>
      <c r="BR97" s="182"/>
      <c r="BS97" s="182"/>
      <c r="BT97" s="20"/>
      <c r="BU97" s="20"/>
      <c r="BV97" s="20"/>
      <c r="BW97" s="185"/>
      <c r="BX97" s="182"/>
      <c r="BY97" s="182"/>
      <c r="BZ97" s="182"/>
      <c r="CA97" s="182"/>
      <c r="CC97" s="8"/>
      <c r="CD97" s="198"/>
      <c r="CE97" s="197"/>
      <c r="CF97" s="197"/>
      <c r="CG97" s="197"/>
      <c r="CH97" s="197"/>
      <c r="CI97" s="197"/>
      <c r="CJ97" s="197"/>
      <c r="CK97" s="197"/>
      <c r="CL97" s="197"/>
      <c r="CM97" s="197"/>
      <c r="CN97" s="197"/>
      <c r="CO97" s="197"/>
      <c r="CP97" s="197"/>
      <c r="CQ97" s="197"/>
      <c r="CR97" s="197"/>
      <c r="CS97" s="197"/>
      <c r="CT97" s="197"/>
      <c r="CU97" s="197"/>
      <c r="CV97" s="197"/>
      <c r="CW97" s="197"/>
      <c r="CX97" s="197"/>
      <c r="CY97" s="197"/>
      <c r="CZ97" s="197"/>
      <c r="DA97" s="197"/>
      <c r="DB97" s="197"/>
      <c r="DC97" s="197"/>
      <c r="DD97" s="197"/>
      <c r="DE97" s="197"/>
      <c r="DF97" s="197"/>
      <c r="DG97" s="197"/>
      <c r="DH97" s="197"/>
      <c r="DI97" s="197"/>
      <c r="DJ97" s="197"/>
      <c r="DK97" s="197"/>
      <c r="DL97" s="197"/>
      <c r="DM97" s="197"/>
      <c r="DN97" s="197"/>
      <c r="DO97" s="197"/>
      <c r="DP97" s="197"/>
      <c r="DQ97" s="197"/>
      <c r="DR97" s="197"/>
      <c r="DS97" s="197"/>
      <c r="DT97" s="197"/>
      <c r="DU97" s="197"/>
      <c r="DV97" s="197"/>
      <c r="DW97" s="197"/>
      <c r="DX97" s="197"/>
      <c r="DY97" s="197"/>
      <c r="DZ97" s="197"/>
      <c r="EA97" s="197"/>
      <c r="EB97" s="197"/>
      <c r="EC97" s="197"/>
      <c r="ED97" s="197"/>
      <c r="EE97" s="197"/>
      <c r="EF97" s="197"/>
      <c r="EG97" s="197"/>
      <c r="EH97" s="197"/>
      <c r="EI97" s="197"/>
      <c r="EJ97" s="197"/>
      <c r="EK97" s="197"/>
      <c r="EL97" s="197"/>
      <c r="EM97" s="197"/>
      <c r="EN97" s="197"/>
      <c r="EO97" s="197"/>
      <c r="EP97" s="197"/>
      <c r="EQ97" s="197"/>
      <c r="ER97" s="197"/>
      <c r="ES97" s="197"/>
      <c r="ET97" s="197"/>
      <c r="EU97" s="197"/>
      <c r="EV97" s="197"/>
      <c r="EW97" s="197"/>
      <c r="EX97" s="197"/>
      <c r="EY97" s="197"/>
      <c r="EZ97" s="197"/>
      <c r="FA97" s="198"/>
      <c r="FB97" s="198"/>
      <c r="FC97" s="198"/>
      <c r="FD97" s="198"/>
      <c r="FE97" s="211"/>
      <c r="FF97" s="197"/>
      <c r="FG97" s="197"/>
      <c r="FH97" s="197"/>
      <c r="FI97" s="212"/>
      <c r="FJ97" s="212"/>
      <c r="FK97" s="197"/>
      <c r="FL97" s="197"/>
      <c r="FM97" s="197"/>
      <c r="FN97" s="197"/>
      <c r="FO97" s="197"/>
      <c r="FP97" s="197"/>
      <c r="FQ97" s="197"/>
      <c r="FR97" s="197"/>
      <c r="FS97" s="197"/>
      <c r="FT97" s="197"/>
      <c r="FU97" s="197"/>
      <c r="FV97" s="197"/>
      <c r="FW97" s="197"/>
      <c r="FX97" s="197"/>
      <c r="FY97" s="197"/>
      <c r="FZ97" s="197"/>
      <c r="GA97" s="197"/>
      <c r="GB97" s="197"/>
      <c r="GC97" s="197"/>
      <c r="GD97" s="197"/>
      <c r="GE97" s="197"/>
      <c r="GF97" s="197"/>
      <c r="GG97" s="197"/>
      <c r="GH97" s="197"/>
      <c r="GI97" s="197"/>
      <c r="GJ97" s="197"/>
      <c r="GK97" s="197"/>
      <c r="GL97" s="197"/>
      <c r="GM97" s="197"/>
      <c r="GN97" s="197"/>
      <c r="GO97" s="197"/>
      <c r="GP97" s="197"/>
      <c r="GQ97" s="197"/>
      <c r="GR97" s="197"/>
      <c r="GS97" s="197"/>
      <c r="GT97" s="197"/>
      <c r="GU97" s="197"/>
      <c r="GV97" s="197"/>
      <c r="GW97" s="197"/>
      <c r="GX97" s="197"/>
      <c r="GY97" s="197"/>
      <c r="GZ97" s="197"/>
    </row>
    <row r="98" ht="13.2" spans="1:208">
      <c r="A98" s="172">
        <v>45889</v>
      </c>
      <c r="B98" s="20" t="s">
        <v>377</v>
      </c>
      <c r="C98" s="18"/>
      <c r="D98" s="20"/>
      <c r="E98" s="207"/>
      <c r="F98" s="20"/>
      <c r="G98" s="176"/>
      <c r="H98" s="175"/>
      <c r="I98" s="176"/>
      <c r="J98" s="178"/>
      <c r="K98" s="174"/>
      <c r="L98" s="174"/>
      <c r="M98" s="20"/>
      <c r="N98" s="176"/>
      <c r="O98" s="179"/>
      <c r="P98" s="179"/>
      <c r="Q98" s="174"/>
      <c r="R98" s="20"/>
      <c r="S98" s="20"/>
      <c r="T98" s="20"/>
      <c r="U98" s="176"/>
      <c r="V98" s="20"/>
      <c r="W98" s="178"/>
      <c r="X98" s="20"/>
      <c r="Y98" s="20"/>
      <c r="Z98" s="20"/>
      <c r="AA98" s="20"/>
      <c r="AB98" s="20"/>
      <c r="AC98" s="20"/>
      <c r="AD98" s="20"/>
      <c r="AE98" s="20"/>
      <c r="AF98" s="20"/>
      <c r="AG98" s="20"/>
      <c r="AH98" s="20"/>
      <c r="AI98" s="20"/>
      <c r="AJ98" s="20"/>
      <c r="AK98" s="20"/>
      <c r="AL98" s="20"/>
      <c r="AM98" s="180"/>
      <c r="AN98" s="173"/>
      <c r="AO98" s="20"/>
      <c r="AP98" s="20"/>
      <c r="AQ98" s="20"/>
      <c r="AR98" s="20"/>
      <c r="AS98" s="181"/>
      <c r="AT98" s="20"/>
      <c r="AU98" s="182"/>
      <c r="AV98" s="20"/>
      <c r="AW98" s="183"/>
      <c r="AX98" s="184"/>
      <c r="AY98" s="176"/>
      <c r="AZ98" s="182"/>
      <c r="BA98" s="183"/>
      <c r="BB98" s="176"/>
      <c r="BC98" s="179"/>
      <c r="BD98" s="179"/>
      <c r="BE98" s="182"/>
      <c r="BF98" s="186"/>
      <c r="BG98" s="186"/>
      <c r="BH98" s="187"/>
      <c r="BI98" s="182"/>
      <c r="BJ98" s="179"/>
      <c r="BK98" s="179"/>
      <c r="BL98" s="208"/>
      <c r="BM98" s="209"/>
      <c r="BN98" s="15"/>
      <c r="BO98" s="15"/>
      <c r="BP98" s="210"/>
      <c r="BQ98" s="182"/>
      <c r="BR98" s="182"/>
      <c r="BS98" s="182"/>
      <c r="BT98" s="20"/>
      <c r="BU98" s="20"/>
      <c r="BV98" s="20"/>
      <c r="BW98" s="185"/>
      <c r="BX98" s="182"/>
      <c r="BY98" s="182"/>
      <c r="BZ98" s="182"/>
      <c r="CA98" s="182"/>
      <c r="CC98" s="8"/>
      <c r="CD98" s="198"/>
      <c r="CE98" s="197"/>
      <c r="CF98" s="197"/>
      <c r="CG98" s="197"/>
      <c r="CH98" s="197"/>
      <c r="CI98" s="197"/>
      <c r="CJ98" s="197"/>
      <c r="CK98" s="197"/>
      <c r="CL98" s="197"/>
      <c r="CM98" s="197"/>
      <c r="CN98" s="197"/>
      <c r="CO98" s="197"/>
      <c r="CP98" s="197"/>
      <c r="CQ98" s="197"/>
      <c r="CR98" s="197"/>
      <c r="CS98" s="197"/>
      <c r="CT98" s="197"/>
      <c r="CU98" s="197"/>
      <c r="CV98" s="197"/>
      <c r="CW98" s="197"/>
      <c r="CX98" s="197"/>
      <c r="CY98" s="197"/>
      <c r="CZ98" s="197"/>
      <c r="DA98" s="197"/>
      <c r="DB98" s="197"/>
      <c r="DC98" s="197"/>
      <c r="DD98" s="197"/>
      <c r="DE98" s="197"/>
      <c r="DF98" s="197"/>
      <c r="DG98" s="197"/>
      <c r="DH98" s="197"/>
      <c r="DI98" s="197"/>
      <c r="DJ98" s="197"/>
      <c r="DK98" s="197"/>
      <c r="DL98" s="197"/>
      <c r="DM98" s="197"/>
      <c r="DN98" s="197"/>
      <c r="DO98" s="197"/>
      <c r="DP98" s="197"/>
      <c r="DQ98" s="197"/>
      <c r="DR98" s="197"/>
      <c r="DS98" s="197"/>
      <c r="DT98" s="197"/>
      <c r="DU98" s="197"/>
      <c r="DV98" s="197"/>
      <c r="DW98" s="197"/>
      <c r="DX98" s="197"/>
      <c r="DY98" s="197"/>
      <c r="DZ98" s="197"/>
      <c r="EA98" s="197"/>
      <c r="EB98" s="197"/>
      <c r="EC98" s="197"/>
      <c r="ED98" s="197"/>
      <c r="EE98" s="197"/>
      <c r="EF98" s="197"/>
      <c r="EG98" s="197"/>
      <c r="EH98" s="197"/>
      <c r="EI98" s="197"/>
      <c r="EJ98" s="197"/>
      <c r="EK98" s="197"/>
      <c r="EL98" s="197"/>
      <c r="EM98" s="197"/>
      <c r="EN98" s="197"/>
      <c r="EO98" s="197"/>
      <c r="EP98" s="197"/>
      <c r="EQ98" s="197"/>
      <c r="ER98" s="197"/>
      <c r="ES98" s="197"/>
      <c r="ET98" s="197"/>
      <c r="EU98" s="197"/>
      <c r="EV98" s="197"/>
      <c r="EW98" s="197"/>
      <c r="EX98" s="197"/>
      <c r="EY98" s="197"/>
      <c r="EZ98" s="197"/>
      <c r="FA98" s="198"/>
      <c r="FB98" s="198"/>
      <c r="FC98" s="198"/>
      <c r="FD98" s="198"/>
      <c r="FE98" s="211"/>
      <c r="FF98" s="197"/>
      <c r="FG98" s="197"/>
      <c r="FH98" s="197"/>
      <c r="FI98" s="212"/>
      <c r="FJ98" s="212"/>
      <c r="FK98" s="197"/>
      <c r="FL98" s="197"/>
      <c r="FM98" s="197"/>
      <c r="FN98" s="197"/>
      <c r="FO98" s="197"/>
      <c r="FP98" s="197"/>
      <c r="FQ98" s="197"/>
      <c r="FR98" s="197"/>
      <c r="FS98" s="197"/>
      <c r="FT98" s="197"/>
      <c r="FU98" s="197"/>
      <c r="FV98" s="197"/>
      <c r="FW98" s="197"/>
      <c r="FX98" s="197"/>
      <c r="FY98" s="197"/>
      <c r="FZ98" s="197"/>
      <c r="GA98" s="197"/>
      <c r="GB98" s="197"/>
      <c r="GC98" s="197"/>
      <c r="GD98" s="197"/>
      <c r="GE98" s="197"/>
      <c r="GF98" s="197"/>
      <c r="GG98" s="197"/>
      <c r="GH98" s="197"/>
      <c r="GI98" s="197"/>
      <c r="GJ98" s="197"/>
      <c r="GK98" s="197"/>
      <c r="GL98" s="197"/>
      <c r="GM98" s="197"/>
      <c r="GN98" s="197"/>
      <c r="GO98" s="197"/>
      <c r="GP98" s="197"/>
      <c r="GQ98" s="197"/>
      <c r="GR98" s="197"/>
      <c r="GS98" s="197"/>
      <c r="GT98" s="197"/>
      <c r="GU98" s="197"/>
      <c r="GV98" s="197"/>
      <c r="GW98" s="197"/>
      <c r="GX98" s="197"/>
      <c r="GY98" s="197"/>
      <c r="GZ98" s="197"/>
    </row>
    <row r="99" ht="13.2" spans="1:208">
      <c r="A99" s="172">
        <v>45890</v>
      </c>
      <c r="B99" s="20" t="s">
        <v>379</v>
      </c>
      <c r="C99" s="18"/>
      <c r="D99" s="20"/>
      <c r="E99" s="207"/>
      <c r="F99" s="20"/>
      <c r="G99" s="176"/>
      <c r="H99" s="175"/>
      <c r="I99" s="176"/>
      <c r="J99" s="178"/>
      <c r="K99" s="174"/>
      <c r="L99" s="174"/>
      <c r="M99" s="20"/>
      <c r="N99" s="176"/>
      <c r="O99" s="179"/>
      <c r="P99" s="179"/>
      <c r="Q99" s="174"/>
      <c r="R99" s="20"/>
      <c r="S99" s="20"/>
      <c r="T99" s="20"/>
      <c r="U99" s="176"/>
      <c r="V99" s="20"/>
      <c r="W99" s="178"/>
      <c r="X99" s="20"/>
      <c r="Y99" s="20"/>
      <c r="Z99" s="20"/>
      <c r="AA99" s="20"/>
      <c r="AB99" s="20"/>
      <c r="AC99" s="20"/>
      <c r="AD99" s="20"/>
      <c r="AE99" s="20"/>
      <c r="AF99" s="20"/>
      <c r="AG99" s="20"/>
      <c r="AH99" s="20"/>
      <c r="AI99" s="20"/>
      <c r="AJ99" s="20"/>
      <c r="AK99" s="20"/>
      <c r="AL99" s="20"/>
      <c r="AM99" s="180"/>
      <c r="AN99" s="173"/>
      <c r="AO99" s="20"/>
      <c r="AP99" s="20"/>
      <c r="AQ99" s="20"/>
      <c r="AR99" s="20"/>
      <c r="AS99" s="181"/>
      <c r="AT99" s="20"/>
      <c r="AU99" s="182"/>
      <c r="AV99" s="20"/>
      <c r="AW99" s="183"/>
      <c r="AX99" s="184"/>
      <c r="AY99" s="176"/>
      <c r="AZ99" s="182"/>
      <c r="BA99" s="183"/>
      <c r="BB99" s="176"/>
      <c r="BC99" s="179"/>
      <c r="BD99" s="179"/>
      <c r="BE99" s="182"/>
      <c r="BF99" s="186"/>
      <c r="BG99" s="186"/>
      <c r="BH99" s="187"/>
      <c r="BI99" s="182"/>
      <c r="BJ99" s="179"/>
      <c r="BK99" s="179"/>
      <c r="BL99" s="208"/>
      <c r="BM99" s="209"/>
      <c r="BN99" s="15"/>
      <c r="BO99" s="15"/>
      <c r="BP99" s="210"/>
      <c r="BQ99" s="182"/>
      <c r="BR99" s="182"/>
      <c r="BS99" s="182"/>
      <c r="BT99" s="20"/>
      <c r="BU99" s="20"/>
      <c r="BV99" s="20"/>
      <c r="BW99" s="185"/>
      <c r="BX99" s="182"/>
      <c r="BY99" s="182"/>
      <c r="BZ99" s="182"/>
      <c r="CA99" s="182"/>
      <c r="CC99" s="8"/>
      <c r="CD99" s="198"/>
      <c r="CE99" s="197"/>
      <c r="CF99" s="197"/>
      <c r="CG99" s="197"/>
      <c r="CH99" s="197"/>
      <c r="CI99" s="197"/>
      <c r="CJ99" s="197"/>
      <c r="CK99" s="197"/>
      <c r="CL99" s="197"/>
      <c r="CM99" s="197"/>
      <c r="CN99" s="197"/>
      <c r="CO99" s="197"/>
      <c r="CP99" s="197"/>
      <c r="CQ99" s="197"/>
      <c r="CR99" s="197"/>
      <c r="CS99" s="197"/>
      <c r="CT99" s="197"/>
      <c r="CU99" s="197"/>
      <c r="CV99" s="197"/>
      <c r="CW99" s="197"/>
      <c r="CX99" s="197"/>
      <c r="CY99" s="197"/>
      <c r="CZ99" s="197"/>
      <c r="DA99" s="197"/>
      <c r="DB99" s="197"/>
      <c r="DC99" s="197"/>
      <c r="DD99" s="197"/>
      <c r="DE99" s="197"/>
      <c r="DF99" s="197"/>
      <c r="DG99" s="197"/>
      <c r="DH99" s="197"/>
      <c r="DI99" s="197"/>
      <c r="DJ99" s="197"/>
      <c r="DK99" s="197"/>
      <c r="DL99" s="197"/>
      <c r="DM99" s="197"/>
      <c r="DN99" s="197"/>
      <c r="DO99" s="197"/>
      <c r="DP99" s="197"/>
      <c r="DQ99" s="197"/>
      <c r="DR99" s="197"/>
      <c r="DS99" s="197"/>
      <c r="DT99" s="197"/>
      <c r="DU99" s="197"/>
      <c r="DV99" s="197"/>
      <c r="DW99" s="197"/>
      <c r="DX99" s="197"/>
      <c r="DY99" s="197"/>
      <c r="DZ99" s="197"/>
      <c r="EA99" s="197"/>
      <c r="EB99" s="197"/>
      <c r="EC99" s="197"/>
      <c r="ED99" s="197"/>
      <c r="EE99" s="197"/>
      <c r="EF99" s="197"/>
      <c r="EG99" s="197"/>
      <c r="EH99" s="197"/>
      <c r="EI99" s="197"/>
      <c r="EJ99" s="197"/>
      <c r="EK99" s="197"/>
      <c r="EL99" s="197"/>
      <c r="EM99" s="197"/>
      <c r="EN99" s="197"/>
      <c r="EO99" s="197"/>
      <c r="EP99" s="197"/>
      <c r="EQ99" s="197"/>
      <c r="ER99" s="197"/>
      <c r="ES99" s="197"/>
      <c r="ET99" s="197"/>
      <c r="EU99" s="197"/>
      <c r="EV99" s="197"/>
      <c r="EW99" s="197"/>
      <c r="EX99" s="197"/>
      <c r="EY99" s="197"/>
      <c r="EZ99" s="197"/>
      <c r="FA99" s="198"/>
      <c r="FB99" s="198"/>
      <c r="FC99" s="198"/>
      <c r="FD99" s="198"/>
      <c r="FE99" s="211"/>
      <c r="FF99" s="197"/>
      <c r="FG99" s="197"/>
      <c r="FH99" s="197"/>
      <c r="FI99" s="212"/>
      <c r="FJ99" s="212"/>
      <c r="FK99" s="197"/>
      <c r="FL99" s="197"/>
      <c r="FM99" s="197"/>
      <c r="FN99" s="197"/>
      <c r="FO99" s="197"/>
      <c r="FP99" s="197"/>
      <c r="FQ99" s="197"/>
      <c r="FR99" s="197"/>
      <c r="FS99" s="197"/>
      <c r="FT99" s="197"/>
      <c r="FU99" s="197"/>
      <c r="FV99" s="197"/>
      <c r="FW99" s="197"/>
      <c r="FX99" s="197"/>
      <c r="FY99" s="197"/>
      <c r="FZ99" s="197"/>
      <c r="GA99" s="197"/>
      <c r="GB99" s="197"/>
      <c r="GC99" s="197"/>
      <c r="GD99" s="197"/>
      <c r="GE99" s="197"/>
      <c r="GF99" s="197"/>
      <c r="GG99" s="197"/>
      <c r="GH99" s="197"/>
      <c r="GI99" s="197"/>
      <c r="GJ99" s="197"/>
      <c r="GK99" s="197"/>
      <c r="GL99" s="197"/>
      <c r="GM99" s="197"/>
      <c r="GN99" s="197"/>
      <c r="GO99" s="197"/>
      <c r="GP99" s="197"/>
      <c r="GQ99" s="197"/>
      <c r="GR99" s="197"/>
      <c r="GS99" s="197"/>
      <c r="GT99" s="197"/>
      <c r="GU99" s="197"/>
      <c r="GV99" s="197"/>
      <c r="GW99" s="197"/>
      <c r="GX99" s="197"/>
      <c r="GY99" s="197"/>
      <c r="GZ99" s="197"/>
    </row>
    <row r="100" ht="13.2" spans="1:208">
      <c r="A100" s="172">
        <v>45891</v>
      </c>
      <c r="B100" s="20" t="s">
        <v>381</v>
      </c>
      <c r="C100" s="18"/>
      <c r="D100" s="20"/>
      <c r="E100" s="207"/>
      <c r="F100" s="20"/>
      <c r="G100" s="176"/>
      <c r="H100" s="175"/>
      <c r="I100" s="176"/>
      <c r="J100" s="178"/>
      <c r="K100" s="174"/>
      <c r="L100" s="174"/>
      <c r="M100" s="20"/>
      <c r="N100" s="176"/>
      <c r="O100" s="179"/>
      <c r="P100" s="179"/>
      <c r="Q100" s="174"/>
      <c r="R100" s="20"/>
      <c r="S100" s="20"/>
      <c r="T100" s="20"/>
      <c r="U100" s="176"/>
      <c r="V100" s="20"/>
      <c r="W100" s="178"/>
      <c r="X100" s="20"/>
      <c r="Y100" s="20"/>
      <c r="Z100" s="20"/>
      <c r="AA100" s="20"/>
      <c r="AB100" s="20"/>
      <c r="AC100" s="20"/>
      <c r="AD100" s="20"/>
      <c r="AE100" s="20"/>
      <c r="AF100" s="20"/>
      <c r="AG100" s="20"/>
      <c r="AH100" s="20"/>
      <c r="AI100" s="20"/>
      <c r="AJ100" s="20"/>
      <c r="AK100" s="20"/>
      <c r="AL100" s="20"/>
      <c r="AM100" s="180"/>
      <c r="AN100" s="173"/>
      <c r="AO100" s="20"/>
      <c r="AP100" s="20"/>
      <c r="AQ100" s="20"/>
      <c r="AR100" s="20"/>
      <c r="AS100" s="181"/>
      <c r="AT100" s="20"/>
      <c r="AU100" s="182"/>
      <c r="AV100" s="20"/>
      <c r="AW100" s="183"/>
      <c r="AX100" s="184"/>
      <c r="AY100" s="176"/>
      <c r="AZ100" s="182"/>
      <c r="BA100" s="183"/>
      <c r="BB100" s="176"/>
      <c r="BC100" s="179"/>
      <c r="BD100" s="179"/>
      <c r="BE100" s="182"/>
      <c r="BF100" s="186"/>
      <c r="BG100" s="186"/>
      <c r="BH100" s="187"/>
      <c r="BI100" s="182"/>
      <c r="BJ100" s="179"/>
      <c r="BK100" s="179"/>
      <c r="BL100" s="208"/>
      <c r="BM100" s="209"/>
      <c r="BN100" s="15"/>
      <c r="BO100" s="15"/>
      <c r="BP100" s="210"/>
      <c r="BQ100" s="182"/>
      <c r="BR100" s="182"/>
      <c r="BS100" s="182"/>
      <c r="BT100" s="20"/>
      <c r="BU100" s="20"/>
      <c r="BV100" s="20"/>
      <c r="BW100" s="185"/>
      <c r="BX100" s="182"/>
      <c r="BY100" s="182"/>
      <c r="BZ100" s="182"/>
      <c r="CA100" s="182"/>
      <c r="CC100" s="8"/>
      <c r="CD100" s="198"/>
      <c r="CE100" s="197"/>
      <c r="CF100" s="197"/>
      <c r="CG100" s="197"/>
      <c r="CH100" s="197"/>
      <c r="CI100" s="197"/>
      <c r="CJ100" s="197"/>
      <c r="CK100" s="197"/>
      <c r="CL100" s="197"/>
      <c r="CM100" s="197"/>
      <c r="CN100" s="197"/>
      <c r="CO100" s="197"/>
      <c r="CP100" s="197"/>
      <c r="CQ100" s="197"/>
      <c r="CR100" s="197"/>
      <c r="CS100" s="197"/>
      <c r="CT100" s="197"/>
      <c r="CU100" s="197"/>
      <c r="CV100" s="197"/>
      <c r="CW100" s="197"/>
      <c r="CX100" s="197"/>
      <c r="CY100" s="197"/>
      <c r="CZ100" s="197"/>
      <c r="DA100" s="197"/>
      <c r="DB100" s="197"/>
      <c r="DC100" s="197"/>
      <c r="DD100" s="197"/>
      <c r="DE100" s="197"/>
      <c r="DF100" s="197"/>
      <c r="DG100" s="197"/>
      <c r="DH100" s="197"/>
      <c r="DI100" s="197"/>
      <c r="DJ100" s="197"/>
      <c r="DK100" s="197"/>
      <c r="DL100" s="197"/>
      <c r="DM100" s="197"/>
      <c r="DN100" s="197"/>
      <c r="DO100" s="197"/>
      <c r="DP100" s="197"/>
      <c r="DQ100" s="197"/>
      <c r="DR100" s="197"/>
      <c r="DS100" s="197"/>
      <c r="DT100" s="197"/>
      <c r="DU100" s="197"/>
      <c r="DV100" s="197"/>
      <c r="DW100" s="197"/>
      <c r="DX100" s="197"/>
      <c r="DY100" s="197"/>
      <c r="DZ100" s="197"/>
      <c r="EA100" s="197"/>
      <c r="EB100" s="197"/>
      <c r="EC100" s="197"/>
      <c r="ED100" s="197"/>
      <c r="EE100" s="197"/>
      <c r="EF100" s="197"/>
      <c r="EG100" s="197"/>
      <c r="EH100" s="197"/>
      <c r="EI100" s="197"/>
      <c r="EJ100" s="197"/>
      <c r="EK100" s="197"/>
      <c r="EL100" s="197"/>
      <c r="EM100" s="197"/>
      <c r="EN100" s="197"/>
      <c r="EO100" s="197"/>
      <c r="EP100" s="197"/>
      <c r="EQ100" s="197"/>
      <c r="ER100" s="197"/>
      <c r="ES100" s="197"/>
      <c r="ET100" s="197"/>
      <c r="EU100" s="197"/>
      <c r="EV100" s="197"/>
      <c r="EW100" s="197"/>
      <c r="EX100" s="197"/>
      <c r="EY100" s="197"/>
      <c r="EZ100" s="197"/>
      <c r="FA100" s="198"/>
      <c r="FB100" s="198"/>
      <c r="FC100" s="198"/>
      <c r="FD100" s="198"/>
      <c r="FE100" s="211"/>
      <c r="FF100" s="197"/>
      <c r="FG100" s="197"/>
      <c r="FH100" s="197"/>
      <c r="FI100" s="212"/>
      <c r="FJ100" s="212"/>
      <c r="FK100" s="197"/>
      <c r="FL100" s="197"/>
      <c r="FM100" s="197"/>
      <c r="FN100" s="197"/>
      <c r="FO100" s="197"/>
      <c r="FP100" s="197"/>
      <c r="FQ100" s="197"/>
      <c r="FR100" s="197"/>
      <c r="FS100" s="197"/>
      <c r="FT100" s="197"/>
      <c r="FU100" s="197"/>
      <c r="FV100" s="197"/>
      <c r="FW100" s="197"/>
      <c r="FX100" s="197"/>
      <c r="FY100" s="197"/>
      <c r="FZ100" s="197"/>
      <c r="GA100" s="197"/>
      <c r="GB100" s="197"/>
      <c r="GC100" s="197"/>
      <c r="GD100" s="197"/>
      <c r="GE100" s="197"/>
      <c r="GF100" s="197"/>
      <c r="GG100" s="197"/>
      <c r="GH100" s="197"/>
      <c r="GI100" s="197"/>
      <c r="GJ100" s="197"/>
      <c r="GK100" s="197"/>
      <c r="GL100" s="197"/>
      <c r="GM100" s="197"/>
      <c r="GN100" s="197"/>
      <c r="GO100" s="197"/>
      <c r="GP100" s="197"/>
      <c r="GQ100" s="197"/>
      <c r="GR100" s="197"/>
      <c r="GS100" s="197"/>
      <c r="GT100" s="197"/>
      <c r="GU100" s="197"/>
      <c r="GV100" s="197"/>
      <c r="GW100" s="197"/>
      <c r="GX100" s="197"/>
      <c r="GY100" s="197"/>
      <c r="GZ100" s="197"/>
    </row>
    <row r="101" ht="13.2" spans="1:208">
      <c r="A101" s="172">
        <v>45892</v>
      </c>
      <c r="B101" s="20" t="s">
        <v>369</v>
      </c>
      <c r="C101" s="18"/>
      <c r="D101" s="20"/>
      <c r="E101" s="207"/>
      <c r="F101" s="20"/>
      <c r="G101" s="176"/>
      <c r="H101" s="175"/>
      <c r="I101" s="176"/>
      <c r="J101" s="178"/>
      <c r="K101" s="174"/>
      <c r="L101" s="174"/>
      <c r="M101" s="20"/>
      <c r="N101" s="176"/>
      <c r="O101" s="179"/>
      <c r="P101" s="179"/>
      <c r="Q101" s="174"/>
      <c r="R101" s="20"/>
      <c r="S101" s="20"/>
      <c r="T101" s="20"/>
      <c r="U101" s="176"/>
      <c r="V101" s="20"/>
      <c r="W101" s="178"/>
      <c r="X101" s="20"/>
      <c r="Y101" s="20"/>
      <c r="Z101" s="20"/>
      <c r="AA101" s="20"/>
      <c r="AB101" s="20"/>
      <c r="AC101" s="20"/>
      <c r="AD101" s="20"/>
      <c r="AE101" s="20"/>
      <c r="AF101" s="20"/>
      <c r="AG101" s="20"/>
      <c r="AH101" s="20"/>
      <c r="AI101" s="20"/>
      <c r="AJ101" s="20"/>
      <c r="AK101" s="20"/>
      <c r="AL101" s="20"/>
      <c r="AM101" s="180"/>
      <c r="AN101" s="173"/>
      <c r="AO101" s="20"/>
      <c r="AP101" s="20"/>
      <c r="AQ101" s="20"/>
      <c r="AR101" s="20"/>
      <c r="AS101" s="181"/>
      <c r="AT101" s="20"/>
      <c r="AU101" s="182"/>
      <c r="AV101" s="20"/>
      <c r="AW101" s="183"/>
      <c r="AX101" s="184"/>
      <c r="AY101" s="176"/>
      <c r="AZ101" s="182"/>
      <c r="BA101" s="183"/>
      <c r="BB101" s="176"/>
      <c r="BC101" s="179"/>
      <c r="BD101" s="179"/>
      <c r="BE101" s="182"/>
      <c r="BF101" s="186"/>
      <c r="BG101" s="186"/>
      <c r="BH101" s="187"/>
      <c r="BI101" s="182"/>
      <c r="BJ101" s="179"/>
      <c r="BK101" s="179"/>
      <c r="BL101" s="208"/>
      <c r="BM101" s="209"/>
      <c r="BN101" s="15"/>
      <c r="BO101" s="15"/>
      <c r="BP101" s="210"/>
      <c r="BQ101" s="182"/>
      <c r="BR101" s="182"/>
      <c r="BS101" s="182"/>
      <c r="BT101" s="20"/>
      <c r="BU101" s="20"/>
      <c r="BV101" s="20"/>
      <c r="BW101" s="185"/>
      <c r="BX101" s="182"/>
      <c r="BY101" s="182"/>
      <c r="BZ101" s="182"/>
      <c r="CA101" s="182"/>
      <c r="CC101" s="8"/>
      <c r="CD101" s="198"/>
      <c r="CE101" s="197"/>
      <c r="CF101" s="197"/>
      <c r="CG101" s="197"/>
      <c r="CH101" s="197"/>
      <c r="CI101" s="197"/>
      <c r="CJ101" s="197"/>
      <c r="CK101" s="197"/>
      <c r="CL101" s="197"/>
      <c r="CM101" s="197"/>
      <c r="CN101" s="197"/>
      <c r="CO101" s="197"/>
      <c r="CP101" s="197"/>
      <c r="CQ101" s="197"/>
      <c r="CR101" s="197"/>
      <c r="CS101" s="197"/>
      <c r="CT101" s="197"/>
      <c r="CU101" s="197"/>
      <c r="CV101" s="197"/>
      <c r="CW101" s="197"/>
      <c r="CX101" s="197"/>
      <c r="CY101" s="197"/>
      <c r="CZ101" s="197"/>
      <c r="DA101" s="197"/>
      <c r="DB101" s="197"/>
      <c r="DC101" s="197"/>
      <c r="DD101" s="197"/>
      <c r="DE101" s="197"/>
      <c r="DF101" s="197"/>
      <c r="DG101" s="197"/>
      <c r="DH101" s="197"/>
      <c r="DI101" s="197"/>
      <c r="DJ101" s="197"/>
      <c r="DK101" s="197"/>
      <c r="DL101" s="197"/>
      <c r="DM101" s="197"/>
      <c r="DN101" s="197"/>
      <c r="DO101" s="197"/>
      <c r="DP101" s="197"/>
      <c r="DQ101" s="197"/>
      <c r="DR101" s="197"/>
      <c r="DS101" s="197"/>
      <c r="DT101" s="197"/>
      <c r="DU101" s="197"/>
      <c r="DV101" s="197"/>
      <c r="DW101" s="197"/>
      <c r="DX101" s="197"/>
      <c r="DY101" s="197"/>
      <c r="DZ101" s="197"/>
      <c r="EA101" s="197"/>
      <c r="EB101" s="197"/>
      <c r="EC101" s="197"/>
      <c r="ED101" s="197"/>
      <c r="EE101" s="197"/>
      <c r="EF101" s="197"/>
      <c r="EG101" s="197"/>
      <c r="EH101" s="197"/>
      <c r="EI101" s="197"/>
      <c r="EJ101" s="197"/>
      <c r="EK101" s="197"/>
      <c r="EL101" s="197"/>
      <c r="EM101" s="197"/>
      <c r="EN101" s="197"/>
      <c r="EO101" s="197"/>
      <c r="EP101" s="197"/>
      <c r="EQ101" s="197"/>
      <c r="ER101" s="197"/>
      <c r="ES101" s="197"/>
      <c r="ET101" s="197"/>
      <c r="EU101" s="197"/>
      <c r="EV101" s="197"/>
      <c r="EW101" s="197"/>
      <c r="EX101" s="197"/>
      <c r="EY101" s="197"/>
      <c r="EZ101" s="197"/>
      <c r="FA101" s="198"/>
      <c r="FB101" s="198"/>
      <c r="FC101" s="198"/>
      <c r="FD101" s="198"/>
      <c r="FE101" s="211"/>
      <c r="FF101" s="197"/>
      <c r="FG101" s="197"/>
      <c r="FH101" s="197"/>
      <c r="FI101" s="212"/>
      <c r="FJ101" s="212"/>
      <c r="FK101" s="197"/>
      <c r="FL101" s="197"/>
      <c r="FM101" s="197"/>
      <c r="FN101" s="197"/>
      <c r="FO101" s="197"/>
      <c r="FP101" s="197"/>
      <c r="FQ101" s="197"/>
      <c r="FR101" s="197"/>
      <c r="FS101" s="197"/>
      <c r="FT101" s="197"/>
      <c r="FU101" s="197"/>
      <c r="FV101" s="197"/>
      <c r="FW101" s="197"/>
      <c r="FX101" s="197"/>
      <c r="FY101" s="197"/>
      <c r="FZ101" s="197"/>
      <c r="GA101" s="197"/>
      <c r="GB101" s="197"/>
      <c r="GC101" s="197"/>
      <c r="GD101" s="197"/>
      <c r="GE101" s="197"/>
      <c r="GF101" s="197"/>
      <c r="GG101" s="197"/>
      <c r="GH101" s="197"/>
      <c r="GI101" s="197"/>
      <c r="GJ101" s="197"/>
      <c r="GK101" s="197"/>
      <c r="GL101" s="197"/>
      <c r="GM101" s="197"/>
      <c r="GN101" s="197"/>
      <c r="GO101" s="197"/>
      <c r="GP101" s="197"/>
      <c r="GQ101" s="197"/>
      <c r="GR101" s="197"/>
      <c r="GS101" s="197"/>
      <c r="GT101" s="197"/>
      <c r="GU101" s="197"/>
      <c r="GV101" s="197"/>
      <c r="GW101" s="197"/>
      <c r="GX101" s="197"/>
      <c r="GY101" s="197"/>
      <c r="GZ101" s="197"/>
    </row>
    <row r="102" ht="13.2" spans="1:208">
      <c r="A102" s="172">
        <v>45893</v>
      </c>
      <c r="B102" s="20" t="s">
        <v>371</v>
      </c>
      <c r="C102" s="18"/>
      <c r="D102" s="20"/>
      <c r="E102" s="207"/>
      <c r="F102" s="20"/>
      <c r="G102" s="176"/>
      <c r="H102" s="175"/>
      <c r="I102" s="176"/>
      <c r="J102" s="178"/>
      <c r="K102" s="174"/>
      <c r="L102" s="174"/>
      <c r="M102" s="20"/>
      <c r="N102" s="176"/>
      <c r="O102" s="179"/>
      <c r="P102" s="179"/>
      <c r="Q102" s="174"/>
      <c r="R102" s="20"/>
      <c r="S102" s="20"/>
      <c r="T102" s="20"/>
      <c r="U102" s="176"/>
      <c r="V102" s="20"/>
      <c r="W102" s="178"/>
      <c r="X102" s="20"/>
      <c r="Y102" s="20"/>
      <c r="Z102" s="20"/>
      <c r="AA102" s="20"/>
      <c r="AB102" s="20"/>
      <c r="AC102" s="20"/>
      <c r="AD102" s="20"/>
      <c r="AE102" s="20"/>
      <c r="AF102" s="20"/>
      <c r="AG102" s="20"/>
      <c r="AH102" s="20"/>
      <c r="AI102" s="20"/>
      <c r="AJ102" s="20"/>
      <c r="AK102" s="20"/>
      <c r="AL102" s="20"/>
      <c r="AM102" s="180"/>
      <c r="AN102" s="173"/>
      <c r="AO102" s="20"/>
      <c r="AP102" s="20"/>
      <c r="AQ102" s="20"/>
      <c r="AR102" s="20"/>
      <c r="AS102" s="181"/>
      <c r="AT102" s="20"/>
      <c r="AU102" s="182"/>
      <c r="AV102" s="20"/>
      <c r="AW102" s="183"/>
      <c r="AX102" s="184"/>
      <c r="AY102" s="176"/>
      <c r="AZ102" s="182"/>
      <c r="BA102" s="183"/>
      <c r="BB102" s="176"/>
      <c r="BC102" s="179"/>
      <c r="BD102" s="179"/>
      <c r="BE102" s="182"/>
      <c r="BF102" s="186"/>
      <c r="BG102" s="186"/>
      <c r="BH102" s="187"/>
      <c r="BI102" s="182"/>
      <c r="BJ102" s="179"/>
      <c r="BK102" s="179"/>
      <c r="BL102" s="208"/>
      <c r="BM102" s="209"/>
      <c r="BN102" s="15"/>
      <c r="BO102" s="15"/>
      <c r="BP102" s="210"/>
      <c r="BQ102" s="182"/>
      <c r="BR102" s="182"/>
      <c r="BS102" s="182"/>
      <c r="BT102" s="20"/>
      <c r="BU102" s="20"/>
      <c r="BV102" s="20"/>
      <c r="BW102" s="185"/>
      <c r="BX102" s="182"/>
      <c r="BY102" s="182"/>
      <c r="BZ102" s="182"/>
      <c r="CA102" s="182"/>
      <c r="CC102" s="8"/>
      <c r="CD102" s="198"/>
      <c r="CE102" s="197"/>
      <c r="CF102" s="197"/>
      <c r="CG102" s="197"/>
      <c r="CH102" s="197"/>
      <c r="CI102" s="197"/>
      <c r="CJ102" s="197"/>
      <c r="CK102" s="197"/>
      <c r="CL102" s="197"/>
      <c r="CM102" s="197"/>
      <c r="CN102" s="197"/>
      <c r="CO102" s="197"/>
      <c r="CP102" s="197"/>
      <c r="CQ102" s="197"/>
      <c r="CR102" s="197"/>
      <c r="CS102" s="197"/>
      <c r="CT102" s="197"/>
      <c r="CU102" s="197"/>
      <c r="CV102" s="197"/>
      <c r="CW102" s="197"/>
      <c r="CX102" s="197"/>
      <c r="CY102" s="197"/>
      <c r="CZ102" s="197"/>
      <c r="DA102" s="197"/>
      <c r="DB102" s="197"/>
      <c r="DC102" s="197"/>
      <c r="DD102" s="197"/>
      <c r="DE102" s="197"/>
      <c r="DF102" s="197"/>
      <c r="DG102" s="197"/>
      <c r="DH102" s="197"/>
      <c r="DI102" s="197"/>
      <c r="DJ102" s="197"/>
      <c r="DK102" s="197"/>
      <c r="DL102" s="197"/>
      <c r="DM102" s="197"/>
      <c r="DN102" s="197"/>
      <c r="DO102" s="197"/>
      <c r="DP102" s="197"/>
      <c r="DQ102" s="197"/>
      <c r="DR102" s="197"/>
      <c r="DS102" s="197"/>
      <c r="DT102" s="197"/>
      <c r="DU102" s="197"/>
      <c r="DV102" s="197"/>
      <c r="DW102" s="197"/>
      <c r="DX102" s="197"/>
      <c r="DY102" s="197"/>
      <c r="DZ102" s="197"/>
      <c r="EA102" s="197"/>
      <c r="EB102" s="197"/>
      <c r="EC102" s="197"/>
      <c r="ED102" s="197"/>
      <c r="EE102" s="197"/>
      <c r="EF102" s="197"/>
      <c r="EG102" s="197"/>
      <c r="EH102" s="197"/>
      <c r="EI102" s="197"/>
      <c r="EJ102" s="197"/>
      <c r="EK102" s="197"/>
      <c r="EL102" s="197"/>
      <c r="EM102" s="197"/>
      <c r="EN102" s="197"/>
      <c r="EO102" s="197"/>
      <c r="EP102" s="197"/>
      <c r="EQ102" s="197"/>
      <c r="ER102" s="197"/>
      <c r="ES102" s="197"/>
      <c r="ET102" s="197"/>
      <c r="EU102" s="197"/>
      <c r="EV102" s="197"/>
      <c r="EW102" s="197"/>
      <c r="EX102" s="197"/>
      <c r="EY102" s="197"/>
      <c r="EZ102" s="197"/>
      <c r="FA102" s="198"/>
      <c r="FB102" s="198"/>
      <c r="FC102" s="198"/>
      <c r="FD102" s="198"/>
      <c r="FE102" s="211"/>
      <c r="FF102" s="197"/>
      <c r="FG102" s="197"/>
      <c r="FH102" s="197"/>
      <c r="FI102" s="212"/>
      <c r="FJ102" s="212"/>
      <c r="FK102" s="197"/>
      <c r="FL102" s="197"/>
      <c r="FM102" s="197"/>
      <c r="FN102" s="197"/>
      <c r="FO102" s="197"/>
      <c r="FP102" s="197"/>
      <c r="FQ102" s="197"/>
      <c r="FR102" s="197"/>
      <c r="FS102" s="197"/>
      <c r="FT102" s="197"/>
      <c r="FU102" s="197"/>
      <c r="FV102" s="197"/>
      <c r="FW102" s="197"/>
      <c r="FX102" s="197"/>
      <c r="FY102" s="197"/>
      <c r="FZ102" s="197"/>
      <c r="GA102" s="197"/>
      <c r="GB102" s="197"/>
      <c r="GC102" s="197"/>
      <c r="GD102" s="197"/>
      <c r="GE102" s="197"/>
      <c r="GF102" s="197"/>
      <c r="GG102" s="197"/>
      <c r="GH102" s="197"/>
      <c r="GI102" s="197"/>
      <c r="GJ102" s="197"/>
      <c r="GK102" s="197"/>
      <c r="GL102" s="197"/>
      <c r="GM102" s="197"/>
      <c r="GN102" s="197"/>
      <c r="GO102" s="197"/>
      <c r="GP102" s="197"/>
      <c r="GQ102" s="197"/>
      <c r="GR102" s="197"/>
      <c r="GS102" s="197"/>
      <c r="GT102" s="197"/>
      <c r="GU102" s="197"/>
      <c r="GV102" s="197"/>
      <c r="GW102" s="197"/>
      <c r="GX102" s="197"/>
      <c r="GY102" s="197"/>
      <c r="GZ102" s="197"/>
    </row>
    <row r="103" ht="13.2" spans="1:208">
      <c r="A103" s="172">
        <v>45894</v>
      </c>
      <c r="B103" s="20" t="s">
        <v>373</v>
      </c>
      <c r="C103" s="18"/>
      <c r="D103" s="20"/>
      <c r="E103" s="207"/>
      <c r="F103" s="20"/>
      <c r="G103" s="176"/>
      <c r="H103" s="175"/>
      <c r="I103" s="176"/>
      <c r="J103" s="178"/>
      <c r="K103" s="174"/>
      <c r="L103" s="174"/>
      <c r="M103" s="20"/>
      <c r="N103" s="176"/>
      <c r="O103" s="179"/>
      <c r="P103" s="179"/>
      <c r="Q103" s="174"/>
      <c r="R103" s="20"/>
      <c r="S103" s="20"/>
      <c r="T103" s="20"/>
      <c r="U103" s="176"/>
      <c r="V103" s="20"/>
      <c r="W103" s="178"/>
      <c r="X103" s="20"/>
      <c r="Y103" s="20"/>
      <c r="Z103" s="20"/>
      <c r="AA103" s="20"/>
      <c r="AB103" s="20"/>
      <c r="AC103" s="20"/>
      <c r="AD103" s="20"/>
      <c r="AE103" s="20"/>
      <c r="AF103" s="20"/>
      <c r="AG103" s="20"/>
      <c r="AH103" s="20"/>
      <c r="AI103" s="20"/>
      <c r="AJ103" s="20"/>
      <c r="AK103" s="20"/>
      <c r="AL103" s="20"/>
      <c r="AM103" s="180"/>
      <c r="AN103" s="173"/>
      <c r="AO103" s="20"/>
      <c r="AP103" s="20"/>
      <c r="AQ103" s="20"/>
      <c r="AR103" s="20"/>
      <c r="AS103" s="181"/>
      <c r="AT103" s="20"/>
      <c r="AU103" s="182"/>
      <c r="AV103" s="20"/>
      <c r="AW103" s="183"/>
      <c r="AX103" s="184"/>
      <c r="AY103" s="176"/>
      <c r="AZ103" s="182"/>
      <c r="BA103" s="183"/>
      <c r="BB103" s="176"/>
      <c r="BC103" s="179"/>
      <c r="BD103" s="179"/>
      <c r="BE103" s="182"/>
      <c r="BF103" s="186"/>
      <c r="BG103" s="186"/>
      <c r="BH103" s="187"/>
      <c r="BI103" s="182"/>
      <c r="BJ103" s="179"/>
      <c r="BK103" s="179"/>
      <c r="BL103" s="208"/>
      <c r="BM103" s="209"/>
      <c r="BN103" s="15"/>
      <c r="BO103" s="15"/>
      <c r="BP103" s="210"/>
      <c r="BQ103" s="182"/>
      <c r="BR103" s="182"/>
      <c r="BS103" s="182"/>
      <c r="BT103" s="20"/>
      <c r="BU103" s="20"/>
      <c r="BV103" s="20"/>
      <c r="BW103" s="185"/>
      <c r="BX103" s="182"/>
      <c r="BY103" s="182"/>
      <c r="BZ103" s="182"/>
      <c r="CA103" s="182"/>
      <c r="CC103" s="8"/>
      <c r="CD103" s="213"/>
      <c r="CE103" s="201"/>
      <c r="CF103" s="201"/>
      <c r="CG103" s="201"/>
      <c r="CH103" s="201"/>
      <c r="CI103" s="201"/>
      <c r="CJ103" s="201"/>
      <c r="CK103" s="201"/>
      <c r="CL103" s="201"/>
      <c r="CM103" s="201"/>
      <c r="CN103" s="201"/>
      <c r="CO103" s="201"/>
      <c r="CP103" s="201"/>
      <c r="CQ103" s="201"/>
      <c r="CR103" s="201"/>
      <c r="CS103" s="201"/>
      <c r="CT103" s="201"/>
      <c r="CU103" s="201"/>
      <c r="CV103" s="201"/>
      <c r="CW103" s="201"/>
      <c r="CX103" s="201"/>
      <c r="CY103" s="201"/>
      <c r="CZ103" s="201"/>
      <c r="DA103" s="201"/>
      <c r="DB103" s="201"/>
      <c r="DC103" s="201"/>
      <c r="DD103" s="201"/>
      <c r="DE103" s="201"/>
      <c r="DF103" s="201"/>
      <c r="DG103" s="201"/>
      <c r="DH103" s="201"/>
      <c r="DI103" s="201"/>
      <c r="DJ103" s="201"/>
      <c r="DK103" s="201"/>
      <c r="DL103" s="201"/>
      <c r="DM103" s="201"/>
      <c r="DN103" s="201"/>
      <c r="DO103" s="201"/>
      <c r="DP103" s="201"/>
      <c r="DQ103" s="201"/>
      <c r="DR103" s="201"/>
      <c r="DS103" s="201"/>
      <c r="DT103" s="201"/>
      <c r="DU103" s="201"/>
      <c r="DV103" s="201"/>
      <c r="DW103" s="201"/>
      <c r="DX103" s="201"/>
      <c r="DY103" s="201"/>
      <c r="DZ103" s="201"/>
      <c r="EA103" s="201"/>
      <c r="EB103" s="201"/>
      <c r="EC103" s="201"/>
      <c r="ED103" s="201"/>
      <c r="EE103" s="201"/>
      <c r="EF103" s="201"/>
      <c r="EG103" s="201"/>
      <c r="EH103" s="201"/>
      <c r="EI103" s="201"/>
      <c r="EJ103" s="201"/>
      <c r="EK103" s="201"/>
      <c r="EL103" s="201"/>
      <c r="EM103" s="201"/>
      <c r="EN103" s="201"/>
      <c r="EO103" s="201"/>
      <c r="EP103" s="201"/>
      <c r="EQ103" s="201"/>
      <c r="ER103" s="9"/>
      <c r="ES103" s="201"/>
      <c r="ET103" s="9"/>
      <c r="EU103" s="9"/>
      <c r="EV103" s="9"/>
      <c r="EW103" s="9"/>
      <c r="EX103" s="9"/>
      <c r="EY103" s="9"/>
      <c r="EZ103" s="201"/>
      <c r="FA103" s="213"/>
      <c r="FB103" s="213"/>
      <c r="FC103" s="213"/>
      <c r="FD103" s="213"/>
      <c r="FE103" s="214"/>
      <c r="FF103" s="201"/>
      <c r="FG103" s="201"/>
      <c r="FH103" s="201"/>
      <c r="FI103" s="215"/>
      <c r="FJ103" s="215"/>
      <c r="FK103" s="201"/>
      <c r="FL103" s="201"/>
      <c r="FM103" s="201"/>
      <c r="FN103" s="201"/>
      <c r="FO103" s="9"/>
      <c r="FP103" s="201"/>
      <c r="FQ103" s="201"/>
      <c r="FR103" s="201"/>
      <c r="FS103" s="9"/>
      <c r="FT103" s="9"/>
      <c r="FU103" s="9"/>
      <c r="FV103" s="9"/>
      <c r="FW103" s="201"/>
      <c r="FX103" s="201"/>
      <c r="FY103" s="201"/>
      <c r="FZ103" s="201"/>
      <c r="GA103" s="201"/>
      <c r="GB103" s="9"/>
      <c r="GC103" s="9"/>
      <c r="GD103" s="9"/>
      <c r="GE103" s="9"/>
      <c r="GF103" s="9"/>
      <c r="GG103" s="9"/>
      <c r="GH103" s="9"/>
      <c r="GI103" s="9"/>
      <c r="GJ103" s="9"/>
      <c r="GK103" s="9"/>
      <c r="GL103" s="9"/>
      <c r="GM103" s="9"/>
      <c r="GN103" s="9"/>
      <c r="GO103" s="9"/>
      <c r="GP103" s="9"/>
      <c r="GQ103" s="9"/>
      <c r="GR103" s="9"/>
      <c r="GS103" s="9"/>
      <c r="GT103" s="9"/>
      <c r="GU103" s="9"/>
      <c r="GV103" s="9"/>
      <c r="GW103" s="9"/>
      <c r="GX103" s="9"/>
      <c r="GY103" s="9"/>
      <c r="GZ103" s="9"/>
    </row>
    <row r="104" ht="13.2" spans="1:208">
      <c r="A104" s="172">
        <v>45895</v>
      </c>
      <c r="B104" s="20" t="s">
        <v>375</v>
      </c>
      <c r="C104" s="18"/>
      <c r="D104" s="20"/>
      <c r="E104" s="207"/>
      <c r="F104" s="20"/>
      <c r="G104" s="176"/>
      <c r="H104" s="175"/>
      <c r="I104" s="176"/>
      <c r="J104" s="178"/>
      <c r="K104" s="174"/>
      <c r="L104" s="174"/>
      <c r="M104" s="20"/>
      <c r="N104" s="176"/>
      <c r="O104" s="179"/>
      <c r="P104" s="179"/>
      <c r="Q104" s="174"/>
      <c r="R104" s="20"/>
      <c r="S104" s="20"/>
      <c r="T104" s="20"/>
      <c r="U104" s="176"/>
      <c r="V104" s="20"/>
      <c r="W104" s="178"/>
      <c r="X104" s="20"/>
      <c r="Y104" s="20"/>
      <c r="Z104" s="20"/>
      <c r="AA104" s="20"/>
      <c r="AB104" s="20"/>
      <c r="AC104" s="20"/>
      <c r="AD104" s="20"/>
      <c r="AE104" s="20"/>
      <c r="AF104" s="20"/>
      <c r="AG104" s="20"/>
      <c r="AH104" s="20"/>
      <c r="AI104" s="20"/>
      <c r="AJ104" s="20"/>
      <c r="AK104" s="20"/>
      <c r="AL104" s="20"/>
      <c r="AM104" s="180"/>
      <c r="AN104" s="173"/>
      <c r="AO104" s="20"/>
      <c r="AP104" s="20"/>
      <c r="AQ104" s="20"/>
      <c r="AR104" s="20"/>
      <c r="AS104" s="181"/>
      <c r="AT104" s="20"/>
      <c r="AU104" s="182"/>
      <c r="AV104" s="20"/>
      <c r="AW104" s="183"/>
      <c r="AX104" s="184"/>
      <c r="AY104" s="176"/>
      <c r="AZ104" s="182"/>
      <c r="BA104" s="183"/>
      <c r="BB104" s="176"/>
      <c r="BC104" s="179"/>
      <c r="BD104" s="179"/>
      <c r="BE104" s="182"/>
      <c r="BF104" s="186"/>
      <c r="BG104" s="186"/>
      <c r="BH104" s="187"/>
      <c r="BI104" s="182"/>
      <c r="BJ104" s="179"/>
      <c r="BK104" s="179"/>
      <c r="BL104" s="208"/>
      <c r="BM104" s="209"/>
      <c r="BN104" s="15"/>
      <c r="BO104" s="15"/>
      <c r="BP104" s="210"/>
      <c r="BQ104" s="182"/>
      <c r="BR104" s="182"/>
      <c r="BS104" s="182"/>
      <c r="BT104" s="20"/>
      <c r="BU104" s="20"/>
      <c r="BV104" s="20"/>
      <c r="BW104" s="185"/>
      <c r="BX104" s="182"/>
      <c r="BY104" s="182"/>
      <c r="BZ104" s="182"/>
      <c r="CA104" s="182"/>
      <c r="CC104" s="8"/>
      <c r="CD104" s="213"/>
      <c r="CE104" s="201"/>
      <c r="CF104" s="201"/>
      <c r="CG104" s="201"/>
      <c r="CH104" s="201"/>
      <c r="CI104" s="201"/>
      <c r="CJ104" s="201"/>
      <c r="CK104" s="201"/>
      <c r="CL104" s="201"/>
      <c r="CM104" s="201"/>
      <c r="CN104" s="201"/>
      <c r="CO104" s="201"/>
      <c r="CP104" s="201"/>
      <c r="CQ104" s="201"/>
      <c r="CR104" s="201"/>
      <c r="CS104" s="201"/>
      <c r="CT104" s="201"/>
      <c r="CU104" s="201"/>
      <c r="CV104" s="201"/>
      <c r="CW104" s="201"/>
      <c r="CX104" s="201"/>
      <c r="CY104" s="201"/>
      <c r="CZ104" s="201"/>
      <c r="DA104" s="201"/>
      <c r="DB104" s="201"/>
      <c r="DC104" s="201"/>
      <c r="DD104" s="201"/>
      <c r="DE104" s="201"/>
      <c r="DF104" s="201"/>
      <c r="DG104" s="201"/>
      <c r="DH104" s="201"/>
      <c r="DI104" s="201"/>
      <c r="DJ104" s="201"/>
      <c r="DK104" s="201"/>
      <c r="DL104" s="201"/>
      <c r="DM104" s="201"/>
      <c r="DN104" s="201"/>
      <c r="DO104" s="201"/>
      <c r="DP104" s="201"/>
      <c r="DQ104" s="201"/>
      <c r="DR104" s="201"/>
      <c r="DS104" s="201"/>
      <c r="DT104" s="201"/>
      <c r="DU104" s="201"/>
      <c r="DV104" s="201"/>
      <c r="DW104" s="201"/>
      <c r="DX104" s="201"/>
      <c r="DY104" s="201"/>
      <c r="DZ104" s="201"/>
      <c r="EA104" s="201"/>
      <c r="EB104" s="201"/>
      <c r="EC104" s="201"/>
      <c r="ED104" s="201"/>
      <c r="EE104" s="201"/>
      <c r="EF104" s="201"/>
      <c r="EG104" s="201"/>
      <c r="EH104" s="201"/>
      <c r="EI104" s="201"/>
      <c r="EJ104" s="201"/>
      <c r="EK104" s="201"/>
      <c r="EL104" s="201"/>
      <c r="EM104" s="201"/>
      <c r="EN104" s="201"/>
      <c r="EO104" s="201"/>
      <c r="EP104" s="201"/>
      <c r="EQ104" s="201"/>
      <c r="ER104" s="9"/>
      <c r="ES104" s="201"/>
      <c r="ET104" s="9"/>
      <c r="EU104" s="9"/>
      <c r="EV104" s="9"/>
      <c r="EW104" s="9"/>
      <c r="EX104" s="9"/>
      <c r="EY104" s="9"/>
      <c r="EZ104" s="201"/>
      <c r="FA104" s="213"/>
      <c r="FB104" s="213"/>
      <c r="FC104" s="213"/>
      <c r="FD104" s="213"/>
      <c r="FE104" s="214"/>
      <c r="FF104" s="201"/>
      <c r="FG104" s="201"/>
      <c r="FH104" s="201"/>
      <c r="FI104" s="215"/>
      <c r="FJ104" s="215"/>
      <c r="FK104" s="201"/>
      <c r="FL104" s="201"/>
      <c r="FM104" s="201"/>
      <c r="FN104" s="201"/>
      <c r="FO104" s="9"/>
      <c r="FP104" s="201"/>
      <c r="FQ104" s="201"/>
      <c r="FR104" s="201"/>
      <c r="FS104" s="9"/>
      <c r="FT104" s="9"/>
      <c r="FU104" s="9"/>
      <c r="FV104" s="9"/>
      <c r="FW104" s="201"/>
      <c r="FX104" s="201"/>
      <c r="FY104" s="201"/>
      <c r="FZ104" s="201"/>
      <c r="GA104" s="201"/>
      <c r="GB104" s="9"/>
      <c r="GC104" s="9"/>
      <c r="GD104" s="9"/>
      <c r="GE104" s="9"/>
      <c r="GF104" s="9"/>
      <c r="GG104" s="9"/>
      <c r="GH104" s="9"/>
      <c r="GI104" s="9"/>
      <c r="GJ104" s="9"/>
      <c r="GK104" s="9"/>
      <c r="GL104" s="9"/>
      <c r="GM104" s="9"/>
      <c r="GN104" s="9"/>
      <c r="GO104" s="9"/>
      <c r="GP104" s="9"/>
      <c r="GQ104" s="9"/>
      <c r="GR104" s="9"/>
      <c r="GS104" s="9"/>
      <c r="GT104" s="9"/>
      <c r="GU104" s="9"/>
      <c r="GV104" s="9"/>
      <c r="GW104" s="9"/>
      <c r="GX104" s="9"/>
      <c r="GY104" s="9"/>
      <c r="GZ104" s="9"/>
    </row>
    <row r="105" ht="13.2" spans="1:208">
      <c r="A105" s="172">
        <v>45896</v>
      </c>
      <c r="B105" s="20" t="s">
        <v>377</v>
      </c>
      <c r="C105" s="18"/>
      <c r="D105" s="20"/>
      <c r="E105" s="207"/>
      <c r="F105" s="20"/>
      <c r="G105" s="176"/>
      <c r="H105" s="175"/>
      <c r="I105" s="176"/>
      <c r="J105" s="178"/>
      <c r="K105" s="174"/>
      <c r="L105" s="174"/>
      <c r="M105" s="20"/>
      <c r="N105" s="176"/>
      <c r="O105" s="179"/>
      <c r="P105" s="179"/>
      <c r="Q105" s="174"/>
      <c r="R105" s="20"/>
      <c r="S105" s="20"/>
      <c r="T105" s="20"/>
      <c r="U105" s="176"/>
      <c r="V105" s="20"/>
      <c r="W105" s="178"/>
      <c r="X105" s="20"/>
      <c r="Y105" s="20"/>
      <c r="Z105" s="20"/>
      <c r="AA105" s="20"/>
      <c r="AB105" s="20"/>
      <c r="AC105" s="20"/>
      <c r="AD105" s="20"/>
      <c r="AE105" s="20"/>
      <c r="AF105" s="20"/>
      <c r="AG105" s="20"/>
      <c r="AH105" s="20"/>
      <c r="AI105" s="20"/>
      <c r="AJ105" s="20"/>
      <c r="AK105" s="20"/>
      <c r="AL105" s="20"/>
      <c r="AM105" s="180"/>
      <c r="AN105" s="173"/>
      <c r="AO105" s="20"/>
      <c r="AP105" s="20"/>
      <c r="AQ105" s="20"/>
      <c r="AR105" s="20"/>
      <c r="AS105" s="181"/>
      <c r="AT105" s="20"/>
      <c r="AU105" s="182"/>
      <c r="AV105" s="20"/>
      <c r="AW105" s="183"/>
      <c r="AX105" s="184"/>
      <c r="AY105" s="176"/>
      <c r="AZ105" s="182"/>
      <c r="BA105" s="183"/>
      <c r="BB105" s="176"/>
      <c r="BC105" s="179"/>
      <c r="BD105" s="179"/>
      <c r="BE105" s="182"/>
      <c r="BF105" s="186"/>
      <c r="BG105" s="186"/>
      <c r="BH105" s="187"/>
      <c r="BI105" s="182"/>
      <c r="BJ105" s="179"/>
      <c r="BK105" s="179"/>
      <c r="BL105" s="208"/>
      <c r="BM105" s="209"/>
      <c r="BN105" s="15"/>
      <c r="BO105" s="15"/>
      <c r="BP105" s="210"/>
      <c r="BQ105" s="182"/>
      <c r="BR105" s="182"/>
      <c r="BS105" s="182"/>
      <c r="BT105" s="20"/>
      <c r="BU105" s="20"/>
      <c r="BV105" s="20"/>
      <c r="BW105" s="185"/>
      <c r="BX105" s="182"/>
      <c r="BY105" s="182"/>
      <c r="BZ105" s="182"/>
      <c r="CA105" s="182"/>
      <c r="CC105" s="8"/>
      <c r="CD105" s="213"/>
      <c r="CE105" s="201"/>
      <c r="CF105" s="201"/>
      <c r="CG105" s="201"/>
      <c r="CH105" s="201"/>
      <c r="CI105" s="201"/>
      <c r="CJ105" s="201"/>
      <c r="CK105" s="201"/>
      <c r="CL105" s="201"/>
      <c r="CM105" s="201"/>
      <c r="CN105" s="201"/>
      <c r="CO105" s="201"/>
      <c r="CP105" s="201"/>
      <c r="CQ105" s="201"/>
      <c r="CR105" s="201"/>
      <c r="CS105" s="201"/>
      <c r="CT105" s="201"/>
      <c r="CU105" s="201"/>
      <c r="CV105" s="201"/>
      <c r="CW105" s="201"/>
      <c r="CX105" s="201"/>
      <c r="CY105" s="201"/>
      <c r="CZ105" s="201"/>
      <c r="DA105" s="201"/>
      <c r="DB105" s="201"/>
      <c r="DC105" s="201"/>
      <c r="DD105" s="201"/>
      <c r="DE105" s="201"/>
      <c r="DF105" s="201"/>
      <c r="DG105" s="201"/>
      <c r="DH105" s="201"/>
      <c r="DI105" s="201"/>
      <c r="DJ105" s="201"/>
      <c r="DK105" s="201"/>
      <c r="DL105" s="201"/>
      <c r="DM105" s="201"/>
      <c r="DN105" s="201"/>
      <c r="DO105" s="201"/>
      <c r="DP105" s="201"/>
      <c r="DQ105" s="201"/>
      <c r="DR105" s="201"/>
      <c r="DS105" s="201"/>
      <c r="DT105" s="201"/>
      <c r="DU105" s="201"/>
      <c r="DV105" s="201"/>
      <c r="DW105" s="201"/>
      <c r="DX105" s="201"/>
      <c r="DY105" s="201"/>
      <c r="DZ105" s="201"/>
      <c r="EA105" s="201"/>
      <c r="EB105" s="201"/>
      <c r="EC105" s="201"/>
      <c r="ED105" s="201"/>
      <c r="EE105" s="201"/>
      <c r="EF105" s="201"/>
      <c r="EG105" s="201"/>
      <c r="EH105" s="201"/>
      <c r="EI105" s="201"/>
      <c r="EJ105" s="201"/>
      <c r="EK105" s="201"/>
      <c r="EL105" s="201"/>
      <c r="EM105" s="201"/>
      <c r="EN105" s="201"/>
      <c r="EO105" s="201"/>
      <c r="EP105" s="201"/>
      <c r="EQ105" s="201"/>
      <c r="ER105" s="9"/>
      <c r="ES105" s="201"/>
      <c r="ET105" s="9"/>
      <c r="EU105" s="9"/>
      <c r="EV105" s="9"/>
      <c r="EW105" s="9"/>
      <c r="EX105" s="9"/>
      <c r="EY105" s="9"/>
      <c r="EZ105" s="201"/>
      <c r="FA105" s="213"/>
      <c r="FB105" s="213"/>
      <c r="FC105" s="213"/>
      <c r="FD105" s="213"/>
      <c r="FE105" s="214"/>
      <c r="FF105" s="201"/>
      <c r="FG105" s="201"/>
      <c r="FH105" s="201"/>
      <c r="FI105" s="215"/>
      <c r="FJ105" s="215"/>
      <c r="FK105" s="201"/>
      <c r="FL105" s="201"/>
      <c r="FM105" s="201"/>
      <c r="FN105" s="201"/>
      <c r="FO105" s="9"/>
      <c r="FP105" s="201"/>
      <c r="FQ105" s="201"/>
      <c r="FR105" s="201"/>
      <c r="FS105" s="9"/>
      <c r="FT105" s="9"/>
      <c r="FU105" s="9"/>
      <c r="FV105" s="9"/>
      <c r="FW105" s="201"/>
      <c r="FX105" s="201"/>
      <c r="FY105" s="201"/>
      <c r="FZ105" s="201"/>
      <c r="GA105" s="201"/>
      <c r="GB105" s="9"/>
      <c r="GC105" s="9"/>
      <c r="GD105" s="9"/>
      <c r="GE105" s="9"/>
      <c r="GF105" s="9"/>
      <c r="GG105" s="9"/>
      <c r="GH105" s="9"/>
      <c r="GI105" s="9"/>
      <c r="GJ105" s="9"/>
      <c r="GK105" s="9"/>
      <c r="GL105" s="9"/>
      <c r="GM105" s="9"/>
      <c r="GN105" s="9"/>
      <c r="GO105" s="9"/>
      <c r="GP105" s="9"/>
      <c r="GQ105" s="9"/>
      <c r="GR105" s="9"/>
      <c r="GS105" s="9"/>
      <c r="GT105" s="9"/>
      <c r="GU105" s="9"/>
      <c r="GV105" s="9"/>
      <c r="GW105" s="9"/>
      <c r="GX105" s="9"/>
      <c r="GY105" s="9"/>
      <c r="GZ105" s="9"/>
    </row>
    <row r="106" ht="13.2" spans="1:208">
      <c r="A106" s="172">
        <v>45897</v>
      </c>
      <c r="B106" s="20" t="s">
        <v>379</v>
      </c>
      <c r="C106" s="18"/>
      <c r="D106" s="20"/>
      <c r="E106" s="207"/>
      <c r="F106" s="20"/>
      <c r="G106" s="176"/>
      <c r="H106" s="175"/>
      <c r="I106" s="176"/>
      <c r="J106" s="178"/>
      <c r="K106" s="174"/>
      <c r="L106" s="174"/>
      <c r="M106" s="20"/>
      <c r="N106" s="176"/>
      <c r="O106" s="179"/>
      <c r="P106" s="179"/>
      <c r="Q106" s="174"/>
      <c r="R106" s="20"/>
      <c r="S106" s="20"/>
      <c r="T106" s="20"/>
      <c r="U106" s="176"/>
      <c r="V106" s="20"/>
      <c r="W106" s="178"/>
      <c r="X106" s="20"/>
      <c r="Y106" s="20"/>
      <c r="Z106" s="20"/>
      <c r="AA106" s="20"/>
      <c r="AB106" s="20"/>
      <c r="AC106" s="20"/>
      <c r="AD106" s="20"/>
      <c r="AE106" s="20"/>
      <c r="AF106" s="20"/>
      <c r="AG106" s="20"/>
      <c r="AH106" s="20"/>
      <c r="AI106" s="20"/>
      <c r="AJ106" s="20"/>
      <c r="AK106" s="20"/>
      <c r="AL106" s="20"/>
      <c r="AM106" s="180"/>
      <c r="AN106" s="173"/>
      <c r="AO106" s="20"/>
      <c r="AP106" s="20"/>
      <c r="AQ106" s="20"/>
      <c r="AR106" s="20"/>
      <c r="AS106" s="181"/>
      <c r="AT106" s="20"/>
      <c r="AU106" s="182"/>
      <c r="AV106" s="20"/>
      <c r="AW106" s="183"/>
      <c r="AX106" s="184"/>
      <c r="AY106" s="176"/>
      <c r="AZ106" s="182"/>
      <c r="BA106" s="183"/>
      <c r="BB106" s="176"/>
      <c r="BC106" s="179"/>
      <c r="BD106" s="179"/>
      <c r="BE106" s="182"/>
      <c r="BF106" s="186"/>
      <c r="BG106" s="186"/>
      <c r="BH106" s="187"/>
      <c r="BI106" s="182"/>
      <c r="BJ106" s="179"/>
      <c r="BK106" s="179"/>
      <c r="BL106" s="208"/>
      <c r="BM106" s="209"/>
      <c r="BN106" s="15"/>
      <c r="BO106" s="15"/>
      <c r="BP106" s="210"/>
      <c r="BQ106" s="182"/>
      <c r="BR106" s="182"/>
      <c r="BS106" s="182"/>
      <c r="BT106" s="20"/>
      <c r="BU106" s="20"/>
      <c r="BV106" s="20"/>
      <c r="BW106" s="185"/>
      <c r="BX106" s="182"/>
      <c r="BY106" s="182"/>
      <c r="BZ106" s="182"/>
      <c r="CA106" s="182"/>
      <c r="CC106" s="8"/>
      <c r="CD106" s="213"/>
      <c r="CE106" s="201"/>
      <c r="CF106" s="201"/>
      <c r="CG106" s="201"/>
      <c r="CH106" s="201"/>
      <c r="CI106" s="201"/>
      <c r="CJ106" s="201"/>
      <c r="CK106" s="201"/>
      <c r="CL106" s="201"/>
      <c r="CM106" s="201"/>
      <c r="CN106" s="201"/>
      <c r="CO106" s="201"/>
      <c r="CP106" s="201"/>
      <c r="CQ106" s="201"/>
      <c r="CR106" s="201"/>
      <c r="CS106" s="201"/>
      <c r="CT106" s="201"/>
      <c r="CU106" s="201"/>
      <c r="CV106" s="201"/>
      <c r="CW106" s="201"/>
      <c r="CX106" s="201"/>
      <c r="CY106" s="201"/>
      <c r="CZ106" s="201"/>
      <c r="DA106" s="201"/>
      <c r="DB106" s="201"/>
      <c r="DC106" s="201"/>
      <c r="DD106" s="201"/>
      <c r="DE106" s="201"/>
      <c r="DF106" s="201"/>
      <c r="DG106" s="201"/>
      <c r="DH106" s="201"/>
      <c r="DI106" s="201"/>
      <c r="DJ106" s="201"/>
      <c r="DK106" s="201"/>
      <c r="DL106" s="201"/>
      <c r="DM106" s="201"/>
      <c r="DN106" s="201"/>
      <c r="DO106" s="201"/>
      <c r="DP106" s="201"/>
      <c r="DQ106" s="201"/>
      <c r="DR106" s="201"/>
      <c r="DS106" s="201"/>
      <c r="DT106" s="201"/>
      <c r="DU106" s="201"/>
      <c r="DV106" s="201"/>
      <c r="DW106" s="201"/>
      <c r="DX106" s="201"/>
      <c r="DY106" s="201"/>
      <c r="DZ106" s="201"/>
      <c r="EA106" s="201"/>
      <c r="EB106" s="201"/>
      <c r="EC106" s="201"/>
      <c r="ED106" s="201"/>
      <c r="EE106" s="201"/>
      <c r="EF106" s="201"/>
      <c r="EG106" s="201"/>
      <c r="EH106" s="201"/>
      <c r="EI106" s="201"/>
      <c r="EJ106" s="201"/>
      <c r="EK106" s="201"/>
      <c r="EL106" s="201"/>
      <c r="EM106" s="201"/>
      <c r="EN106" s="201"/>
      <c r="EO106" s="201"/>
      <c r="EP106" s="201"/>
      <c r="EQ106" s="201"/>
      <c r="ER106" s="9"/>
      <c r="ES106" s="201"/>
      <c r="ET106" s="9"/>
      <c r="EU106" s="9"/>
      <c r="EV106" s="9"/>
      <c r="EW106" s="9"/>
      <c r="EX106" s="9"/>
      <c r="EY106" s="9"/>
      <c r="EZ106" s="201"/>
      <c r="FA106" s="213"/>
      <c r="FB106" s="213"/>
      <c r="FC106" s="213"/>
      <c r="FD106" s="213"/>
      <c r="FE106" s="214"/>
      <c r="FF106" s="201"/>
      <c r="FG106" s="201"/>
      <c r="FH106" s="201"/>
      <c r="FI106" s="215"/>
      <c r="FJ106" s="215"/>
      <c r="FK106" s="201"/>
      <c r="FL106" s="201"/>
      <c r="FM106" s="201"/>
      <c r="FN106" s="201"/>
      <c r="FO106" s="9"/>
      <c r="FP106" s="201"/>
      <c r="FQ106" s="201"/>
      <c r="FR106" s="201"/>
      <c r="FS106" s="9"/>
      <c r="FT106" s="9"/>
      <c r="FU106" s="9"/>
      <c r="FV106" s="9"/>
      <c r="FW106" s="201"/>
      <c r="FX106" s="201"/>
      <c r="FY106" s="201"/>
      <c r="FZ106" s="201"/>
      <c r="GA106" s="201"/>
      <c r="GB106" s="9"/>
      <c r="GC106" s="9"/>
      <c r="GD106" s="9"/>
      <c r="GE106" s="9"/>
      <c r="GF106" s="9"/>
      <c r="GG106" s="9"/>
      <c r="GH106" s="9"/>
      <c r="GI106" s="9"/>
      <c r="GJ106" s="9"/>
      <c r="GK106" s="9"/>
      <c r="GL106" s="9"/>
      <c r="GM106" s="9"/>
      <c r="GN106" s="9"/>
      <c r="GO106" s="9"/>
      <c r="GP106" s="9"/>
      <c r="GQ106" s="9"/>
      <c r="GR106" s="9"/>
      <c r="GS106" s="9"/>
      <c r="GT106" s="9"/>
      <c r="GU106" s="9"/>
      <c r="GV106" s="9"/>
      <c r="GW106" s="9"/>
      <c r="GX106" s="9"/>
      <c r="GY106" s="9"/>
      <c r="GZ106" s="9"/>
    </row>
    <row r="107" ht="13.2" spans="1:208">
      <c r="A107" s="172">
        <v>45898</v>
      </c>
      <c r="B107" s="20" t="s">
        <v>381</v>
      </c>
      <c r="C107" s="18"/>
      <c r="D107" s="20"/>
      <c r="E107" s="207"/>
      <c r="F107" s="20"/>
      <c r="G107" s="176"/>
      <c r="H107" s="175"/>
      <c r="I107" s="176"/>
      <c r="J107" s="178"/>
      <c r="K107" s="174"/>
      <c r="L107" s="174"/>
      <c r="M107" s="20"/>
      <c r="N107" s="176"/>
      <c r="O107" s="179"/>
      <c r="P107" s="179"/>
      <c r="Q107" s="174"/>
      <c r="R107" s="20"/>
      <c r="S107" s="20"/>
      <c r="T107" s="20"/>
      <c r="U107" s="176"/>
      <c r="V107" s="20"/>
      <c r="W107" s="178"/>
      <c r="X107" s="20"/>
      <c r="Y107" s="20"/>
      <c r="Z107" s="20"/>
      <c r="AA107" s="20"/>
      <c r="AB107" s="20"/>
      <c r="AC107" s="20"/>
      <c r="AD107" s="20"/>
      <c r="AE107" s="20"/>
      <c r="AF107" s="20"/>
      <c r="AG107" s="20"/>
      <c r="AH107" s="20"/>
      <c r="AI107" s="20"/>
      <c r="AJ107" s="20"/>
      <c r="AK107" s="20"/>
      <c r="AL107" s="20"/>
      <c r="AM107" s="180"/>
      <c r="AN107" s="173"/>
      <c r="AO107" s="20"/>
      <c r="AP107" s="20"/>
      <c r="AQ107" s="20"/>
      <c r="AR107" s="20"/>
      <c r="AS107" s="181"/>
      <c r="AT107" s="20"/>
      <c r="AU107" s="182"/>
      <c r="AV107" s="20"/>
      <c r="AW107" s="183"/>
      <c r="AX107" s="184"/>
      <c r="AY107" s="176"/>
      <c r="AZ107" s="182"/>
      <c r="BA107" s="183"/>
      <c r="BB107" s="176"/>
      <c r="BC107" s="179"/>
      <c r="BD107" s="179"/>
      <c r="BE107" s="182"/>
      <c r="BF107" s="186"/>
      <c r="BG107" s="186"/>
      <c r="BH107" s="187"/>
      <c r="BI107" s="182"/>
      <c r="BJ107" s="179"/>
      <c r="BK107" s="179"/>
      <c r="BL107" s="208"/>
      <c r="BM107" s="209"/>
      <c r="BN107" s="15"/>
      <c r="BO107" s="15"/>
      <c r="BP107" s="210"/>
      <c r="BQ107" s="182"/>
      <c r="BR107" s="182"/>
      <c r="BS107" s="182"/>
      <c r="BT107" s="20"/>
      <c r="BU107" s="20"/>
      <c r="BV107" s="20"/>
      <c r="BW107" s="185"/>
      <c r="BX107" s="182"/>
      <c r="BY107" s="182"/>
      <c r="BZ107" s="182"/>
      <c r="CA107" s="182"/>
      <c r="CB107" s="9"/>
      <c r="CC107" s="8"/>
      <c r="CD107" s="213"/>
      <c r="CE107" s="201"/>
      <c r="CF107" s="201"/>
      <c r="CG107" s="201"/>
      <c r="CH107" s="201"/>
      <c r="CI107" s="201"/>
      <c r="CJ107" s="201"/>
      <c r="CK107" s="201"/>
      <c r="CL107" s="201"/>
      <c r="CM107" s="201"/>
      <c r="CN107" s="201"/>
      <c r="CO107" s="201"/>
      <c r="CP107" s="201"/>
      <c r="CQ107" s="201"/>
      <c r="CR107" s="201"/>
      <c r="CS107" s="201"/>
      <c r="CT107" s="201"/>
      <c r="CU107" s="201"/>
      <c r="CV107" s="201"/>
      <c r="CW107" s="201"/>
      <c r="CX107" s="201"/>
      <c r="CY107" s="201"/>
      <c r="CZ107" s="201"/>
      <c r="DA107" s="201"/>
      <c r="DB107" s="201"/>
      <c r="DC107" s="201"/>
      <c r="DD107" s="201"/>
      <c r="DE107" s="201"/>
      <c r="DF107" s="201"/>
      <c r="DG107" s="201"/>
      <c r="DH107" s="201"/>
      <c r="DI107" s="201"/>
      <c r="DJ107" s="201"/>
      <c r="DK107" s="201"/>
      <c r="DL107" s="201"/>
      <c r="DM107" s="201"/>
      <c r="DN107" s="201"/>
      <c r="DO107" s="201"/>
      <c r="DP107" s="201"/>
      <c r="DQ107" s="201"/>
      <c r="DR107" s="201"/>
      <c r="DS107" s="201"/>
      <c r="DT107" s="201"/>
      <c r="DU107" s="201"/>
      <c r="DV107" s="201"/>
      <c r="DW107" s="201"/>
      <c r="DX107" s="201"/>
      <c r="DY107" s="201"/>
      <c r="DZ107" s="201"/>
      <c r="EA107" s="201"/>
      <c r="EB107" s="201"/>
      <c r="EC107" s="201"/>
      <c r="ED107" s="201"/>
      <c r="EE107" s="201"/>
      <c r="EF107" s="201"/>
      <c r="EG107" s="201"/>
      <c r="EH107" s="201"/>
      <c r="EI107" s="201"/>
      <c r="EJ107" s="201"/>
      <c r="EK107" s="201"/>
      <c r="EL107" s="201"/>
      <c r="EM107" s="201"/>
      <c r="EN107" s="201"/>
      <c r="EO107" s="201"/>
      <c r="EP107" s="201"/>
      <c r="EQ107" s="201"/>
      <c r="ER107" s="9"/>
      <c r="ES107" s="201"/>
      <c r="ET107" s="9"/>
      <c r="EU107" s="9"/>
      <c r="EV107" s="9"/>
      <c r="EW107" s="9"/>
      <c r="EX107" s="9"/>
      <c r="EY107" s="9"/>
      <c r="EZ107" s="201"/>
      <c r="FA107" s="213"/>
      <c r="FB107" s="213"/>
      <c r="FC107" s="213"/>
      <c r="FD107" s="213"/>
      <c r="FE107" s="214"/>
      <c r="FF107" s="201"/>
      <c r="FG107" s="201"/>
      <c r="FH107" s="201"/>
      <c r="FI107" s="215"/>
      <c r="FJ107" s="215"/>
      <c r="FK107" s="201"/>
      <c r="FL107" s="201"/>
      <c r="FM107" s="201"/>
      <c r="FN107" s="201"/>
      <c r="FO107" s="9"/>
      <c r="FP107" s="201"/>
      <c r="FQ107" s="201"/>
      <c r="FR107" s="201"/>
      <c r="FS107" s="9"/>
      <c r="FT107" s="9"/>
      <c r="FU107" s="9"/>
      <c r="FV107" s="9"/>
      <c r="FW107" s="201"/>
      <c r="FX107" s="201"/>
      <c r="FY107" s="201"/>
      <c r="FZ107" s="201"/>
      <c r="GA107" s="201"/>
      <c r="GB107" s="9"/>
      <c r="GC107" s="9"/>
      <c r="GD107" s="9"/>
      <c r="GE107" s="9"/>
      <c r="GF107" s="9"/>
      <c r="GG107" s="9"/>
      <c r="GH107" s="9"/>
      <c r="GI107" s="9"/>
      <c r="GJ107" s="9"/>
      <c r="GK107" s="9"/>
      <c r="GL107" s="9"/>
      <c r="GM107" s="9"/>
      <c r="GN107" s="9"/>
      <c r="GO107" s="9"/>
      <c r="GP107" s="9"/>
      <c r="GQ107" s="9"/>
      <c r="GR107" s="9"/>
      <c r="GS107" s="9"/>
      <c r="GT107" s="9"/>
      <c r="GU107" s="9"/>
      <c r="GV107" s="9"/>
      <c r="GW107" s="9"/>
      <c r="GX107" s="9"/>
      <c r="GY107" s="9"/>
      <c r="GZ107" s="9"/>
    </row>
    <row r="108" ht="13.2" spans="1:208">
      <c r="A108" s="172">
        <v>45899</v>
      </c>
      <c r="B108" s="20" t="s">
        <v>369</v>
      </c>
      <c r="C108" s="18"/>
      <c r="D108" s="20"/>
      <c r="E108" s="207"/>
      <c r="F108" s="20"/>
      <c r="G108" s="176"/>
      <c r="H108" s="175"/>
      <c r="I108" s="176"/>
      <c r="J108" s="178"/>
      <c r="K108" s="174"/>
      <c r="L108" s="174"/>
      <c r="M108" s="20"/>
      <c r="N108" s="176"/>
      <c r="O108" s="179"/>
      <c r="P108" s="179"/>
      <c r="Q108" s="174"/>
      <c r="R108" s="20"/>
      <c r="S108" s="20"/>
      <c r="T108" s="20"/>
      <c r="U108" s="176"/>
      <c r="V108" s="20"/>
      <c r="W108" s="178"/>
      <c r="X108" s="20"/>
      <c r="Y108" s="20"/>
      <c r="Z108" s="20"/>
      <c r="AA108" s="20"/>
      <c r="AB108" s="20"/>
      <c r="AC108" s="20"/>
      <c r="AD108" s="20"/>
      <c r="AE108" s="20"/>
      <c r="AF108" s="20"/>
      <c r="AG108" s="20"/>
      <c r="AH108" s="20"/>
      <c r="AI108" s="20"/>
      <c r="AJ108" s="20"/>
      <c r="AK108" s="20"/>
      <c r="AL108" s="20"/>
      <c r="AM108" s="180"/>
      <c r="AN108" s="173"/>
      <c r="AO108" s="20"/>
      <c r="AP108" s="20"/>
      <c r="AQ108" s="20"/>
      <c r="AR108" s="20"/>
      <c r="AS108" s="181"/>
      <c r="AT108" s="20"/>
      <c r="AU108" s="182"/>
      <c r="AV108" s="20"/>
      <c r="AW108" s="183"/>
      <c r="AX108" s="184"/>
      <c r="AY108" s="176"/>
      <c r="AZ108" s="182"/>
      <c r="BA108" s="183"/>
      <c r="BB108" s="176"/>
      <c r="BC108" s="179"/>
      <c r="BD108" s="179"/>
      <c r="BE108" s="182"/>
      <c r="BF108" s="186"/>
      <c r="BG108" s="186"/>
      <c r="BH108" s="187"/>
      <c r="BI108" s="182"/>
      <c r="BJ108" s="179"/>
      <c r="BK108" s="179"/>
      <c r="BL108" s="208"/>
      <c r="BM108" s="209"/>
      <c r="BN108" s="15"/>
      <c r="BO108" s="15"/>
      <c r="BP108" s="210"/>
      <c r="BQ108" s="182"/>
      <c r="BR108" s="182"/>
      <c r="BS108" s="182"/>
      <c r="BT108" s="20"/>
      <c r="BU108" s="20"/>
      <c r="BV108" s="20"/>
      <c r="BW108" s="185"/>
      <c r="BX108" s="182"/>
      <c r="BY108" s="182"/>
      <c r="BZ108" s="182"/>
      <c r="CA108" s="182"/>
      <c r="CB108" s="9"/>
      <c r="CC108" s="8"/>
      <c r="CD108" s="213"/>
      <c r="CE108" s="201"/>
      <c r="CF108" s="201"/>
      <c r="CG108" s="201"/>
      <c r="CH108" s="201"/>
      <c r="CI108" s="201"/>
      <c r="CJ108" s="201"/>
      <c r="CK108" s="201"/>
      <c r="CL108" s="201"/>
      <c r="CM108" s="201"/>
      <c r="CN108" s="201"/>
      <c r="CO108" s="201"/>
      <c r="CP108" s="201"/>
      <c r="CQ108" s="201"/>
      <c r="CR108" s="201"/>
      <c r="CS108" s="201"/>
      <c r="CT108" s="201"/>
      <c r="CU108" s="201"/>
      <c r="CV108" s="201"/>
      <c r="CW108" s="201"/>
      <c r="CX108" s="201"/>
      <c r="CY108" s="201"/>
      <c r="CZ108" s="201"/>
      <c r="DA108" s="201"/>
      <c r="DB108" s="201"/>
      <c r="DC108" s="201"/>
      <c r="DD108" s="201"/>
      <c r="DE108" s="201"/>
      <c r="DF108" s="201"/>
      <c r="DG108" s="201"/>
      <c r="DH108" s="201"/>
      <c r="DI108" s="201"/>
      <c r="DJ108" s="201"/>
      <c r="DK108" s="201"/>
      <c r="DL108" s="201"/>
      <c r="DM108" s="201"/>
      <c r="DN108" s="201"/>
      <c r="DO108" s="201"/>
      <c r="DP108" s="201"/>
      <c r="DQ108" s="201"/>
      <c r="DR108" s="201"/>
      <c r="DS108" s="201"/>
      <c r="DT108" s="201"/>
      <c r="DU108" s="201"/>
      <c r="DV108" s="201"/>
      <c r="DW108" s="201"/>
      <c r="DX108" s="201"/>
      <c r="DY108" s="201"/>
      <c r="DZ108" s="201"/>
      <c r="EA108" s="201"/>
      <c r="EB108" s="201"/>
      <c r="EC108" s="201"/>
      <c r="ED108" s="201"/>
      <c r="EE108" s="201"/>
      <c r="EF108" s="201"/>
      <c r="EG108" s="201"/>
      <c r="EH108" s="201"/>
      <c r="EI108" s="201"/>
      <c r="EJ108" s="201"/>
      <c r="EK108" s="201"/>
      <c r="EL108" s="201"/>
      <c r="EM108" s="201"/>
      <c r="EN108" s="201"/>
      <c r="EO108" s="201"/>
      <c r="EP108" s="201"/>
      <c r="EQ108" s="201"/>
      <c r="ER108" s="9"/>
      <c r="ES108" s="201"/>
      <c r="ET108" s="9"/>
      <c r="EU108" s="9"/>
      <c r="EV108" s="9"/>
      <c r="EW108" s="9"/>
      <c r="EX108" s="9"/>
      <c r="EY108" s="9"/>
      <c r="EZ108" s="201"/>
      <c r="FA108" s="213"/>
      <c r="FB108" s="213"/>
      <c r="FC108" s="213"/>
      <c r="FD108" s="213"/>
      <c r="FE108" s="214"/>
      <c r="FF108" s="201"/>
      <c r="FG108" s="201"/>
      <c r="FH108" s="201"/>
      <c r="FI108" s="215"/>
      <c r="FJ108" s="215"/>
      <c r="FK108" s="201"/>
      <c r="FL108" s="201"/>
      <c r="FM108" s="201"/>
      <c r="FN108" s="201"/>
      <c r="FO108" s="9"/>
      <c r="FP108" s="201"/>
      <c r="FQ108" s="201"/>
      <c r="FR108" s="201"/>
      <c r="FS108" s="9"/>
      <c r="FT108" s="9"/>
      <c r="FU108" s="9"/>
      <c r="FV108" s="9"/>
      <c r="FW108" s="201"/>
      <c r="FX108" s="201"/>
      <c r="FY108" s="201"/>
      <c r="FZ108" s="201"/>
      <c r="GA108" s="201"/>
      <c r="GB108" s="9"/>
      <c r="GC108" s="9"/>
      <c r="GD108" s="9"/>
      <c r="GE108" s="9"/>
      <c r="GF108" s="9"/>
      <c r="GG108" s="9"/>
      <c r="GH108" s="9"/>
      <c r="GI108" s="9"/>
      <c r="GJ108" s="9"/>
      <c r="GK108" s="9"/>
      <c r="GL108" s="9"/>
      <c r="GM108" s="9"/>
      <c r="GN108" s="9"/>
      <c r="GO108" s="9"/>
      <c r="GP108" s="9"/>
      <c r="GQ108" s="9"/>
      <c r="GR108" s="9"/>
      <c r="GS108" s="9"/>
      <c r="GT108" s="9"/>
      <c r="GU108" s="9"/>
      <c r="GV108" s="9"/>
      <c r="GW108" s="9"/>
      <c r="GX108" s="9"/>
      <c r="GY108" s="9"/>
      <c r="GZ108" s="9"/>
    </row>
    <row r="109" ht="13.2" spans="1:208">
      <c r="A109" s="172">
        <v>45900</v>
      </c>
      <c r="B109" s="20" t="s">
        <v>371</v>
      </c>
      <c r="C109" s="173"/>
      <c r="D109" s="20"/>
      <c r="E109" s="207"/>
      <c r="F109" s="20"/>
      <c r="G109" s="176"/>
      <c r="H109" s="175"/>
      <c r="I109" s="176"/>
      <c r="J109" s="178"/>
      <c r="K109" s="174"/>
      <c r="L109" s="174"/>
      <c r="M109" s="20"/>
      <c r="N109" s="176"/>
      <c r="O109" s="179"/>
      <c r="P109" s="179"/>
      <c r="Q109" s="174"/>
      <c r="R109" s="20"/>
      <c r="S109" s="20"/>
      <c r="T109" s="20"/>
      <c r="U109" s="176"/>
      <c r="V109" s="20"/>
      <c r="W109" s="178"/>
      <c r="X109" s="20"/>
      <c r="Y109" s="20"/>
      <c r="Z109" s="20"/>
      <c r="AA109" s="20"/>
      <c r="AB109" s="20"/>
      <c r="AC109" s="20"/>
      <c r="AD109" s="20"/>
      <c r="AE109" s="20"/>
      <c r="AF109" s="20"/>
      <c r="AG109" s="20"/>
      <c r="AH109" s="20"/>
      <c r="AI109" s="20"/>
      <c r="AJ109" s="20"/>
      <c r="AK109" s="20"/>
      <c r="AL109" s="20"/>
      <c r="AM109" s="180"/>
      <c r="AN109" s="173"/>
      <c r="AO109" s="20"/>
      <c r="AP109" s="20"/>
      <c r="AQ109" s="20"/>
      <c r="AR109" s="20"/>
      <c r="AS109" s="181"/>
      <c r="AT109" s="20"/>
      <c r="AU109" s="182"/>
      <c r="AV109" s="20"/>
      <c r="AW109" s="183"/>
      <c r="AX109" s="184"/>
      <c r="AY109" s="176"/>
      <c r="AZ109" s="182"/>
      <c r="BA109" s="183"/>
      <c r="BB109" s="176"/>
      <c r="BC109" s="179"/>
      <c r="BD109" s="179"/>
      <c r="BE109" s="182"/>
      <c r="BF109" s="186"/>
      <c r="BG109" s="186"/>
      <c r="BH109" s="187"/>
      <c r="BI109" s="182"/>
      <c r="BJ109" s="179"/>
      <c r="BK109" s="179"/>
      <c r="BL109" s="208"/>
      <c r="BM109" s="209"/>
      <c r="BN109" s="15"/>
      <c r="BO109" s="15"/>
      <c r="BP109" s="210"/>
      <c r="BQ109" s="182"/>
      <c r="BR109" s="182"/>
      <c r="BS109" s="182"/>
      <c r="BT109" s="20"/>
      <c r="BU109" s="20"/>
      <c r="BV109" s="20"/>
      <c r="BW109" s="185"/>
      <c r="BX109" s="182"/>
      <c r="BY109" s="182"/>
      <c r="BZ109" s="182"/>
      <c r="CA109" s="182"/>
      <c r="CB109" s="9"/>
      <c r="CC109" s="8"/>
      <c r="CD109" s="213"/>
      <c r="CE109" s="201"/>
      <c r="CF109" s="201"/>
      <c r="CG109" s="201"/>
      <c r="CH109" s="201"/>
      <c r="CI109" s="201"/>
      <c r="CJ109" s="201"/>
      <c r="CK109" s="201"/>
      <c r="CL109" s="201"/>
      <c r="CM109" s="201"/>
      <c r="CN109" s="201"/>
      <c r="CO109" s="201"/>
      <c r="CP109" s="201"/>
      <c r="CQ109" s="201"/>
      <c r="CR109" s="201"/>
      <c r="CS109" s="201"/>
      <c r="CT109" s="201"/>
      <c r="CU109" s="201"/>
      <c r="CV109" s="201"/>
      <c r="CW109" s="201"/>
      <c r="CX109" s="201"/>
      <c r="CY109" s="201"/>
      <c r="CZ109" s="201"/>
      <c r="DA109" s="201"/>
      <c r="DB109" s="201"/>
      <c r="DC109" s="201"/>
      <c r="DD109" s="201"/>
      <c r="DE109" s="201"/>
      <c r="DF109" s="201"/>
      <c r="DG109" s="201"/>
      <c r="DH109" s="201"/>
      <c r="DI109" s="201"/>
      <c r="DJ109" s="201"/>
      <c r="DK109" s="201"/>
      <c r="DL109" s="201"/>
      <c r="DM109" s="201"/>
      <c r="DN109" s="201"/>
      <c r="DO109" s="201"/>
      <c r="DP109" s="201"/>
      <c r="DQ109" s="201"/>
      <c r="DR109" s="201"/>
      <c r="DS109" s="201"/>
      <c r="DT109" s="201"/>
      <c r="DU109" s="201"/>
      <c r="DV109" s="201"/>
      <c r="DW109" s="201"/>
      <c r="DX109" s="201"/>
      <c r="DY109" s="201"/>
      <c r="DZ109" s="201"/>
      <c r="EA109" s="201"/>
      <c r="EB109" s="201"/>
      <c r="EC109" s="201"/>
      <c r="ED109" s="201"/>
      <c r="EE109" s="201"/>
      <c r="EF109" s="201"/>
      <c r="EG109" s="201"/>
      <c r="EH109" s="201"/>
      <c r="EI109" s="201"/>
      <c r="EJ109" s="201"/>
      <c r="EK109" s="201"/>
      <c r="EL109" s="201"/>
      <c r="EM109" s="201"/>
      <c r="EN109" s="201"/>
      <c r="EO109" s="201"/>
      <c r="EP109" s="201"/>
      <c r="EQ109" s="201"/>
      <c r="ER109" s="9"/>
      <c r="ES109" s="201"/>
      <c r="ET109" s="9"/>
      <c r="EU109" s="9"/>
      <c r="EV109" s="9"/>
      <c r="EW109" s="9"/>
      <c r="EX109" s="9"/>
      <c r="EY109" s="9"/>
      <c r="EZ109" s="201"/>
      <c r="FA109" s="213"/>
      <c r="FB109" s="213"/>
      <c r="FC109" s="213"/>
      <c r="FD109" s="213"/>
      <c r="FE109" s="214"/>
      <c r="FF109" s="201"/>
      <c r="FG109" s="201"/>
      <c r="FH109" s="201"/>
      <c r="FI109" s="215"/>
      <c r="FJ109" s="215"/>
      <c r="FK109" s="201"/>
      <c r="FL109" s="201"/>
      <c r="FM109" s="201"/>
      <c r="FN109" s="201"/>
      <c r="FO109" s="9"/>
      <c r="FP109" s="201"/>
      <c r="FQ109" s="201"/>
      <c r="FR109" s="201"/>
      <c r="FS109" s="9"/>
      <c r="FT109" s="9"/>
      <c r="FU109" s="9"/>
      <c r="FV109" s="9"/>
      <c r="FW109" s="201"/>
      <c r="FX109" s="201"/>
      <c r="FY109" s="201"/>
      <c r="FZ109" s="201"/>
      <c r="GA109" s="201"/>
      <c r="GB109" s="9"/>
      <c r="GC109" s="9"/>
      <c r="GD109" s="9"/>
      <c r="GE109" s="9"/>
      <c r="GF109" s="9"/>
      <c r="GG109" s="9"/>
      <c r="GH109" s="9"/>
      <c r="GI109" s="9"/>
      <c r="GJ109" s="9"/>
      <c r="GK109" s="9"/>
      <c r="GL109" s="9"/>
      <c r="GM109" s="9"/>
      <c r="GN109" s="9"/>
      <c r="GO109" s="9"/>
      <c r="GP109" s="9"/>
      <c r="GQ109" s="9"/>
      <c r="GR109" s="9"/>
      <c r="GS109" s="9"/>
      <c r="GT109" s="9"/>
      <c r="GU109" s="9"/>
      <c r="GV109" s="9"/>
      <c r="GW109" s="9"/>
      <c r="GX109" s="9"/>
      <c r="GY109" s="9"/>
      <c r="GZ109" s="9"/>
    </row>
    <row r="110" ht="13.2" spans="1:208">
      <c r="A110" s="172">
        <v>45901</v>
      </c>
      <c r="B110" s="20" t="s">
        <v>373</v>
      </c>
      <c r="C110" s="173"/>
      <c r="D110" s="20"/>
      <c r="E110" s="207"/>
      <c r="F110" s="20"/>
      <c r="G110" s="176"/>
      <c r="H110" s="175"/>
      <c r="I110" s="176"/>
      <c r="J110" s="178"/>
      <c r="K110" s="174"/>
      <c r="L110" s="174"/>
      <c r="M110" s="20"/>
      <c r="N110" s="176"/>
      <c r="O110" s="179"/>
      <c r="P110" s="179"/>
      <c r="Q110" s="174"/>
      <c r="R110" s="20"/>
      <c r="S110" s="20"/>
      <c r="T110" s="20"/>
      <c r="U110" s="176"/>
      <c r="V110" s="20"/>
      <c r="W110" s="178"/>
      <c r="X110" s="20"/>
      <c r="Y110" s="20"/>
      <c r="Z110" s="20"/>
      <c r="AA110" s="20"/>
      <c r="AB110" s="20"/>
      <c r="AC110" s="20"/>
      <c r="AD110" s="20"/>
      <c r="AE110" s="20"/>
      <c r="AF110" s="20"/>
      <c r="AG110" s="20"/>
      <c r="AH110" s="20"/>
      <c r="AI110" s="20"/>
      <c r="AJ110" s="20"/>
      <c r="AK110" s="20"/>
      <c r="AL110" s="20"/>
      <c r="AM110" s="180"/>
      <c r="AN110" s="173"/>
      <c r="AO110" s="20"/>
      <c r="AP110" s="20"/>
      <c r="AQ110" s="20"/>
      <c r="AR110" s="20"/>
      <c r="AS110" s="181"/>
      <c r="AT110" s="20"/>
      <c r="AU110" s="182"/>
      <c r="AV110" s="20"/>
      <c r="AW110" s="183"/>
      <c r="AX110" s="184"/>
      <c r="AY110" s="176"/>
      <c r="AZ110" s="182"/>
      <c r="BA110" s="183"/>
      <c r="BB110" s="176"/>
      <c r="BC110" s="179"/>
      <c r="BD110" s="179"/>
      <c r="BE110" s="182"/>
      <c r="BF110" s="186"/>
      <c r="BG110" s="186"/>
      <c r="BH110" s="187"/>
      <c r="BI110" s="182"/>
      <c r="BJ110" s="179"/>
      <c r="BK110" s="179"/>
      <c r="BL110" s="208"/>
      <c r="BM110" s="209"/>
      <c r="BN110" s="15"/>
      <c r="BO110" s="15"/>
      <c r="BP110" s="210"/>
      <c r="BQ110" s="182"/>
      <c r="BR110" s="182"/>
      <c r="BS110" s="182"/>
      <c r="BT110" s="20"/>
      <c r="BU110" s="20"/>
      <c r="BV110" s="20"/>
      <c r="BW110" s="185"/>
      <c r="BX110" s="182"/>
      <c r="BY110" s="182"/>
      <c r="BZ110" s="182"/>
      <c r="CA110" s="182"/>
      <c r="CB110" s="9"/>
      <c r="CC110" s="8"/>
      <c r="CD110" s="213"/>
      <c r="CE110" s="201"/>
      <c r="CF110" s="201"/>
      <c r="CG110" s="201"/>
      <c r="CH110" s="201"/>
      <c r="CI110" s="201"/>
      <c r="CJ110" s="201"/>
      <c r="CK110" s="201"/>
      <c r="CL110" s="201"/>
      <c r="CM110" s="201"/>
      <c r="CN110" s="201"/>
      <c r="CO110" s="201"/>
      <c r="CP110" s="201"/>
      <c r="CQ110" s="201"/>
      <c r="CR110" s="201"/>
      <c r="CS110" s="201"/>
      <c r="CT110" s="201"/>
      <c r="CU110" s="201"/>
      <c r="CV110" s="201"/>
      <c r="CW110" s="201"/>
      <c r="CX110" s="201"/>
      <c r="CY110" s="201"/>
      <c r="CZ110" s="201"/>
      <c r="DA110" s="201"/>
      <c r="DB110" s="201"/>
      <c r="DC110" s="201"/>
      <c r="DD110" s="201"/>
      <c r="DE110" s="201"/>
      <c r="DF110" s="201"/>
      <c r="DG110" s="201"/>
      <c r="DH110" s="201"/>
      <c r="DI110" s="201"/>
      <c r="DJ110" s="201"/>
      <c r="DK110" s="201"/>
      <c r="DL110" s="201"/>
      <c r="DM110" s="201"/>
      <c r="DN110" s="201"/>
      <c r="DO110" s="201"/>
      <c r="DP110" s="201"/>
      <c r="DQ110" s="201"/>
      <c r="DR110" s="201"/>
      <c r="DS110" s="201"/>
      <c r="DT110" s="201"/>
      <c r="DU110" s="201"/>
      <c r="DV110" s="201"/>
      <c r="DW110" s="201"/>
      <c r="DX110" s="201"/>
      <c r="DY110" s="201"/>
      <c r="DZ110" s="201"/>
      <c r="EA110" s="201"/>
      <c r="EB110" s="201"/>
      <c r="EC110" s="201"/>
      <c r="ED110" s="201"/>
      <c r="EE110" s="201"/>
      <c r="EF110" s="201"/>
      <c r="EG110" s="201"/>
      <c r="EH110" s="201"/>
      <c r="EI110" s="201"/>
      <c r="EJ110" s="201"/>
      <c r="EK110" s="201"/>
      <c r="EL110" s="201"/>
      <c r="EM110" s="201"/>
      <c r="EN110" s="201"/>
      <c r="EO110" s="201"/>
      <c r="EP110" s="201"/>
      <c r="EQ110" s="201"/>
      <c r="ER110" s="9"/>
      <c r="ES110" s="201"/>
      <c r="ET110" s="9"/>
      <c r="EU110" s="9"/>
      <c r="EV110" s="9"/>
      <c r="EW110" s="9"/>
      <c r="EX110" s="9"/>
      <c r="EY110" s="9"/>
      <c r="EZ110" s="201"/>
      <c r="FA110" s="213"/>
      <c r="FB110" s="213"/>
      <c r="FC110" s="213"/>
      <c r="FD110" s="213"/>
      <c r="FE110" s="214"/>
      <c r="FF110" s="201"/>
      <c r="FG110" s="201"/>
      <c r="FH110" s="201"/>
      <c r="FI110" s="215"/>
      <c r="FJ110" s="215"/>
      <c r="FK110" s="201"/>
      <c r="FL110" s="201"/>
      <c r="FM110" s="201"/>
      <c r="FN110" s="201"/>
      <c r="FO110" s="9"/>
      <c r="FP110" s="201"/>
      <c r="FQ110" s="201"/>
      <c r="FR110" s="201"/>
      <c r="FS110" s="9"/>
      <c r="FT110" s="9"/>
      <c r="FU110" s="9"/>
      <c r="FV110" s="9"/>
      <c r="FW110" s="201"/>
      <c r="FX110" s="201"/>
      <c r="FY110" s="201"/>
      <c r="FZ110" s="201"/>
      <c r="GA110" s="201"/>
      <c r="GB110" s="9"/>
      <c r="GC110" s="9"/>
      <c r="GD110" s="9"/>
      <c r="GE110" s="9"/>
      <c r="GF110" s="9"/>
      <c r="GG110" s="9"/>
      <c r="GH110" s="9"/>
      <c r="GI110" s="9"/>
      <c r="GJ110" s="9"/>
      <c r="GK110" s="9"/>
      <c r="GL110" s="9"/>
      <c r="GM110" s="9"/>
      <c r="GN110" s="9"/>
      <c r="GO110" s="9"/>
      <c r="GP110" s="9"/>
      <c r="GQ110" s="9"/>
      <c r="GR110" s="9"/>
      <c r="GS110" s="9"/>
      <c r="GT110" s="9"/>
      <c r="GU110" s="9"/>
      <c r="GV110" s="9"/>
      <c r="GW110" s="9"/>
      <c r="GX110" s="9"/>
      <c r="GY110" s="9"/>
      <c r="GZ110" s="9"/>
    </row>
    <row r="111" ht="13.2" spans="1:208">
      <c r="A111" s="172">
        <v>45902</v>
      </c>
      <c r="B111" s="20" t="s">
        <v>375</v>
      </c>
      <c r="C111" s="173"/>
      <c r="D111" s="20"/>
      <c r="E111" s="207"/>
      <c r="F111" s="20"/>
      <c r="G111" s="176"/>
      <c r="H111" s="175"/>
      <c r="I111" s="176"/>
      <c r="J111" s="178"/>
      <c r="K111" s="174"/>
      <c r="L111" s="174"/>
      <c r="M111" s="20"/>
      <c r="N111" s="176"/>
      <c r="O111" s="179"/>
      <c r="P111" s="179"/>
      <c r="Q111" s="174"/>
      <c r="R111" s="20"/>
      <c r="S111" s="20"/>
      <c r="T111" s="20"/>
      <c r="U111" s="176"/>
      <c r="V111" s="20"/>
      <c r="W111" s="178"/>
      <c r="X111" s="20"/>
      <c r="Y111" s="20"/>
      <c r="Z111" s="20"/>
      <c r="AA111" s="20"/>
      <c r="AB111" s="20"/>
      <c r="AC111" s="20"/>
      <c r="AD111" s="20"/>
      <c r="AE111" s="20"/>
      <c r="AF111" s="20"/>
      <c r="AG111" s="20"/>
      <c r="AH111" s="20"/>
      <c r="AI111" s="20"/>
      <c r="AJ111" s="20"/>
      <c r="AK111" s="20"/>
      <c r="AL111" s="20"/>
      <c r="AM111" s="180"/>
      <c r="AN111" s="173"/>
      <c r="AO111" s="20"/>
      <c r="AP111" s="20"/>
      <c r="AQ111" s="20"/>
      <c r="AR111" s="20"/>
      <c r="AS111" s="181"/>
      <c r="AT111" s="20"/>
      <c r="AU111" s="182"/>
      <c r="AV111" s="20"/>
      <c r="AW111" s="183"/>
      <c r="AX111" s="184"/>
      <c r="AY111" s="176"/>
      <c r="AZ111" s="182"/>
      <c r="BA111" s="183"/>
      <c r="BB111" s="176"/>
      <c r="BC111" s="179"/>
      <c r="BD111" s="179"/>
      <c r="BE111" s="182"/>
      <c r="BF111" s="186"/>
      <c r="BG111" s="186"/>
      <c r="BH111" s="187"/>
      <c r="BI111" s="182"/>
      <c r="BJ111" s="179"/>
      <c r="BK111" s="179"/>
      <c r="BL111" s="208"/>
      <c r="BM111" s="209"/>
      <c r="BN111" s="15"/>
      <c r="BO111" s="15"/>
      <c r="BP111" s="210"/>
      <c r="BQ111" s="182"/>
      <c r="BR111" s="182"/>
      <c r="BS111" s="182"/>
      <c r="BT111" s="20"/>
      <c r="BU111" s="20"/>
      <c r="BV111" s="20"/>
      <c r="BW111" s="185"/>
      <c r="BX111" s="182"/>
      <c r="BY111" s="182"/>
      <c r="BZ111" s="182"/>
      <c r="CA111" s="182"/>
      <c r="CB111" s="9"/>
      <c r="CC111" s="8"/>
      <c r="CD111" s="213"/>
      <c r="CE111" s="201"/>
      <c r="CF111" s="201"/>
      <c r="CG111" s="201"/>
      <c r="CH111" s="201"/>
      <c r="CI111" s="201"/>
      <c r="CJ111" s="201"/>
      <c r="CK111" s="201"/>
      <c r="CL111" s="201"/>
      <c r="CM111" s="201"/>
      <c r="CN111" s="201"/>
      <c r="CO111" s="201"/>
      <c r="CP111" s="201"/>
      <c r="CQ111" s="201"/>
      <c r="CR111" s="201"/>
      <c r="CS111" s="201"/>
      <c r="CT111" s="201"/>
      <c r="CU111" s="201"/>
      <c r="CV111" s="201"/>
      <c r="CW111" s="201"/>
      <c r="CX111" s="201"/>
      <c r="CY111" s="201"/>
      <c r="CZ111" s="201"/>
      <c r="DA111" s="201"/>
      <c r="DB111" s="201"/>
      <c r="DC111" s="201"/>
      <c r="DD111" s="201"/>
      <c r="DE111" s="201"/>
      <c r="DF111" s="201"/>
      <c r="DG111" s="201"/>
      <c r="DH111" s="201"/>
      <c r="DI111" s="201"/>
      <c r="DJ111" s="201"/>
      <c r="DK111" s="201"/>
      <c r="DL111" s="201"/>
      <c r="DM111" s="201"/>
      <c r="DN111" s="201"/>
      <c r="DO111" s="201"/>
      <c r="DP111" s="201"/>
      <c r="DQ111" s="201"/>
      <c r="DR111" s="201"/>
      <c r="DS111" s="201"/>
      <c r="DT111" s="201"/>
      <c r="DU111" s="201"/>
      <c r="DV111" s="201"/>
      <c r="DW111" s="201"/>
      <c r="DX111" s="201"/>
      <c r="DY111" s="201"/>
      <c r="DZ111" s="201"/>
      <c r="EA111" s="201"/>
      <c r="EB111" s="201"/>
      <c r="EC111" s="201"/>
      <c r="ED111" s="201"/>
      <c r="EE111" s="201"/>
      <c r="EF111" s="201"/>
      <c r="EG111" s="201"/>
      <c r="EH111" s="201"/>
      <c r="EI111" s="201"/>
      <c r="EJ111" s="201"/>
      <c r="EK111" s="201"/>
      <c r="EL111" s="201"/>
      <c r="EM111" s="201"/>
      <c r="EN111" s="201"/>
      <c r="EO111" s="201"/>
      <c r="EP111" s="201"/>
      <c r="EQ111" s="201"/>
      <c r="ER111" s="9"/>
      <c r="ES111" s="201"/>
      <c r="ET111" s="9"/>
      <c r="EU111" s="9"/>
      <c r="EV111" s="9"/>
      <c r="EW111" s="9"/>
      <c r="EX111" s="9"/>
      <c r="EY111" s="9"/>
      <c r="EZ111" s="201"/>
      <c r="FA111" s="213"/>
      <c r="FB111" s="213"/>
      <c r="FC111" s="213"/>
      <c r="FD111" s="213"/>
      <c r="FE111" s="214"/>
      <c r="FF111" s="201"/>
      <c r="FG111" s="201"/>
      <c r="FH111" s="201"/>
      <c r="FI111" s="215"/>
      <c r="FJ111" s="215"/>
      <c r="FK111" s="201"/>
      <c r="FL111" s="201"/>
      <c r="FM111" s="201"/>
      <c r="FN111" s="201"/>
      <c r="FO111" s="9"/>
      <c r="FP111" s="201"/>
      <c r="FQ111" s="201"/>
      <c r="FR111" s="201"/>
      <c r="FS111" s="9"/>
      <c r="FT111" s="9"/>
      <c r="FU111" s="9"/>
      <c r="FV111" s="9"/>
      <c r="FW111" s="201"/>
      <c r="FX111" s="201"/>
      <c r="FY111" s="201"/>
      <c r="FZ111" s="201"/>
      <c r="GA111" s="201"/>
      <c r="GB111" s="9"/>
      <c r="GC111" s="9"/>
      <c r="GD111" s="9"/>
      <c r="GE111" s="9"/>
      <c r="GF111" s="9"/>
      <c r="GG111" s="9"/>
      <c r="GH111" s="9"/>
      <c r="GI111" s="9"/>
      <c r="GJ111" s="9"/>
      <c r="GK111" s="9"/>
      <c r="GL111" s="9"/>
      <c r="GM111" s="9"/>
      <c r="GN111" s="9"/>
      <c r="GO111" s="9"/>
      <c r="GP111" s="9"/>
      <c r="GQ111" s="9"/>
      <c r="GR111" s="9"/>
      <c r="GS111" s="9"/>
      <c r="GT111" s="9"/>
      <c r="GU111" s="9"/>
      <c r="GV111" s="9"/>
      <c r="GW111" s="9"/>
      <c r="GX111" s="9"/>
      <c r="GY111" s="9"/>
      <c r="GZ111" s="9"/>
    </row>
    <row r="112" ht="13.2" spans="1:208">
      <c r="A112" s="172">
        <v>45903</v>
      </c>
      <c r="B112" s="20" t="s">
        <v>377</v>
      </c>
      <c r="C112" s="173"/>
      <c r="D112" s="20"/>
      <c r="E112" s="207"/>
      <c r="F112" s="20"/>
      <c r="G112" s="176"/>
      <c r="H112" s="175"/>
      <c r="I112" s="176"/>
      <c r="J112" s="178"/>
      <c r="K112" s="174"/>
      <c r="L112" s="174"/>
      <c r="M112" s="20"/>
      <c r="N112" s="176"/>
      <c r="O112" s="179"/>
      <c r="P112" s="179"/>
      <c r="Q112" s="174"/>
      <c r="R112" s="20"/>
      <c r="S112" s="20"/>
      <c r="T112" s="20"/>
      <c r="U112" s="176"/>
      <c r="V112" s="20"/>
      <c r="W112" s="178"/>
      <c r="X112" s="20"/>
      <c r="Y112" s="20"/>
      <c r="Z112" s="20"/>
      <c r="AA112" s="20"/>
      <c r="AB112" s="20"/>
      <c r="AC112" s="20"/>
      <c r="AD112" s="20"/>
      <c r="AE112" s="20"/>
      <c r="AF112" s="20"/>
      <c r="AG112" s="20"/>
      <c r="AH112" s="20"/>
      <c r="AI112" s="20"/>
      <c r="AJ112" s="20"/>
      <c r="AK112" s="20"/>
      <c r="AL112" s="20"/>
      <c r="AM112" s="180"/>
      <c r="AN112" s="173"/>
      <c r="AO112" s="20"/>
      <c r="AP112" s="20"/>
      <c r="AQ112" s="20"/>
      <c r="AR112" s="20"/>
      <c r="AS112" s="181"/>
      <c r="AT112" s="20"/>
      <c r="AU112" s="182"/>
      <c r="AV112" s="20"/>
      <c r="AW112" s="183"/>
      <c r="AX112" s="184"/>
      <c r="AY112" s="176"/>
      <c r="AZ112" s="182"/>
      <c r="BA112" s="183"/>
      <c r="BB112" s="176"/>
      <c r="BC112" s="179"/>
      <c r="BD112" s="179"/>
      <c r="BE112" s="182"/>
      <c r="BF112" s="186"/>
      <c r="BG112" s="186"/>
      <c r="BH112" s="187"/>
      <c r="BI112" s="182"/>
      <c r="BJ112" s="179"/>
      <c r="BK112" s="179"/>
      <c r="BL112" s="208"/>
      <c r="BM112" s="209"/>
      <c r="BN112" s="15"/>
      <c r="BO112" s="15"/>
      <c r="BP112" s="210"/>
      <c r="BQ112" s="182"/>
      <c r="BR112" s="182"/>
      <c r="BS112" s="182"/>
      <c r="BT112" s="20"/>
      <c r="BU112" s="20"/>
      <c r="BV112" s="20"/>
      <c r="BW112" s="185"/>
      <c r="BX112" s="182"/>
      <c r="BY112" s="182"/>
      <c r="BZ112" s="182"/>
      <c r="CA112" s="182"/>
      <c r="CB112" s="9"/>
      <c r="CC112" s="8"/>
      <c r="CD112" s="213"/>
      <c r="CE112" s="201"/>
      <c r="CF112" s="201"/>
      <c r="CG112" s="201"/>
      <c r="CH112" s="201"/>
      <c r="CI112" s="201"/>
      <c r="CJ112" s="201"/>
      <c r="CK112" s="201"/>
      <c r="CL112" s="201"/>
      <c r="CM112" s="201"/>
      <c r="CN112" s="201"/>
      <c r="CO112" s="201"/>
      <c r="CP112" s="201"/>
      <c r="CQ112" s="201"/>
      <c r="CR112" s="201"/>
      <c r="CS112" s="201"/>
      <c r="CT112" s="201"/>
      <c r="CU112" s="201"/>
      <c r="CV112" s="201"/>
      <c r="CW112" s="201"/>
      <c r="CX112" s="201"/>
      <c r="CY112" s="201"/>
      <c r="CZ112" s="201"/>
      <c r="DA112" s="201"/>
      <c r="DB112" s="201"/>
      <c r="DC112" s="201"/>
      <c r="DD112" s="201"/>
      <c r="DE112" s="201"/>
      <c r="DF112" s="201"/>
      <c r="DG112" s="201"/>
      <c r="DH112" s="201"/>
      <c r="DI112" s="201"/>
      <c r="DJ112" s="201"/>
      <c r="DK112" s="201"/>
      <c r="DL112" s="201"/>
      <c r="DM112" s="201"/>
      <c r="DN112" s="201"/>
      <c r="DO112" s="201"/>
      <c r="DP112" s="201"/>
      <c r="DQ112" s="201"/>
      <c r="DR112" s="201"/>
      <c r="DS112" s="201"/>
      <c r="DT112" s="201"/>
      <c r="DU112" s="201"/>
      <c r="DV112" s="201"/>
      <c r="DW112" s="201"/>
      <c r="DX112" s="201"/>
      <c r="DY112" s="201"/>
      <c r="DZ112" s="201"/>
      <c r="EA112" s="201"/>
      <c r="EB112" s="201"/>
      <c r="EC112" s="201"/>
      <c r="ED112" s="201"/>
      <c r="EE112" s="201"/>
      <c r="EF112" s="201"/>
      <c r="EG112" s="201"/>
      <c r="EH112" s="201"/>
      <c r="EI112" s="201"/>
      <c r="EJ112" s="201"/>
      <c r="EK112" s="201"/>
      <c r="EL112" s="201"/>
      <c r="EM112" s="201"/>
      <c r="EN112" s="201"/>
      <c r="EO112" s="201"/>
      <c r="EP112" s="201"/>
      <c r="EQ112" s="201"/>
      <c r="ER112" s="9"/>
      <c r="ES112" s="201"/>
      <c r="ET112" s="9"/>
      <c r="EU112" s="9"/>
      <c r="EV112" s="9"/>
      <c r="EW112" s="9"/>
      <c r="EX112" s="9"/>
      <c r="EY112" s="9"/>
      <c r="EZ112" s="201"/>
      <c r="FA112" s="213"/>
      <c r="FB112" s="213"/>
      <c r="FC112" s="213"/>
      <c r="FD112" s="213"/>
      <c r="FE112" s="214"/>
      <c r="FF112" s="201"/>
      <c r="FG112" s="201"/>
      <c r="FH112" s="201"/>
      <c r="FI112" s="215"/>
      <c r="FJ112" s="215"/>
      <c r="FK112" s="201"/>
      <c r="FL112" s="201"/>
      <c r="FM112" s="201"/>
      <c r="FN112" s="201"/>
      <c r="FO112" s="9"/>
      <c r="FP112" s="201"/>
      <c r="FQ112" s="201"/>
      <c r="FR112" s="201"/>
      <c r="FS112" s="9"/>
      <c r="FT112" s="9"/>
      <c r="FU112" s="9"/>
      <c r="FV112" s="9"/>
      <c r="FW112" s="201"/>
      <c r="FX112" s="201"/>
      <c r="FY112" s="201"/>
      <c r="FZ112" s="201"/>
      <c r="GA112" s="201"/>
      <c r="GB112" s="9"/>
      <c r="GC112" s="9"/>
      <c r="GD112" s="9"/>
      <c r="GE112" s="9"/>
      <c r="GF112" s="9"/>
      <c r="GG112" s="9"/>
      <c r="GH112" s="9"/>
      <c r="GI112" s="9"/>
      <c r="GJ112" s="9"/>
      <c r="GK112" s="9"/>
      <c r="GL112" s="9"/>
      <c r="GM112" s="9"/>
      <c r="GN112" s="9"/>
      <c r="GO112" s="9"/>
      <c r="GP112" s="9"/>
      <c r="GQ112" s="9"/>
      <c r="GR112" s="9"/>
      <c r="GS112" s="9"/>
      <c r="GT112" s="9"/>
      <c r="GU112" s="9"/>
      <c r="GV112" s="9"/>
      <c r="GW112" s="9"/>
      <c r="GX112" s="9"/>
      <c r="GY112" s="9"/>
      <c r="GZ112" s="9"/>
    </row>
    <row r="113" ht="13.2" spans="1:208">
      <c r="A113" s="172">
        <v>45904</v>
      </c>
      <c r="B113" s="20" t="s">
        <v>379</v>
      </c>
      <c r="C113" s="18"/>
      <c r="D113" s="20"/>
      <c r="E113" s="207"/>
      <c r="F113" s="20"/>
      <c r="G113" s="176"/>
      <c r="H113" s="175"/>
      <c r="I113" s="176"/>
      <c r="J113" s="178"/>
      <c r="K113" s="174"/>
      <c r="L113" s="174"/>
      <c r="M113" s="20"/>
      <c r="N113" s="176"/>
      <c r="O113" s="179"/>
      <c r="P113" s="179"/>
      <c r="Q113" s="174"/>
      <c r="R113" s="20"/>
      <c r="S113" s="20"/>
      <c r="T113" s="20"/>
      <c r="U113" s="176"/>
      <c r="V113" s="20"/>
      <c r="W113" s="178"/>
      <c r="X113" s="20"/>
      <c r="Y113" s="20"/>
      <c r="Z113" s="20"/>
      <c r="AA113" s="20"/>
      <c r="AB113" s="20"/>
      <c r="AC113" s="20"/>
      <c r="AD113" s="20"/>
      <c r="AE113" s="20"/>
      <c r="AF113" s="20"/>
      <c r="AG113" s="20"/>
      <c r="AH113" s="20"/>
      <c r="AI113" s="20"/>
      <c r="AJ113" s="20"/>
      <c r="AK113" s="20"/>
      <c r="AL113" s="20"/>
      <c r="AM113" s="180"/>
      <c r="AN113" s="173"/>
      <c r="AO113" s="20"/>
      <c r="AP113" s="20"/>
      <c r="AQ113" s="20"/>
      <c r="AR113" s="20"/>
      <c r="AS113" s="181"/>
      <c r="AT113" s="20"/>
      <c r="AU113" s="182"/>
      <c r="AV113" s="20"/>
      <c r="AW113" s="183"/>
      <c r="AX113" s="184"/>
      <c r="AY113" s="176"/>
      <c r="AZ113" s="182"/>
      <c r="BA113" s="183"/>
      <c r="BB113" s="176"/>
      <c r="BC113" s="179"/>
      <c r="BD113" s="179"/>
      <c r="BE113" s="182"/>
      <c r="BF113" s="186"/>
      <c r="BG113" s="186"/>
      <c r="BH113" s="187"/>
      <c r="BI113" s="182"/>
      <c r="BJ113" s="179"/>
      <c r="BK113" s="179"/>
      <c r="BL113" s="208"/>
      <c r="BM113" s="209"/>
      <c r="BN113" s="15"/>
      <c r="BO113" s="15"/>
      <c r="BP113" s="210"/>
      <c r="BQ113" s="182"/>
      <c r="BR113" s="182"/>
      <c r="BS113" s="182"/>
      <c r="BT113" s="20"/>
      <c r="BU113" s="20"/>
      <c r="BV113" s="20"/>
      <c r="BW113" s="185"/>
      <c r="BX113" s="182"/>
      <c r="BY113" s="182"/>
      <c r="BZ113" s="182"/>
      <c r="CA113" s="182"/>
      <c r="CB113" s="9"/>
      <c r="CC113" s="8"/>
      <c r="CD113" s="213"/>
      <c r="CE113" s="201"/>
      <c r="CF113" s="201"/>
      <c r="CG113" s="201"/>
      <c r="CH113" s="201"/>
      <c r="CI113" s="201"/>
      <c r="CJ113" s="201"/>
      <c r="CK113" s="201"/>
      <c r="CL113" s="201"/>
      <c r="CM113" s="201"/>
      <c r="CN113" s="201"/>
      <c r="CO113" s="201"/>
      <c r="CP113" s="201"/>
      <c r="CQ113" s="201"/>
      <c r="CR113" s="201"/>
      <c r="CS113" s="201"/>
      <c r="CT113" s="201"/>
      <c r="CU113" s="201"/>
      <c r="CV113" s="201"/>
      <c r="CW113" s="201"/>
      <c r="CX113" s="201"/>
      <c r="CY113" s="201"/>
      <c r="CZ113" s="201"/>
      <c r="DA113" s="201"/>
      <c r="DB113" s="201"/>
      <c r="DC113" s="201"/>
      <c r="DD113" s="201"/>
      <c r="DE113" s="201"/>
      <c r="DF113" s="201"/>
      <c r="DG113" s="201"/>
      <c r="DH113" s="201"/>
      <c r="DI113" s="201"/>
      <c r="DJ113" s="201"/>
      <c r="DK113" s="201"/>
      <c r="DL113" s="201"/>
      <c r="DM113" s="201"/>
      <c r="DN113" s="201"/>
      <c r="DO113" s="201"/>
      <c r="DP113" s="201"/>
      <c r="DQ113" s="201"/>
      <c r="DR113" s="201"/>
      <c r="DS113" s="201"/>
      <c r="DT113" s="201"/>
      <c r="DU113" s="201"/>
      <c r="DV113" s="201"/>
      <c r="DW113" s="201"/>
      <c r="DX113" s="201"/>
      <c r="DY113" s="201"/>
      <c r="DZ113" s="201"/>
      <c r="EA113" s="201"/>
      <c r="EB113" s="201"/>
      <c r="EC113" s="201"/>
      <c r="ED113" s="201"/>
      <c r="EE113" s="201"/>
      <c r="EF113" s="201"/>
      <c r="EG113" s="201"/>
      <c r="EH113" s="201"/>
      <c r="EI113" s="201"/>
      <c r="EJ113" s="201"/>
      <c r="EK113" s="201"/>
      <c r="EL113" s="201"/>
      <c r="EM113" s="201"/>
      <c r="EN113" s="201"/>
      <c r="EO113" s="201"/>
      <c r="EP113" s="201"/>
      <c r="EQ113" s="201"/>
      <c r="ER113" s="9"/>
      <c r="ES113" s="201"/>
      <c r="ET113" s="9"/>
      <c r="EU113" s="9"/>
      <c r="EV113" s="9"/>
      <c r="EW113" s="9"/>
      <c r="EX113" s="9"/>
      <c r="EY113" s="9"/>
      <c r="EZ113" s="201"/>
      <c r="FA113" s="213"/>
      <c r="FB113" s="213"/>
      <c r="FC113" s="213"/>
      <c r="FD113" s="213"/>
      <c r="FE113" s="214"/>
      <c r="FF113" s="201"/>
      <c r="FG113" s="201"/>
      <c r="FH113" s="201"/>
      <c r="FI113" s="215"/>
      <c r="FJ113" s="215"/>
      <c r="FK113" s="201"/>
      <c r="FL113" s="201"/>
      <c r="FM113" s="201"/>
      <c r="FN113" s="201"/>
      <c r="FO113" s="9"/>
      <c r="FP113" s="201"/>
      <c r="FQ113" s="201"/>
      <c r="FR113" s="201"/>
      <c r="FS113" s="9"/>
      <c r="FT113" s="9"/>
      <c r="FU113" s="9"/>
      <c r="FV113" s="9"/>
      <c r="FW113" s="201"/>
      <c r="FX113" s="201"/>
      <c r="FY113" s="201"/>
      <c r="FZ113" s="201"/>
      <c r="GA113" s="201"/>
      <c r="GB113" s="9"/>
      <c r="GC113" s="9"/>
      <c r="GD113" s="9"/>
      <c r="GE113" s="9"/>
      <c r="GF113" s="9"/>
      <c r="GG113" s="9"/>
      <c r="GH113" s="9"/>
      <c r="GI113" s="9"/>
      <c r="GJ113" s="9"/>
      <c r="GK113" s="9"/>
      <c r="GL113" s="9"/>
      <c r="GM113" s="9"/>
      <c r="GN113" s="9"/>
      <c r="GO113" s="9"/>
      <c r="GP113" s="9"/>
      <c r="GQ113" s="9"/>
      <c r="GR113" s="9"/>
      <c r="GS113" s="9"/>
      <c r="GT113" s="9"/>
      <c r="GU113" s="9"/>
      <c r="GV113" s="9"/>
      <c r="GW113" s="9"/>
      <c r="GX113" s="9"/>
      <c r="GY113" s="9"/>
      <c r="GZ113" s="9"/>
    </row>
    <row r="114" ht="13.2" spans="1:208">
      <c r="A114" s="172">
        <v>45905</v>
      </c>
      <c r="B114" s="20" t="s">
        <v>381</v>
      </c>
      <c r="C114" s="18"/>
      <c r="D114" s="20"/>
      <c r="E114" s="207"/>
      <c r="F114" s="20"/>
      <c r="G114" s="176"/>
      <c r="H114" s="175"/>
      <c r="I114" s="176"/>
      <c r="J114" s="178"/>
      <c r="K114" s="174"/>
      <c r="L114" s="174"/>
      <c r="M114" s="20"/>
      <c r="N114" s="176"/>
      <c r="O114" s="179"/>
      <c r="P114" s="179"/>
      <c r="Q114" s="174"/>
      <c r="R114" s="20"/>
      <c r="S114" s="20"/>
      <c r="T114" s="20"/>
      <c r="U114" s="176"/>
      <c r="V114" s="20"/>
      <c r="W114" s="178"/>
      <c r="X114" s="20"/>
      <c r="Y114" s="20"/>
      <c r="Z114" s="20"/>
      <c r="AA114" s="20"/>
      <c r="AB114" s="20"/>
      <c r="AC114" s="20"/>
      <c r="AD114" s="20"/>
      <c r="AE114" s="20"/>
      <c r="AF114" s="20"/>
      <c r="AG114" s="20"/>
      <c r="AH114" s="20"/>
      <c r="AI114" s="20"/>
      <c r="AJ114" s="20"/>
      <c r="AK114" s="20"/>
      <c r="AL114" s="20"/>
      <c r="AM114" s="180"/>
      <c r="AN114" s="173"/>
      <c r="AO114" s="20"/>
      <c r="AP114" s="20"/>
      <c r="AQ114" s="20"/>
      <c r="AR114" s="20"/>
      <c r="AS114" s="181"/>
      <c r="AT114" s="20"/>
      <c r="AU114" s="182"/>
      <c r="AV114" s="20"/>
      <c r="AW114" s="183"/>
      <c r="AX114" s="184"/>
      <c r="AY114" s="176"/>
      <c r="AZ114" s="182"/>
      <c r="BA114" s="183"/>
      <c r="BB114" s="176"/>
      <c r="BC114" s="179"/>
      <c r="BD114" s="179"/>
      <c r="BE114" s="182"/>
      <c r="BF114" s="186"/>
      <c r="BG114" s="186"/>
      <c r="BH114" s="187"/>
      <c r="BI114" s="182"/>
      <c r="BJ114" s="179"/>
      <c r="BK114" s="179"/>
      <c r="BL114" s="208"/>
      <c r="BM114" s="209"/>
      <c r="BN114" s="15"/>
      <c r="BO114" s="15"/>
      <c r="BP114" s="210"/>
      <c r="BQ114" s="182"/>
      <c r="BR114" s="182"/>
      <c r="BS114" s="182"/>
      <c r="BT114" s="20"/>
      <c r="BU114" s="20"/>
      <c r="BV114" s="20"/>
      <c r="BW114" s="185"/>
      <c r="BX114" s="182"/>
      <c r="BY114" s="182"/>
      <c r="BZ114" s="182"/>
      <c r="CA114" s="182"/>
      <c r="CB114" s="9"/>
      <c r="CC114" s="8"/>
      <c r="CD114" s="213"/>
      <c r="CE114" s="201"/>
      <c r="CF114" s="201"/>
      <c r="CG114" s="201"/>
      <c r="CH114" s="201"/>
      <c r="CI114" s="201"/>
      <c r="CJ114" s="201"/>
      <c r="CK114" s="201"/>
      <c r="CL114" s="201"/>
      <c r="CM114" s="201"/>
      <c r="CN114" s="201"/>
      <c r="CO114" s="201"/>
      <c r="CP114" s="201"/>
      <c r="CQ114" s="201"/>
      <c r="CR114" s="201"/>
      <c r="CS114" s="201"/>
      <c r="CT114" s="201"/>
      <c r="CU114" s="201"/>
      <c r="CV114" s="201"/>
      <c r="CW114" s="201"/>
      <c r="CX114" s="201"/>
      <c r="CY114" s="201"/>
      <c r="CZ114" s="201"/>
      <c r="DA114" s="201"/>
      <c r="DB114" s="201"/>
      <c r="DC114" s="201"/>
      <c r="DD114" s="201"/>
      <c r="DE114" s="201"/>
      <c r="DF114" s="201"/>
      <c r="DG114" s="201"/>
      <c r="DH114" s="201"/>
      <c r="DI114" s="201"/>
      <c r="DJ114" s="201"/>
      <c r="DK114" s="201"/>
      <c r="DL114" s="201"/>
      <c r="DM114" s="201"/>
      <c r="DN114" s="201"/>
      <c r="DO114" s="201"/>
      <c r="DP114" s="201"/>
      <c r="DQ114" s="201"/>
      <c r="DR114" s="201"/>
      <c r="DS114" s="201"/>
      <c r="DT114" s="201"/>
      <c r="DU114" s="201"/>
      <c r="DV114" s="201"/>
      <c r="DW114" s="201"/>
      <c r="DX114" s="201"/>
      <c r="DY114" s="201"/>
      <c r="DZ114" s="201"/>
      <c r="EA114" s="201"/>
      <c r="EB114" s="201"/>
      <c r="EC114" s="201"/>
      <c r="ED114" s="201"/>
      <c r="EE114" s="201"/>
      <c r="EF114" s="201"/>
      <c r="EG114" s="201"/>
      <c r="EH114" s="201"/>
      <c r="EI114" s="201"/>
      <c r="EJ114" s="201"/>
      <c r="EK114" s="201"/>
      <c r="EL114" s="201"/>
      <c r="EM114" s="201"/>
      <c r="EN114" s="201"/>
      <c r="EO114" s="201"/>
      <c r="EP114" s="201"/>
      <c r="EQ114" s="201"/>
      <c r="ER114" s="9"/>
      <c r="ES114" s="201"/>
      <c r="ET114" s="9"/>
      <c r="EU114" s="9"/>
      <c r="EV114" s="9"/>
      <c r="EW114" s="9"/>
      <c r="EX114" s="9"/>
      <c r="EY114" s="9"/>
      <c r="EZ114" s="201"/>
      <c r="FA114" s="213"/>
      <c r="FB114" s="213"/>
      <c r="FC114" s="213"/>
      <c r="FD114" s="213"/>
      <c r="FE114" s="214"/>
      <c r="FF114" s="201"/>
      <c r="FG114" s="201"/>
      <c r="FH114" s="201"/>
      <c r="FI114" s="215"/>
      <c r="FJ114" s="215"/>
      <c r="FK114" s="201"/>
      <c r="FL114" s="201"/>
      <c r="FM114" s="201"/>
      <c r="FN114" s="201"/>
      <c r="FO114" s="9"/>
      <c r="FP114" s="201"/>
      <c r="FQ114" s="201"/>
      <c r="FR114" s="201"/>
      <c r="FS114" s="9"/>
      <c r="FT114" s="9"/>
      <c r="FU114" s="9"/>
      <c r="FV114" s="9"/>
      <c r="FW114" s="201"/>
      <c r="FX114" s="201"/>
      <c r="FY114" s="201"/>
      <c r="FZ114" s="201"/>
      <c r="GA114" s="201"/>
      <c r="GB114" s="9"/>
      <c r="GC114" s="9"/>
      <c r="GD114" s="9"/>
      <c r="GE114" s="9"/>
      <c r="GF114" s="9"/>
      <c r="GG114" s="9"/>
      <c r="GH114" s="9"/>
      <c r="GI114" s="9"/>
      <c r="GJ114" s="9"/>
      <c r="GK114" s="9"/>
      <c r="GL114" s="9"/>
      <c r="GM114" s="9"/>
      <c r="GN114" s="9"/>
      <c r="GO114" s="9"/>
      <c r="GP114" s="9"/>
      <c r="GQ114" s="9"/>
      <c r="GR114" s="9"/>
      <c r="GS114" s="9"/>
      <c r="GT114" s="9"/>
      <c r="GU114" s="9"/>
      <c r="GV114" s="9"/>
      <c r="GW114" s="9"/>
      <c r="GX114" s="9"/>
      <c r="GY114" s="9"/>
      <c r="GZ114" s="9"/>
    </row>
    <row r="115" ht="13.2" spans="1:208">
      <c r="A115" s="172">
        <v>45906</v>
      </c>
      <c r="B115" s="20" t="s">
        <v>369</v>
      </c>
      <c r="C115" s="173"/>
      <c r="D115" s="20"/>
      <c r="E115" s="207"/>
      <c r="F115" s="20"/>
      <c r="G115" s="176"/>
      <c r="H115" s="175"/>
      <c r="I115" s="176"/>
      <c r="J115" s="178"/>
      <c r="K115" s="174"/>
      <c r="L115" s="174"/>
      <c r="M115" s="20"/>
      <c r="N115" s="176"/>
      <c r="O115" s="179"/>
      <c r="P115" s="179"/>
      <c r="Q115" s="174"/>
      <c r="R115" s="20"/>
      <c r="S115" s="20"/>
      <c r="T115" s="20"/>
      <c r="U115" s="176"/>
      <c r="V115" s="20"/>
      <c r="W115" s="178"/>
      <c r="X115" s="20"/>
      <c r="Y115" s="20"/>
      <c r="Z115" s="20"/>
      <c r="AA115" s="20"/>
      <c r="AB115" s="20"/>
      <c r="AC115" s="20"/>
      <c r="AD115" s="20"/>
      <c r="AE115" s="20"/>
      <c r="AF115" s="20"/>
      <c r="AG115" s="20"/>
      <c r="AH115" s="20"/>
      <c r="AI115" s="20"/>
      <c r="AJ115" s="20"/>
      <c r="AK115" s="20"/>
      <c r="AL115" s="20"/>
      <c r="AM115" s="180"/>
      <c r="AN115" s="173"/>
      <c r="AO115" s="20"/>
      <c r="AP115" s="20"/>
      <c r="AQ115" s="20"/>
      <c r="AR115" s="20"/>
      <c r="AS115" s="181"/>
      <c r="AT115" s="20"/>
      <c r="AU115" s="182"/>
      <c r="AV115" s="20"/>
      <c r="AW115" s="183"/>
      <c r="AX115" s="184"/>
      <c r="AY115" s="176"/>
      <c r="AZ115" s="182"/>
      <c r="BA115" s="183"/>
      <c r="BB115" s="176"/>
      <c r="BC115" s="179"/>
      <c r="BD115" s="179"/>
      <c r="BE115" s="182"/>
      <c r="BF115" s="186"/>
      <c r="BG115" s="186"/>
      <c r="BH115" s="187"/>
      <c r="BI115" s="182"/>
      <c r="BJ115" s="179"/>
      <c r="BK115" s="179"/>
      <c r="BL115" s="208"/>
      <c r="BM115" s="209"/>
      <c r="BN115" s="15"/>
      <c r="BO115" s="15"/>
      <c r="BP115" s="210"/>
      <c r="BQ115" s="182"/>
      <c r="BR115" s="182"/>
      <c r="BS115" s="182"/>
      <c r="BT115" s="20"/>
      <c r="BU115" s="20"/>
      <c r="BV115" s="20"/>
      <c r="BW115" s="185"/>
      <c r="BX115" s="182"/>
      <c r="BY115" s="182"/>
      <c r="BZ115" s="182"/>
      <c r="CA115" s="182"/>
      <c r="CB115" s="9"/>
      <c r="CC115" s="8"/>
      <c r="CD115" s="213"/>
      <c r="CE115" s="201"/>
      <c r="CF115" s="201"/>
      <c r="CG115" s="201"/>
      <c r="CH115" s="201"/>
      <c r="CI115" s="201"/>
      <c r="CJ115" s="201"/>
      <c r="CK115" s="201"/>
      <c r="CL115" s="201"/>
      <c r="CM115" s="201"/>
      <c r="CN115" s="201"/>
      <c r="CO115" s="201"/>
      <c r="CP115" s="201"/>
      <c r="CQ115" s="201"/>
      <c r="CR115" s="201"/>
      <c r="CS115" s="201"/>
      <c r="CT115" s="201"/>
      <c r="CU115" s="201"/>
      <c r="CV115" s="201"/>
      <c r="CW115" s="201"/>
      <c r="CX115" s="201"/>
      <c r="CY115" s="201"/>
      <c r="CZ115" s="201"/>
      <c r="DA115" s="201"/>
      <c r="DB115" s="201"/>
      <c r="DC115" s="201"/>
      <c r="DD115" s="201"/>
      <c r="DE115" s="201"/>
      <c r="DF115" s="201"/>
      <c r="DG115" s="201"/>
      <c r="DH115" s="201"/>
      <c r="DI115" s="201"/>
      <c r="DJ115" s="201"/>
      <c r="DK115" s="201"/>
      <c r="DL115" s="201"/>
      <c r="DM115" s="201"/>
      <c r="DN115" s="201"/>
      <c r="DO115" s="201"/>
      <c r="DP115" s="201"/>
      <c r="DQ115" s="201"/>
      <c r="DR115" s="201"/>
      <c r="DS115" s="201"/>
      <c r="DT115" s="201"/>
      <c r="DU115" s="201"/>
      <c r="DV115" s="201"/>
      <c r="DW115" s="201"/>
      <c r="DX115" s="201"/>
      <c r="DY115" s="201"/>
      <c r="DZ115" s="201"/>
      <c r="EA115" s="201"/>
      <c r="EB115" s="201"/>
      <c r="EC115" s="201"/>
      <c r="ED115" s="201"/>
      <c r="EE115" s="201"/>
      <c r="EF115" s="201"/>
      <c r="EG115" s="201"/>
      <c r="EH115" s="201"/>
      <c r="EI115" s="201"/>
      <c r="EJ115" s="201"/>
      <c r="EK115" s="201"/>
      <c r="EL115" s="201"/>
      <c r="EM115" s="201"/>
      <c r="EN115" s="201"/>
      <c r="EO115" s="201"/>
      <c r="EP115" s="201"/>
      <c r="EQ115" s="201"/>
      <c r="ER115" s="9"/>
      <c r="ES115" s="201"/>
      <c r="ET115" s="9"/>
      <c r="EU115" s="9"/>
      <c r="EV115" s="9"/>
      <c r="EW115" s="9"/>
      <c r="EX115" s="9"/>
      <c r="EY115" s="9"/>
      <c r="EZ115" s="201"/>
      <c r="FA115" s="213"/>
      <c r="FB115" s="213"/>
      <c r="FC115" s="213"/>
      <c r="FD115" s="213"/>
      <c r="FE115" s="214"/>
      <c r="FF115" s="201"/>
      <c r="FG115" s="201"/>
      <c r="FH115" s="201"/>
      <c r="FI115" s="215"/>
      <c r="FJ115" s="215"/>
      <c r="FK115" s="201"/>
      <c r="FL115" s="201"/>
      <c r="FM115" s="201"/>
      <c r="FN115" s="201"/>
      <c r="FO115" s="9"/>
      <c r="FP115" s="201"/>
      <c r="FQ115" s="201"/>
      <c r="FR115" s="201"/>
      <c r="FS115" s="9"/>
      <c r="FT115" s="9"/>
      <c r="FU115" s="9"/>
      <c r="FV115" s="9"/>
      <c r="FW115" s="201"/>
      <c r="FX115" s="201"/>
      <c r="FY115" s="201"/>
      <c r="FZ115" s="201"/>
      <c r="GA115" s="201"/>
      <c r="GB115" s="9"/>
      <c r="GC115" s="9"/>
      <c r="GD115" s="9"/>
      <c r="GE115" s="9"/>
      <c r="GF115" s="9"/>
      <c r="GG115" s="9"/>
      <c r="GH115" s="9"/>
      <c r="GI115" s="9"/>
      <c r="GJ115" s="9"/>
      <c r="GK115" s="9"/>
      <c r="GL115" s="9"/>
      <c r="GM115" s="9"/>
      <c r="GN115" s="9"/>
      <c r="GO115" s="9"/>
      <c r="GP115" s="9"/>
      <c r="GQ115" s="9"/>
      <c r="GR115" s="9"/>
      <c r="GS115" s="9"/>
      <c r="GT115" s="9"/>
      <c r="GU115" s="9"/>
      <c r="GV115" s="9"/>
      <c r="GW115" s="9"/>
      <c r="GX115" s="9"/>
      <c r="GY115" s="9"/>
      <c r="GZ115" s="9"/>
    </row>
    <row r="116" ht="13.2" spans="1:208">
      <c r="A116" s="172">
        <v>45907</v>
      </c>
      <c r="B116" s="20" t="s">
        <v>371</v>
      </c>
      <c r="C116" s="173"/>
      <c r="D116" s="20"/>
      <c r="E116" s="207"/>
      <c r="F116" s="20"/>
      <c r="G116" s="176"/>
      <c r="H116" s="175"/>
      <c r="I116" s="176"/>
      <c r="J116" s="178"/>
      <c r="K116" s="174"/>
      <c r="L116" s="174"/>
      <c r="M116" s="20"/>
      <c r="N116" s="176"/>
      <c r="O116" s="179"/>
      <c r="P116" s="179"/>
      <c r="Q116" s="174"/>
      <c r="R116" s="20"/>
      <c r="S116" s="20"/>
      <c r="T116" s="20"/>
      <c r="U116" s="176"/>
      <c r="V116" s="20"/>
      <c r="W116" s="178"/>
      <c r="X116" s="20"/>
      <c r="Y116" s="20"/>
      <c r="Z116" s="20"/>
      <c r="AA116" s="20"/>
      <c r="AB116" s="20"/>
      <c r="AC116" s="20"/>
      <c r="AD116" s="20"/>
      <c r="AE116" s="20"/>
      <c r="AF116" s="20"/>
      <c r="AG116" s="20"/>
      <c r="AH116" s="20"/>
      <c r="AI116" s="20"/>
      <c r="AJ116" s="20"/>
      <c r="AK116" s="20"/>
      <c r="AL116" s="20"/>
      <c r="AM116" s="180"/>
      <c r="AN116" s="173"/>
      <c r="AO116" s="20"/>
      <c r="AP116" s="20"/>
      <c r="AQ116" s="20"/>
      <c r="AR116" s="20"/>
      <c r="AS116" s="181"/>
      <c r="AT116" s="20"/>
      <c r="AU116" s="182"/>
      <c r="AV116" s="20"/>
      <c r="AW116" s="183"/>
      <c r="AX116" s="184"/>
      <c r="AY116" s="176"/>
      <c r="AZ116" s="182"/>
      <c r="BA116" s="183"/>
      <c r="BB116" s="176"/>
      <c r="BC116" s="179"/>
      <c r="BD116" s="179"/>
      <c r="BE116" s="182"/>
      <c r="BF116" s="186"/>
      <c r="BG116" s="186"/>
      <c r="BH116" s="187"/>
      <c r="BI116" s="182"/>
      <c r="BJ116" s="179"/>
      <c r="BK116" s="179"/>
      <c r="BL116" s="208"/>
      <c r="BM116" s="209"/>
      <c r="BN116" s="15"/>
      <c r="BO116" s="15"/>
      <c r="BP116" s="210"/>
      <c r="BQ116" s="182"/>
      <c r="BR116" s="182"/>
      <c r="BS116" s="182"/>
      <c r="BT116" s="20"/>
      <c r="BU116" s="20"/>
      <c r="BV116" s="20"/>
      <c r="BW116" s="185"/>
      <c r="BX116" s="182"/>
      <c r="BY116" s="182"/>
      <c r="BZ116" s="182"/>
      <c r="CA116" s="182"/>
      <c r="CB116" s="9"/>
      <c r="CC116" s="8"/>
      <c r="CD116" s="213"/>
      <c r="CE116" s="201"/>
      <c r="CF116" s="201"/>
      <c r="CG116" s="201"/>
      <c r="CH116" s="201"/>
      <c r="CI116" s="201"/>
      <c r="CJ116" s="201"/>
      <c r="CK116" s="201"/>
      <c r="CL116" s="201"/>
      <c r="CM116" s="201"/>
      <c r="CN116" s="201"/>
      <c r="CO116" s="201"/>
      <c r="CP116" s="201"/>
      <c r="CQ116" s="201"/>
      <c r="CR116" s="201"/>
      <c r="CS116" s="201"/>
      <c r="CT116" s="201"/>
      <c r="CU116" s="201"/>
      <c r="CV116" s="201"/>
      <c r="CW116" s="201"/>
      <c r="CX116" s="201"/>
      <c r="CY116" s="201"/>
      <c r="CZ116" s="201"/>
      <c r="DA116" s="201"/>
      <c r="DB116" s="201"/>
      <c r="DC116" s="201"/>
      <c r="DD116" s="201"/>
      <c r="DE116" s="201"/>
      <c r="DF116" s="201"/>
      <c r="DG116" s="201"/>
      <c r="DH116" s="201"/>
      <c r="DI116" s="201"/>
      <c r="DJ116" s="201"/>
      <c r="DK116" s="201"/>
      <c r="DL116" s="201"/>
      <c r="DM116" s="201"/>
      <c r="DN116" s="201"/>
      <c r="DO116" s="201"/>
      <c r="DP116" s="201"/>
      <c r="DQ116" s="201"/>
      <c r="DR116" s="201"/>
      <c r="DS116" s="201"/>
      <c r="DT116" s="201"/>
      <c r="DU116" s="201"/>
      <c r="DV116" s="201"/>
      <c r="DW116" s="201"/>
      <c r="DX116" s="201"/>
      <c r="DY116" s="201"/>
      <c r="DZ116" s="201"/>
      <c r="EA116" s="201"/>
      <c r="EB116" s="201"/>
      <c r="EC116" s="201"/>
      <c r="ED116" s="201"/>
      <c r="EE116" s="201"/>
      <c r="EF116" s="201"/>
      <c r="EG116" s="201"/>
      <c r="EH116" s="201"/>
      <c r="EI116" s="201"/>
      <c r="EJ116" s="201"/>
      <c r="EK116" s="201"/>
      <c r="EL116" s="201"/>
      <c r="EM116" s="201"/>
      <c r="EN116" s="201"/>
      <c r="EO116" s="201"/>
      <c r="EP116" s="201"/>
      <c r="EQ116" s="201"/>
      <c r="ER116" s="9"/>
      <c r="ES116" s="201"/>
      <c r="ET116" s="9"/>
      <c r="EU116" s="9"/>
      <c r="EV116" s="9"/>
      <c r="EW116" s="9"/>
      <c r="EX116" s="9"/>
      <c r="EY116" s="9"/>
      <c r="EZ116" s="201"/>
      <c r="FA116" s="213"/>
      <c r="FB116" s="213"/>
      <c r="FC116" s="213"/>
      <c r="FD116" s="213"/>
      <c r="FE116" s="214"/>
      <c r="FF116" s="201"/>
      <c r="FG116" s="201"/>
      <c r="FH116" s="201"/>
      <c r="FI116" s="215"/>
      <c r="FJ116" s="215"/>
      <c r="FK116" s="201"/>
      <c r="FL116" s="201"/>
      <c r="FM116" s="201"/>
      <c r="FN116" s="201"/>
      <c r="FO116" s="9"/>
      <c r="FP116" s="201"/>
      <c r="FQ116" s="201"/>
      <c r="FR116" s="201"/>
      <c r="FS116" s="9"/>
      <c r="FT116" s="9"/>
      <c r="FU116" s="9"/>
      <c r="FV116" s="9"/>
      <c r="FW116" s="201"/>
      <c r="FX116" s="201"/>
      <c r="FY116" s="201"/>
      <c r="FZ116" s="201"/>
      <c r="GA116" s="201"/>
      <c r="GB116" s="9"/>
      <c r="GC116" s="9"/>
      <c r="GD116" s="9"/>
      <c r="GE116" s="9"/>
      <c r="GF116" s="9"/>
      <c r="GG116" s="9"/>
      <c r="GH116" s="9"/>
      <c r="GI116" s="9"/>
      <c r="GJ116" s="9"/>
      <c r="GK116" s="9"/>
      <c r="GL116" s="9"/>
      <c r="GM116" s="9"/>
      <c r="GN116" s="9"/>
      <c r="GO116" s="9"/>
      <c r="GP116" s="9"/>
      <c r="GQ116" s="9"/>
      <c r="GR116" s="9"/>
      <c r="GS116" s="9"/>
      <c r="GT116" s="9"/>
      <c r="GU116" s="9"/>
      <c r="GV116" s="9"/>
      <c r="GW116" s="9"/>
      <c r="GX116" s="9"/>
      <c r="GY116" s="9"/>
      <c r="GZ116" s="9"/>
    </row>
    <row r="117" ht="13.2" spans="1:208">
      <c r="A117" s="172">
        <v>45908</v>
      </c>
      <c r="B117" s="20" t="s">
        <v>373</v>
      </c>
      <c r="C117" s="173"/>
      <c r="D117" s="20"/>
      <c r="E117" s="207"/>
      <c r="F117" s="20"/>
      <c r="G117" s="176"/>
      <c r="H117" s="175"/>
      <c r="I117" s="176"/>
      <c r="J117" s="178"/>
      <c r="K117" s="174"/>
      <c r="L117" s="174"/>
      <c r="M117" s="20"/>
      <c r="N117" s="176"/>
      <c r="O117" s="179"/>
      <c r="P117" s="179"/>
      <c r="Q117" s="174"/>
      <c r="R117" s="20"/>
      <c r="S117" s="20"/>
      <c r="T117" s="20"/>
      <c r="U117" s="176"/>
      <c r="V117" s="20"/>
      <c r="W117" s="178"/>
      <c r="X117" s="20"/>
      <c r="Y117" s="20"/>
      <c r="Z117" s="20"/>
      <c r="AA117" s="20"/>
      <c r="AB117" s="20"/>
      <c r="AC117" s="20"/>
      <c r="AD117" s="20"/>
      <c r="AE117" s="20"/>
      <c r="AF117" s="20"/>
      <c r="AG117" s="20"/>
      <c r="AH117" s="20"/>
      <c r="AI117" s="20"/>
      <c r="AJ117" s="20"/>
      <c r="AK117" s="20"/>
      <c r="AL117" s="20"/>
      <c r="AM117" s="180"/>
      <c r="AN117" s="173"/>
      <c r="AO117" s="20"/>
      <c r="AP117" s="20"/>
      <c r="AQ117" s="20"/>
      <c r="AR117" s="20"/>
      <c r="AS117" s="181"/>
      <c r="AT117" s="20"/>
      <c r="AU117" s="182"/>
      <c r="AV117" s="20"/>
      <c r="AW117" s="183"/>
      <c r="AX117" s="184"/>
      <c r="AY117" s="176"/>
      <c r="AZ117" s="182"/>
      <c r="BA117" s="183"/>
      <c r="BB117" s="176"/>
      <c r="BC117" s="179"/>
      <c r="BD117" s="179"/>
      <c r="BE117" s="182"/>
      <c r="BF117" s="186"/>
      <c r="BG117" s="186"/>
      <c r="BH117" s="187"/>
      <c r="BI117" s="182"/>
      <c r="BJ117" s="179"/>
      <c r="BK117" s="179"/>
      <c r="BL117" s="208"/>
      <c r="BM117" s="209"/>
      <c r="BN117" s="15"/>
      <c r="BO117" s="15"/>
      <c r="BP117" s="210"/>
      <c r="BQ117" s="182"/>
      <c r="BR117" s="182"/>
      <c r="BS117" s="182"/>
      <c r="BT117" s="20"/>
      <c r="BU117" s="20"/>
      <c r="BV117" s="20"/>
      <c r="BW117" s="185"/>
      <c r="BX117" s="182"/>
      <c r="BY117" s="182"/>
      <c r="BZ117" s="182"/>
      <c r="CA117" s="182"/>
      <c r="CB117" s="9"/>
      <c r="CC117" s="8"/>
      <c r="CD117" s="213"/>
      <c r="CE117" s="201"/>
      <c r="CF117" s="201"/>
      <c r="CG117" s="201"/>
      <c r="CH117" s="201"/>
      <c r="CI117" s="201"/>
      <c r="CJ117" s="201"/>
      <c r="CK117" s="201"/>
      <c r="CL117" s="201"/>
      <c r="CM117" s="201"/>
      <c r="CN117" s="201"/>
      <c r="CO117" s="201"/>
      <c r="CP117" s="201"/>
      <c r="CQ117" s="201"/>
      <c r="CR117" s="201"/>
      <c r="CS117" s="201"/>
      <c r="CT117" s="201"/>
      <c r="CU117" s="201"/>
      <c r="CV117" s="201"/>
      <c r="CW117" s="201"/>
      <c r="CX117" s="201"/>
      <c r="CY117" s="201"/>
      <c r="CZ117" s="201"/>
      <c r="DA117" s="201"/>
      <c r="DB117" s="201"/>
      <c r="DC117" s="201"/>
      <c r="DD117" s="201"/>
      <c r="DE117" s="201"/>
      <c r="DF117" s="201"/>
      <c r="DG117" s="201"/>
      <c r="DH117" s="201"/>
      <c r="DI117" s="201"/>
      <c r="DJ117" s="201"/>
      <c r="DK117" s="201"/>
      <c r="DL117" s="201"/>
      <c r="DM117" s="201"/>
      <c r="DN117" s="201"/>
      <c r="DO117" s="201"/>
      <c r="DP117" s="201"/>
      <c r="DQ117" s="201"/>
      <c r="DR117" s="201"/>
      <c r="DS117" s="201"/>
      <c r="DT117" s="201"/>
      <c r="DU117" s="201"/>
      <c r="DV117" s="201"/>
      <c r="DW117" s="201"/>
      <c r="DX117" s="201"/>
      <c r="DY117" s="201"/>
      <c r="DZ117" s="201"/>
      <c r="EA117" s="201"/>
      <c r="EB117" s="201"/>
      <c r="EC117" s="201"/>
      <c r="ED117" s="201"/>
      <c r="EE117" s="201"/>
      <c r="EF117" s="201"/>
      <c r="EG117" s="201"/>
      <c r="EH117" s="201"/>
      <c r="EI117" s="201"/>
      <c r="EJ117" s="201"/>
      <c r="EK117" s="201"/>
      <c r="EL117" s="201"/>
      <c r="EM117" s="201"/>
      <c r="EN117" s="201"/>
      <c r="EO117" s="201"/>
      <c r="EP117" s="201"/>
      <c r="EQ117" s="201"/>
      <c r="ER117" s="9"/>
      <c r="ES117" s="201"/>
      <c r="ET117" s="9"/>
      <c r="EU117" s="9"/>
      <c r="EV117" s="9"/>
      <c r="EW117" s="9"/>
      <c r="EX117" s="9"/>
      <c r="EY117" s="9"/>
      <c r="EZ117" s="201"/>
      <c r="FA117" s="213"/>
      <c r="FB117" s="213"/>
      <c r="FC117" s="213"/>
      <c r="FD117" s="213"/>
      <c r="FE117" s="214"/>
      <c r="FF117" s="201"/>
      <c r="FG117" s="201"/>
      <c r="FH117" s="201"/>
      <c r="FI117" s="215"/>
      <c r="FJ117" s="215"/>
      <c r="FK117" s="201"/>
      <c r="FL117" s="201"/>
      <c r="FM117" s="201"/>
      <c r="FN117" s="201"/>
      <c r="FO117" s="9"/>
      <c r="FP117" s="201"/>
      <c r="FQ117" s="201"/>
      <c r="FR117" s="201"/>
      <c r="FS117" s="9"/>
      <c r="FT117" s="9"/>
      <c r="FU117" s="9"/>
      <c r="FV117" s="9"/>
      <c r="FW117" s="201"/>
      <c r="FX117" s="201"/>
      <c r="FY117" s="201"/>
      <c r="FZ117" s="201"/>
      <c r="GA117" s="201"/>
      <c r="GB117" s="9"/>
      <c r="GC117" s="9"/>
      <c r="GD117" s="9"/>
      <c r="GE117" s="9"/>
      <c r="GF117" s="9"/>
      <c r="GG117" s="9"/>
      <c r="GH117" s="9"/>
      <c r="GI117" s="9"/>
      <c r="GJ117" s="9"/>
      <c r="GK117" s="9"/>
      <c r="GL117" s="9"/>
      <c r="GM117" s="9"/>
      <c r="GN117" s="9"/>
      <c r="GO117" s="9"/>
      <c r="GP117" s="9"/>
      <c r="GQ117" s="9"/>
      <c r="GR117" s="9"/>
      <c r="GS117" s="9"/>
      <c r="GT117" s="9"/>
      <c r="GU117" s="9"/>
      <c r="GV117" s="9"/>
      <c r="GW117" s="9"/>
      <c r="GX117" s="9"/>
      <c r="GY117" s="9"/>
      <c r="GZ117" s="9"/>
    </row>
    <row r="118" ht="13.2" spans="1:208">
      <c r="A118" s="172">
        <v>45909</v>
      </c>
      <c r="B118" s="20" t="s">
        <v>375</v>
      </c>
      <c r="C118" s="173"/>
      <c r="D118" s="20"/>
      <c r="E118" s="207"/>
      <c r="F118" s="20"/>
      <c r="G118" s="176"/>
      <c r="H118" s="175"/>
      <c r="I118" s="176"/>
      <c r="J118" s="178"/>
      <c r="K118" s="174"/>
      <c r="L118" s="174"/>
      <c r="M118" s="20"/>
      <c r="N118" s="176"/>
      <c r="O118" s="179"/>
      <c r="P118" s="179"/>
      <c r="Q118" s="174"/>
      <c r="R118" s="20"/>
      <c r="S118" s="20"/>
      <c r="T118" s="20"/>
      <c r="U118" s="176"/>
      <c r="V118" s="20"/>
      <c r="W118" s="178"/>
      <c r="X118" s="20"/>
      <c r="Y118" s="20"/>
      <c r="Z118" s="20"/>
      <c r="AA118" s="20"/>
      <c r="AB118" s="20"/>
      <c r="AC118" s="20"/>
      <c r="AD118" s="20"/>
      <c r="AE118" s="20"/>
      <c r="AF118" s="20"/>
      <c r="AG118" s="20"/>
      <c r="AH118" s="20"/>
      <c r="AI118" s="20"/>
      <c r="AJ118" s="20"/>
      <c r="AK118" s="20"/>
      <c r="AL118" s="20"/>
      <c r="AM118" s="180"/>
      <c r="AN118" s="173"/>
      <c r="AO118" s="20"/>
      <c r="AP118" s="20"/>
      <c r="AQ118" s="20"/>
      <c r="AR118" s="20"/>
      <c r="AS118" s="181"/>
      <c r="AT118" s="20"/>
      <c r="AU118" s="182"/>
      <c r="AV118" s="20"/>
      <c r="AW118" s="183"/>
      <c r="AX118" s="184"/>
      <c r="AY118" s="176"/>
      <c r="AZ118" s="182"/>
      <c r="BA118" s="183"/>
      <c r="BB118" s="176"/>
      <c r="BC118" s="179"/>
      <c r="BD118" s="179"/>
      <c r="BE118" s="182"/>
      <c r="BF118" s="186"/>
      <c r="BG118" s="186"/>
      <c r="BH118" s="187"/>
      <c r="BI118" s="182"/>
      <c r="BJ118" s="179"/>
      <c r="BK118" s="179"/>
      <c r="BL118" s="208"/>
      <c r="BM118" s="209"/>
      <c r="BN118" s="15"/>
      <c r="BO118" s="15"/>
      <c r="BP118" s="210"/>
      <c r="BQ118" s="182"/>
      <c r="BR118" s="182"/>
      <c r="BS118" s="182"/>
      <c r="BT118" s="20"/>
      <c r="BU118" s="20"/>
      <c r="BV118" s="20"/>
      <c r="BW118" s="185"/>
      <c r="BX118" s="182"/>
      <c r="BY118" s="182"/>
      <c r="BZ118" s="182"/>
      <c r="CA118" s="182"/>
      <c r="CB118" s="9"/>
      <c r="CC118" s="8"/>
      <c r="CD118" s="213"/>
      <c r="CE118" s="201"/>
      <c r="CF118" s="201"/>
      <c r="CG118" s="201"/>
      <c r="CH118" s="201"/>
      <c r="CI118" s="201"/>
      <c r="CJ118" s="201"/>
      <c r="CK118" s="201"/>
      <c r="CL118" s="201"/>
      <c r="CM118" s="201"/>
      <c r="CN118" s="201"/>
      <c r="CO118" s="201"/>
      <c r="CP118" s="201"/>
      <c r="CQ118" s="201"/>
      <c r="CR118" s="201"/>
      <c r="CS118" s="201"/>
      <c r="CT118" s="201"/>
      <c r="CU118" s="201"/>
      <c r="CV118" s="201"/>
      <c r="CW118" s="201"/>
      <c r="CX118" s="201"/>
      <c r="CY118" s="201"/>
      <c r="CZ118" s="201"/>
      <c r="DA118" s="201"/>
      <c r="DB118" s="201"/>
      <c r="DC118" s="201"/>
      <c r="DD118" s="201"/>
      <c r="DE118" s="201"/>
      <c r="DF118" s="201"/>
      <c r="DG118" s="201"/>
      <c r="DH118" s="201"/>
      <c r="DI118" s="201"/>
      <c r="DJ118" s="201"/>
      <c r="DK118" s="201"/>
      <c r="DL118" s="201"/>
      <c r="DM118" s="201"/>
      <c r="DN118" s="201"/>
      <c r="DO118" s="201"/>
      <c r="DP118" s="201"/>
      <c r="DQ118" s="201"/>
      <c r="DR118" s="201"/>
      <c r="DS118" s="201"/>
      <c r="DT118" s="201"/>
      <c r="DU118" s="201"/>
      <c r="DV118" s="201"/>
      <c r="DW118" s="201"/>
      <c r="DX118" s="201"/>
      <c r="DY118" s="201"/>
      <c r="DZ118" s="201"/>
      <c r="EA118" s="201"/>
      <c r="EB118" s="201"/>
      <c r="EC118" s="201"/>
      <c r="ED118" s="201"/>
      <c r="EE118" s="201"/>
      <c r="EF118" s="201"/>
      <c r="EG118" s="201"/>
      <c r="EH118" s="201"/>
      <c r="EI118" s="201"/>
      <c r="EJ118" s="201"/>
      <c r="EK118" s="201"/>
      <c r="EL118" s="201"/>
      <c r="EM118" s="201"/>
      <c r="EN118" s="201"/>
      <c r="EO118" s="201"/>
      <c r="EP118" s="201"/>
      <c r="EQ118" s="201"/>
      <c r="ER118" s="9"/>
      <c r="ES118" s="201"/>
      <c r="ET118" s="9"/>
      <c r="EU118" s="9"/>
      <c r="EV118" s="9"/>
      <c r="EW118" s="9"/>
      <c r="EX118" s="9"/>
      <c r="EY118" s="9"/>
      <c r="EZ118" s="201"/>
      <c r="FA118" s="213"/>
      <c r="FB118" s="213"/>
      <c r="FC118" s="213"/>
      <c r="FD118" s="213"/>
      <c r="FE118" s="214"/>
      <c r="FF118" s="201"/>
      <c r="FG118" s="201"/>
      <c r="FH118" s="201"/>
      <c r="FI118" s="215"/>
      <c r="FJ118" s="215"/>
      <c r="FK118" s="201"/>
      <c r="FL118" s="201"/>
      <c r="FM118" s="201"/>
      <c r="FN118" s="201"/>
      <c r="FO118" s="9"/>
      <c r="FP118" s="201"/>
      <c r="FQ118" s="201"/>
      <c r="FR118" s="201"/>
      <c r="FS118" s="9"/>
      <c r="FT118" s="9"/>
      <c r="FU118" s="9"/>
      <c r="FV118" s="9"/>
      <c r="FW118" s="201"/>
      <c r="FX118" s="201"/>
      <c r="FY118" s="201"/>
      <c r="FZ118" s="201"/>
      <c r="GA118" s="201"/>
      <c r="GB118" s="9"/>
      <c r="GC118" s="9"/>
      <c r="GD118" s="9"/>
      <c r="GE118" s="9"/>
      <c r="GF118" s="9"/>
      <c r="GG118" s="9"/>
      <c r="GH118" s="9"/>
      <c r="GI118" s="9"/>
      <c r="GJ118" s="9"/>
      <c r="GK118" s="9"/>
      <c r="GL118" s="9"/>
      <c r="GM118" s="9"/>
      <c r="GN118" s="9"/>
      <c r="GO118" s="9"/>
      <c r="GP118" s="9"/>
      <c r="GQ118" s="9"/>
      <c r="GR118" s="9"/>
      <c r="GS118" s="9"/>
      <c r="GT118" s="9"/>
      <c r="GU118" s="9"/>
      <c r="GV118" s="9"/>
      <c r="GW118" s="9"/>
      <c r="GX118" s="9"/>
      <c r="GY118" s="9"/>
      <c r="GZ118" s="9"/>
    </row>
    <row r="119" ht="13.2" spans="1:208">
      <c r="A119" s="172">
        <v>45910</v>
      </c>
      <c r="B119" s="20" t="s">
        <v>377</v>
      </c>
      <c r="C119" s="18"/>
      <c r="D119" s="20"/>
      <c r="E119" s="207"/>
      <c r="F119" s="20"/>
      <c r="G119" s="176"/>
      <c r="H119" s="175"/>
      <c r="I119" s="176"/>
      <c r="J119" s="178"/>
      <c r="K119" s="174"/>
      <c r="L119" s="174"/>
      <c r="M119" s="20"/>
      <c r="N119" s="176"/>
      <c r="O119" s="179"/>
      <c r="P119" s="179"/>
      <c r="Q119" s="174"/>
      <c r="R119" s="20"/>
      <c r="S119" s="20"/>
      <c r="T119" s="20"/>
      <c r="U119" s="176"/>
      <c r="V119" s="20"/>
      <c r="W119" s="178"/>
      <c r="X119" s="20"/>
      <c r="Y119" s="20"/>
      <c r="Z119" s="20"/>
      <c r="AA119" s="20"/>
      <c r="AB119" s="20"/>
      <c r="AC119" s="20"/>
      <c r="AD119" s="20"/>
      <c r="AE119" s="20"/>
      <c r="AF119" s="20"/>
      <c r="AG119" s="20"/>
      <c r="AH119" s="20"/>
      <c r="AI119" s="20"/>
      <c r="AJ119" s="20"/>
      <c r="AK119" s="20"/>
      <c r="AL119" s="20"/>
      <c r="AM119" s="180"/>
      <c r="AN119" s="173"/>
      <c r="AO119" s="20"/>
      <c r="AP119" s="20"/>
      <c r="AQ119" s="20"/>
      <c r="AR119" s="20"/>
      <c r="AS119" s="181"/>
      <c r="AT119" s="20"/>
      <c r="AU119" s="182"/>
      <c r="AV119" s="20"/>
      <c r="AW119" s="183"/>
      <c r="AX119" s="184"/>
      <c r="AY119" s="176"/>
      <c r="AZ119" s="182"/>
      <c r="BA119" s="183"/>
      <c r="BB119" s="176"/>
      <c r="BC119" s="179"/>
      <c r="BD119" s="179"/>
      <c r="BE119" s="182"/>
      <c r="BF119" s="186"/>
      <c r="BG119" s="186"/>
      <c r="BH119" s="187"/>
      <c r="BI119" s="182"/>
      <c r="BJ119" s="179"/>
      <c r="BK119" s="179"/>
      <c r="BL119" s="208"/>
      <c r="BM119" s="209"/>
      <c r="BN119" s="15"/>
      <c r="BO119" s="15"/>
      <c r="BP119" s="210"/>
      <c r="BQ119" s="182"/>
      <c r="BR119" s="182"/>
      <c r="BS119" s="182"/>
      <c r="BT119" s="20"/>
      <c r="BU119" s="20"/>
      <c r="BV119" s="20"/>
      <c r="BW119" s="185"/>
      <c r="BX119" s="182"/>
      <c r="BY119" s="182"/>
      <c r="BZ119" s="182"/>
      <c r="CA119" s="182"/>
      <c r="CB119" s="9"/>
      <c r="CC119" s="8"/>
      <c r="CD119" s="213"/>
      <c r="CE119" s="201"/>
      <c r="CF119" s="201"/>
      <c r="CG119" s="201"/>
      <c r="CH119" s="201"/>
      <c r="CI119" s="201"/>
      <c r="CJ119" s="201"/>
      <c r="CK119" s="201"/>
      <c r="CL119" s="201"/>
      <c r="CM119" s="201"/>
      <c r="CN119" s="201"/>
      <c r="CO119" s="201"/>
      <c r="CP119" s="201"/>
      <c r="CQ119" s="201"/>
      <c r="CR119" s="201"/>
      <c r="CS119" s="201"/>
      <c r="CT119" s="201"/>
      <c r="CU119" s="201"/>
      <c r="CV119" s="201"/>
      <c r="CW119" s="201"/>
      <c r="CX119" s="201"/>
      <c r="CY119" s="201"/>
      <c r="CZ119" s="201"/>
      <c r="DA119" s="201"/>
      <c r="DB119" s="201"/>
      <c r="DC119" s="201"/>
      <c r="DD119" s="201"/>
      <c r="DE119" s="201"/>
      <c r="DF119" s="201"/>
      <c r="DG119" s="201"/>
      <c r="DH119" s="201"/>
      <c r="DI119" s="201"/>
      <c r="DJ119" s="201"/>
      <c r="DK119" s="201"/>
      <c r="DL119" s="201"/>
      <c r="DM119" s="201"/>
      <c r="DN119" s="201"/>
      <c r="DO119" s="201"/>
      <c r="DP119" s="201"/>
      <c r="DQ119" s="201"/>
      <c r="DR119" s="201"/>
      <c r="DS119" s="201"/>
      <c r="DT119" s="201"/>
      <c r="DU119" s="201"/>
      <c r="DV119" s="201"/>
      <c r="DW119" s="201"/>
      <c r="DX119" s="201"/>
      <c r="DY119" s="201"/>
      <c r="DZ119" s="201"/>
      <c r="EA119" s="201"/>
      <c r="EB119" s="201"/>
      <c r="EC119" s="201"/>
      <c r="ED119" s="201"/>
      <c r="EE119" s="201"/>
      <c r="EF119" s="201"/>
      <c r="EG119" s="201"/>
      <c r="EH119" s="201"/>
      <c r="EI119" s="201"/>
      <c r="EJ119" s="201"/>
      <c r="EK119" s="201"/>
      <c r="EL119" s="201"/>
      <c r="EM119" s="201"/>
      <c r="EN119" s="201"/>
      <c r="EO119" s="201"/>
      <c r="EP119" s="201"/>
      <c r="EQ119" s="201"/>
      <c r="ER119" s="9"/>
      <c r="ES119" s="201"/>
      <c r="ET119" s="9"/>
      <c r="EU119" s="9"/>
      <c r="EV119" s="9"/>
      <c r="EW119" s="9"/>
      <c r="EX119" s="9"/>
      <c r="EY119" s="9"/>
      <c r="EZ119" s="201"/>
      <c r="FA119" s="213"/>
      <c r="FB119" s="213"/>
      <c r="FC119" s="213"/>
      <c r="FD119" s="213"/>
      <c r="FE119" s="214"/>
      <c r="FF119" s="201"/>
      <c r="FG119" s="201"/>
      <c r="FH119" s="201"/>
      <c r="FI119" s="215"/>
      <c r="FJ119" s="215"/>
      <c r="FK119" s="201"/>
      <c r="FL119" s="201"/>
      <c r="FM119" s="201"/>
      <c r="FN119" s="201"/>
      <c r="FO119" s="9"/>
      <c r="FP119" s="201"/>
      <c r="FQ119" s="201"/>
      <c r="FR119" s="201"/>
      <c r="FS119" s="9"/>
      <c r="FT119" s="9"/>
      <c r="FU119" s="9"/>
      <c r="FV119" s="9"/>
      <c r="FW119" s="201"/>
      <c r="FX119" s="201"/>
      <c r="FY119" s="201"/>
      <c r="FZ119" s="201"/>
      <c r="GA119" s="201"/>
      <c r="GB119" s="9"/>
      <c r="GC119" s="9"/>
      <c r="GD119" s="9"/>
      <c r="GE119" s="9"/>
      <c r="GF119" s="9"/>
      <c r="GG119" s="9"/>
      <c r="GH119" s="9"/>
      <c r="GI119" s="9"/>
      <c r="GJ119" s="9"/>
      <c r="GK119" s="9"/>
      <c r="GL119" s="9"/>
      <c r="GM119" s="9"/>
      <c r="GN119" s="9"/>
      <c r="GO119" s="9"/>
      <c r="GP119" s="9"/>
      <c r="GQ119" s="9"/>
      <c r="GR119" s="9"/>
      <c r="GS119" s="9"/>
      <c r="GT119" s="9"/>
      <c r="GU119" s="9"/>
      <c r="GV119" s="9"/>
      <c r="GW119" s="9"/>
      <c r="GX119" s="9"/>
      <c r="GY119" s="9"/>
      <c r="GZ119" s="9"/>
    </row>
    <row r="120" ht="13.2" spans="1:208">
      <c r="A120" s="172">
        <v>45911</v>
      </c>
      <c r="B120" s="20" t="s">
        <v>379</v>
      </c>
      <c r="C120" s="173"/>
      <c r="D120" s="20"/>
      <c r="E120" s="207"/>
      <c r="F120" s="20"/>
      <c r="G120" s="176"/>
      <c r="H120" s="175"/>
      <c r="I120" s="176"/>
      <c r="J120" s="178"/>
      <c r="K120" s="174"/>
      <c r="L120" s="174"/>
      <c r="M120" s="20"/>
      <c r="N120" s="176"/>
      <c r="O120" s="179"/>
      <c r="P120" s="179"/>
      <c r="Q120" s="174"/>
      <c r="R120" s="20"/>
      <c r="S120" s="20"/>
      <c r="T120" s="20"/>
      <c r="U120" s="176"/>
      <c r="V120" s="20"/>
      <c r="W120" s="178"/>
      <c r="X120" s="20"/>
      <c r="Y120" s="20"/>
      <c r="Z120" s="20"/>
      <c r="AA120" s="20"/>
      <c r="AB120" s="20"/>
      <c r="AC120" s="20"/>
      <c r="AD120" s="20"/>
      <c r="AE120" s="20"/>
      <c r="AF120" s="20"/>
      <c r="AG120" s="20"/>
      <c r="AH120" s="20"/>
      <c r="AI120" s="20"/>
      <c r="AJ120" s="20"/>
      <c r="AK120" s="20"/>
      <c r="AL120" s="20"/>
      <c r="AM120" s="180"/>
      <c r="AN120" s="173"/>
      <c r="AO120" s="20"/>
      <c r="AP120" s="20"/>
      <c r="AQ120" s="20"/>
      <c r="AR120" s="20"/>
      <c r="AS120" s="181"/>
      <c r="AT120" s="20"/>
      <c r="AU120" s="182"/>
      <c r="AV120" s="20"/>
      <c r="AW120" s="183"/>
      <c r="AX120" s="184"/>
      <c r="AY120" s="176"/>
      <c r="AZ120" s="182"/>
      <c r="BA120" s="183"/>
      <c r="BB120" s="176"/>
      <c r="BC120" s="179"/>
      <c r="BD120" s="179"/>
      <c r="BE120" s="182"/>
      <c r="BF120" s="186"/>
      <c r="BG120" s="186"/>
      <c r="BH120" s="187"/>
      <c r="BI120" s="182"/>
      <c r="BJ120" s="179"/>
      <c r="BK120" s="179"/>
      <c r="BL120" s="208"/>
      <c r="BM120" s="209"/>
      <c r="BN120" s="15"/>
      <c r="BO120" s="15"/>
      <c r="BP120" s="210"/>
      <c r="BQ120" s="182"/>
      <c r="BR120" s="182"/>
      <c r="BS120" s="182"/>
      <c r="BT120" s="20"/>
      <c r="BU120" s="20"/>
      <c r="BV120" s="20"/>
      <c r="BW120" s="185"/>
      <c r="BX120" s="182"/>
      <c r="BY120" s="182"/>
      <c r="BZ120" s="182"/>
      <c r="CA120" s="182"/>
      <c r="CB120" s="9"/>
      <c r="CC120" s="8"/>
      <c r="CD120" s="213"/>
      <c r="CE120" s="201"/>
      <c r="CF120" s="201"/>
      <c r="CG120" s="201"/>
      <c r="CH120" s="201"/>
      <c r="CI120" s="201"/>
      <c r="CJ120" s="201"/>
      <c r="CK120" s="201"/>
      <c r="CL120" s="201"/>
      <c r="CM120" s="201"/>
      <c r="CN120" s="201"/>
      <c r="CO120" s="201"/>
      <c r="CP120" s="201"/>
      <c r="CQ120" s="201"/>
      <c r="CR120" s="201"/>
      <c r="CS120" s="201"/>
      <c r="CT120" s="201"/>
      <c r="CU120" s="201"/>
      <c r="CV120" s="201"/>
      <c r="CW120" s="201"/>
      <c r="CX120" s="201"/>
      <c r="CY120" s="201"/>
      <c r="CZ120" s="201"/>
      <c r="DA120" s="201"/>
      <c r="DB120" s="201"/>
      <c r="DC120" s="201"/>
      <c r="DD120" s="201"/>
      <c r="DE120" s="201"/>
      <c r="DF120" s="201"/>
      <c r="DG120" s="201"/>
      <c r="DH120" s="201"/>
      <c r="DI120" s="201"/>
      <c r="DJ120" s="201"/>
      <c r="DK120" s="201"/>
      <c r="DL120" s="201"/>
      <c r="DM120" s="201"/>
      <c r="DN120" s="201"/>
      <c r="DO120" s="201"/>
      <c r="DP120" s="201"/>
      <c r="DQ120" s="201"/>
      <c r="DR120" s="201"/>
      <c r="DS120" s="201"/>
      <c r="DT120" s="201"/>
      <c r="DU120" s="201"/>
      <c r="DV120" s="201"/>
      <c r="DW120" s="201"/>
      <c r="DX120" s="201"/>
      <c r="DY120" s="201"/>
      <c r="DZ120" s="201"/>
      <c r="EA120" s="201"/>
      <c r="EB120" s="201"/>
      <c r="EC120" s="201"/>
      <c r="ED120" s="201"/>
      <c r="EE120" s="201"/>
      <c r="EF120" s="201"/>
      <c r="EG120" s="201"/>
      <c r="EH120" s="201"/>
      <c r="EI120" s="201"/>
      <c r="EJ120" s="201"/>
      <c r="EK120" s="201"/>
      <c r="EL120" s="201"/>
      <c r="EM120" s="201"/>
      <c r="EN120" s="201"/>
      <c r="EO120" s="201"/>
      <c r="EP120" s="201"/>
      <c r="EQ120" s="201"/>
      <c r="ER120" s="9"/>
      <c r="ES120" s="201"/>
      <c r="ET120" s="9"/>
      <c r="EU120" s="9"/>
      <c r="EV120" s="9"/>
      <c r="EW120" s="9"/>
      <c r="EX120" s="9"/>
      <c r="EY120" s="9"/>
      <c r="EZ120" s="201"/>
      <c r="FA120" s="213"/>
      <c r="FB120" s="213"/>
      <c r="FC120" s="213"/>
      <c r="FD120" s="213"/>
      <c r="FE120" s="214"/>
      <c r="FF120" s="201"/>
      <c r="FG120" s="201"/>
      <c r="FH120" s="201"/>
      <c r="FI120" s="215"/>
      <c r="FJ120" s="215"/>
      <c r="FK120" s="201"/>
      <c r="FL120" s="201"/>
      <c r="FM120" s="201"/>
      <c r="FN120" s="201"/>
      <c r="FO120" s="9"/>
      <c r="FP120" s="201"/>
      <c r="FQ120" s="201"/>
      <c r="FR120" s="201"/>
      <c r="FS120" s="9"/>
      <c r="FT120" s="9"/>
      <c r="FU120" s="9"/>
      <c r="FV120" s="9"/>
      <c r="FW120" s="201"/>
      <c r="FX120" s="201"/>
      <c r="FY120" s="201"/>
      <c r="FZ120" s="201"/>
      <c r="GA120" s="201"/>
      <c r="GB120" s="9"/>
      <c r="GC120" s="9"/>
      <c r="GD120" s="9"/>
      <c r="GE120" s="9"/>
      <c r="GF120" s="9"/>
      <c r="GG120" s="9"/>
      <c r="GH120" s="9"/>
      <c r="GI120" s="9"/>
      <c r="GJ120" s="9"/>
      <c r="GK120" s="9"/>
      <c r="GL120" s="9"/>
      <c r="GM120" s="9"/>
      <c r="GN120" s="9"/>
      <c r="GO120" s="9"/>
      <c r="GP120" s="9"/>
      <c r="GQ120" s="9"/>
      <c r="GR120" s="9"/>
      <c r="GS120" s="9"/>
      <c r="GT120" s="9"/>
      <c r="GU120" s="9"/>
      <c r="GV120" s="9"/>
      <c r="GW120" s="9"/>
      <c r="GX120" s="9"/>
      <c r="GY120" s="9"/>
      <c r="GZ120" s="9"/>
    </row>
    <row r="121" ht="13.2" spans="1:208">
      <c r="A121" s="172">
        <v>45912</v>
      </c>
      <c r="B121" s="20" t="s">
        <v>381</v>
      </c>
      <c r="C121" s="18"/>
      <c r="D121" s="20"/>
      <c r="E121" s="207"/>
      <c r="F121" s="20"/>
      <c r="G121" s="176"/>
      <c r="H121" s="175"/>
      <c r="I121" s="176"/>
      <c r="J121" s="178"/>
      <c r="K121" s="174"/>
      <c r="L121" s="174"/>
      <c r="M121" s="20"/>
      <c r="N121" s="176"/>
      <c r="O121" s="179"/>
      <c r="P121" s="179"/>
      <c r="Q121" s="174"/>
      <c r="R121" s="20"/>
      <c r="S121" s="20"/>
      <c r="T121" s="20"/>
      <c r="U121" s="176"/>
      <c r="V121" s="20"/>
      <c r="W121" s="178"/>
      <c r="X121" s="20"/>
      <c r="Y121" s="20"/>
      <c r="Z121" s="20"/>
      <c r="AA121" s="20"/>
      <c r="AB121" s="20"/>
      <c r="AC121" s="20"/>
      <c r="AD121" s="20"/>
      <c r="AE121" s="20"/>
      <c r="AF121" s="20"/>
      <c r="AG121" s="20"/>
      <c r="AH121" s="20"/>
      <c r="AI121" s="20"/>
      <c r="AJ121" s="20"/>
      <c r="AK121" s="20"/>
      <c r="AL121" s="20"/>
      <c r="AM121" s="180"/>
      <c r="AN121" s="173"/>
      <c r="AO121" s="20"/>
      <c r="AP121" s="20"/>
      <c r="AQ121" s="20"/>
      <c r="AR121" s="20"/>
      <c r="AS121" s="181"/>
      <c r="AT121" s="20"/>
      <c r="AU121" s="182"/>
      <c r="AV121" s="20"/>
      <c r="AW121" s="183"/>
      <c r="AX121" s="184"/>
      <c r="AY121" s="176"/>
      <c r="AZ121" s="182"/>
      <c r="BA121" s="183"/>
      <c r="BB121" s="176"/>
      <c r="BC121" s="179"/>
      <c r="BD121" s="179"/>
      <c r="BE121" s="182"/>
      <c r="BF121" s="186"/>
      <c r="BG121" s="186"/>
      <c r="BH121" s="187"/>
      <c r="BI121" s="182"/>
      <c r="BJ121" s="179"/>
      <c r="BK121" s="179"/>
      <c r="BL121" s="208"/>
      <c r="BM121" s="209"/>
      <c r="BN121" s="15"/>
      <c r="BO121" s="15"/>
      <c r="BP121" s="210"/>
      <c r="BQ121" s="182"/>
      <c r="BR121" s="182"/>
      <c r="BS121" s="182"/>
      <c r="BT121" s="20"/>
      <c r="BU121" s="20"/>
      <c r="BV121" s="20"/>
      <c r="BW121" s="185"/>
      <c r="BX121" s="182"/>
      <c r="BY121" s="182"/>
      <c r="BZ121" s="182"/>
      <c r="CA121" s="182"/>
      <c r="CB121" s="9"/>
      <c r="CC121" s="8"/>
      <c r="CD121" s="213"/>
      <c r="CE121" s="201"/>
      <c r="CF121" s="201"/>
      <c r="CG121" s="201"/>
      <c r="CH121" s="201"/>
      <c r="CI121" s="201"/>
      <c r="CJ121" s="201"/>
      <c r="CK121" s="201"/>
      <c r="CL121" s="201"/>
      <c r="CM121" s="201"/>
      <c r="CN121" s="201"/>
      <c r="CO121" s="201"/>
      <c r="CP121" s="201"/>
      <c r="CQ121" s="201"/>
      <c r="CR121" s="201"/>
      <c r="CS121" s="201"/>
      <c r="CT121" s="201"/>
      <c r="CU121" s="201"/>
      <c r="CV121" s="201"/>
      <c r="CW121" s="201"/>
      <c r="CX121" s="201"/>
      <c r="CY121" s="201"/>
      <c r="CZ121" s="201"/>
      <c r="DA121" s="201"/>
      <c r="DB121" s="201"/>
      <c r="DC121" s="201"/>
      <c r="DD121" s="201"/>
      <c r="DE121" s="201"/>
      <c r="DF121" s="201"/>
      <c r="DG121" s="201"/>
      <c r="DH121" s="201"/>
      <c r="DI121" s="201"/>
      <c r="DJ121" s="201"/>
      <c r="DK121" s="201"/>
      <c r="DL121" s="201"/>
      <c r="DM121" s="201"/>
      <c r="DN121" s="201"/>
      <c r="DO121" s="201"/>
      <c r="DP121" s="201"/>
      <c r="DQ121" s="201"/>
      <c r="DR121" s="201"/>
      <c r="DS121" s="201"/>
      <c r="DT121" s="201"/>
      <c r="DU121" s="201"/>
      <c r="DV121" s="201"/>
      <c r="DW121" s="201"/>
      <c r="DX121" s="201"/>
      <c r="DY121" s="201"/>
      <c r="DZ121" s="201"/>
      <c r="EA121" s="201"/>
      <c r="EB121" s="201"/>
      <c r="EC121" s="201"/>
      <c r="ED121" s="201"/>
      <c r="EE121" s="201"/>
      <c r="EF121" s="201"/>
      <c r="EG121" s="201"/>
      <c r="EH121" s="201"/>
      <c r="EI121" s="201"/>
      <c r="EJ121" s="201"/>
      <c r="EK121" s="201"/>
      <c r="EL121" s="201"/>
      <c r="EM121" s="201"/>
      <c r="EN121" s="201"/>
      <c r="EO121" s="201"/>
      <c r="EP121" s="201"/>
      <c r="EQ121" s="201"/>
      <c r="ER121" s="9"/>
      <c r="ES121" s="201"/>
      <c r="ET121" s="9"/>
      <c r="EU121" s="9"/>
      <c r="EV121" s="9"/>
      <c r="EW121" s="9"/>
      <c r="EX121" s="9"/>
      <c r="EY121" s="9"/>
      <c r="EZ121" s="201"/>
      <c r="FA121" s="213"/>
      <c r="FB121" s="213"/>
      <c r="FC121" s="213"/>
      <c r="FD121" s="213"/>
      <c r="FE121" s="214"/>
      <c r="FF121" s="201"/>
      <c r="FG121" s="201"/>
      <c r="FH121" s="201"/>
      <c r="FI121" s="215"/>
      <c r="FJ121" s="215"/>
      <c r="FK121" s="201"/>
      <c r="FL121" s="201"/>
      <c r="FM121" s="201"/>
      <c r="FN121" s="201"/>
      <c r="FO121" s="9"/>
      <c r="FP121" s="201"/>
      <c r="FQ121" s="201"/>
      <c r="FR121" s="201"/>
      <c r="FS121" s="9"/>
      <c r="FT121" s="9"/>
      <c r="FU121" s="9"/>
      <c r="FV121" s="9"/>
      <c r="FW121" s="201"/>
      <c r="FX121" s="201"/>
      <c r="FY121" s="201"/>
      <c r="FZ121" s="201"/>
      <c r="GA121" s="201"/>
      <c r="GB121" s="9"/>
      <c r="GC121" s="9"/>
      <c r="GD121" s="9"/>
      <c r="GE121" s="9"/>
      <c r="GF121" s="9"/>
      <c r="GG121" s="9"/>
      <c r="GH121" s="9"/>
      <c r="GI121" s="9"/>
      <c r="GJ121" s="9"/>
      <c r="GK121" s="9"/>
      <c r="GL121" s="9"/>
      <c r="GM121" s="9"/>
      <c r="GN121" s="9"/>
      <c r="GO121" s="9"/>
      <c r="GP121" s="9"/>
      <c r="GQ121" s="9"/>
      <c r="GR121" s="9"/>
      <c r="GS121" s="9"/>
      <c r="GT121" s="9"/>
      <c r="GU121" s="9"/>
      <c r="GV121" s="9"/>
      <c r="GW121" s="9"/>
      <c r="GX121" s="9"/>
      <c r="GY121" s="9"/>
      <c r="GZ121" s="9"/>
    </row>
    <row r="122" ht="13.2" spans="1:208">
      <c r="A122" s="172">
        <v>45913</v>
      </c>
      <c r="B122" s="20" t="s">
        <v>369</v>
      </c>
      <c r="C122" s="18"/>
      <c r="D122" s="20"/>
      <c r="E122" s="207"/>
      <c r="F122" s="20"/>
      <c r="G122" s="176"/>
      <c r="H122" s="175"/>
      <c r="I122" s="176"/>
      <c r="J122" s="178"/>
      <c r="K122" s="174"/>
      <c r="L122" s="174"/>
      <c r="M122" s="20"/>
      <c r="N122" s="176"/>
      <c r="O122" s="179"/>
      <c r="P122" s="179"/>
      <c r="Q122" s="174"/>
      <c r="R122" s="20"/>
      <c r="S122" s="20"/>
      <c r="T122" s="20"/>
      <c r="U122" s="176"/>
      <c r="V122" s="20"/>
      <c r="W122" s="178"/>
      <c r="X122" s="20"/>
      <c r="Y122" s="20"/>
      <c r="Z122" s="20"/>
      <c r="AA122" s="20"/>
      <c r="AB122" s="20"/>
      <c r="AC122" s="20"/>
      <c r="AD122" s="20"/>
      <c r="AE122" s="20"/>
      <c r="AF122" s="20"/>
      <c r="AG122" s="20"/>
      <c r="AH122" s="20"/>
      <c r="AI122" s="20"/>
      <c r="AJ122" s="20"/>
      <c r="AK122" s="20"/>
      <c r="AL122" s="20"/>
      <c r="AM122" s="180"/>
      <c r="AN122" s="173"/>
      <c r="AO122" s="20"/>
      <c r="AP122" s="20"/>
      <c r="AQ122" s="20"/>
      <c r="AR122" s="20"/>
      <c r="AS122" s="181"/>
      <c r="AT122" s="20"/>
      <c r="AU122" s="182"/>
      <c r="AV122" s="20"/>
      <c r="AW122" s="183"/>
      <c r="AX122" s="184"/>
      <c r="AY122" s="176"/>
      <c r="AZ122" s="182"/>
      <c r="BA122" s="183"/>
      <c r="BB122" s="176"/>
      <c r="BC122" s="179"/>
      <c r="BD122" s="179"/>
      <c r="BE122" s="182"/>
      <c r="BF122" s="186"/>
      <c r="BG122" s="186"/>
      <c r="BH122" s="187"/>
      <c r="BI122" s="182"/>
      <c r="BJ122" s="179"/>
      <c r="BK122" s="179"/>
      <c r="BL122" s="208"/>
      <c r="BM122" s="209"/>
      <c r="BN122" s="15"/>
      <c r="BO122" s="15"/>
      <c r="BP122" s="210"/>
      <c r="BQ122" s="182"/>
      <c r="BR122" s="182"/>
      <c r="BS122" s="182"/>
      <c r="BT122" s="20"/>
      <c r="BU122" s="20"/>
      <c r="BV122" s="20"/>
      <c r="BW122" s="185"/>
      <c r="BX122" s="182"/>
      <c r="BY122" s="182"/>
      <c r="BZ122" s="182"/>
      <c r="CA122" s="182"/>
      <c r="CB122" s="9"/>
      <c r="CC122" s="8"/>
      <c r="CD122" s="213"/>
      <c r="CE122" s="201"/>
      <c r="CF122" s="201"/>
      <c r="CG122" s="201"/>
      <c r="CH122" s="201"/>
      <c r="CI122" s="201"/>
      <c r="CJ122" s="201"/>
      <c r="CK122" s="201"/>
      <c r="CL122" s="201"/>
      <c r="CM122" s="201"/>
      <c r="CN122" s="201"/>
      <c r="CO122" s="201"/>
      <c r="CP122" s="201"/>
      <c r="CQ122" s="201"/>
      <c r="CR122" s="201"/>
      <c r="CS122" s="201"/>
      <c r="CT122" s="201"/>
      <c r="CU122" s="201"/>
      <c r="CV122" s="201"/>
      <c r="CW122" s="201"/>
      <c r="CX122" s="201"/>
      <c r="CY122" s="201"/>
      <c r="CZ122" s="201"/>
      <c r="DA122" s="201"/>
      <c r="DB122" s="201"/>
      <c r="DC122" s="201"/>
      <c r="DD122" s="201"/>
      <c r="DE122" s="201"/>
      <c r="DF122" s="201"/>
      <c r="DG122" s="201"/>
      <c r="DH122" s="201"/>
      <c r="DI122" s="201"/>
      <c r="DJ122" s="201"/>
      <c r="DK122" s="201"/>
      <c r="DL122" s="201"/>
      <c r="DM122" s="201"/>
      <c r="DN122" s="201"/>
      <c r="DO122" s="201"/>
      <c r="DP122" s="201"/>
      <c r="DQ122" s="201"/>
      <c r="DR122" s="201"/>
      <c r="DS122" s="201"/>
      <c r="DT122" s="201"/>
      <c r="DU122" s="201"/>
      <c r="DV122" s="201"/>
      <c r="DW122" s="201"/>
      <c r="DX122" s="201"/>
      <c r="DY122" s="201"/>
      <c r="DZ122" s="201"/>
      <c r="EA122" s="201"/>
      <c r="EB122" s="201"/>
      <c r="EC122" s="201"/>
      <c r="ED122" s="201"/>
      <c r="EE122" s="201"/>
      <c r="EF122" s="201"/>
      <c r="EG122" s="201"/>
      <c r="EH122" s="201"/>
      <c r="EI122" s="201"/>
      <c r="EJ122" s="201"/>
      <c r="EK122" s="201"/>
      <c r="EL122" s="201"/>
      <c r="EM122" s="201"/>
      <c r="EN122" s="201"/>
      <c r="EO122" s="201"/>
      <c r="EP122" s="201"/>
      <c r="EQ122" s="201"/>
      <c r="ER122" s="9"/>
      <c r="ES122" s="201"/>
      <c r="ET122" s="9"/>
      <c r="EU122" s="9"/>
      <c r="EV122" s="9"/>
      <c r="EW122" s="9"/>
      <c r="EX122" s="9"/>
      <c r="EY122" s="9"/>
      <c r="EZ122" s="201"/>
      <c r="FA122" s="213"/>
      <c r="FB122" s="213"/>
      <c r="FC122" s="213"/>
      <c r="FD122" s="213"/>
      <c r="FE122" s="214"/>
      <c r="FF122" s="201"/>
      <c r="FG122" s="201"/>
      <c r="FH122" s="201"/>
      <c r="FI122" s="215"/>
      <c r="FJ122" s="215"/>
      <c r="FK122" s="201"/>
      <c r="FL122" s="201"/>
      <c r="FM122" s="201"/>
      <c r="FN122" s="201"/>
      <c r="FO122" s="9"/>
      <c r="FP122" s="201"/>
      <c r="FQ122" s="201"/>
      <c r="FR122" s="201"/>
      <c r="FS122" s="9"/>
      <c r="FT122" s="9"/>
      <c r="FU122" s="9"/>
      <c r="FV122" s="9"/>
      <c r="FW122" s="201"/>
      <c r="FX122" s="201"/>
      <c r="FY122" s="201"/>
      <c r="FZ122" s="201"/>
      <c r="GA122" s="201"/>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row>
    <row r="123" ht="13.2" spans="1:208">
      <c r="A123" s="172">
        <v>45914</v>
      </c>
      <c r="B123" s="20" t="s">
        <v>371</v>
      </c>
      <c r="C123" s="18"/>
      <c r="D123" s="20"/>
      <c r="E123" s="207"/>
      <c r="F123" s="20"/>
      <c r="G123" s="176"/>
      <c r="H123" s="175"/>
      <c r="I123" s="176"/>
      <c r="J123" s="178"/>
      <c r="K123" s="174"/>
      <c r="L123" s="174"/>
      <c r="M123" s="20"/>
      <c r="N123" s="176"/>
      <c r="O123" s="179"/>
      <c r="P123" s="179"/>
      <c r="Q123" s="174"/>
      <c r="R123" s="20"/>
      <c r="S123" s="20"/>
      <c r="T123" s="20"/>
      <c r="U123" s="176"/>
      <c r="V123" s="20"/>
      <c r="W123" s="178"/>
      <c r="X123" s="20"/>
      <c r="Y123" s="20"/>
      <c r="Z123" s="20"/>
      <c r="AA123" s="20"/>
      <c r="AB123" s="20"/>
      <c r="AC123" s="20"/>
      <c r="AD123" s="20"/>
      <c r="AE123" s="20"/>
      <c r="AF123" s="20"/>
      <c r="AG123" s="20"/>
      <c r="AH123" s="20"/>
      <c r="AI123" s="20"/>
      <c r="AJ123" s="20"/>
      <c r="AK123" s="20"/>
      <c r="AL123" s="20"/>
      <c r="AM123" s="180"/>
      <c r="AN123" s="173"/>
      <c r="AO123" s="20"/>
      <c r="AP123" s="20"/>
      <c r="AQ123" s="20"/>
      <c r="AR123" s="20"/>
      <c r="AS123" s="181"/>
      <c r="AT123" s="20"/>
      <c r="AU123" s="182"/>
      <c r="AV123" s="20"/>
      <c r="AW123" s="183"/>
      <c r="AX123" s="184"/>
      <c r="AY123" s="176"/>
      <c r="AZ123" s="182"/>
      <c r="BA123" s="183"/>
      <c r="BB123" s="176"/>
      <c r="BC123" s="179"/>
      <c r="BD123" s="179"/>
      <c r="BE123" s="182"/>
      <c r="BF123" s="186"/>
      <c r="BG123" s="186"/>
      <c r="BH123" s="187"/>
      <c r="BI123" s="182"/>
      <c r="BJ123" s="179"/>
      <c r="BK123" s="179"/>
      <c r="BL123" s="208"/>
      <c r="BM123" s="209"/>
      <c r="BN123" s="15"/>
      <c r="BO123" s="15"/>
      <c r="BP123" s="210"/>
      <c r="BQ123" s="182"/>
      <c r="BR123" s="182"/>
      <c r="BS123" s="182"/>
      <c r="BT123" s="20"/>
      <c r="BU123" s="20"/>
      <c r="BV123" s="20"/>
      <c r="BW123" s="185"/>
      <c r="BX123" s="182"/>
      <c r="BY123" s="182"/>
      <c r="BZ123" s="182"/>
      <c r="CA123" s="182"/>
      <c r="CB123" s="9"/>
      <c r="CC123" s="8"/>
      <c r="CD123" s="213"/>
      <c r="CE123" s="201"/>
      <c r="CF123" s="201"/>
      <c r="CG123" s="201"/>
      <c r="CH123" s="201"/>
      <c r="CI123" s="201"/>
      <c r="CJ123" s="201"/>
      <c r="CK123" s="201"/>
      <c r="CL123" s="201"/>
      <c r="CM123" s="201"/>
      <c r="CN123" s="201"/>
      <c r="CO123" s="201"/>
      <c r="CP123" s="201"/>
      <c r="CQ123" s="201"/>
      <c r="CR123" s="201"/>
      <c r="CS123" s="201"/>
      <c r="CT123" s="201"/>
      <c r="CU123" s="201"/>
      <c r="CV123" s="201"/>
      <c r="CW123" s="201"/>
      <c r="CX123" s="201"/>
      <c r="CY123" s="201"/>
      <c r="CZ123" s="201"/>
      <c r="DA123" s="201"/>
      <c r="DB123" s="201"/>
      <c r="DC123" s="201"/>
      <c r="DD123" s="201"/>
      <c r="DE123" s="201"/>
      <c r="DF123" s="201"/>
      <c r="DG123" s="201"/>
      <c r="DH123" s="201"/>
      <c r="DI123" s="201"/>
      <c r="DJ123" s="201"/>
      <c r="DK123" s="201"/>
      <c r="DL123" s="201"/>
      <c r="DM123" s="201"/>
      <c r="DN123" s="201"/>
      <c r="DO123" s="201"/>
      <c r="DP123" s="201"/>
      <c r="DQ123" s="201"/>
      <c r="DR123" s="201"/>
      <c r="DS123" s="201"/>
      <c r="DT123" s="201"/>
      <c r="DU123" s="201"/>
      <c r="DV123" s="201"/>
      <c r="DW123" s="201"/>
      <c r="DX123" s="201"/>
      <c r="DY123" s="201"/>
      <c r="DZ123" s="201"/>
      <c r="EA123" s="201"/>
      <c r="EB123" s="201"/>
      <c r="EC123" s="201"/>
      <c r="ED123" s="201"/>
      <c r="EE123" s="201"/>
      <c r="EF123" s="201"/>
      <c r="EG123" s="201"/>
      <c r="EH123" s="201"/>
      <c r="EI123" s="201"/>
      <c r="EJ123" s="201"/>
      <c r="EK123" s="201"/>
      <c r="EL123" s="201"/>
      <c r="EM123" s="201"/>
      <c r="EN123" s="201"/>
      <c r="EO123" s="201"/>
      <c r="EP123" s="201"/>
      <c r="EQ123" s="201"/>
      <c r="ER123" s="9"/>
      <c r="ES123" s="201"/>
      <c r="ET123" s="9"/>
      <c r="EU123" s="9"/>
      <c r="EV123" s="9"/>
      <c r="EW123" s="9"/>
      <c r="EX123" s="9"/>
      <c r="EY123" s="9"/>
      <c r="EZ123" s="201"/>
      <c r="FA123" s="213"/>
      <c r="FB123" s="213"/>
      <c r="FC123" s="213"/>
      <c r="FD123" s="213"/>
      <c r="FE123" s="214"/>
      <c r="FF123" s="201"/>
      <c r="FG123" s="201"/>
      <c r="FH123" s="201"/>
      <c r="FI123" s="215"/>
      <c r="FJ123" s="215"/>
      <c r="FK123" s="201"/>
      <c r="FL123" s="201"/>
      <c r="FM123" s="201"/>
      <c r="FN123" s="201"/>
      <c r="FO123" s="9"/>
      <c r="FP123" s="201"/>
      <c r="FQ123" s="201"/>
      <c r="FR123" s="201"/>
      <c r="FS123" s="9"/>
      <c r="FT123" s="9"/>
      <c r="FU123" s="9"/>
      <c r="FV123" s="9"/>
      <c r="FW123" s="201"/>
      <c r="FX123" s="201"/>
      <c r="FY123" s="201"/>
      <c r="FZ123" s="201"/>
      <c r="GA123" s="201"/>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row>
    <row r="124" ht="13.2" spans="1:208">
      <c r="A124" s="172">
        <v>45915</v>
      </c>
      <c r="B124" s="20" t="s">
        <v>373</v>
      </c>
      <c r="C124" s="18"/>
      <c r="D124" s="20"/>
      <c r="E124" s="207"/>
      <c r="F124" s="20"/>
      <c r="G124" s="176"/>
      <c r="H124" s="175"/>
      <c r="I124" s="176"/>
      <c r="J124" s="178"/>
      <c r="K124" s="174"/>
      <c r="L124" s="174"/>
      <c r="M124" s="20"/>
      <c r="N124" s="176"/>
      <c r="O124" s="179"/>
      <c r="P124" s="179"/>
      <c r="Q124" s="174"/>
      <c r="R124" s="20"/>
      <c r="S124" s="20"/>
      <c r="T124" s="20"/>
      <c r="U124" s="176"/>
      <c r="V124" s="20"/>
      <c r="W124" s="178"/>
      <c r="X124" s="20"/>
      <c r="Y124" s="20"/>
      <c r="Z124" s="20"/>
      <c r="AA124" s="20"/>
      <c r="AB124" s="20"/>
      <c r="AC124" s="20"/>
      <c r="AD124" s="20"/>
      <c r="AE124" s="20"/>
      <c r="AF124" s="20"/>
      <c r="AG124" s="20"/>
      <c r="AH124" s="20"/>
      <c r="AI124" s="20"/>
      <c r="AJ124" s="20"/>
      <c r="AK124" s="20"/>
      <c r="AL124" s="20"/>
      <c r="AM124" s="180"/>
      <c r="AN124" s="173"/>
      <c r="AO124" s="20"/>
      <c r="AP124" s="20"/>
      <c r="AQ124" s="20"/>
      <c r="AR124" s="20"/>
      <c r="AS124" s="181"/>
      <c r="AT124" s="20"/>
      <c r="AU124" s="182"/>
      <c r="AV124" s="20"/>
      <c r="AW124" s="183"/>
      <c r="AX124" s="184"/>
      <c r="AY124" s="176"/>
      <c r="AZ124" s="182"/>
      <c r="BA124" s="183"/>
      <c r="BB124" s="176"/>
      <c r="BC124" s="179"/>
      <c r="BD124" s="179"/>
      <c r="BE124" s="182"/>
      <c r="BF124" s="186"/>
      <c r="BG124" s="186"/>
      <c r="BH124" s="187"/>
      <c r="BI124" s="182"/>
      <c r="BJ124" s="179"/>
      <c r="BK124" s="179"/>
      <c r="BL124" s="208"/>
      <c r="BM124" s="209"/>
      <c r="BN124" s="15"/>
      <c r="BO124" s="15"/>
      <c r="BP124" s="210"/>
      <c r="BQ124" s="182"/>
      <c r="BR124" s="182"/>
      <c r="BS124" s="182"/>
      <c r="BT124" s="20"/>
      <c r="BU124" s="20"/>
      <c r="BV124" s="20"/>
      <c r="BW124" s="185"/>
      <c r="BX124" s="182"/>
      <c r="BY124" s="182"/>
      <c r="BZ124" s="182"/>
      <c r="CA124" s="182"/>
      <c r="CB124" s="9"/>
      <c r="CC124" s="8"/>
      <c r="CD124" s="213"/>
      <c r="CE124" s="201"/>
      <c r="CF124" s="201"/>
      <c r="CG124" s="201"/>
      <c r="CH124" s="201"/>
      <c r="CI124" s="201"/>
      <c r="CJ124" s="201"/>
      <c r="CK124" s="201"/>
      <c r="CL124" s="201"/>
      <c r="CM124" s="201"/>
      <c r="CN124" s="201"/>
      <c r="CO124" s="201"/>
      <c r="CP124" s="201"/>
      <c r="CQ124" s="201"/>
      <c r="CR124" s="201"/>
      <c r="CS124" s="201"/>
      <c r="CT124" s="201"/>
      <c r="CU124" s="201"/>
      <c r="CV124" s="201"/>
      <c r="CW124" s="201"/>
      <c r="CX124" s="201"/>
      <c r="CY124" s="201"/>
      <c r="CZ124" s="201"/>
      <c r="DA124" s="201"/>
      <c r="DB124" s="201"/>
      <c r="DC124" s="201"/>
      <c r="DD124" s="201"/>
      <c r="DE124" s="201"/>
      <c r="DF124" s="201"/>
      <c r="DG124" s="201"/>
      <c r="DH124" s="201"/>
      <c r="DI124" s="201"/>
      <c r="DJ124" s="201"/>
      <c r="DK124" s="201"/>
      <c r="DL124" s="201"/>
      <c r="DM124" s="201"/>
      <c r="DN124" s="201"/>
      <c r="DO124" s="201"/>
      <c r="DP124" s="201"/>
      <c r="DQ124" s="201"/>
      <c r="DR124" s="201"/>
      <c r="DS124" s="201"/>
      <c r="DT124" s="201"/>
      <c r="DU124" s="201"/>
      <c r="DV124" s="201"/>
      <c r="DW124" s="201"/>
      <c r="DX124" s="201"/>
      <c r="DY124" s="201"/>
      <c r="DZ124" s="201"/>
      <c r="EA124" s="201"/>
      <c r="EB124" s="201"/>
      <c r="EC124" s="201"/>
      <c r="ED124" s="201"/>
      <c r="EE124" s="201"/>
      <c r="EF124" s="201"/>
      <c r="EG124" s="201"/>
      <c r="EH124" s="201"/>
      <c r="EI124" s="201"/>
      <c r="EJ124" s="201"/>
      <c r="EK124" s="201"/>
      <c r="EL124" s="201"/>
      <c r="EM124" s="201"/>
      <c r="EN124" s="201"/>
      <c r="EO124" s="201"/>
      <c r="EP124" s="201"/>
      <c r="EQ124" s="201"/>
      <c r="ER124" s="9"/>
      <c r="ES124" s="201"/>
      <c r="ET124" s="9"/>
      <c r="EU124" s="9"/>
      <c r="EV124" s="9"/>
      <c r="EW124" s="9"/>
      <c r="EX124" s="9"/>
      <c r="EY124" s="9"/>
      <c r="EZ124" s="201"/>
      <c r="FA124" s="213"/>
      <c r="FB124" s="213"/>
      <c r="FC124" s="213"/>
      <c r="FD124" s="213"/>
      <c r="FE124" s="214"/>
      <c r="FF124" s="201"/>
      <c r="FG124" s="201"/>
      <c r="FH124" s="201"/>
      <c r="FI124" s="215"/>
      <c r="FJ124" s="215"/>
      <c r="FK124" s="201"/>
      <c r="FL124" s="201"/>
      <c r="FM124" s="201"/>
      <c r="FN124" s="201"/>
      <c r="FO124" s="9"/>
      <c r="FP124" s="201"/>
      <c r="FQ124" s="201"/>
      <c r="FR124" s="201"/>
      <c r="FS124" s="9"/>
      <c r="FT124" s="9"/>
      <c r="FU124" s="9"/>
      <c r="FV124" s="9"/>
      <c r="FW124" s="201"/>
      <c r="FX124" s="201"/>
      <c r="FY124" s="201"/>
      <c r="FZ124" s="201"/>
      <c r="GA124" s="201"/>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row>
    <row r="125" ht="13.2" spans="1:208">
      <c r="A125" s="172">
        <v>45916</v>
      </c>
      <c r="B125" s="20" t="s">
        <v>375</v>
      </c>
      <c r="C125" s="18"/>
      <c r="D125" s="20"/>
      <c r="E125" s="207"/>
      <c r="F125" s="20"/>
      <c r="G125" s="176"/>
      <c r="H125" s="175"/>
      <c r="I125" s="176"/>
      <c r="J125" s="178"/>
      <c r="K125" s="174"/>
      <c r="L125" s="174"/>
      <c r="M125" s="20"/>
      <c r="N125" s="176"/>
      <c r="O125" s="179"/>
      <c r="P125" s="179"/>
      <c r="Q125" s="174"/>
      <c r="R125" s="20"/>
      <c r="S125" s="20"/>
      <c r="T125" s="20"/>
      <c r="U125" s="176"/>
      <c r="V125" s="20"/>
      <c r="W125" s="178"/>
      <c r="X125" s="20"/>
      <c r="Y125" s="20"/>
      <c r="Z125" s="20"/>
      <c r="AA125" s="20"/>
      <c r="AB125" s="20"/>
      <c r="AC125" s="20"/>
      <c r="AD125" s="20"/>
      <c r="AE125" s="20"/>
      <c r="AF125" s="20"/>
      <c r="AG125" s="20"/>
      <c r="AH125" s="20"/>
      <c r="AI125" s="20"/>
      <c r="AJ125" s="20"/>
      <c r="AK125" s="20"/>
      <c r="AL125" s="20"/>
      <c r="AM125" s="180"/>
      <c r="AN125" s="173"/>
      <c r="AO125" s="20"/>
      <c r="AP125" s="20"/>
      <c r="AQ125" s="20"/>
      <c r="AR125" s="20"/>
      <c r="AS125" s="181"/>
      <c r="AT125" s="20"/>
      <c r="AU125" s="182"/>
      <c r="AV125" s="20"/>
      <c r="AW125" s="183"/>
      <c r="AX125" s="184"/>
      <c r="AY125" s="176"/>
      <c r="AZ125" s="182"/>
      <c r="BA125" s="183"/>
      <c r="BB125" s="176"/>
      <c r="BC125" s="179"/>
      <c r="BD125" s="179"/>
      <c r="BE125" s="182"/>
      <c r="BF125" s="186"/>
      <c r="BG125" s="186"/>
      <c r="BH125" s="187"/>
      <c r="BI125" s="182"/>
      <c r="BJ125" s="179"/>
      <c r="BK125" s="179"/>
      <c r="BL125" s="208"/>
      <c r="BM125" s="209"/>
      <c r="BN125" s="15"/>
      <c r="BO125" s="15"/>
      <c r="BP125" s="210"/>
      <c r="BQ125" s="182"/>
      <c r="BR125" s="182"/>
      <c r="BS125" s="182"/>
      <c r="BT125" s="20"/>
      <c r="BU125" s="20"/>
      <c r="BV125" s="20"/>
      <c r="BW125" s="185"/>
      <c r="BX125" s="182"/>
      <c r="BY125" s="182"/>
      <c r="BZ125" s="182"/>
      <c r="CA125" s="182"/>
      <c r="CB125" s="9"/>
      <c r="CC125" s="8"/>
      <c r="CD125" s="213"/>
      <c r="CE125" s="201"/>
      <c r="CF125" s="201"/>
      <c r="CG125" s="201"/>
      <c r="CH125" s="201"/>
      <c r="CI125" s="201"/>
      <c r="CJ125" s="201"/>
      <c r="CK125" s="201"/>
      <c r="CL125" s="201"/>
      <c r="CM125" s="201"/>
      <c r="CN125" s="201"/>
      <c r="CO125" s="201"/>
      <c r="CP125" s="201"/>
      <c r="CQ125" s="201"/>
      <c r="CR125" s="201"/>
      <c r="CS125" s="201"/>
      <c r="CT125" s="201"/>
      <c r="CU125" s="201"/>
      <c r="CV125" s="201"/>
      <c r="CW125" s="201"/>
      <c r="CX125" s="201"/>
      <c r="CY125" s="201"/>
      <c r="CZ125" s="201"/>
      <c r="DA125" s="201"/>
      <c r="DB125" s="201"/>
      <c r="DC125" s="201"/>
      <c r="DD125" s="201"/>
      <c r="DE125" s="201"/>
      <c r="DF125" s="201"/>
      <c r="DG125" s="201"/>
      <c r="DH125" s="201"/>
      <c r="DI125" s="201"/>
      <c r="DJ125" s="201"/>
      <c r="DK125" s="201"/>
      <c r="DL125" s="201"/>
      <c r="DM125" s="201"/>
      <c r="DN125" s="201"/>
      <c r="DO125" s="201"/>
      <c r="DP125" s="201"/>
      <c r="DQ125" s="201"/>
      <c r="DR125" s="201"/>
      <c r="DS125" s="201"/>
      <c r="DT125" s="201"/>
      <c r="DU125" s="201"/>
      <c r="DV125" s="201"/>
      <c r="DW125" s="201"/>
      <c r="DX125" s="201"/>
      <c r="DY125" s="201"/>
      <c r="DZ125" s="201"/>
      <c r="EA125" s="201"/>
      <c r="EB125" s="201"/>
      <c r="EC125" s="201"/>
      <c r="ED125" s="201"/>
      <c r="EE125" s="201"/>
      <c r="EF125" s="201"/>
      <c r="EG125" s="201"/>
      <c r="EH125" s="201"/>
      <c r="EI125" s="201"/>
      <c r="EJ125" s="201"/>
      <c r="EK125" s="201"/>
      <c r="EL125" s="201"/>
      <c r="EM125" s="201"/>
      <c r="EN125" s="201"/>
      <c r="EO125" s="201"/>
      <c r="EP125" s="201"/>
      <c r="EQ125" s="201"/>
      <c r="ER125" s="9"/>
      <c r="ES125" s="201"/>
      <c r="ET125" s="9"/>
      <c r="EU125" s="9"/>
      <c r="EV125" s="9"/>
      <c r="EW125" s="9"/>
      <c r="EX125" s="9"/>
      <c r="EY125" s="9"/>
      <c r="EZ125" s="201"/>
      <c r="FA125" s="213"/>
      <c r="FB125" s="213"/>
      <c r="FC125" s="213"/>
      <c r="FD125" s="213"/>
      <c r="FE125" s="214"/>
      <c r="FF125" s="201"/>
      <c r="FG125" s="201"/>
      <c r="FH125" s="201"/>
      <c r="FI125" s="215"/>
      <c r="FJ125" s="215"/>
      <c r="FK125" s="201"/>
      <c r="FL125" s="201"/>
      <c r="FM125" s="201"/>
      <c r="FN125" s="201"/>
      <c r="FO125" s="9"/>
      <c r="FP125" s="201"/>
      <c r="FQ125" s="201"/>
      <c r="FR125" s="201"/>
      <c r="FS125" s="9"/>
      <c r="FT125" s="9"/>
      <c r="FU125" s="9"/>
      <c r="FV125" s="9"/>
      <c r="FW125" s="201"/>
      <c r="FX125" s="201"/>
      <c r="FY125" s="201"/>
      <c r="FZ125" s="201"/>
      <c r="GA125" s="201"/>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row>
    <row r="126" ht="13.2" spans="1:208">
      <c r="A126" s="172">
        <v>45917</v>
      </c>
      <c r="B126" s="20" t="s">
        <v>377</v>
      </c>
      <c r="C126" s="18"/>
      <c r="D126" s="20"/>
      <c r="E126" s="207"/>
      <c r="F126" s="20"/>
      <c r="G126" s="176"/>
      <c r="H126" s="175"/>
      <c r="I126" s="176"/>
      <c r="J126" s="178"/>
      <c r="K126" s="174"/>
      <c r="L126" s="174"/>
      <c r="M126" s="20"/>
      <c r="N126" s="176"/>
      <c r="O126" s="179"/>
      <c r="P126" s="179"/>
      <c r="Q126" s="174"/>
      <c r="R126" s="20"/>
      <c r="S126" s="20"/>
      <c r="T126" s="20"/>
      <c r="U126" s="176"/>
      <c r="V126" s="20"/>
      <c r="W126" s="178"/>
      <c r="X126" s="20"/>
      <c r="Y126" s="20"/>
      <c r="Z126" s="20"/>
      <c r="AA126" s="20"/>
      <c r="AB126" s="20"/>
      <c r="AC126" s="20"/>
      <c r="AD126" s="20"/>
      <c r="AE126" s="20"/>
      <c r="AF126" s="20"/>
      <c r="AG126" s="20"/>
      <c r="AH126" s="20"/>
      <c r="AI126" s="20"/>
      <c r="AJ126" s="20"/>
      <c r="AK126" s="20"/>
      <c r="AL126" s="20"/>
      <c r="AM126" s="180"/>
      <c r="AN126" s="173"/>
      <c r="AO126" s="20"/>
      <c r="AP126" s="20"/>
      <c r="AQ126" s="20"/>
      <c r="AR126" s="20"/>
      <c r="AS126" s="181"/>
      <c r="AT126" s="20"/>
      <c r="AU126" s="182"/>
      <c r="AV126" s="20"/>
      <c r="AW126" s="183"/>
      <c r="AX126" s="184"/>
      <c r="AY126" s="176"/>
      <c r="AZ126" s="182"/>
      <c r="BA126" s="183"/>
      <c r="BB126" s="176"/>
      <c r="BC126" s="179"/>
      <c r="BD126" s="179"/>
      <c r="BE126" s="182"/>
      <c r="BF126" s="186"/>
      <c r="BG126" s="186"/>
      <c r="BH126" s="187"/>
      <c r="BI126" s="182"/>
      <c r="BJ126" s="179"/>
      <c r="BK126" s="179"/>
      <c r="BL126" s="208"/>
      <c r="BM126" s="209"/>
      <c r="BN126" s="15"/>
      <c r="BO126" s="15"/>
      <c r="BP126" s="210"/>
      <c r="BQ126" s="182"/>
      <c r="BR126" s="182"/>
      <c r="BS126" s="182"/>
      <c r="BT126" s="20"/>
      <c r="BU126" s="20"/>
      <c r="BV126" s="20"/>
      <c r="BW126" s="185"/>
      <c r="BX126" s="182"/>
      <c r="BY126" s="182"/>
      <c r="BZ126" s="182"/>
      <c r="CA126" s="182"/>
      <c r="CB126" s="9"/>
      <c r="CC126" s="8"/>
      <c r="CD126" s="213"/>
      <c r="CE126" s="201"/>
      <c r="CF126" s="201"/>
      <c r="CG126" s="201"/>
      <c r="CH126" s="201"/>
      <c r="CI126" s="201"/>
      <c r="CJ126" s="201"/>
      <c r="CK126" s="201"/>
      <c r="CL126" s="201"/>
      <c r="CM126" s="201"/>
      <c r="CN126" s="201"/>
      <c r="CO126" s="201"/>
      <c r="CP126" s="201"/>
      <c r="CQ126" s="201"/>
      <c r="CR126" s="201"/>
      <c r="CS126" s="201"/>
      <c r="CT126" s="201"/>
      <c r="CU126" s="201"/>
      <c r="CV126" s="201"/>
      <c r="CW126" s="201"/>
      <c r="CX126" s="201"/>
      <c r="CY126" s="201"/>
      <c r="CZ126" s="201"/>
      <c r="DA126" s="201"/>
      <c r="DB126" s="201"/>
      <c r="DC126" s="201"/>
      <c r="DD126" s="201"/>
      <c r="DE126" s="201"/>
      <c r="DF126" s="201"/>
      <c r="DG126" s="201"/>
      <c r="DH126" s="201"/>
      <c r="DI126" s="201"/>
      <c r="DJ126" s="201"/>
      <c r="DK126" s="201"/>
      <c r="DL126" s="201"/>
      <c r="DM126" s="201"/>
      <c r="DN126" s="201"/>
      <c r="DO126" s="201"/>
      <c r="DP126" s="201"/>
      <c r="DQ126" s="201"/>
      <c r="DR126" s="201"/>
      <c r="DS126" s="201"/>
      <c r="DT126" s="201"/>
      <c r="DU126" s="201"/>
      <c r="DV126" s="201"/>
      <c r="DW126" s="201"/>
      <c r="DX126" s="201"/>
      <c r="DY126" s="201"/>
      <c r="DZ126" s="201"/>
      <c r="EA126" s="201"/>
      <c r="EB126" s="201"/>
      <c r="EC126" s="201"/>
      <c r="ED126" s="201"/>
      <c r="EE126" s="201"/>
      <c r="EF126" s="201"/>
      <c r="EG126" s="201"/>
      <c r="EH126" s="201"/>
      <c r="EI126" s="201"/>
      <c r="EJ126" s="201"/>
      <c r="EK126" s="201"/>
      <c r="EL126" s="201"/>
      <c r="EM126" s="201"/>
      <c r="EN126" s="201"/>
      <c r="EO126" s="201"/>
      <c r="EP126" s="201"/>
      <c r="EQ126" s="201"/>
      <c r="ER126" s="9"/>
      <c r="ES126" s="201"/>
      <c r="ET126" s="9"/>
      <c r="EU126" s="9"/>
      <c r="EV126" s="9"/>
      <c r="EW126" s="9"/>
      <c r="EX126" s="9"/>
      <c r="EY126" s="9"/>
      <c r="EZ126" s="201"/>
      <c r="FA126" s="213"/>
      <c r="FB126" s="213"/>
      <c r="FC126" s="213"/>
      <c r="FD126" s="213"/>
      <c r="FE126" s="214"/>
      <c r="FF126" s="201"/>
      <c r="FG126" s="201"/>
      <c r="FH126" s="201"/>
      <c r="FI126" s="215"/>
      <c r="FJ126" s="215"/>
      <c r="FK126" s="201"/>
      <c r="FL126" s="201"/>
      <c r="FM126" s="201"/>
      <c r="FN126" s="201"/>
      <c r="FO126" s="9"/>
      <c r="FP126" s="201"/>
      <c r="FQ126" s="201"/>
      <c r="FR126" s="201"/>
      <c r="FS126" s="9"/>
      <c r="FT126" s="9"/>
      <c r="FU126" s="9"/>
      <c r="FV126" s="9"/>
      <c r="FW126" s="201"/>
      <c r="FX126" s="201"/>
      <c r="FY126" s="201"/>
      <c r="FZ126" s="201"/>
      <c r="GA126" s="201"/>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row>
    <row r="127" ht="13.2" spans="1:208">
      <c r="A127" s="172">
        <v>45918</v>
      </c>
      <c r="B127" s="20" t="s">
        <v>379</v>
      </c>
      <c r="C127" s="18"/>
      <c r="D127" s="20"/>
      <c r="E127" s="207"/>
      <c r="F127" s="20"/>
      <c r="G127" s="176"/>
      <c r="H127" s="175"/>
      <c r="I127" s="176"/>
      <c r="J127" s="178"/>
      <c r="K127" s="174"/>
      <c r="L127" s="174"/>
      <c r="M127" s="20"/>
      <c r="N127" s="176"/>
      <c r="O127" s="179"/>
      <c r="P127" s="179"/>
      <c r="Q127" s="174"/>
      <c r="R127" s="20"/>
      <c r="S127" s="20"/>
      <c r="T127" s="20"/>
      <c r="U127" s="176"/>
      <c r="V127" s="20"/>
      <c r="W127" s="178"/>
      <c r="X127" s="20"/>
      <c r="Y127" s="20"/>
      <c r="Z127" s="20"/>
      <c r="AA127" s="20"/>
      <c r="AB127" s="20"/>
      <c r="AC127" s="20"/>
      <c r="AD127" s="20"/>
      <c r="AE127" s="20"/>
      <c r="AF127" s="20"/>
      <c r="AG127" s="20"/>
      <c r="AH127" s="20"/>
      <c r="AI127" s="20"/>
      <c r="AJ127" s="20"/>
      <c r="AK127" s="20"/>
      <c r="AL127" s="20"/>
      <c r="AM127" s="180"/>
      <c r="AN127" s="173"/>
      <c r="AO127" s="20"/>
      <c r="AP127" s="20"/>
      <c r="AQ127" s="20"/>
      <c r="AR127" s="20"/>
      <c r="AS127" s="181"/>
      <c r="AT127" s="20"/>
      <c r="AU127" s="182"/>
      <c r="AV127" s="20"/>
      <c r="AW127" s="183"/>
      <c r="AX127" s="184"/>
      <c r="AY127" s="176"/>
      <c r="AZ127" s="182"/>
      <c r="BA127" s="183"/>
      <c r="BB127" s="176"/>
      <c r="BC127" s="179"/>
      <c r="BD127" s="179"/>
      <c r="BE127" s="182"/>
      <c r="BF127" s="186"/>
      <c r="BG127" s="186"/>
      <c r="BH127" s="187"/>
      <c r="BI127" s="182"/>
      <c r="BJ127" s="179"/>
      <c r="BK127" s="179"/>
      <c r="BL127" s="208"/>
      <c r="BM127" s="209"/>
      <c r="BN127" s="15"/>
      <c r="BO127" s="15"/>
      <c r="BP127" s="210"/>
      <c r="BQ127" s="182"/>
      <c r="BR127" s="182"/>
      <c r="BS127" s="182"/>
      <c r="BT127" s="20"/>
      <c r="BU127" s="20"/>
      <c r="BV127" s="20"/>
      <c r="BW127" s="185"/>
      <c r="BX127" s="182"/>
      <c r="BY127" s="182"/>
      <c r="BZ127" s="182"/>
      <c r="CA127" s="182"/>
      <c r="CB127" s="9"/>
      <c r="CC127" s="8"/>
      <c r="CD127" s="213"/>
      <c r="CE127" s="201"/>
      <c r="CF127" s="201"/>
      <c r="CG127" s="201"/>
      <c r="CH127" s="201"/>
      <c r="CI127" s="201"/>
      <c r="CJ127" s="201"/>
      <c r="CK127" s="201"/>
      <c r="CL127" s="201"/>
      <c r="CM127" s="201"/>
      <c r="CN127" s="201"/>
      <c r="CO127" s="201"/>
      <c r="CP127" s="201"/>
      <c r="CQ127" s="201"/>
      <c r="CR127" s="201"/>
      <c r="CS127" s="201"/>
      <c r="CT127" s="201"/>
      <c r="CU127" s="201"/>
      <c r="CV127" s="201"/>
      <c r="CW127" s="201"/>
      <c r="CX127" s="201"/>
      <c r="CY127" s="201"/>
      <c r="CZ127" s="201"/>
      <c r="DA127" s="201"/>
      <c r="DB127" s="201"/>
      <c r="DC127" s="201"/>
      <c r="DD127" s="201"/>
      <c r="DE127" s="201"/>
      <c r="DF127" s="201"/>
      <c r="DG127" s="201"/>
      <c r="DH127" s="201"/>
      <c r="DI127" s="201"/>
      <c r="DJ127" s="201"/>
      <c r="DK127" s="201"/>
      <c r="DL127" s="201"/>
      <c r="DM127" s="201"/>
      <c r="DN127" s="201"/>
      <c r="DO127" s="201"/>
      <c r="DP127" s="201"/>
      <c r="DQ127" s="201"/>
      <c r="DR127" s="201"/>
      <c r="DS127" s="201"/>
      <c r="DT127" s="201"/>
      <c r="DU127" s="201"/>
      <c r="DV127" s="201"/>
      <c r="DW127" s="201"/>
      <c r="DX127" s="201"/>
      <c r="DY127" s="201"/>
      <c r="DZ127" s="201"/>
      <c r="EA127" s="201"/>
      <c r="EB127" s="201"/>
      <c r="EC127" s="201"/>
      <c r="ED127" s="201"/>
      <c r="EE127" s="201"/>
      <c r="EF127" s="201"/>
      <c r="EG127" s="201"/>
      <c r="EH127" s="201"/>
      <c r="EI127" s="201"/>
      <c r="EJ127" s="201"/>
      <c r="EK127" s="201"/>
      <c r="EL127" s="201"/>
      <c r="EM127" s="201"/>
      <c r="EN127" s="201"/>
      <c r="EO127" s="201"/>
      <c r="EP127" s="201"/>
      <c r="EQ127" s="201"/>
      <c r="ER127" s="9"/>
      <c r="ES127" s="201"/>
      <c r="ET127" s="9"/>
      <c r="EU127" s="9"/>
      <c r="EV127" s="9"/>
      <c r="EW127" s="9"/>
      <c r="EX127" s="9"/>
      <c r="EY127" s="9"/>
      <c r="EZ127" s="201"/>
      <c r="FA127" s="213"/>
      <c r="FB127" s="213"/>
      <c r="FC127" s="213"/>
      <c r="FD127" s="213"/>
      <c r="FE127" s="214"/>
      <c r="FF127" s="201"/>
      <c r="FG127" s="201"/>
      <c r="FH127" s="201"/>
      <c r="FI127" s="215"/>
      <c r="FJ127" s="215"/>
      <c r="FK127" s="201"/>
      <c r="FL127" s="201"/>
      <c r="FM127" s="201"/>
      <c r="FN127" s="201"/>
      <c r="FO127" s="9"/>
      <c r="FP127" s="201"/>
      <c r="FQ127" s="201"/>
      <c r="FR127" s="201"/>
      <c r="FS127" s="9"/>
      <c r="FT127" s="9"/>
      <c r="FU127" s="9"/>
      <c r="FV127" s="9"/>
      <c r="FW127" s="201"/>
      <c r="FX127" s="201"/>
      <c r="FY127" s="201"/>
      <c r="FZ127" s="201"/>
      <c r="GA127" s="201"/>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row>
    <row r="128" ht="13.2" spans="1:208">
      <c r="A128" s="172">
        <v>45919</v>
      </c>
      <c r="B128" s="20" t="s">
        <v>381</v>
      </c>
      <c r="C128" s="18"/>
      <c r="D128" s="20"/>
      <c r="E128" s="207"/>
      <c r="F128" s="20"/>
      <c r="G128" s="176"/>
      <c r="H128" s="175"/>
      <c r="I128" s="176"/>
      <c r="J128" s="178"/>
      <c r="K128" s="174"/>
      <c r="L128" s="174"/>
      <c r="M128" s="20"/>
      <c r="N128" s="176"/>
      <c r="O128" s="179"/>
      <c r="P128" s="179"/>
      <c r="Q128" s="174"/>
      <c r="R128" s="20"/>
      <c r="S128" s="20"/>
      <c r="T128" s="20"/>
      <c r="U128" s="176"/>
      <c r="V128" s="20"/>
      <c r="W128" s="178"/>
      <c r="X128" s="20"/>
      <c r="Y128" s="20"/>
      <c r="Z128" s="20"/>
      <c r="AA128" s="20"/>
      <c r="AB128" s="20"/>
      <c r="AC128" s="20"/>
      <c r="AD128" s="20"/>
      <c r="AE128" s="20"/>
      <c r="AF128" s="20"/>
      <c r="AG128" s="20"/>
      <c r="AH128" s="20"/>
      <c r="AI128" s="20"/>
      <c r="AJ128" s="20"/>
      <c r="AK128" s="20"/>
      <c r="AL128" s="20"/>
      <c r="AM128" s="180"/>
      <c r="AN128" s="173"/>
      <c r="AO128" s="20"/>
      <c r="AP128" s="20"/>
      <c r="AQ128" s="20"/>
      <c r="AR128" s="20"/>
      <c r="AS128" s="181"/>
      <c r="AT128" s="20"/>
      <c r="AU128" s="182"/>
      <c r="AV128" s="20"/>
      <c r="AW128" s="183"/>
      <c r="AX128" s="184"/>
      <c r="AY128" s="176"/>
      <c r="AZ128" s="182"/>
      <c r="BA128" s="183"/>
      <c r="BB128" s="176"/>
      <c r="BC128" s="179"/>
      <c r="BD128" s="179"/>
      <c r="BE128" s="182"/>
      <c r="BF128" s="186"/>
      <c r="BG128" s="186"/>
      <c r="BH128" s="187"/>
      <c r="BI128" s="182"/>
      <c r="BJ128" s="179"/>
      <c r="BK128" s="179"/>
      <c r="BL128" s="208"/>
      <c r="BM128" s="209"/>
      <c r="BN128" s="15"/>
      <c r="BO128" s="15"/>
      <c r="BP128" s="210"/>
      <c r="BQ128" s="182"/>
      <c r="BR128" s="182"/>
      <c r="BS128" s="182"/>
      <c r="BT128" s="20"/>
      <c r="BU128" s="20"/>
      <c r="BV128" s="20"/>
      <c r="BW128" s="185"/>
      <c r="BX128" s="182"/>
      <c r="BY128" s="182"/>
      <c r="BZ128" s="182"/>
      <c r="CA128" s="182"/>
      <c r="CB128" s="9"/>
      <c r="CC128" s="8"/>
      <c r="CD128" s="213"/>
      <c r="CE128" s="201"/>
      <c r="CF128" s="201"/>
      <c r="CG128" s="201"/>
      <c r="CH128" s="201"/>
      <c r="CI128" s="201"/>
      <c r="CJ128" s="201"/>
      <c r="CK128" s="201"/>
      <c r="CL128" s="201"/>
      <c r="CM128" s="201"/>
      <c r="CN128" s="201"/>
      <c r="CO128" s="201"/>
      <c r="CP128" s="201"/>
      <c r="CQ128" s="201"/>
      <c r="CR128" s="201"/>
      <c r="CS128" s="201"/>
      <c r="CT128" s="201"/>
      <c r="CU128" s="201"/>
      <c r="CV128" s="201"/>
      <c r="CW128" s="201"/>
      <c r="CX128" s="201"/>
      <c r="CY128" s="201"/>
      <c r="CZ128" s="201"/>
      <c r="DA128" s="201"/>
      <c r="DB128" s="201"/>
      <c r="DC128" s="201"/>
      <c r="DD128" s="201"/>
      <c r="DE128" s="201"/>
      <c r="DF128" s="201"/>
      <c r="DG128" s="201"/>
      <c r="DH128" s="201"/>
      <c r="DI128" s="201"/>
      <c r="DJ128" s="201"/>
      <c r="DK128" s="201"/>
      <c r="DL128" s="201"/>
      <c r="DM128" s="201"/>
      <c r="DN128" s="201"/>
      <c r="DO128" s="201"/>
      <c r="DP128" s="201"/>
      <c r="DQ128" s="201"/>
      <c r="DR128" s="201"/>
      <c r="DS128" s="201"/>
      <c r="DT128" s="201"/>
      <c r="DU128" s="201"/>
      <c r="DV128" s="201"/>
      <c r="DW128" s="201"/>
      <c r="DX128" s="201"/>
      <c r="DY128" s="201"/>
      <c r="DZ128" s="201"/>
      <c r="EA128" s="201"/>
      <c r="EB128" s="201"/>
      <c r="EC128" s="201"/>
      <c r="ED128" s="201"/>
      <c r="EE128" s="201"/>
      <c r="EF128" s="201"/>
      <c r="EG128" s="201"/>
      <c r="EH128" s="201"/>
      <c r="EI128" s="201"/>
      <c r="EJ128" s="201"/>
      <c r="EK128" s="201"/>
      <c r="EL128" s="201"/>
      <c r="EM128" s="201"/>
      <c r="EN128" s="201"/>
      <c r="EO128" s="201"/>
      <c r="EP128" s="201"/>
      <c r="EQ128" s="201"/>
      <c r="ER128" s="9"/>
      <c r="ES128" s="201"/>
      <c r="ET128" s="9"/>
      <c r="EU128" s="9"/>
      <c r="EV128" s="9"/>
      <c r="EW128" s="9"/>
      <c r="EX128" s="9"/>
      <c r="EY128" s="9"/>
      <c r="EZ128" s="201"/>
      <c r="FA128" s="213"/>
      <c r="FB128" s="213"/>
      <c r="FC128" s="213"/>
      <c r="FD128" s="213"/>
      <c r="FE128" s="214"/>
      <c r="FF128" s="201"/>
      <c r="FG128" s="201"/>
      <c r="FH128" s="201"/>
      <c r="FI128" s="215"/>
      <c r="FJ128" s="215"/>
      <c r="FK128" s="201"/>
      <c r="FL128" s="201"/>
      <c r="FM128" s="201"/>
      <c r="FN128" s="201"/>
      <c r="FO128" s="9"/>
      <c r="FP128" s="201"/>
      <c r="FQ128" s="201"/>
      <c r="FR128" s="201"/>
      <c r="FS128" s="9"/>
      <c r="FT128" s="9"/>
      <c r="FU128" s="9"/>
      <c r="FV128" s="9"/>
      <c r="FW128" s="201"/>
      <c r="FX128" s="201"/>
      <c r="FY128" s="201"/>
      <c r="FZ128" s="201"/>
      <c r="GA128" s="201"/>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row>
    <row r="129" ht="13.2" spans="1:208">
      <c r="A129" s="172">
        <v>45920</v>
      </c>
      <c r="B129" s="20" t="s">
        <v>369</v>
      </c>
      <c r="C129" s="18"/>
      <c r="D129" s="20"/>
      <c r="E129" s="207"/>
      <c r="F129" s="20"/>
      <c r="G129" s="176"/>
      <c r="H129" s="175"/>
      <c r="I129" s="176"/>
      <c r="J129" s="178"/>
      <c r="K129" s="174"/>
      <c r="L129" s="174"/>
      <c r="M129" s="20"/>
      <c r="N129" s="176"/>
      <c r="O129" s="179"/>
      <c r="P129" s="179"/>
      <c r="Q129" s="174"/>
      <c r="R129" s="20"/>
      <c r="S129" s="20"/>
      <c r="T129" s="20"/>
      <c r="U129" s="176"/>
      <c r="V129" s="20"/>
      <c r="W129" s="178"/>
      <c r="X129" s="20"/>
      <c r="Y129" s="20"/>
      <c r="Z129" s="20"/>
      <c r="AA129" s="20"/>
      <c r="AB129" s="20"/>
      <c r="AC129" s="20"/>
      <c r="AD129" s="20"/>
      <c r="AE129" s="20"/>
      <c r="AF129" s="20"/>
      <c r="AG129" s="20"/>
      <c r="AH129" s="20"/>
      <c r="AI129" s="20"/>
      <c r="AJ129" s="20"/>
      <c r="AK129" s="20"/>
      <c r="AL129" s="20"/>
      <c r="AM129" s="180"/>
      <c r="AN129" s="173"/>
      <c r="AO129" s="20"/>
      <c r="AP129" s="20"/>
      <c r="AQ129" s="20"/>
      <c r="AR129" s="20"/>
      <c r="AS129" s="181"/>
      <c r="AT129" s="20"/>
      <c r="AU129" s="182"/>
      <c r="AV129" s="20"/>
      <c r="AW129" s="183"/>
      <c r="AX129" s="184"/>
      <c r="AY129" s="176"/>
      <c r="AZ129" s="182"/>
      <c r="BA129" s="183"/>
      <c r="BB129" s="176"/>
      <c r="BC129" s="179"/>
      <c r="BD129" s="179"/>
      <c r="BE129" s="182"/>
      <c r="BF129" s="186"/>
      <c r="BG129" s="186"/>
      <c r="BH129" s="187"/>
      <c r="BI129" s="182"/>
      <c r="BJ129" s="179"/>
      <c r="BK129" s="179"/>
      <c r="BL129" s="208"/>
      <c r="BM129" s="209"/>
      <c r="BN129" s="15"/>
      <c r="BO129" s="15"/>
      <c r="BP129" s="210"/>
      <c r="BQ129" s="182"/>
      <c r="BR129" s="182"/>
      <c r="BS129" s="182"/>
      <c r="BT129" s="20"/>
      <c r="BU129" s="20"/>
      <c r="BV129" s="20"/>
      <c r="BW129" s="185"/>
      <c r="BX129" s="182"/>
      <c r="BY129" s="182"/>
      <c r="BZ129" s="182"/>
      <c r="CA129" s="182"/>
      <c r="CB129" s="9"/>
      <c r="CC129" s="8"/>
      <c r="CD129" s="213"/>
      <c r="CE129" s="201"/>
      <c r="CF129" s="201"/>
      <c r="CG129" s="201"/>
      <c r="CH129" s="201"/>
      <c r="CI129" s="201"/>
      <c r="CJ129" s="201"/>
      <c r="CK129" s="201"/>
      <c r="CL129" s="201"/>
      <c r="CM129" s="201"/>
      <c r="CN129" s="201"/>
      <c r="CO129" s="201"/>
      <c r="CP129" s="201"/>
      <c r="CQ129" s="201"/>
      <c r="CR129" s="201"/>
      <c r="CS129" s="201"/>
      <c r="CT129" s="201"/>
      <c r="CU129" s="201"/>
      <c r="CV129" s="201"/>
      <c r="CW129" s="201"/>
      <c r="CX129" s="201"/>
      <c r="CY129" s="201"/>
      <c r="CZ129" s="201"/>
      <c r="DA129" s="201"/>
      <c r="DB129" s="201"/>
      <c r="DC129" s="201"/>
      <c r="DD129" s="201"/>
      <c r="DE129" s="201"/>
      <c r="DF129" s="201"/>
      <c r="DG129" s="201"/>
      <c r="DH129" s="201"/>
      <c r="DI129" s="201"/>
      <c r="DJ129" s="201"/>
      <c r="DK129" s="201"/>
      <c r="DL129" s="201"/>
      <c r="DM129" s="201"/>
      <c r="DN129" s="201"/>
      <c r="DO129" s="201"/>
      <c r="DP129" s="201"/>
      <c r="DQ129" s="201"/>
      <c r="DR129" s="201"/>
      <c r="DS129" s="201"/>
      <c r="DT129" s="201"/>
      <c r="DU129" s="201"/>
      <c r="DV129" s="201"/>
      <c r="DW129" s="201"/>
      <c r="DX129" s="201"/>
      <c r="DY129" s="201"/>
      <c r="DZ129" s="201"/>
      <c r="EA129" s="201"/>
      <c r="EB129" s="201"/>
      <c r="EC129" s="201"/>
      <c r="ED129" s="201"/>
      <c r="EE129" s="201"/>
      <c r="EF129" s="201"/>
      <c r="EG129" s="201"/>
      <c r="EH129" s="201"/>
      <c r="EI129" s="201"/>
      <c r="EJ129" s="201"/>
      <c r="EK129" s="201"/>
      <c r="EL129" s="201"/>
      <c r="EM129" s="201"/>
      <c r="EN129" s="201"/>
      <c r="EO129" s="201"/>
      <c r="EP129" s="201"/>
      <c r="EQ129" s="201"/>
      <c r="ER129" s="9"/>
      <c r="ES129" s="201"/>
      <c r="ET129" s="9"/>
      <c r="EU129" s="9"/>
      <c r="EV129" s="9"/>
      <c r="EW129" s="9"/>
      <c r="EX129" s="9"/>
      <c r="EY129" s="9"/>
      <c r="EZ129" s="201"/>
      <c r="FA129" s="213"/>
      <c r="FB129" s="213"/>
      <c r="FC129" s="213"/>
      <c r="FD129" s="213"/>
      <c r="FE129" s="214"/>
      <c r="FF129" s="201"/>
      <c r="FG129" s="201"/>
      <c r="FH129" s="201"/>
      <c r="FI129" s="215"/>
      <c r="FJ129" s="215"/>
      <c r="FK129" s="201"/>
      <c r="FL129" s="201"/>
      <c r="FM129" s="201"/>
      <c r="FN129" s="201"/>
      <c r="FO129" s="9"/>
      <c r="FP129" s="201"/>
      <c r="FQ129" s="201"/>
      <c r="FR129" s="201"/>
      <c r="FS129" s="9"/>
      <c r="FT129" s="9"/>
      <c r="FU129" s="9"/>
      <c r="FV129" s="9"/>
      <c r="FW129" s="201"/>
      <c r="FX129" s="201"/>
      <c r="FY129" s="201"/>
      <c r="FZ129" s="201"/>
      <c r="GA129" s="201"/>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row>
    <row r="130" ht="13.2" spans="1:208">
      <c r="A130" s="172">
        <v>45921</v>
      </c>
      <c r="B130" s="20" t="s">
        <v>371</v>
      </c>
      <c r="C130" s="18"/>
      <c r="D130" s="20"/>
      <c r="E130" s="207"/>
      <c r="F130" s="20"/>
      <c r="G130" s="176"/>
      <c r="H130" s="175"/>
      <c r="I130" s="176"/>
      <c r="J130" s="178"/>
      <c r="K130" s="174"/>
      <c r="L130" s="174"/>
      <c r="M130" s="20"/>
      <c r="N130" s="176"/>
      <c r="O130" s="179"/>
      <c r="P130" s="179"/>
      <c r="Q130" s="174"/>
      <c r="R130" s="20"/>
      <c r="S130" s="20"/>
      <c r="T130" s="20"/>
      <c r="U130" s="176"/>
      <c r="V130" s="20"/>
      <c r="W130" s="178"/>
      <c r="X130" s="20"/>
      <c r="Y130" s="20"/>
      <c r="Z130" s="20"/>
      <c r="AA130" s="20"/>
      <c r="AB130" s="20"/>
      <c r="AC130" s="20"/>
      <c r="AD130" s="20"/>
      <c r="AE130" s="20"/>
      <c r="AF130" s="20"/>
      <c r="AG130" s="20"/>
      <c r="AH130" s="20"/>
      <c r="AI130" s="20"/>
      <c r="AJ130" s="20"/>
      <c r="AK130" s="20"/>
      <c r="AL130" s="20"/>
      <c r="AM130" s="180"/>
      <c r="AN130" s="173"/>
      <c r="AO130" s="20"/>
      <c r="AP130" s="20"/>
      <c r="AQ130" s="20"/>
      <c r="AR130" s="20"/>
      <c r="AS130" s="181"/>
      <c r="AT130" s="20"/>
      <c r="AU130" s="182"/>
      <c r="AV130" s="20"/>
      <c r="AW130" s="183"/>
      <c r="AX130" s="184"/>
      <c r="AY130" s="176"/>
      <c r="AZ130" s="182"/>
      <c r="BA130" s="183"/>
      <c r="BB130" s="176"/>
      <c r="BC130" s="179"/>
      <c r="BD130" s="179"/>
      <c r="BE130" s="182"/>
      <c r="BF130" s="186"/>
      <c r="BG130" s="186"/>
      <c r="BH130" s="187"/>
      <c r="BI130" s="182"/>
      <c r="BJ130" s="179"/>
      <c r="BK130" s="179"/>
      <c r="BL130" s="208"/>
      <c r="BM130" s="209"/>
      <c r="BN130" s="15"/>
      <c r="BO130" s="15"/>
      <c r="BP130" s="210"/>
      <c r="BQ130" s="182"/>
      <c r="BR130" s="182"/>
      <c r="BS130" s="182"/>
      <c r="BT130" s="20"/>
      <c r="BU130" s="20"/>
      <c r="BV130" s="20"/>
      <c r="BW130" s="185"/>
      <c r="BX130" s="182"/>
      <c r="BY130" s="182"/>
      <c r="BZ130" s="182"/>
      <c r="CA130" s="182"/>
      <c r="CB130" s="9"/>
      <c r="CC130" s="8"/>
      <c r="CD130" s="213"/>
      <c r="CE130" s="201"/>
      <c r="CF130" s="201"/>
      <c r="CG130" s="201"/>
      <c r="CH130" s="201"/>
      <c r="CI130" s="201"/>
      <c r="CJ130" s="201"/>
      <c r="CK130" s="201"/>
      <c r="CL130" s="201"/>
      <c r="CM130" s="201"/>
      <c r="CN130" s="201"/>
      <c r="CO130" s="201"/>
      <c r="CP130" s="201"/>
      <c r="CQ130" s="201"/>
      <c r="CR130" s="201"/>
      <c r="CS130" s="201"/>
      <c r="CT130" s="201"/>
      <c r="CU130" s="201"/>
      <c r="CV130" s="201"/>
      <c r="CW130" s="201"/>
      <c r="CX130" s="201"/>
      <c r="CY130" s="201"/>
      <c r="CZ130" s="201"/>
      <c r="DA130" s="201"/>
      <c r="DB130" s="201"/>
      <c r="DC130" s="201"/>
      <c r="DD130" s="201"/>
      <c r="DE130" s="201"/>
      <c r="DF130" s="201"/>
      <c r="DG130" s="201"/>
      <c r="DH130" s="201"/>
      <c r="DI130" s="201"/>
      <c r="DJ130" s="201"/>
      <c r="DK130" s="201"/>
      <c r="DL130" s="201"/>
      <c r="DM130" s="201"/>
      <c r="DN130" s="201"/>
      <c r="DO130" s="201"/>
      <c r="DP130" s="201"/>
      <c r="DQ130" s="201"/>
      <c r="DR130" s="201"/>
      <c r="DS130" s="201"/>
      <c r="DT130" s="201"/>
      <c r="DU130" s="201"/>
      <c r="DV130" s="201"/>
      <c r="DW130" s="201"/>
      <c r="DX130" s="201"/>
      <c r="DY130" s="201"/>
      <c r="DZ130" s="201"/>
      <c r="EA130" s="201"/>
      <c r="EB130" s="201"/>
      <c r="EC130" s="201"/>
      <c r="ED130" s="201"/>
      <c r="EE130" s="201"/>
      <c r="EF130" s="201"/>
      <c r="EG130" s="201"/>
      <c r="EH130" s="201"/>
      <c r="EI130" s="201"/>
      <c r="EJ130" s="201"/>
      <c r="EK130" s="201"/>
      <c r="EL130" s="201"/>
      <c r="EM130" s="201"/>
      <c r="EN130" s="201"/>
      <c r="EO130" s="201"/>
      <c r="EP130" s="201"/>
      <c r="EQ130" s="201"/>
      <c r="ER130" s="9"/>
      <c r="ES130" s="201"/>
      <c r="ET130" s="9"/>
      <c r="EU130" s="9"/>
      <c r="EV130" s="9"/>
      <c r="EW130" s="9"/>
      <c r="EX130" s="9"/>
      <c r="EY130" s="9"/>
      <c r="EZ130" s="201"/>
      <c r="FA130" s="213"/>
      <c r="FB130" s="213"/>
      <c r="FC130" s="213"/>
      <c r="FD130" s="213"/>
      <c r="FE130" s="214"/>
      <c r="FF130" s="201"/>
      <c r="FG130" s="201"/>
      <c r="FH130" s="201"/>
      <c r="FI130" s="215"/>
      <c r="FJ130" s="215"/>
      <c r="FK130" s="201"/>
      <c r="FL130" s="201"/>
      <c r="FM130" s="201"/>
      <c r="FN130" s="201"/>
      <c r="FO130" s="9"/>
      <c r="FP130" s="201"/>
      <c r="FQ130" s="201"/>
      <c r="FR130" s="201"/>
      <c r="FS130" s="9"/>
      <c r="FT130" s="9"/>
      <c r="FU130" s="9"/>
      <c r="FV130" s="9"/>
      <c r="FW130" s="201"/>
      <c r="FX130" s="201"/>
      <c r="FY130" s="201"/>
      <c r="FZ130" s="201"/>
      <c r="GA130" s="201"/>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row>
    <row r="131" ht="13.2" spans="1:208">
      <c r="A131" s="172">
        <v>45922</v>
      </c>
      <c r="B131" s="20" t="s">
        <v>373</v>
      </c>
      <c r="C131" s="18"/>
      <c r="D131" s="20"/>
      <c r="E131" s="207"/>
      <c r="F131" s="20"/>
      <c r="G131" s="176"/>
      <c r="H131" s="175"/>
      <c r="I131" s="176"/>
      <c r="J131" s="178"/>
      <c r="K131" s="174"/>
      <c r="L131" s="174"/>
      <c r="M131" s="20"/>
      <c r="N131" s="176"/>
      <c r="O131" s="179"/>
      <c r="P131" s="179"/>
      <c r="Q131" s="174"/>
      <c r="R131" s="20"/>
      <c r="S131" s="20"/>
      <c r="T131" s="20"/>
      <c r="U131" s="176"/>
      <c r="V131" s="20"/>
      <c r="W131" s="178"/>
      <c r="X131" s="20"/>
      <c r="Y131" s="20"/>
      <c r="Z131" s="20"/>
      <c r="AA131" s="20"/>
      <c r="AB131" s="20"/>
      <c r="AC131" s="20"/>
      <c r="AD131" s="20"/>
      <c r="AE131" s="20"/>
      <c r="AF131" s="20"/>
      <c r="AG131" s="20"/>
      <c r="AH131" s="20"/>
      <c r="AI131" s="20"/>
      <c r="AJ131" s="20"/>
      <c r="AK131" s="20"/>
      <c r="AL131" s="20"/>
      <c r="AM131" s="180"/>
      <c r="AN131" s="173"/>
      <c r="AO131" s="20"/>
      <c r="AP131" s="20"/>
      <c r="AQ131" s="20"/>
      <c r="AR131" s="20"/>
      <c r="AS131" s="181"/>
      <c r="AT131" s="20"/>
      <c r="AU131" s="182"/>
      <c r="AV131" s="20"/>
      <c r="AW131" s="183"/>
      <c r="AX131" s="184"/>
      <c r="AY131" s="176"/>
      <c r="AZ131" s="182"/>
      <c r="BA131" s="183"/>
      <c r="BB131" s="176"/>
      <c r="BC131" s="179"/>
      <c r="BD131" s="179"/>
      <c r="BE131" s="182"/>
      <c r="BF131" s="186"/>
      <c r="BG131" s="186"/>
      <c r="BH131" s="187"/>
      <c r="BI131" s="182"/>
      <c r="BJ131" s="179"/>
      <c r="BK131" s="179"/>
      <c r="BL131" s="208"/>
      <c r="BM131" s="209"/>
      <c r="BN131" s="15"/>
      <c r="BO131" s="15"/>
      <c r="BP131" s="210"/>
      <c r="BQ131" s="182"/>
      <c r="BR131" s="182"/>
      <c r="BS131" s="182"/>
      <c r="BT131" s="20"/>
      <c r="BU131" s="20"/>
      <c r="BV131" s="20"/>
      <c r="BW131" s="185"/>
      <c r="BX131" s="182"/>
      <c r="BY131" s="182"/>
      <c r="BZ131" s="182"/>
      <c r="CA131" s="182"/>
      <c r="CB131" s="9"/>
      <c r="CC131" s="8"/>
      <c r="CD131" s="213"/>
      <c r="CE131" s="201"/>
      <c r="CF131" s="201"/>
      <c r="CG131" s="201"/>
      <c r="CH131" s="201"/>
      <c r="CI131" s="201"/>
      <c r="CJ131" s="201"/>
      <c r="CK131" s="201"/>
      <c r="CL131" s="201"/>
      <c r="CM131" s="201"/>
      <c r="CN131" s="201"/>
      <c r="CO131" s="201"/>
      <c r="CP131" s="201"/>
      <c r="CQ131" s="201"/>
      <c r="CR131" s="201"/>
      <c r="CS131" s="201"/>
      <c r="CT131" s="201"/>
      <c r="CU131" s="201"/>
      <c r="CV131" s="201"/>
      <c r="CW131" s="201"/>
      <c r="CX131" s="201"/>
      <c r="CY131" s="201"/>
      <c r="CZ131" s="201"/>
      <c r="DA131" s="201"/>
      <c r="DB131" s="201"/>
      <c r="DC131" s="201"/>
      <c r="DD131" s="201"/>
      <c r="DE131" s="201"/>
      <c r="DF131" s="201"/>
      <c r="DG131" s="201"/>
      <c r="DH131" s="201"/>
      <c r="DI131" s="201"/>
      <c r="DJ131" s="201"/>
      <c r="DK131" s="201"/>
      <c r="DL131" s="201"/>
      <c r="DM131" s="201"/>
      <c r="DN131" s="201"/>
      <c r="DO131" s="201"/>
      <c r="DP131" s="201"/>
      <c r="DQ131" s="201"/>
      <c r="DR131" s="201"/>
      <c r="DS131" s="201"/>
      <c r="DT131" s="201"/>
      <c r="DU131" s="201"/>
      <c r="DV131" s="201"/>
      <c r="DW131" s="201"/>
      <c r="DX131" s="201"/>
      <c r="DY131" s="201"/>
      <c r="DZ131" s="201"/>
      <c r="EA131" s="201"/>
      <c r="EB131" s="201"/>
      <c r="EC131" s="201"/>
      <c r="ED131" s="201"/>
      <c r="EE131" s="201"/>
      <c r="EF131" s="201"/>
      <c r="EG131" s="201"/>
      <c r="EH131" s="201"/>
      <c r="EI131" s="201"/>
      <c r="EJ131" s="201"/>
      <c r="EK131" s="201"/>
      <c r="EL131" s="201"/>
      <c r="EM131" s="201"/>
      <c r="EN131" s="201"/>
      <c r="EO131" s="201"/>
      <c r="EP131" s="201"/>
      <c r="EQ131" s="201"/>
      <c r="ER131" s="9"/>
      <c r="ES131" s="201"/>
      <c r="ET131" s="9"/>
      <c r="EU131" s="9"/>
      <c r="EV131" s="9"/>
      <c r="EW131" s="9"/>
      <c r="EX131" s="9"/>
      <c r="EY131" s="9"/>
      <c r="EZ131" s="201"/>
      <c r="FA131" s="213"/>
      <c r="FB131" s="213"/>
      <c r="FC131" s="213"/>
      <c r="FD131" s="213"/>
      <c r="FE131" s="214"/>
      <c r="FF131" s="201"/>
      <c r="FG131" s="201"/>
      <c r="FH131" s="201"/>
      <c r="FI131" s="215"/>
      <c r="FJ131" s="215"/>
      <c r="FK131" s="201"/>
      <c r="FL131" s="201"/>
      <c r="FM131" s="201"/>
      <c r="FN131" s="201"/>
      <c r="FO131" s="9"/>
      <c r="FP131" s="201"/>
      <c r="FQ131" s="201"/>
      <c r="FR131" s="201"/>
      <c r="FS131" s="9"/>
      <c r="FT131" s="9"/>
      <c r="FU131" s="9"/>
      <c r="FV131" s="9"/>
      <c r="FW131" s="201"/>
      <c r="FX131" s="201"/>
      <c r="FY131" s="201"/>
      <c r="FZ131" s="201"/>
      <c r="GA131" s="201"/>
      <c r="GB131" s="9"/>
      <c r="GC131" s="9"/>
      <c r="GD131" s="9"/>
      <c r="GE131" s="9"/>
      <c r="GF131" s="9"/>
      <c r="GG131" s="9"/>
      <c r="GH131" s="9"/>
      <c r="GI131" s="9"/>
      <c r="GJ131" s="9"/>
      <c r="GK131" s="9"/>
      <c r="GL131" s="9"/>
      <c r="GM131" s="9"/>
      <c r="GN131" s="9"/>
      <c r="GO131" s="9"/>
      <c r="GP131" s="9"/>
      <c r="GQ131" s="9"/>
      <c r="GR131" s="9"/>
      <c r="GS131" s="9"/>
      <c r="GT131" s="9"/>
      <c r="GU131" s="9"/>
      <c r="GV131" s="9"/>
      <c r="GW131" s="9"/>
      <c r="GX131" s="9"/>
      <c r="GY131" s="9"/>
      <c r="GZ131" s="9"/>
    </row>
    <row r="132" ht="13.2" spans="1:208">
      <c r="A132" s="172">
        <v>45923</v>
      </c>
      <c r="B132" s="20" t="s">
        <v>375</v>
      </c>
      <c r="C132" s="18"/>
      <c r="D132" s="20"/>
      <c r="E132" s="207"/>
      <c r="F132" s="20"/>
      <c r="G132" s="176"/>
      <c r="H132" s="175"/>
      <c r="I132" s="176"/>
      <c r="J132" s="178"/>
      <c r="K132" s="174"/>
      <c r="L132" s="174"/>
      <c r="M132" s="20"/>
      <c r="N132" s="176"/>
      <c r="O132" s="179"/>
      <c r="P132" s="179"/>
      <c r="Q132" s="174"/>
      <c r="R132" s="20"/>
      <c r="S132" s="20"/>
      <c r="T132" s="20"/>
      <c r="U132" s="176"/>
      <c r="V132" s="20"/>
      <c r="W132" s="178"/>
      <c r="X132" s="20"/>
      <c r="Y132" s="20"/>
      <c r="Z132" s="20"/>
      <c r="AA132" s="20"/>
      <c r="AB132" s="20"/>
      <c r="AC132" s="20"/>
      <c r="AD132" s="20"/>
      <c r="AE132" s="20"/>
      <c r="AF132" s="20"/>
      <c r="AG132" s="20"/>
      <c r="AH132" s="20"/>
      <c r="AI132" s="20"/>
      <c r="AJ132" s="20"/>
      <c r="AK132" s="20"/>
      <c r="AL132" s="20"/>
      <c r="AM132" s="180"/>
      <c r="AN132" s="173"/>
      <c r="AO132" s="20"/>
      <c r="AP132" s="20"/>
      <c r="AQ132" s="20"/>
      <c r="AR132" s="20"/>
      <c r="AS132" s="181"/>
      <c r="AT132" s="20"/>
      <c r="AU132" s="182"/>
      <c r="AV132" s="20"/>
      <c r="AW132" s="183"/>
      <c r="AX132" s="184"/>
      <c r="AY132" s="176"/>
      <c r="AZ132" s="182"/>
      <c r="BA132" s="183"/>
      <c r="BB132" s="176"/>
      <c r="BC132" s="179"/>
      <c r="BD132" s="179"/>
      <c r="BE132" s="182"/>
      <c r="BF132" s="186"/>
      <c r="BG132" s="186"/>
      <c r="BH132" s="187"/>
      <c r="BI132" s="182"/>
      <c r="BJ132" s="179"/>
      <c r="BK132" s="179"/>
      <c r="BL132" s="208"/>
      <c r="BM132" s="209"/>
      <c r="BN132" s="15"/>
      <c r="BO132" s="15"/>
      <c r="BP132" s="210"/>
      <c r="BQ132" s="182"/>
      <c r="BR132" s="182"/>
      <c r="BS132" s="182"/>
      <c r="BT132" s="20"/>
      <c r="BU132" s="20"/>
      <c r="BV132" s="20"/>
      <c r="BW132" s="185"/>
      <c r="BX132" s="182"/>
      <c r="BY132" s="182"/>
      <c r="BZ132" s="182"/>
      <c r="CA132" s="182"/>
      <c r="CB132" s="9"/>
      <c r="CC132" s="8"/>
      <c r="CD132" s="213"/>
      <c r="CE132" s="201"/>
      <c r="CF132" s="201"/>
      <c r="CG132" s="201"/>
      <c r="CH132" s="201"/>
      <c r="CI132" s="201"/>
      <c r="CJ132" s="201"/>
      <c r="CK132" s="201"/>
      <c r="CL132" s="201"/>
      <c r="CM132" s="201"/>
      <c r="CN132" s="201"/>
      <c r="CO132" s="201"/>
      <c r="CP132" s="201"/>
      <c r="CQ132" s="201"/>
      <c r="CR132" s="201"/>
      <c r="CS132" s="201"/>
      <c r="CT132" s="201"/>
      <c r="CU132" s="201"/>
      <c r="CV132" s="201"/>
      <c r="CW132" s="201"/>
      <c r="CX132" s="201"/>
      <c r="CY132" s="201"/>
      <c r="CZ132" s="201"/>
      <c r="DA132" s="201"/>
      <c r="DB132" s="201"/>
      <c r="DC132" s="201"/>
      <c r="DD132" s="201"/>
      <c r="DE132" s="201"/>
      <c r="DF132" s="201"/>
      <c r="DG132" s="201"/>
      <c r="DH132" s="201"/>
      <c r="DI132" s="201"/>
      <c r="DJ132" s="201"/>
      <c r="DK132" s="201"/>
      <c r="DL132" s="201"/>
      <c r="DM132" s="201"/>
      <c r="DN132" s="201"/>
      <c r="DO132" s="201"/>
      <c r="DP132" s="201"/>
      <c r="DQ132" s="201"/>
      <c r="DR132" s="201"/>
      <c r="DS132" s="201"/>
      <c r="DT132" s="201"/>
      <c r="DU132" s="201"/>
      <c r="DV132" s="201"/>
      <c r="DW132" s="201"/>
      <c r="DX132" s="201"/>
      <c r="DY132" s="201"/>
      <c r="DZ132" s="201"/>
      <c r="EA132" s="201"/>
      <c r="EB132" s="201"/>
      <c r="EC132" s="201"/>
      <c r="ED132" s="201"/>
      <c r="EE132" s="201"/>
      <c r="EF132" s="201"/>
      <c r="EG132" s="201"/>
      <c r="EH132" s="201"/>
      <c r="EI132" s="201"/>
      <c r="EJ132" s="201"/>
      <c r="EK132" s="201"/>
      <c r="EL132" s="201"/>
      <c r="EM132" s="201"/>
      <c r="EN132" s="201"/>
      <c r="EO132" s="201"/>
      <c r="EP132" s="201"/>
      <c r="EQ132" s="201"/>
      <c r="ER132" s="9"/>
      <c r="ES132" s="201"/>
      <c r="ET132" s="9"/>
      <c r="EU132" s="9"/>
      <c r="EV132" s="9"/>
      <c r="EW132" s="9"/>
      <c r="EX132" s="9"/>
      <c r="EY132" s="9"/>
      <c r="EZ132" s="201"/>
      <c r="FA132" s="213"/>
      <c r="FB132" s="213"/>
      <c r="FC132" s="213"/>
      <c r="FD132" s="213"/>
      <c r="FE132" s="214"/>
      <c r="FF132" s="201"/>
      <c r="FG132" s="201"/>
      <c r="FH132" s="201"/>
      <c r="FI132" s="215"/>
      <c r="FJ132" s="215"/>
      <c r="FK132" s="201"/>
      <c r="FL132" s="201"/>
      <c r="FM132" s="201"/>
      <c r="FN132" s="201"/>
      <c r="FO132" s="9"/>
      <c r="FP132" s="201"/>
      <c r="FQ132" s="201"/>
      <c r="FR132" s="201"/>
      <c r="FS132" s="9"/>
      <c r="FT132" s="9"/>
      <c r="FU132" s="9"/>
      <c r="FV132" s="9"/>
      <c r="FW132" s="201"/>
      <c r="FX132" s="201"/>
      <c r="FY132" s="201"/>
      <c r="FZ132" s="201"/>
      <c r="GA132" s="201"/>
      <c r="GB132" s="9"/>
      <c r="GC132" s="9"/>
      <c r="GD132" s="9"/>
      <c r="GE132" s="9"/>
      <c r="GF132" s="9"/>
      <c r="GG132" s="9"/>
      <c r="GH132" s="9"/>
      <c r="GI132" s="9"/>
      <c r="GJ132" s="9"/>
      <c r="GK132" s="9"/>
      <c r="GL132" s="9"/>
      <c r="GM132" s="9"/>
      <c r="GN132" s="9"/>
      <c r="GO132" s="9"/>
      <c r="GP132" s="9"/>
      <c r="GQ132" s="9"/>
      <c r="GR132" s="9"/>
      <c r="GS132" s="9"/>
      <c r="GT132" s="9"/>
      <c r="GU132" s="9"/>
      <c r="GV132" s="9"/>
      <c r="GW132" s="9"/>
      <c r="GX132" s="9"/>
      <c r="GY132" s="9"/>
      <c r="GZ132" s="9"/>
    </row>
    <row r="133" ht="13.2" spans="1:208">
      <c r="A133" s="172">
        <v>45924</v>
      </c>
      <c r="B133" s="20" t="s">
        <v>377</v>
      </c>
      <c r="C133" s="173"/>
      <c r="D133" s="20"/>
      <c r="E133" s="207"/>
      <c r="F133" s="20"/>
      <c r="G133" s="176"/>
      <c r="H133" s="175"/>
      <c r="I133" s="176"/>
      <c r="J133" s="178"/>
      <c r="K133" s="174"/>
      <c r="L133" s="174"/>
      <c r="M133" s="20"/>
      <c r="N133" s="176"/>
      <c r="O133" s="179"/>
      <c r="P133" s="179"/>
      <c r="Q133" s="174"/>
      <c r="R133" s="20"/>
      <c r="S133" s="20"/>
      <c r="T133" s="20"/>
      <c r="U133" s="176"/>
      <c r="V133" s="20"/>
      <c r="W133" s="178"/>
      <c r="X133" s="20"/>
      <c r="Y133" s="20"/>
      <c r="Z133" s="20"/>
      <c r="AA133" s="20"/>
      <c r="AB133" s="20"/>
      <c r="AC133" s="20"/>
      <c r="AD133" s="20"/>
      <c r="AE133" s="20"/>
      <c r="AF133" s="20"/>
      <c r="AG133" s="20"/>
      <c r="AH133" s="20"/>
      <c r="AI133" s="20"/>
      <c r="AJ133" s="20"/>
      <c r="AK133" s="20"/>
      <c r="AL133" s="20"/>
      <c r="AM133" s="180"/>
      <c r="AN133" s="173"/>
      <c r="AO133" s="20"/>
      <c r="AP133" s="20"/>
      <c r="AQ133" s="20"/>
      <c r="AR133" s="20"/>
      <c r="AS133" s="181"/>
      <c r="AT133" s="20"/>
      <c r="AU133" s="182"/>
      <c r="AV133" s="20"/>
      <c r="AW133" s="183"/>
      <c r="AX133" s="184"/>
      <c r="AY133" s="176"/>
      <c r="AZ133" s="182"/>
      <c r="BA133" s="183"/>
      <c r="BB133" s="176"/>
      <c r="BC133" s="179"/>
      <c r="BD133" s="179"/>
      <c r="BE133" s="182"/>
      <c r="BF133" s="186"/>
      <c r="BG133" s="186"/>
      <c r="BH133" s="187"/>
      <c r="BI133" s="182"/>
      <c r="BJ133" s="179"/>
      <c r="BK133" s="179"/>
      <c r="BL133" s="208"/>
      <c r="BM133" s="209"/>
      <c r="BN133" s="15"/>
      <c r="BO133" s="15"/>
      <c r="BP133" s="210"/>
      <c r="BQ133" s="182"/>
      <c r="BR133" s="182"/>
      <c r="BS133" s="182"/>
      <c r="BT133" s="20"/>
      <c r="BU133" s="20"/>
      <c r="BV133" s="20"/>
      <c r="BW133" s="185"/>
      <c r="BX133" s="182"/>
      <c r="BY133" s="182"/>
      <c r="BZ133" s="182"/>
      <c r="CA133" s="182"/>
      <c r="CB133" s="9"/>
      <c r="CC133" s="8"/>
      <c r="CD133" s="213"/>
      <c r="CE133" s="201"/>
      <c r="CF133" s="201"/>
      <c r="CG133" s="201"/>
      <c r="CH133" s="201"/>
      <c r="CI133" s="201"/>
      <c r="CJ133" s="201"/>
      <c r="CK133" s="201"/>
      <c r="CL133" s="201"/>
      <c r="CM133" s="201"/>
      <c r="CN133" s="201"/>
      <c r="CO133" s="201"/>
      <c r="CP133" s="201"/>
      <c r="CQ133" s="201"/>
      <c r="CR133" s="201"/>
      <c r="CS133" s="201"/>
      <c r="CT133" s="201"/>
      <c r="CU133" s="201"/>
      <c r="CV133" s="201"/>
      <c r="CW133" s="201"/>
      <c r="CX133" s="201"/>
      <c r="CY133" s="201"/>
      <c r="CZ133" s="201"/>
      <c r="DA133" s="201"/>
      <c r="DB133" s="201"/>
      <c r="DC133" s="201"/>
      <c r="DD133" s="201"/>
      <c r="DE133" s="201"/>
      <c r="DF133" s="201"/>
      <c r="DG133" s="201"/>
      <c r="DH133" s="201"/>
      <c r="DI133" s="201"/>
      <c r="DJ133" s="201"/>
      <c r="DK133" s="201"/>
      <c r="DL133" s="201"/>
      <c r="DM133" s="201"/>
      <c r="DN133" s="201"/>
      <c r="DO133" s="201"/>
      <c r="DP133" s="201"/>
      <c r="DQ133" s="201"/>
      <c r="DR133" s="201"/>
      <c r="DS133" s="201"/>
      <c r="DT133" s="201"/>
      <c r="DU133" s="201"/>
      <c r="DV133" s="201"/>
      <c r="DW133" s="201"/>
      <c r="DX133" s="201"/>
      <c r="DY133" s="201"/>
      <c r="DZ133" s="201"/>
      <c r="EA133" s="201"/>
      <c r="EB133" s="201"/>
      <c r="EC133" s="201"/>
      <c r="ED133" s="201"/>
      <c r="EE133" s="201"/>
      <c r="EF133" s="201"/>
      <c r="EG133" s="201"/>
      <c r="EH133" s="201"/>
      <c r="EI133" s="201"/>
      <c r="EJ133" s="201"/>
      <c r="EK133" s="201"/>
      <c r="EL133" s="201"/>
      <c r="EM133" s="201"/>
      <c r="EN133" s="201"/>
      <c r="EO133" s="201"/>
      <c r="EP133" s="201"/>
      <c r="EQ133" s="201"/>
      <c r="ER133" s="9"/>
      <c r="ES133" s="201"/>
      <c r="ET133" s="9"/>
      <c r="EU133" s="9"/>
      <c r="EV133" s="9"/>
      <c r="EW133" s="9"/>
      <c r="EX133" s="9"/>
      <c r="EY133" s="9"/>
      <c r="EZ133" s="201"/>
      <c r="FA133" s="213"/>
      <c r="FB133" s="213"/>
      <c r="FC133" s="213"/>
      <c r="FD133" s="213"/>
      <c r="FE133" s="214"/>
      <c r="FF133" s="201"/>
      <c r="FG133" s="201"/>
      <c r="FH133" s="201"/>
      <c r="FI133" s="215"/>
      <c r="FJ133" s="215"/>
      <c r="FK133" s="201"/>
      <c r="FL133" s="201"/>
      <c r="FM133" s="201"/>
      <c r="FN133" s="201"/>
      <c r="FO133" s="9"/>
      <c r="FP133" s="201"/>
      <c r="FQ133" s="201"/>
      <c r="FR133" s="201"/>
      <c r="FS133" s="9"/>
      <c r="FT133" s="9"/>
      <c r="FU133" s="9"/>
      <c r="FV133" s="9"/>
      <c r="FW133" s="201"/>
      <c r="FX133" s="201"/>
      <c r="FY133" s="201"/>
      <c r="FZ133" s="201"/>
      <c r="GA133" s="201"/>
      <c r="GB133" s="9"/>
      <c r="GC133" s="9"/>
      <c r="GD133" s="9"/>
      <c r="GE133" s="9"/>
      <c r="GF133" s="9"/>
      <c r="GG133" s="9"/>
      <c r="GH133" s="9"/>
      <c r="GI133" s="9"/>
      <c r="GJ133" s="9"/>
      <c r="GK133" s="9"/>
      <c r="GL133" s="9"/>
      <c r="GM133" s="9"/>
      <c r="GN133" s="9"/>
      <c r="GO133" s="9"/>
      <c r="GP133" s="9"/>
      <c r="GQ133" s="9"/>
      <c r="GR133" s="9"/>
      <c r="GS133" s="9"/>
      <c r="GT133" s="9"/>
      <c r="GU133" s="9"/>
      <c r="GV133" s="9"/>
      <c r="GW133" s="9"/>
      <c r="GX133" s="9"/>
      <c r="GY133" s="9"/>
      <c r="GZ133" s="9"/>
    </row>
    <row r="134" ht="13.2" spans="1:208">
      <c r="A134" s="172">
        <v>45925</v>
      </c>
      <c r="B134" s="20" t="s">
        <v>379</v>
      </c>
      <c r="C134" s="18"/>
      <c r="D134" s="20"/>
      <c r="E134" s="207"/>
      <c r="F134" s="20"/>
      <c r="G134" s="176"/>
      <c r="H134" s="175"/>
      <c r="I134" s="176"/>
      <c r="J134" s="178"/>
      <c r="K134" s="174"/>
      <c r="L134" s="174"/>
      <c r="M134" s="20"/>
      <c r="N134" s="176"/>
      <c r="O134" s="179"/>
      <c r="P134" s="179"/>
      <c r="Q134" s="174"/>
      <c r="R134" s="20"/>
      <c r="S134" s="20"/>
      <c r="T134" s="20"/>
      <c r="U134" s="176"/>
      <c r="V134" s="20"/>
      <c r="W134" s="178"/>
      <c r="X134" s="20"/>
      <c r="Y134" s="20"/>
      <c r="Z134" s="20"/>
      <c r="AA134" s="20"/>
      <c r="AB134" s="20"/>
      <c r="AC134" s="20"/>
      <c r="AD134" s="20"/>
      <c r="AE134" s="20"/>
      <c r="AF134" s="20"/>
      <c r="AG134" s="20"/>
      <c r="AH134" s="20"/>
      <c r="AI134" s="20"/>
      <c r="AJ134" s="20"/>
      <c r="AK134" s="20"/>
      <c r="AL134" s="20"/>
      <c r="AM134" s="180"/>
      <c r="AN134" s="173"/>
      <c r="AO134" s="20"/>
      <c r="AP134" s="20"/>
      <c r="AQ134" s="20"/>
      <c r="AR134" s="20"/>
      <c r="AS134" s="181"/>
      <c r="AT134" s="20"/>
      <c r="AU134" s="182"/>
      <c r="AV134" s="20"/>
      <c r="AW134" s="183"/>
      <c r="AX134" s="184"/>
      <c r="AY134" s="176"/>
      <c r="AZ134" s="182"/>
      <c r="BA134" s="183"/>
      <c r="BB134" s="176"/>
      <c r="BC134" s="179"/>
      <c r="BD134" s="179"/>
      <c r="BE134" s="182"/>
      <c r="BF134" s="186"/>
      <c r="BG134" s="186"/>
      <c r="BH134" s="187"/>
      <c r="BI134" s="182"/>
      <c r="BJ134" s="179"/>
      <c r="BK134" s="179"/>
      <c r="BL134" s="208"/>
      <c r="BM134" s="209"/>
      <c r="BN134" s="15"/>
      <c r="BO134" s="15"/>
      <c r="BP134" s="210"/>
      <c r="BQ134" s="182"/>
      <c r="BR134" s="182"/>
      <c r="BS134" s="182"/>
      <c r="BT134" s="20"/>
      <c r="BU134" s="20"/>
      <c r="BV134" s="20"/>
      <c r="BW134" s="185"/>
      <c r="BX134" s="182"/>
      <c r="BY134" s="182"/>
      <c r="BZ134" s="182"/>
      <c r="CA134" s="182"/>
      <c r="CB134" s="9"/>
      <c r="CC134" s="8"/>
      <c r="CD134" s="213"/>
      <c r="CE134" s="201"/>
      <c r="CF134" s="201"/>
      <c r="CG134" s="201"/>
      <c r="CH134" s="201"/>
      <c r="CI134" s="201"/>
      <c r="CJ134" s="201"/>
      <c r="CK134" s="201"/>
      <c r="CL134" s="201"/>
      <c r="CM134" s="201"/>
      <c r="CN134" s="201"/>
      <c r="CO134" s="201"/>
      <c r="CP134" s="201"/>
      <c r="CQ134" s="201"/>
      <c r="CR134" s="201"/>
      <c r="CS134" s="201"/>
      <c r="CT134" s="201"/>
      <c r="CU134" s="201"/>
      <c r="CV134" s="201"/>
      <c r="CW134" s="201"/>
      <c r="CX134" s="201"/>
      <c r="CY134" s="201"/>
      <c r="CZ134" s="201"/>
      <c r="DA134" s="201"/>
      <c r="DB134" s="201"/>
      <c r="DC134" s="201"/>
      <c r="DD134" s="201"/>
      <c r="DE134" s="201"/>
      <c r="DF134" s="201"/>
      <c r="DG134" s="201"/>
      <c r="DH134" s="201"/>
      <c r="DI134" s="201"/>
      <c r="DJ134" s="201"/>
      <c r="DK134" s="201"/>
      <c r="DL134" s="201"/>
      <c r="DM134" s="201"/>
      <c r="DN134" s="201"/>
      <c r="DO134" s="201"/>
      <c r="DP134" s="201"/>
      <c r="DQ134" s="201"/>
      <c r="DR134" s="201"/>
      <c r="DS134" s="201"/>
      <c r="DT134" s="201"/>
      <c r="DU134" s="201"/>
      <c r="DV134" s="201"/>
      <c r="DW134" s="201"/>
      <c r="DX134" s="201"/>
      <c r="DY134" s="201"/>
      <c r="DZ134" s="201"/>
      <c r="EA134" s="201"/>
      <c r="EB134" s="201"/>
      <c r="EC134" s="201"/>
      <c r="ED134" s="201"/>
      <c r="EE134" s="201"/>
      <c r="EF134" s="201"/>
      <c r="EG134" s="201"/>
      <c r="EH134" s="201"/>
      <c r="EI134" s="201"/>
      <c r="EJ134" s="201"/>
      <c r="EK134" s="201"/>
      <c r="EL134" s="201"/>
      <c r="EM134" s="201"/>
      <c r="EN134" s="201"/>
      <c r="EO134" s="201"/>
      <c r="EP134" s="201"/>
      <c r="EQ134" s="201"/>
      <c r="ER134" s="9"/>
      <c r="ES134" s="201"/>
      <c r="ET134" s="9"/>
      <c r="EU134" s="9"/>
      <c r="EV134" s="9"/>
      <c r="EW134" s="9"/>
      <c r="EX134" s="9"/>
      <c r="EY134" s="9"/>
      <c r="EZ134" s="201"/>
      <c r="FA134" s="213"/>
      <c r="FB134" s="213"/>
      <c r="FC134" s="213"/>
      <c r="FD134" s="213"/>
      <c r="FE134" s="214"/>
      <c r="FF134" s="201"/>
      <c r="FG134" s="201"/>
      <c r="FH134" s="201"/>
      <c r="FI134" s="215"/>
      <c r="FJ134" s="215"/>
      <c r="FK134" s="201"/>
      <c r="FL134" s="201"/>
      <c r="FM134" s="201"/>
      <c r="FN134" s="201"/>
      <c r="FO134" s="9"/>
      <c r="FP134" s="201"/>
      <c r="FQ134" s="201"/>
      <c r="FR134" s="201"/>
      <c r="FS134" s="9"/>
      <c r="FT134" s="9"/>
      <c r="FU134" s="9"/>
      <c r="FV134" s="9"/>
      <c r="FW134" s="201"/>
      <c r="FX134" s="201"/>
      <c r="FY134" s="201"/>
      <c r="FZ134" s="201"/>
      <c r="GA134" s="201"/>
      <c r="GB134" s="9"/>
      <c r="GC134" s="9"/>
      <c r="GD134" s="9"/>
      <c r="GE134" s="9"/>
      <c r="GF134" s="9"/>
      <c r="GG134" s="9"/>
      <c r="GH134" s="9"/>
      <c r="GI134" s="9"/>
      <c r="GJ134" s="9"/>
      <c r="GK134" s="9"/>
      <c r="GL134" s="9"/>
      <c r="GM134" s="9"/>
      <c r="GN134" s="9"/>
      <c r="GO134" s="9"/>
      <c r="GP134" s="9"/>
      <c r="GQ134" s="9"/>
      <c r="GR134" s="9"/>
      <c r="GS134" s="9"/>
      <c r="GT134" s="9"/>
      <c r="GU134" s="9"/>
      <c r="GV134" s="9"/>
      <c r="GW134" s="9"/>
      <c r="GX134" s="9"/>
      <c r="GY134" s="9"/>
      <c r="GZ134" s="9"/>
    </row>
    <row r="135" ht="13.2" spans="1:208">
      <c r="A135" s="172">
        <v>45926</v>
      </c>
      <c r="B135" s="20" t="s">
        <v>381</v>
      </c>
      <c r="C135" s="18"/>
      <c r="D135" s="20"/>
      <c r="E135" s="207"/>
      <c r="F135" s="20"/>
      <c r="G135" s="176"/>
      <c r="H135" s="175"/>
      <c r="I135" s="176"/>
      <c r="J135" s="178"/>
      <c r="K135" s="174"/>
      <c r="L135" s="174"/>
      <c r="M135" s="20"/>
      <c r="N135" s="176"/>
      <c r="O135" s="179"/>
      <c r="P135" s="179"/>
      <c r="Q135" s="174"/>
      <c r="R135" s="20"/>
      <c r="S135" s="20"/>
      <c r="T135" s="20"/>
      <c r="U135" s="176"/>
      <c r="V135" s="20"/>
      <c r="W135" s="178"/>
      <c r="X135" s="20"/>
      <c r="Y135" s="20"/>
      <c r="Z135" s="20"/>
      <c r="AA135" s="20"/>
      <c r="AB135" s="20"/>
      <c r="AC135" s="20"/>
      <c r="AD135" s="20"/>
      <c r="AE135" s="20"/>
      <c r="AF135" s="20"/>
      <c r="AG135" s="20"/>
      <c r="AH135" s="20"/>
      <c r="AI135" s="20"/>
      <c r="AJ135" s="20"/>
      <c r="AK135" s="20"/>
      <c r="AL135" s="20"/>
      <c r="AM135" s="180"/>
      <c r="AN135" s="173"/>
      <c r="AO135" s="20"/>
      <c r="AP135" s="20"/>
      <c r="AQ135" s="20"/>
      <c r="AR135" s="20"/>
      <c r="AS135" s="181"/>
      <c r="AT135" s="20"/>
      <c r="AU135" s="182"/>
      <c r="AV135" s="20"/>
      <c r="AW135" s="183"/>
      <c r="AX135" s="184"/>
      <c r="AY135" s="176"/>
      <c r="AZ135" s="182"/>
      <c r="BA135" s="183"/>
      <c r="BB135" s="176"/>
      <c r="BC135" s="179"/>
      <c r="BD135" s="179"/>
      <c r="BE135" s="182"/>
      <c r="BF135" s="186"/>
      <c r="BG135" s="186"/>
      <c r="BH135" s="187"/>
      <c r="BI135" s="182"/>
      <c r="BJ135" s="179"/>
      <c r="BK135" s="179"/>
      <c r="BL135" s="208"/>
      <c r="BM135" s="209"/>
      <c r="BN135" s="15"/>
      <c r="BO135" s="15"/>
      <c r="BP135" s="210"/>
      <c r="BQ135" s="182"/>
      <c r="BR135" s="182"/>
      <c r="BS135" s="182"/>
      <c r="BT135" s="20"/>
      <c r="BU135" s="20"/>
      <c r="BV135" s="20"/>
      <c r="BW135" s="185"/>
      <c r="BX135" s="182"/>
      <c r="BY135" s="182"/>
      <c r="BZ135" s="182"/>
      <c r="CA135" s="182"/>
      <c r="CB135" s="9"/>
      <c r="CC135" s="8"/>
      <c r="CD135" s="213"/>
      <c r="CE135" s="201"/>
      <c r="CF135" s="201"/>
      <c r="CG135" s="201"/>
      <c r="CH135" s="201"/>
      <c r="CI135" s="201"/>
      <c r="CJ135" s="201"/>
      <c r="CK135" s="201"/>
      <c r="CL135" s="201"/>
      <c r="CM135" s="201"/>
      <c r="CN135" s="201"/>
      <c r="CO135" s="201"/>
      <c r="CP135" s="201"/>
      <c r="CQ135" s="201"/>
      <c r="CR135" s="201"/>
      <c r="CS135" s="201"/>
      <c r="CT135" s="201"/>
      <c r="CU135" s="201"/>
      <c r="CV135" s="201"/>
      <c r="CW135" s="201"/>
      <c r="CX135" s="201"/>
      <c r="CY135" s="201"/>
      <c r="CZ135" s="201"/>
      <c r="DA135" s="201"/>
      <c r="DB135" s="201"/>
      <c r="DC135" s="201"/>
      <c r="DD135" s="201"/>
      <c r="DE135" s="201"/>
      <c r="DF135" s="201"/>
      <c r="DG135" s="201"/>
      <c r="DH135" s="201"/>
      <c r="DI135" s="201"/>
      <c r="DJ135" s="201"/>
      <c r="DK135" s="201"/>
      <c r="DL135" s="201"/>
      <c r="DM135" s="201"/>
      <c r="DN135" s="201"/>
      <c r="DO135" s="201"/>
      <c r="DP135" s="201"/>
      <c r="DQ135" s="201"/>
      <c r="DR135" s="201"/>
      <c r="DS135" s="201"/>
      <c r="DT135" s="201"/>
      <c r="DU135" s="201"/>
      <c r="DV135" s="201"/>
      <c r="DW135" s="201"/>
      <c r="DX135" s="201"/>
      <c r="DY135" s="201"/>
      <c r="DZ135" s="201"/>
      <c r="EA135" s="201"/>
      <c r="EB135" s="201"/>
      <c r="EC135" s="201"/>
      <c r="ED135" s="201"/>
      <c r="EE135" s="201"/>
      <c r="EF135" s="201"/>
      <c r="EG135" s="201"/>
      <c r="EH135" s="201"/>
      <c r="EI135" s="201"/>
      <c r="EJ135" s="201"/>
      <c r="EK135" s="201"/>
      <c r="EL135" s="201"/>
      <c r="EM135" s="201"/>
      <c r="EN135" s="201"/>
      <c r="EO135" s="201"/>
      <c r="EP135" s="201"/>
      <c r="EQ135" s="201"/>
      <c r="ER135" s="9"/>
      <c r="ES135" s="201"/>
      <c r="ET135" s="9"/>
      <c r="EU135" s="9"/>
      <c r="EV135" s="9"/>
      <c r="EW135" s="9"/>
      <c r="EX135" s="9"/>
      <c r="EY135" s="9"/>
      <c r="EZ135" s="201"/>
      <c r="FA135" s="213"/>
      <c r="FB135" s="213"/>
      <c r="FC135" s="213"/>
      <c r="FD135" s="213"/>
      <c r="FE135" s="214"/>
      <c r="FF135" s="201"/>
      <c r="FG135" s="201"/>
      <c r="FH135" s="201"/>
      <c r="FI135" s="215"/>
      <c r="FJ135" s="215"/>
      <c r="FK135" s="201"/>
      <c r="FL135" s="201"/>
      <c r="FM135" s="201"/>
      <c r="FN135" s="201"/>
      <c r="FO135" s="9"/>
      <c r="FP135" s="201"/>
      <c r="FQ135" s="201"/>
      <c r="FR135" s="201"/>
      <c r="FS135" s="9"/>
      <c r="FT135" s="9"/>
      <c r="FU135" s="9"/>
      <c r="FV135" s="9"/>
      <c r="FW135" s="201"/>
      <c r="FX135" s="201"/>
      <c r="FY135" s="201"/>
      <c r="FZ135" s="201"/>
      <c r="GA135" s="201"/>
      <c r="GB135" s="9"/>
      <c r="GC135" s="9"/>
      <c r="GD135" s="9"/>
      <c r="GE135" s="9"/>
      <c r="GF135" s="9"/>
      <c r="GG135" s="9"/>
      <c r="GH135" s="9"/>
      <c r="GI135" s="9"/>
      <c r="GJ135" s="9"/>
      <c r="GK135" s="9"/>
      <c r="GL135" s="9"/>
      <c r="GM135" s="9"/>
      <c r="GN135" s="9"/>
      <c r="GO135" s="9"/>
      <c r="GP135" s="9"/>
      <c r="GQ135" s="9"/>
      <c r="GR135" s="9"/>
      <c r="GS135" s="9"/>
      <c r="GT135" s="9"/>
      <c r="GU135" s="9"/>
      <c r="GV135" s="9"/>
      <c r="GW135" s="9"/>
      <c r="GX135" s="9"/>
      <c r="GY135" s="9"/>
      <c r="GZ135" s="9"/>
    </row>
    <row r="136" ht="13.2" spans="1:208">
      <c r="A136" s="172">
        <v>45927</v>
      </c>
      <c r="B136" s="20" t="s">
        <v>369</v>
      </c>
      <c r="C136" s="18"/>
      <c r="D136" s="20"/>
      <c r="E136" s="207"/>
      <c r="F136" s="20"/>
      <c r="G136" s="176"/>
      <c r="H136" s="175"/>
      <c r="I136" s="176"/>
      <c r="J136" s="178"/>
      <c r="K136" s="174"/>
      <c r="L136" s="174"/>
      <c r="M136" s="20"/>
      <c r="N136" s="176"/>
      <c r="O136" s="179"/>
      <c r="P136" s="179"/>
      <c r="Q136" s="174"/>
      <c r="R136" s="20"/>
      <c r="S136" s="20"/>
      <c r="T136" s="20"/>
      <c r="U136" s="176"/>
      <c r="V136" s="20"/>
      <c r="W136" s="178"/>
      <c r="X136" s="20"/>
      <c r="Y136" s="20"/>
      <c r="Z136" s="20"/>
      <c r="AA136" s="20"/>
      <c r="AB136" s="20"/>
      <c r="AC136" s="20"/>
      <c r="AD136" s="20"/>
      <c r="AE136" s="20"/>
      <c r="AF136" s="20"/>
      <c r="AG136" s="20"/>
      <c r="AH136" s="20"/>
      <c r="AI136" s="20"/>
      <c r="AJ136" s="20"/>
      <c r="AK136" s="20"/>
      <c r="AL136" s="20"/>
      <c r="AM136" s="180"/>
      <c r="AN136" s="173"/>
      <c r="AO136" s="20"/>
      <c r="AP136" s="20"/>
      <c r="AQ136" s="20"/>
      <c r="AR136" s="20"/>
      <c r="AS136" s="181"/>
      <c r="AT136" s="20"/>
      <c r="AU136" s="182"/>
      <c r="AV136" s="20"/>
      <c r="AW136" s="183"/>
      <c r="AX136" s="184"/>
      <c r="AY136" s="176"/>
      <c r="AZ136" s="182"/>
      <c r="BA136" s="183"/>
      <c r="BB136" s="176"/>
      <c r="BC136" s="179"/>
      <c r="BD136" s="179"/>
      <c r="BE136" s="182"/>
      <c r="BF136" s="186"/>
      <c r="BG136" s="186"/>
      <c r="BH136" s="187"/>
      <c r="BI136" s="182"/>
      <c r="BJ136" s="179"/>
      <c r="BK136" s="179"/>
      <c r="BL136" s="208"/>
      <c r="BM136" s="209"/>
      <c r="BN136" s="15"/>
      <c r="BO136" s="15"/>
      <c r="BP136" s="210"/>
      <c r="BQ136" s="182"/>
      <c r="BR136" s="182"/>
      <c r="BS136" s="182"/>
      <c r="BT136" s="20"/>
      <c r="BU136" s="20"/>
      <c r="BV136" s="20"/>
      <c r="BW136" s="185"/>
      <c r="BX136" s="182"/>
      <c r="BY136" s="182"/>
      <c r="BZ136" s="182"/>
      <c r="CA136" s="182"/>
      <c r="CB136" s="9"/>
      <c r="CC136" s="8"/>
      <c r="CD136" s="213"/>
      <c r="CE136" s="201"/>
      <c r="CF136" s="201"/>
      <c r="CG136" s="201"/>
      <c r="CH136" s="201"/>
      <c r="CI136" s="201"/>
      <c r="CJ136" s="201"/>
      <c r="CK136" s="201"/>
      <c r="CL136" s="201"/>
      <c r="CM136" s="201"/>
      <c r="CN136" s="201"/>
      <c r="CO136" s="201"/>
      <c r="CP136" s="201"/>
      <c r="CQ136" s="201"/>
      <c r="CR136" s="201"/>
      <c r="CS136" s="201"/>
      <c r="CT136" s="201"/>
      <c r="CU136" s="201"/>
      <c r="CV136" s="201"/>
      <c r="CW136" s="201"/>
      <c r="CX136" s="201"/>
      <c r="CY136" s="201"/>
      <c r="CZ136" s="201"/>
      <c r="DA136" s="201"/>
      <c r="DB136" s="201"/>
      <c r="DC136" s="201"/>
      <c r="DD136" s="201"/>
      <c r="DE136" s="201"/>
      <c r="DF136" s="201"/>
      <c r="DG136" s="201"/>
      <c r="DH136" s="201"/>
      <c r="DI136" s="201"/>
      <c r="DJ136" s="201"/>
      <c r="DK136" s="201"/>
      <c r="DL136" s="201"/>
      <c r="DM136" s="201"/>
      <c r="DN136" s="201"/>
      <c r="DO136" s="201"/>
      <c r="DP136" s="201"/>
      <c r="DQ136" s="201"/>
      <c r="DR136" s="201"/>
      <c r="DS136" s="201"/>
      <c r="DT136" s="201"/>
      <c r="DU136" s="201"/>
      <c r="DV136" s="201"/>
      <c r="DW136" s="201"/>
      <c r="DX136" s="201"/>
      <c r="DY136" s="201"/>
      <c r="DZ136" s="201"/>
      <c r="EA136" s="201"/>
      <c r="EB136" s="201"/>
      <c r="EC136" s="201"/>
      <c r="ED136" s="201"/>
      <c r="EE136" s="201"/>
      <c r="EF136" s="201"/>
      <c r="EG136" s="201"/>
      <c r="EH136" s="201"/>
      <c r="EI136" s="201"/>
      <c r="EJ136" s="201"/>
      <c r="EK136" s="201"/>
      <c r="EL136" s="201"/>
      <c r="EM136" s="201"/>
      <c r="EN136" s="201"/>
      <c r="EO136" s="201"/>
      <c r="EP136" s="201"/>
      <c r="EQ136" s="201"/>
      <c r="ER136" s="9"/>
      <c r="ES136" s="201"/>
      <c r="ET136" s="9"/>
      <c r="EU136" s="9"/>
      <c r="EV136" s="9"/>
      <c r="EW136" s="9"/>
      <c r="EX136" s="9"/>
      <c r="EY136" s="9"/>
      <c r="EZ136" s="201"/>
      <c r="FA136" s="213"/>
      <c r="FB136" s="213"/>
      <c r="FC136" s="213"/>
      <c r="FD136" s="213"/>
      <c r="FE136" s="214"/>
      <c r="FF136" s="201"/>
      <c r="FG136" s="201"/>
      <c r="FH136" s="201"/>
      <c r="FI136" s="215"/>
      <c r="FJ136" s="215"/>
      <c r="FK136" s="201"/>
      <c r="FL136" s="201"/>
      <c r="FM136" s="201"/>
      <c r="FN136" s="201"/>
      <c r="FO136" s="9"/>
      <c r="FP136" s="201"/>
      <c r="FQ136" s="201"/>
      <c r="FR136" s="201"/>
      <c r="FS136" s="9"/>
      <c r="FT136" s="9"/>
      <c r="FU136" s="9"/>
      <c r="FV136" s="9"/>
      <c r="FW136" s="201"/>
      <c r="FX136" s="201"/>
      <c r="FY136" s="201"/>
      <c r="FZ136" s="201"/>
      <c r="GA136" s="201"/>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row>
    <row r="137" ht="13.2" spans="1:208">
      <c r="A137" s="172">
        <v>45928</v>
      </c>
      <c r="B137" s="20" t="s">
        <v>371</v>
      </c>
      <c r="C137" s="18"/>
      <c r="D137" s="20"/>
      <c r="E137" s="207"/>
      <c r="F137" s="20"/>
      <c r="G137" s="176"/>
      <c r="H137" s="175"/>
      <c r="I137" s="176"/>
      <c r="J137" s="178"/>
      <c r="K137" s="174"/>
      <c r="L137" s="174"/>
      <c r="M137" s="20"/>
      <c r="N137" s="176"/>
      <c r="O137" s="179"/>
      <c r="P137" s="179"/>
      <c r="Q137" s="174"/>
      <c r="R137" s="20"/>
      <c r="S137" s="20"/>
      <c r="T137" s="20"/>
      <c r="U137" s="176"/>
      <c r="V137" s="20"/>
      <c r="W137" s="178"/>
      <c r="X137" s="20"/>
      <c r="Y137" s="20"/>
      <c r="Z137" s="20"/>
      <c r="AA137" s="20"/>
      <c r="AB137" s="20"/>
      <c r="AC137" s="20"/>
      <c r="AD137" s="20"/>
      <c r="AE137" s="20"/>
      <c r="AF137" s="20"/>
      <c r="AG137" s="20"/>
      <c r="AH137" s="20"/>
      <c r="AI137" s="20"/>
      <c r="AJ137" s="20"/>
      <c r="AK137" s="20"/>
      <c r="AL137" s="20"/>
      <c r="AM137" s="180"/>
      <c r="AN137" s="173"/>
      <c r="AO137" s="20"/>
      <c r="AP137" s="20"/>
      <c r="AQ137" s="20"/>
      <c r="AR137" s="20"/>
      <c r="AS137" s="181"/>
      <c r="AT137" s="20"/>
      <c r="AU137" s="182"/>
      <c r="AV137" s="20"/>
      <c r="AW137" s="183"/>
      <c r="AX137" s="184"/>
      <c r="AY137" s="176"/>
      <c r="AZ137" s="182"/>
      <c r="BA137" s="183"/>
      <c r="BB137" s="176"/>
      <c r="BC137" s="179"/>
      <c r="BD137" s="179"/>
      <c r="BE137" s="182"/>
      <c r="BF137" s="186"/>
      <c r="BG137" s="186"/>
      <c r="BH137" s="187"/>
      <c r="BI137" s="182"/>
      <c r="BJ137" s="179"/>
      <c r="BK137" s="179"/>
      <c r="BL137" s="208"/>
      <c r="BM137" s="209"/>
      <c r="BN137" s="15"/>
      <c r="BO137" s="15"/>
      <c r="BP137" s="210"/>
      <c r="BQ137" s="182"/>
      <c r="BR137" s="182"/>
      <c r="BS137" s="182"/>
      <c r="BT137" s="20"/>
      <c r="BU137" s="20"/>
      <c r="BV137" s="20"/>
      <c r="BW137" s="185"/>
      <c r="BX137" s="182"/>
      <c r="BY137" s="182"/>
      <c r="BZ137" s="182"/>
      <c r="CA137" s="182"/>
      <c r="CB137" s="9"/>
      <c r="CC137" s="8"/>
      <c r="CD137" s="213"/>
      <c r="CE137" s="201"/>
      <c r="CF137" s="201"/>
      <c r="CG137" s="201"/>
      <c r="CH137" s="201"/>
      <c r="CI137" s="201"/>
      <c r="CJ137" s="201"/>
      <c r="CK137" s="201"/>
      <c r="CL137" s="201"/>
      <c r="CM137" s="201"/>
      <c r="CN137" s="201"/>
      <c r="CO137" s="201"/>
      <c r="CP137" s="201"/>
      <c r="CQ137" s="201"/>
      <c r="CR137" s="201"/>
      <c r="CS137" s="201"/>
      <c r="CT137" s="201"/>
      <c r="CU137" s="201"/>
      <c r="CV137" s="201"/>
      <c r="CW137" s="201"/>
      <c r="CX137" s="201"/>
      <c r="CY137" s="201"/>
      <c r="CZ137" s="201"/>
      <c r="DA137" s="201"/>
      <c r="DB137" s="201"/>
      <c r="DC137" s="201"/>
      <c r="DD137" s="201"/>
      <c r="DE137" s="201"/>
      <c r="DF137" s="201"/>
      <c r="DG137" s="201"/>
      <c r="DH137" s="201"/>
      <c r="DI137" s="201"/>
      <c r="DJ137" s="201"/>
      <c r="DK137" s="201"/>
      <c r="DL137" s="201"/>
      <c r="DM137" s="201"/>
      <c r="DN137" s="201"/>
      <c r="DO137" s="201"/>
      <c r="DP137" s="201"/>
      <c r="DQ137" s="201"/>
      <c r="DR137" s="201"/>
      <c r="DS137" s="201"/>
      <c r="DT137" s="201"/>
      <c r="DU137" s="201"/>
      <c r="DV137" s="201"/>
      <c r="DW137" s="201"/>
      <c r="DX137" s="201"/>
      <c r="DY137" s="201"/>
      <c r="DZ137" s="201"/>
      <c r="EA137" s="201"/>
      <c r="EB137" s="201"/>
      <c r="EC137" s="201"/>
      <c r="ED137" s="201"/>
      <c r="EE137" s="201"/>
      <c r="EF137" s="201"/>
      <c r="EG137" s="201"/>
      <c r="EH137" s="201"/>
      <c r="EI137" s="201"/>
      <c r="EJ137" s="201"/>
      <c r="EK137" s="201"/>
      <c r="EL137" s="201"/>
      <c r="EM137" s="201"/>
      <c r="EN137" s="201"/>
      <c r="EO137" s="201"/>
      <c r="EP137" s="201"/>
      <c r="EQ137" s="201"/>
      <c r="ER137" s="9"/>
      <c r="ES137" s="201"/>
      <c r="ET137" s="9"/>
      <c r="EU137" s="9"/>
      <c r="EV137" s="9"/>
      <c r="EW137" s="9"/>
      <c r="EX137" s="9"/>
      <c r="EY137" s="9"/>
      <c r="EZ137" s="201"/>
      <c r="FA137" s="213"/>
      <c r="FB137" s="213"/>
      <c r="FC137" s="213"/>
      <c r="FD137" s="213"/>
      <c r="FE137" s="214"/>
      <c r="FF137" s="201"/>
      <c r="FG137" s="201"/>
      <c r="FH137" s="201"/>
      <c r="FI137" s="215"/>
      <c r="FJ137" s="215"/>
      <c r="FK137" s="201"/>
      <c r="FL137" s="201"/>
      <c r="FM137" s="201"/>
      <c r="FN137" s="201"/>
      <c r="FO137" s="9"/>
      <c r="FP137" s="201"/>
      <c r="FQ137" s="201"/>
      <c r="FR137" s="201"/>
      <c r="FS137" s="9"/>
      <c r="FT137" s="9"/>
      <c r="FU137" s="9"/>
      <c r="FV137" s="9"/>
      <c r="FW137" s="201"/>
      <c r="FX137" s="201"/>
      <c r="FY137" s="201"/>
      <c r="FZ137" s="201"/>
      <c r="GA137" s="201"/>
      <c r="GB137" s="9"/>
      <c r="GC137" s="9"/>
      <c r="GD137" s="9"/>
      <c r="GE137" s="9"/>
      <c r="GF137" s="9"/>
      <c r="GG137" s="9"/>
      <c r="GH137" s="9"/>
      <c r="GI137" s="9"/>
      <c r="GJ137" s="9"/>
      <c r="GK137" s="9"/>
      <c r="GL137" s="9"/>
      <c r="GM137" s="9"/>
      <c r="GN137" s="9"/>
      <c r="GO137" s="9"/>
      <c r="GP137" s="9"/>
      <c r="GQ137" s="9"/>
      <c r="GR137" s="9"/>
      <c r="GS137" s="9"/>
      <c r="GT137" s="9"/>
      <c r="GU137" s="9"/>
      <c r="GV137" s="9"/>
      <c r="GW137" s="9"/>
      <c r="GX137" s="9"/>
      <c r="GY137" s="9"/>
      <c r="GZ137" s="9"/>
    </row>
    <row r="138" ht="13.2" spans="1:208">
      <c r="A138" s="172">
        <v>45929</v>
      </c>
      <c r="B138" s="20" t="s">
        <v>373</v>
      </c>
      <c r="C138" s="18"/>
      <c r="D138" s="20"/>
      <c r="E138" s="207"/>
      <c r="F138" s="20"/>
      <c r="G138" s="176"/>
      <c r="H138" s="175"/>
      <c r="I138" s="176"/>
      <c r="J138" s="178"/>
      <c r="K138" s="174"/>
      <c r="L138" s="174"/>
      <c r="M138" s="20"/>
      <c r="N138" s="176"/>
      <c r="O138" s="179"/>
      <c r="P138" s="179"/>
      <c r="Q138" s="174"/>
      <c r="R138" s="20"/>
      <c r="S138" s="20"/>
      <c r="T138" s="20"/>
      <c r="U138" s="176"/>
      <c r="V138" s="20"/>
      <c r="W138" s="178"/>
      <c r="X138" s="20"/>
      <c r="Y138" s="20"/>
      <c r="Z138" s="20"/>
      <c r="AA138" s="20"/>
      <c r="AB138" s="20"/>
      <c r="AC138" s="20"/>
      <c r="AD138" s="20"/>
      <c r="AE138" s="20"/>
      <c r="AF138" s="20"/>
      <c r="AG138" s="20"/>
      <c r="AH138" s="20"/>
      <c r="AI138" s="20"/>
      <c r="AJ138" s="20"/>
      <c r="AK138" s="20"/>
      <c r="AL138" s="20"/>
      <c r="AM138" s="180"/>
      <c r="AN138" s="173"/>
      <c r="AO138" s="20"/>
      <c r="AP138" s="20"/>
      <c r="AQ138" s="20"/>
      <c r="AR138" s="20"/>
      <c r="AS138" s="181"/>
      <c r="AT138" s="20"/>
      <c r="AU138" s="182"/>
      <c r="AV138" s="20"/>
      <c r="AW138" s="183"/>
      <c r="AX138" s="184"/>
      <c r="AY138" s="176"/>
      <c r="AZ138" s="182"/>
      <c r="BA138" s="183"/>
      <c r="BB138" s="176"/>
      <c r="BC138" s="179"/>
      <c r="BD138" s="179"/>
      <c r="BE138" s="182"/>
      <c r="BF138" s="186"/>
      <c r="BG138" s="186"/>
      <c r="BH138" s="187"/>
      <c r="BI138" s="182"/>
      <c r="BJ138" s="179"/>
      <c r="BK138" s="179"/>
      <c r="BL138" s="208"/>
      <c r="BM138" s="209"/>
      <c r="BN138" s="15"/>
      <c r="BO138" s="15"/>
      <c r="BP138" s="210"/>
      <c r="BQ138" s="182"/>
      <c r="BR138" s="182"/>
      <c r="BS138" s="182"/>
      <c r="BT138" s="20"/>
      <c r="BU138" s="20"/>
      <c r="BV138" s="20"/>
      <c r="BW138" s="185"/>
      <c r="BX138" s="182"/>
      <c r="BY138" s="182"/>
      <c r="BZ138" s="182"/>
      <c r="CA138" s="182"/>
      <c r="CB138" s="9"/>
      <c r="CC138" s="8"/>
      <c r="CD138" s="213"/>
      <c r="CE138" s="201"/>
      <c r="CF138" s="201"/>
      <c r="CG138" s="201"/>
      <c r="CH138" s="201"/>
      <c r="CI138" s="201"/>
      <c r="CJ138" s="201"/>
      <c r="CK138" s="201"/>
      <c r="CL138" s="201"/>
      <c r="CM138" s="201"/>
      <c r="CN138" s="201"/>
      <c r="CO138" s="201"/>
      <c r="CP138" s="201"/>
      <c r="CQ138" s="201"/>
      <c r="CR138" s="201"/>
      <c r="CS138" s="201"/>
      <c r="CT138" s="201"/>
      <c r="CU138" s="201"/>
      <c r="CV138" s="201"/>
      <c r="CW138" s="201"/>
      <c r="CX138" s="201"/>
      <c r="CY138" s="201"/>
      <c r="CZ138" s="201"/>
      <c r="DA138" s="201"/>
      <c r="DB138" s="201"/>
      <c r="DC138" s="201"/>
      <c r="DD138" s="201"/>
      <c r="DE138" s="201"/>
      <c r="DF138" s="201"/>
      <c r="DG138" s="201"/>
      <c r="DH138" s="201"/>
      <c r="DI138" s="201"/>
      <c r="DJ138" s="201"/>
      <c r="DK138" s="201"/>
      <c r="DL138" s="201"/>
      <c r="DM138" s="201"/>
      <c r="DN138" s="201"/>
      <c r="DO138" s="201"/>
      <c r="DP138" s="201"/>
      <c r="DQ138" s="201"/>
      <c r="DR138" s="201"/>
      <c r="DS138" s="201"/>
      <c r="DT138" s="201"/>
      <c r="DU138" s="201"/>
      <c r="DV138" s="201"/>
      <c r="DW138" s="201"/>
      <c r="DX138" s="201"/>
      <c r="DY138" s="201"/>
      <c r="DZ138" s="201"/>
      <c r="EA138" s="201"/>
      <c r="EB138" s="201"/>
      <c r="EC138" s="201"/>
      <c r="ED138" s="201"/>
      <c r="EE138" s="201"/>
      <c r="EF138" s="201"/>
      <c r="EG138" s="201"/>
      <c r="EH138" s="201"/>
      <c r="EI138" s="201"/>
      <c r="EJ138" s="201"/>
      <c r="EK138" s="201"/>
      <c r="EL138" s="201"/>
      <c r="EM138" s="201"/>
      <c r="EN138" s="201"/>
      <c r="EO138" s="201"/>
      <c r="EP138" s="201"/>
      <c r="EQ138" s="201"/>
      <c r="ER138" s="9"/>
      <c r="ES138" s="201"/>
      <c r="ET138" s="9"/>
      <c r="EU138" s="9"/>
      <c r="EV138" s="9"/>
      <c r="EW138" s="9"/>
      <c r="EX138" s="9"/>
      <c r="EY138" s="9"/>
      <c r="EZ138" s="201"/>
      <c r="FA138" s="213"/>
      <c r="FB138" s="213"/>
      <c r="FC138" s="213"/>
      <c r="FD138" s="213"/>
      <c r="FE138" s="214"/>
      <c r="FF138" s="201"/>
      <c r="FG138" s="201"/>
      <c r="FH138" s="201"/>
      <c r="FI138" s="215"/>
      <c r="FJ138" s="215"/>
      <c r="FK138" s="201"/>
      <c r="FL138" s="201"/>
      <c r="FM138" s="201"/>
      <c r="FN138" s="201"/>
      <c r="FO138" s="9"/>
      <c r="FP138" s="201"/>
      <c r="FQ138" s="201"/>
      <c r="FR138" s="201"/>
      <c r="FS138" s="9"/>
      <c r="FT138" s="9"/>
      <c r="FU138" s="9"/>
      <c r="FV138" s="9"/>
      <c r="FW138" s="201"/>
      <c r="FX138" s="201"/>
      <c r="FY138" s="201"/>
      <c r="FZ138" s="201"/>
      <c r="GA138" s="201"/>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row>
    <row r="139" ht="13.2" spans="1:208">
      <c r="A139" s="172">
        <v>45930</v>
      </c>
      <c r="B139" s="20" t="s">
        <v>375</v>
      </c>
      <c r="C139" s="18"/>
      <c r="D139" s="20"/>
      <c r="E139" s="207"/>
      <c r="F139" s="20"/>
      <c r="G139" s="176"/>
      <c r="H139" s="175"/>
      <c r="I139" s="176"/>
      <c r="J139" s="178"/>
      <c r="K139" s="174"/>
      <c r="L139" s="174"/>
      <c r="M139" s="20"/>
      <c r="N139" s="176"/>
      <c r="O139" s="179"/>
      <c r="P139" s="179"/>
      <c r="Q139" s="174"/>
      <c r="R139" s="20"/>
      <c r="S139" s="20"/>
      <c r="T139" s="20"/>
      <c r="U139" s="176"/>
      <c r="V139" s="20"/>
      <c r="W139" s="178"/>
      <c r="X139" s="20"/>
      <c r="Y139" s="20"/>
      <c r="Z139" s="20"/>
      <c r="AA139" s="20"/>
      <c r="AB139" s="20"/>
      <c r="AC139" s="20"/>
      <c r="AD139" s="20"/>
      <c r="AE139" s="20"/>
      <c r="AF139" s="20"/>
      <c r="AG139" s="20"/>
      <c r="AH139" s="20"/>
      <c r="AI139" s="20"/>
      <c r="AJ139" s="20"/>
      <c r="AK139" s="20"/>
      <c r="AL139" s="20"/>
      <c r="AM139" s="180"/>
      <c r="AN139" s="173"/>
      <c r="AO139" s="20"/>
      <c r="AP139" s="20"/>
      <c r="AQ139" s="20"/>
      <c r="AR139" s="20"/>
      <c r="AS139" s="181"/>
      <c r="AT139" s="20"/>
      <c r="AU139" s="182"/>
      <c r="AV139" s="20"/>
      <c r="AW139" s="183"/>
      <c r="AX139" s="184"/>
      <c r="AY139" s="176"/>
      <c r="AZ139" s="182"/>
      <c r="BA139" s="183"/>
      <c r="BB139" s="176"/>
      <c r="BC139" s="179"/>
      <c r="BD139" s="179"/>
      <c r="BE139" s="182"/>
      <c r="BF139" s="186"/>
      <c r="BG139" s="186"/>
      <c r="BH139" s="187"/>
      <c r="BI139" s="182"/>
      <c r="BJ139" s="179"/>
      <c r="BK139" s="179"/>
      <c r="BL139" s="208"/>
      <c r="BM139" s="209"/>
      <c r="BN139" s="15"/>
      <c r="BO139" s="15"/>
      <c r="BP139" s="210"/>
      <c r="BQ139" s="182"/>
      <c r="BR139" s="182"/>
      <c r="BS139" s="182"/>
      <c r="BT139" s="20"/>
      <c r="BU139" s="20"/>
      <c r="BV139" s="20"/>
      <c r="BW139" s="185"/>
      <c r="BX139" s="182"/>
      <c r="BY139" s="182"/>
      <c r="BZ139" s="182"/>
      <c r="CA139" s="182"/>
      <c r="CB139" s="9"/>
      <c r="CC139" s="8"/>
      <c r="CD139" s="213"/>
      <c r="CE139" s="201"/>
      <c r="CF139" s="201"/>
      <c r="CG139" s="201"/>
      <c r="CH139" s="201"/>
      <c r="CI139" s="201"/>
      <c r="CJ139" s="201"/>
      <c r="CK139" s="201"/>
      <c r="CL139" s="201"/>
      <c r="CM139" s="201"/>
      <c r="CN139" s="201"/>
      <c r="CO139" s="201"/>
      <c r="CP139" s="201"/>
      <c r="CQ139" s="201"/>
      <c r="CR139" s="201"/>
      <c r="CS139" s="201"/>
      <c r="CT139" s="201"/>
      <c r="CU139" s="201"/>
      <c r="CV139" s="201"/>
      <c r="CW139" s="201"/>
      <c r="CX139" s="201"/>
      <c r="CY139" s="201"/>
      <c r="CZ139" s="201"/>
      <c r="DA139" s="201"/>
      <c r="DB139" s="201"/>
      <c r="DC139" s="201"/>
      <c r="DD139" s="201"/>
      <c r="DE139" s="201"/>
      <c r="DF139" s="201"/>
      <c r="DG139" s="201"/>
      <c r="DH139" s="201"/>
      <c r="DI139" s="201"/>
      <c r="DJ139" s="201"/>
      <c r="DK139" s="201"/>
      <c r="DL139" s="201"/>
      <c r="DM139" s="201"/>
      <c r="DN139" s="201"/>
      <c r="DO139" s="201"/>
      <c r="DP139" s="201"/>
      <c r="DQ139" s="201"/>
      <c r="DR139" s="201"/>
      <c r="DS139" s="201"/>
      <c r="DT139" s="201"/>
      <c r="DU139" s="201"/>
      <c r="DV139" s="201"/>
      <c r="DW139" s="201"/>
      <c r="DX139" s="201"/>
      <c r="DY139" s="201"/>
      <c r="DZ139" s="201"/>
      <c r="EA139" s="201"/>
      <c r="EB139" s="201"/>
      <c r="EC139" s="201"/>
      <c r="ED139" s="201"/>
      <c r="EE139" s="201"/>
      <c r="EF139" s="201"/>
      <c r="EG139" s="201"/>
      <c r="EH139" s="201"/>
      <c r="EI139" s="201"/>
      <c r="EJ139" s="201"/>
      <c r="EK139" s="201"/>
      <c r="EL139" s="201"/>
      <c r="EM139" s="201"/>
      <c r="EN139" s="201"/>
      <c r="EO139" s="201"/>
      <c r="EP139" s="201"/>
      <c r="EQ139" s="201"/>
      <c r="ER139" s="9"/>
      <c r="ES139" s="201"/>
      <c r="ET139" s="9"/>
      <c r="EU139" s="9"/>
      <c r="EV139" s="9"/>
      <c r="EW139" s="9"/>
      <c r="EX139" s="9"/>
      <c r="EY139" s="9"/>
      <c r="EZ139" s="201"/>
      <c r="FA139" s="213"/>
      <c r="FB139" s="213"/>
      <c r="FC139" s="213"/>
      <c r="FD139" s="213"/>
      <c r="FE139" s="214"/>
      <c r="FF139" s="201"/>
      <c r="FG139" s="201"/>
      <c r="FH139" s="201"/>
      <c r="FI139" s="215"/>
      <c r="FJ139" s="215"/>
      <c r="FK139" s="201"/>
      <c r="FL139" s="201"/>
      <c r="FM139" s="201"/>
      <c r="FN139" s="201"/>
      <c r="FO139" s="9"/>
      <c r="FP139" s="201"/>
      <c r="FQ139" s="201"/>
      <c r="FR139" s="201"/>
      <c r="FS139" s="9"/>
      <c r="FT139" s="9"/>
      <c r="FU139" s="9"/>
      <c r="FV139" s="9"/>
      <c r="FW139" s="201"/>
      <c r="FX139" s="201"/>
      <c r="FY139" s="201"/>
      <c r="FZ139" s="201"/>
      <c r="GA139" s="201"/>
      <c r="GB139" s="9"/>
      <c r="GC139" s="9"/>
      <c r="GD139" s="9"/>
      <c r="GE139" s="9"/>
      <c r="GF139" s="9"/>
      <c r="GG139" s="9"/>
      <c r="GH139" s="9"/>
      <c r="GI139" s="9"/>
      <c r="GJ139" s="9"/>
      <c r="GK139" s="9"/>
      <c r="GL139" s="9"/>
      <c r="GM139" s="9"/>
      <c r="GN139" s="9"/>
      <c r="GO139" s="9"/>
      <c r="GP139" s="9"/>
      <c r="GQ139" s="9"/>
      <c r="GR139" s="9"/>
      <c r="GS139" s="9"/>
      <c r="GT139" s="9"/>
      <c r="GU139" s="9"/>
      <c r="GV139" s="9"/>
      <c r="GW139" s="9"/>
      <c r="GX139" s="9"/>
      <c r="GY139" s="9"/>
      <c r="GZ139" s="9"/>
    </row>
    <row r="140" ht="13.2" spans="1:208">
      <c r="A140" s="172">
        <v>45931</v>
      </c>
      <c r="B140" s="20" t="s">
        <v>377</v>
      </c>
      <c r="C140" s="18"/>
      <c r="D140" s="20"/>
      <c r="E140" s="207"/>
      <c r="F140" s="20"/>
      <c r="G140" s="176"/>
      <c r="H140" s="175"/>
      <c r="I140" s="176"/>
      <c r="J140" s="178"/>
      <c r="K140" s="174"/>
      <c r="L140" s="174"/>
      <c r="M140" s="20"/>
      <c r="N140" s="176"/>
      <c r="O140" s="179"/>
      <c r="P140" s="179"/>
      <c r="Q140" s="174"/>
      <c r="R140" s="20"/>
      <c r="S140" s="20"/>
      <c r="T140" s="20"/>
      <c r="U140" s="176"/>
      <c r="V140" s="20"/>
      <c r="W140" s="178"/>
      <c r="X140" s="20"/>
      <c r="Y140" s="20"/>
      <c r="Z140" s="20"/>
      <c r="AA140" s="20"/>
      <c r="AB140" s="20"/>
      <c r="AC140" s="20"/>
      <c r="AD140" s="20"/>
      <c r="AE140" s="20"/>
      <c r="AF140" s="20"/>
      <c r="AG140" s="20"/>
      <c r="AH140" s="20"/>
      <c r="AI140" s="20"/>
      <c r="AJ140" s="20"/>
      <c r="AK140" s="20"/>
      <c r="AL140" s="20"/>
      <c r="AM140" s="180"/>
      <c r="AN140" s="173"/>
      <c r="AO140" s="20"/>
      <c r="AP140" s="20"/>
      <c r="AQ140" s="20"/>
      <c r="AR140" s="20"/>
      <c r="AS140" s="181"/>
      <c r="AT140" s="20"/>
      <c r="AU140" s="182"/>
      <c r="AV140" s="20"/>
      <c r="AW140" s="183"/>
      <c r="AX140" s="184"/>
      <c r="AY140" s="176"/>
      <c r="AZ140" s="182"/>
      <c r="BA140" s="183"/>
      <c r="BB140" s="176"/>
      <c r="BC140" s="179"/>
      <c r="BD140" s="179"/>
      <c r="BE140" s="182"/>
      <c r="BF140" s="186"/>
      <c r="BG140" s="186"/>
      <c r="BH140" s="187"/>
      <c r="BI140" s="182"/>
      <c r="BJ140" s="179"/>
      <c r="BK140" s="179"/>
      <c r="BL140" s="208"/>
      <c r="BM140" s="209"/>
      <c r="BN140" s="15"/>
      <c r="BO140" s="15"/>
      <c r="BP140" s="210"/>
      <c r="BQ140" s="182"/>
      <c r="BR140" s="182"/>
      <c r="BS140" s="182"/>
      <c r="BT140" s="20"/>
      <c r="BU140" s="20"/>
      <c r="BV140" s="20"/>
      <c r="BW140" s="185"/>
      <c r="BX140" s="182"/>
      <c r="BY140" s="182"/>
      <c r="BZ140" s="182"/>
      <c r="CA140" s="182"/>
      <c r="CB140" s="9"/>
      <c r="CC140" s="8"/>
      <c r="CD140" s="213"/>
      <c r="CE140" s="201"/>
      <c r="CF140" s="201"/>
      <c r="CG140" s="201"/>
      <c r="CH140" s="201"/>
      <c r="CI140" s="201"/>
      <c r="CJ140" s="201"/>
      <c r="CK140" s="201"/>
      <c r="CL140" s="201"/>
      <c r="CM140" s="201"/>
      <c r="CN140" s="201"/>
      <c r="CO140" s="201"/>
      <c r="CP140" s="201"/>
      <c r="CQ140" s="201"/>
      <c r="CR140" s="201"/>
      <c r="CS140" s="201"/>
      <c r="CT140" s="201"/>
      <c r="CU140" s="201"/>
      <c r="CV140" s="201"/>
      <c r="CW140" s="201"/>
      <c r="CX140" s="201"/>
      <c r="CY140" s="201"/>
      <c r="CZ140" s="201"/>
      <c r="DA140" s="201"/>
      <c r="DB140" s="201"/>
      <c r="DC140" s="201"/>
      <c r="DD140" s="201"/>
      <c r="DE140" s="201"/>
      <c r="DF140" s="201"/>
      <c r="DG140" s="201"/>
      <c r="DH140" s="201"/>
      <c r="DI140" s="201"/>
      <c r="DJ140" s="201"/>
      <c r="DK140" s="201"/>
      <c r="DL140" s="201"/>
      <c r="DM140" s="201"/>
      <c r="DN140" s="201"/>
      <c r="DO140" s="201"/>
      <c r="DP140" s="201"/>
      <c r="DQ140" s="201"/>
      <c r="DR140" s="201"/>
      <c r="DS140" s="201"/>
      <c r="DT140" s="201"/>
      <c r="DU140" s="201"/>
      <c r="DV140" s="201"/>
      <c r="DW140" s="201"/>
      <c r="DX140" s="201"/>
      <c r="DY140" s="201"/>
      <c r="DZ140" s="201"/>
      <c r="EA140" s="201"/>
      <c r="EB140" s="201"/>
      <c r="EC140" s="201"/>
      <c r="ED140" s="201"/>
      <c r="EE140" s="201"/>
      <c r="EF140" s="201"/>
      <c r="EG140" s="201"/>
      <c r="EH140" s="201"/>
      <c r="EI140" s="201"/>
      <c r="EJ140" s="201"/>
      <c r="EK140" s="201"/>
      <c r="EL140" s="201"/>
      <c r="EM140" s="201"/>
      <c r="EN140" s="201"/>
      <c r="EO140" s="201"/>
      <c r="EP140" s="201"/>
      <c r="EQ140" s="201"/>
      <c r="ER140" s="9"/>
      <c r="ES140" s="201"/>
      <c r="ET140" s="9"/>
      <c r="EU140" s="9"/>
      <c r="EV140" s="9"/>
      <c r="EW140" s="9"/>
      <c r="EX140" s="9"/>
      <c r="EY140" s="9"/>
      <c r="EZ140" s="201"/>
      <c r="FA140" s="213"/>
      <c r="FB140" s="213"/>
      <c r="FC140" s="213"/>
      <c r="FD140" s="213"/>
      <c r="FE140" s="214"/>
      <c r="FF140" s="201"/>
      <c r="FG140" s="201"/>
      <c r="FH140" s="201"/>
      <c r="FI140" s="215"/>
      <c r="FJ140" s="215"/>
      <c r="FK140" s="201"/>
      <c r="FL140" s="201"/>
      <c r="FM140" s="201"/>
      <c r="FN140" s="201"/>
      <c r="FO140" s="9"/>
      <c r="FP140" s="201"/>
      <c r="FQ140" s="201"/>
      <c r="FR140" s="201"/>
      <c r="FS140" s="9"/>
      <c r="FT140" s="9"/>
      <c r="FU140" s="9"/>
      <c r="FV140" s="9"/>
      <c r="FW140" s="201"/>
      <c r="FX140" s="201"/>
      <c r="FY140" s="201"/>
      <c r="FZ140" s="201"/>
      <c r="GA140" s="201"/>
      <c r="GB140" s="9"/>
      <c r="GC140" s="9"/>
      <c r="GD140" s="9"/>
      <c r="GE140" s="9"/>
      <c r="GF140" s="9"/>
      <c r="GG140" s="9"/>
      <c r="GH140" s="9"/>
      <c r="GI140" s="9"/>
      <c r="GJ140" s="9"/>
      <c r="GK140" s="9"/>
      <c r="GL140" s="9"/>
      <c r="GM140" s="9"/>
      <c r="GN140" s="9"/>
      <c r="GO140" s="9"/>
      <c r="GP140" s="9"/>
      <c r="GQ140" s="9"/>
      <c r="GR140" s="9"/>
      <c r="GS140" s="9"/>
      <c r="GT140" s="9"/>
      <c r="GU140" s="9"/>
      <c r="GV140" s="9"/>
      <c r="GW140" s="9"/>
      <c r="GX140" s="9"/>
      <c r="GY140" s="9"/>
      <c r="GZ140" s="9"/>
    </row>
    <row r="141" ht="13.2" spans="1:208">
      <c r="A141" s="172">
        <v>45932</v>
      </c>
      <c r="B141" s="20" t="s">
        <v>379</v>
      </c>
      <c r="C141" s="18"/>
      <c r="D141" s="20"/>
      <c r="E141" s="207"/>
      <c r="F141" s="20"/>
      <c r="G141" s="176"/>
      <c r="H141" s="175"/>
      <c r="I141" s="176"/>
      <c r="J141" s="178"/>
      <c r="K141" s="174"/>
      <c r="L141" s="174"/>
      <c r="M141" s="20"/>
      <c r="N141" s="176"/>
      <c r="O141" s="179"/>
      <c r="P141" s="179"/>
      <c r="Q141" s="174"/>
      <c r="R141" s="20"/>
      <c r="S141" s="20"/>
      <c r="T141" s="20"/>
      <c r="U141" s="176"/>
      <c r="V141" s="20"/>
      <c r="W141" s="178"/>
      <c r="X141" s="20"/>
      <c r="Y141" s="20"/>
      <c r="Z141" s="20"/>
      <c r="AA141" s="20"/>
      <c r="AB141" s="20"/>
      <c r="AC141" s="20"/>
      <c r="AD141" s="20"/>
      <c r="AE141" s="20"/>
      <c r="AF141" s="20"/>
      <c r="AG141" s="20"/>
      <c r="AH141" s="20"/>
      <c r="AI141" s="20"/>
      <c r="AJ141" s="20"/>
      <c r="AK141" s="20"/>
      <c r="AL141" s="20"/>
      <c r="AM141" s="180"/>
      <c r="AN141" s="173"/>
      <c r="AO141" s="20"/>
      <c r="AP141" s="20"/>
      <c r="AQ141" s="20"/>
      <c r="AR141" s="20"/>
      <c r="AS141" s="181"/>
      <c r="AT141" s="20"/>
      <c r="AU141" s="182"/>
      <c r="AV141" s="20"/>
      <c r="AW141" s="183"/>
      <c r="AX141" s="184"/>
      <c r="AY141" s="176"/>
      <c r="AZ141" s="182"/>
      <c r="BA141" s="183"/>
      <c r="BB141" s="176"/>
      <c r="BC141" s="179"/>
      <c r="BD141" s="179"/>
      <c r="BE141" s="182"/>
      <c r="BF141" s="186"/>
      <c r="BG141" s="186"/>
      <c r="BH141" s="187"/>
      <c r="BI141" s="182"/>
      <c r="BJ141" s="179"/>
      <c r="BK141" s="179"/>
      <c r="BL141" s="208"/>
      <c r="BM141" s="209"/>
      <c r="BN141" s="15"/>
      <c r="BO141" s="15"/>
      <c r="BP141" s="210"/>
      <c r="BQ141" s="182"/>
      <c r="BR141" s="182"/>
      <c r="BS141" s="182"/>
      <c r="BT141" s="20"/>
      <c r="BU141" s="20"/>
      <c r="BV141" s="20"/>
      <c r="BW141" s="185"/>
      <c r="BX141" s="182"/>
      <c r="BY141" s="182"/>
      <c r="BZ141" s="182"/>
      <c r="CA141" s="182"/>
      <c r="CB141" s="9"/>
      <c r="CC141" s="8"/>
      <c r="CD141" s="213"/>
      <c r="CE141" s="201"/>
      <c r="CF141" s="201"/>
      <c r="CG141" s="201"/>
      <c r="CH141" s="201"/>
      <c r="CI141" s="201"/>
      <c r="CJ141" s="201"/>
      <c r="CK141" s="201"/>
      <c r="CL141" s="201"/>
      <c r="CM141" s="201"/>
      <c r="CN141" s="201"/>
      <c r="CO141" s="201"/>
      <c r="CP141" s="201"/>
      <c r="CQ141" s="201"/>
      <c r="CR141" s="201"/>
      <c r="CS141" s="201"/>
      <c r="CT141" s="201"/>
      <c r="CU141" s="201"/>
      <c r="CV141" s="201"/>
      <c r="CW141" s="201"/>
      <c r="CX141" s="201"/>
      <c r="CY141" s="201"/>
      <c r="CZ141" s="201"/>
      <c r="DA141" s="201"/>
      <c r="DB141" s="201"/>
      <c r="DC141" s="201"/>
      <c r="DD141" s="201"/>
      <c r="DE141" s="201"/>
      <c r="DF141" s="201"/>
      <c r="DG141" s="201"/>
      <c r="DH141" s="201"/>
      <c r="DI141" s="201"/>
      <c r="DJ141" s="201"/>
      <c r="DK141" s="201"/>
      <c r="DL141" s="201"/>
      <c r="DM141" s="201"/>
      <c r="DN141" s="201"/>
      <c r="DO141" s="201"/>
      <c r="DP141" s="201"/>
      <c r="DQ141" s="201"/>
      <c r="DR141" s="201"/>
      <c r="DS141" s="201"/>
      <c r="DT141" s="201"/>
      <c r="DU141" s="201"/>
      <c r="DV141" s="201"/>
      <c r="DW141" s="201"/>
      <c r="DX141" s="201"/>
      <c r="DY141" s="201"/>
      <c r="DZ141" s="201"/>
      <c r="EA141" s="201"/>
      <c r="EB141" s="201"/>
      <c r="EC141" s="201"/>
      <c r="ED141" s="201"/>
      <c r="EE141" s="201"/>
      <c r="EF141" s="201"/>
      <c r="EG141" s="201"/>
      <c r="EH141" s="201"/>
      <c r="EI141" s="201"/>
      <c r="EJ141" s="201"/>
      <c r="EK141" s="201"/>
      <c r="EL141" s="201"/>
      <c r="EM141" s="201"/>
      <c r="EN141" s="201"/>
      <c r="EO141" s="201"/>
      <c r="EP141" s="201"/>
      <c r="EQ141" s="201"/>
      <c r="ER141" s="9"/>
      <c r="ES141" s="201"/>
      <c r="ET141" s="9"/>
      <c r="EU141" s="9"/>
      <c r="EV141" s="9"/>
      <c r="EW141" s="9"/>
      <c r="EX141" s="9"/>
      <c r="EY141" s="9"/>
      <c r="EZ141" s="201"/>
      <c r="FA141" s="213"/>
      <c r="FB141" s="213"/>
      <c r="FC141" s="213"/>
      <c r="FD141" s="213"/>
      <c r="FE141" s="214"/>
      <c r="FF141" s="201"/>
      <c r="FG141" s="201"/>
      <c r="FH141" s="201"/>
      <c r="FI141" s="215"/>
      <c r="FJ141" s="215"/>
      <c r="FK141" s="201"/>
      <c r="FL141" s="201"/>
      <c r="FM141" s="201"/>
      <c r="FN141" s="201"/>
      <c r="FO141" s="9"/>
      <c r="FP141" s="201"/>
      <c r="FQ141" s="201"/>
      <c r="FR141" s="201"/>
      <c r="FS141" s="9"/>
      <c r="FT141" s="9"/>
      <c r="FU141" s="9"/>
      <c r="FV141" s="9"/>
      <c r="FW141" s="201"/>
      <c r="FX141" s="201"/>
      <c r="FY141" s="201"/>
      <c r="FZ141" s="201"/>
      <c r="GA141" s="201"/>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row>
    <row r="142" ht="13.2" spans="1:208">
      <c r="A142" s="172">
        <v>45933</v>
      </c>
      <c r="B142" s="20" t="s">
        <v>381</v>
      </c>
      <c r="C142" s="18"/>
      <c r="D142" s="20"/>
      <c r="E142" s="207"/>
      <c r="F142" s="20"/>
      <c r="G142" s="176"/>
      <c r="H142" s="175"/>
      <c r="I142" s="176"/>
      <c r="J142" s="178"/>
      <c r="K142" s="174"/>
      <c r="L142" s="174"/>
      <c r="M142" s="20"/>
      <c r="N142" s="176"/>
      <c r="O142" s="179"/>
      <c r="P142" s="179"/>
      <c r="Q142" s="174"/>
      <c r="R142" s="20"/>
      <c r="S142" s="20"/>
      <c r="T142" s="20"/>
      <c r="U142" s="176"/>
      <c r="V142" s="20"/>
      <c r="W142" s="178"/>
      <c r="X142" s="20"/>
      <c r="Y142" s="20"/>
      <c r="Z142" s="20"/>
      <c r="AA142" s="20"/>
      <c r="AB142" s="20"/>
      <c r="AC142" s="20"/>
      <c r="AD142" s="20"/>
      <c r="AE142" s="20"/>
      <c r="AF142" s="20"/>
      <c r="AG142" s="20"/>
      <c r="AH142" s="20"/>
      <c r="AI142" s="20"/>
      <c r="AJ142" s="20"/>
      <c r="AK142" s="20"/>
      <c r="AL142" s="20"/>
      <c r="AM142" s="180"/>
      <c r="AN142" s="173"/>
      <c r="AO142" s="20"/>
      <c r="AP142" s="20"/>
      <c r="AQ142" s="20"/>
      <c r="AR142" s="20"/>
      <c r="AS142" s="181"/>
      <c r="AT142" s="20"/>
      <c r="AU142" s="182"/>
      <c r="AV142" s="20"/>
      <c r="AW142" s="183"/>
      <c r="AX142" s="184"/>
      <c r="AY142" s="176"/>
      <c r="AZ142" s="182"/>
      <c r="BA142" s="183"/>
      <c r="BB142" s="176"/>
      <c r="BC142" s="179"/>
      <c r="BD142" s="179"/>
      <c r="BE142" s="182"/>
      <c r="BF142" s="186"/>
      <c r="BG142" s="186"/>
      <c r="BH142" s="187"/>
      <c r="BI142" s="182"/>
      <c r="BJ142" s="179"/>
      <c r="BK142" s="179"/>
      <c r="BL142" s="208"/>
      <c r="BM142" s="209"/>
      <c r="BN142" s="15"/>
      <c r="BO142" s="15"/>
      <c r="BP142" s="210"/>
      <c r="BQ142" s="182"/>
      <c r="BR142" s="182"/>
      <c r="BS142" s="182"/>
      <c r="BT142" s="20"/>
      <c r="BU142" s="20"/>
      <c r="BV142" s="20"/>
      <c r="BW142" s="185"/>
      <c r="BX142" s="182"/>
      <c r="BY142" s="182"/>
      <c r="BZ142" s="182"/>
      <c r="CA142" s="182"/>
      <c r="CB142" s="9"/>
      <c r="CC142" s="8"/>
      <c r="CD142" s="213"/>
      <c r="CE142" s="201"/>
      <c r="CF142" s="201"/>
      <c r="CG142" s="201"/>
      <c r="CH142" s="201"/>
      <c r="CI142" s="201"/>
      <c r="CJ142" s="201"/>
      <c r="CK142" s="201"/>
      <c r="CL142" s="201"/>
      <c r="CM142" s="201"/>
      <c r="CN142" s="201"/>
      <c r="CO142" s="201"/>
      <c r="CP142" s="201"/>
      <c r="CQ142" s="201"/>
      <c r="CR142" s="201"/>
      <c r="CS142" s="201"/>
      <c r="CT142" s="201"/>
      <c r="CU142" s="201"/>
      <c r="CV142" s="201"/>
      <c r="CW142" s="201"/>
      <c r="CX142" s="201"/>
      <c r="CY142" s="201"/>
      <c r="CZ142" s="201"/>
      <c r="DA142" s="201"/>
      <c r="DB142" s="201"/>
      <c r="DC142" s="201"/>
      <c r="DD142" s="201"/>
      <c r="DE142" s="201"/>
      <c r="DF142" s="201"/>
      <c r="DG142" s="201"/>
      <c r="DH142" s="201"/>
      <c r="DI142" s="201"/>
      <c r="DJ142" s="201"/>
      <c r="DK142" s="201"/>
      <c r="DL142" s="201"/>
      <c r="DM142" s="201"/>
      <c r="DN142" s="201"/>
      <c r="DO142" s="201"/>
      <c r="DP142" s="201"/>
      <c r="DQ142" s="201"/>
      <c r="DR142" s="201"/>
      <c r="DS142" s="201"/>
      <c r="DT142" s="201"/>
      <c r="DU142" s="201"/>
      <c r="DV142" s="201"/>
      <c r="DW142" s="201"/>
      <c r="DX142" s="201"/>
      <c r="DY142" s="201"/>
      <c r="DZ142" s="201"/>
      <c r="EA142" s="201"/>
      <c r="EB142" s="201"/>
      <c r="EC142" s="201"/>
      <c r="ED142" s="201"/>
      <c r="EE142" s="201"/>
      <c r="EF142" s="201"/>
      <c r="EG142" s="201"/>
      <c r="EH142" s="201"/>
      <c r="EI142" s="201"/>
      <c r="EJ142" s="201"/>
      <c r="EK142" s="201"/>
      <c r="EL142" s="201"/>
      <c r="EM142" s="201"/>
      <c r="EN142" s="201"/>
      <c r="EO142" s="201"/>
      <c r="EP142" s="201"/>
      <c r="EQ142" s="201"/>
      <c r="ER142" s="9"/>
      <c r="ES142" s="201"/>
      <c r="ET142" s="9"/>
      <c r="EU142" s="9"/>
      <c r="EV142" s="9"/>
      <c r="EW142" s="9"/>
      <c r="EX142" s="9"/>
      <c r="EY142" s="9"/>
      <c r="EZ142" s="201"/>
      <c r="FA142" s="213"/>
      <c r="FB142" s="213"/>
      <c r="FC142" s="213"/>
      <c r="FD142" s="213"/>
      <c r="FE142" s="214"/>
      <c r="FF142" s="201"/>
      <c r="FG142" s="201"/>
      <c r="FH142" s="201"/>
      <c r="FI142" s="215"/>
      <c r="FJ142" s="215"/>
      <c r="FK142" s="201"/>
      <c r="FL142" s="201"/>
      <c r="FM142" s="201"/>
      <c r="FN142" s="201"/>
      <c r="FO142" s="9"/>
      <c r="FP142" s="201"/>
      <c r="FQ142" s="201"/>
      <c r="FR142" s="201"/>
      <c r="FS142" s="9"/>
      <c r="FT142" s="9"/>
      <c r="FU142" s="9"/>
      <c r="FV142" s="9"/>
      <c r="FW142" s="201"/>
      <c r="FX142" s="201"/>
      <c r="FY142" s="201"/>
      <c r="FZ142" s="201"/>
      <c r="GA142" s="201"/>
      <c r="GB142" s="9"/>
      <c r="GC142" s="9"/>
      <c r="GD142" s="9"/>
      <c r="GE142" s="9"/>
      <c r="GF142" s="9"/>
      <c r="GG142" s="9"/>
      <c r="GH142" s="9"/>
      <c r="GI142" s="9"/>
      <c r="GJ142" s="9"/>
      <c r="GK142" s="9"/>
      <c r="GL142" s="9"/>
      <c r="GM142" s="9"/>
      <c r="GN142" s="9"/>
      <c r="GO142" s="9"/>
      <c r="GP142" s="9"/>
      <c r="GQ142" s="9"/>
      <c r="GR142" s="9"/>
      <c r="GS142" s="9"/>
      <c r="GT142" s="9"/>
      <c r="GU142" s="9"/>
      <c r="GV142" s="9"/>
      <c r="GW142" s="9"/>
      <c r="GX142" s="9"/>
      <c r="GY142" s="9"/>
      <c r="GZ142" s="9"/>
    </row>
    <row r="143" ht="13.2" spans="1:208">
      <c r="A143" s="172">
        <v>45934</v>
      </c>
      <c r="B143" s="20" t="s">
        <v>369</v>
      </c>
      <c r="C143" s="18"/>
      <c r="D143" s="20"/>
      <c r="E143" s="207"/>
      <c r="F143" s="20"/>
      <c r="G143" s="176"/>
      <c r="H143" s="175"/>
      <c r="I143" s="176"/>
      <c r="J143" s="178"/>
      <c r="K143" s="174"/>
      <c r="L143" s="174"/>
      <c r="M143" s="20"/>
      <c r="N143" s="176"/>
      <c r="O143" s="179"/>
      <c r="P143" s="179"/>
      <c r="Q143" s="174"/>
      <c r="R143" s="20"/>
      <c r="S143" s="20"/>
      <c r="T143" s="20"/>
      <c r="U143" s="176"/>
      <c r="V143" s="20"/>
      <c r="W143" s="178"/>
      <c r="X143" s="20"/>
      <c r="Y143" s="20"/>
      <c r="Z143" s="20"/>
      <c r="AA143" s="20"/>
      <c r="AB143" s="20"/>
      <c r="AC143" s="20"/>
      <c r="AD143" s="20"/>
      <c r="AE143" s="20"/>
      <c r="AF143" s="20"/>
      <c r="AG143" s="20"/>
      <c r="AH143" s="20"/>
      <c r="AI143" s="20"/>
      <c r="AJ143" s="20"/>
      <c r="AK143" s="20"/>
      <c r="AL143" s="20"/>
      <c r="AM143" s="180"/>
      <c r="AN143" s="173"/>
      <c r="AO143" s="20"/>
      <c r="AP143" s="20"/>
      <c r="AQ143" s="20"/>
      <c r="AR143" s="20"/>
      <c r="AS143" s="181"/>
      <c r="AT143" s="20"/>
      <c r="AU143" s="182"/>
      <c r="AV143" s="20"/>
      <c r="AW143" s="183"/>
      <c r="AX143" s="184"/>
      <c r="AY143" s="176"/>
      <c r="AZ143" s="182"/>
      <c r="BA143" s="183"/>
      <c r="BB143" s="176"/>
      <c r="BC143" s="179"/>
      <c r="BD143" s="179"/>
      <c r="BE143" s="182"/>
      <c r="BF143" s="186"/>
      <c r="BG143" s="186"/>
      <c r="BH143" s="187"/>
      <c r="BI143" s="182"/>
      <c r="BJ143" s="179"/>
      <c r="BK143" s="179"/>
      <c r="BL143" s="208"/>
      <c r="BM143" s="209"/>
      <c r="BN143" s="15"/>
      <c r="BO143" s="15"/>
      <c r="BP143" s="210"/>
      <c r="BQ143" s="182"/>
      <c r="BR143" s="182"/>
      <c r="BS143" s="182"/>
      <c r="BT143" s="20"/>
      <c r="BU143" s="20"/>
      <c r="BV143" s="20"/>
      <c r="BW143" s="185"/>
      <c r="BX143" s="182"/>
      <c r="BY143" s="182"/>
      <c r="BZ143" s="182"/>
      <c r="CA143" s="182"/>
      <c r="CB143" s="9"/>
      <c r="CC143" s="8"/>
      <c r="CD143" s="213"/>
      <c r="CE143" s="201"/>
      <c r="CF143" s="201"/>
      <c r="CG143" s="201"/>
      <c r="CH143" s="201"/>
      <c r="CI143" s="201"/>
      <c r="CJ143" s="201"/>
      <c r="CK143" s="201"/>
      <c r="CL143" s="201"/>
      <c r="CM143" s="201"/>
      <c r="CN143" s="201"/>
      <c r="CO143" s="201"/>
      <c r="CP143" s="201"/>
      <c r="CQ143" s="201"/>
      <c r="CR143" s="201"/>
      <c r="CS143" s="201"/>
      <c r="CT143" s="201"/>
      <c r="CU143" s="201"/>
      <c r="CV143" s="201"/>
      <c r="CW143" s="201"/>
      <c r="CX143" s="201"/>
      <c r="CY143" s="201"/>
      <c r="CZ143" s="201"/>
      <c r="DA143" s="201"/>
      <c r="DB143" s="201"/>
      <c r="DC143" s="201"/>
      <c r="DD143" s="201"/>
      <c r="DE143" s="201"/>
      <c r="DF143" s="201"/>
      <c r="DG143" s="201"/>
      <c r="DH143" s="201"/>
      <c r="DI143" s="201"/>
      <c r="DJ143" s="201"/>
      <c r="DK143" s="201"/>
      <c r="DL143" s="201"/>
      <c r="DM143" s="201"/>
      <c r="DN143" s="201"/>
      <c r="DO143" s="201"/>
      <c r="DP143" s="201"/>
      <c r="DQ143" s="201"/>
      <c r="DR143" s="201"/>
      <c r="DS143" s="201"/>
      <c r="DT143" s="201"/>
      <c r="DU143" s="201"/>
      <c r="DV143" s="201"/>
      <c r="DW143" s="201"/>
      <c r="DX143" s="201"/>
      <c r="DY143" s="201"/>
      <c r="DZ143" s="201"/>
      <c r="EA143" s="201"/>
      <c r="EB143" s="201"/>
      <c r="EC143" s="201"/>
      <c r="ED143" s="201"/>
      <c r="EE143" s="201"/>
      <c r="EF143" s="201"/>
      <c r="EG143" s="201"/>
      <c r="EH143" s="201"/>
      <c r="EI143" s="201"/>
      <c r="EJ143" s="201"/>
      <c r="EK143" s="201"/>
      <c r="EL143" s="201"/>
      <c r="EM143" s="201"/>
      <c r="EN143" s="201"/>
      <c r="EO143" s="201"/>
      <c r="EP143" s="201"/>
      <c r="EQ143" s="201"/>
      <c r="ER143" s="9"/>
      <c r="ES143" s="201"/>
      <c r="ET143" s="9"/>
      <c r="EU143" s="9"/>
      <c r="EV143" s="9"/>
      <c r="EW143" s="9"/>
      <c r="EX143" s="9"/>
      <c r="EY143" s="9"/>
      <c r="EZ143" s="201"/>
      <c r="FA143" s="213"/>
      <c r="FB143" s="213"/>
      <c r="FC143" s="213"/>
      <c r="FD143" s="213"/>
      <c r="FE143" s="214"/>
      <c r="FF143" s="201"/>
      <c r="FG143" s="201"/>
      <c r="FH143" s="201"/>
      <c r="FI143" s="215"/>
      <c r="FJ143" s="215"/>
      <c r="FK143" s="201"/>
      <c r="FL143" s="201"/>
      <c r="FM143" s="201"/>
      <c r="FN143" s="201"/>
      <c r="FO143" s="9"/>
      <c r="FP143" s="201"/>
      <c r="FQ143" s="201"/>
      <c r="FR143" s="201"/>
      <c r="FS143" s="9"/>
      <c r="FT143" s="9"/>
      <c r="FU143" s="9"/>
      <c r="FV143" s="9"/>
      <c r="FW143" s="201"/>
      <c r="FX143" s="201"/>
      <c r="FY143" s="201"/>
      <c r="FZ143" s="201"/>
      <c r="GA143" s="201"/>
      <c r="GB143" s="9"/>
      <c r="GC143" s="9"/>
      <c r="GD143" s="9"/>
      <c r="GE143" s="9"/>
      <c r="GF143" s="9"/>
      <c r="GG143" s="9"/>
      <c r="GH143" s="9"/>
      <c r="GI143" s="9"/>
      <c r="GJ143" s="9"/>
      <c r="GK143" s="9"/>
      <c r="GL143" s="9"/>
      <c r="GM143" s="9"/>
      <c r="GN143" s="9"/>
      <c r="GO143" s="9"/>
      <c r="GP143" s="9"/>
      <c r="GQ143" s="9"/>
      <c r="GR143" s="9"/>
      <c r="GS143" s="9"/>
      <c r="GT143" s="9"/>
      <c r="GU143" s="9"/>
      <c r="GV143" s="9"/>
      <c r="GW143" s="9"/>
      <c r="GX143" s="9"/>
      <c r="GY143" s="9"/>
      <c r="GZ143" s="9"/>
    </row>
    <row r="144" ht="13.2" spans="1:208">
      <c r="A144" s="172">
        <v>45935</v>
      </c>
      <c r="B144" s="20" t="s">
        <v>371</v>
      </c>
      <c r="C144" s="18"/>
      <c r="D144" s="20"/>
      <c r="E144" s="207"/>
      <c r="F144" s="20"/>
      <c r="G144" s="176"/>
      <c r="H144" s="175"/>
      <c r="I144" s="176"/>
      <c r="J144" s="178"/>
      <c r="K144" s="174"/>
      <c r="L144" s="174"/>
      <c r="M144" s="20"/>
      <c r="N144" s="176"/>
      <c r="O144" s="179"/>
      <c r="P144" s="179"/>
      <c r="Q144" s="174"/>
      <c r="R144" s="20"/>
      <c r="S144" s="20"/>
      <c r="T144" s="20"/>
      <c r="U144" s="176"/>
      <c r="V144" s="20"/>
      <c r="W144" s="178"/>
      <c r="X144" s="20"/>
      <c r="Y144" s="20"/>
      <c r="Z144" s="20"/>
      <c r="AA144" s="20"/>
      <c r="AB144" s="20"/>
      <c r="AC144" s="20"/>
      <c r="AD144" s="20"/>
      <c r="AE144" s="20"/>
      <c r="AF144" s="20"/>
      <c r="AG144" s="20"/>
      <c r="AH144" s="20"/>
      <c r="AI144" s="20"/>
      <c r="AJ144" s="20"/>
      <c r="AK144" s="20"/>
      <c r="AL144" s="20"/>
      <c r="AM144" s="180"/>
      <c r="AN144" s="173"/>
      <c r="AO144" s="20"/>
      <c r="AP144" s="20"/>
      <c r="AQ144" s="20"/>
      <c r="AR144" s="20"/>
      <c r="AS144" s="181"/>
      <c r="AT144" s="20"/>
      <c r="AU144" s="182"/>
      <c r="AV144" s="20"/>
      <c r="AW144" s="183"/>
      <c r="AX144" s="184"/>
      <c r="AY144" s="176"/>
      <c r="AZ144" s="182"/>
      <c r="BA144" s="183"/>
      <c r="BB144" s="176"/>
      <c r="BC144" s="179"/>
      <c r="BD144" s="179"/>
      <c r="BE144" s="182"/>
      <c r="BF144" s="186"/>
      <c r="BG144" s="186"/>
      <c r="BH144" s="187"/>
      <c r="BI144" s="182"/>
      <c r="BJ144" s="179"/>
      <c r="BK144" s="179"/>
      <c r="BL144" s="208"/>
      <c r="BM144" s="209"/>
      <c r="BN144" s="15"/>
      <c r="BO144" s="15"/>
      <c r="BP144" s="210"/>
      <c r="BQ144" s="182"/>
      <c r="BR144" s="182"/>
      <c r="BS144" s="182"/>
      <c r="BT144" s="20"/>
      <c r="BU144" s="20"/>
      <c r="BV144" s="20"/>
      <c r="BW144" s="185"/>
      <c r="BX144" s="182"/>
      <c r="BY144" s="182"/>
      <c r="BZ144" s="182"/>
      <c r="CA144" s="182"/>
      <c r="CB144" s="9"/>
      <c r="CC144" s="8"/>
      <c r="CD144" s="213"/>
      <c r="CE144" s="201"/>
      <c r="CF144" s="201"/>
      <c r="CG144" s="201"/>
      <c r="CH144" s="201"/>
      <c r="CI144" s="201"/>
      <c r="CJ144" s="201"/>
      <c r="CK144" s="201"/>
      <c r="CL144" s="201"/>
      <c r="CM144" s="201"/>
      <c r="CN144" s="201"/>
      <c r="CO144" s="201"/>
      <c r="CP144" s="201"/>
      <c r="CQ144" s="201"/>
      <c r="CR144" s="201"/>
      <c r="CS144" s="201"/>
      <c r="CT144" s="201"/>
      <c r="CU144" s="201"/>
      <c r="CV144" s="201"/>
      <c r="CW144" s="201"/>
      <c r="CX144" s="201"/>
      <c r="CY144" s="201"/>
      <c r="CZ144" s="201"/>
      <c r="DA144" s="201"/>
      <c r="DB144" s="201"/>
      <c r="DC144" s="201"/>
      <c r="DD144" s="201"/>
      <c r="DE144" s="201"/>
      <c r="DF144" s="201"/>
      <c r="DG144" s="201"/>
      <c r="DH144" s="201"/>
      <c r="DI144" s="201"/>
      <c r="DJ144" s="201"/>
      <c r="DK144" s="201"/>
      <c r="DL144" s="201"/>
      <c r="DM144" s="201"/>
      <c r="DN144" s="201"/>
      <c r="DO144" s="201"/>
      <c r="DP144" s="201"/>
      <c r="DQ144" s="201"/>
      <c r="DR144" s="201"/>
      <c r="DS144" s="201"/>
      <c r="DT144" s="201"/>
      <c r="DU144" s="201"/>
      <c r="DV144" s="201"/>
      <c r="DW144" s="201"/>
      <c r="DX144" s="201"/>
      <c r="DY144" s="201"/>
      <c r="DZ144" s="201"/>
      <c r="EA144" s="201"/>
      <c r="EB144" s="201"/>
      <c r="EC144" s="201"/>
      <c r="ED144" s="201"/>
      <c r="EE144" s="201"/>
      <c r="EF144" s="201"/>
      <c r="EG144" s="201"/>
      <c r="EH144" s="201"/>
      <c r="EI144" s="201"/>
      <c r="EJ144" s="201"/>
      <c r="EK144" s="201"/>
      <c r="EL144" s="201"/>
      <c r="EM144" s="201"/>
      <c r="EN144" s="201"/>
      <c r="EO144" s="201"/>
      <c r="EP144" s="201"/>
      <c r="EQ144" s="201"/>
      <c r="ER144" s="9"/>
      <c r="ES144" s="201"/>
      <c r="ET144" s="9"/>
      <c r="EU144" s="9"/>
      <c r="EV144" s="9"/>
      <c r="EW144" s="9"/>
      <c r="EX144" s="9"/>
      <c r="EY144" s="9"/>
      <c r="EZ144" s="201"/>
      <c r="FA144" s="213"/>
      <c r="FB144" s="213"/>
      <c r="FC144" s="213"/>
      <c r="FD144" s="213"/>
      <c r="FE144" s="214"/>
      <c r="FF144" s="201"/>
      <c r="FG144" s="201"/>
      <c r="FH144" s="201"/>
      <c r="FI144" s="215"/>
      <c r="FJ144" s="215"/>
      <c r="FK144" s="201"/>
      <c r="FL144" s="201"/>
      <c r="FM144" s="201"/>
      <c r="FN144" s="201"/>
      <c r="FO144" s="9"/>
      <c r="FP144" s="201"/>
      <c r="FQ144" s="201"/>
      <c r="FR144" s="201"/>
      <c r="FS144" s="9"/>
      <c r="FT144" s="9"/>
      <c r="FU144" s="9"/>
      <c r="FV144" s="9"/>
      <c r="FW144" s="201"/>
      <c r="FX144" s="201"/>
      <c r="FY144" s="201"/>
      <c r="FZ144" s="201"/>
      <c r="GA144" s="201"/>
      <c r="GB144" s="9"/>
      <c r="GC144" s="9"/>
      <c r="GD144" s="9"/>
      <c r="GE144" s="9"/>
      <c r="GF144" s="9"/>
      <c r="GG144" s="9"/>
      <c r="GH144" s="9"/>
      <c r="GI144" s="9"/>
      <c r="GJ144" s="9"/>
      <c r="GK144" s="9"/>
      <c r="GL144" s="9"/>
      <c r="GM144" s="9"/>
      <c r="GN144" s="9"/>
      <c r="GO144" s="9"/>
      <c r="GP144" s="9"/>
      <c r="GQ144" s="9"/>
      <c r="GR144" s="9"/>
      <c r="GS144" s="9"/>
      <c r="GT144" s="9"/>
      <c r="GU144" s="9"/>
      <c r="GV144" s="9"/>
      <c r="GW144" s="9"/>
      <c r="GX144" s="9"/>
      <c r="GY144" s="9"/>
      <c r="GZ144" s="9"/>
    </row>
    <row r="145" ht="13.2" spans="1:208">
      <c r="A145" s="172">
        <v>45936</v>
      </c>
      <c r="B145" s="20" t="s">
        <v>373</v>
      </c>
      <c r="C145" s="18"/>
      <c r="D145" s="20"/>
      <c r="E145" s="207"/>
      <c r="F145" s="20"/>
      <c r="G145" s="176"/>
      <c r="H145" s="175"/>
      <c r="I145" s="176"/>
      <c r="J145" s="178"/>
      <c r="K145" s="174"/>
      <c r="L145" s="174"/>
      <c r="M145" s="20"/>
      <c r="N145" s="176"/>
      <c r="O145" s="179"/>
      <c r="P145" s="179"/>
      <c r="Q145" s="174"/>
      <c r="R145" s="20"/>
      <c r="S145" s="20"/>
      <c r="T145" s="20"/>
      <c r="U145" s="176"/>
      <c r="V145" s="20"/>
      <c r="W145" s="178"/>
      <c r="X145" s="20"/>
      <c r="Y145" s="20"/>
      <c r="Z145" s="20"/>
      <c r="AA145" s="20"/>
      <c r="AB145" s="20"/>
      <c r="AC145" s="20"/>
      <c r="AD145" s="20"/>
      <c r="AE145" s="20"/>
      <c r="AF145" s="20"/>
      <c r="AG145" s="20"/>
      <c r="AH145" s="20"/>
      <c r="AI145" s="20"/>
      <c r="AJ145" s="20"/>
      <c r="AK145" s="20"/>
      <c r="AL145" s="20"/>
      <c r="AM145" s="180"/>
      <c r="AN145" s="173"/>
      <c r="AO145" s="20"/>
      <c r="AP145" s="20"/>
      <c r="AQ145" s="20"/>
      <c r="AR145" s="20"/>
      <c r="AS145" s="181"/>
      <c r="AT145" s="20"/>
      <c r="AU145" s="182"/>
      <c r="AV145" s="20"/>
      <c r="AW145" s="183"/>
      <c r="AX145" s="184"/>
      <c r="AY145" s="176"/>
      <c r="AZ145" s="182"/>
      <c r="BA145" s="183"/>
      <c r="BB145" s="176"/>
      <c r="BC145" s="179"/>
      <c r="BD145" s="179"/>
      <c r="BE145" s="182"/>
      <c r="BF145" s="186"/>
      <c r="BG145" s="186"/>
      <c r="BH145" s="187"/>
      <c r="BI145" s="182"/>
      <c r="BJ145" s="179"/>
      <c r="BK145" s="179"/>
      <c r="BL145" s="208"/>
      <c r="BM145" s="209"/>
      <c r="BN145" s="15"/>
      <c r="BO145" s="15"/>
      <c r="BP145" s="210"/>
      <c r="BQ145" s="182"/>
      <c r="BR145" s="182"/>
      <c r="BS145" s="182"/>
      <c r="BT145" s="20"/>
      <c r="BU145" s="20"/>
      <c r="BV145" s="20"/>
      <c r="BW145" s="185"/>
      <c r="BX145" s="182"/>
      <c r="BY145" s="182"/>
      <c r="BZ145" s="182"/>
      <c r="CA145" s="182"/>
      <c r="CB145" s="9"/>
      <c r="CC145" s="8"/>
      <c r="CD145" s="213"/>
      <c r="CE145" s="201"/>
      <c r="CF145" s="201"/>
      <c r="CG145" s="201"/>
      <c r="CH145" s="201"/>
      <c r="CI145" s="201"/>
      <c r="CJ145" s="201"/>
      <c r="CK145" s="201"/>
      <c r="CL145" s="201"/>
      <c r="CM145" s="201"/>
      <c r="CN145" s="201"/>
      <c r="CO145" s="201"/>
      <c r="CP145" s="201"/>
      <c r="CQ145" s="201"/>
      <c r="CR145" s="201"/>
      <c r="CS145" s="201"/>
      <c r="CT145" s="201"/>
      <c r="CU145" s="201"/>
      <c r="CV145" s="201"/>
      <c r="CW145" s="201"/>
      <c r="CX145" s="201"/>
      <c r="CY145" s="201"/>
      <c r="CZ145" s="201"/>
      <c r="DA145" s="201"/>
      <c r="DB145" s="201"/>
      <c r="DC145" s="201"/>
      <c r="DD145" s="201"/>
      <c r="DE145" s="201"/>
      <c r="DF145" s="201"/>
      <c r="DG145" s="201"/>
      <c r="DH145" s="201"/>
      <c r="DI145" s="201"/>
      <c r="DJ145" s="201"/>
      <c r="DK145" s="201"/>
      <c r="DL145" s="201"/>
      <c r="DM145" s="201"/>
      <c r="DN145" s="201"/>
      <c r="DO145" s="201"/>
      <c r="DP145" s="201"/>
      <c r="DQ145" s="201"/>
      <c r="DR145" s="201"/>
      <c r="DS145" s="201"/>
      <c r="DT145" s="201"/>
      <c r="DU145" s="201"/>
      <c r="DV145" s="201"/>
      <c r="DW145" s="201"/>
      <c r="DX145" s="201"/>
      <c r="DY145" s="201"/>
      <c r="DZ145" s="201"/>
      <c r="EA145" s="201"/>
      <c r="EB145" s="201"/>
      <c r="EC145" s="201"/>
      <c r="ED145" s="201"/>
      <c r="EE145" s="201"/>
      <c r="EF145" s="201"/>
      <c r="EG145" s="201"/>
      <c r="EH145" s="201"/>
      <c r="EI145" s="201"/>
      <c r="EJ145" s="201"/>
      <c r="EK145" s="201"/>
      <c r="EL145" s="201"/>
      <c r="EM145" s="201"/>
      <c r="EN145" s="201"/>
      <c r="EO145" s="201"/>
      <c r="EP145" s="201"/>
      <c r="EQ145" s="201"/>
      <c r="ER145" s="9"/>
      <c r="ES145" s="201"/>
      <c r="ET145" s="9"/>
      <c r="EU145" s="9"/>
      <c r="EV145" s="9"/>
      <c r="EW145" s="9"/>
      <c r="EX145" s="9"/>
      <c r="EY145" s="9"/>
      <c r="EZ145" s="201"/>
      <c r="FA145" s="213"/>
      <c r="FB145" s="213"/>
      <c r="FC145" s="213"/>
      <c r="FD145" s="213"/>
      <c r="FE145" s="214"/>
      <c r="FF145" s="201"/>
      <c r="FG145" s="201"/>
      <c r="FH145" s="201"/>
      <c r="FI145" s="215"/>
      <c r="FJ145" s="215"/>
      <c r="FK145" s="201"/>
      <c r="FL145" s="201"/>
      <c r="FM145" s="201"/>
      <c r="FN145" s="201"/>
      <c r="FO145" s="9"/>
      <c r="FP145" s="201"/>
      <c r="FQ145" s="201"/>
      <c r="FR145" s="201"/>
      <c r="FS145" s="9"/>
      <c r="FT145" s="9"/>
      <c r="FU145" s="9"/>
      <c r="FV145" s="9"/>
      <c r="FW145" s="201"/>
      <c r="FX145" s="201"/>
      <c r="FY145" s="201"/>
      <c r="FZ145" s="201"/>
      <c r="GA145" s="201"/>
      <c r="GB145" s="9"/>
      <c r="GC145" s="9"/>
      <c r="GD145" s="9"/>
      <c r="GE145" s="9"/>
      <c r="GF145" s="9"/>
      <c r="GG145" s="9"/>
      <c r="GH145" s="9"/>
      <c r="GI145" s="9"/>
      <c r="GJ145" s="9"/>
      <c r="GK145" s="9"/>
      <c r="GL145" s="9"/>
      <c r="GM145" s="9"/>
      <c r="GN145" s="9"/>
      <c r="GO145" s="9"/>
      <c r="GP145" s="9"/>
      <c r="GQ145" s="9"/>
      <c r="GR145" s="9"/>
      <c r="GS145" s="9"/>
      <c r="GT145" s="9"/>
      <c r="GU145" s="9"/>
      <c r="GV145" s="9"/>
      <c r="GW145" s="9"/>
      <c r="GX145" s="9"/>
      <c r="GY145" s="9"/>
      <c r="GZ145" s="9"/>
    </row>
    <row r="146" ht="13.2" spans="1:208">
      <c r="A146" s="172">
        <v>45937</v>
      </c>
      <c r="B146" s="20" t="s">
        <v>375</v>
      </c>
      <c r="C146" s="18"/>
      <c r="D146" s="20"/>
      <c r="E146" s="207"/>
      <c r="F146" s="20"/>
      <c r="G146" s="176"/>
      <c r="H146" s="175"/>
      <c r="I146" s="176"/>
      <c r="J146" s="178"/>
      <c r="K146" s="174"/>
      <c r="L146" s="174"/>
      <c r="M146" s="20"/>
      <c r="N146" s="176"/>
      <c r="O146" s="179"/>
      <c r="P146" s="179"/>
      <c r="Q146" s="174"/>
      <c r="R146" s="20"/>
      <c r="S146" s="20"/>
      <c r="T146" s="20"/>
      <c r="U146" s="176"/>
      <c r="V146" s="20"/>
      <c r="W146" s="178"/>
      <c r="X146" s="20"/>
      <c r="Y146" s="20"/>
      <c r="Z146" s="20"/>
      <c r="AA146" s="20"/>
      <c r="AB146" s="20"/>
      <c r="AC146" s="20"/>
      <c r="AD146" s="20"/>
      <c r="AE146" s="20"/>
      <c r="AF146" s="20"/>
      <c r="AG146" s="20"/>
      <c r="AH146" s="20"/>
      <c r="AI146" s="20"/>
      <c r="AJ146" s="20"/>
      <c r="AK146" s="20"/>
      <c r="AL146" s="20"/>
      <c r="AM146" s="180"/>
      <c r="AN146" s="173"/>
      <c r="AO146" s="20"/>
      <c r="AP146" s="20"/>
      <c r="AQ146" s="20"/>
      <c r="AR146" s="20"/>
      <c r="AS146" s="181"/>
      <c r="AT146" s="20"/>
      <c r="AU146" s="182"/>
      <c r="AV146" s="20"/>
      <c r="AW146" s="183"/>
      <c r="AX146" s="184"/>
      <c r="AY146" s="176"/>
      <c r="AZ146" s="182"/>
      <c r="BA146" s="183"/>
      <c r="BB146" s="176"/>
      <c r="BC146" s="179"/>
      <c r="BD146" s="179"/>
      <c r="BE146" s="182"/>
      <c r="BF146" s="186"/>
      <c r="BG146" s="186"/>
      <c r="BH146" s="187"/>
      <c r="BI146" s="182"/>
      <c r="BJ146" s="179"/>
      <c r="BK146" s="179"/>
      <c r="BL146" s="208"/>
      <c r="BM146" s="209"/>
      <c r="BN146" s="15"/>
      <c r="BO146" s="15"/>
      <c r="BP146" s="210"/>
      <c r="BQ146" s="182"/>
      <c r="BR146" s="182"/>
      <c r="BS146" s="182"/>
      <c r="BT146" s="20"/>
      <c r="BU146" s="20"/>
      <c r="BV146" s="20"/>
      <c r="BW146" s="185"/>
      <c r="BX146" s="182"/>
      <c r="BY146" s="182"/>
      <c r="BZ146" s="182"/>
      <c r="CA146" s="182"/>
      <c r="CB146" s="9"/>
      <c r="CC146" s="8"/>
      <c r="CD146" s="213"/>
      <c r="CE146" s="201"/>
      <c r="CF146" s="201"/>
      <c r="CG146" s="201"/>
      <c r="CH146" s="201"/>
      <c r="CI146" s="201"/>
      <c r="CJ146" s="201"/>
      <c r="CK146" s="201"/>
      <c r="CL146" s="201"/>
      <c r="CM146" s="201"/>
      <c r="CN146" s="201"/>
      <c r="CO146" s="201"/>
      <c r="CP146" s="201"/>
      <c r="CQ146" s="201"/>
      <c r="CR146" s="201"/>
      <c r="CS146" s="201"/>
      <c r="CT146" s="201"/>
      <c r="CU146" s="201"/>
      <c r="CV146" s="201"/>
      <c r="CW146" s="201"/>
      <c r="CX146" s="201"/>
      <c r="CY146" s="201"/>
      <c r="CZ146" s="201"/>
      <c r="DA146" s="201"/>
      <c r="DB146" s="201"/>
      <c r="DC146" s="201"/>
      <c r="DD146" s="201"/>
      <c r="DE146" s="201"/>
      <c r="DF146" s="201"/>
      <c r="DG146" s="201"/>
      <c r="DH146" s="201"/>
      <c r="DI146" s="201"/>
      <c r="DJ146" s="201"/>
      <c r="DK146" s="201"/>
      <c r="DL146" s="201"/>
      <c r="DM146" s="201"/>
      <c r="DN146" s="201"/>
      <c r="DO146" s="201"/>
      <c r="DP146" s="201"/>
      <c r="DQ146" s="201"/>
      <c r="DR146" s="201"/>
      <c r="DS146" s="201"/>
      <c r="DT146" s="201"/>
      <c r="DU146" s="201"/>
      <c r="DV146" s="201"/>
      <c r="DW146" s="201"/>
      <c r="DX146" s="201"/>
      <c r="DY146" s="201"/>
      <c r="DZ146" s="201"/>
      <c r="EA146" s="201"/>
      <c r="EB146" s="201"/>
      <c r="EC146" s="201"/>
      <c r="ED146" s="201"/>
      <c r="EE146" s="201"/>
      <c r="EF146" s="201"/>
      <c r="EG146" s="201"/>
      <c r="EH146" s="201"/>
      <c r="EI146" s="201"/>
      <c r="EJ146" s="201"/>
      <c r="EK146" s="201"/>
      <c r="EL146" s="201"/>
      <c r="EM146" s="201"/>
      <c r="EN146" s="201"/>
      <c r="EO146" s="201"/>
      <c r="EP146" s="201"/>
      <c r="EQ146" s="201"/>
      <c r="ER146" s="9"/>
      <c r="ES146" s="201"/>
      <c r="ET146" s="9"/>
      <c r="EU146" s="9"/>
      <c r="EV146" s="9"/>
      <c r="EW146" s="9"/>
      <c r="EX146" s="9"/>
      <c r="EY146" s="9"/>
      <c r="EZ146" s="201"/>
      <c r="FA146" s="213"/>
      <c r="FB146" s="213"/>
      <c r="FC146" s="213"/>
      <c r="FD146" s="213"/>
      <c r="FE146" s="214"/>
      <c r="FF146" s="201"/>
      <c r="FG146" s="201"/>
      <c r="FH146" s="201"/>
      <c r="FI146" s="215"/>
      <c r="FJ146" s="215"/>
      <c r="FK146" s="201"/>
      <c r="FL146" s="201"/>
      <c r="FM146" s="201"/>
      <c r="FN146" s="201"/>
      <c r="FO146" s="9"/>
      <c r="FP146" s="201"/>
      <c r="FQ146" s="201"/>
      <c r="FR146" s="201"/>
      <c r="FS146" s="9"/>
      <c r="FT146" s="9"/>
      <c r="FU146" s="9"/>
      <c r="FV146" s="9"/>
      <c r="FW146" s="201"/>
      <c r="FX146" s="201"/>
      <c r="FY146" s="201"/>
      <c r="FZ146" s="201"/>
      <c r="GA146" s="201"/>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row>
    <row r="147" ht="13.2" spans="1:208">
      <c r="A147" s="172">
        <v>45938</v>
      </c>
      <c r="B147" s="20" t="s">
        <v>377</v>
      </c>
      <c r="C147" s="18"/>
      <c r="D147" s="20"/>
      <c r="E147" s="207"/>
      <c r="F147" s="20"/>
      <c r="G147" s="176"/>
      <c r="H147" s="175"/>
      <c r="I147" s="176"/>
      <c r="J147" s="178"/>
      <c r="K147" s="174"/>
      <c r="L147" s="174"/>
      <c r="M147" s="20"/>
      <c r="N147" s="176"/>
      <c r="O147" s="179"/>
      <c r="P147" s="179"/>
      <c r="Q147" s="174"/>
      <c r="R147" s="20"/>
      <c r="S147" s="20"/>
      <c r="T147" s="20"/>
      <c r="U147" s="176"/>
      <c r="V147" s="20"/>
      <c r="W147" s="178"/>
      <c r="X147" s="20"/>
      <c r="Y147" s="20"/>
      <c r="Z147" s="20"/>
      <c r="AA147" s="20"/>
      <c r="AB147" s="20"/>
      <c r="AC147" s="20"/>
      <c r="AD147" s="20"/>
      <c r="AE147" s="20"/>
      <c r="AF147" s="20"/>
      <c r="AG147" s="20"/>
      <c r="AH147" s="20"/>
      <c r="AI147" s="20"/>
      <c r="AJ147" s="20"/>
      <c r="AK147" s="20"/>
      <c r="AL147" s="20"/>
      <c r="AM147" s="180"/>
      <c r="AN147" s="173"/>
      <c r="AO147" s="20"/>
      <c r="AP147" s="20"/>
      <c r="AQ147" s="20"/>
      <c r="AR147" s="20"/>
      <c r="AS147" s="181"/>
      <c r="AT147" s="20"/>
      <c r="AU147" s="182"/>
      <c r="AV147" s="20"/>
      <c r="AW147" s="183"/>
      <c r="AX147" s="184"/>
      <c r="AY147" s="176"/>
      <c r="AZ147" s="182"/>
      <c r="BA147" s="183"/>
      <c r="BB147" s="176"/>
      <c r="BC147" s="179"/>
      <c r="BD147" s="179"/>
      <c r="BE147" s="182"/>
      <c r="BF147" s="186"/>
      <c r="BG147" s="186"/>
      <c r="BH147" s="187"/>
      <c r="BI147" s="182"/>
      <c r="BJ147" s="179"/>
      <c r="BK147" s="179"/>
      <c r="BL147" s="208"/>
      <c r="BM147" s="209"/>
      <c r="BN147" s="15"/>
      <c r="BO147" s="15"/>
      <c r="BP147" s="210"/>
      <c r="BQ147" s="182"/>
      <c r="BR147" s="182"/>
      <c r="BS147" s="182"/>
      <c r="BT147" s="20"/>
      <c r="BU147" s="20"/>
      <c r="BV147" s="20"/>
      <c r="BW147" s="185"/>
      <c r="BX147" s="182"/>
      <c r="BY147" s="182"/>
      <c r="BZ147" s="182"/>
      <c r="CA147" s="182"/>
      <c r="CB147" s="9"/>
      <c r="CC147" s="8"/>
      <c r="CD147" s="213"/>
      <c r="CE147" s="201"/>
      <c r="CF147" s="201"/>
      <c r="CG147" s="201"/>
      <c r="CH147" s="201"/>
      <c r="CI147" s="201"/>
      <c r="CJ147" s="201"/>
      <c r="CK147" s="201"/>
      <c r="CL147" s="201"/>
      <c r="CM147" s="201"/>
      <c r="CN147" s="201"/>
      <c r="CO147" s="201"/>
      <c r="CP147" s="201"/>
      <c r="CQ147" s="201"/>
      <c r="CR147" s="201"/>
      <c r="CS147" s="201"/>
      <c r="CT147" s="201"/>
      <c r="CU147" s="201"/>
      <c r="CV147" s="201"/>
      <c r="CW147" s="201"/>
      <c r="CX147" s="201"/>
      <c r="CY147" s="201"/>
      <c r="CZ147" s="201"/>
      <c r="DA147" s="201"/>
      <c r="DB147" s="201"/>
      <c r="DC147" s="201"/>
      <c r="DD147" s="201"/>
      <c r="DE147" s="201"/>
      <c r="DF147" s="201"/>
      <c r="DG147" s="201"/>
      <c r="DH147" s="201"/>
      <c r="DI147" s="201"/>
      <c r="DJ147" s="201"/>
      <c r="DK147" s="201"/>
      <c r="DL147" s="201"/>
      <c r="DM147" s="201"/>
      <c r="DN147" s="201"/>
      <c r="DO147" s="201"/>
      <c r="DP147" s="201"/>
      <c r="DQ147" s="201"/>
      <c r="DR147" s="201"/>
      <c r="DS147" s="201"/>
      <c r="DT147" s="201"/>
      <c r="DU147" s="201"/>
      <c r="DV147" s="201"/>
      <c r="DW147" s="201"/>
      <c r="DX147" s="201"/>
      <c r="DY147" s="201"/>
      <c r="DZ147" s="201"/>
      <c r="EA147" s="201"/>
      <c r="EB147" s="201"/>
      <c r="EC147" s="201"/>
      <c r="ED147" s="201"/>
      <c r="EE147" s="201"/>
      <c r="EF147" s="201"/>
      <c r="EG147" s="201"/>
      <c r="EH147" s="201"/>
      <c r="EI147" s="201"/>
      <c r="EJ147" s="201"/>
      <c r="EK147" s="201"/>
      <c r="EL147" s="201"/>
      <c r="EM147" s="201"/>
      <c r="EN147" s="201"/>
      <c r="EO147" s="201"/>
      <c r="EP147" s="201"/>
      <c r="EQ147" s="201"/>
      <c r="ER147" s="9"/>
      <c r="ES147" s="201"/>
      <c r="ET147" s="9"/>
      <c r="EU147" s="9"/>
      <c r="EV147" s="9"/>
      <c r="EW147" s="9"/>
      <c r="EX147" s="9"/>
      <c r="EY147" s="9"/>
      <c r="EZ147" s="201"/>
      <c r="FA147" s="213"/>
      <c r="FB147" s="213"/>
      <c r="FC147" s="213"/>
      <c r="FD147" s="213"/>
      <c r="FE147" s="214"/>
      <c r="FF147" s="201"/>
      <c r="FG147" s="201"/>
      <c r="FH147" s="201"/>
      <c r="FI147" s="215"/>
      <c r="FJ147" s="215"/>
      <c r="FK147" s="201"/>
      <c r="FL147" s="201"/>
      <c r="FM147" s="201"/>
      <c r="FN147" s="201"/>
      <c r="FO147" s="9"/>
      <c r="FP147" s="201"/>
      <c r="FQ147" s="201"/>
      <c r="FR147" s="201"/>
      <c r="FS147" s="9"/>
      <c r="FT147" s="9"/>
      <c r="FU147" s="9"/>
      <c r="FV147" s="9"/>
      <c r="FW147" s="201"/>
      <c r="FX147" s="201"/>
      <c r="FY147" s="201"/>
      <c r="FZ147" s="201"/>
      <c r="GA147" s="201"/>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row>
    <row r="148" ht="13.2" spans="1:208">
      <c r="A148" s="172">
        <v>45939</v>
      </c>
      <c r="B148" s="20" t="s">
        <v>379</v>
      </c>
      <c r="C148" s="18"/>
      <c r="D148" s="20"/>
      <c r="E148" s="207"/>
      <c r="F148" s="20"/>
      <c r="G148" s="176"/>
      <c r="H148" s="175"/>
      <c r="I148" s="176"/>
      <c r="J148" s="178"/>
      <c r="K148" s="174"/>
      <c r="L148" s="174"/>
      <c r="M148" s="20"/>
      <c r="N148" s="176"/>
      <c r="O148" s="179"/>
      <c r="P148" s="179"/>
      <c r="Q148" s="174"/>
      <c r="R148" s="20"/>
      <c r="S148" s="20"/>
      <c r="T148" s="20"/>
      <c r="U148" s="176"/>
      <c r="V148" s="20"/>
      <c r="W148" s="178"/>
      <c r="X148" s="20"/>
      <c r="Y148" s="20"/>
      <c r="Z148" s="20"/>
      <c r="AA148" s="20"/>
      <c r="AB148" s="20"/>
      <c r="AC148" s="20"/>
      <c r="AD148" s="20"/>
      <c r="AE148" s="20"/>
      <c r="AF148" s="20"/>
      <c r="AG148" s="20"/>
      <c r="AH148" s="20"/>
      <c r="AI148" s="20"/>
      <c r="AJ148" s="20"/>
      <c r="AK148" s="20"/>
      <c r="AL148" s="20"/>
      <c r="AM148" s="180"/>
      <c r="AN148" s="173"/>
      <c r="AO148" s="20"/>
      <c r="AP148" s="20"/>
      <c r="AQ148" s="20"/>
      <c r="AR148" s="20"/>
      <c r="AS148" s="181"/>
      <c r="AT148" s="20"/>
      <c r="AU148" s="182"/>
      <c r="AV148" s="20"/>
      <c r="AW148" s="183"/>
      <c r="AX148" s="184"/>
      <c r="AY148" s="176"/>
      <c r="AZ148" s="182"/>
      <c r="BA148" s="183"/>
      <c r="BB148" s="176"/>
      <c r="BC148" s="179"/>
      <c r="BD148" s="179"/>
      <c r="BE148" s="182"/>
      <c r="BF148" s="186"/>
      <c r="BG148" s="186"/>
      <c r="BH148" s="187"/>
      <c r="BI148" s="182"/>
      <c r="BJ148" s="179"/>
      <c r="BK148" s="179"/>
      <c r="BL148" s="208"/>
      <c r="BM148" s="209"/>
      <c r="BN148" s="15"/>
      <c r="BO148" s="15"/>
      <c r="BP148" s="210"/>
      <c r="BQ148" s="182"/>
      <c r="BR148" s="182"/>
      <c r="BS148" s="182"/>
      <c r="BT148" s="20"/>
      <c r="BU148" s="20"/>
      <c r="BV148" s="20"/>
      <c r="BW148" s="185"/>
      <c r="BX148" s="182"/>
      <c r="BY148" s="182"/>
      <c r="BZ148" s="182"/>
      <c r="CA148" s="182"/>
      <c r="CB148" s="9"/>
      <c r="CC148" s="8"/>
      <c r="CD148" s="213"/>
      <c r="CE148" s="201"/>
      <c r="CF148" s="201"/>
      <c r="CG148" s="201"/>
      <c r="CH148" s="201"/>
      <c r="CI148" s="201"/>
      <c r="CJ148" s="201"/>
      <c r="CK148" s="201"/>
      <c r="CL148" s="201"/>
      <c r="CM148" s="201"/>
      <c r="CN148" s="201"/>
      <c r="CO148" s="201"/>
      <c r="CP148" s="201"/>
      <c r="CQ148" s="201"/>
      <c r="CR148" s="201"/>
      <c r="CS148" s="201"/>
      <c r="CT148" s="201"/>
      <c r="CU148" s="201"/>
      <c r="CV148" s="201"/>
      <c r="CW148" s="201"/>
      <c r="CX148" s="201"/>
      <c r="CY148" s="201"/>
      <c r="CZ148" s="201"/>
      <c r="DA148" s="201"/>
      <c r="DB148" s="201"/>
      <c r="DC148" s="201"/>
      <c r="DD148" s="201"/>
      <c r="DE148" s="201"/>
      <c r="DF148" s="201"/>
      <c r="DG148" s="201"/>
      <c r="DH148" s="201"/>
      <c r="DI148" s="201"/>
      <c r="DJ148" s="201"/>
      <c r="DK148" s="201"/>
      <c r="DL148" s="201"/>
      <c r="DM148" s="201"/>
      <c r="DN148" s="201"/>
      <c r="DO148" s="201"/>
      <c r="DP148" s="201"/>
      <c r="DQ148" s="201"/>
      <c r="DR148" s="201"/>
      <c r="DS148" s="201"/>
      <c r="DT148" s="201"/>
      <c r="DU148" s="201"/>
      <c r="DV148" s="201"/>
      <c r="DW148" s="201"/>
      <c r="DX148" s="201"/>
      <c r="DY148" s="201"/>
      <c r="DZ148" s="201"/>
      <c r="EA148" s="201"/>
      <c r="EB148" s="201"/>
      <c r="EC148" s="201"/>
      <c r="ED148" s="201"/>
      <c r="EE148" s="201"/>
      <c r="EF148" s="201"/>
      <c r="EG148" s="201"/>
      <c r="EH148" s="201"/>
      <c r="EI148" s="201"/>
      <c r="EJ148" s="201"/>
      <c r="EK148" s="201"/>
      <c r="EL148" s="201"/>
      <c r="EM148" s="201"/>
      <c r="EN148" s="201"/>
      <c r="EO148" s="201"/>
      <c r="EP148" s="201"/>
      <c r="EQ148" s="201"/>
      <c r="ER148" s="9"/>
      <c r="ES148" s="201"/>
      <c r="ET148" s="9"/>
      <c r="EU148" s="9"/>
      <c r="EV148" s="9"/>
      <c r="EW148" s="9"/>
      <c r="EX148" s="9"/>
      <c r="EY148" s="9"/>
      <c r="EZ148" s="201"/>
      <c r="FA148" s="213"/>
      <c r="FB148" s="213"/>
      <c r="FC148" s="213"/>
      <c r="FD148" s="213"/>
      <c r="FE148" s="214"/>
      <c r="FF148" s="201"/>
      <c r="FG148" s="201"/>
      <c r="FH148" s="201"/>
      <c r="FI148" s="215"/>
      <c r="FJ148" s="215"/>
      <c r="FK148" s="201"/>
      <c r="FL148" s="201"/>
      <c r="FM148" s="201"/>
      <c r="FN148" s="201"/>
      <c r="FO148" s="9"/>
      <c r="FP148" s="201"/>
      <c r="FQ148" s="201"/>
      <c r="FR148" s="201"/>
      <c r="FS148" s="9"/>
      <c r="FT148" s="9"/>
      <c r="FU148" s="9"/>
      <c r="FV148" s="9"/>
      <c r="FW148" s="201"/>
      <c r="FX148" s="201"/>
      <c r="FY148" s="201"/>
      <c r="FZ148" s="201"/>
      <c r="GA148" s="201"/>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row>
    <row r="149" ht="13.2" spans="1:208">
      <c r="A149" s="172">
        <v>45940</v>
      </c>
      <c r="B149" s="20" t="s">
        <v>381</v>
      </c>
      <c r="C149" s="18"/>
      <c r="D149" s="20"/>
      <c r="E149" s="207"/>
      <c r="F149" s="20"/>
      <c r="G149" s="176"/>
      <c r="H149" s="175"/>
      <c r="I149" s="176"/>
      <c r="J149" s="178"/>
      <c r="K149" s="174"/>
      <c r="L149" s="174"/>
      <c r="M149" s="20"/>
      <c r="N149" s="176"/>
      <c r="O149" s="179"/>
      <c r="P149" s="179"/>
      <c r="Q149" s="174"/>
      <c r="R149" s="20"/>
      <c r="S149" s="20"/>
      <c r="T149" s="20"/>
      <c r="U149" s="176"/>
      <c r="V149" s="20"/>
      <c r="W149" s="178"/>
      <c r="X149" s="20"/>
      <c r="Y149" s="20"/>
      <c r="Z149" s="20"/>
      <c r="AA149" s="20"/>
      <c r="AB149" s="20"/>
      <c r="AC149" s="20"/>
      <c r="AD149" s="20"/>
      <c r="AE149" s="20"/>
      <c r="AF149" s="20"/>
      <c r="AG149" s="20"/>
      <c r="AH149" s="20"/>
      <c r="AI149" s="20"/>
      <c r="AJ149" s="20"/>
      <c r="AK149" s="20"/>
      <c r="AL149" s="20"/>
      <c r="AM149" s="180"/>
      <c r="AN149" s="173"/>
      <c r="AO149" s="20"/>
      <c r="AP149" s="20"/>
      <c r="AQ149" s="20"/>
      <c r="AR149" s="20"/>
      <c r="AS149" s="181"/>
      <c r="AT149" s="20"/>
      <c r="AU149" s="182"/>
      <c r="AV149" s="20"/>
      <c r="AW149" s="183"/>
      <c r="AX149" s="184"/>
      <c r="AY149" s="176"/>
      <c r="AZ149" s="182"/>
      <c r="BA149" s="183"/>
      <c r="BB149" s="176"/>
      <c r="BC149" s="179"/>
      <c r="BD149" s="179"/>
      <c r="BE149" s="182"/>
      <c r="BF149" s="186"/>
      <c r="BG149" s="186"/>
      <c r="BH149" s="187"/>
      <c r="BI149" s="182"/>
      <c r="BJ149" s="179"/>
      <c r="BK149" s="179"/>
      <c r="BL149" s="208"/>
      <c r="BM149" s="209"/>
      <c r="BN149" s="15"/>
      <c r="BO149" s="15"/>
      <c r="BP149" s="210"/>
      <c r="BQ149" s="182"/>
      <c r="BR149" s="182"/>
      <c r="BS149" s="182"/>
      <c r="BT149" s="20"/>
      <c r="BU149" s="20"/>
      <c r="BV149" s="20"/>
      <c r="BW149" s="185"/>
      <c r="BX149" s="182"/>
      <c r="BY149" s="182"/>
      <c r="BZ149" s="182"/>
      <c r="CA149" s="182"/>
      <c r="CB149" s="9"/>
      <c r="CC149" s="8"/>
      <c r="CD149" s="213"/>
      <c r="CE149" s="201"/>
      <c r="CF149" s="201"/>
      <c r="CG149" s="201"/>
      <c r="CH149" s="201"/>
      <c r="CI149" s="201"/>
      <c r="CJ149" s="201"/>
      <c r="CK149" s="201"/>
      <c r="CL149" s="201"/>
      <c r="CM149" s="201"/>
      <c r="CN149" s="201"/>
      <c r="CO149" s="201"/>
      <c r="CP149" s="201"/>
      <c r="CQ149" s="201"/>
      <c r="CR149" s="201"/>
      <c r="CS149" s="201"/>
      <c r="CT149" s="201"/>
      <c r="CU149" s="201"/>
      <c r="CV149" s="201"/>
      <c r="CW149" s="201"/>
      <c r="CX149" s="201"/>
      <c r="CY149" s="201"/>
      <c r="CZ149" s="201"/>
      <c r="DA149" s="201"/>
      <c r="DB149" s="201"/>
      <c r="DC149" s="201"/>
      <c r="DD149" s="201"/>
      <c r="DE149" s="201"/>
      <c r="DF149" s="201"/>
      <c r="DG149" s="201"/>
      <c r="DH149" s="201"/>
      <c r="DI149" s="201"/>
      <c r="DJ149" s="201"/>
      <c r="DK149" s="201"/>
      <c r="DL149" s="201"/>
      <c r="DM149" s="201"/>
      <c r="DN149" s="201"/>
      <c r="DO149" s="201"/>
      <c r="DP149" s="201"/>
      <c r="DQ149" s="201"/>
      <c r="DR149" s="201"/>
      <c r="DS149" s="201"/>
      <c r="DT149" s="201"/>
      <c r="DU149" s="201"/>
      <c r="DV149" s="201"/>
      <c r="DW149" s="201"/>
      <c r="DX149" s="201"/>
      <c r="DY149" s="201"/>
      <c r="DZ149" s="201"/>
      <c r="EA149" s="201"/>
      <c r="EB149" s="201"/>
      <c r="EC149" s="201"/>
      <c r="ED149" s="201"/>
      <c r="EE149" s="201"/>
      <c r="EF149" s="201"/>
      <c r="EG149" s="201"/>
      <c r="EH149" s="201"/>
      <c r="EI149" s="201"/>
      <c r="EJ149" s="201"/>
      <c r="EK149" s="201"/>
      <c r="EL149" s="201"/>
      <c r="EM149" s="201"/>
      <c r="EN149" s="201"/>
      <c r="EO149" s="201"/>
      <c r="EP149" s="201"/>
      <c r="EQ149" s="201"/>
      <c r="ER149" s="9"/>
      <c r="ES149" s="201"/>
      <c r="ET149" s="9"/>
      <c r="EU149" s="9"/>
      <c r="EV149" s="9"/>
      <c r="EW149" s="9"/>
      <c r="EX149" s="9"/>
      <c r="EY149" s="9"/>
      <c r="EZ149" s="201"/>
      <c r="FA149" s="213"/>
      <c r="FB149" s="213"/>
      <c r="FC149" s="213"/>
      <c r="FD149" s="213"/>
      <c r="FE149" s="214"/>
      <c r="FF149" s="201"/>
      <c r="FG149" s="201"/>
      <c r="FH149" s="201"/>
      <c r="FI149" s="215"/>
      <c r="FJ149" s="215"/>
      <c r="FK149" s="201"/>
      <c r="FL149" s="201"/>
      <c r="FM149" s="201"/>
      <c r="FN149" s="201"/>
      <c r="FO149" s="9"/>
      <c r="FP149" s="201"/>
      <c r="FQ149" s="201"/>
      <c r="FR149" s="201"/>
      <c r="FS149" s="9"/>
      <c r="FT149" s="9"/>
      <c r="FU149" s="9"/>
      <c r="FV149" s="9"/>
      <c r="FW149" s="201"/>
      <c r="FX149" s="201"/>
      <c r="FY149" s="201"/>
      <c r="FZ149" s="201"/>
      <c r="GA149" s="201"/>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row>
    <row r="150" ht="13.2" spans="1:208">
      <c r="A150" s="172">
        <v>45941</v>
      </c>
      <c r="B150" s="20" t="s">
        <v>369</v>
      </c>
      <c r="C150" s="18"/>
      <c r="D150" s="20"/>
      <c r="E150" s="207"/>
      <c r="F150" s="20"/>
      <c r="G150" s="176"/>
      <c r="H150" s="175"/>
      <c r="I150" s="176"/>
      <c r="J150" s="178"/>
      <c r="K150" s="174"/>
      <c r="L150" s="174"/>
      <c r="M150" s="20"/>
      <c r="N150" s="176"/>
      <c r="O150" s="179"/>
      <c r="P150" s="179"/>
      <c r="Q150" s="174"/>
      <c r="R150" s="20"/>
      <c r="S150" s="20"/>
      <c r="T150" s="20"/>
      <c r="U150" s="176"/>
      <c r="V150" s="20"/>
      <c r="W150" s="178"/>
      <c r="X150" s="20"/>
      <c r="Y150" s="20"/>
      <c r="Z150" s="20"/>
      <c r="AA150" s="20"/>
      <c r="AB150" s="20"/>
      <c r="AC150" s="20"/>
      <c r="AD150" s="20"/>
      <c r="AE150" s="20"/>
      <c r="AF150" s="20"/>
      <c r="AG150" s="20"/>
      <c r="AH150" s="20"/>
      <c r="AI150" s="20"/>
      <c r="AJ150" s="20"/>
      <c r="AK150" s="20"/>
      <c r="AL150" s="20"/>
      <c r="AM150" s="180"/>
      <c r="AN150" s="173"/>
      <c r="AO150" s="20"/>
      <c r="AP150" s="20"/>
      <c r="AQ150" s="20"/>
      <c r="AR150" s="20"/>
      <c r="AS150" s="181"/>
      <c r="AT150" s="20"/>
      <c r="AU150" s="182"/>
      <c r="AV150" s="20"/>
      <c r="AW150" s="183"/>
      <c r="AX150" s="184"/>
      <c r="AY150" s="176"/>
      <c r="AZ150" s="182"/>
      <c r="BA150" s="183"/>
      <c r="BB150" s="176"/>
      <c r="BC150" s="179"/>
      <c r="BD150" s="179"/>
      <c r="BE150" s="182"/>
      <c r="BF150" s="186"/>
      <c r="BG150" s="186"/>
      <c r="BH150" s="187"/>
      <c r="BI150" s="182"/>
      <c r="BJ150" s="179"/>
      <c r="BK150" s="179"/>
      <c r="BL150" s="208"/>
      <c r="BM150" s="209"/>
      <c r="BN150" s="15"/>
      <c r="BO150" s="15"/>
      <c r="BP150" s="210"/>
      <c r="BQ150" s="182"/>
      <c r="BR150" s="182"/>
      <c r="BS150" s="182"/>
      <c r="BT150" s="20"/>
      <c r="BU150" s="20"/>
      <c r="BV150" s="20"/>
      <c r="BW150" s="185"/>
      <c r="BX150" s="182"/>
      <c r="BY150" s="182"/>
      <c r="BZ150" s="182"/>
      <c r="CA150" s="182"/>
      <c r="CB150" s="9"/>
      <c r="CC150" s="8"/>
      <c r="CD150" s="213"/>
      <c r="CE150" s="201"/>
      <c r="CF150" s="201"/>
      <c r="CG150" s="201"/>
      <c r="CH150" s="201"/>
      <c r="CI150" s="201"/>
      <c r="CJ150" s="201"/>
      <c r="CK150" s="201"/>
      <c r="CL150" s="201"/>
      <c r="CM150" s="201"/>
      <c r="CN150" s="201"/>
      <c r="CO150" s="201"/>
      <c r="CP150" s="201"/>
      <c r="CQ150" s="201"/>
      <c r="CR150" s="201"/>
      <c r="CS150" s="201"/>
      <c r="CT150" s="201"/>
      <c r="CU150" s="201"/>
      <c r="CV150" s="201"/>
      <c r="CW150" s="201"/>
      <c r="CX150" s="201"/>
      <c r="CY150" s="201"/>
      <c r="CZ150" s="201"/>
      <c r="DA150" s="201"/>
      <c r="DB150" s="201"/>
      <c r="DC150" s="201"/>
      <c r="DD150" s="201"/>
      <c r="DE150" s="201"/>
      <c r="DF150" s="201"/>
      <c r="DG150" s="201"/>
      <c r="DH150" s="201"/>
      <c r="DI150" s="201"/>
      <c r="DJ150" s="201"/>
      <c r="DK150" s="201"/>
      <c r="DL150" s="201"/>
      <c r="DM150" s="201"/>
      <c r="DN150" s="201"/>
      <c r="DO150" s="201"/>
      <c r="DP150" s="201"/>
      <c r="DQ150" s="201"/>
      <c r="DR150" s="201"/>
      <c r="DS150" s="201"/>
      <c r="DT150" s="201"/>
      <c r="DU150" s="201"/>
      <c r="DV150" s="201"/>
      <c r="DW150" s="201"/>
      <c r="DX150" s="201"/>
      <c r="DY150" s="201"/>
      <c r="DZ150" s="201"/>
      <c r="EA150" s="201"/>
      <c r="EB150" s="201"/>
      <c r="EC150" s="201"/>
      <c r="ED150" s="201"/>
      <c r="EE150" s="201"/>
      <c r="EF150" s="201"/>
      <c r="EG150" s="201"/>
      <c r="EH150" s="201"/>
      <c r="EI150" s="201"/>
      <c r="EJ150" s="201"/>
      <c r="EK150" s="201"/>
      <c r="EL150" s="201"/>
      <c r="EM150" s="201"/>
      <c r="EN150" s="201"/>
      <c r="EO150" s="201"/>
      <c r="EP150" s="201"/>
      <c r="EQ150" s="201"/>
      <c r="ER150" s="9"/>
      <c r="ES150" s="201"/>
      <c r="ET150" s="9"/>
      <c r="EU150" s="9"/>
      <c r="EV150" s="9"/>
      <c r="EW150" s="9"/>
      <c r="EX150" s="9"/>
      <c r="EY150" s="9"/>
      <c r="EZ150" s="201"/>
      <c r="FA150" s="213"/>
      <c r="FB150" s="213"/>
      <c r="FC150" s="213"/>
      <c r="FD150" s="213"/>
      <c r="FE150" s="214"/>
      <c r="FF150" s="201"/>
      <c r="FG150" s="201"/>
      <c r="FH150" s="201"/>
      <c r="FI150" s="215"/>
      <c r="FJ150" s="215"/>
      <c r="FK150" s="201"/>
      <c r="FL150" s="201"/>
      <c r="FM150" s="201"/>
      <c r="FN150" s="201"/>
      <c r="FO150" s="9"/>
      <c r="FP150" s="201"/>
      <c r="FQ150" s="201"/>
      <c r="FR150" s="201"/>
      <c r="FS150" s="9"/>
      <c r="FT150" s="9"/>
      <c r="FU150" s="9"/>
      <c r="FV150" s="9"/>
      <c r="FW150" s="201"/>
      <c r="FX150" s="201"/>
      <c r="FY150" s="201"/>
      <c r="FZ150" s="201"/>
      <c r="GA150" s="201"/>
      <c r="GB150" s="9"/>
      <c r="GC150" s="9"/>
      <c r="GD150" s="9"/>
      <c r="GE150" s="9"/>
      <c r="GF150" s="9"/>
      <c r="GG150" s="9"/>
      <c r="GH150" s="9"/>
      <c r="GI150" s="9"/>
      <c r="GJ150" s="9"/>
      <c r="GK150" s="9"/>
      <c r="GL150" s="9"/>
      <c r="GM150" s="9"/>
      <c r="GN150" s="9"/>
      <c r="GO150" s="9"/>
      <c r="GP150" s="9"/>
      <c r="GQ150" s="9"/>
      <c r="GR150" s="9"/>
      <c r="GS150" s="9"/>
      <c r="GT150" s="9"/>
      <c r="GU150" s="9"/>
      <c r="GV150" s="9"/>
      <c r="GW150" s="9"/>
      <c r="GX150" s="9"/>
      <c r="GY150" s="9"/>
      <c r="GZ150" s="9"/>
    </row>
    <row r="151" ht="13.2" spans="1:208">
      <c r="A151" s="172">
        <v>45942</v>
      </c>
      <c r="B151" s="20" t="s">
        <v>371</v>
      </c>
      <c r="C151" s="18"/>
      <c r="D151" s="20"/>
      <c r="E151" s="207"/>
      <c r="F151" s="20"/>
      <c r="G151" s="176"/>
      <c r="H151" s="175"/>
      <c r="I151" s="176"/>
      <c r="J151" s="178"/>
      <c r="K151" s="174"/>
      <c r="L151" s="174"/>
      <c r="M151" s="20"/>
      <c r="N151" s="176"/>
      <c r="O151" s="179"/>
      <c r="P151" s="179"/>
      <c r="Q151" s="174"/>
      <c r="R151" s="20"/>
      <c r="S151" s="20"/>
      <c r="T151" s="20"/>
      <c r="U151" s="176"/>
      <c r="V151" s="20"/>
      <c r="W151" s="178"/>
      <c r="X151" s="20"/>
      <c r="Y151" s="20"/>
      <c r="Z151" s="20"/>
      <c r="AA151" s="20"/>
      <c r="AB151" s="20"/>
      <c r="AC151" s="20"/>
      <c r="AD151" s="20"/>
      <c r="AE151" s="20"/>
      <c r="AF151" s="20"/>
      <c r="AG151" s="20"/>
      <c r="AH151" s="20"/>
      <c r="AI151" s="20"/>
      <c r="AJ151" s="20"/>
      <c r="AK151" s="20"/>
      <c r="AL151" s="20"/>
      <c r="AM151" s="180"/>
      <c r="AN151" s="173"/>
      <c r="AO151" s="20"/>
      <c r="AP151" s="20"/>
      <c r="AQ151" s="20"/>
      <c r="AR151" s="20"/>
      <c r="AS151" s="181"/>
      <c r="AT151" s="20"/>
      <c r="AU151" s="182"/>
      <c r="AV151" s="20"/>
      <c r="AW151" s="183"/>
      <c r="AX151" s="184"/>
      <c r="AY151" s="176"/>
      <c r="AZ151" s="182"/>
      <c r="BA151" s="183"/>
      <c r="BB151" s="176"/>
      <c r="BC151" s="179"/>
      <c r="BD151" s="179"/>
      <c r="BE151" s="182"/>
      <c r="BF151" s="186"/>
      <c r="BG151" s="186"/>
      <c r="BH151" s="187"/>
      <c r="BI151" s="182"/>
      <c r="BJ151" s="179"/>
      <c r="BK151" s="179"/>
      <c r="BL151" s="208"/>
      <c r="BM151" s="209"/>
      <c r="BN151" s="15"/>
      <c r="BO151" s="15"/>
      <c r="BP151" s="210"/>
      <c r="BQ151" s="182"/>
      <c r="BR151" s="182"/>
      <c r="BS151" s="182"/>
      <c r="BT151" s="20"/>
      <c r="BU151" s="20"/>
      <c r="BV151" s="20"/>
      <c r="BW151" s="185"/>
      <c r="BX151" s="182"/>
      <c r="BY151" s="182"/>
      <c r="BZ151" s="182"/>
      <c r="CA151" s="182"/>
      <c r="CB151" s="9"/>
      <c r="CC151" s="8"/>
      <c r="CD151" s="213"/>
      <c r="CE151" s="201"/>
      <c r="CF151" s="201"/>
      <c r="CG151" s="201"/>
      <c r="CH151" s="201"/>
      <c r="CI151" s="201"/>
      <c r="CJ151" s="201"/>
      <c r="CK151" s="201"/>
      <c r="CL151" s="201"/>
      <c r="CM151" s="201"/>
      <c r="CN151" s="201"/>
      <c r="CO151" s="201"/>
      <c r="CP151" s="201"/>
      <c r="CQ151" s="201"/>
      <c r="CR151" s="201"/>
      <c r="CS151" s="201"/>
      <c r="CT151" s="201"/>
      <c r="CU151" s="201"/>
      <c r="CV151" s="201"/>
      <c r="CW151" s="201"/>
      <c r="CX151" s="201"/>
      <c r="CY151" s="201"/>
      <c r="CZ151" s="201"/>
      <c r="DA151" s="201"/>
      <c r="DB151" s="201"/>
      <c r="DC151" s="201"/>
      <c r="DD151" s="201"/>
      <c r="DE151" s="201"/>
      <c r="DF151" s="201"/>
      <c r="DG151" s="201"/>
      <c r="DH151" s="201"/>
      <c r="DI151" s="201"/>
      <c r="DJ151" s="201"/>
      <c r="DK151" s="201"/>
      <c r="DL151" s="201"/>
      <c r="DM151" s="201"/>
      <c r="DN151" s="201"/>
      <c r="DO151" s="201"/>
      <c r="DP151" s="201"/>
      <c r="DQ151" s="201"/>
      <c r="DR151" s="201"/>
      <c r="DS151" s="201"/>
      <c r="DT151" s="201"/>
      <c r="DU151" s="201"/>
      <c r="DV151" s="201"/>
      <c r="DW151" s="201"/>
      <c r="DX151" s="201"/>
      <c r="DY151" s="201"/>
      <c r="DZ151" s="201"/>
      <c r="EA151" s="201"/>
      <c r="EB151" s="201"/>
      <c r="EC151" s="201"/>
      <c r="ED151" s="201"/>
      <c r="EE151" s="201"/>
      <c r="EF151" s="201"/>
      <c r="EG151" s="201"/>
      <c r="EH151" s="201"/>
      <c r="EI151" s="201"/>
      <c r="EJ151" s="201"/>
      <c r="EK151" s="201"/>
      <c r="EL151" s="201"/>
      <c r="EM151" s="201"/>
      <c r="EN151" s="201"/>
      <c r="EO151" s="201"/>
      <c r="EP151" s="201"/>
      <c r="EQ151" s="201"/>
      <c r="ER151" s="9"/>
      <c r="ES151" s="201"/>
      <c r="ET151" s="9"/>
      <c r="EU151" s="9"/>
      <c r="EV151" s="9"/>
      <c r="EW151" s="9"/>
      <c r="EX151" s="9"/>
      <c r="EY151" s="9"/>
      <c r="EZ151" s="201"/>
      <c r="FA151" s="213"/>
      <c r="FB151" s="213"/>
      <c r="FC151" s="213"/>
      <c r="FD151" s="213"/>
      <c r="FE151" s="214"/>
      <c r="FF151" s="201"/>
      <c r="FG151" s="201"/>
      <c r="FH151" s="201"/>
      <c r="FI151" s="215"/>
      <c r="FJ151" s="215"/>
      <c r="FK151" s="201"/>
      <c r="FL151" s="201"/>
      <c r="FM151" s="201"/>
      <c r="FN151" s="201"/>
      <c r="FO151" s="9"/>
      <c r="FP151" s="201"/>
      <c r="FQ151" s="201"/>
      <c r="FR151" s="201"/>
      <c r="FS151" s="9"/>
      <c r="FT151" s="9"/>
      <c r="FU151" s="9"/>
      <c r="FV151" s="9"/>
      <c r="FW151" s="201"/>
      <c r="FX151" s="201"/>
      <c r="FY151" s="201"/>
      <c r="FZ151" s="201"/>
      <c r="GA151" s="201"/>
      <c r="GB151" s="9"/>
      <c r="GC151" s="9"/>
      <c r="GD151" s="9"/>
      <c r="GE151" s="9"/>
      <c r="GF151" s="9"/>
      <c r="GG151" s="9"/>
      <c r="GH151" s="9"/>
      <c r="GI151" s="9"/>
      <c r="GJ151" s="9"/>
      <c r="GK151" s="9"/>
      <c r="GL151" s="9"/>
      <c r="GM151" s="9"/>
      <c r="GN151" s="9"/>
      <c r="GO151" s="9"/>
      <c r="GP151" s="9"/>
      <c r="GQ151" s="9"/>
      <c r="GR151" s="9"/>
      <c r="GS151" s="9"/>
      <c r="GT151" s="9"/>
      <c r="GU151" s="9"/>
      <c r="GV151" s="9"/>
      <c r="GW151" s="9"/>
      <c r="GX151" s="9"/>
      <c r="GY151" s="9"/>
      <c r="GZ151" s="9"/>
    </row>
    <row r="152" ht="13.2" spans="1:208">
      <c r="A152" s="172">
        <v>45943</v>
      </c>
      <c r="B152" s="20" t="s">
        <v>373</v>
      </c>
      <c r="C152" s="18"/>
      <c r="D152" s="20"/>
      <c r="E152" s="207"/>
      <c r="F152" s="20"/>
      <c r="G152" s="176"/>
      <c r="H152" s="175"/>
      <c r="I152" s="176"/>
      <c r="J152" s="178"/>
      <c r="K152" s="174"/>
      <c r="L152" s="174"/>
      <c r="M152" s="20"/>
      <c r="N152" s="176"/>
      <c r="O152" s="179"/>
      <c r="P152" s="179"/>
      <c r="Q152" s="174"/>
      <c r="R152" s="20"/>
      <c r="S152" s="20"/>
      <c r="T152" s="20"/>
      <c r="U152" s="176"/>
      <c r="V152" s="20"/>
      <c r="W152" s="178"/>
      <c r="X152" s="20"/>
      <c r="Y152" s="20"/>
      <c r="Z152" s="20"/>
      <c r="AA152" s="20"/>
      <c r="AB152" s="20"/>
      <c r="AC152" s="20"/>
      <c r="AD152" s="20"/>
      <c r="AE152" s="20"/>
      <c r="AF152" s="20"/>
      <c r="AG152" s="20"/>
      <c r="AH152" s="20"/>
      <c r="AI152" s="20"/>
      <c r="AJ152" s="20"/>
      <c r="AK152" s="20"/>
      <c r="AL152" s="20"/>
      <c r="AM152" s="180"/>
      <c r="AN152" s="173"/>
      <c r="AO152" s="20"/>
      <c r="AP152" s="20"/>
      <c r="AQ152" s="20"/>
      <c r="AR152" s="20"/>
      <c r="AS152" s="181"/>
      <c r="AT152" s="20"/>
      <c r="AU152" s="182"/>
      <c r="AV152" s="20"/>
      <c r="AW152" s="183"/>
      <c r="AX152" s="184"/>
      <c r="AY152" s="176"/>
      <c r="AZ152" s="182"/>
      <c r="BA152" s="183"/>
      <c r="BB152" s="176"/>
      <c r="BC152" s="179"/>
      <c r="BD152" s="179"/>
      <c r="BE152" s="182"/>
      <c r="BF152" s="186"/>
      <c r="BG152" s="186"/>
      <c r="BH152" s="187"/>
      <c r="BI152" s="182"/>
      <c r="BJ152" s="179"/>
      <c r="BK152" s="179"/>
      <c r="BL152" s="208"/>
      <c r="BM152" s="209"/>
      <c r="BN152" s="15"/>
      <c r="BO152" s="15"/>
      <c r="BP152" s="210"/>
      <c r="BQ152" s="182"/>
      <c r="BR152" s="182"/>
      <c r="BS152" s="182"/>
      <c r="BT152" s="20"/>
      <c r="BU152" s="20"/>
      <c r="BV152" s="20"/>
      <c r="BW152" s="185"/>
      <c r="BX152" s="182"/>
      <c r="BY152" s="182"/>
      <c r="BZ152" s="182"/>
      <c r="CA152" s="182"/>
      <c r="CB152" s="9"/>
      <c r="CC152" s="8"/>
      <c r="CD152" s="213"/>
      <c r="CE152" s="201"/>
      <c r="CF152" s="201"/>
      <c r="CG152" s="201"/>
      <c r="CH152" s="201"/>
      <c r="CI152" s="201"/>
      <c r="CJ152" s="201"/>
      <c r="CK152" s="201"/>
      <c r="CL152" s="201"/>
      <c r="CM152" s="201"/>
      <c r="CN152" s="201"/>
      <c r="CO152" s="201"/>
      <c r="CP152" s="201"/>
      <c r="CQ152" s="201"/>
      <c r="CR152" s="201"/>
      <c r="CS152" s="201"/>
      <c r="CT152" s="201"/>
      <c r="CU152" s="201"/>
      <c r="CV152" s="201"/>
      <c r="CW152" s="201"/>
      <c r="CX152" s="201"/>
      <c r="CY152" s="201"/>
      <c r="CZ152" s="201"/>
      <c r="DA152" s="201"/>
      <c r="DB152" s="201"/>
      <c r="DC152" s="201"/>
      <c r="DD152" s="201"/>
      <c r="DE152" s="201"/>
      <c r="DF152" s="201"/>
      <c r="DG152" s="201"/>
      <c r="DH152" s="201"/>
      <c r="DI152" s="201"/>
      <c r="DJ152" s="201"/>
      <c r="DK152" s="201"/>
      <c r="DL152" s="201"/>
      <c r="DM152" s="201"/>
      <c r="DN152" s="201"/>
      <c r="DO152" s="201"/>
      <c r="DP152" s="201"/>
      <c r="DQ152" s="201"/>
      <c r="DR152" s="201"/>
      <c r="DS152" s="201"/>
      <c r="DT152" s="201"/>
      <c r="DU152" s="201"/>
      <c r="DV152" s="201"/>
      <c r="DW152" s="201"/>
      <c r="DX152" s="201"/>
      <c r="DY152" s="201"/>
      <c r="DZ152" s="201"/>
      <c r="EA152" s="201"/>
      <c r="EB152" s="201"/>
      <c r="EC152" s="201"/>
      <c r="ED152" s="201"/>
      <c r="EE152" s="201"/>
      <c r="EF152" s="201"/>
      <c r="EG152" s="201"/>
      <c r="EH152" s="201"/>
      <c r="EI152" s="201"/>
      <c r="EJ152" s="201"/>
      <c r="EK152" s="201"/>
      <c r="EL152" s="201"/>
      <c r="EM152" s="201"/>
      <c r="EN152" s="201"/>
      <c r="EO152" s="201"/>
      <c r="EP152" s="201"/>
      <c r="EQ152" s="201"/>
      <c r="ER152" s="9"/>
      <c r="ES152" s="201"/>
      <c r="ET152" s="9"/>
      <c r="EU152" s="9"/>
      <c r="EV152" s="9"/>
      <c r="EW152" s="9"/>
      <c r="EX152" s="9"/>
      <c r="EY152" s="9"/>
      <c r="EZ152" s="201"/>
      <c r="FA152" s="213"/>
      <c r="FB152" s="213"/>
      <c r="FC152" s="213"/>
      <c r="FD152" s="213"/>
      <c r="FE152" s="214"/>
      <c r="FF152" s="201"/>
      <c r="FG152" s="201"/>
      <c r="FH152" s="201"/>
      <c r="FI152" s="215"/>
      <c r="FJ152" s="215"/>
      <c r="FK152" s="201"/>
      <c r="FL152" s="201"/>
      <c r="FM152" s="201"/>
      <c r="FN152" s="201"/>
      <c r="FO152" s="9"/>
      <c r="FP152" s="201"/>
      <c r="FQ152" s="201"/>
      <c r="FR152" s="201"/>
      <c r="FS152" s="9"/>
      <c r="FT152" s="9"/>
      <c r="FU152" s="9"/>
      <c r="FV152" s="9"/>
      <c r="FW152" s="201"/>
      <c r="FX152" s="201"/>
      <c r="FY152" s="201"/>
      <c r="FZ152" s="201"/>
      <c r="GA152" s="201"/>
      <c r="GB152" s="9"/>
      <c r="GC152" s="9"/>
      <c r="GD152" s="9"/>
      <c r="GE152" s="9"/>
      <c r="GF152" s="9"/>
      <c r="GG152" s="9"/>
      <c r="GH152" s="9"/>
      <c r="GI152" s="9"/>
      <c r="GJ152" s="9"/>
      <c r="GK152" s="9"/>
      <c r="GL152" s="9"/>
      <c r="GM152" s="9"/>
      <c r="GN152" s="9"/>
      <c r="GO152" s="9"/>
      <c r="GP152" s="9"/>
      <c r="GQ152" s="9"/>
      <c r="GR152" s="9"/>
      <c r="GS152" s="9"/>
      <c r="GT152" s="9"/>
      <c r="GU152" s="9"/>
      <c r="GV152" s="9"/>
      <c r="GW152" s="9"/>
      <c r="GX152" s="9"/>
      <c r="GY152" s="9"/>
      <c r="GZ152" s="9"/>
    </row>
    <row r="153" ht="13.2" spans="1:208">
      <c r="A153" s="172">
        <v>45944</v>
      </c>
      <c r="B153" s="20" t="s">
        <v>375</v>
      </c>
      <c r="C153" s="18"/>
      <c r="D153" s="20"/>
      <c r="E153" s="207"/>
      <c r="F153" s="20"/>
      <c r="G153" s="176"/>
      <c r="H153" s="175"/>
      <c r="I153" s="176"/>
      <c r="J153" s="178"/>
      <c r="K153" s="174"/>
      <c r="L153" s="174"/>
      <c r="M153" s="20"/>
      <c r="N153" s="176"/>
      <c r="O153" s="179"/>
      <c r="P153" s="179"/>
      <c r="Q153" s="174"/>
      <c r="R153" s="20"/>
      <c r="S153" s="20"/>
      <c r="T153" s="20"/>
      <c r="U153" s="176"/>
      <c r="V153" s="20"/>
      <c r="W153" s="178"/>
      <c r="X153" s="20"/>
      <c r="Y153" s="20"/>
      <c r="Z153" s="20"/>
      <c r="AA153" s="20"/>
      <c r="AB153" s="20"/>
      <c r="AC153" s="20"/>
      <c r="AD153" s="20"/>
      <c r="AE153" s="20"/>
      <c r="AF153" s="20"/>
      <c r="AG153" s="20"/>
      <c r="AH153" s="20"/>
      <c r="AI153" s="20"/>
      <c r="AJ153" s="20"/>
      <c r="AK153" s="20"/>
      <c r="AL153" s="20"/>
      <c r="AM153" s="180"/>
      <c r="AN153" s="173"/>
      <c r="AO153" s="20"/>
      <c r="AP153" s="20"/>
      <c r="AQ153" s="20"/>
      <c r="AR153" s="20"/>
      <c r="AS153" s="181"/>
      <c r="AT153" s="20"/>
      <c r="AU153" s="182"/>
      <c r="AV153" s="20"/>
      <c r="AW153" s="183"/>
      <c r="AX153" s="184"/>
      <c r="AY153" s="176"/>
      <c r="AZ153" s="182"/>
      <c r="BA153" s="183"/>
      <c r="BB153" s="176"/>
      <c r="BC153" s="179"/>
      <c r="BD153" s="179"/>
      <c r="BE153" s="182"/>
      <c r="BF153" s="186"/>
      <c r="BG153" s="186"/>
      <c r="BH153" s="187"/>
      <c r="BI153" s="182"/>
      <c r="BJ153" s="179"/>
      <c r="BK153" s="179"/>
      <c r="BL153" s="208"/>
      <c r="BM153" s="209"/>
      <c r="BN153" s="15"/>
      <c r="BO153" s="15"/>
      <c r="BP153" s="210"/>
      <c r="BQ153" s="182"/>
      <c r="BR153" s="182"/>
      <c r="BS153" s="182"/>
      <c r="BT153" s="20"/>
      <c r="BU153" s="20"/>
      <c r="BV153" s="20"/>
      <c r="BW153" s="185"/>
      <c r="BX153" s="182"/>
      <c r="BY153" s="182"/>
      <c r="BZ153" s="182"/>
      <c r="CA153" s="182"/>
      <c r="CB153" s="9"/>
      <c r="CC153" s="8"/>
      <c r="CD153" s="213"/>
      <c r="CE153" s="201"/>
      <c r="CF153" s="201"/>
      <c r="CG153" s="201"/>
      <c r="CH153" s="201"/>
      <c r="CI153" s="201"/>
      <c r="CJ153" s="201"/>
      <c r="CK153" s="201"/>
      <c r="CL153" s="201"/>
      <c r="CM153" s="201"/>
      <c r="CN153" s="201"/>
      <c r="CO153" s="201"/>
      <c r="CP153" s="201"/>
      <c r="CQ153" s="201"/>
      <c r="CR153" s="201"/>
      <c r="CS153" s="201"/>
      <c r="CT153" s="201"/>
      <c r="CU153" s="201"/>
      <c r="CV153" s="201"/>
      <c r="CW153" s="201"/>
      <c r="CX153" s="201"/>
      <c r="CY153" s="201"/>
      <c r="CZ153" s="201"/>
      <c r="DA153" s="201"/>
      <c r="DB153" s="201"/>
      <c r="DC153" s="201"/>
      <c r="DD153" s="201"/>
      <c r="DE153" s="201"/>
      <c r="DF153" s="201"/>
      <c r="DG153" s="201"/>
      <c r="DH153" s="201"/>
      <c r="DI153" s="201"/>
      <c r="DJ153" s="201"/>
      <c r="DK153" s="201"/>
      <c r="DL153" s="201"/>
      <c r="DM153" s="201"/>
      <c r="DN153" s="201"/>
      <c r="DO153" s="201"/>
      <c r="DP153" s="201"/>
      <c r="DQ153" s="201"/>
      <c r="DR153" s="201"/>
      <c r="DS153" s="201"/>
      <c r="DT153" s="201"/>
      <c r="DU153" s="201"/>
      <c r="DV153" s="201"/>
      <c r="DW153" s="201"/>
      <c r="DX153" s="201"/>
      <c r="DY153" s="201"/>
      <c r="DZ153" s="201"/>
      <c r="EA153" s="201"/>
      <c r="EB153" s="201"/>
      <c r="EC153" s="201"/>
      <c r="ED153" s="201"/>
      <c r="EE153" s="201"/>
      <c r="EF153" s="201"/>
      <c r="EG153" s="201"/>
      <c r="EH153" s="201"/>
      <c r="EI153" s="201"/>
      <c r="EJ153" s="201"/>
      <c r="EK153" s="201"/>
      <c r="EL153" s="201"/>
      <c r="EM153" s="201"/>
      <c r="EN153" s="201"/>
      <c r="EO153" s="201"/>
      <c r="EP153" s="201"/>
      <c r="EQ153" s="201"/>
      <c r="ER153" s="9"/>
      <c r="ES153" s="201"/>
      <c r="ET153" s="9"/>
      <c r="EU153" s="9"/>
      <c r="EV153" s="9"/>
      <c r="EW153" s="9"/>
      <c r="EX153" s="9"/>
      <c r="EY153" s="9"/>
      <c r="EZ153" s="201"/>
      <c r="FA153" s="213"/>
      <c r="FB153" s="213"/>
      <c r="FC153" s="213"/>
      <c r="FD153" s="213"/>
      <c r="FE153" s="214"/>
      <c r="FF153" s="201"/>
      <c r="FG153" s="201"/>
      <c r="FH153" s="201"/>
      <c r="FI153" s="215"/>
      <c r="FJ153" s="215"/>
      <c r="FK153" s="201"/>
      <c r="FL153" s="201"/>
      <c r="FM153" s="201"/>
      <c r="FN153" s="201"/>
      <c r="FO153" s="9"/>
      <c r="FP153" s="201"/>
      <c r="FQ153" s="201"/>
      <c r="FR153" s="201"/>
      <c r="FS153" s="9"/>
      <c r="FT153" s="9"/>
      <c r="FU153" s="9"/>
      <c r="FV153" s="9"/>
      <c r="FW153" s="201"/>
      <c r="FX153" s="201"/>
      <c r="FY153" s="201"/>
      <c r="FZ153" s="201"/>
      <c r="GA153" s="201"/>
      <c r="GB153" s="9"/>
      <c r="GC153" s="9"/>
      <c r="GD153" s="9"/>
      <c r="GE153" s="9"/>
      <c r="GF153" s="9"/>
      <c r="GG153" s="9"/>
      <c r="GH153" s="9"/>
      <c r="GI153" s="9"/>
      <c r="GJ153" s="9"/>
      <c r="GK153" s="9"/>
      <c r="GL153" s="9"/>
      <c r="GM153" s="9"/>
      <c r="GN153" s="9"/>
      <c r="GO153" s="9"/>
      <c r="GP153" s="9"/>
      <c r="GQ153" s="9"/>
      <c r="GR153" s="9"/>
      <c r="GS153" s="9"/>
      <c r="GT153" s="9"/>
      <c r="GU153" s="9"/>
      <c r="GV153" s="9"/>
      <c r="GW153" s="9"/>
      <c r="GX153" s="9"/>
      <c r="GY153" s="9"/>
      <c r="GZ153" s="9"/>
    </row>
    <row r="154" ht="13.2" spans="1:208">
      <c r="A154" s="172">
        <v>45945</v>
      </c>
      <c r="B154" s="20" t="s">
        <v>377</v>
      </c>
      <c r="C154" s="18"/>
      <c r="D154" s="20"/>
      <c r="E154" s="207"/>
      <c r="F154" s="20"/>
      <c r="G154" s="176"/>
      <c r="H154" s="175"/>
      <c r="I154" s="176"/>
      <c r="J154" s="178"/>
      <c r="K154" s="174"/>
      <c r="L154" s="174"/>
      <c r="M154" s="20"/>
      <c r="N154" s="176"/>
      <c r="O154" s="179"/>
      <c r="P154" s="179"/>
      <c r="Q154" s="174"/>
      <c r="R154" s="20"/>
      <c r="S154" s="20"/>
      <c r="T154" s="20"/>
      <c r="U154" s="176"/>
      <c r="V154" s="20"/>
      <c r="W154" s="178"/>
      <c r="X154" s="20"/>
      <c r="Y154" s="20"/>
      <c r="Z154" s="20"/>
      <c r="AA154" s="20"/>
      <c r="AB154" s="20"/>
      <c r="AC154" s="20"/>
      <c r="AD154" s="20"/>
      <c r="AE154" s="20"/>
      <c r="AF154" s="20"/>
      <c r="AG154" s="20"/>
      <c r="AH154" s="20"/>
      <c r="AI154" s="20"/>
      <c r="AJ154" s="20"/>
      <c r="AK154" s="20"/>
      <c r="AL154" s="20"/>
      <c r="AM154" s="180"/>
      <c r="AN154" s="173"/>
      <c r="AO154" s="20"/>
      <c r="AP154" s="20"/>
      <c r="AQ154" s="20"/>
      <c r="AR154" s="20"/>
      <c r="AS154" s="181"/>
      <c r="AT154" s="20"/>
      <c r="AU154" s="182"/>
      <c r="AV154" s="20"/>
      <c r="AW154" s="183"/>
      <c r="AX154" s="184"/>
      <c r="AY154" s="176"/>
      <c r="AZ154" s="182"/>
      <c r="BA154" s="183"/>
      <c r="BB154" s="176"/>
      <c r="BC154" s="179"/>
      <c r="BD154" s="179"/>
      <c r="BE154" s="182"/>
      <c r="BF154" s="186"/>
      <c r="BG154" s="186"/>
      <c r="BH154" s="187"/>
      <c r="BI154" s="182"/>
      <c r="BJ154" s="179"/>
      <c r="BK154" s="179"/>
      <c r="BL154" s="208"/>
      <c r="BM154" s="209"/>
      <c r="BN154" s="15"/>
      <c r="BO154" s="15"/>
      <c r="BP154" s="210"/>
      <c r="BQ154" s="182"/>
      <c r="BR154" s="182"/>
      <c r="BS154" s="182"/>
      <c r="BT154" s="20"/>
      <c r="BU154" s="20"/>
      <c r="BV154" s="20"/>
      <c r="BW154" s="185"/>
      <c r="BX154" s="182"/>
      <c r="BY154" s="182"/>
      <c r="BZ154" s="182"/>
      <c r="CA154" s="182"/>
      <c r="CB154" s="9"/>
      <c r="CC154" s="8"/>
      <c r="CD154" s="213"/>
      <c r="CE154" s="201"/>
      <c r="CF154" s="201"/>
      <c r="CG154" s="201"/>
      <c r="CH154" s="201"/>
      <c r="CI154" s="201"/>
      <c r="CJ154" s="201"/>
      <c r="CK154" s="201"/>
      <c r="CL154" s="201"/>
      <c r="CM154" s="201"/>
      <c r="CN154" s="201"/>
      <c r="CO154" s="201"/>
      <c r="CP154" s="201"/>
      <c r="CQ154" s="201"/>
      <c r="CR154" s="201"/>
      <c r="CS154" s="201"/>
      <c r="CT154" s="201"/>
      <c r="CU154" s="201"/>
      <c r="CV154" s="201"/>
      <c r="CW154" s="201"/>
      <c r="CX154" s="201"/>
      <c r="CY154" s="201"/>
      <c r="CZ154" s="201"/>
      <c r="DA154" s="201"/>
      <c r="DB154" s="201"/>
      <c r="DC154" s="201"/>
      <c r="DD154" s="201"/>
      <c r="DE154" s="201"/>
      <c r="DF154" s="201"/>
      <c r="DG154" s="201"/>
      <c r="DH154" s="201"/>
      <c r="DI154" s="201"/>
      <c r="DJ154" s="201"/>
      <c r="DK154" s="201"/>
      <c r="DL154" s="201"/>
      <c r="DM154" s="201"/>
      <c r="DN154" s="201"/>
      <c r="DO154" s="201"/>
      <c r="DP154" s="201"/>
      <c r="DQ154" s="201"/>
      <c r="DR154" s="201"/>
      <c r="DS154" s="201"/>
      <c r="DT154" s="201"/>
      <c r="DU154" s="201"/>
      <c r="DV154" s="201"/>
      <c r="DW154" s="201"/>
      <c r="DX154" s="201"/>
      <c r="DY154" s="201"/>
      <c r="DZ154" s="201"/>
      <c r="EA154" s="201"/>
      <c r="EB154" s="201"/>
      <c r="EC154" s="201"/>
      <c r="ED154" s="201"/>
      <c r="EE154" s="201"/>
      <c r="EF154" s="201"/>
      <c r="EG154" s="201"/>
      <c r="EH154" s="201"/>
      <c r="EI154" s="201"/>
      <c r="EJ154" s="201"/>
      <c r="EK154" s="201"/>
      <c r="EL154" s="201"/>
      <c r="EM154" s="201"/>
      <c r="EN154" s="201"/>
      <c r="EO154" s="201"/>
      <c r="EP154" s="201"/>
      <c r="EQ154" s="201"/>
      <c r="ER154" s="9"/>
      <c r="ES154" s="201"/>
      <c r="ET154" s="9"/>
      <c r="EU154" s="9"/>
      <c r="EV154" s="9"/>
      <c r="EW154" s="9"/>
      <c r="EX154" s="9"/>
      <c r="EY154" s="9"/>
      <c r="EZ154" s="201"/>
      <c r="FA154" s="213"/>
      <c r="FB154" s="213"/>
      <c r="FC154" s="213"/>
      <c r="FD154" s="213"/>
      <c r="FE154" s="214"/>
      <c r="FF154" s="201"/>
      <c r="FG154" s="201"/>
      <c r="FH154" s="201"/>
      <c r="FI154" s="215"/>
      <c r="FJ154" s="215"/>
      <c r="FK154" s="201"/>
      <c r="FL154" s="201"/>
      <c r="FM154" s="201"/>
      <c r="FN154" s="201"/>
      <c r="FO154" s="9"/>
      <c r="FP154" s="201"/>
      <c r="FQ154" s="201"/>
      <c r="FR154" s="201"/>
      <c r="FS154" s="9"/>
      <c r="FT154" s="9"/>
      <c r="FU154" s="9"/>
      <c r="FV154" s="9"/>
      <c r="FW154" s="201"/>
      <c r="FX154" s="201"/>
      <c r="FY154" s="201"/>
      <c r="FZ154" s="201"/>
      <c r="GA154" s="201"/>
      <c r="GB154" s="9"/>
      <c r="GC154" s="9"/>
      <c r="GD154" s="9"/>
      <c r="GE154" s="9"/>
      <c r="GF154" s="9"/>
      <c r="GG154" s="9"/>
      <c r="GH154" s="9"/>
      <c r="GI154" s="9"/>
      <c r="GJ154" s="9"/>
      <c r="GK154" s="9"/>
      <c r="GL154" s="9"/>
      <c r="GM154" s="9"/>
      <c r="GN154" s="9"/>
      <c r="GO154" s="9"/>
      <c r="GP154" s="9"/>
      <c r="GQ154" s="9"/>
      <c r="GR154" s="9"/>
      <c r="GS154" s="9"/>
      <c r="GT154" s="9"/>
      <c r="GU154" s="9"/>
      <c r="GV154" s="9"/>
      <c r="GW154" s="9"/>
      <c r="GX154" s="9"/>
      <c r="GY154" s="9"/>
      <c r="GZ154" s="9"/>
    </row>
    <row r="155" ht="13.2" spans="1:208">
      <c r="A155" s="172">
        <v>45946</v>
      </c>
      <c r="B155" s="20" t="s">
        <v>379</v>
      </c>
      <c r="C155" s="18"/>
      <c r="D155" s="20"/>
      <c r="E155" s="207"/>
      <c r="F155" s="20"/>
      <c r="G155" s="176"/>
      <c r="H155" s="175"/>
      <c r="I155" s="176"/>
      <c r="J155" s="178"/>
      <c r="K155" s="174"/>
      <c r="L155" s="174"/>
      <c r="M155" s="20"/>
      <c r="N155" s="176"/>
      <c r="O155" s="179"/>
      <c r="P155" s="179"/>
      <c r="Q155" s="174"/>
      <c r="R155" s="20"/>
      <c r="S155" s="20"/>
      <c r="T155" s="20"/>
      <c r="U155" s="176"/>
      <c r="V155" s="20"/>
      <c r="W155" s="178"/>
      <c r="X155" s="20"/>
      <c r="Y155" s="20"/>
      <c r="Z155" s="20"/>
      <c r="AA155" s="20"/>
      <c r="AB155" s="20"/>
      <c r="AC155" s="20"/>
      <c r="AD155" s="20"/>
      <c r="AE155" s="20"/>
      <c r="AF155" s="20"/>
      <c r="AG155" s="20"/>
      <c r="AH155" s="20"/>
      <c r="AI155" s="20"/>
      <c r="AJ155" s="20"/>
      <c r="AK155" s="20"/>
      <c r="AL155" s="20"/>
      <c r="AM155" s="180"/>
      <c r="AN155" s="173"/>
      <c r="AO155" s="20"/>
      <c r="AP155" s="20"/>
      <c r="AQ155" s="20"/>
      <c r="AR155" s="20"/>
      <c r="AS155" s="181"/>
      <c r="AT155" s="20"/>
      <c r="AU155" s="182"/>
      <c r="AV155" s="20"/>
      <c r="AW155" s="183"/>
      <c r="AX155" s="184"/>
      <c r="AY155" s="176"/>
      <c r="AZ155" s="182"/>
      <c r="BA155" s="183"/>
      <c r="BB155" s="176"/>
      <c r="BC155" s="179"/>
      <c r="BD155" s="179"/>
      <c r="BE155" s="182"/>
      <c r="BF155" s="186"/>
      <c r="BG155" s="186"/>
      <c r="BH155" s="187"/>
      <c r="BI155" s="182"/>
      <c r="BJ155" s="179"/>
      <c r="BK155" s="179"/>
      <c r="BL155" s="208"/>
      <c r="BM155" s="209"/>
      <c r="BN155" s="15"/>
      <c r="BO155" s="15"/>
      <c r="BP155" s="210"/>
      <c r="BQ155" s="182"/>
      <c r="BR155" s="182"/>
      <c r="BS155" s="182"/>
      <c r="BT155" s="20"/>
      <c r="BU155" s="20"/>
      <c r="BV155" s="20"/>
      <c r="BW155" s="185"/>
      <c r="BX155" s="182"/>
      <c r="BY155" s="182"/>
      <c r="BZ155" s="182"/>
      <c r="CA155" s="182"/>
      <c r="CB155" s="9"/>
      <c r="CC155" s="8"/>
      <c r="CD155" s="213"/>
      <c r="CE155" s="201"/>
      <c r="CF155" s="201"/>
      <c r="CG155" s="201"/>
      <c r="CH155" s="201"/>
      <c r="CI155" s="201"/>
      <c r="CJ155" s="201"/>
      <c r="CK155" s="201"/>
      <c r="CL155" s="201"/>
      <c r="CM155" s="201"/>
      <c r="CN155" s="201"/>
      <c r="CO155" s="201"/>
      <c r="CP155" s="201"/>
      <c r="CQ155" s="201"/>
      <c r="CR155" s="201"/>
      <c r="CS155" s="201"/>
      <c r="CT155" s="201"/>
      <c r="CU155" s="201"/>
      <c r="CV155" s="201"/>
      <c r="CW155" s="201"/>
      <c r="CX155" s="201"/>
      <c r="CY155" s="201"/>
      <c r="CZ155" s="201"/>
      <c r="DA155" s="201"/>
      <c r="DB155" s="201"/>
      <c r="DC155" s="201"/>
      <c r="DD155" s="201"/>
      <c r="DE155" s="201"/>
      <c r="DF155" s="201"/>
      <c r="DG155" s="201"/>
      <c r="DH155" s="201"/>
      <c r="DI155" s="201"/>
      <c r="DJ155" s="201"/>
      <c r="DK155" s="201"/>
      <c r="DL155" s="201"/>
      <c r="DM155" s="201"/>
      <c r="DN155" s="201"/>
      <c r="DO155" s="201"/>
      <c r="DP155" s="201"/>
      <c r="DQ155" s="201"/>
      <c r="DR155" s="201"/>
      <c r="DS155" s="201"/>
      <c r="DT155" s="201"/>
      <c r="DU155" s="201"/>
      <c r="DV155" s="201"/>
      <c r="DW155" s="201"/>
      <c r="DX155" s="201"/>
      <c r="DY155" s="201"/>
      <c r="DZ155" s="201"/>
      <c r="EA155" s="201"/>
      <c r="EB155" s="201"/>
      <c r="EC155" s="201"/>
      <c r="ED155" s="201"/>
      <c r="EE155" s="201"/>
      <c r="EF155" s="201"/>
      <c r="EG155" s="201"/>
      <c r="EH155" s="201"/>
      <c r="EI155" s="201"/>
      <c r="EJ155" s="201"/>
      <c r="EK155" s="201"/>
      <c r="EL155" s="201"/>
      <c r="EM155" s="201"/>
      <c r="EN155" s="201"/>
      <c r="EO155" s="201"/>
      <c r="EP155" s="201"/>
      <c r="EQ155" s="201"/>
      <c r="ER155" s="9"/>
      <c r="ES155" s="201"/>
      <c r="ET155" s="9"/>
      <c r="EU155" s="9"/>
      <c r="EV155" s="9"/>
      <c r="EW155" s="9"/>
      <c r="EX155" s="9"/>
      <c r="EY155" s="9"/>
      <c r="EZ155" s="201"/>
      <c r="FA155" s="213"/>
      <c r="FB155" s="213"/>
      <c r="FC155" s="213"/>
      <c r="FD155" s="213"/>
      <c r="FE155" s="214"/>
      <c r="FF155" s="201"/>
      <c r="FG155" s="201"/>
      <c r="FH155" s="201"/>
      <c r="FI155" s="215"/>
      <c r="FJ155" s="215"/>
      <c r="FK155" s="201"/>
      <c r="FL155" s="201"/>
      <c r="FM155" s="201"/>
      <c r="FN155" s="201"/>
      <c r="FO155" s="9"/>
      <c r="FP155" s="201"/>
      <c r="FQ155" s="201"/>
      <c r="FR155" s="201"/>
      <c r="FS155" s="9"/>
      <c r="FT155" s="9"/>
      <c r="FU155" s="9"/>
      <c r="FV155" s="9"/>
      <c r="FW155" s="201"/>
      <c r="FX155" s="201"/>
      <c r="FY155" s="201"/>
      <c r="FZ155" s="201"/>
      <c r="GA155" s="201"/>
      <c r="GB155" s="9"/>
      <c r="GC155" s="9"/>
      <c r="GD155" s="9"/>
      <c r="GE155" s="9"/>
      <c r="GF155" s="9"/>
      <c r="GG155" s="9"/>
      <c r="GH155" s="9"/>
      <c r="GI155" s="9"/>
      <c r="GJ155" s="9"/>
      <c r="GK155" s="9"/>
      <c r="GL155" s="9"/>
      <c r="GM155" s="9"/>
      <c r="GN155" s="9"/>
      <c r="GO155" s="9"/>
      <c r="GP155" s="9"/>
      <c r="GQ155" s="9"/>
      <c r="GR155" s="9"/>
      <c r="GS155" s="9"/>
      <c r="GT155" s="9"/>
      <c r="GU155" s="9"/>
      <c r="GV155" s="9"/>
      <c r="GW155" s="9"/>
      <c r="GX155" s="9"/>
      <c r="GY155" s="9"/>
      <c r="GZ155" s="9"/>
    </row>
    <row r="156" ht="13.2" spans="1:208">
      <c r="A156" s="172">
        <v>45947</v>
      </c>
      <c r="B156" s="20" t="s">
        <v>381</v>
      </c>
      <c r="C156" s="18"/>
      <c r="D156" s="20"/>
      <c r="E156" s="207"/>
      <c r="F156" s="20"/>
      <c r="G156" s="176"/>
      <c r="H156" s="175"/>
      <c r="I156" s="176"/>
      <c r="J156" s="178"/>
      <c r="K156" s="174"/>
      <c r="L156" s="174"/>
      <c r="M156" s="20"/>
      <c r="N156" s="176"/>
      <c r="O156" s="179"/>
      <c r="P156" s="179"/>
      <c r="Q156" s="174"/>
      <c r="R156" s="20"/>
      <c r="S156" s="20"/>
      <c r="T156" s="20"/>
      <c r="U156" s="176"/>
      <c r="V156" s="20"/>
      <c r="W156" s="178"/>
      <c r="X156" s="20"/>
      <c r="Y156" s="20"/>
      <c r="Z156" s="20"/>
      <c r="AA156" s="20"/>
      <c r="AB156" s="20"/>
      <c r="AC156" s="20"/>
      <c r="AD156" s="20"/>
      <c r="AE156" s="20"/>
      <c r="AF156" s="20"/>
      <c r="AG156" s="20"/>
      <c r="AH156" s="20"/>
      <c r="AI156" s="20"/>
      <c r="AJ156" s="20"/>
      <c r="AK156" s="20"/>
      <c r="AL156" s="20"/>
      <c r="AM156" s="180"/>
      <c r="AN156" s="173"/>
      <c r="AO156" s="20"/>
      <c r="AP156" s="20"/>
      <c r="AQ156" s="20"/>
      <c r="AR156" s="20"/>
      <c r="AS156" s="181"/>
      <c r="AT156" s="20"/>
      <c r="AU156" s="182"/>
      <c r="AV156" s="20"/>
      <c r="AW156" s="183"/>
      <c r="AX156" s="184"/>
      <c r="AY156" s="176"/>
      <c r="AZ156" s="182"/>
      <c r="BA156" s="183"/>
      <c r="BB156" s="176"/>
      <c r="BC156" s="179"/>
      <c r="BD156" s="179"/>
      <c r="BE156" s="182"/>
      <c r="BF156" s="186"/>
      <c r="BG156" s="186"/>
      <c r="BH156" s="187"/>
      <c r="BI156" s="182"/>
      <c r="BJ156" s="179"/>
      <c r="BK156" s="179"/>
      <c r="BL156" s="208"/>
      <c r="BM156" s="209"/>
      <c r="BN156" s="15"/>
      <c r="BO156" s="15"/>
      <c r="BP156" s="210"/>
      <c r="BQ156" s="182"/>
      <c r="BR156" s="182"/>
      <c r="BS156" s="182"/>
      <c r="BT156" s="20"/>
      <c r="BU156" s="20"/>
      <c r="BV156" s="20"/>
      <c r="BW156" s="185"/>
      <c r="BX156" s="182"/>
      <c r="BY156" s="182"/>
      <c r="BZ156" s="182"/>
      <c r="CA156" s="182"/>
      <c r="CB156" s="9"/>
      <c r="CC156" s="8"/>
      <c r="CD156" s="213"/>
      <c r="CE156" s="201"/>
      <c r="CF156" s="201"/>
      <c r="CG156" s="201"/>
      <c r="CH156" s="201"/>
      <c r="CI156" s="201"/>
      <c r="CJ156" s="201"/>
      <c r="CK156" s="201"/>
      <c r="CL156" s="201"/>
      <c r="CM156" s="201"/>
      <c r="CN156" s="201"/>
      <c r="CO156" s="201"/>
      <c r="CP156" s="201"/>
      <c r="CQ156" s="201"/>
      <c r="CR156" s="201"/>
      <c r="CS156" s="201"/>
      <c r="CT156" s="201"/>
      <c r="CU156" s="201"/>
      <c r="CV156" s="201"/>
      <c r="CW156" s="201"/>
      <c r="CX156" s="201"/>
      <c r="CY156" s="201"/>
      <c r="CZ156" s="201"/>
      <c r="DA156" s="201"/>
      <c r="DB156" s="201"/>
      <c r="DC156" s="201"/>
      <c r="DD156" s="201"/>
      <c r="DE156" s="201"/>
      <c r="DF156" s="201"/>
      <c r="DG156" s="201"/>
      <c r="DH156" s="201"/>
      <c r="DI156" s="201"/>
      <c r="DJ156" s="201"/>
      <c r="DK156" s="201"/>
      <c r="DL156" s="201"/>
      <c r="DM156" s="201"/>
      <c r="DN156" s="201"/>
      <c r="DO156" s="201"/>
      <c r="DP156" s="201"/>
      <c r="DQ156" s="201"/>
      <c r="DR156" s="201"/>
      <c r="DS156" s="201"/>
      <c r="DT156" s="201"/>
      <c r="DU156" s="201"/>
      <c r="DV156" s="201"/>
      <c r="DW156" s="201"/>
      <c r="DX156" s="201"/>
      <c r="DY156" s="201"/>
      <c r="DZ156" s="201"/>
      <c r="EA156" s="201"/>
      <c r="EB156" s="201"/>
      <c r="EC156" s="201"/>
      <c r="ED156" s="201"/>
      <c r="EE156" s="201"/>
      <c r="EF156" s="201"/>
      <c r="EG156" s="201"/>
      <c r="EH156" s="201"/>
      <c r="EI156" s="201"/>
      <c r="EJ156" s="201"/>
      <c r="EK156" s="201"/>
      <c r="EL156" s="201"/>
      <c r="EM156" s="201"/>
      <c r="EN156" s="201"/>
      <c r="EO156" s="201"/>
      <c r="EP156" s="201"/>
      <c r="EQ156" s="201"/>
      <c r="ER156" s="9"/>
      <c r="ES156" s="201"/>
      <c r="ET156" s="9"/>
      <c r="EU156" s="9"/>
      <c r="EV156" s="9"/>
      <c r="EW156" s="9"/>
      <c r="EX156" s="9"/>
      <c r="EY156" s="9"/>
      <c r="EZ156" s="201"/>
      <c r="FA156" s="213"/>
      <c r="FB156" s="213"/>
      <c r="FC156" s="213"/>
      <c r="FD156" s="213"/>
      <c r="FE156" s="214"/>
      <c r="FF156" s="201"/>
      <c r="FG156" s="201"/>
      <c r="FH156" s="201"/>
      <c r="FI156" s="215"/>
      <c r="FJ156" s="215"/>
      <c r="FK156" s="201"/>
      <c r="FL156" s="201"/>
      <c r="FM156" s="201"/>
      <c r="FN156" s="201"/>
      <c r="FO156" s="9"/>
      <c r="FP156" s="201"/>
      <c r="FQ156" s="201"/>
      <c r="FR156" s="201"/>
      <c r="FS156" s="9"/>
      <c r="FT156" s="9"/>
      <c r="FU156" s="9"/>
      <c r="FV156" s="9"/>
      <c r="FW156" s="201"/>
      <c r="FX156" s="201"/>
      <c r="FY156" s="201"/>
      <c r="FZ156" s="201"/>
      <c r="GA156" s="201"/>
      <c r="GB156" s="9"/>
      <c r="GC156" s="9"/>
      <c r="GD156" s="9"/>
      <c r="GE156" s="9"/>
      <c r="GF156" s="9"/>
      <c r="GG156" s="9"/>
      <c r="GH156" s="9"/>
      <c r="GI156" s="9"/>
      <c r="GJ156" s="9"/>
      <c r="GK156" s="9"/>
      <c r="GL156" s="9"/>
      <c r="GM156" s="9"/>
      <c r="GN156" s="9"/>
      <c r="GO156" s="9"/>
      <c r="GP156" s="9"/>
      <c r="GQ156" s="9"/>
      <c r="GR156" s="9"/>
      <c r="GS156" s="9"/>
      <c r="GT156" s="9"/>
      <c r="GU156" s="9"/>
      <c r="GV156" s="9"/>
      <c r="GW156" s="9"/>
      <c r="GX156" s="9"/>
      <c r="GY156" s="9"/>
      <c r="GZ156" s="9"/>
    </row>
    <row r="157" ht="13.2" spans="1:208">
      <c r="A157" s="172">
        <v>45948</v>
      </c>
      <c r="B157" s="20" t="s">
        <v>369</v>
      </c>
      <c r="C157" s="18"/>
      <c r="D157" s="20"/>
      <c r="E157" s="207"/>
      <c r="F157" s="20"/>
      <c r="G157" s="176"/>
      <c r="H157" s="175"/>
      <c r="I157" s="176"/>
      <c r="J157" s="178"/>
      <c r="K157" s="174"/>
      <c r="L157" s="174"/>
      <c r="M157" s="20"/>
      <c r="N157" s="176"/>
      <c r="O157" s="179"/>
      <c r="P157" s="179"/>
      <c r="Q157" s="174"/>
      <c r="R157" s="20"/>
      <c r="S157" s="20"/>
      <c r="T157" s="20"/>
      <c r="U157" s="176"/>
      <c r="V157" s="20"/>
      <c r="W157" s="178"/>
      <c r="X157" s="20"/>
      <c r="Y157" s="20"/>
      <c r="Z157" s="20"/>
      <c r="AA157" s="20"/>
      <c r="AB157" s="20"/>
      <c r="AC157" s="20"/>
      <c r="AD157" s="20"/>
      <c r="AE157" s="20"/>
      <c r="AF157" s="20"/>
      <c r="AG157" s="20"/>
      <c r="AH157" s="20"/>
      <c r="AI157" s="20"/>
      <c r="AJ157" s="20"/>
      <c r="AK157" s="20"/>
      <c r="AL157" s="20"/>
      <c r="AM157" s="180"/>
      <c r="AN157" s="173"/>
      <c r="AO157" s="20"/>
      <c r="AP157" s="20"/>
      <c r="AQ157" s="20"/>
      <c r="AR157" s="20"/>
      <c r="AS157" s="181"/>
      <c r="AT157" s="20"/>
      <c r="AU157" s="182"/>
      <c r="AV157" s="20"/>
      <c r="AW157" s="183"/>
      <c r="AX157" s="184"/>
      <c r="AY157" s="176"/>
      <c r="AZ157" s="182"/>
      <c r="BA157" s="183"/>
      <c r="BB157" s="176"/>
      <c r="BC157" s="179"/>
      <c r="BD157" s="179"/>
      <c r="BE157" s="182"/>
      <c r="BF157" s="186"/>
      <c r="BG157" s="186"/>
      <c r="BH157" s="187"/>
      <c r="BI157" s="182"/>
      <c r="BJ157" s="179"/>
      <c r="BK157" s="179"/>
      <c r="BL157" s="208"/>
      <c r="BM157" s="209"/>
      <c r="BN157" s="15"/>
      <c r="BO157" s="15"/>
      <c r="BP157" s="210"/>
      <c r="BQ157" s="182"/>
      <c r="BR157" s="182"/>
      <c r="BS157" s="182"/>
      <c r="BT157" s="20"/>
      <c r="BU157" s="20"/>
      <c r="BV157" s="20"/>
      <c r="BW157" s="185"/>
      <c r="BX157" s="182"/>
      <c r="BY157" s="182"/>
      <c r="BZ157" s="182"/>
      <c r="CA157" s="182"/>
      <c r="CB157" s="9"/>
      <c r="CC157" s="8"/>
      <c r="CD157" s="213"/>
      <c r="CE157" s="201"/>
      <c r="CF157" s="201"/>
      <c r="CG157" s="201"/>
      <c r="CH157" s="201"/>
      <c r="CI157" s="201"/>
      <c r="CJ157" s="201"/>
      <c r="CK157" s="201"/>
      <c r="CL157" s="201"/>
      <c r="CM157" s="201"/>
      <c r="CN157" s="201"/>
      <c r="CO157" s="201"/>
      <c r="CP157" s="201"/>
      <c r="CQ157" s="201"/>
      <c r="CR157" s="201"/>
      <c r="CS157" s="201"/>
      <c r="CT157" s="201"/>
      <c r="CU157" s="201"/>
      <c r="CV157" s="201"/>
      <c r="CW157" s="201"/>
      <c r="CX157" s="201"/>
      <c r="CY157" s="201"/>
      <c r="CZ157" s="201"/>
      <c r="DA157" s="201"/>
      <c r="DB157" s="201"/>
      <c r="DC157" s="201"/>
      <c r="DD157" s="201"/>
      <c r="DE157" s="201"/>
      <c r="DF157" s="201"/>
      <c r="DG157" s="201"/>
      <c r="DH157" s="201"/>
      <c r="DI157" s="201"/>
      <c r="DJ157" s="201"/>
      <c r="DK157" s="201"/>
      <c r="DL157" s="201"/>
      <c r="DM157" s="201"/>
      <c r="DN157" s="201"/>
      <c r="DO157" s="201"/>
      <c r="DP157" s="201"/>
      <c r="DQ157" s="201"/>
      <c r="DR157" s="201"/>
      <c r="DS157" s="201"/>
      <c r="DT157" s="201"/>
      <c r="DU157" s="201"/>
      <c r="DV157" s="201"/>
      <c r="DW157" s="201"/>
      <c r="DX157" s="201"/>
      <c r="DY157" s="201"/>
      <c r="DZ157" s="201"/>
      <c r="EA157" s="201"/>
      <c r="EB157" s="201"/>
      <c r="EC157" s="201"/>
      <c r="ED157" s="201"/>
      <c r="EE157" s="201"/>
      <c r="EF157" s="201"/>
      <c r="EG157" s="201"/>
      <c r="EH157" s="201"/>
      <c r="EI157" s="201"/>
      <c r="EJ157" s="201"/>
      <c r="EK157" s="201"/>
      <c r="EL157" s="201"/>
      <c r="EM157" s="201"/>
      <c r="EN157" s="201"/>
      <c r="EO157" s="201"/>
      <c r="EP157" s="201"/>
      <c r="EQ157" s="201"/>
      <c r="ER157" s="9"/>
      <c r="ES157" s="201"/>
      <c r="ET157" s="9"/>
      <c r="EU157" s="9"/>
      <c r="EV157" s="9"/>
      <c r="EW157" s="9"/>
      <c r="EX157" s="9"/>
      <c r="EY157" s="9"/>
      <c r="EZ157" s="201"/>
      <c r="FA157" s="213"/>
      <c r="FB157" s="213"/>
      <c r="FC157" s="213"/>
      <c r="FD157" s="213"/>
      <c r="FE157" s="214"/>
      <c r="FF157" s="201"/>
      <c r="FG157" s="201"/>
      <c r="FH157" s="201"/>
      <c r="FI157" s="215"/>
      <c r="FJ157" s="215"/>
      <c r="FK157" s="201"/>
      <c r="FL157" s="201"/>
      <c r="FM157" s="201"/>
      <c r="FN157" s="201"/>
      <c r="FO157" s="9"/>
      <c r="FP157" s="201"/>
      <c r="FQ157" s="201"/>
      <c r="FR157" s="201"/>
      <c r="FS157" s="9"/>
      <c r="FT157" s="9"/>
      <c r="FU157" s="9"/>
      <c r="FV157" s="9"/>
      <c r="FW157" s="201"/>
      <c r="FX157" s="201"/>
      <c r="FY157" s="201"/>
      <c r="FZ157" s="201"/>
      <c r="GA157" s="201"/>
      <c r="GB157" s="9"/>
      <c r="GC157" s="9"/>
      <c r="GD157" s="9"/>
      <c r="GE157" s="9"/>
      <c r="GF157" s="9"/>
      <c r="GG157" s="9"/>
      <c r="GH157" s="9"/>
      <c r="GI157" s="9"/>
      <c r="GJ157" s="9"/>
      <c r="GK157" s="9"/>
      <c r="GL157" s="9"/>
      <c r="GM157" s="9"/>
      <c r="GN157" s="9"/>
      <c r="GO157" s="9"/>
      <c r="GP157" s="9"/>
      <c r="GQ157" s="9"/>
      <c r="GR157" s="9"/>
      <c r="GS157" s="9"/>
      <c r="GT157" s="9"/>
      <c r="GU157" s="9"/>
      <c r="GV157" s="9"/>
      <c r="GW157" s="9"/>
      <c r="GX157" s="9"/>
      <c r="GY157" s="9"/>
      <c r="GZ157" s="9"/>
    </row>
    <row r="158" ht="13.2" spans="1:208">
      <c r="A158" s="172">
        <v>45949</v>
      </c>
      <c r="B158" s="20" t="s">
        <v>371</v>
      </c>
      <c r="C158" s="18"/>
      <c r="D158" s="20"/>
      <c r="E158" s="207"/>
      <c r="F158" s="20"/>
      <c r="G158" s="176"/>
      <c r="H158" s="175"/>
      <c r="I158" s="176"/>
      <c r="J158" s="178"/>
      <c r="K158" s="174"/>
      <c r="L158" s="174"/>
      <c r="M158" s="20"/>
      <c r="N158" s="176"/>
      <c r="O158" s="179"/>
      <c r="P158" s="179"/>
      <c r="Q158" s="174"/>
      <c r="R158" s="20"/>
      <c r="S158" s="20"/>
      <c r="T158" s="20"/>
      <c r="U158" s="176"/>
      <c r="V158" s="20"/>
      <c r="W158" s="178"/>
      <c r="X158" s="20"/>
      <c r="Y158" s="20"/>
      <c r="Z158" s="20"/>
      <c r="AA158" s="20"/>
      <c r="AB158" s="20"/>
      <c r="AC158" s="20"/>
      <c r="AD158" s="20"/>
      <c r="AE158" s="20"/>
      <c r="AF158" s="20"/>
      <c r="AG158" s="20"/>
      <c r="AH158" s="20"/>
      <c r="AI158" s="20"/>
      <c r="AJ158" s="20"/>
      <c r="AK158" s="20"/>
      <c r="AL158" s="20"/>
      <c r="AM158" s="180"/>
      <c r="AN158" s="173"/>
      <c r="AO158" s="20"/>
      <c r="AP158" s="20"/>
      <c r="AQ158" s="20"/>
      <c r="AR158" s="20"/>
      <c r="AS158" s="181"/>
      <c r="AT158" s="20"/>
      <c r="AU158" s="182"/>
      <c r="AV158" s="20"/>
      <c r="AW158" s="183"/>
      <c r="AX158" s="184"/>
      <c r="AY158" s="176"/>
      <c r="AZ158" s="182"/>
      <c r="BA158" s="183"/>
      <c r="BB158" s="176"/>
      <c r="BC158" s="179"/>
      <c r="BD158" s="179"/>
      <c r="BE158" s="182"/>
      <c r="BF158" s="186"/>
      <c r="BG158" s="186"/>
      <c r="BH158" s="187"/>
      <c r="BI158" s="182"/>
      <c r="BJ158" s="179"/>
      <c r="BK158" s="179"/>
      <c r="BL158" s="208"/>
      <c r="BM158" s="209"/>
      <c r="BN158" s="15"/>
      <c r="BO158" s="15"/>
      <c r="BP158" s="210"/>
      <c r="BQ158" s="182"/>
      <c r="BR158" s="182"/>
      <c r="BS158" s="182"/>
      <c r="BT158" s="20"/>
      <c r="BU158" s="20"/>
      <c r="BV158" s="20"/>
      <c r="BW158" s="185"/>
      <c r="BX158" s="182"/>
      <c r="BY158" s="182"/>
      <c r="BZ158" s="182"/>
      <c r="CA158" s="182"/>
      <c r="CB158" s="9"/>
      <c r="CC158" s="8"/>
      <c r="CD158" s="213"/>
      <c r="CE158" s="201"/>
      <c r="CF158" s="201"/>
      <c r="CG158" s="201"/>
      <c r="CH158" s="201"/>
      <c r="CI158" s="201"/>
      <c r="CJ158" s="201"/>
      <c r="CK158" s="201"/>
      <c r="CL158" s="201"/>
      <c r="CM158" s="201"/>
      <c r="CN158" s="201"/>
      <c r="CO158" s="201"/>
      <c r="CP158" s="201"/>
      <c r="CQ158" s="201"/>
      <c r="CR158" s="201"/>
      <c r="CS158" s="201"/>
      <c r="CT158" s="201"/>
      <c r="CU158" s="201"/>
      <c r="CV158" s="201"/>
      <c r="CW158" s="201"/>
      <c r="CX158" s="201"/>
      <c r="CY158" s="201"/>
      <c r="CZ158" s="201"/>
      <c r="DA158" s="201"/>
      <c r="DB158" s="201"/>
      <c r="DC158" s="201"/>
      <c r="DD158" s="201"/>
      <c r="DE158" s="201"/>
      <c r="DF158" s="201"/>
      <c r="DG158" s="201"/>
      <c r="DH158" s="201"/>
      <c r="DI158" s="201"/>
      <c r="DJ158" s="201"/>
      <c r="DK158" s="201"/>
      <c r="DL158" s="201"/>
      <c r="DM158" s="201"/>
      <c r="DN158" s="201"/>
      <c r="DO158" s="201"/>
      <c r="DP158" s="201"/>
      <c r="DQ158" s="201"/>
      <c r="DR158" s="201"/>
      <c r="DS158" s="201"/>
      <c r="DT158" s="201"/>
      <c r="DU158" s="201"/>
      <c r="DV158" s="201"/>
      <c r="DW158" s="201"/>
      <c r="DX158" s="201"/>
      <c r="DY158" s="201"/>
      <c r="DZ158" s="201"/>
      <c r="EA158" s="201"/>
      <c r="EB158" s="201"/>
      <c r="EC158" s="201"/>
      <c r="ED158" s="201"/>
      <c r="EE158" s="201"/>
      <c r="EF158" s="201"/>
      <c r="EG158" s="201"/>
      <c r="EH158" s="201"/>
      <c r="EI158" s="201"/>
      <c r="EJ158" s="201"/>
      <c r="EK158" s="201"/>
      <c r="EL158" s="201"/>
      <c r="EM158" s="201"/>
      <c r="EN158" s="201"/>
      <c r="EO158" s="201"/>
      <c r="EP158" s="201"/>
      <c r="EQ158" s="201"/>
      <c r="ER158" s="9"/>
      <c r="ES158" s="201"/>
      <c r="ET158" s="9"/>
      <c r="EU158" s="9"/>
      <c r="EV158" s="9"/>
      <c r="EW158" s="9"/>
      <c r="EX158" s="9"/>
      <c r="EY158" s="9"/>
      <c r="EZ158" s="201"/>
      <c r="FA158" s="213"/>
      <c r="FB158" s="213"/>
      <c r="FC158" s="213"/>
      <c r="FD158" s="213"/>
      <c r="FE158" s="214"/>
      <c r="FF158" s="201"/>
      <c r="FG158" s="201"/>
      <c r="FH158" s="201"/>
      <c r="FI158" s="215"/>
      <c r="FJ158" s="215"/>
      <c r="FK158" s="201"/>
      <c r="FL158" s="201"/>
      <c r="FM158" s="201"/>
      <c r="FN158" s="201"/>
      <c r="FO158" s="9"/>
      <c r="FP158" s="201"/>
      <c r="FQ158" s="201"/>
      <c r="FR158" s="201"/>
      <c r="FS158" s="9"/>
      <c r="FT158" s="9"/>
      <c r="FU158" s="9"/>
      <c r="FV158" s="9"/>
      <c r="FW158" s="201"/>
      <c r="FX158" s="201"/>
      <c r="FY158" s="201"/>
      <c r="FZ158" s="201"/>
      <c r="GA158" s="201"/>
      <c r="GB158" s="9"/>
      <c r="GC158" s="9"/>
      <c r="GD158" s="9"/>
      <c r="GE158" s="9"/>
      <c r="GF158" s="9"/>
      <c r="GG158" s="9"/>
      <c r="GH158" s="9"/>
      <c r="GI158" s="9"/>
      <c r="GJ158" s="9"/>
      <c r="GK158" s="9"/>
      <c r="GL158" s="9"/>
      <c r="GM158" s="9"/>
      <c r="GN158" s="9"/>
      <c r="GO158" s="9"/>
      <c r="GP158" s="9"/>
      <c r="GQ158" s="9"/>
      <c r="GR158" s="9"/>
      <c r="GS158" s="9"/>
      <c r="GT158" s="9"/>
      <c r="GU158" s="9"/>
      <c r="GV158" s="9"/>
      <c r="GW158" s="9"/>
      <c r="GX158" s="9"/>
      <c r="GY158" s="9"/>
      <c r="GZ158" s="9"/>
    </row>
    <row r="159" ht="13.2" spans="1:208">
      <c r="A159" s="172">
        <v>45950</v>
      </c>
      <c r="B159" s="20" t="s">
        <v>373</v>
      </c>
      <c r="C159" s="18"/>
      <c r="D159" s="20"/>
      <c r="E159" s="207"/>
      <c r="F159" s="20"/>
      <c r="G159" s="176"/>
      <c r="H159" s="175"/>
      <c r="I159" s="176"/>
      <c r="J159" s="178"/>
      <c r="K159" s="174"/>
      <c r="L159" s="174"/>
      <c r="M159" s="20"/>
      <c r="N159" s="176"/>
      <c r="O159" s="179"/>
      <c r="P159" s="179"/>
      <c r="Q159" s="174"/>
      <c r="R159" s="20"/>
      <c r="S159" s="20"/>
      <c r="T159" s="20"/>
      <c r="U159" s="176"/>
      <c r="V159" s="20"/>
      <c r="W159" s="178"/>
      <c r="X159" s="20"/>
      <c r="Y159" s="20"/>
      <c r="Z159" s="20"/>
      <c r="AA159" s="20"/>
      <c r="AB159" s="20"/>
      <c r="AC159" s="20"/>
      <c r="AD159" s="20"/>
      <c r="AE159" s="20"/>
      <c r="AF159" s="20"/>
      <c r="AG159" s="20"/>
      <c r="AH159" s="20"/>
      <c r="AI159" s="20"/>
      <c r="AJ159" s="20"/>
      <c r="AK159" s="20"/>
      <c r="AL159" s="20"/>
      <c r="AM159" s="180"/>
      <c r="AN159" s="173"/>
      <c r="AO159" s="20"/>
      <c r="AP159" s="20"/>
      <c r="AQ159" s="20"/>
      <c r="AR159" s="20"/>
      <c r="AS159" s="181"/>
      <c r="AT159" s="20"/>
      <c r="AU159" s="182"/>
      <c r="AV159" s="20"/>
      <c r="AW159" s="183"/>
      <c r="AX159" s="184"/>
      <c r="AY159" s="176"/>
      <c r="AZ159" s="182"/>
      <c r="BA159" s="183"/>
      <c r="BB159" s="176"/>
      <c r="BC159" s="179"/>
      <c r="BD159" s="179"/>
      <c r="BE159" s="182"/>
      <c r="BF159" s="186"/>
      <c r="BG159" s="186"/>
      <c r="BH159" s="187"/>
      <c r="BI159" s="182"/>
      <c r="BJ159" s="179"/>
      <c r="BK159" s="179"/>
      <c r="BL159" s="208"/>
      <c r="BM159" s="209"/>
      <c r="BN159" s="15"/>
      <c r="BO159" s="15"/>
      <c r="BP159" s="210"/>
      <c r="BQ159" s="182"/>
      <c r="BR159" s="182"/>
      <c r="BS159" s="182"/>
      <c r="BT159" s="20"/>
      <c r="BU159" s="20"/>
      <c r="BV159" s="20"/>
      <c r="BW159" s="185"/>
      <c r="BX159" s="182"/>
      <c r="BY159" s="182"/>
      <c r="BZ159" s="182"/>
      <c r="CA159" s="182"/>
      <c r="CB159" s="9"/>
      <c r="CC159" s="8"/>
      <c r="CD159" s="213"/>
      <c r="CE159" s="201"/>
      <c r="CF159" s="201"/>
      <c r="CG159" s="201"/>
      <c r="CH159" s="201"/>
      <c r="CI159" s="201"/>
      <c r="CJ159" s="201"/>
      <c r="CK159" s="201"/>
      <c r="CL159" s="201"/>
      <c r="CM159" s="201"/>
      <c r="CN159" s="201"/>
      <c r="CO159" s="201"/>
      <c r="CP159" s="201"/>
      <c r="CQ159" s="201"/>
      <c r="CR159" s="201"/>
      <c r="CS159" s="201"/>
      <c r="CT159" s="201"/>
      <c r="CU159" s="201"/>
      <c r="CV159" s="201"/>
      <c r="CW159" s="201"/>
      <c r="CX159" s="201"/>
      <c r="CY159" s="201"/>
      <c r="CZ159" s="201"/>
      <c r="DA159" s="201"/>
      <c r="DB159" s="201"/>
      <c r="DC159" s="201"/>
      <c r="DD159" s="201"/>
      <c r="DE159" s="201"/>
      <c r="DF159" s="201"/>
      <c r="DG159" s="201"/>
      <c r="DH159" s="201"/>
      <c r="DI159" s="201"/>
      <c r="DJ159" s="201"/>
      <c r="DK159" s="201"/>
      <c r="DL159" s="201"/>
      <c r="DM159" s="201"/>
      <c r="DN159" s="201"/>
      <c r="DO159" s="201"/>
      <c r="DP159" s="201"/>
      <c r="DQ159" s="201"/>
      <c r="DR159" s="201"/>
      <c r="DS159" s="201"/>
      <c r="DT159" s="201"/>
      <c r="DU159" s="201"/>
      <c r="DV159" s="201"/>
      <c r="DW159" s="201"/>
      <c r="DX159" s="201"/>
      <c r="DY159" s="201"/>
      <c r="DZ159" s="201"/>
      <c r="EA159" s="201"/>
      <c r="EB159" s="201"/>
      <c r="EC159" s="201"/>
      <c r="ED159" s="201"/>
      <c r="EE159" s="201"/>
      <c r="EF159" s="201"/>
      <c r="EG159" s="201"/>
      <c r="EH159" s="201"/>
      <c r="EI159" s="201"/>
      <c r="EJ159" s="201"/>
      <c r="EK159" s="201"/>
      <c r="EL159" s="201"/>
      <c r="EM159" s="201"/>
      <c r="EN159" s="201"/>
      <c r="EO159" s="201"/>
      <c r="EP159" s="201"/>
      <c r="EQ159" s="201"/>
      <c r="ER159" s="9"/>
      <c r="ES159" s="201"/>
      <c r="ET159" s="9"/>
      <c r="EU159" s="9"/>
      <c r="EV159" s="9"/>
      <c r="EW159" s="9"/>
      <c r="EX159" s="9"/>
      <c r="EY159" s="9"/>
      <c r="EZ159" s="201"/>
      <c r="FA159" s="213"/>
      <c r="FB159" s="213"/>
      <c r="FC159" s="213"/>
      <c r="FD159" s="213"/>
      <c r="FE159" s="214"/>
      <c r="FF159" s="201"/>
      <c r="FG159" s="201"/>
      <c r="FH159" s="201"/>
      <c r="FI159" s="215"/>
      <c r="FJ159" s="215"/>
      <c r="FK159" s="201"/>
      <c r="FL159" s="201"/>
      <c r="FM159" s="201"/>
      <c r="FN159" s="201"/>
      <c r="FO159" s="9"/>
      <c r="FP159" s="201"/>
      <c r="FQ159" s="201"/>
      <c r="FR159" s="201"/>
      <c r="FS159" s="9"/>
      <c r="FT159" s="9"/>
      <c r="FU159" s="9"/>
      <c r="FV159" s="9"/>
      <c r="FW159" s="201"/>
      <c r="FX159" s="201"/>
      <c r="FY159" s="201"/>
      <c r="FZ159" s="201"/>
      <c r="GA159" s="201"/>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row>
    <row r="160" ht="13.2" spans="1:208">
      <c r="A160" s="172">
        <v>45951</v>
      </c>
      <c r="B160" s="20" t="s">
        <v>375</v>
      </c>
      <c r="C160" s="18"/>
      <c r="D160" s="20"/>
      <c r="E160" s="207"/>
      <c r="F160" s="20"/>
      <c r="G160" s="176"/>
      <c r="H160" s="175"/>
      <c r="I160" s="176"/>
      <c r="J160" s="178"/>
      <c r="K160" s="20"/>
      <c r="L160" s="20"/>
      <c r="M160" s="20"/>
      <c r="N160" s="176"/>
      <c r="O160" s="179"/>
      <c r="P160" s="179"/>
      <c r="Q160" s="20"/>
      <c r="R160" s="20"/>
      <c r="S160" s="20"/>
      <c r="T160" s="20"/>
      <c r="U160" s="176"/>
      <c r="V160" s="20"/>
      <c r="W160" s="178"/>
      <c r="X160" s="20"/>
      <c r="Y160" s="20"/>
      <c r="Z160" s="20"/>
      <c r="AA160" s="20"/>
      <c r="AB160" s="20"/>
      <c r="AC160" s="20"/>
      <c r="AD160" s="20"/>
      <c r="AE160" s="20"/>
      <c r="AF160" s="20"/>
      <c r="AG160" s="20"/>
      <c r="AH160" s="20"/>
      <c r="AI160" s="20"/>
      <c r="AJ160" s="20"/>
      <c r="AK160" s="20"/>
      <c r="AL160" s="20"/>
      <c r="AM160" s="180"/>
      <c r="AN160" s="173"/>
      <c r="AO160" s="20"/>
      <c r="AP160" s="20"/>
      <c r="AQ160" s="20"/>
      <c r="AR160" s="20"/>
      <c r="AS160" s="181"/>
      <c r="AT160" s="20"/>
      <c r="AU160" s="182"/>
      <c r="AV160" s="20"/>
      <c r="AW160" s="183"/>
      <c r="AX160" s="184"/>
      <c r="AY160" s="176"/>
      <c r="AZ160" s="182"/>
      <c r="BA160" s="183"/>
      <c r="BB160" s="176"/>
      <c r="BC160" s="179"/>
      <c r="BD160" s="179"/>
      <c r="BE160" s="182"/>
      <c r="BF160" s="186"/>
      <c r="BG160" s="186"/>
      <c r="BH160" s="187"/>
      <c r="BI160" s="182"/>
      <c r="BJ160" s="179"/>
      <c r="BK160" s="179"/>
      <c r="BL160" s="208"/>
      <c r="BM160" s="209"/>
      <c r="BN160" s="15"/>
      <c r="BO160" s="15"/>
      <c r="BP160" s="210"/>
      <c r="BQ160" s="182"/>
      <c r="BR160" s="182"/>
      <c r="BS160" s="182"/>
      <c r="BT160" s="20"/>
      <c r="BU160" s="20"/>
      <c r="BV160" s="20"/>
      <c r="BW160" s="185"/>
      <c r="BX160" s="182"/>
      <c r="BY160" s="182"/>
      <c r="BZ160" s="182"/>
      <c r="CA160" s="182"/>
      <c r="CB160" s="9"/>
      <c r="CC160" s="8"/>
      <c r="CD160" s="213"/>
      <c r="CE160" s="201"/>
      <c r="CF160" s="201"/>
      <c r="CG160" s="201"/>
      <c r="CH160" s="201"/>
      <c r="CI160" s="201"/>
      <c r="CJ160" s="201"/>
      <c r="CK160" s="201"/>
      <c r="CL160" s="201"/>
      <c r="CM160" s="201"/>
      <c r="CN160" s="201"/>
      <c r="CO160" s="201"/>
      <c r="CP160" s="201"/>
      <c r="CQ160" s="201"/>
      <c r="CR160" s="201"/>
      <c r="CS160" s="201"/>
      <c r="CT160" s="201"/>
      <c r="CU160" s="201"/>
      <c r="CV160" s="201"/>
      <c r="CW160" s="201"/>
      <c r="CX160" s="201"/>
      <c r="CY160" s="201"/>
      <c r="CZ160" s="201"/>
      <c r="DA160" s="201"/>
      <c r="DB160" s="201"/>
      <c r="DC160" s="201"/>
      <c r="DD160" s="201"/>
      <c r="DE160" s="201"/>
      <c r="DF160" s="201"/>
      <c r="DG160" s="201"/>
      <c r="DH160" s="201"/>
      <c r="DI160" s="201"/>
      <c r="DJ160" s="201"/>
      <c r="DK160" s="201"/>
      <c r="DL160" s="201"/>
      <c r="DM160" s="201"/>
      <c r="DN160" s="201"/>
      <c r="DO160" s="201"/>
      <c r="DP160" s="201"/>
      <c r="DQ160" s="201"/>
      <c r="DR160" s="201"/>
      <c r="DS160" s="201"/>
      <c r="DT160" s="201"/>
      <c r="DU160" s="201"/>
      <c r="DV160" s="201"/>
      <c r="DW160" s="201"/>
      <c r="DX160" s="201"/>
      <c r="DY160" s="201"/>
      <c r="DZ160" s="201"/>
      <c r="EA160" s="201"/>
      <c r="EB160" s="201"/>
      <c r="EC160" s="201"/>
      <c r="ED160" s="201"/>
      <c r="EE160" s="201"/>
      <c r="EF160" s="201"/>
      <c r="EG160" s="201"/>
      <c r="EH160" s="201"/>
      <c r="EI160" s="201"/>
      <c r="EJ160" s="201"/>
      <c r="EK160" s="201"/>
      <c r="EL160" s="201"/>
      <c r="EM160" s="201"/>
      <c r="EN160" s="201"/>
      <c r="EO160" s="201"/>
      <c r="EP160" s="201"/>
      <c r="EQ160" s="201"/>
      <c r="ER160" s="9"/>
      <c r="ES160" s="201"/>
      <c r="ET160" s="9"/>
      <c r="EU160" s="9"/>
      <c r="EV160" s="9"/>
      <c r="EW160" s="9"/>
      <c r="EX160" s="9"/>
      <c r="EY160" s="9"/>
      <c r="EZ160" s="201"/>
      <c r="FA160" s="213"/>
      <c r="FB160" s="213"/>
      <c r="FC160" s="213"/>
      <c r="FD160" s="213"/>
      <c r="FE160" s="214"/>
      <c r="FF160" s="201"/>
      <c r="FG160" s="201"/>
      <c r="FH160" s="201"/>
      <c r="FI160" s="215"/>
      <c r="FJ160" s="215"/>
      <c r="FK160" s="201"/>
      <c r="FL160" s="201"/>
      <c r="FM160" s="201"/>
      <c r="FN160" s="201"/>
      <c r="FO160" s="9"/>
      <c r="FP160" s="201"/>
      <c r="FQ160" s="201"/>
      <c r="FR160" s="201"/>
      <c r="FS160" s="9"/>
      <c r="FT160" s="9"/>
      <c r="FU160" s="9"/>
      <c r="FV160" s="9"/>
      <c r="FW160" s="201"/>
      <c r="FX160" s="201"/>
      <c r="FY160" s="201"/>
      <c r="FZ160" s="201"/>
      <c r="GA160" s="201"/>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row>
    <row r="161" ht="13.2" spans="1:208">
      <c r="A161" s="172">
        <v>45952</v>
      </c>
      <c r="B161" s="20" t="s">
        <v>375</v>
      </c>
      <c r="C161" s="18"/>
      <c r="D161" s="20"/>
      <c r="E161" s="207"/>
      <c r="F161" s="20"/>
      <c r="G161" s="176"/>
      <c r="H161" s="175"/>
      <c r="I161" s="176"/>
      <c r="J161" s="178"/>
      <c r="K161" s="20"/>
      <c r="L161" s="20"/>
      <c r="M161" s="20"/>
      <c r="N161" s="176"/>
      <c r="O161" s="179"/>
      <c r="P161" s="179"/>
      <c r="Q161" s="20"/>
      <c r="R161" s="20"/>
      <c r="S161" s="20"/>
      <c r="T161" s="20"/>
      <c r="U161" s="176"/>
      <c r="V161" s="20"/>
      <c r="W161" s="178"/>
      <c r="X161" s="20"/>
      <c r="Y161" s="20"/>
      <c r="Z161" s="20"/>
      <c r="AA161" s="20"/>
      <c r="AB161" s="20"/>
      <c r="AC161" s="20"/>
      <c r="AD161" s="20"/>
      <c r="AE161" s="20"/>
      <c r="AF161" s="20"/>
      <c r="AG161" s="20"/>
      <c r="AH161" s="20"/>
      <c r="AI161" s="20"/>
      <c r="AJ161" s="20"/>
      <c r="AK161" s="20"/>
      <c r="AL161" s="20"/>
      <c r="AM161" s="180"/>
      <c r="AN161" s="173"/>
      <c r="AO161" s="20"/>
      <c r="AP161" s="20"/>
      <c r="AQ161" s="20"/>
      <c r="AR161" s="20"/>
      <c r="AS161" s="181"/>
      <c r="AT161" s="20"/>
      <c r="AU161" s="182"/>
      <c r="AV161" s="20"/>
      <c r="AW161" s="183"/>
      <c r="AX161" s="184"/>
      <c r="AY161" s="176"/>
      <c r="AZ161" s="182"/>
      <c r="BA161" s="183"/>
      <c r="BB161" s="176"/>
      <c r="BC161" s="179"/>
      <c r="BD161" s="179"/>
      <c r="BE161" s="182"/>
      <c r="BF161" s="186"/>
      <c r="BG161" s="186"/>
      <c r="BH161" s="187"/>
      <c r="BI161" s="182"/>
      <c r="BJ161" s="179"/>
      <c r="BK161" s="179"/>
      <c r="BL161" s="208"/>
      <c r="BM161" s="209"/>
      <c r="BN161" s="15"/>
      <c r="BO161" s="15"/>
      <c r="BP161" s="210"/>
      <c r="BQ161" s="182"/>
      <c r="BR161" s="182"/>
      <c r="BS161" s="182"/>
      <c r="BT161" s="20"/>
      <c r="BU161" s="20"/>
      <c r="BV161" s="20"/>
      <c r="BW161" s="185"/>
      <c r="BX161" s="182"/>
      <c r="BY161" s="182"/>
      <c r="BZ161" s="182"/>
      <c r="CA161" s="182"/>
      <c r="CB161" s="9"/>
      <c r="CC161" s="8"/>
      <c r="CD161" s="213"/>
      <c r="CE161" s="201"/>
      <c r="CF161" s="201"/>
      <c r="CG161" s="201"/>
      <c r="CH161" s="201"/>
      <c r="CI161" s="201"/>
      <c r="CJ161" s="201"/>
      <c r="CK161" s="201"/>
      <c r="CL161" s="201"/>
      <c r="CM161" s="201"/>
      <c r="CN161" s="201"/>
      <c r="CO161" s="201"/>
      <c r="CP161" s="201"/>
      <c r="CQ161" s="201"/>
      <c r="CR161" s="201"/>
      <c r="CS161" s="201"/>
      <c r="CT161" s="201"/>
      <c r="CU161" s="201"/>
      <c r="CV161" s="201"/>
      <c r="CW161" s="201"/>
      <c r="CX161" s="201"/>
      <c r="CY161" s="201"/>
      <c r="CZ161" s="201"/>
      <c r="DA161" s="201"/>
      <c r="DB161" s="201"/>
      <c r="DC161" s="201"/>
      <c r="DD161" s="201"/>
      <c r="DE161" s="201"/>
      <c r="DF161" s="201"/>
      <c r="DG161" s="201"/>
      <c r="DH161" s="201"/>
      <c r="DI161" s="201"/>
      <c r="DJ161" s="201"/>
      <c r="DK161" s="201"/>
      <c r="DL161" s="201"/>
      <c r="DM161" s="201"/>
      <c r="DN161" s="201"/>
      <c r="DO161" s="201"/>
      <c r="DP161" s="201"/>
      <c r="DQ161" s="201"/>
      <c r="DR161" s="201"/>
      <c r="DS161" s="201"/>
      <c r="DT161" s="201"/>
      <c r="DU161" s="201"/>
      <c r="DV161" s="201"/>
      <c r="DW161" s="201"/>
      <c r="DX161" s="201"/>
      <c r="DY161" s="201"/>
      <c r="DZ161" s="201"/>
      <c r="EA161" s="201"/>
      <c r="EB161" s="201"/>
      <c r="EC161" s="201"/>
      <c r="ED161" s="201"/>
      <c r="EE161" s="201"/>
      <c r="EF161" s="201"/>
      <c r="EG161" s="201"/>
      <c r="EH161" s="201"/>
      <c r="EI161" s="201"/>
      <c r="EJ161" s="201"/>
      <c r="EK161" s="201"/>
      <c r="EL161" s="201"/>
      <c r="EM161" s="201"/>
      <c r="EN161" s="201"/>
      <c r="EO161" s="201"/>
      <c r="EP161" s="201"/>
      <c r="EQ161" s="201"/>
      <c r="ER161" s="9"/>
      <c r="ES161" s="201"/>
      <c r="ET161" s="9"/>
      <c r="EU161" s="9"/>
      <c r="EV161" s="9"/>
      <c r="EW161" s="9"/>
      <c r="EX161" s="9"/>
      <c r="EY161" s="9"/>
      <c r="EZ161" s="201"/>
      <c r="FA161" s="213"/>
      <c r="FB161" s="213"/>
      <c r="FC161" s="213"/>
      <c r="FD161" s="213"/>
      <c r="FE161" s="214"/>
      <c r="FF161" s="201"/>
      <c r="FG161" s="201"/>
      <c r="FH161" s="201"/>
      <c r="FI161" s="215"/>
      <c r="FJ161" s="215"/>
      <c r="FK161" s="201"/>
      <c r="FL161" s="201"/>
      <c r="FM161" s="201"/>
      <c r="FN161" s="201"/>
      <c r="FO161" s="9"/>
      <c r="FP161" s="201"/>
      <c r="FQ161" s="201"/>
      <c r="FR161" s="201"/>
      <c r="FS161" s="9"/>
      <c r="FT161" s="9"/>
      <c r="FU161" s="9"/>
      <c r="FV161" s="9"/>
      <c r="FW161" s="201"/>
      <c r="FX161" s="201"/>
      <c r="FY161" s="201"/>
      <c r="FZ161" s="201"/>
      <c r="GA161" s="201"/>
      <c r="GB161" s="9"/>
      <c r="GC161" s="9"/>
      <c r="GD161" s="9"/>
      <c r="GE161" s="9"/>
      <c r="GF161" s="9"/>
      <c r="GG161" s="9"/>
      <c r="GH161" s="9"/>
      <c r="GI161" s="9"/>
      <c r="GJ161" s="9"/>
      <c r="GK161" s="9"/>
      <c r="GL161" s="9"/>
      <c r="GM161" s="9"/>
      <c r="GN161" s="9"/>
      <c r="GO161" s="9"/>
      <c r="GP161" s="9"/>
      <c r="GQ161" s="9"/>
      <c r="GR161" s="9"/>
      <c r="GS161" s="9"/>
      <c r="GT161" s="9"/>
      <c r="GU161" s="9"/>
      <c r="GV161" s="9"/>
      <c r="GW161" s="9"/>
      <c r="GX161" s="9"/>
      <c r="GY161" s="9"/>
      <c r="GZ161" s="9"/>
    </row>
    <row r="162" ht="13.2" spans="1:208">
      <c r="A162" s="216" t="s">
        <v>414</v>
      </c>
      <c r="B162" s="216"/>
      <c r="C162" s="216"/>
      <c r="D162" s="217">
        <v>39.99</v>
      </c>
      <c r="E162" s="218"/>
      <c r="F162" s="217"/>
      <c r="G162" s="219"/>
      <c r="H162" s="218"/>
      <c r="I162" s="219"/>
      <c r="J162" s="220"/>
      <c r="K162" s="217"/>
      <c r="L162" s="217"/>
      <c r="M162" s="217">
        <f>SUM(M44:M161)</f>
        <v>4109</v>
      </c>
      <c r="N162" s="182">
        <f>Q162/M162</f>
        <v>0.135312728157703</v>
      </c>
      <c r="O162" s="221">
        <f>SUM(O44:O161)</f>
        <v>450</v>
      </c>
      <c r="P162" s="221">
        <f>SUM(P44:P161)</f>
        <v>553</v>
      </c>
      <c r="Q162" s="217">
        <f>SUM(Q44:Q161)</f>
        <v>556</v>
      </c>
      <c r="R162" s="217"/>
      <c r="S162" s="217">
        <f>SUM(S4:S161)</f>
        <v>19</v>
      </c>
      <c r="T162" s="217"/>
      <c r="U162" s="219"/>
      <c r="V162" s="217"/>
      <c r="W162" s="220">
        <f>SUM(W4:W161)</f>
        <v>59996.34</v>
      </c>
      <c r="X162" s="217"/>
      <c r="Y162" s="217"/>
      <c r="Z162" s="217"/>
      <c r="AA162" s="217"/>
      <c r="AB162" s="217"/>
      <c r="AC162" s="217"/>
      <c r="AD162" s="217"/>
      <c r="AE162" s="217"/>
      <c r="AF162" s="217"/>
      <c r="AG162" s="217"/>
      <c r="AH162" s="217"/>
      <c r="AI162" s="217"/>
      <c r="AJ162" s="217"/>
      <c r="AK162" s="217"/>
      <c r="AL162" s="217"/>
      <c r="AM162" s="222"/>
      <c r="AN162" s="217"/>
      <c r="AO162" s="217"/>
      <c r="AP162" s="217"/>
      <c r="AQ162" s="217"/>
      <c r="AR162" s="217"/>
      <c r="AS162" s="222">
        <f>SUM(AS4:AS161)</f>
        <v>489978</v>
      </c>
      <c r="AT162" s="217">
        <f>SUM(AT4:AT92)</f>
        <v>2196</v>
      </c>
      <c r="AU162" s="182">
        <f>AT162/AS162</f>
        <v>0.00448183387825576</v>
      </c>
      <c r="AV162" s="217">
        <f>SUM(AV4:AV92)</f>
        <v>122</v>
      </c>
      <c r="AW162" s="183">
        <f>AT162/BA162</f>
        <v>0.881389673773439</v>
      </c>
      <c r="AX162" s="223">
        <f>BA162/(AV162*D162)</f>
        <v>0.510685048311258</v>
      </c>
      <c r="AY162" s="182">
        <f>AV162/AT162</f>
        <v>0.0555555555555556</v>
      </c>
      <c r="AZ162" s="182">
        <f>AV162/P162</f>
        <v>0.220614828209765</v>
      </c>
      <c r="BA162" s="224">
        <f>SUM(BA4:BA92)</f>
        <v>2491.52</v>
      </c>
      <c r="BB162" s="182">
        <f>BA162/W162</f>
        <v>0.0415278665331919</v>
      </c>
      <c r="BC162" s="225">
        <f>BA162/AV162</f>
        <v>20.4222950819672</v>
      </c>
      <c r="BD162" s="225">
        <f>SUM(BD4:BD92)</f>
        <v>7977.46</v>
      </c>
      <c r="BE162" s="223"/>
      <c r="BF162" s="226">
        <f>SUM(BF3:BF161)</f>
        <v>1075.23652197802</v>
      </c>
      <c r="BG162" s="226"/>
      <c r="BH162" s="226">
        <f>SUM(BH4:BH92)</f>
        <v>18752.76</v>
      </c>
      <c r="BI162" s="182">
        <f>BH162/W162</f>
        <v>0.312565066469055</v>
      </c>
      <c r="BJ162" s="221"/>
      <c r="BK162" s="221">
        <f>SUM(BK44:BK92)</f>
        <v>0</v>
      </c>
      <c r="BL162" s="221"/>
      <c r="BM162" s="220">
        <f>SUM(BM44:BM92)</f>
        <v>0</v>
      </c>
      <c r="BN162" s="217">
        <f>SUM(BN44:BN92)</f>
        <v>0</v>
      </c>
      <c r="BO162" s="217"/>
      <c r="BP162" s="223"/>
      <c r="BQ162" s="227">
        <f>AV162/Q162</f>
        <v>0.219424460431655</v>
      </c>
      <c r="BR162" s="227"/>
      <c r="BS162" s="227"/>
      <c r="BT162" s="228"/>
      <c r="BU162" s="228"/>
      <c r="BV162" s="228">
        <f>M162-AT162</f>
        <v>1913</v>
      </c>
      <c r="BW162" s="185">
        <f>O162/BV162</f>
        <v>0.235232618923157</v>
      </c>
      <c r="BX162" s="223"/>
      <c r="BY162" s="223"/>
      <c r="BZ162" s="223"/>
      <c r="CA162" s="223"/>
      <c r="CB162" s="217"/>
      <c r="CC162" s="229"/>
      <c r="CD162" s="230"/>
      <c r="CE162" s="231"/>
      <c r="CF162" s="231"/>
      <c r="CG162" s="231"/>
      <c r="CH162" s="231"/>
      <c r="CI162" s="231"/>
      <c r="CJ162" s="231"/>
      <c r="CK162" s="231"/>
      <c r="CL162" s="231"/>
      <c r="CM162" s="231"/>
      <c r="CN162" s="231"/>
      <c r="CO162" s="231"/>
      <c r="CP162" s="231"/>
      <c r="CQ162" s="231"/>
      <c r="CR162" s="231"/>
      <c r="CS162" s="231"/>
      <c r="CT162" s="231"/>
      <c r="CU162" s="231"/>
      <c r="CV162" s="231"/>
      <c r="CW162" s="231"/>
      <c r="CX162" s="231"/>
      <c r="CY162" s="231"/>
      <c r="CZ162" s="231"/>
      <c r="DA162" s="231"/>
      <c r="DB162" s="231"/>
      <c r="DC162" s="231"/>
      <c r="DD162" s="231"/>
      <c r="DE162" s="231"/>
      <c r="DF162" s="231"/>
      <c r="DG162" s="231"/>
      <c r="DH162" s="231"/>
      <c r="DI162" s="231"/>
      <c r="DJ162" s="231"/>
      <c r="DK162" s="231"/>
      <c r="DL162" s="231"/>
      <c r="DM162" s="231"/>
      <c r="DN162" s="231"/>
      <c r="DO162" s="231"/>
      <c r="DP162" s="231"/>
      <c r="DQ162" s="231"/>
      <c r="DR162" s="231"/>
      <c r="DS162" s="231"/>
      <c r="DT162" s="231"/>
      <c r="DU162" s="231"/>
      <c r="DV162" s="231"/>
      <c r="DW162" s="231"/>
      <c r="DX162" s="231"/>
      <c r="DY162" s="231"/>
      <c r="DZ162" s="231"/>
      <c r="EA162" s="231"/>
      <c r="EB162" s="231"/>
      <c r="EC162" s="231"/>
      <c r="ED162" s="231"/>
      <c r="EE162" s="231"/>
      <c r="EF162" s="231"/>
      <c r="EG162" s="231"/>
      <c r="EH162" s="231"/>
      <c r="EI162" s="231"/>
      <c r="EJ162" s="231"/>
      <c r="EK162" s="231"/>
      <c r="EL162" s="231"/>
      <c r="EM162" s="231"/>
      <c r="EN162" s="231"/>
      <c r="EO162" s="231"/>
      <c r="EP162" s="231"/>
      <c r="EQ162" s="231"/>
      <c r="ER162" s="231"/>
      <c r="ES162" s="231"/>
      <c r="ET162" s="231"/>
      <c r="EU162" s="231"/>
      <c r="EV162" s="231"/>
      <c r="EW162" s="231"/>
      <c r="EX162" s="231"/>
      <c r="EY162" s="231"/>
      <c r="EZ162" s="231"/>
      <c r="FA162" s="230"/>
      <c r="FB162" s="230"/>
      <c r="FC162" s="230"/>
      <c r="FD162" s="230"/>
      <c r="FE162" s="232"/>
      <c r="FF162" s="231"/>
      <c r="FG162" s="231"/>
      <c r="FH162" s="231"/>
      <c r="FI162" s="233"/>
      <c r="FJ162" s="233"/>
      <c r="FK162" s="231"/>
      <c r="FL162" s="231"/>
      <c r="FM162" s="231"/>
      <c r="FN162" s="231">
        <f>SUM(FN3:FN161)</f>
        <v>2491.52</v>
      </c>
      <c r="FO162" s="231"/>
      <c r="FP162" s="231">
        <f>SUM(FP3:FP161)</f>
        <v>1075.23652197802</v>
      </c>
      <c r="FQ162" s="231">
        <f>SUM(FQ3:FQ161)</f>
        <v>18752.76</v>
      </c>
      <c r="FR162" s="231">
        <f>SUM(FR3:FR161)</f>
        <v>1930.8</v>
      </c>
      <c r="FS162" s="231"/>
      <c r="FT162" s="231"/>
      <c r="FU162" s="231"/>
      <c r="FV162" s="231"/>
      <c r="FW162" s="231"/>
      <c r="FX162" s="231"/>
      <c r="FY162" s="231"/>
      <c r="FZ162" s="231"/>
      <c r="GA162" s="231"/>
      <c r="GB162" s="231"/>
      <c r="GC162" s="231"/>
      <c r="GD162" s="231"/>
      <c r="GE162" s="231"/>
      <c r="GF162" s="231"/>
      <c r="GG162" s="231"/>
      <c r="GH162" s="231"/>
      <c r="GI162" s="231"/>
      <c r="GJ162" s="231"/>
      <c r="GK162" s="231"/>
      <c r="GL162" s="231"/>
      <c r="GM162" s="231"/>
      <c r="GN162" s="231"/>
      <c r="GO162" s="231"/>
      <c r="GP162" s="231"/>
      <c r="GQ162" s="231"/>
      <c r="GR162" s="231"/>
      <c r="GS162" s="231"/>
      <c r="GT162" s="231"/>
      <c r="GU162" s="231"/>
      <c r="GV162" s="231"/>
      <c r="GW162" s="231"/>
      <c r="GX162" s="231"/>
      <c r="GY162" s="231"/>
      <c r="GZ162" s="231"/>
    </row>
    <row r="163" ht="18.55" customHeight="1" spans="1:208">
      <c r="A163" s="234"/>
      <c r="B163" s="15"/>
      <c r="C163" s="18"/>
      <c r="D163" s="15"/>
      <c r="E163" s="207"/>
      <c r="F163" s="15"/>
      <c r="G163" s="73"/>
      <c r="H163" s="207"/>
      <c r="I163" s="73"/>
      <c r="J163" s="209"/>
      <c r="K163" s="15"/>
      <c r="L163" s="15"/>
      <c r="M163" s="15"/>
      <c r="N163" s="73"/>
      <c r="O163" s="208"/>
      <c r="P163" s="208"/>
      <c r="Q163" s="15"/>
      <c r="R163" s="15"/>
      <c r="S163" s="15"/>
      <c r="T163" s="15"/>
      <c r="U163" s="73"/>
      <c r="V163" s="15"/>
      <c r="W163" s="209"/>
      <c r="X163" s="15"/>
      <c r="Y163" s="15"/>
      <c r="Z163" s="15"/>
      <c r="AA163" s="15"/>
      <c r="AB163" s="15"/>
      <c r="AC163" s="15"/>
      <c r="AD163" s="15"/>
      <c r="AE163" s="15"/>
      <c r="AF163" s="15"/>
      <c r="AG163" s="15"/>
      <c r="AH163" s="15"/>
      <c r="AI163" s="15"/>
      <c r="AJ163" s="15"/>
      <c r="AK163" s="15"/>
      <c r="AL163" s="15"/>
      <c r="AM163" s="235"/>
      <c r="AN163" s="15"/>
      <c r="AO163" s="78"/>
      <c r="AP163" s="78"/>
      <c r="AQ163" s="78"/>
      <c r="AR163" s="78"/>
      <c r="AS163" s="236"/>
      <c r="AT163" s="15"/>
      <c r="AU163" s="210"/>
      <c r="AV163" s="15"/>
      <c r="AW163" s="237"/>
      <c r="AX163" s="238"/>
      <c r="AY163" s="73"/>
      <c r="AZ163" s="210"/>
      <c r="BA163" s="237"/>
      <c r="BB163" s="73"/>
      <c r="BC163" s="208"/>
      <c r="BD163" s="208"/>
      <c r="BE163" s="210"/>
      <c r="BF163" s="239"/>
      <c r="BG163" s="239"/>
      <c r="BH163" s="240"/>
      <c r="BI163" s="210"/>
      <c r="BJ163" s="208"/>
      <c r="BK163" s="208"/>
      <c r="BL163" s="208"/>
      <c r="BM163" s="209"/>
      <c r="BN163" s="15"/>
      <c r="BO163" s="15"/>
      <c r="BP163" s="210"/>
      <c r="BQ163" s="241"/>
      <c r="BR163" s="241"/>
      <c r="BS163" s="241"/>
      <c r="BT163" s="7"/>
      <c r="BU163" s="9"/>
      <c r="BW163" s="242"/>
      <c r="BX163" s="241"/>
      <c r="BY163" s="241"/>
      <c r="BZ163" s="8"/>
      <c r="CA163" s="241"/>
      <c r="CC163" s="8"/>
      <c r="CD163" s="198"/>
      <c r="CE163" s="197"/>
      <c r="CF163" s="197"/>
      <c r="CG163" s="197"/>
      <c r="CH163" s="197"/>
      <c r="CI163" s="197"/>
      <c r="CJ163" s="197"/>
      <c r="CK163" s="197"/>
      <c r="CL163" s="197"/>
      <c r="CM163" s="197"/>
      <c r="CN163" s="197"/>
      <c r="CO163" s="197"/>
      <c r="CP163" s="197"/>
      <c r="CQ163" s="197"/>
      <c r="CR163" s="197"/>
      <c r="CS163" s="197"/>
      <c r="CT163" s="197"/>
      <c r="CU163" s="197"/>
      <c r="CV163" s="197"/>
      <c r="CW163" s="197"/>
      <c r="CX163" s="197"/>
      <c r="CY163" s="197"/>
      <c r="CZ163" s="197"/>
      <c r="DA163" s="197"/>
      <c r="DB163" s="197"/>
      <c r="DC163" s="197"/>
      <c r="DD163" s="197"/>
      <c r="DE163" s="197"/>
      <c r="DF163" s="197"/>
      <c r="DG163" s="197"/>
      <c r="DH163" s="197"/>
      <c r="DI163" s="197"/>
      <c r="DJ163" s="197"/>
      <c r="DK163" s="197"/>
      <c r="DL163" s="197"/>
      <c r="DM163" s="197"/>
      <c r="DN163" s="197"/>
      <c r="DO163" s="197"/>
      <c r="DP163" s="197"/>
      <c r="DQ163" s="197"/>
      <c r="DR163" s="197"/>
      <c r="DS163" s="197"/>
      <c r="DT163" s="197"/>
      <c r="DU163" s="197"/>
      <c r="DV163" s="197"/>
      <c r="DW163" s="197"/>
      <c r="DX163" s="197"/>
      <c r="DY163" s="197"/>
      <c r="DZ163" s="197"/>
      <c r="EA163" s="197"/>
      <c r="EB163" s="197"/>
      <c r="EC163" s="197"/>
      <c r="ED163" s="197"/>
      <c r="EE163" s="197"/>
      <c r="EF163" s="197"/>
      <c r="EG163" s="197"/>
      <c r="EH163" s="197"/>
      <c r="EI163" s="197"/>
      <c r="EJ163" s="197"/>
      <c r="EK163" s="197"/>
      <c r="EL163" s="197"/>
      <c r="EM163" s="197"/>
      <c r="EN163" s="197"/>
      <c r="EO163" s="197"/>
      <c r="EP163" s="197"/>
      <c r="EQ163" s="197"/>
      <c r="ER163" s="197"/>
      <c r="ES163" s="197"/>
      <c r="ET163" s="197"/>
      <c r="EU163" s="197"/>
      <c r="EV163" s="197"/>
      <c r="EW163" s="197"/>
      <c r="EX163" s="197"/>
      <c r="EY163" s="197"/>
      <c r="EZ163" s="197"/>
      <c r="FA163" s="198"/>
      <c r="FB163" s="198"/>
      <c r="FC163" s="198"/>
      <c r="FD163" s="198"/>
      <c r="FE163" s="211"/>
      <c r="FF163" s="197"/>
      <c r="FG163" s="197"/>
      <c r="FH163" s="197"/>
      <c r="FI163" s="212"/>
      <c r="FJ163" s="212"/>
      <c r="FK163" s="197"/>
      <c r="FL163" s="197"/>
      <c r="FM163" s="197"/>
      <c r="FN163" s="197"/>
      <c r="FO163" s="197"/>
      <c r="FP163" s="197"/>
      <c r="FQ163" s="197"/>
      <c r="FR163" s="197"/>
      <c r="FS163" s="197"/>
      <c r="FT163" s="197"/>
      <c r="FU163" s="197"/>
      <c r="FV163" s="197"/>
      <c r="FW163" s="197"/>
      <c r="FX163" s="197"/>
      <c r="FY163" s="197"/>
      <c r="FZ163" s="197"/>
      <c r="GA163" s="197"/>
      <c r="GB163" s="197"/>
      <c r="GC163" s="197"/>
      <c r="GD163" s="197"/>
      <c r="GE163" s="197"/>
      <c r="GF163" s="197"/>
      <c r="GG163" s="197"/>
      <c r="GH163" s="197"/>
      <c r="GI163" s="197"/>
      <c r="GJ163" s="197"/>
      <c r="GK163" s="197"/>
      <c r="GL163" s="197"/>
      <c r="GM163" s="197"/>
      <c r="GN163" s="197"/>
      <c r="GO163" s="197"/>
      <c r="GP163" s="197"/>
      <c r="GQ163" s="197"/>
      <c r="GR163" s="197"/>
      <c r="GS163" s="197"/>
      <c r="GT163" s="197"/>
      <c r="GU163" s="197"/>
      <c r="GV163" s="197"/>
      <c r="GW163" s="197"/>
      <c r="GX163" s="197"/>
      <c r="GY163" s="197"/>
      <c r="GZ163" s="197"/>
    </row>
    <row r="164" ht="18.55" customHeight="1" spans="1:208">
      <c r="A164" s="234"/>
      <c r="B164" s="15"/>
      <c r="C164" s="18"/>
      <c r="D164" s="15"/>
      <c r="E164" s="207"/>
      <c r="F164" s="15"/>
      <c r="G164" s="73"/>
      <c r="H164" s="207"/>
      <c r="I164" s="73"/>
      <c r="J164" s="209"/>
      <c r="K164" s="15"/>
      <c r="L164" s="15"/>
      <c r="M164" s="15"/>
      <c r="N164" s="73"/>
      <c r="O164" s="208"/>
      <c r="P164" s="208"/>
      <c r="Q164" s="15"/>
      <c r="R164" s="15"/>
      <c r="S164" s="15"/>
      <c r="T164" s="15"/>
      <c r="U164" s="73"/>
      <c r="V164" s="15"/>
      <c r="W164" s="209"/>
      <c r="X164" s="15"/>
      <c r="Y164" s="15"/>
      <c r="Z164" s="15"/>
      <c r="AA164" s="15"/>
      <c r="AB164" s="15"/>
      <c r="AC164" s="15"/>
      <c r="AD164" s="15"/>
      <c r="AE164" s="15"/>
      <c r="AF164" s="15"/>
      <c r="AG164" s="15"/>
      <c r="AH164" s="15"/>
      <c r="AI164" s="15"/>
      <c r="AJ164" s="15"/>
      <c r="AK164" s="15"/>
      <c r="AL164" s="15"/>
      <c r="AM164" s="235"/>
      <c r="AN164" s="15"/>
      <c r="AO164" s="78"/>
      <c r="AP164" s="78"/>
      <c r="AQ164" s="78"/>
      <c r="AR164" s="78"/>
      <c r="AS164" s="236"/>
      <c r="AT164" s="15"/>
      <c r="AU164" s="210"/>
      <c r="AV164" s="15"/>
      <c r="AW164" s="237"/>
      <c r="AX164" s="238"/>
      <c r="AY164" s="73"/>
      <c r="AZ164" s="210"/>
      <c r="BA164" s="237"/>
      <c r="BB164" s="73"/>
      <c r="BC164" s="208"/>
      <c r="BD164" s="208"/>
      <c r="BE164" s="210"/>
      <c r="BF164" s="239"/>
      <c r="BG164" s="239"/>
      <c r="BH164" s="240"/>
      <c r="BI164" s="210"/>
      <c r="BJ164" s="208"/>
      <c r="BK164" s="208"/>
      <c r="BL164" s="208"/>
      <c r="BM164" s="209"/>
      <c r="BN164" s="15"/>
      <c r="BO164" s="15"/>
      <c r="BP164" s="210"/>
      <c r="BQ164" s="241"/>
      <c r="BR164" s="241"/>
      <c r="BS164" s="241"/>
      <c r="BT164" s="7"/>
      <c r="BU164" s="9"/>
      <c r="BW164" s="242"/>
      <c r="BX164" s="241"/>
      <c r="BY164" s="241"/>
      <c r="BZ164" s="8"/>
      <c r="CA164" s="241"/>
      <c r="CC164" s="8"/>
      <c r="CD164" s="198"/>
      <c r="CE164" s="197"/>
      <c r="CF164" s="197"/>
      <c r="CG164" s="197"/>
      <c r="CH164" s="197"/>
      <c r="CI164" s="197"/>
      <c r="CJ164" s="197"/>
      <c r="CK164" s="197"/>
      <c r="CL164" s="197"/>
      <c r="CM164" s="197"/>
      <c r="CN164" s="197"/>
      <c r="CO164" s="197"/>
      <c r="CP164" s="197"/>
      <c r="CQ164" s="197"/>
      <c r="CR164" s="197"/>
      <c r="CS164" s="197"/>
      <c r="CT164" s="197"/>
      <c r="CU164" s="197"/>
      <c r="CV164" s="197"/>
      <c r="CW164" s="197"/>
      <c r="CX164" s="197"/>
      <c r="CY164" s="197"/>
      <c r="CZ164" s="197"/>
      <c r="DA164" s="197"/>
      <c r="DB164" s="197"/>
      <c r="DC164" s="197"/>
      <c r="DD164" s="197"/>
      <c r="DE164" s="197"/>
      <c r="DF164" s="197"/>
      <c r="DG164" s="197"/>
      <c r="DH164" s="197"/>
      <c r="DI164" s="197"/>
      <c r="DJ164" s="197"/>
      <c r="DK164" s="197"/>
      <c r="DL164" s="197"/>
      <c r="DM164" s="197"/>
      <c r="DN164" s="197"/>
      <c r="DO164" s="197"/>
      <c r="DP164" s="197"/>
      <c r="DQ164" s="197"/>
      <c r="DR164" s="197"/>
      <c r="DS164" s="197"/>
      <c r="DT164" s="197"/>
      <c r="DU164" s="197"/>
      <c r="DV164" s="197"/>
      <c r="DW164" s="197"/>
      <c r="DX164" s="197"/>
      <c r="DY164" s="197"/>
      <c r="DZ164" s="197"/>
      <c r="EA164" s="197"/>
      <c r="EB164" s="197"/>
      <c r="EC164" s="197"/>
      <c r="ED164" s="197"/>
      <c r="EE164" s="197"/>
      <c r="EF164" s="197"/>
      <c r="EG164" s="197"/>
      <c r="EH164" s="197"/>
      <c r="EI164" s="197"/>
      <c r="EJ164" s="197"/>
      <c r="EK164" s="197"/>
      <c r="EL164" s="197"/>
      <c r="EM164" s="197"/>
      <c r="EN164" s="197"/>
      <c r="EO164" s="197"/>
      <c r="EP164" s="197"/>
      <c r="EQ164" s="197"/>
      <c r="ER164" s="197"/>
      <c r="ES164" s="197"/>
      <c r="ET164" s="197"/>
      <c r="EU164" s="197"/>
      <c r="EV164" s="197"/>
      <c r="EW164" s="197"/>
      <c r="EX164" s="197"/>
      <c r="EY164" s="197"/>
      <c r="EZ164" s="197"/>
      <c r="FA164" s="198"/>
      <c r="FB164" s="198"/>
      <c r="FC164" s="198"/>
      <c r="FD164" s="198"/>
      <c r="FE164" s="211"/>
      <c r="FF164" s="197"/>
      <c r="FG164" s="197"/>
      <c r="FH164" s="197"/>
      <c r="FI164" s="212"/>
      <c r="FJ164" s="212"/>
      <c r="FK164" s="197"/>
      <c r="FL164" s="197"/>
      <c r="FM164" s="197"/>
      <c r="FN164" s="197"/>
      <c r="FO164" s="197"/>
      <c r="FP164" s="197"/>
      <c r="FQ164" s="197"/>
      <c r="FR164" s="197"/>
      <c r="FS164" s="197"/>
      <c r="FT164" s="197"/>
      <c r="FU164" s="197"/>
      <c r="FV164" s="197"/>
      <c r="FW164" s="197"/>
      <c r="FX164" s="197"/>
      <c r="FY164" s="197"/>
      <c r="FZ164" s="197"/>
      <c r="GA164" s="197"/>
      <c r="GB164" s="197"/>
      <c r="GC164" s="197"/>
      <c r="GD164" s="197"/>
      <c r="GE164" s="197"/>
      <c r="GF164" s="197"/>
      <c r="GG164" s="197"/>
      <c r="GH164" s="197"/>
      <c r="GI164" s="197"/>
      <c r="GJ164" s="197"/>
      <c r="GK164" s="197"/>
      <c r="GL164" s="197"/>
      <c r="GM164" s="197"/>
      <c r="GN164" s="197"/>
      <c r="GO164" s="197"/>
      <c r="GP164" s="197"/>
      <c r="GQ164" s="197"/>
      <c r="GR164" s="197"/>
      <c r="GS164" s="197"/>
      <c r="GT164" s="197"/>
      <c r="GU164" s="197"/>
      <c r="GV164" s="197"/>
      <c r="GW164" s="197"/>
      <c r="GX164" s="197"/>
      <c r="GY164" s="197"/>
      <c r="GZ164" s="197"/>
    </row>
    <row r="165" spans="1:208">
      <c r="E165" s="243"/>
      <c r="F165" s="9"/>
      <c r="H165" s="243"/>
      <c r="Y165" s="9"/>
      <c r="AA165" s="9"/>
      <c r="AC165" s="9"/>
      <c r="AE165" s="9"/>
      <c r="AF165" s="9"/>
      <c r="AG165" s="9"/>
      <c r="AH165" s="9"/>
      <c r="AI165" s="9"/>
      <c r="AJ165" s="9"/>
      <c r="AK165" s="9"/>
      <c r="AO165" s="9"/>
      <c r="AQ165" s="9"/>
      <c r="AR165" s="9"/>
      <c r="BC165" s="9"/>
      <c r="BQ165" s="241"/>
      <c r="BR165" s="241"/>
      <c r="BS165" s="241"/>
      <c r="BT165" s="7"/>
      <c r="BU165" s="9"/>
      <c r="BX165" s="241"/>
      <c r="BY165" s="241"/>
      <c r="BZ165" s="8"/>
      <c r="CA165" s="241"/>
      <c r="CD165" s="241"/>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9"/>
      <c r="ES165" s="9"/>
      <c r="ET165" s="9"/>
      <c r="EU165" s="9"/>
      <c r="EV165" s="9"/>
      <c r="EW165" s="9"/>
      <c r="EX165" s="9"/>
      <c r="EY165" s="9"/>
      <c r="EZ165" s="9"/>
      <c r="FA165" s="241"/>
      <c r="FB165" s="241"/>
      <c r="FC165" s="241"/>
      <c r="FD165" s="241"/>
      <c r="FE165" s="244"/>
      <c r="FF165" s="9"/>
      <c r="FG165" s="9"/>
      <c r="FH165" s="9"/>
      <c r="FI165" s="242"/>
      <c r="FJ165" s="242"/>
      <c r="FK165" s="9"/>
      <c r="FL165" s="9"/>
      <c r="FM165" s="9"/>
      <c r="FN165" s="9"/>
      <c r="FO165" s="9"/>
      <c r="FP165" s="9"/>
      <c r="FQ165" s="9"/>
      <c r="FR165" s="9"/>
      <c r="FS165" s="9"/>
      <c r="FT165" s="9"/>
      <c r="FU165" s="9"/>
      <c r="FV165" s="9"/>
      <c r="FW165" s="9"/>
      <c r="FX165" s="9"/>
      <c r="FY165" s="9"/>
      <c r="FZ165" s="9"/>
      <c r="GA165" s="9"/>
      <c r="GB165" s="9"/>
      <c r="GC165" s="9"/>
      <c r="GD165" s="9"/>
      <c r="GE165" s="9"/>
      <c r="GF165" s="9"/>
      <c r="GG165" s="9"/>
      <c r="GH165" s="9"/>
      <c r="GI165" s="9"/>
      <c r="GJ165" s="9"/>
      <c r="GK165" s="9"/>
      <c r="GL165" s="9"/>
      <c r="GM165" s="9"/>
      <c r="GN165" s="9"/>
      <c r="GO165" s="9"/>
      <c r="GP165" s="9"/>
      <c r="GQ165" s="9"/>
      <c r="GR165" s="9"/>
      <c r="GS165" s="9"/>
      <c r="GT165" s="9"/>
      <c r="GU165" s="9"/>
      <c r="GV165" s="9"/>
      <c r="GW165" s="9"/>
      <c r="GX165" s="9"/>
      <c r="GY165" s="9"/>
      <c r="GZ165" s="9"/>
    </row>
    <row r="166" spans="1:208">
      <c r="E166" s="243"/>
      <c r="F166" s="9"/>
      <c r="H166" s="243"/>
      <c r="Y166" s="9"/>
      <c r="AA166" s="9"/>
      <c r="AC166" s="9"/>
      <c r="AE166" s="9"/>
      <c r="AF166" s="9"/>
      <c r="AG166" s="9"/>
      <c r="AH166" s="9"/>
      <c r="AI166" s="9"/>
      <c r="AJ166" s="9"/>
      <c r="AK166" s="9"/>
      <c r="AO166" s="9"/>
      <c r="AQ166" s="9"/>
      <c r="AR166" s="9"/>
      <c r="BC166" s="9"/>
      <c r="BQ166" s="241"/>
      <c r="BR166" s="241"/>
      <c r="BS166" s="241"/>
      <c r="BT166" s="7"/>
      <c r="BU166" s="9"/>
      <c r="BX166" s="241"/>
      <c r="BY166" s="241"/>
      <c r="BZ166" s="8"/>
      <c r="CA166" s="241"/>
      <c r="CD166" s="241"/>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9"/>
      <c r="ES166" s="9"/>
      <c r="ET166" s="9"/>
      <c r="EU166" s="9"/>
      <c r="EV166" s="9"/>
      <c r="EW166" s="9"/>
      <c r="EX166" s="9"/>
      <c r="EY166" s="9"/>
      <c r="EZ166" s="9"/>
      <c r="FA166" s="241"/>
      <c r="FB166" s="241"/>
      <c r="FC166" s="241"/>
      <c r="FD166" s="241"/>
      <c r="FE166" s="244"/>
      <c r="FF166" s="9"/>
      <c r="FG166" s="9"/>
      <c r="FH166" s="9"/>
      <c r="FI166" s="242"/>
      <c r="FJ166" s="242"/>
      <c r="FK166" s="9"/>
      <c r="FL166" s="9"/>
      <c r="FM166" s="9"/>
      <c r="FN166" s="9"/>
      <c r="FO166" s="9"/>
      <c r="FP166" s="9"/>
      <c r="FQ166" s="9"/>
      <c r="FR166" s="9"/>
      <c r="FS166" s="9"/>
      <c r="FT166" s="9"/>
      <c r="FU166" s="9"/>
      <c r="FV166" s="9"/>
      <c r="FW166" s="9"/>
      <c r="FX166" s="9"/>
      <c r="FY166" s="9"/>
      <c r="FZ166" s="9"/>
      <c r="GA166" s="9"/>
      <c r="GB166" s="9"/>
      <c r="GC166" s="9"/>
      <c r="GD166" s="9"/>
      <c r="GE166" s="9"/>
      <c r="GF166" s="9"/>
      <c r="GG166" s="9"/>
      <c r="GH166" s="9"/>
      <c r="GI166" s="9"/>
      <c r="GJ166" s="9"/>
      <c r="GK166" s="9"/>
      <c r="GL166" s="9"/>
      <c r="GM166" s="9"/>
      <c r="GN166" s="9"/>
      <c r="GO166" s="9"/>
      <c r="GP166" s="9"/>
      <c r="GQ166" s="9"/>
      <c r="GR166" s="9"/>
      <c r="GS166" s="9"/>
      <c r="GT166" s="9"/>
      <c r="GU166" s="9"/>
      <c r="GV166" s="9"/>
      <c r="GW166" s="9"/>
      <c r="GX166" s="9"/>
      <c r="GY166" s="9"/>
      <c r="GZ166" s="9"/>
    </row>
    <row r="167" spans="1:208">
      <c r="E167" s="243"/>
      <c r="F167" s="9"/>
      <c r="H167" s="243"/>
      <c r="Y167" s="9"/>
      <c r="AA167" s="9"/>
      <c r="AC167" s="9"/>
      <c r="AE167" s="9"/>
      <c r="AF167" s="9"/>
      <c r="AG167" s="9"/>
      <c r="AH167" s="9"/>
      <c r="AI167" s="9"/>
      <c r="AJ167" s="9"/>
      <c r="AK167" s="9"/>
      <c r="AO167" s="9"/>
      <c r="AQ167" s="9"/>
      <c r="AR167" s="9"/>
      <c r="BC167" s="9"/>
      <c r="BQ167" s="241"/>
      <c r="BR167" s="241"/>
      <c r="BS167" s="241"/>
      <c r="BT167" s="7"/>
      <c r="BU167" s="9"/>
      <c r="BX167" s="241"/>
      <c r="BY167" s="241"/>
      <c r="BZ167" s="8"/>
      <c r="CA167" s="241"/>
      <c r="CD167" s="241"/>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9"/>
      <c r="ES167" s="9"/>
      <c r="ET167" s="9"/>
      <c r="EU167" s="9"/>
      <c r="EV167" s="9"/>
      <c r="EW167" s="9"/>
      <c r="EX167" s="9"/>
      <c r="EY167" s="9"/>
      <c r="EZ167" s="9"/>
      <c r="FA167" s="241"/>
      <c r="FB167" s="241"/>
      <c r="FC167" s="241"/>
      <c r="FD167" s="241"/>
      <c r="FE167" s="244"/>
      <c r="FF167" s="9"/>
      <c r="FG167" s="9"/>
      <c r="FH167" s="9"/>
      <c r="FI167" s="242"/>
      <c r="FJ167" s="242"/>
      <c r="FK167" s="9"/>
      <c r="FL167" s="9"/>
      <c r="FM167" s="9"/>
      <c r="FN167" s="9"/>
      <c r="FO167" s="9"/>
      <c r="FP167" s="9"/>
      <c r="FQ167" s="9"/>
      <c r="FR167" s="9"/>
      <c r="FS167" s="9"/>
      <c r="FT167" s="9"/>
      <c r="FU167" s="9"/>
      <c r="FV167" s="9"/>
      <c r="FW167" s="9"/>
      <c r="FX167" s="9"/>
      <c r="FY167" s="9"/>
      <c r="FZ167" s="9"/>
      <c r="GA167" s="9"/>
      <c r="GB167" s="9"/>
      <c r="GC167" s="9"/>
      <c r="GD167" s="9"/>
      <c r="GE167" s="9"/>
      <c r="GF167" s="9"/>
      <c r="GG167" s="9"/>
      <c r="GH167" s="9"/>
      <c r="GI167" s="9"/>
      <c r="GJ167" s="9"/>
      <c r="GK167" s="9"/>
      <c r="GL167" s="9"/>
      <c r="GM167" s="9"/>
      <c r="GN167" s="9"/>
      <c r="GO167" s="9"/>
      <c r="GP167" s="9"/>
      <c r="GQ167" s="9"/>
      <c r="GR167" s="9"/>
      <c r="GS167" s="9"/>
      <c r="GT167" s="9"/>
      <c r="GU167" s="9"/>
      <c r="GV167" s="9"/>
      <c r="GW167" s="9"/>
      <c r="GX167" s="9"/>
      <c r="GY167" s="9"/>
      <c r="GZ167" s="9"/>
    </row>
    <row r="168" spans="1:208">
      <c r="E168" s="243"/>
      <c r="F168" s="9"/>
      <c r="H168" s="243"/>
      <c r="Y168" s="9"/>
      <c r="AA168" s="9"/>
      <c r="AC168" s="9"/>
      <c r="AE168" s="9"/>
      <c r="AF168" s="9"/>
      <c r="AG168" s="9"/>
      <c r="AH168" s="9"/>
      <c r="AI168" s="9"/>
      <c r="AJ168" s="9"/>
      <c r="AK168" s="9"/>
      <c r="AO168" s="9"/>
      <c r="AQ168" s="9"/>
      <c r="AR168" s="9"/>
      <c r="BC168" s="9"/>
      <c r="BQ168" s="241"/>
      <c r="BR168" s="241"/>
      <c r="BS168" s="241"/>
      <c r="BT168" s="7"/>
      <c r="BU168" s="9"/>
      <c r="BX168" s="241"/>
      <c r="BY168" s="241"/>
      <c r="BZ168" s="8"/>
      <c r="CA168" s="241"/>
      <c r="CD168" s="241"/>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241"/>
      <c r="FB168" s="241"/>
      <c r="FC168" s="241"/>
      <c r="FD168" s="241"/>
      <c r="FE168" s="244"/>
      <c r="FF168" s="9"/>
      <c r="FG168" s="9"/>
      <c r="FH168" s="9"/>
      <c r="FI168" s="242"/>
      <c r="FJ168" s="242"/>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row>
    <row r="169" spans="1:208">
      <c r="E169" s="243"/>
      <c r="F169" s="9"/>
      <c r="H169" s="243"/>
      <c r="Y169" s="9"/>
      <c r="AA169" s="9"/>
      <c r="AC169" s="9"/>
      <c r="AE169" s="9"/>
      <c r="AF169" s="9"/>
      <c r="AG169" s="9"/>
      <c r="AH169" s="9"/>
      <c r="AI169" s="9"/>
      <c r="AJ169" s="9"/>
      <c r="AK169" s="9"/>
      <c r="AO169" s="9"/>
      <c r="AQ169" s="9"/>
      <c r="AR169" s="9"/>
      <c r="BC169" s="9"/>
      <c r="BQ169" s="241"/>
      <c r="BR169" s="241"/>
      <c r="BS169" s="241"/>
      <c r="BT169" s="7"/>
      <c r="BU169" s="9"/>
      <c r="BX169" s="241"/>
      <c r="BY169" s="241"/>
      <c r="BZ169" s="8"/>
      <c r="CA169" s="241"/>
      <c r="CD169" s="241"/>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c r="EG169" s="9"/>
      <c r="EH169" s="9"/>
      <c r="EI169" s="9"/>
      <c r="EJ169" s="9"/>
      <c r="EK169" s="9"/>
      <c r="EL169" s="9"/>
      <c r="EM169" s="9"/>
      <c r="EN169" s="9"/>
      <c r="EO169" s="9"/>
      <c r="EP169" s="9"/>
      <c r="EQ169" s="9"/>
      <c r="ER169" s="9"/>
      <c r="ES169" s="9"/>
      <c r="ET169" s="9"/>
      <c r="EU169" s="9"/>
      <c r="EV169" s="9"/>
      <c r="EW169" s="9"/>
      <c r="EX169" s="9"/>
      <c r="EY169" s="9"/>
      <c r="EZ169" s="9"/>
      <c r="FA169" s="241"/>
      <c r="FB169" s="241"/>
      <c r="FC169" s="241"/>
      <c r="FD169" s="241"/>
      <c r="FE169" s="244"/>
      <c r="FF169" s="9"/>
      <c r="FG169" s="9"/>
      <c r="FH169" s="9"/>
      <c r="FI169" s="242"/>
      <c r="FJ169" s="242"/>
      <c r="FK169" s="9"/>
      <c r="FL169" s="9"/>
      <c r="FM169" s="9"/>
      <c r="FN169" s="9"/>
      <c r="FO169" s="9"/>
      <c r="FP169" s="9"/>
      <c r="FQ169" s="9"/>
      <c r="FR169" s="9"/>
      <c r="FS169" s="9"/>
      <c r="FT169" s="9"/>
      <c r="FU169" s="9"/>
      <c r="FV169" s="9"/>
      <c r="FW169" s="9"/>
      <c r="FX169" s="9"/>
      <c r="FY169" s="9"/>
      <c r="FZ169" s="9"/>
      <c r="GA169" s="9"/>
      <c r="GB169" s="9"/>
      <c r="GC169" s="9"/>
      <c r="GD169" s="9"/>
      <c r="GE169" s="9"/>
      <c r="GF169" s="9"/>
      <c r="GG169" s="9"/>
      <c r="GH169" s="9"/>
      <c r="GI169" s="9"/>
      <c r="GJ169" s="9"/>
      <c r="GK169" s="9"/>
      <c r="GL169" s="9"/>
      <c r="GM169" s="9"/>
      <c r="GN169" s="9"/>
      <c r="GO169" s="9"/>
      <c r="GP169" s="9"/>
      <c r="GQ169" s="9"/>
      <c r="GR169" s="9"/>
      <c r="GS169" s="9"/>
      <c r="GT169" s="9"/>
      <c r="GU169" s="9"/>
      <c r="GV169" s="9"/>
      <c r="GW169" s="9"/>
      <c r="GX169" s="9"/>
      <c r="GY169" s="9"/>
      <c r="GZ169" s="9"/>
    </row>
    <row r="170" spans="1:208">
      <c r="E170" s="243"/>
      <c r="F170" s="9"/>
      <c r="H170" s="243"/>
      <c r="Y170" s="9"/>
      <c r="AA170" s="9"/>
      <c r="AC170" s="9"/>
      <c r="AE170" s="9"/>
      <c r="AF170" s="9"/>
      <c r="AG170" s="9"/>
      <c r="AH170" s="9"/>
      <c r="AI170" s="9"/>
      <c r="AJ170" s="9"/>
      <c r="AK170" s="9"/>
      <c r="AO170" s="9"/>
      <c r="AQ170" s="9"/>
      <c r="AR170" s="9"/>
      <c r="BC170" s="9"/>
      <c r="BQ170" s="241"/>
      <c r="BR170" s="241"/>
      <c r="BS170" s="241"/>
      <c r="BT170" s="7"/>
      <c r="BU170" s="9"/>
      <c r="BX170" s="241"/>
      <c r="BY170" s="241"/>
      <c r="BZ170" s="8"/>
      <c r="CA170" s="241"/>
      <c r="CD170" s="241"/>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c r="EG170" s="9"/>
      <c r="EH170" s="9"/>
      <c r="EI170" s="9"/>
      <c r="EJ170" s="9"/>
      <c r="EK170" s="9"/>
      <c r="EL170" s="9"/>
      <c r="EM170" s="9"/>
      <c r="EN170" s="9"/>
      <c r="EO170" s="9"/>
      <c r="EP170" s="9"/>
      <c r="EQ170" s="9"/>
      <c r="ER170" s="9"/>
      <c r="ES170" s="9"/>
      <c r="ET170" s="9"/>
      <c r="EU170" s="9"/>
      <c r="EV170" s="9"/>
      <c r="EW170" s="9"/>
      <c r="EX170" s="9"/>
      <c r="EY170" s="9"/>
      <c r="EZ170" s="9"/>
      <c r="FA170" s="241"/>
      <c r="FB170" s="241"/>
      <c r="FC170" s="241"/>
      <c r="FD170" s="241"/>
      <c r="FE170" s="244"/>
      <c r="FF170" s="9"/>
      <c r="FG170" s="9"/>
      <c r="FH170" s="9"/>
      <c r="FI170" s="242"/>
      <c r="FJ170" s="242"/>
      <c r="FK170" s="9"/>
      <c r="FL170" s="9"/>
      <c r="FM170" s="9"/>
      <c r="FN170" s="9"/>
      <c r="FO170" s="9"/>
      <c r="FP170" s="9"/>
      <c r="FQ170" s="9"/>
      <c r="FR170" s="9"/>
      <c r="FS170" s="9"/>
      <c r="FT170" s="9"/>
      <c r="FU170" s="9"/>
      <c r="FV170" s="9"/>
      <c r="FW170" s="9"/>
      <c r="FX170" s="9"/>
      <c r="FY170" s="9"/>
      <c r="FZ170" s="9"/>
      <c r="GA170" s="9"/>
      <c r="GB170" s="9"/>
      <c r="GC170" s="9"/>
      <c r="GD170" s="9"/>
      <c r="GE170" s="9"/>
      <c r="GF170" s="9"/>
      <c r="GG170" s="9"/>
      <c r="GH170" s="9"/>
      <c r="GI170" s="9"/>
      <c r="GJ170" s="9"/>
      <c r="GK170" s="9"/>
      <c r="GL170" s="9"/>
      <c r="GM170" s="9"/>
      <c r="GN170" s="9"/>
      <c r="GO170" s="9"/>
      <c r="GP170" s="9"/>
      <c r="GQ170" s="9"/>
      <c r="GR170" s="9"/>
      <c r="GS170" s="9"/>
      <c r="GT170" s="9"/>
      <c r="GU170" s="9"/>
      <c r="GV170" s="9"/>
      <c r="GW170" s="9"/>
      <c r="GX170" s="9"/>
      <c r="GY170" s="9"/>
      <c r="GZ170" s="9"/>
    </row>
    <row r="171" spans="1:208">
      <c r="E171" s="243"/>
      <c r="F171" s="9"/>
      <c r="H171" s="243"/>
      <c r="Y171" s="9"/>
      <c r="AA171" s="9"/>
      <c r="AC171" s="9"/>
      <c r="AE171" s="9"/>
      <c r="AF171" s="9"/>
      <c r="AG171" s="9"/>
      <c r="AH171" s="9"/>
      <c r="AI171" s="9"/>
      <c r="AJ171" s="9"/>
      <c r="AK171" s="9"/>
      <c r="AO171" s="9"/>
      <c r="AQ171" s="9"/>
      <c r="AR171" s="9"/>
      <c r="BC171" s="9"/>
      <c r="BQ171" s="241"/>
      <c r="BR171" s="241"/>
      <c r="BS171" s="241"/>
      <c r="BT171" s="7"/>
      <c r="BU171" s="9"/>
      <c r="BX171" s="241"/>
      <c r="BY171" s="241"/>
      <c r="BZ171" s="8"/>
      <c r="CA171" s="241"/>
      <c r="CD171" s="241"/>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c r="EO171" s="9"/>
      <c r="EP171" s="9"/>
      <c r="EQ171" s="9"/>
      <c r="ER171" s="9"/>
      <c r="ES171" s="9"/>
      <c r="ET171" s="9"/>
      <c r="EU171" s="9"/>
      <c r="EV171" s="9"/>
      <c r="EW171" s="9"/>
      <c r="EX171" s="9"/>
      <c r="EY171" s="9"/>
      <c r="EZ171" s="9"/>
      <c r="FA171" s="241"/>
      <c r="FB171" s="241"/>
      <c r="FC171" s="241"/>
      <c r="FD171" s="241"/>
      <c r="FE171" s="244"/>
      <c r="FF171" s="9"/>
      <c r="FG171" s="9"/>
      <c r="FH171" s="9"/>
      <c r="FI171" s="242"/>
      <c r="FJ171" s="242"/>
      <c r="FK171" s="9"/>
      <c r="FL171" s="9"/>
      <c r="FM171" s="9"/>
      <c r="FN171" s="9"/>
      <c r="FO171" s="9"/>
      <c r="FP171" s="9"/>
      <c r="FQ171" s="9"/>
      <c r="FR171" s="9"/>
      <c r="FS171" s="9"/>
      <c r="FT171" s="9"/>
      <c r="FU171" s="9"/>
      <c r="FV171" s="9"/>
      <c r="FW171" s="9"/>
      <c r="FX171" s="9"/>
      <c r="FY171" s="9"/>
      <c r="FZ171" s="9"/>
      <c r="GA171" s="9"/>
      <c r="GB171" s="9"/>
      <c r="GC171" s="9"/>
      <c r="GD171" s="9"/>
      <c r="GE171" s="9"/>
      <c r="GF171" s="9"/>
      <c r="GG171" s="9"/>
      <c r="GH171" s="9"/>
      <c r="GI171" s="9"/>
      <c r="GJ171" s="9"/>
      <c r="GK171" s="9"/>
      <c r="GL171" s="9"/>
      <c r="GM171" s="9"/>
      <c r="GN171" s="9"/>
      <c r="GO171" s="9"/>
      <c r="GP171" s="9"/>
      <c r="GQ171" s="9"/>
      <c r="GR171" s="9"/>
      <c r="GS171" s="9"/>
      <c r="GT171" s="9"/>
      <c r="GU171" s="9"/>
      <c r="GV171" s="9"/>
      <c r="GW171" s="9"/>
      <c r="GX171" s="9"/>
      <c r="GY171" s="9"/>
      <c r="GZ171" s="9"/>
    </row>
    <row r="172" spans="1:208">
      <c r="E172" s="243"/>
      <c r="F172" s="9"/>
      <c r="H172" s="243"/>
      <c r="Y172" s="9"/>
      <c r="AA172" s="9"/>
      <c r="AC172" s="9"/>
      <c r="AE172" s="9"/>
      <c r="AF172" s="9"/>
      <c r="AG172" s="9"/>
      <c r="AH172" s="9"/>
      <c r="AI172" s="9"/>
      <c r="AJ172" s="9"/>
      <c r="AK172" s="9"/>
      <c r="AO172" s="9"/>
      <c r="AQ172" s="9"/>
      <c r="AR172" s="9"/>
      <c r="BC172" s="9"/>
      <c r="BQ172" s="241"/>
      <c r="BR172" s="241"/>
      <c r="BS172" s="241"/>
      <c r="BT172" s="7"/>
      <c r="BU172" s="9"/>
      <c r="BX172" s="241"/>
      <c r="BY172" s="241"/>
      <c r="BZ172" s="8"/>
      <c r="CA172" s="241"/>
      <c r="CD172" s="241"/>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c r="EO172" s="9"/>
      <c r="EP172" s="9"/>
      <c r="EQ172" s="9"/>
      <c r="ER172" s="9"/>
      <c r="ES172" s="9"/>
      <c r="ET172" s="9"/>
      <c r="EU172" s="9"/>
      <c r="EV172" s="9"/>
      <c r="EW172" s="9"/>
      <c r="EX172" s="9"/>
      <c r="EY172" s="9"/>
      <c r="EZ172" s="9"/>
      <c r="FA172" s="241"/>
      <c r="FB172" s="241"/>
      <c r="FC172" s="241"/>
      <c r="FD172" s="241"/>
      <c r="FE172" s="244"/>
      <c r="FF172" s="9"/>
      <c r="FG172" s="9"/>
      <c r="FH172" s="9"/>
      <c r="FI172" s="242"/>
      <c r="FJ172" s="242"/>
      <c r="FK172" s="9"/>
      <c r="FL172" s="9"/>
      <c r="FM172" s="9"/>
      <c r="FN172" s="9"/>
      <c r="FO172" s="9"/>
      <c r="FP172" s="9"/>
      <c r="FQ172" s="9"/>
      <c r="FR172" s="9"/>
      <c r="FS172" s="9"/>
      <c r="FT172" s="9"/>
      <c r="FU172" s="9"/>
      <c r="FV172" s="9"/>
      <c r="FW172" s="9"/>
      <c r="FX172" s="9"/>
      <c r="FY172" s="9"/>
      <c r="FZ172" s="9"/>
      <c r="GA172" s="9"/>
      <c r="GB172" s="9"/>
      <c r="GC172" s="9"/>
      <c r="GD172" s="9"/>
      <c r="GE172" s="9"/>
      <c r="GF172" s="9"/>
      <c r="GG172" s="9"/>
      <c r="GH172" s="9"/>
      <c r="GI172" s="9"/>
      <c r="GJ172" s="9"/>
      <c r="GK172" s="9"/>
      <c r="GL172" s="9"/>
      <c r="GM172" s="9"/>
      <c r="GN172" s="9"/>
      <c r="GO172" s="9"/>
      <c r="GP172" s="9"/>
      <c r="GQ172" s="9"/>
      <c r="GR172" s="9"/>
      <c r="GS172" s="9"/>
      <c r="GT172" s="9"/>
      <c r="GU172" s="9"/>
      <c r="GV172" s="9"/>
      <c r="GW172" s="9"/>
      <c r="GX172" s="9"/>
      <c r="GY172" s="9"/>
      <c r="GZ172" s="9"/>
    </row>
    <row r="173" spans="1:208">
      <c r="E173" s="243"/>
      <c r="F173" s="9"/>
      <c r="H173" s="243"/>
      <c r="Y173" s="9"/>
      <c r="AA173" s="9"/>
      <c r="AC173" s="9"/>
      <c r="AE173" s="9"/>
      <c r="AF173" s="9"/>
      <c r="AG173" s="9"/>
      <c r="AH173" s="9"/>
      <c r="AI173" s="9"/>
      <c r="AJ173" s="9"/>
      <c r="AK173" s="9"/>
      <c r="AO173" s="9"/>
      <c r="AQ173" s="9"/>
      <c r="AR173" s="9"/>
      <c r="BC173" s="9"/>
      <c r="BQ173" s="241"/>
      <c r="BR173" s="241"/>
      <c r="BS173" s="241"/>
      <c r="BT173" s="7"/>
      <c r="BU173" s="9"/>
      <c r="BX173" s="241"/>
      <c r="BY173" s="241"/>
      <c r="BZ173" s="8"/>
      <c r="CA173" s="241"/>
      <c r="CD173" s="241"/>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c r="EG173" s="9"/>
      <c r="EH173" s="9"/>
      <c r="EI173" s="9"/>
      <c r="EJ173" s="9"/>
      <c r="EK173" s="9"/>
      <c r="EL173" s="9"/>
      <c r="EM173" s="9"/>
      <c r="EN173" s="9"/>
      <c r="EO173" s="9"/>
      <c r="EP173" s="9"/>
      <c r="EQ173" s="9"/>
      <c r="ER173" s="9"/>
      <c r="ES173" s="9"/>
      <c r="ET173" s="9"/>
      <c r="EU173" s="9"/>
      <c r="EV173" s="9"/>
      <c r="EW173" s="9"/>
      <c r="EX173" s="9"/>
      <c r="EY173" s="9"/>
      <c r="EZ173" s="9"/>
      <c r="FA173" s="241"/>
      <c r="FB173" s="241"/>
      <c r="FC173" s="241"/>
      <c r="FD173" s="241"/>
      <c r="FE173" s="244"/>
      <c r="FF173" s="9"/>
      <c r="FG173" s="9"/>
      <c r="FH173" s="9"/>
      <c r="FI173" s="242"/>
      <c r="FJ173" s="242"/>
      <c r="FK173" s="9"/>
      <c r="FL173" s="9"/>
      <c r="FM173" s="9"/>
      <c r="FN173" s="9"/>
      <c r="FO173" s="9"/>
      <c r="FP173" s="9"/>
      <c r="FQ173" s="9"/>
      <c r="FR173" s="9"/>
      <c r="FS173" s="9"/>
      <c r="FT173" s="9"/>
      <c r="FU173" s="9"/>
      <c r="FV173" s="9"/>
      <c r="FW173" s="9"/>
      <c r="FX173" s="9"/>
      <c r="FY173" s="9"/>
      <c r="FZ173" s="9"/>
      <c r="GA173" s="9"/>
      <c r="GB173" s="9"/>
      <c r="GC173" s="9"/>
      <c r="GD173" s="9"/>
      <c r="GE173" s="9"/>
      <c r="GF173" s="9"/>
      <c r="GG173" s="9"/>
      <c r="GH173" s="9"/>
      <c r="GI173" s="9"/>
      <c r="GJ173" s="9"/>
      <c r="GK173" s="9"/>
      <c r="GL173" s="9"/>
      <c r="GM173" s="9"/>
      <c r="GN173" s="9"/>
      <c r="GO173" s="9"/>
      <c r="GP173" s="9"/>
      <c r="GQ173" s="9"/>
      <c r="GR173" s="9"/>
      <c r="GS173" s="9"/>
      <c r="GT173" s="9"/>
      <c r="GU173" s="9"/>
      <c r="GV173" s="9"/>
      <c r="GW173" s="9"/>
      <c r="GX173" s="9"/>
      <c r="GY173" s="9"/>
      <c r="GZ173" s="9"/>
    </row>
    <row r="174" spans="1:208">
      <c r="E174" s="243"/>
      <c r="F174" s="9"/>
      <c r="H174" s="243"/>
      <c r="Y174" s="9"/>
      <c r="AA174" s="9"/>
      <c r="AC174" s="9"/>
      <c r="AE174" s="9"/>
      <c r="AF174" s="9"/>
      <c r="AG174" s="9"/>
      <c r="AH174" s="9"/>
      <c r="AI174" s="9"/>
      <c r="AJ174" s="9"/>
      <c r="AK174" s="9"/>
      <c r="AO174" s="9"/>
      <c r="AQ174" s="9"/>
      <c r="AR174" s="9"/>
      <c r="BC174" s="9"/>
      <c r="BQ174" s="241"/>
      <c r="BR174" s="241"/>
      <c r="BS174" s="241"/>
      <c r="BT174" s="7"/>
      <c r="BU174" s="9"/>
      <c r="BX174" s="241"/>
      <c r="BY174" s="241"/>
      <c r="BZ174" s="8"/>
      <c r="CA174" s="241"/>
      <c r="CD174" s="241"/>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c r="DX174" s="9"/>
      <c r="DY174" s="9"/>
      <c r="DZ174" s="9"/>
      <c r="EA174" s="9"/>
      <c r="EB174" s="9"/>
      <c r="EC174" s="9"/>
      <c r="ED174" s="9"/>
      <c r="EE174" s="9"/>
      <c r="EF174" s="9"/>
      <c r="EG174" s="9"/>
      <c r="EH174" s="9"/>
      <c r="EI174" s="9"/>
      <c r="EJ174" s="9"/>
      <c r="EK174" s="9"/>
      <c r="EL174" s="9"/>
      <c r="EM174" s="9"/>
      <c r="EN174" s="9"/>
      <c r="EO174" s="9"/>
      <c r="EP174" s="9"/>
      <c r="EQ174" s="9"/>
      <c r="ER174" s="9"/>
      <c r="ES174" s="9"/>
      <c r="ET174" s="9"/>
      <c r="EU174" s="9"/>
      <c r="EV174" s="9"/>
      <c r="EW174" s="9"/>
      <c r="EX174" s="9"/>
      <c r="EY174" s="9"/>
      <c r="EZ174" s="9"/>
      <c r="FA174" s="241"/>
      <c r="FB174" s="241"/>
      <c r="FC174" s="241"/>
      <c r="FD174" s="241"/>
      <c r="FE174" s="244"/>
      <c r="FF174" s="9"/>
      <c r="FG174" s="9"/>
      <c r="FH174" s="9"/>
      <c r="FI174" s="242"/>
      <c r="FJ174" s="242"/>
      <c r="FK174" s="9"/>
      <c r="FL174" s="9"/>
      <c r="FM174" s="9"/>
      <c r="FN174" s="9"/>
      <c r="FO174" s="9"/>
      <c r="FP174" s="9"/>
      <c r="FQ174" s="9"/>
      <c r="FR174" s="9"/>
      <c r="FS174" s="9"/>
      <c r="FT174" s="9"/>
      <c r="FU174" s="9"/>
      <c r="FV174" s="9"/>
      <c r="FW174" s="9"/>
      <c r="FX174" s="9"/>
      <c r="FY174" s="9"/>
      <c r="FZ174" s="9"/>
      <c r="GA174" s="9"/>
      <c r="GB174" s="9"/>
      <c r="GC174" s="9"/>
      <c r="GD174" s="9"/>
      <c r="GE174" s="9"/>
      <c r="GF174" s="9"/>
      <c r="GG174" s="9"/>
      <c r="GH174" s="9"/>
      <c r="GI174" s="9"/>
      <c r="GJ174" s="9"/>
      <c r="GK174" s="9"/>
      <c r="GL174" s="9"/>
      <c r="GM174" s="9"/>
      <c r="GN174" s="9"/>
      <c r="GO174" s="9"/>
      <c r="GP174" s="9"/>
      <c r="GQ174" s="9"/>
      <c r="GR174" s="9"/>
      <c r="GS174" s="9"/>
      <c r="GT174" s="9"/>
      <c r="GU174" s="9"/>
      <c r="GV174" s="9"/>
      <c r="GW174" s="9"/>
      <c r="GX174" s="9"/>
      <c r="GY174" s="9"/>
      <c r="GZ174" s="9"/>
    </row>
    <row r="175" spans="1:208">
      <c r="E175" s="243"/>
      <c r="F175" s="9"/>
      <c r="H175" s="243"/>
      <c r="Y175" s="9"/>
      <c r="AA175" s="9"/>
      <c r="AC175" s="9"/>
      <c r="AE175" s="9"/>
      <c r="AF175" s="9"/>
      <c r="AG175" s="9"/>
      <c r="AH175" s="9"/>
      <c r="AI175" s="9"/>
      <c r="AJ175" s="9"/>
      <c r="AK175" s="9"/>
      <c r="AO175" s="9"/>
      <c r="AQ175" s="9"/>
      <c r="AR175" s="9"/>
      <c r="BC175" s="9"/>
      <c r="BQ175" s="241"/>
      <c r="BR175" s="241"/>
      <c r="BS175" s="241"/>
      <c r="BT175" s="7"/>
      <c r="BU175" s="9"/>
      <c r="BX175" s="241"/>
      <c r="BY175" s="241"/>
      <c r="BZ175" s="8"/>
      <c r="CA175" s="241"/>
      <c r="CD175" s="241"/>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c r="DX175" s="9"/>
      <c r="DY175" s="9"/>
      <c r="DZ175" s="9"/>
      <c r="EA175" s="9"/>
      <c r="EB175" s="9"/>
      <c r="EC175" s="9"/>
      <c r="ED175" s="9"/>
      <c r="EE175" s="9"/>
      <c r="EF175" s="9"/>
      <c r="EG175" s="9"/>
      <c r="EH175" s="9"/>
      <c r="EI175" s="9"/>
      <c r="EJ175" s="9"/>
      <c r="EK175" s="9"/>
      <c r="EL175" s="9"/>
      <c r="EM175" s="9"/>
      <c r="EN175" s="9"/>
      <c r="EO175" s="9"/>
      <c r="EP175" s="9"/>
      <c r="EQ175" s="9"/>
      <c r="ER175" s="9"/>
      <c r="ES175" s="9"/>
      <c r="ET175" s="9"/>
      <c r="EU175" s="9"/>
      <c r="EV175" s="9"/>
      <c r="EW175" s="9"/>
      <c r="EX175" s="9"/>
      <c r="EY175" s="9"/>
      <c r="EZ175" s="9"/>
      <c r="FA175" s="241"/>
      <c r="FB175" s="241"/>
      <c r="FC175" s="241"/>
      <c r="FD175" s="241"/>
      <c r="FE175" s="244"/>
      <c r="FF175" s="9"/>
      <c r="FG175" s="9"/>
      <c r="FH175" s="9"/>
      <c r="FI175" s="242"/>
      <c r="FJ175" s="242"/>
      <c r="FK175" s="9"/>
      <c r="FL175" s="9"/>
      <c r="FM175" s="9"/>
      <c r="FN175" s="9"/>
      <c r="FO175" s="9"/>
      <c r="FP175" s="9"/>
      <c r="FQ175" s="9"/>
      <c r="FR175" s="9"/>
      <c r="FS175" s="9"/>
      <c r="FT175" s="9"/>
      <c r="FU175" s="9"/>
      <c r="FV175" s="9"/>
      <c r="FW175" s="9"/>
      <c r="FX175" s="9"/>
      <c r="FY175" s="9"/>
      <c r="FZ175" s="9"/>
      <c r="GA175" s="9"/>
      <c r="GB175" s="9"/>
      <c r="GC175" s="9"/>
      <c r="GD175" s="9"/>
      <c r="GE175" s="9"/>
      <c r="GF175" s="9"/>
      <c r="GG175" s="9"/>
      <c r="GH175" s="9"/>
      <c r="GI175" s="9"/>
      <c r="GJ175" s="9"/>
      <c r="GK175" s="9"/>
      <c r="GL175" s="9"/>
      <c r="GM175" s="9"/>
      <c r="GN175" s="9"/>
      <c r="GO175" s="9"/>
      <c r="GP175" s="9"/>
      <c r="GQ175" s="9"/>
      <c r="GR175" s="9"/>
      <c r="GS175" s="9"/>
      <c r="GT175" s="9"/>
      <c r="GU175" s="9"/>
      <c r="GV175" s="9"/>
      <c r="GW175" s="9"/>
      <c r="GX175" s="9"/>
      <c r="GY175" s="9"/>
      <c r="GZ175" s="9"/>
    </row>
    <row r="176" spans="1:208">
      <c r="E176" s="243"/>
      <c r="F176" s="9"/>
      <c r="H176" s="243"/>
      <c r="Y176" s="9"/>
      <c r="AA176" s="9"/>
      <c r="AC176" s="9"/>
      <c r="AE176" s="9"/>
      <c r="AF176" s="9"/>
      <c r="AG176" s="9"/>
      <c r="AH176" s="9"/>
      <c r="AI176" s="9"/>
      <c r="AJ176" s="9"/>
      <c r="AK176" s="9"/>
      <c r="AO176" s="9"/>
      <c r="AQ176" s="9"/>
      <c r="AR176" s="9"/>
      <c r="BC176" s="9"/>
      <c r="BQ176" s="241"/>
      <c r="BR176" s="241"/>
      <c r="BS176" s="241"/>
      <c r="BT176" s="7"/>
      <c r="BU176" s="9"/>
      <c r="BX176" s="241"/>
      <c r="BY176" s="241"/>
      <c r="BZ176" s="8"/>
      <c r="CA176" s="241"/>
      <c r="CD176" s="241"/>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c r="EG176" s="9"/>
      <c r="EH176" s="9"/>
      <c r="EI176" s="9"/>
      <c r="EJ176" s="9"/>
      <c r="EK176" s="9"/>
      <c r="EL176" s="9"/>
      <c r="EM176" s="9"/>
      <c r="EN176" s="9"/>
      <c r="EO176" s="9"/>
      <c r="EP176" s="9"/>
      <c r="EQ176" s="9"/>
      <c r="ER176" s="9"/>
      <c r="ES176" s="9"/>
      <c r="ET176" s="9"/>
      <c r="EU176" s="9"/>
      <c r="EV176" s="9"/>
      <c r="EW176" s="9"/>
      <c r="EX176" s="9"/>
      <c r="EY176" s="9"/>
      <c r="EZ176" s="9"/>
      <c r="FA176" s="241"/>
      <c r="FB176" s="241"/>
      <c r="FC176" s="241"/>
      <c r="FD176" s="241"/>
      <c r="FE176" s="244"/>
      <c r="FF176" s="9"/>
      <c r="FG176" s="9"/>
      <c r="FH176" s="9"/>
      <c r="FI176" s="242"/>
      <c r="FJ176" s="242"/>
      <c r="FK176" s="9"/>
      <c r="FL176" s="9"/>
      <c r="FM176" s="9"/>
      <c r="FN176" s="9"/>
      <c r="FO176" s="9"/>
      <c r="FP176" s="9"/>
      <c r="FQ176" s="9"/>
      <c r="FR176" s="9"/>
      <c r="FS176" s="9"/>
      <c r="FT176" s="9"/>
      <c r="FU176" s="9"/>
      <c r="FV176" s="9"/>
      <c r="FW176" s="9"/>
      <c r="FX176" s="9"/>
      <c r="FY176" s="9"/>
      <c r="FZ176" s="9"/>
      <c r="GA176" s="9"/>
      <c r="GB176" s="9"/>
      <c r="GC176" s="9"/>
      <c r="GD176" s="9"/>
      <c r="GE176" s="9"/>
      <c r="GF176" s="9"/>
      <c r="GG176" s="9"/>
      <c r="GH176" s="9"/>
      <c r="GI176" s="9"/>
      <c r="GJ176" s="9"/>
      <c r="GK176" s="9"/>
      <c r="GL176" s="9"/>
      <c r="GM176" s="9"/>
      <c r="GN176" s="9"/>
      <c r="GO176" s="9"/>
      <c r="GP176" s="9"/>
      <c r="GQ176" s="9"/>
      <c r="GR176" s="9"/>
      <c r="GS176" s="9"/>
      <c r="GT176" s="9"/>
      <c r="GU176" s="9"/>
      <c r="GV176" s="9"/>
      <c r="GW176" s="9"/>
      <c r="GX176" s="9"/>
      <c r="GY176" s="9"/>
      <c r="GZ176" s="9"/>
    </row>
    <row r="177" spans="5:208">
      <c r="E177" s="243"/>
      <c r="F177" s="9"/>
      <c r="H177" s="243"/>
      <c r="Y177" s="9"/>
      <c r="AA177" s="9"/>
      <c r="AC177" s="9"/>
      <c r="AE177" s="9"/>
      <c r="AF177" s="9"/>
      <c r="AG177" s="9"/>
      <c r="AH177" s="9"/>
      <c r="AI177" s="9"/>
      <c r="AJ177" s="9"/>
      <c r="AK177" s="9"/>
      <c r="AO177" s="9"/>
      <c r="AQ177" s="9"/>
      <c r="AR177" s="9"/>
      <c r="BC177" s="9"/>
      <c r="BQ177" s="241"/>
      <c r="BR177" s="241"/>
      <c r="BS177" s="241"/>
      <c r="BT177" s="7"/>
      <c r="BU177" s="9"/>
      <c r="BX177" s="241"/>
      <c r="BY177" s="241"/>
      <c r="BZ177" s="8"/>
      <c r="CA177" s="241"/>
      <c r="CD177" s="241"/>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c r="EG177" s="9"/>
      <c r="EH177" s="9"/>
      <c r="EI177" s="9"/>
      <c r="EJ177" s="9"/>
      <c r="EK177" s="9"/>
      <c r="EL177" s="9"/>
      <c r="EM177" s="9"/>
      <c r="EN177" s="9"/>
      <c r="EO177" s="9"/>
      <c r="EP177" s="9"/>
      <c r="EQ177" s="9"/>
      <c r="ER177" s="9"/>
      <c r="ES177" s="9"/>
      <c r="ET177" s="9"/>
      <c r="EU177" s="9"/>
      <c r="EV177" s="9"/>
      <c r="EW177" s="9"/>
      <c r="EX177" s="9"/>
      <c r="EY177" s="9"/>
      <c r="EZ177" s="9"/>
      <c r="FA177" s="241"/>
      <c r="FB177" s="241"/>
      <c r="FC177" s="241"/>
      <c r="FD177" s="241"/>
      <c r="FE177" s="244"/>
      <c r="FF177" s="9"/>
      <c r="FG177" s="9"/>
      <c r="FH177" s="9"/>
      <c r="FI177" s="242"/>
      <c r="FJ177" s="242"/>
      <c r="FK177" s="9"/>
      <c r="FL177" s="9"/>
      <c r="FM177" s="9"/>
      <c r="FN177" s="9"/>
      <c r="FO177" s="9"/>
      <c r="FP177" s="9"/>
      <c r="FQ177" s="9"/>
      <c r="FR177" s="9"/>
      <c r="FS177" s="9"/>
      <c r="FT177" s="9"/>
      <c r="FU177" s="9"/>
      <c r="FV177" s="9"/>
      <c r="FW177" s="9"/>
      <c r="FX177" s="9"/>
      <c r="FY177" s="9"/>
      <c r="FZ177" s="9"/>
      <c r="GA177" s="9"/>
      <c r="GB177" s="9"/>
      <c r="GC177" s="9"/>
      <c r="GD177" s="9"/>
      <c r="GE177" s="9"/>
      <c r="GF177" s="9"/>
      <c r="GG177" s="9"/>
      <c r="GH177" s="9"/>
      <c r="GI177" s="9"/>
      <c r="GJ177" s="9"/>
      <c r="GK177" s="9"/>
      <c r="GL177" s="9"/>
      <c r="GM177" s="9"/>
      <c r="GN177" s="9"/>
      <c r="GO177" s="9"/>
      <c r="GP177" s="9"/>
      <c r="GQ177" s="9"/>
      <c r="GR177" s="9"/>
      <c r="GS177" s="9"/>
      <c r="GT177" s="9"/>
      <c r="GU177" s="9"/>
      <c r="GV177" s="9"/>
      <c r="GW177" s="9"/>
      <c r="GX177" s="9"/>
      <c r="GY177" s="9"/>
      <c r="GZ177" s="9"/>
    </row>
    <row r="178" spans="5:208">
      <c r="E178" s="243"/>
      <c r="F178" s="9"/>
      <c r="H178" s="243"/>
      <c r="Y178" s="9"/>
      <c r="AA178" s="9"/>
      <c r="AC178" s="9"/>
      <c r="AE178" s="9"/>
      <c r="AF178" s="9"/>
      <c r="AG178" s="9"/>
      <c r="AH178" s="9"/>
      <c r="AI178" s="9"/>
      <c r="AJ178" s="9"/>
      <c r="AK178" s="9"/>
      <c r="AO178" s="9"/>
      <c r="AQ178" s="9"/>
      <c r="AR178" s="9"/>
      <c r="BC178" s="9"/>
      <c r="BQ178" s="241"/>
      <c r="BR178" s="241"/>
      <c r="BS178" s="241"/>
      <c r="BT178" s="7"/>
      <c r="BU178" s="9"/>
      <c r="BX178" s="241"/>
      <c r="BY178" s="241"/>
      <c r="BZ178" s="8"/>
      <c r="CA178" s="241"/>
      <c r="CD178" s="241"/>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9"/>
      <c r="DV178" s="9"/>
      <c r="DW178" s="9"/>
      <c r="DX178" s="9"/>
      <c r="DY178" s="9"/>
      <c r="DZ178" s="9"/>
      <c r="EA178" s="9"/>
      <c r="EB178" s="9"/>
      <c r="EC178" s="9"/>
      <c r="ED178" s="9"/>
      <c r="EE178" s="9"/>
      <c r="EF178" s="9"/>
      <c r="EG178" s="9"/>
      <c r="EH178" s="9"/>
      <c r="EI178" s="9"/>
      <c r="EJ178" s="9"/>
      <c r="EK178" s="9"/>
      <c r="EL178" s="9"/>
      <c r="EM178" s="9"/>
      <c r="EN178" s="9"/>
      <c r="EO178" s="9"/>
      <c r="EP178" s="9"/>
      <c r="EQ178" s="9"/>
      <c r="ER178" s="9"/>
      <c r="ES178" s="9"/>
      <c r="ET178" s="9"/>
      <c r="EU178" s="9"/>
      <c r="EV178" s="9"/>
      <c r="EW178" s="9"/>
      <c r="EX178" s="9"/>
      <c r="EY178" s="9"/>
      <c r="EZ178" s="9"/>
      <c r="FA178" s="241"/>
      <c r="FB178" s="241"/>
      <c r="FC178" s="241"/>
      <c r="FD178" s="241"/>
      <c r="FE178" s="244"/>
      <c r="FF178" s="9"/>
      <c r="FG178" s="9"/>
      <c r="FH178" s="9"/>
      <c r="FI178" s="242"/>
      <c r="FJ178" s="242"/>
      <c r="FK178" s="9"/>
      <c r="FL178" s="9"/>
      <c r="FM178" s="9"/>
      <c r="FN178" s="9"/>
      <c r="FO178" s="9"/>
      <c r="FP178" s="9"/>
      <c r="FQ178" s="9"/>
      <c r="FR178" s="9"/>
      <c r="FS178" s="9"/>
      <c r="FT178" s="9"/>
      <c r="FU178" s="9"/>
      <c r="FV178" s="9"/>
      <c r="FW178" s="9"/>
      <c r="FX178" s="9"/>
      <c r="FY178" s="9"/>
      <c r="FZ178" s="9"/>
      <c r="GA178" s="9"/>
      <c r="GB178" s="9"/>
      <c r="GC178" s="9"/>
      <c r="GD178" s="9"/>
      <c r="GE178" s="9"/>
      <c r="GF178" s="9"/>
      <c r="GG178" s="9"/>
      <c r="GH178" s="9"/>
      <c r="GI178" s="9"/>
      <c r="GJ178" s="9"/>
      <c r="GK178" s="9"/>
      <c r="GL178" s="9"/>
      <c r="GM178" s="9"/>
      <c r="GN178" s="9"/>
      <c r="GO178" s="9"/>
      <c r="GP178" s="9"/>
      <c r="GQ178" s="9"/>
      <c r="GR178" s="9"/>
      <c r="GS178" s="9"/>
      <c r="GT178" s="9"/>
      <c r="GU178" s="9"/>
      <c r="GV178" s="9"/>
      <c r="GW178" s="9"/>
      <c r="GX178" s="9"/>
      <c r="GY178" s="9"/>
      <c r="GZ178" s="9"/>
    </row>
    <row r="179" spans="5:208">
      <c r="E179" s="243"/>
      <c r="F179" s="9"/>
      <c r="H179" s="243"/>
      <c r="Y179" s="9"/>
      <c r="AA179" s="9"/>
      <c r="AC179" s="9"/>
      <c r="AE179" s="9"/>
      <c r="AF179" s="9"/>
      <c r="AG179" s="9"/>
      <c r="AH179" s="9"/>
      <c r="AI179" s="9"/>
      <c r="AJ179" s="9"/>
      <c r="AK179" s="9"/>
      <c r="AO179" s="9"/>
      <c r="AQ179" s="9"/>
      <c r="AR179" s="9"/>
      <c r="BC179" s="9"/>
      <c r="BQ179" s="241"/>
      <c r="BR179" s="241"/>
      <c r="BS179" s="241"/>
      <c r="BT179" s="7"/>
      <c r="BU179" s="9"/>
      <c r="BX179" s="241"/>
      <c r="BY179" s="241"/>
      <c r="BZ179" s="8"/>
      <c r="CA179" s="241"/>
      <c r="CD179" s="241"/>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c r="EG179" s="9"/>
      <c r="EH179" s="9"/>
      <c r="EI179" s="9"/>
      <c r="EJ179" s="9"/>
      <c r="EK179" s="9"/>
      <c r="EL179" s="9"/>
      <c r="EM179" s="9"/>
      <c r="EN179" s="9"/>
      <c r="EO179" s="9"/>
      <c r="EP179" s="9"/>
      <c r="EQ179" s="9"/>
      <c r="ER179" s="9"/>
      <c r="ES179" s="9"/>
      <c r="ET179" s="9"/>
      <c r="EU179" s="9"/>
      <c r="EV179" s="9"/>
      <c r="EW179" s="9"/>
      <c r="EX179" s="9"/>
      <c r="EY179" s="9"/>
      <c r="EZ179" s="9"/>
      <c r="FA179" s="241"/>
      <c r="FB179" s="241"/>
      <c r="FC179" s="241"/>
      <c r="FD179" s="241"/>
      <c r="FE179" s="244"/>
      <c r="FF179" s="9"/>
      <c r="FG179" s="9"/>
      <c r="FH179" s="9"/>
      <c r="FI179" s="242"/>
      <c r="FJ179" s="242"/>
      <c r="FK179" s="9"/>
      <c r="FL179" s="9"/>
      <c r="FM179" s="9"/>
      <c r="FN179" s="9"/>
      <c r="FO179" s="9"/>
      <c r="FP179" s="9"/>
      <c r="FQ179" s="9"/>
      <c r="FR179" s="9"/>
      <c r="FS179" s="9"/>
      <c r="FT179" s="9"/>
      <c r="FU179" s="9"/>
      <c r="FV179" s="9"/>
      <c r="FW179" s="9"/>
      <c r="FX179" s="9"/>
      <c r="FY179" s="9"/>
      <c r="FZ179" s="9"/>
      <c r="GA179" s="9"/>
      <c r="GB179" s="9"/>
      <c r="GC179" s="9"/>
      <c r="GD179" s="9"/>
      <c r="GE179" s="9"/>
      <c r="GF179" s="9"/>
      <c r="GG179" s="9"/>
      <c r="GH179" s="9"/>
      <c r="GI179" s="9"/>
      <c r="GJ179" s="9"/>
      <c r="GK179" s="9"/>
      <c r="GL179" s="9"/>
      <c r="GM179" s="9"/>
      <c r="GN179" s="9"/>
      <c r="GO179" s="9"/>
      <c r="GP179" s="9"/>
      <c r="GQ179" s="9"/>
      <c r="GR179" s="9"/>
      <c r="GS179" s="9"/>
      <c r="GT179" s="9"/>
      <c r="GU179" s="9"/>
      <c r="GV179" s="9"/>
      <c r="GW179" s="9"/>
      <c r="GX179" s="9"/>
      <c r="GY179" s="9"/>
      <c r="GZ179" s="9"/>
    </row>
    <row r="180" spans="5:208">
      <c r="E180" s="243"/>
      <c r="F180" s="9"/>
      <c r="H180" s="243"/>
      <c r="Y180" s="9"/>
      <c r="AA180" s="9"/>
      <c r="AC180" s="9"/>
      <c r="AE180" s="9"/>
      <c r="AF180" s="9"/>
      <c r="AG180" s="9"/>
      <c r="AH180" s="9"/>
      <c r="AI180" s="9"/>
      <c r="AJ180" s="9"/>
      <c r="AK180" s="9"/>
      <c r="AO180" s="9"/>
      <c r="AQ180" s="9"/>
      <c r="AR180" s="9"/>
      <c r="BC180" s="9"/>
      <c r="BQ180" s="241"/>
      <c r="BR180" s="241"/>
      <c r="BS180" s="241"/>
      <c r="BT180" s="7"/>
      <c r="BU180" s="9"/>
      <c r="BX180" s="241"/>
      <c r="BY180" s="241"/>
      <c r="BZ180" s="8"/>
      <c r="CA180" s="241"/>
      <c r="CD180" s="241"/>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c r="DN180" s="9"/>
      <c r="DO180" s="9"/>
      <c r="DP180" s="9"/>
      <c r="DQ180" s="9"/>
      <c r="DR180" s="9"/>
      <c r="DS180" s="9"/>
      <c r="DT180" s="9"/>
      <c r="DU180" s="9"/>
      <c r="DV180" s="9"/>
      <c r="DW180" s="9"/>
      <c r="DX180" s="9"/>
      <c r="DY180" s="9"/>
      <c r="DZ180" s="9"/>
      <c r="EA180" s="9"/>
      <c r="EB180" s="9"/>
      <c r="EC180" s="9"/>
      <c r="ED180" s="9"/>
      <c r="EE180" s="9"/>
      <c r="EF180" s="9"/>
      <c r="EG180" s="9"/>
      <c r="EH180" s="9"/>
      <c r="EI180" s="9"/>
      <c r="EJ180" s="9"/>
      <c r="EK180" s="9"/>
      <c r="EL180" s="9"/>
      <c r="EM180" s="9"/>
      <c r="EN180" s="9"/>
      <c r="EO180" s="9"/>
      <c r="EP180" s="9"/>
      <c r="EQ180" s="9"/>
      <c r="ER180" s="9"/>
      <c r="ES180" s="9"/>
      <c r="ET180" s="9"/>
      <c r="EU180" s="9"/>
      <c r="EV180" s="9"/>
      <c r="EW180" s="9"/>
      <c r="EX180" s="9"/>
      <c r="EY180" s="9"/>
      <c r="EZ180" s="9"/>
      <c r="FA180" s="241"/>
      <c r="FB180" s="241"/>
      <c r="FC180" s="241"/>
      <c r="FD180" s="241"/>
      <c r="FE180" s="244"/>
      <c r="FF180" s="9"/>
      <c r="FG180" s="9"/>
      <c r="FH180" s="9"/>
      <c r="FI180" s="242"/>
      <c r="FJ180" s="242"/>
      <c r="FK180" s="9"/>
      <c r="FL180" s="9"/>
      <c r="FM180" s="9"/>
      <c r="FN180" s="9"/>
      <c r="FO180" s="9"/>
      <c r="FP180" s="9"/>
      <c r="FQ180" s="9"/>
      <c r="FR180" s="9"/>
      <c r="FS180" s="9"/>
      <c r="FT180" s="9"/>
      <c r="FU180" s="9"/>
      <c r="FV180" s="9"/>
      <c r="FW180" s="9"/>
      <c r="FX180" s="9"/>
      <c r="FY180" s="9"/>
      <c r="FZ180" s="9"/>
      <c r="GA180" s="9"/>
      <c r="GB180" s="9"/>
      <c r="GC180" s="9"/>
      <c r="GD180" s="9"/>
      <c r="GE180" s="9"/>
      <c r="GF180" s="9"/>
      <c r="GG180" s="9"/>
      <c r="GH180" s="9"/>
      <c r="GI180" s="9"/>
      <c r="GJ180" s="9"/>
      <c r="GK180" s="9"/>
      <c r="GL180" s="9"/>
      <c r="GM180" s="9"/>
      <c r="GN180" s="9"/>
      <c r="GO180" s="9"/>
      <c r="GP180" s="9"/>
      <c r="GQ180" s="9"/>
      <c r="GR180" s="9"/>
      <c r="GS180" s="9"/>
      <c r="GT180" s="9"/>
      <c r="GU180" s="9"/>
      <c r="GV180" s="9"/>
      <c r="GW180" s="9"/>
      <c r="GX180" s="9"/>
      <c r="GY180" s="9"/>
      <c r="GZ180" s="9"/>
    </row>
    <row r="181" spans="5:208">
      <c r="E181" s="243"/>
      <c r="F181" s="9"/>
      <c r="H181" s="243"/>
      <c r="Y181" s="9"/>
      <c r="AA181" s="9"/>
      <c r="AC181" s="9"/>
      <c r="AE181" s="9"/>
      <c r="AF181" s="9"/>
      <c r="AG181" s="9"/>
      <c r="AH181" s="9"/>
      <c r="AI181" s="9"/>
      <c r="AJ181" s="9"/>
      <c r="AK181" s="9"/>
      <c r="AO181" s="9"/>
      <c r="AQ181" s="9"/>
      <c r="AR181" s="9"/>
      <c r="BC181" s="9"/>
      <c r="BQ181" s="241"/>
      <c r="BR181" s="241"/>
      <c r="BS181" s="241"/>
      <c r="BT181" s="7"/>
      <c r="BU181" s="9"/>
      <c r="BX181" s="241"/>
      <c r="BY181" s="241"/>
      <c r="BZ181" s="8"/>
      <c r="CA181" s="241"/>
      <c r="CD181" s="241"/>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c r="DN181" s="9"/>
      <c r="DO181" s="9"/>
      <c r="DP181" s="9"/>
      <c r="DQ181" s="9"/>
      <c r="DR181" s="9"/>
      <c r="DS181" s="9"/>
      <c r="DT181" s="9"/>
      <c r="DU181" s="9"/>
      <c r="DV181" s="9"/>
      <c r="DW181" s="9"/>
      <c r="DX181" s="9"/>
      <c r="DY181" s="9"/>
      <c r="DZ181" s="9"/>
      <c r="EA181" s="9"/>
      <c r="EB181" s="9"/>
      <c r="EC181" s="9"/>
      <c r="ED181" s="9"/>
      <c r="EE181" s="9"/>
      <c r="EF181" s="9"/>
      <c r="EG181" s="9"/>
      <c r="EH181" s="9"/>
      <c r="EI181" s="9"/>
      <c r="EJ181" s="9"/>
      <c r="EK181" s="9"/>
      <c r="EL181" s="9"/>
      <c r="EM181" s="9"/>
      <c r="EN181" s="9"/>
      <c r="EO181" s="9"/>
      <c r="EP181" s="9"/>
      <c r="EQ181" s="9"/>
      <c r="ER181" s="9"/>
      <c r="ES181" s="9"/>
      <c r="ET181" s="9"/>
      <c r="EU181" s="9"/>
      <c r="EV181" s="9"/>
      <c r="EW181" s="9"/>
      <c r="EX181" s="9"/>
      <c r="EY181" s="9"/>
      <c r="EZ181" s="9"/>
      <c r="FA181" s="241"/>
      <c r="FB181" s="241"/>
      <c r="FC181" s="241"/>
      <c r="FD181" s="241"/>
      <c r="FE181" s="244"/>
      <c r="FF181" s="9"/>
      <c r="FG181" s="9"/>
      <c r="FH181" s="9"/>
      <c r="FI181" s="242"/>
      <c r="FJ181" s="242"/>
      <c r="FK181" s="9"/>
      <c r="FL181" s="9"/>
      <c r="FM181" s="9"/>
      <c r="FN181" s="9"/>
      <c r="FO181" s="9"/>
      <c r="FP181" s="9"/>
      <c r="FQ181" s="9"/>
      <c r="FR181" s="9"/>
      <c r="FS181" s="9"/>
      <c r="FT181" s="9"/>
      <c r="FU181" s="9"/>
      <c r="FV181" s="9"/>
      <c r="FW181" s="9"/>
      <c r="FX181" s="9"/>
      <c r="FY181" s="9"/>
      <c r="FZ181" s="9"/>
      <c r="GA181" s="9"/>
      <c r="GB181" s="9"/>
      <c r="GC181" s="9"/>
      <c r="GD181" s="9"/>
      <c r="GE181" s="9"/>
      <c r="GF181" s="9"/>
      <c r="GG181" s="9"/>
      <c r="GH181" s="9"/>
      <c r="GI181" s="9"/>
      <c r="GJ181" s="9"/>
      <c r="GK181" s="9"/>
      <c r="GL181" s="9"/>
      <c r="GM181" s="9"/>
      <c r="GN181" s="9"/>
      <c r="GO181" s="9"/>
      <c r="GP181" s="9"/>
      <c r="GQ181" s="9"/>
      <c r="GR181" s="9"/>
      <c r="GS181" s="9"/>
      <c r="GT181" s="9"/>
      <c r="GU181" s="9"/>
      <c r="GV181" s="9"/>
      <c r="GW181" s="9"/>
      <c r="GX181" s="9"/>
      <c r="GY181" s="9"/>
      <c r="GZ181" s="9"/>
    </row>
    <row r="182" spans="5:208">
      <c r="E182" s="243"/>
      <c r="F182" s="9"/>
      <c r="H182" s="243"/>
      <c r="Y182" s="9"/>
      <c r="AA182" s="9"/>
      <c r="AC182" s="9"/>
      <c r="AE182" s="9"/>
      <c r="AF182" s="9"/>
      <c r="AG182" s="9"/>
      <c r="AH182" s="9"/>
      <c r="AI182" s="9"/>
      <c r="AJ182" s="9"/>
      <c r="AK182" s="9"/>
      <c r="AO182" s="9"/>
      <c r="AQ182" s="9"/>
      <c r="AR182" s="9"/>
      <c r="BC182" s="9"/>
      <c r="BQ182" s="241"/>
      <c r="BR182" s="241"/>
      <c r="BS182" s="241"/>
      <c r="BT182" s="7"/>
      <c r="BU182" s="9"/>
      <c r="BX182" s="241"/>
      <c r="BY182" s="241"/>
      <c r="BZ182" s="8"/>
      <c r="CA182" s="241"/>
      <c r="CD182" s="241"/>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c r="DN182" s="9"/>
      <c r="DO182" s="9"/>
      <c r="DP182" s="9"/>
      <c r="DQ182" s="9"/>
      <c r="DR182" s="9"/>
      <c r="DS182" s="9"/>
      <c r="DT182" s="9"/>
      <c r="DU182" s="9"/>
      <c r="DV182" s="9"/>
      <c r="DW182" s="9"/>
      <c r="DX182" s="9"/>
      <c r="DY182" s="9"/>
      <c r="DZ182" s="9"/>
      <c r="EA182" s="9"/>
      <c r="EB182" s="9"/>
      <c r="EC182" s="9"/>
      <c r="ED182" s="9"/>
      <c r="EE182" s="9"/>
      <c r="EF182" s="9"/>
      <c r="EG182" s="9"/>
      <c r="EH182" s="9"/>
      <c r="EI182" s="9"/>
      <c r="EJ182" s="9"/>
      <c r="EK182" s="9"/>
      <c r="EL182" s="9"/>
      <c r="EM182" s="9"/>
      <c r="EN182" s="9"/>
      <c r="EO182" s="9"/>
      <c r="EP182" s="9"/>
      <c r="EQ182" s="9"/>
      <c r="ER182" s="9"/>
      <c r="ES182" s="9"/>
      <c r="ET182" s="9"/>
      <c r="EU182" s="9"/>
      <c r="EV182" s="9"/>
      <c r="EW182" s="9"/>
      <c r="EX182" s="9"/>
      <c r="EY182" s="9"/>
      <c r="EZ182" s="9"/>
      <c r="FA182" s="241"/>
      <c r="FB182" s="241"/>
      <c r="FC182" s="241"/>
      <c r="FD182" s="241"/>
      <c r="FE182" s="244"/>
      <c r="FF182" s="9"/>
      <c r="FG182" s="9"/>
      <c r="FH182" s="9"/>
      <c r="FI182" s="242"/>
      <c r="FJ182" s="242"/>
      <c r="FK182" s="9"/>
      <c r="FL182" s="9"/>
      <c r="FM182" s="9"/>
      <c r="FN182" s="9"/>
      <c r="FO182" s="9"/>
      <c r="FP182" s="9"/>
      <c r="FQ182" s="9"/>
      <c r="FR182" s="9"/>
      <c r="FS182" s="9"/>
      <c r="FT182" s="9"/>
      <c r="FU182" s="9"/>
      <c r="FV182" s="9"/>
      <c r="FW182" s="9"/>
      <c r="FX182" s="9"/>
      <c r="FY182" s="9"/>
      <c r="FZ182" s="9"/>
      <c r="GA182" s="9"/>
      <c r="GB182" s="9"/>
      <c r="GC182" s="9"/>
      <c r="GD182" s="9"/>
      <c r="GE182" s="9"/>
      <c r="GF182" s="9"/>
      <c r="GG182" s="9"/>
      <c r="GH182" s="9"/>
      <c r="GI182" s="9"/>
      <c r="GJ182" s="9"/>
      <c r="GK182" s="9"/>
      <c r="GL182" s="9"/>
      <c r="GM182" s="9"/>
      <c r="GN182" s="9"/>
      <c r="GO182" s="9"/>
      <c r="GP182" s="9"/>
      <c r="GQ182" s="9"/>
      <c r="GR182" s="9"/>
      <c r="GS182" s="9"/>
      <c r="GT182" s="9"/>
      <c r="GU182" s="9"/>
      <c r="GV182" s="9"/>
      <c r="GW182" s="9"/>
      <c r="GX182" s="9"/>
      <c r="GY182" s="9"/>
      <c r="GZ182" s="9"/>
    </row>
    <row r="183" spans="5:208">
      <c r="E183" s="243"/>
      <c r="F183" s="9"/>
      <c r="H183" s="243"/>
      <c r="Y183" s="9"/>
      <c r="AA183" s="9"/>
      <c r="AC183" s="9"/>
      <c r="AE183" s="9"/>
      <c r="AF183" s="9"/>
      <c r="AG183" s="9"/>
      <c r="AH183" s="9"/>
      <c r="AI183" s="9"/>
      <c r="AJ183" s="9"/>
      <c r="AK183" s="9"/>
      <c r="AO183" s="9"/>
      <c r="AQ183" s="9"/>
      <c r="AR183" s="9"/>
      <c r="BC183" s="9"/>
      <c r="BQ183" s="241"/>
      <c r="BR183" s="241"/>
      <c r="BS183" s="241"/>
      <c r="BT183" s="7"/>
      <c r="BU183" s="9"/>
      <c r="BX183" s="241"/>
      <c r="BY183" s="241"/>
      <c r="BZ183" s="8"/>
      <c r="CA183" s="241"/>
      <c r="CD183" s="241"/>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c r="EG183" s="9"/>
      <c r="EH183" s="9"/>
      <c r="EI183" s="9"/>
      <c r="EJ183" s="9"/>
      <c r="EK183" s="9"/>
      <c r="EL183" s="9"/>
      <c r="EM183" s="9"/>
      <c r="EN183" s="9"/>
      <c r="EO183" s="9"/>
      <c r="EP183" s="9"/>
      <c r="EQ183" s="9"/>
      <c r="ER183" s="9"/>
      <c r="ES183" s="9"/>
      <c r="ET183" s="9"/>
      <c r="EU183" s="9"/>
      <c r="EV183" s="9"/>
      <c r="EW183" s="9"/>
      <c r="EX183" s="9"/>
      <c r="EY183" s="9"/>
      <c r="EZ183" s="9"/>
      <c r="FA183" s="241"/>
      <c r="FB183" s="241"/>
      <c r="FC183" s="241"/>
      <c r="FD183" s="241"/>
      <c r="FE183" s="244"/>
      <c r="FF183" s="9"/>
      <c r="FG183" s="9"/>
      <c r="FH183" s="9"/>
      <c r="FI183" s="242"/>
      <c r="FJ183" s="242"/>
      <c r="FK183" s="9"/>
      <c r="FL183" s="9"/>
      <c r="FM183" s="9"/>
      <c r="FN183" s="9"/>
      <c r="FO183" s="9"/>
      <c r="FP183" s="9"/>
      <c r="FQ183" s="9"/>
      <c r="FR183" s="9"/>
      <c r="FS183" s="9"/>
      <c r="FT183" s="9"/>
      <c r="FU183" s="9"/>
      <c r="FV183" s="9"/>
      <c r="FW183" s="9"/>
      <c r="FX183" s="9"/>
      <c r="FY183" s="9"/>
      <c r="FZ183" s="9"/>
      <c r="GA183" s="9"/>
      <c r="GB183" s="9"/>
      <c r="GC183" s="9"/>
      <c r="GD183" s="9"/>
      <c r="GE183" s="9"/>
      <c r="GF183" s="9"/>
      <c r="GG183" s="9"/>
      <c r="GH183" s="9"/>
      <c r="GI183" s="9"/>
      <c r="GJ183" s="9"/>
      <c r="GK183" s="9"/>
      <c r="GL183" s="9"/>
      <c r="GM183" s="9"/>
      <c r="GN183" s="9"/>
      <c r="GO183" s="9"/>
      <c r="GP183" s="9"/>
      <c r="GQ183" s="9"/>
      <c r="GR183" s="9"/>
      <c r="GS183" s="9"/>
      <c r="GT183" s="9"/>
      <c r="GU183" s="9"/>
      <c r="GV183" s="9"/>
      <c r="GW183" s="9"/>
      <c r="GX183" s="9"/>
      <c r="GY183" s="9"/>
      <c r="GZ183" s="9"/>
    </row>
    <row r="184" spans="5:208">
      <c r="E184" s="243"/>
      <c r="F184" s="9"/>
      <c r="H184" s="243"/>
      <c r="Y184" s="9"/>
      <c r="AA184" s="9"/>
      <c r="AC184" s="9"/>
      <c r="AE184" s="9"/>
      <c r="AF184" s="9"/>
      <c r="AG184" s="9"/>
      <c r="AH184" s="9"/>
      <c r="AI184" s="9"/>
      <c r="AJ184" s="9"/>
      <c r="AK184" s="9"/>
      <c r="AO184" s="9"/>
      <c r="AQ184" s="9"/>
      <c r="AR184" s="9"/>
      <c r="BC184" s="9"/>
      <c r="BQ184" s="241"/>
      <c r="BR184" s="241"/>
      <c r="BS184" s="241"/>
      <c r="BT184" s="7"/>
      <c r="BU184" s="9"/>
      <c r="BX184" s="241"/>
      <c r="BY184" s="241"/>
      <c r="BZ184" s="8"/>
      <c r="CA184" s="241"/>
      <c r="CD184" s="241"/>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c r="DN184" s="9"/>
      <c r="DO184" s="9"/>
      <c r="DP184" s="9"/>
      <c r="DQ184" s="9"/>
      <c r="DR184" s="9"/>
      <c r="DS184" s="9"/>
      <c r="DT184" s="9"/>
      <c r="DU184" s="9"/>
      <c r="DV184" s="9"/>
      <c r="DW184" s="9"/>
      <c r="DX184" s="9"/>
      <c r="DY184" s="9"/>
      <c r="DZ184" s="9"/>
      <c r="EA184" s="9"/>
      <c r="EB184" s="9"/>
      <c r="EC184" s="9"/>
      <c r="ED184" s="9"/>
      <c r="EE184" s="9"/>
      <c r="EF184" s="9"/>
      <c r="EG184" s="9"/>
      <c r="EH184" s="9"/>
      <c r="EI184" s="9"/>
      <c r="EJ184" s="9"/>
      <c r="EK184" s="9"/>
      <c r="EL184" s="9"/>
      <c r="EM184" s="9"/>
      <c r="EN184" s="9"/>
      <c r="EO184" s="9"/>
      <c r="EP184" s="9"/>
      <c r="EQ184" s="9"/>
      <c r="ER184" s="9"/>
      <c r="ES184" s="9"/>
      <c r="ET184" s="9"/>
      <c r="EU184" s="9"/>
      <c r="EV184" s="9"/>
      <c r="EW184" s="9"/>
      <c r="EX184" s="9"/>
      <c r="EY184" s="9"/>
      <c r="EZ184" s="9"/>
      <c r="FA184" s="241"/>
      <c r="FB184" s="241"/>
      <c r="FC184" s="241"/>
      <c r="FD184" s="241"/>
      <c r="FE184" s="244"/>
      <c r="FF184" s="9"/>
      <c r="FG184" s="9"/>
      <c r="FH184" s="9"/>
      <c r="FI184" s="242"/>
      <c r="FJ184" s="242"/>
      <c r="FK184" s="9"/>
      <c r="FL184" s="9"/>
      <c r="FM184" s="9"/>
      <c r="FN184" s="9"/>
      <c r="FO184" s="9"/>
      <c r="FP184" s="9"/>
      <c r="FQ184" s="9"/>
      <c r="FR184" s="9"/>
      <c r="FS184" s="9"/>
      <c r="FT184" s="9"/>
      <c r="FU184" s="9"/>
      <c r="FV184" s="9"/>
      <c r="FW184" s="9"/>
      <c r="FX184" s="9"/>
      <c r="FY184" s="9"/>
      <c r="FZ184" s="9"/>
      <c r="GA184" s="9"/>
      <c r="GB184" s="9"/>
      <c r="GC184" s="9"/>
      <c r="GD184" s="9"/>
      <c r="GE184" s="9"/>
      <c r="GF184" s="9"/>
      <c r="GG184" s="9"/>
      <c r="GH184" s="9"/>
      <c r="GI184" s="9"/>
      <c r="GJ184" s="9"/>
      <c r="GK184" s="9"/>
      <c r="GL184" s="9"/>
      <c r="GM184" s="9"/>
      <c r="GN184" s="9"/>
      <c r="GO184" s="9"/>
      <c r="GP184" s="9"/>
      <c r="GQ184" s="9"/>
      <c r="GR184" s="9"/>
      <c r="GS184" s="9"/>
      <c r="GT184" s="9"/>
      <c r="GU184" s="9"/>
      <c r="GV184" s="9"/>
      <c r="GW184" s="9"/>
      <c r="GX184" s="9"/>
      <c r="GY184" s="9"/>
      <c r="GZ184" s="9"/>
    </row>
    <row r="185" spans="5:208">
      <c r="E185" s="243"/>
      <c r="F185" s="9"/>
      <c r="H185" s="243"/>
      <c r="Y185" s="9"/>
      <c r="AA185" s="9"/>
      <c r="AC185" s="9"/>
      <c r="AE185" s="9"/>
      <c r="AF185" s="9"/>
      <c r="AG185" s="9"/>
      <c r="AH185" s="9"/>
      <c r="AI185" s="9"/>
      <c r="AJ185" s="9"/>
      <c r="AK185" s="9"/>
      <c r="AO185" s="9"/>
      <c r="AQ185" s="9"/>
      <c r="AR185" s="9"/>
      <c r="BC185" s="9"/>
      <c r="BQ185" s="241"/>
      <c r="BR185" s="241"/>
      <c r="BS185" s="241"/>
      <c r="BT185" s="7"/>
      <c r="BU185" s="9"/>
      <c r="BX185" s="241"/>
      <c r="BY185" s="241"/>
      <c r="BZ185" s="8"/>
      <c r="CA185" s="241"/>
      <c r="CD185" s="241"/>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c r="DN185" s="9"/>
      <c r="DO185" s="9"/>
      <c r="DP185" s="9"/>
      <c r="DQ185" s="9"/>
      <c r="DR185" s="9"/>
      <c r="DS185" s="9"/>
      <c r="DT185" s="9"/>
      <c r="DU185" s="9"/>
      <c r="DV185" s="9"/>
      <c r="DW185" s="9"/>
      <c r="DX185" s="9"/>
      <c r="DY185" s="9"/>
      <c r="DZ185" s="9"/>
      <c r="EA185" s="9"/>
      <c r="EB185" s="9"/>
      <c r="EC185" s="9"/>
      <c r="ED185" s="9"/>
      <c r="EE185" s="9"/>
      <c r="EF185" s="9"/>
      <c r="EG185" s="9"/>
      <c r="EH185" s="9"/>
      <c r="EI185" s="9"/>
      <c r="EJ185" s="9"/>
      <c r="EK185" s="9"/>
      <c r="EL185" s="9"/>
      <c r="EM185" s="9"/>
      <c r="EN185" s="9"/>
      <c r="EO185" s="9"/>
      <c r="EP185" s="9"/>
      <c r="EQ185" s="9"/>
      <c r="ER185" s="9"/>
      <c r="ES185" s="9"/>
      <c r="ET185" s="9"/>
      <c r="EU185" s="9"/>
      <c r="EV185" s="9"/>
      <c r="EW185" s="9"/>
      <c r="EX185" s="9"/>
      <c r="EY185" s="9"/>
      <c r="EZ185" s="9"/>
      <c r="FA185" s="241"/>
      <c r="FB185" s="241"/>
      <c r="FC185" s="241"/>
      <c r="FD185" s="241"/>
      <c r="FE185" s="244"/>
      <c r="FF185" s="9"/>
      <c r="FG185" s="9"/>
      <c r="FH185" s="9"/>
      <c r="FI185" s="242"/>
      <c r="FJ185" s="242"/>
      <c r="FK185" s="9"/>
      <c r="FL185" s="9"/>
      <c r="FM185" s="9"/>
      <c r="FN185" s="9"/>
      <c r="FO185" s="9"/>
      <c r="FP185" s="9"/>
      <c r="FQ185" s="9"/>
      <c r="FR185" s="9"/>
      <c r="FS185" s="9"/>
      <c r="FT185" s="9"/>
      <c r="FU185" s="9"/>
      <c r="FV185" s="9"/>
      <c r="FW185" s="9"/>
      <c r="FX185" s="9"/>
      <c r="FY185" s="9"/>
      <c r="FZ185" s="9"/>
      <c r="GA185" s="9"/>
      <c r="GB185" s="9"/>
      <c r="GC185" s="9"/>
      <c r="GD185" s="9"/>
      <c r="GE185" s="9"/>
      <c r="GF185" s="9"/>
      <c r="GG185" s="9"/>
      <c r="GH185" s="9"/>
      <c r="GI185" s="9"/>
      <c r="GJ185" s="9"/>
      <c r="GK185" s="9"/>
      <c r="GL185" s="9"/>
      <c r="GM185" s="9"/>
      <c r="GN185" s="9"/>
      <c r="GO185" s="9"/>
      <c r="GP185" s="9"/>
      <c r="GQ185" s="9"/>
      <c r="GR185" s="9"/>
      <c r="GS185" s="9"/>
      <c r="GT185" s="9"/>
      <c r="GU185" s="9"/>
      <c r="GV185" s="9"/>
      <c r="GW185" s="9"/>
      <c r="GX185" s="9"/>
      <c r="GY185" s="9"/>
      <c r="GZ185" s="9"/>
    </row>
    <row r="186" spans="5:208">
      <c r="E186" s="243"/>
      <c r="F186" s="9"/>
      <c r="H186" s="243"/>
      <c r="Y186" s="9"/>
      <c r="AA186" s="9"/>
      <c r="AC186" s="9"/>
      <c r="AE186" s="9"/>
      <c r="AF186" s="9"/>
      <c r="AG186" s="9"/>
      <c r="AH186" s="9"/>
      <c r="AI186" s="9"/>
      <c r="AJ186" s="9"/>
      <c r="AK186" s="9"/>
      <c r="AO186" s="9"/>
      <c r="AQ186" s="9"/>
      <c r="AR186" s="9"/>
      <c r="BC186" s="9"/>
      <c r="BQ186" s="241"/>
      <c r="BR186" s="241"/>
      <c r="BS186" s="241"/>
      <c r="BT186" s="7"/>
      <c r="BU186" s="9"/>
      <c r="BX186" s="241"/>
      <c r="BY186" s="241"/>
      <c r="BZ186" s="8"/>
      <c r="CA186" s="241"/>
      <c r="CD186" s="241"/>
      <c r="CE186" s="9"/>
      <c r="CF186" s="9"/>
      <c r="CG186" s="9"/>
      <c r="CH186" s="9"/>
      <c r="CI186" s="9"/>
      <c r="CJ186" s="9"/>
      <c r="CK186" s="9"/>
      <c r="CL186" s="9"/>
      <c r="CM186" s="9"/>
      <c r="CN186" s="9"/>
      <c r="CO186" s="9"/>
      <c r="CP186" s="9"/>
      <c r="CQ186" s="9"/>
      <c r="CR186" s="9"/>
      <c r="CS186" s="9"/>
      <c r="CT186" s="9"/>
      <c r="CU186" s="9"/>
      <c r="CV186" s="9"/>
      <c r="CW186" s="9"/>
      <c r="CX186" s="9"/>
      <c r="CY186" s="9"/>
      <c r="CZ186" s="9"/>
      <c r="DA186" s="9"/>
      <c r="DB186" s="9"/>
      <c r="DC186" s="9"/>
      <c r="DD186" s="9"/>
      <c r="DE186" s="9"/>
      <c r="DF186" s="9"/>
      <c r="DG186" s="9"/>
      <c r="DH186" s="9"/>
      <c r="DI186" s="9"/>
      <c r="DJ186" s="9"/>
      <c r="DK186" s="9"/>
      <c r="DL186" s="9"/>
      <c r="DM186" s="9"/>
      <c r="DN186" s="9"/>
      <c r="DO186" s="9"/>
      <c r="DP186" s="9"/>
      <c r="DQ186" s="9"/>
      <c r="DR186" s="9"/>
      <c r="DS186" s="9"/>
      <c r="DT186" s="9"/>
      <c r="DU186" s="9"/>
      <c r="DV186" s="9"/>
      <c r="DW186" s="9"/>
      <c r="DX186" s="9"/>
      <c r="DY186" s="9"/>
      <c r="DZ186" s="9"/>
      <c r="EA186" s="9"/>
      <c r="EB186" s="9"/>
      <c r="EC186" s="9"/>
      <c r="ED186" s="9"/>
      <c r="EE186" s="9"/>
      <c r="EF186" s="9"/>
      <c r="EG186" s="9"/>
      <c r="EH186" s="9"/>
      <c r="EI186" s="9"/>
      <c r="EJ186" s="9"/>
      <c r="EK186" s="9"/>
      <c r="EL186" s="9"/>
      <c r="EM186" s="9"/>
      <c r="EN186" s="9"/>
      <c r="EO186" s="9"/>
      <c r="EP186" s="9"/>
      <c r="EQ186" s="9"/>
      <c r="ER186" s="9"/>
      <c r="ES186" s="9"/>
      <c r="ET186" s="9"/>
      <c r="EU186" s="9"/>
      <c r="EV186" s="9"/>
      <c r="EW186" s="9"/>
      <c r="EX186" s="9"/>
      <c r="EY186" s="9"/>
      <c r="EZ186" s="9"/>
      <c r="FA186" s="241"/>
      <c r="FB186" s="241"/>
      <c r="FC186" s="241"/>
      <c r="FD186" s="241"/>
      <c r="FE186" s="244"/>
      <c r="FF186" s="9"/>
      <c r="FG186" s="9"/>
      <c r="FH186" s="9"/>
      <c r="FI186" s="242"/>
      <c r="FJ186" s="242"/>
      <c r="FK186" s="9"/>
      <c r="FL186" s="9"/>
      <c r="FM186" s="9"/>
      <c r="FN186" s="9"/>
      <c r="FO186" s="9"/>
      <c r="FP186" s="9"/>
      <c r="FQ186" s="9"/>
      <c r="FR186" s="9"/>
      <c r="FS186" s="9"/>
      <c r="FT186" s="9"/>
      <c r="FU186" s="9"/>
      <c r="FV186" s="9"/>
      <c r="FW186" s="9"/>
      <c r="FX186" s="9"/>
      <c r="FY186" s="9"/>
      <c r="FZ186" s="9"/>
      <c r="GA186" s="9"/>
      <c r="GB186" s="9"/>
      <c r="GC186" s="9"/>
      <c r="GD186" s="9"/>
      <c r="GE186" s="9"/>
      <c r="GF186" s="9"/>
      <c r="GG186" s="9"/>
      <c r="GH186" s="9"/>
      <c r="GI186" s="9"/>
      <c r="GJ186" s="9"/>
      <c r="GK186" s="9"/>
      <c r="GL186" s="9"/>
      <c r="GM186" s="9"/>
      <c r="GN186" s="9"/>
      <c r="GO186" s="9"/>
      <c r="GP186" s="9"/>
      <c r="GQ186" s="9"/>
      <c r="GR186" s="9"/>
      <c r="GS186" s="9"/>
      <c r="GT186" s="9"/>
      <c r="GU186" s="9"/>
      <c r="GV186" s="9"/>
      <c r="GW186" s="9"/>
      <c r="GX186" s="9"/>
      <c r="GY186" s="9"/>
      <c r="GZ186" s="9"/>
    </row>
    <row r="187" spans="5:208">
      <c r="E187" s="243"/>
      <c r="F187" s="9"/>
      <c r="H187" s="243"/>
      <c r="Y187" s="9"/>
      <c r="AA187" s="9"/>
      <c r="AC187" s="9"/>
      <c r="AE187" s="9"/>
      <c r="AF187" s="9"/>
      <c r="AG187" s="9"/>
      <c r="AH187" s="9"/>
      <c r="AI187" s="9"/>
      <c r="AJ187" s="9"/>
      <c r="AK187" s="9"/>
      <c r="AO187" s="9"/>
      <c r="AQ187" s="9"/>
      <c r="AR187" s="9"/>
      <c r="BC187" s="9"/>
      <c r="BQ187" s="241"/>
      <c r="BR187" s="241"/>
      <c r="BS187" s="241"/>
      <c r="BT187" s="7"/>
      <c r="BU187" s="9"/>
      <c r="BX187" s="241"/>
      <c r="BY187" s="241"/>
      <c r="BZ187" s="8"/>
      <c r="CA187" s="241"/>
      <c r="CD187" s="241"/>
      <c r="CE187" s="9"/>
      <c r="CF187" s="9"/>
      <c r="CG187" s="9"/>
      <c r="CH187" s="9"/>
      <c r="CI187" s="9"/>
      <c r="CJ187" s="9"/>
      <c r="CK187" s="9"/>
      <c r="CL187" s="9"/>
      <c r="CM187" s="9"/>
      <c r="CN187" s="9"/>
      <c r="CO187" s="9"/>
      <c r="CP187" s="9"/>
      <c r="CQ187" s="9"/>
      <c r="CR187" s="9"/>
      <c r="CS187" s="9"/>
      <c r="CT187" s="9"/>
      <c r="CU187" s="9"/>
      <c r="CV187" s="9"/>
      <c r="CW187" s="9"/>
      <c r="CX187" s="9"/>
      <c r="CY187" s="9"/>
      <c r="CZ187" s="9"/>
      <c r="DA187" s="9"/>
      <c r="DB187" s="9"/>
      <c r="DC187" s="9"/>
      <c r="DD187" s="9"/>
      <c r="DE187" s="9"/>
      <c r="DF187" s="9"/>
      <c r="DG187" s="9"/>
      <c r="DH187" s="9"/>
      <c r="DI187" s="9"/>
      <c r="DJ187" s="9"/>
      <c r="DK187" s="9"/>
      <c r="DL187" s="9"/>
      <c r="DM187" s="9"/>
      <c r="DN187" s="9"/>
      <c r="DO187" s="9"/>
      <c r="DP187" s="9"/>
      <c r="DQ187" s="9"/>
      <c r="DR187" s="9"/>
      <c r="DS187" s="9"/>
      <c r="DT187" s="9"/>
      <c r="DU187" s="9"/>
      <c r="DV187" s="9"/>
      <c r="DW187" s="9"/>
      <c r="DX187" s="9"/>
      <c r="DY187" s="9"/>
      <c r="DZ187" s="9"/>
      <c r="EA187" s="9"/>
      <c r="EB187" s="9"/>
      <c r="EC187" s="9"/>
      <c r="ED187" s="9"/>
      <c r="EE187" s="9"/>
      <c r="EF187" s="9"/>
      <c r="EG187" s="9"/>
      <c r="EH187" s="9"/>
      <c r="EI187" s="9"/>
      <c r="EJ187" s="9"/>
      <c r="EK187" s="9"/>
      <c r="EL187" s="9"/>
      <c r="EM187" s="9"/>
      <c r="EN187" s="9"/>
      <c r="EO187" s="9"/>
      <c r="EP187" s="9"/>
      <c r="EQ187" s="9"/>
      <c r="ER187" s="9"/>
      <c r="ES187" s="9"/>
      <c r="ET187" s="9"/>
      <c r="EU187" s="9"/>
      <c r="EV187" s="9"/>
      <c r="EW187" s="9"/>
      <c r="EX187" s="9"/>
      <c r="EY187" s="9"/>
      <c r="EZ187" s="9"/>
      <c r="FA187" s="241"/>
      <c r="FB187" s="241"/>
      <c r="FC187" s="241"/>
      <c r="FD187" s="241"/>
      <c r="FE187" s="244"/>
      <c r="FF187" s="9"/>
      <c r="FG187" s="9"/>
      <c r="FH187" s="9"/>
      <c r="FI187" s="242"/>
      <c r="FJ187" s="242"/>
      <c r="FK187" s="9"/>
      <c r="FL187" s="9"/>
      <c r="FM187" s="9"/>
      <c r="FN187" s="9"/>
      <c r="FO187" s="9"/>
      <c r="FP187" s="9"/>
      <c r="FQ187" s="9"/>
      <c r="FR187" s="9"/>
      <c r="FS187" s="9"/>
      <c r="FT187" s="9"/>
      <c r="FU187" s="9"/>
      <c r="FV187" s="9"/>
      <c r="FW187" s="9"/>
      <c r="FX187" s="9"/>
      <c r="FY187" s="9"/>
      <c r="FZ187" s="9"/>
      <c r="GA187" s="9"/>
      <c r="GB187" s="9"/>
      <c r="GC187" s="9"/>
      <c r="GD187" s="9"/>
      <c r="GE187" s="9"/>
      <c r="GF187" s="9"/>
      <c r="GG187" s="9"/>
      <c r="GH187" s="9"/>
      <c r="GI187" s="9"/>
      <c r="GJ187" s="9"/>
      <c r="GK187" s="9"/>
      <c r="GL187" s="9"/>
      <c r="GM187" s="9"/>
      <c r="GN187" s="9"/>
      <c r="GO187" s="9"/>
      <c r="GP187" s="9"/>
      <c r="GQ187" s="9"/>
      <c r="GR187" s="9"/>
      <c r="GS187" s="9"/>
      <c r="GT187" s="9"/>
      <c r="GU187" s="9"/>
      <c r="GV187" s="9"/>
      <c r="GW187" s="9"/>
      <c r="GX187" s="9"/>
      <c r="GY187" s="9"/>
      <c r="GZ187" s="9"/>
    </row>
    <row r="188" spans="5:208">
      <c r="E188" s="243"/>
      <c r="F188" s="9"/>
      <c r="H188" s="243"/>
      <c r="Y188" s="9"/>
      <c r="AA188" s="9"/>
      <c r="AC188" s="9"/>
      <c r="AE188" s="9"/>
      <c r="AF188" s="9"/>
      <c r="AG188" s="9"/>
      <c r="AH188" s="9"/>
      <c r="AI188" s="9"/>
      <c r="AJ188" s="9"/>
      <c r="AK188" s="9"/>
      <c r="AO188" s="9"/>
      <c r="AQ188" s="9"/>
      <c r="AR188" s="9"/>
      <c r="BC188" s="9"/>
      <c r="BQ188" s="241"/>
      <c r="BR188" s="241"/>
      <c r="BS188" s="241"/>
      <c r="BT188" s="7"/>
      <c r="BU188" s="9"/>
      <c r="BX188" s="241"/>
      <c r="BY188" s="241"/>
      <c r="BZ188" s="8"/>
      <c r="CA188" s="241"/>
      <c r="CD188" s="241"/>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c r="DE188" s="9"/>
      <c r="DF188" s="9"/>
      <c r="DG188" s="9"/>
      <c r="DH188" s="9"/>
      <c r="DI188" s="9"/>
      <c r="DJ188" s="9"/>
      <c r="DK188" s="9"/>
      <c r="DL188" s="9"/>
      <c r="DM188" s="9"/>
      <c r="DN188" s="9"/>
      <c r="DO188" s="9"/>
      <c r="DP188" s="9"/>
      <c r="DQ188" s="9"/>
      <c r="DR188" s="9"/>
      <c r="DS188" s="9"/>
      <c r="DT188" s="9"/>
      <c r="DU188" s="9"/>
      <c r="DV188" s="9"/>
      <c r="DW188" s="9"/>
      <c r="DX188" s="9"/>
      <c r="DY188" s="9"/>
      <c r="DZ188" s="9"/>
      <c r="EA188" s="9"/>
      <c r="EB188" s="9"/>
      <c r="EC188" s="9"/>
      <c r="ED188" s="9"/>
      <c r="EE188" s="9"/>
      <c r="EF188" s="9"/>
      <c r="EG188" s="9"/>
      <c r="EH188" s="9"/>
      <c r="EI188" s="9"/>
      <c r="EJ188" s="9"/>
      <c r="EK188" s="9"/>
      <c r="EL188" s="9"/>
      <c r="EM188" s="9"/>
      <c r="EN188" s="9"/>
      <c r="EO188" s="9"/>
      <c r="EP188" s="9"/>
      <c r="EQ188" s="9"/>
      <c r="ER188" s="9"/>
      <c r="ES188" s="9"/>
      <c r="ET188" s="9"/>
      <c r="EU188" s="9"/>
      <c r="EV188" s="9"/>
      <c r="EW188" s="9"/>
      <c r="EX188" s="9"/>
      <c r="EY188" s="9"/>
      <c r="EZ188" s="9"/>
      <c r="FA188" s="241"/>
      <c r="FB188" s="241"/>
      <c r="FC188" s="241"/>
      <c r="FD188" s="241"/>
      <c r="FE188" s="244"/>
      <c r="FF188" s="9"/>
      <c r="FG188" s="9"/>
      <c r="FH188" s="9"/>
      <c r="FI188" s="242"/>
      <c r="FJ188" s="242"/>
      <c r="FK188" s="9"/>
      <c r="FL188" s="9"/>
      <c r="FM188" s="9"/>
      <c r="FN188" s="9"/>
      <c r="FO188" s="9"/>
      <c r="FP188" s="9"/>
      <c r="FQ188" s="9"/>
      <c r="FR188" s="9"/>
      <c r="FS188" s="9"/>
      <c r="FT188" s="9"/>
      <c r="FU188" s="9"/>
      <c r="FV188" s="9"/>
      <c r="FW188" s="9"/>
      <c r="FX188" s="9"/>
      <c r="FY188" s="9"/>
      <c r="FZ188" s="9"/>
      <c r="GA188" s="9"/>
      <c r="GB188" s="9"/>
      <c r="GC188" s="9"/>
      <c r="GD188" s="9"/>
      <c r="GE188" s="9"/>
      <c r="GF188" s="9"/>
      <c r="GG188" s="9"/>
      <c r="GH188" s="9"/>
      <c r="GI188" s="9"/>
      <c r="GJ188" s="9"/>
      <c r="GK188" s="9"/>
      <c r="GL188" s="9"/>
      <c r="GM188" s="9"/>
      <c r="GN188" s="9"/>
      <c r="GO188" s="9"/>
      <c r="GP188" s="9"/>
      <c r="GQ188" s="9"/>
      <c r="GR188" s="9"/>
      <c r="GS188" s="9"/>
      <c r="GT188" s="9"/>
      <c r="GU188" s="9"/>
      <c r="GV188" s="9"/>
      <c r="GW188" s="9"/>
      <c r="GX188" s="9"/>
      <c r="GY188" s="9"/>
      <c r="GZ188" s="9"/>
    </row>
    <row r="189" spans="5:208">
      <c r="E189" s="243"/>
      <c r="F189" s="9"/>
      <c r="H189" s="243"/>
      <c r="Y189" s="9"/>
      <c r="AA189" s="9"/>
      <c r="AC189" s="9"/>
      <c r="AE189" s="9"/>
      <c r="AF189" s="9"/>
      <c r="AG189" s="9"/>
      <c r="AH189" s="9"/>
      <c r="AI189" s="9"/>
      <c r="AJ189" s="9"/>
      <c r="AK189" s="9"/>
      <c r="AO189" s="9"/>
      <c r="AQ189" s="9"/>
      <c r="AR189" s="9"/>
      <c r="BC189" s="9"/>
      <c r="BQ189" s="241"/>
      <c r="BR189" s="241"/>
      <c r="BS189" s="241"/>
      <c r="BT189" s="7"/>
      <c r="BU189" s="9"/>
      <c r="BX189" s="241"/>
      <c r="BY189" s="241"/>
      <c r="BZ189" s="8"/>
      <c r="CA189" s="241"/>
      <c r="CD189" s="241"/>
      <c r="CE189" s="9"/>
      <c r="CF189" s="9"/>
      <c r="CG189" s="9"/>
      <c r="CH189" s="9"/>
      <c r="CI189" s="9"/>
      <c r="CJ189" s="9"/>
      <c r="CK189" s="9"/>
      <c r="CL189" s="9"/>
      <c r="CM189" s="9"/>
      <c r="CN189" s="9"/>
      <c r="CO189" s="9"/>
      <c r="CP189" s="9"/>
      <c r="CQ189" s="9"/>
      <c r="CR189" s="9"/>
      <c r="CS189" s="9"/>
      <c r="CT189" s="9"/>
      <c r="CU189" s="9"/>
      <c r="CV189" s="9"/>
      <c r="CW189" s="9"/>
      <c r="CX189" s="9"/>
      <c r="CY189" s="9"/>
      <c r="CZ189" s="9"/>
      <c r="DA189" s="9"/>
      <c r="DB189" s="9"/>
      <c r="DC189" s="9"/>
      <c r="DD189" s="9"/>
      <c r="DE189" s="9"/>
      <c r="DF189" s="9"/>
      <c r="DG189" s="9"/>
      <c r="DH189" s="9"/>
      <c r="DI189" s="9"/>
      <c r="DJ189" s="9"/>
      <c r="DK189" s="9"/>
      <c r="DL189" s="9"/>
      <c r="DM189" s="9"/>
      <c r="DN189" s="9"/>
      <c r="DO189" s="9"/>
      <c r="DP189" s="9"/>
      <c r="DQ189" s="9"/>
      <c r="DR189" s="9"/>
      <c r="DS189" s="9"/>
      <c r="DT189" s="9"/>
      <c r="DU189" s="9"/>
      <c r="DV189" s="9"/>
      <c r="DW189" s="9"/>
      <c r="DX189" s="9"/>
      <c r="DY189" s="9"/>
      <c r="DZ189" s="9"/>
      <c r="EA189" s="9"/>
      <c r="EB189" s="9"/>
      <c r="EC189" s="9"/>
      <c r="ED189" s="9"/>
      <c r="EE189" s="9"/>
      <c r="EF189" s="9"/>
      <c r="EG189" s="9"/>
      <c r="EH189" s="9"/>
      <c r="EI189" s="9"/>
      <c r="EJ189" s="9"/>
      <c r="EK189" s="9"/>
      <c r="EL189" s="9"/>
      <c r="EM189" s="9"/>
      <c r="EN189" s="9"/>
      <c r="EO189" s="9"/>
      <c r="EP189" s="9"/>
      <c r="EQ189" s="9"/>
      <c r="ER189" s="9"/>
      <c r="ES189" s="9"/>
      <c r="ET189" s="9"/>
      <c r="EU189" s="9"/>
      <c r="EV189" s="9"/>
      <c r="EW189" s="9"/>
      <c r="EX189" s="9"/>
      <c r="EY189" s="9"/>
      <c r="EZ189" s="9"/>
      <c r="FA189" s="241"/>
      <c r="FB189" s="241"/>
      <c r="FC189" s="241"/>
      <c r="FD189" s="241"/>
      <c r="FE189" s="244"/>
      <c r="FF189" s="9"/>
      <c r="FG189" s="9"/>
      <c r="FH189" s="9"/>
      <c r="FI189" s="242"/>
      <c r="FJ189" s="242"/>
      <c r="FK189" s="9"/>
      <c r="FL189" s="9"/>
      <c r="FM189" s="9"/>
      <c r="FN189" s="9"/>
      <c r="FO189" s="9"/>
      <c r="FP189" s="9"/>
      <c r="FQ189" s="9"/>
      <c r="FR189" s="9"/>
      <c r="FS189" s="9"/>
      <c r="FT189" s="9"/>
      <c r="FU189" s="9"/>
      <c r="FV189" s="9"/>
      <c r="FW189" s="9"/>
      <c r="FX189" s="9"/>
      <c r="FY189" s="9"/>
      <c r="FZ189" s="9"/>
      <c r="GA189" s="9"/>
      <c r="GB189" s="9"/>
      <c r="GC189" s="9"/>
      <c r="GD189" s="9"/>
      <c r="GE189" s="9"/>
      <c r="GF189" s="9"/>
      <c r="GG189" s="9"/>
      <c r="GH189" s="9"/>
      <c r="GI189" s="9"/>
      <c r="GJ189" s="9"/>
      <c r="GK189" s="9"/>
      <c r="GL189" s="9"/>
      <c r="GM189" s="9"/>
      <c r="GN189" s="9"/>
      <c r="GO189" s="9"/>
      <c r="GP189" s="9"/>
      <c r="GQ189" s="9"/>
      <c r="GR189" s="9"/>
      <c r="GS189" s="9"/>
      <c r="GT189" s="9"/>
      <c r="GU189" s="9"/>
      <c r="GV189" s="9"/>
      <c r="GW189" s="9"/>
      <c r="GX189" s="9"/>
      <c r="GY189" s="9"/>
      <c r="GZ189" s="9"/>
    </row>
    <row r="190" spans="5:208">
      <c r="E190" s="243"/>
      <c r="F190" s="9"/>
      <c r="H190" s="243"/>
      <c r="Y190" s="9"/>
      <c r="AA190" s="9"/>
      <c r="AC190" s="9"/>
      <c r="AE190" s="9"/>
      <c r="AF190" s="9"/>
      <c r="AG190" s="9"/>
      <c r="AH190" s="9"/>
      <c r="AI190" s="9"/>
      <c r="AJ190" s="9"/>
      <c r="AK190" s="9"/>
      <c r="AO190" s="9"/>
      <c r="AQ190" s="9"/>
      <c r="AR190" s="9"/>
      <c r="BC190" s="9"/>
      <c r="BQ190" s="241"/>
      <c r="BR190" s="241"/>
      <c r="BS190" s="241"/>
      <c r="BT190" s="7"/>
      <c r="BU190" s="9"/>
      <c r="BX190" s="241"/>
      <c r="BY190" s="241"/>
      <c r="BZ190" s="8"/>
      <c r="CA190" s="241"/>
      <c r="CD190" s="241"/>
      <c r="CE190" s="9"/>
      <c r="CF190" s="9"/>
      <c r="CG190" s="9"/>
      <c r="CH190" s="9"/>
      <c r="CI190" s="9"/>
      <c r="CJ190" s="9"/>
      <c r="CK190" s="9"/>
      <c r="CL190" s="9"/>
      <c r="CM190" s="9"/>
      <c r="CN190" s="9"/>
      <c r="CO190" s="9"/>
      <c r="CP190" s="9"/>
      <c r="CQ190" s="9"/>
      <c r="CR190" s="9"/>
      <c r="CS190" s="9"/>
      <c r="CT190" s="9"/>
      <c r="CU190" s="9"/>
      <c r="CV190" s="9"/>
      <c r="CW190" s="9"/>
      <c r="CX190" s="9"/>
      <c r="CY190" s="9"/>
      <c r="CZ190" s="9"/>
      <c r="DA190" s="9"/>
      <c r="DB190" s="9"/>
      <c r="DC190" s="9"/>
      <c r="DD190" s="9"/>
      <c r="DE190" s="9"/>
      <c r="DF190" s="9"/>
      <c r="DG190" s="9"/>
      <c r="DH190" s="9"/>
      <c r="DI190" s="9"/>
      <c r="DJ190" s="9"/>
      <c r="DK190" s="9"/>
      <c r="DL190" s="9"/>
      <c r="DM190" s="9"/>
      <c r="DN190" s="9"/>
      <c r="DO190" s="9"/>
      <c r="DP190" s="9"/>
      <c r="DQ190" s="9"/>
      <c r="DR190" s="9"/>
      <c r="DS190" s="9"/>
      <c r="DT190" s="9"/>
      <c r="DU190" s="9"/>
      <c r="DV190" s="9"/>
      <c r="DW190" s="9"/>
      <c r="DX190" s="9"/>
      <c r="DY190" s="9"/>
      <c r="DZ190" s="9"/>
      <c r="EA190" s="9"/>
      <c r="EB190" s="9"/>
      <c r="EC190" s="9"/>
      <c r="ED190" s="9"/>
      <c r="EE190" s="9"/>
      <c r="EF190" s="9"/>
      <c r="EG190" s="9"/>
      <c r="EH190" s="9"/>
      <c r="EI190" s="9"/>
      <c r="EJ190" s="9"/>
      <c r="EK190" s="9"/>
      <c r="EL190" s="9"/>
      <c r="EM190" s="9"/>
      <c r="EN190" s="9"/>
      <c r="EO190" s="9"/>
      <c r="EP190" s="9"/>
      <c r="EQ190" s="9"/>
      <c r="ER190" s="9"/>
      <c r="ES190" s="9"/>
      <c r="ET190" s="9"/>
      <c r="EU190" s="9"/>
      <c r="EV190" s="9"/>
      <c r="EW190" s="9"/>
      <c r="EX190" s="9"/>
      <c r="EY190" s="9"/>
      <c r="EZ190" s="9"/>
      <c r="FA190" s="241"/>
      <c r="FB190" s="241"/>
      <c r="FC190" s="241"/>
      <c r="FD190" s="241"/>
      <c r="FE190" s="244"/>
      <c r="FF190" s="9"/>
      <c r="FG190" s="9"/>
      <c r="FH190" s="9"/>
      <c r="FI190" s="242"/>
      <c r="FJ190" s="242"/>
      <c r="FK190" s="9"/>
      <c r="FL190" s="9"/>
      <c r="FM190" s="9"/>
      <c r="FN190" s="9"/>
      <c r="FO190" s="9"/>
      <c r="FP190" s="9"/>
      <c r="FQ190" s="9"/>
      <c r="FR190" s="9"/>
      <c r="FS190" s="9"/>
      <c r="FT190" s="9"/>
      <c r="FU190" s="9"/>
      <c r="FV190" s="9"/>
      <c r="FW190" s="9"/>
      <c r="FX190" s="9"/>
      <c r="FY190" s="9"/>
      <c r="FZ190" s="9"/>
      <c r="GA190" s="9"/>
      <c r="GB190" s="9"/>
      <c r="GC190" s="9"/>
      <c r="GD190" s="9"/>
      <c r="GE190" s="9"/>
      <c r="GF190" s="9"/>
      <c r="GG190" s="9"/>
      <c r="GH190" s="9"/>
      <c r="GI190" s="9"/>
      <c r="GJ190" s="9"/>
      <c r="GK190" s="9"/>
      <c r="GL190" s="9"/>
      <c r="GM190" s="9"/>
      <c r="GN190" s="9"/>
      <c r="GO190" s="9"/>
      <c r="GP190" s="9"/>
      <c r="GQ190" s="9"/>
      <c r="GR190" s="9"/>
      <c r="GS190" s="9"/>
      <c r="GT190" s="9"/>
      <c r="GU190" s="9"/>
      <c r="GV190" s="9"/>
      <c r="GW190" s="9"/>
      <c r="GX190" s="9"/>
      <c r="GY190" s="9"/>
      <c r="GZ190" s="9"/>
    </row>
    <row r="191" spans="5:208">
      <c r="E191" s="243"/>
      <c r="F191" s="9"/>
      <c r="H191" s="243"/>
      <c r="Y191" s="9"/>
      <c r="AA191" s="9"/>
      <c r="AC191" s="9"/>
      <c r="AE191" s="9"/>
      <c r="AF191" s="9"/>
      <c r="AG191" s="9"/>
      <c r="AH191" s="9"/>
      <c r="AI191" s="9"/>
      <c r="AJ191" s="9"/>
      <c r="AK191" s="9"/>
      <c r="AO191" s="9"/>
      <c r="AQ191" s="9"/>
      <c r="AR191" s="9"/>
      <c r="BC191" s="9"/>
      <c r="BQ191" s="241"/>
      <c r="BR191" s="241"/>
      <c r="BS191" s="241"/>
      <c r="BT191" s="7"/>
      <c r="BU191" s="9"/>
      <c r="BX191" s="241"/>
      <c r="BY191" s="241"/>
      <c r="BZ191" s="8"/>
      <c r="CA191" s="241"/>
      <c r="CD191" s="241"/>
      <c r="CE191" s="9"/>
      <c r="CF191" s="9"/>
      <c r="CG191" s="9"/>
      <c r="CH191" s="9"/>
      <c r="CI191" s="9"/>
      <c r="CJ191" s="9"/>
      <c r="CK191" s="9"/>
      <c r="CL191" s="9"/>
      <c r="CM191" s="9"/>
      <c r="CN191" s="9"/>
      <c r="CO191" s="9"/>
      <c r="CP191" s="9"/>
      <c r="CQ191" s="9"/>
      <c r="CR191" s="9"/>
      <c r="CS191" s="9"/>
      <c r="CT191" s="9"/>
      <c r="CU191" s="9"/>
      <c r="CV191" s="9"/>
      <c r="CW191" s="9"/>
      <c r="CX191" s="9"/>
      <c r="CY191" s="9"/>
      <c r="CZ191" s="9"/>
      <c r="DA191" s="9"/>
      <c r="DB191" s="9"/>
      <c r="DC191" s="9"/>
      <c r="DD191" s="9"/>
      <c r="DE191" s="9"/>
      <c r="DF191" s="9"/>
      <c r="DG191" s="9"/>
      <c r="DH191" s="9"/>
      <c r="DI191" s="9"/>
      <c r="DJ191" s="9"/>
      <c r="DK191" s="9"/>
      <c r="DL191" s="9"/>
      <c r="DM191" s="9"/>
      <c r="DN191" s="9"/>
      <c r="DO191" s="9"/>
      <c r="DP191" s="9"/>
      <c r="DQ191" s="9"/>
      <c r="DR191" s="9"/>
      <c r="DS191" s="9"/>
      <c r="DT191" s="9"/>
      <c r="DU191" s="9"/>
      <c r="DV191" s="9"/>
      <c r="DW191" s="9"/>
      <c r="DX191" s="9"/>
      <c r="DY191" s="9"/>
      <c r="DZ191" s="9"/>
      <c r="EA191" s="9"/>
      <c r="EB191" s="9"/>
      <c r="EC191" s="9"/>
      <c r="ED191" s="9"/>
      <c r="EE191" s="9"/>
      <c r="EF191" s="9"/>
      <c r="EG191" s="9"/>
      <c r="EH191" s="9"/>
      <c r="EI191" s="9"/>
      <c r="EJ191" s="9"/>
      <c r="EK191" s="9"/>
      <c r="EL191" s="9"/>
      <c r="EM191" s="9"/>
      <c r="EN191" s="9"/>
      <c r="EO191" s="9"/>
      <c r="EP191" s="9"/>
      <c r="EQ191" s="9"/>
      <c r="ER191" s="9"/>
      <c r="ES191" s="9"/>
      <c r="ET191" s="9"/>
      <c r="EU191" s="9"/>
      <c r="EV191" s="9"/>
      <c r="EW191" s="9"/>
      <c r="EX191" s="9"/>
      <c r="EY191" s="9"/>
      <c r="EZ191" s="9"/>
      <c r="FA191" s="241"/>
      <c r="FB191" s="241"/>
      <c r="FC191" s="241"/>
      <c r="FD191" s="241"/>
      <c r="FE191" s="244"/>
      <c r="FF191" s="9"/>
      <c r="FG191" s="9"/>
      <c r="FH191" s="9"/>
      <c r="FI191" s="242"/>
      <c r="FJ191" s="242"/>
      <c r="FK191" s="9"/>
      <c r="FL191" s="9"/>
      <c r="FM191" s="9"/>
      <c r="FN191" s="9"/>
      <c r="FO191" s="9"/>
      <c r="FP191" s="9"/>
      <c r="FQ191" s="9"/>
      <c r="FR191" s="9"/>
      <c r="FS191" s="9"/>
      <c r="FT191" s="9"/>
      <c r="FU191" s="9"/>
      <c r="FV191" s="9"/>
      <c r="FW191" s="9"/>
      <c r="FX191" s="9"/>
      <c r="FY191" s="9"/>
      <c r="FZ191" s="9"/>
      <c r="GA191" s="9"/>
      <c r="GB191" s="9"/>
      <c r="GC191" s="9"/>
      <c r="GD191" s="9"/>
      <c r="GE191" s="9"/>
      <c r="GF191" s="9"/>
      <c r="GG191" s="9"/>
      <c r="GH191" s="9"/>
      <c r="GI191" s="9"/>
      <c r="GJ191" s="9"/>
      <c r="GK191" s="9"/>
      <c r="GL191" s="9"/>
      <c r="GM191" s="9"/>
      <c r="GN191" s="9"/>
      <c r="GO191" s="9"/>
      <c r="GP191" s="9"/>
      <c r="GQ191" s="9"/>
      <c r="GR191" s="9"/>
      <c r="GS191" s="9"/>
      <c r="GT191" s="9"/>
      <c r="GU191" s="9"/>
      <c r="GV191" s="9"/>
      <c r="GW191" s="9"/>
      <c r="GX191" s="9"/>
      <c r="GY191" s="9"/>
      <c r="GZ191" s="9"/>
    </row>
    <row r="192" spans="5:208">
      <c r="E192" s="243"/>
      <c r="F192" s="9"/>
      <c r="H192" s="243"/>
      <c r="Y192" s="9"/>
      <c r="AA192" s="9"/>
      <c r="AC192" s="9"/>
      <c r="AE192" s="9"/>
      <c r="AF192" s="9"/>
      <c r="AG192" s="9"/>
      <c r="AH192" s="9"/>
      <c r="AI192" s="9"/>
      <c r="AJ192" s="9"/>
      <c r="AK192" s="9"/>
      <c r="AO192" s="9"/>
      <c r="AQ192" s="9"/>
      <c r="AR192" s="9"/>
      <c r="BC192" s="9"/>
      <c r="BQ192" s="241"/>
      <c r="BR192" s="241"/>
      <c r="BS192" s="241"/>
      <c r="BT192" s="7"/>
      <c r="BU192" s="9"/>
      <c r="BX192" s="241"/>
      <c r="BY192" s="241"/>
      <c r="BZ192" s="8"/>
      <c r="CA192" s="241"/>
      <c r="CD192" s="241"/>
      <c r="CE192" s="9"/>
      <c r="CF192" s="9"/>
      <c r="CG192" s="9"/>
      <c r="CH192" s="9"/>
      <c r="CI192" s="9"/>
      <c r="CJ192" s="9"/>
      <c r="CK192" s="9"/>
      <c r="CL192" s="9"/>
      <c r="CM192" s="9"/>
      <c r="CN192" s="9"/>
      <c r="CO192" s="9"/>
      <c r="CP192" s="9"/>
      <c r="CQ192" s="9"/>
      <c r="CR192" s="9"/>
      <c r="CS192" s="9"/>
      <c r="CT192" s="9"/>
      <c r="CU192" s="9"/>
      <c r="CV192" s="9"/>
      <c r="CW192" s="9"/>
      <c r="CX192" s="9"/>
      <c r="CY192" s="9"/>
      <c r="CZ192" s="9"/>
      <c r="DA192" s="9"/>
      <c r="DB192" s="9"/>
      <c r="DC192" s="9"/>
      <c r="DD192" s="9"/>
      <c r="DE192" s="9"/>
      <c r="DF192" s="9"/>
      <c r="DG192" s="9"/>
      <c r="DH192" s="9"/>
      <c r="DI192" s="9"/>
      <c r="DJ192" s="9"/>
      <c r="DK192" s="9"/>
      <c r="DL192" s="9"/>
      <c r="DM192" s="9"/>
      <c r="DN192" s="9"/>
      <c r="DO192" s="9"/>
      <c r="DP192" s="9"/>
      <c r="DQ192" s="9"/>
      <c r="DR192" s="9"/>
      <c r="DS192" s="9"/>
      <c r="DT192" s="9"/>
      <c r="DU192" s="9"/>
      <c r="DV192" s="9"/>
      <c r="DW192" s="9"/>
      <c r="DX192" s="9"/>
      <c r="DY192" s="9"/>
      <c r="DZ192" s="9"/>
      <c r="EA192" s="9"/>
      <c r="EB192" s="9"/>
      <c r="EC192" s="9"/>
      <c r="ED192" s="9"/>
      <c r="EE192" s="9"/>
      <c r="EF192" s="9"/>
      <c r="EG192" s="9"/>
      <c r="EH192" s="9"/>
      <c r="EI192" s="9"/>
      <c r="EJ192" s="9"/>
      <c r="EK192" s="9"/>
      <c r="EL192" s="9"/>
      <c r="EM192" s="9"/>
      <c r="EN192" s="9"/>
      <c r="EO192" s="9"/>
      <c r="EP192" s="9"/>
      <c r="EQ192" s="9"/>
      <c r="ER192" s="9"/>
      <c r="ES192" s="9"/>
      <c r="ET192" s="9"/>
      <c r="EU192" s="9"/>
      <c r="EV192" s="9"/>
      <c r="EW192" s="9"/>
      <c r="EX192" s="9"/>
      <c r="EY192" s="9"/>
      <c r="EZ192" s="9"/>
      <c r="FA192" s="241"/>
      <c r="FB192" s="241"/>
      <c r="FC192" s="241"/>
      <c r="FD192" s="241"/>
      <c r="FE192" s="244"/>
      <c r="FF192" s="9"/>
      <c r="FG192" s="9"/>
      <c r="FH192" s="9"/>
      <c r="FI192" s="242"/>
      <c r="FJ192" s="242"/>
      <c r="FK192" s="9"/>
      <c r="FL192" s="9"/>
      <c r="FM192" s="9"/>
      <c r="FN192" s="9"/>
      <c r="FO192" s="9"/>
      <c r="FP192" s="9"/>
      <c r="FQ192" s="9"/>
      <c r="FR192" s="9"/>
      <c r="FS192" s="9"/>
      <c r="FT192" s="9"/>
      <c r="FU192" s="9"/>
      <c r="FV192" s="9"/>
      <c r="FW192" s="9"/>
      <c r="FX192" s="9"/>
      <c r="FY192" s="9"/>
      <c r="FZ192" s="9"/>
      <c r="GA192" s="9"/>
      <c r="GB192" s="9"/>
      <c r="GC192" s="9"/>
      <c r="GD192" s="9"/>
      <c r="GE192" s="9"/>
      <c r="GF192" s="9"/>
      <c r="GG192" s="9"/>
      <c r="GH192" s="9"/>
      <c r="GI192" s="9"/>
      <c r="GJ192" s="9"/>
      <c r="GK192" s="9"/>
      <c r="GL192" s="9"/>
      <c r="GM192" s="9"/>
      <c r="GN192" s="9"/>
      <c r="GO192" s="9"/>
      <c r="GP192" s="9"/>
      <c r="GQ192" s="9"/>
      <c r="GR192" s="9"/>
      <c r="GS192" s="9"/>
      <c r="GT192" s="9"/>
      <c r="GU192" s="9"/>
      <c r="GV192" s="9"/>
      <c r="GW192" s="9"/>
      <c r="GX192" s="9"/>
      <c r="GY192" s="9"/>
      <c r="GZ192" s="9"/>
    </row>
    <row r="193" spans="5:208">
      <c r="E193" s="243"/>
      <c r="F193" s="9"/>
      <c r="H193" s="243"/>
      <c r="Y193" s="9"/>
      <c r="AA193" s="9"/>
      <c r="AC193" s="9"/>
      <c r="AE193" s="9"/>
      <c r="AF193" s="9"/>
      <c r="AG193" s="9"/>
      <c r="AH193" s="9"/>
      <c r="AI193" s="9"/>
      <c r="AJ193" s="9"/>
      <c r="AK193" s="9"/>
      <c r="AO193" s="9"/>
      <c r="AQ193" s="9"/>
      <c r="AR193" s="9"/>
      <c r="BC193" s="9"/>
      <c r="BQ193" s="241"/>
      <c r="BR193" s="241"/>
      <c r="BS193" s="241"/>
      <c r="BT193" s="7"/>
      <c r="BU193" s="9"/>
      <c r="BX193" s="241"/>
      <c r="BY193" s="241"/>
      <c r="BZ193" s="8"/>
      <c r="CA193" s="241"/>
      <c r="CD193" s="241"/>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c r="DN193" s="9"/>
      <c r="DO193" s="9"/>
      <c r="DP193" s="9"/>
      <c r="DQ193" s="9"/>
      <c r="DR193" s="9"/>
      <c r="DS193" s="9"/>
      <c r="DT193" s="9"/>
      <c r="DU193" s="9"/>
      <c r="DV193" s="9"/>
      <c r="DW193" s="9"/>
      <c r="DX193" s="9"/>
      <c r="DY193" s="9"/>
      <c r="DZ193" s="9"/>
      <c r="EA193" s="9"/>
      <c r="EB193" s="9"/>
      <c r="EC193" s="9"/>
      <c r="ED193" s="9"/>
      <c r="EE193" s="9"/>
      <c r="EF193" s="9"/>
      <c r="EG193" s="9"/>
      <c r="EH193" s="9"/>
      <c r="EI193" s="9"/>
      <c r="EJ193" s="9"/>
      <c r="EK193" s="9"/>
      <c r="EL193" s="9"/>
      <c r="EM193" s="9"/>
      <c r="EN193" s="9"/>
      <c r="EO193" s="9"/>
      <c r="EP193" s="9"/>
      <c r="EQ193" s="9"/>
      <c r="ER193" s="9"/>
      <c r="ES193" s="9"/>
      <c r="ET193" s="9"/>
      <c r="EU193" s="9"/>
      <c r="EV193" s="9"/>
      <c r="EW193" s="9"/>
      <c r="EX193" s="9"/>
      <c r="EY193" s="9"/>
      <c r="EZ193" s="9"/>
      <c r="FA193" s="241"/>
      <c r="FB193" s="241"/>
      <c r="FC193" s="241"/>
      <c r="FD193" s="241"/>
      <c r="FE193" s="244"/>
      <c r="FF193" s="9"/>
      <c r="FG193" s="9"/>
      <c r="FH193" s="9"/>
      <c r="FI193" s="242"/>
      <c r="FJ193" s="242"/>
      <c r="FK193" s="9"/>
      <c r="FL193" s="9"/>
      <c r="FM193" s="9"/>
      <c r="FN193" s="9"/>
      <c r="FO193" s="9"/>
      <c r="FP193" s="9"/>
      <c r="FQ193" s="9"/>
      <c r="FR193" s="9"/>
      <c r="FS193" s="9"/>
      <c r="FT193" s="9"/>
      <c r="FU193" s="9"/>
      <c r="FV193" s="9"/>
      <c r="FW193" s="9"/>
      <c r="FX193" s="9"/>
      <c r="FY193" s="9"/>
      <c r="FZ193" s="9"/>
      <c r="GA193" s="9"/>
      <c r="GB193" s="9"/>
      <c r="GC193" s="9"/>
      <c r="GD193" s="9"/>
      <c r="GE193" s="9"/>
      <c r="GF193" s="9"/>
      <c r="GG193" s="9"/>
      <c r="GH193" s="9"/>
      <c r="GI193" s="9"/>
      <c r="GJ193" s="9"/>
      <c r="GK193" s="9"/>
      <c r="GL193" s="9"/>
      <c r="GM193" s="9"/>
      <c r="GN193" s="9"/>
      <c r="GO193" s="9"/>
      <c r="GP193" s="9"/>
      <c r="GQ193" s="9"/>
      <c r="GR193" s="9"/>
      <c r="GS193" s="9"/>
      <c r="GT193" s="9"/>
      <c r="GU193" s="9"/>
      <c r="GV193" s="9"/>
      <c r="GW193" s="9"/>
      <c r="GX193" s="9"/>
      <c r="GY193" s="9"/>
      <c r="GZ193" s="9"/>
    </row>
    <row r="194" spans="5:208">
      <c r="E194" s="243"/>
      <c r="F194" s="9"/>
      <c r="H194" s="243"/>
      <c r="Y194" s="9"/>
      <c r="AA194" s="9"/>
      <c r="AC194" s="9"/>
      <c r="AE194" s="9"/>
      <c r="AF194" s="9"/>
      <c r="AG194" s="9"/>
      <c r="AH194" s="9"/>
      <c r="AI194" s="9"/>
      <c r="AJ194" s="9"/>
      <c r="AK194" s="9"/>
      <c r="AO194" s="9"/>
      <c r="AQ194" s="9"/>
      <c r="AR194" s="9"/>
      <c r="BC194" s="9"/>
      <c r="BQ194" s="241"/>
      <c r="BR194" s="241"/>
      <c r="BS194" s="241"/>
      <c r="BT194" s="7"/>
      <c r="BU194" s="9"/>
      <c r="BX194" s="241"/>
      <c r="BY194" s="241"/>
      <c r="BZ194" s="8"/>
      <c r="CA194" s="241"/>
      <c r="CD194" s="241"/>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9"/>
      <c r="DH194" s="9"/>
      <c r="DI194" s="9"/>
      <c r="DJ194" s="9"/>
      <c r="DK194" s="9"/>
      <c r="DL194" s="9"/>
      <c r="DM194" s="9"/>
      <c r="DN194" s="9"/>
      <c r="DO194" s="9"/>
      <c r="DP194" s="9"/>
      <c r="DQ194" s="9"/>
      <c r="DR194" s="9"/>
      <c r="DS194" s="9"/>
      <c r="DT194" s="9"/>
      <c r="DU194" s="9"/>
      <c r="DV194" s="9"/>
      <c r="DW194" s="9"/>
      <c r="DX194" s="9"/>
      <c r="DY194" s="9"/>
      <c r="DZ194" s="9"/>
      <c r="EA194" s="9"/>
      <c r="EB194" s="9"/>
      <c r="EC194" s="9"/>
      <c r="ED194" s="9"/>
      <c r="EE194" s="9"/>
      <c r="EF194" s="9"/>
      <c r="EG194" s="9"/>
      <c r="EH194" s="9"/>
      <c r="EI194" s="9"/>
      <c r="EJ194" s="9"/>
      <c r="EK194" s="9"/>
      <c r="EL194" s="9"/>
      <c r="EM194" s="9"/>
      <c r="EN194" s="9"/>
      <c r="EO194" s="9"/>
      <c r="EP194" s="9"/>
      <c r="EQ194" s="9"/>
      <c r="ER194" s="9"/>
      <c r="ES194" s="9"/>
      <c r="ET194" s="9"/>
      <c r="EU194" s="9"/>
      <c r="EV194" s="9"/>
      <c r="EW194" s="9"/>
      <c r="EX194" s="9"/>
      <c r="EY194" s="9"/>
      <c r="EZ194" s="9"/>
      <c r="FA194" s="241"/>
      <c r="FB194" s="241"/>
      <c r="FC194" s="241"/>
      <c r="FD194" s="241"/>
      <c r="FE194" s="244"/>
      <c r="FF194" s="9"/>
      <c r="FG194" s="9"/>
      <c r="FH194" s="9"/>
      <c r="FI194" s="242"/>
      <c r="FJ194" s="242"/>
      <c r="FK194" s="9"/>
      <c r="FL194" s="9"/>
      <c r="FM194" s="9"/>
      <c r="FN194" s="9"/>
      <c r="FO194" s="9"/>
      <c r="FP194" s="9"/>
      <c r="FQ194" s="9"/>
      <c r="FR194" s="9"/>
      <c r="FS194" s="9"/>
      <c r="FT194" s="9"/>
      <c r="FU194" s="9"/>
      <c r="FV194" s="9"/>
      <c r="FW194" s="9"/>
      <c r="FX194" s="9"/>
      <c r="FY194" s="9"/>
      <c r="FZ194" s="9"/>
      <c r="GA194" s="9"/>
      <c r="GB194" s="9"/>
      <c r="GC194" s="9"/>
      <c r="GD194" s="9"/>
      <c r="GE194" s="9"/>
      <c r="GF194" s="9"/>
      <c r="GG194" s="9"/>
      <c r="GH194" s="9"/>
      <c r="GI194" s="9"/>
      <c r="GJ194" s="9"/>
      <c r="GK194" s="9"/>
      <c r="GL194" s="9"/>
      <c r="GM194" s="9"/>
      <c r="GN194" s="9"/>
      <c r="GO194" s="9"/>
      <c r="GP194" s="9"/>
      <c r="GQ194" s="9"/>
      <c r="GR194" s="9"/>
      <c r="GS194" s="9"/>
      <c r="GT194" s="9"/>
      <c r="GU194" s="9"/>
      <c r="GV194" s="9"/>
      <c r="GW194" s="9"/>
      <c r="GX194" s="9"/>
      <c r="GY194" s="9"/>
      <c r="GZ194" s="9"/>
    </row>
    <row r="195" spans="5:208">
      <c r="E195" s="243"/>
      <c r="F195" s="9"/>
      <c r="H195" s="243"/>
      <c r="Y195" s="9"/>
      <c r="AA195" s="9"/>
      <c r="AC195" s="9"/>
      <c r="AE195" s="9"/>
      <c r="AF195" s="9"/>
      <c r="AG195" s="9"/>
      <c r="AH195" s="9"/>
      <c r="AI195" s="9"/>
      <c r="AJ195" s="9"/>
      <c r="AK195" s="9"/>
      <c r="AO195" s="9"/>
      <c r="AQ195" s="9"/>
      <c r="AR195" s="9"/>
      <c r="BC195" s="9"/>
      <c r="BQ195" s="241"/>
      <c r="BR195" s="241"/>
      <c r="BS195" s="241"/>
      <c r="BT195" s="7"/>
      <c r="BU195" s="9"/>
      <c r="BX195" s="241"/>
      <c r="BY195" s="241"/>
      <c r="BZ195" s="8"/>
      <c r="CA195" s="241"/>
      <c r="CD195" s="241"/>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9"/>
      <c r="DH195" s="9"/>
      <c r="DI195" s="9"/>
      <c r="DJ195" s="9"/>
      <c r="DK195" s="9"/>
      <c r="DL195" s="9"/>
      <c r="DM195" s="9"/>
      <c r="DN195" s="9"/>
      <c r="DO195" s="9"/>
      <c r="DP195" s="9"/>
      <c r="DQ195" s="9"/>
      <c r="DR195" s="9"/>
      <c r="DS195" s="9"/>
      <c r="DT195" s="9"/>
      <c r="DU195" s="9"/>
      <c r="DV195" s="9"/>
      <c r="DW195" s="9"/>
      <c r="DX195" s="9"/>
      <c r="DY195" s="9"/>
      <c r="DZ195" s="9"/>
      <c r="EA195" s="9"/>
      <c r="EB195" s="9"/>
      <c r="EC195" s="9"/>
      <c r="ED195" s="9"/>
      <c r="EE195" s="9"/>
      <c r="EF195" s="9"/>
      <c r="EG195" s="9"/>
      <c r="EH195" s="9"/>
      <c r="EI195" s="9"/>
      <c r="EJ195" s="9"/>
      <c r="EK195" s="9"/>
      <c r="EL195" s="9"/>
      <c r="EM195" s="9"/>
      <c r="EN195" s="9"/>
      <c r="EO195" s="9"/>
      <c r="EP195" s="9"/>
      <c r="EQ195" s="9"/>
      <c r="ER195" s="9"/>
      <c r="ES195" s="9"/>
      <c r="ET195" s="9"/>
      <c r="EU195" s="9"/>
      <c r="EV195" s="9"/>
      <c r="EW195" s="9"/>
      <c r="EX195" s="9"/>
      <c r="EY195" s="9"/>
      <c r="EZ195" s="9"/>
      <c r="FA195" s="241"/>
      <c r="FB195" s="241"/>
      <c r="FC195" s="241"/>
      <c r="FD195" s="241"/>
      <c r="FE195" s="244"/>
      <c r="FF195" s="9"/>
      <c r="FG195" s="9"/>
      <c r="FH195" s="9"/>
      <c r="FI195" s="242"/>
      <c r="FJ195" s="242"/>
      <c r="FK195" s="9"/>
      <c r="FL195" s="9"/>
      <c r="FM195" s="9"/>
      <c r="FN195" s="9"/>
      <c r="FO195" s="9"/>
      <c r="FP195" s="9"/>
      <c r="FQ195" s="9"/>
      <c r="FR195" s="9"/>
      <c r="FS195" s="9"/>
      <c r="FT195" s="9"/>
      <c r="FU195" s="9"/>
      <c r="FV195" s="9"/>
      <c r="FW195" s="9"/>
      <c r="FX195" s="9"/>
      <c r="FY195" s="9"/>
      <c r="FZ195" s="9"/>
      <c r="GA195" s="9"/>
      <c r="GB195" s="9"/>
      <c r="GC195" s="9"/>
      <c r="GD195" s="9"/>
      <c r="GE195" s="9"/>
      <c r="GF195" s="9"/>
      <c r="GG195" s="9"/>
      <c r="GH195" s="9"/>
      <c r="GI195" s="9"/>
      <c r="GJ195" s="9"/>
      <c r="GK195" s="9"/>
      <c r="GL195" s="9"/>
      <c r="GM195" s="9"/>
      <c r="GN195" s="9"/>
      <c r="GO195" s="9"/>
      <c r="GP195" s="9"/>
      <c r="GQ195" s="9"/>
      <c r="GR195" s="9"/>
      <c r="GS195" s="9"/>
      <c r="GT195" s="9"/>
      <c r="GU195" s="9"/>
      <c r="GV195" s="9"/>
      <c r="GW195" s="9"/>
      <c r="GX195" s="9"/>
      <c r="GY195" s="9"/>
      <c r="GZ195" s="9"/>
    </row>
    <row r="196" spans="5:208">
      <c r="E196" s="243"/>
      <c r="F196" s="9"/>
      <c r="H196" s="243"/>
      <c r="Y196" s="9"/>
      <c r="AA196" s="9"/>
      <c r="AC196" s="9"/>
      <c r="AE196" s="9"/>
      <c r="AF196" s="9"/>
      <c r="AG196" s="9"/>
      <c r="AH196" s="9"/>
      <c r="AI196" s="9"/>
      <c r="AJ196" s="9"/>
      <c r="AK196" s="9"/>
      <c r="AO196" s="9"/>
      <c r="AQ196" s="9"/>
      <c r="AR196" s="9"/>
      <c r="BC196" s="9"/>
      <c r="BQ196" s="241"/>
      <c r="BR196" s="241"/>
      <c r="BS196" s="241"/>
      <c r="BT196" s="7"/>
      <c r="BU196" s="9"/>
      <c r="BX196" s="241"/>
      <c r="BY196" s="241"/>
      <c r="BZ196" s="8"/>
      <c r="CA196" s="241"/>
      <c r="CD196" s="241"/>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c r="DF196" s="9"/>
      <c r="DG196" s="9"/>
      <c r="DH196" s="9"/>
      <c r="DI196" s="9"/>
      <c r="DJ196" s="9"/>
      <c r="DK196" s="9"/>
      <c r="DL196" s="9"/>
      <c r="DM196" s="9"/>
      <c r="DN196" s="9"/>
      <c r="DO196" s="9"/>
      <c r="DP196" s="9"/>
      <c r="DQ196" s="9"/>
      <c r="DR196" s="9"/>
      <c r="DS196" s="9"/>
      <c r="DT196" s="9"/>
      <c r="DU196" s="9"/>
      <c r="DV196" s="9"/>
      <c r="DW196" s="9"/>
      <c r="DX196" s="9"/>
      <c r="DY196" s="9"/>
      <c r="DZ196" s="9"/>
      <c r="EA196" s="9"/>
      <c r="EB196" s="9"/>
      <c r="EC196" s="9"/>
      <c r="ED196" s="9"/>
      <c r="EE196" s="9"/>
      <c r="EF196" s="9"/>
      <c r="EG196" s="9"/>
      <c r="EH196" s="9"/>
      <c r="EI196" s="9"/>
      <c r="EJ196" s="9"/>
      <c r="EK196" s="9"/>
      <c r="EL196" s="9"/>
      <c r="EM196" s="9"/>
      <c r="EN196" s="9"/>
      <c r="EO196" s="9"/>
      <c r="EP196" s="9"/>
      <c r="EQ196" s="9"/>
      <c r="ER196" s="9"/>
      <c r="ES196" s="9"/>
      <c r="ET196" s="9"/>
      <c r="EU196" s="9"/>
      <c r="EV196" s="9"/>
      <c r="EW196" s="9"/>
      <c r="EX196" s="9"/>
      <c r="EY196" s="9"/>
      <c r="EZ196" s="9"/>
      <c r="FA196" s="241"/>
      <c r="FB196" s="241"/>
      <c r="FC196" s="241"/>
      <c r="FD196" s="241"/>
      <c r="FE196" s="244"/>
      <c r="FF196" s="9"/>
      <c r="FG196" s="9"/>
      <c r="FH196" s="9"/>
      <c r="FI196" s="242"/>
      <c r="FJ196" s="242"/>
      <c r="FK196" s="9"/>
      <c r="FL196" s="9"/>
      <c r="FM196" s="9"/>
      <c r="FN196" s="9"/>
      <c r="FO196" s="9"/>
      <c r="FP196" s="9"/>
      <c r="FQ196" s="9"/>
      <c r="FR196" s="9"/>
      <c r="FS196" s="9"/>
      <c r="FT196" s="9"/>
      <c r="FU196" s="9"/>
      <c r="FV196" s="9"/>
      <c r="FW196" s="9"/>
      <c r="FX196" s="9"/>
      <c r="FY196" s="9"/>
      <c r="FZ196" s="9"/>
      <c r="GA196" s="9"/>
      <c r="GB196" s="9"/>
      <c r="GC196" s="9"/>
      <c r="GD196" s="9"/>
      <c r="GE196" s="9"/>
      <c r="GF196" s="9"/>
      <c r="GG196" s="9"/>
      <c r="GH196" s="9"/>
      <c r="GI196" s="9"/>
      <c r="GJ196" s="9"/>
      <c r="GK196" s="9"/>
      <c r="GL196" s="9"/>
      <c r="GM196" s="9"/>
      <c r="GN196" s="9"/>
      <c r="GO196" s="9"/>
      <c r="GP196" s="9"/>
      <c r="GQ196" s="9"/>
      <c r="GR196" s="9"/>
      <c r="GS196" s="9"/>
      <c r="GT196" s="9"/>
      <c r="GU196" s="9"/>
      <c r="GV196" s="9"/>
      <c r="GW196" s="9"/>
      <c r="GX196" s="9"/>
      <c r="GY196" s="9"/>
      <c r="GZ196" s="9"/>
    </row>
    <row r="197" spans="5:208">
      <c r="E197" s="243"/>
      <c r="F197" s="9"/>
      <c r="H197" s="243"/>
      <c r="Y197" s="9"/>
      <c r="AA197" s="9"/>
      <c r="AC197" s="9"/>
      <c r="AE197" s="9"/>
      <c r="AF197" s="9"/>
      <c r="AG197" s="9"/>
      <c r="AH197" s="9"/>
      <c r="AI197" s="9"/>
      <c r="AJ197" s="9"/>
      <c r="AK197" s="9"/>
      <c r="AO197" s="9"/>
      <c r="AQ197" s="9"/>
      <c r="AR197" s="9"/>
      <c r="BC197" s="9"/>
      <c r="BQ197" s="241"/>
      <c r="BR197" s="241"/>
      <c r="BS197" s="241"/>
      <c r="BT197" s="7"/>
      <c r="BU197" s="9"/>
      <c r="BX197" s="241"/>
      <c r="BY197" s="241"/>
      <c r="BZ197" s="8"/>
      <c r="CA197" s="241"/>
      <c r="CD197" s="241"/>
      <c r="CE197" s="9"/>
      <c r="CF197" s="9"/>
      <c r="CG197" s="9"/>
      <c r="CH197" s="9"/>
      <c r="CI197" s="9"/>
      <c r="CJ197" s="9"/>
      <c r="CK197" s="9"/>
      <c r="CL197" s="9"/>
      <c r="CM197" s="9"/>
      <c r="CN197" s="9"/>
      <c r="CO197" s="9"/>
      <c r="CP197" s="9"/>
      <c r="CQ197" s="9"/>
      <c r="CR197" s="9"/>
      <c r="CS197" s="9"/>
      <c r="CT197" s="9"/>
      <c r="CU197" s="9"/>
      <c r="CV197" s="9"/>
      <c r="CW197" s="9"/>
      <c r="CX197" s="9"/>
      <c r="CY197" s="9"/>
      <c r="CZ197" s="9"/>
      <c r="DA197" s="9"/>
      <c r="DB197" s="9"/>
      <c r="DC197" s="9"/>
      <c r="DD197" s="9"/>
      <c r="DE197" s="9"/>
      <c r="DF197" s="9"/>
      <c r="DG197" s="9"/>
      <c r="DH197" s="9"/>
      <c r="DI197" s="9"/>
      <c r="DJ197" s="9"/>
      <c r="DK197" s="9"/>
      <c r="DL197" s="9"/>
      <c r="DM197" s="9"/>
      <c r="DN197" s="9"/>
      <c r="DO197" s="9"/>
      <c r="DP197" s="9"/>
      <c r="DQ197" s="9"/>
      <c r="DR197" s="9"/>
      <c r="DS197" s="9"/>
      <c r="DT197" s="9"/>
      <c r="DU197" s="9"/>
      <c r="DV197" s="9"/>
      <c r="DW197" s="9"/>
      <c r="DX197" s="9"/>
      <c r="DY197" s="9"/>
      <c r="DZ197" s="9"/>
      <c r="EA197" s="9"/>
      <c r="EB197" s="9"/>
      <c r="EC197" s="9"/>
      <c r="ED197" s="9"/>
      <c r="EE197" s="9"/>
      <c r="EF197" s="9"/>
      <c r="EG197" s="9"/>
      <c r="EH197" s="9"/>
      <c r="EI197" s="9"/>
      <c r="EJ197" s="9"/>
      <c r="EK197" s="9"/>
      <c r="EL197" s="9"/>
      <c r="EM197" s="9"/>
      <c r="EN197" s="9"/>
      <c r="EO197" s="9"/>
      <c r="EP197" s="9"/>
      <c r="EQ197" s="9"/>
      <c r="ER197" s="9"/>
      <c r="ES197" s="9"/>
      <c r="ET197" s="9"/>
      <c r="EU197" s="9"/>
      <c r="EV197" s="9"/>
      <c r="EW197" s="9"/>
      <c r="EX197" s="9"/>
      <c r="EY197" s="9"/>
      <c r="EZ197" s="9"/>
      <c r="FA197" s="241"/>
      <c r="FB197" s="241"/>
      <c r="FC197" s="241"/>
      <c r="FD197" s="241"/>
      <c r="FE197" s="244"/>
      <c r="FF197" s="9"/>
      <c r="FG197" s="9"/>
      <c r="FH197" s="9"/>
      <c r="FI197" s="242"/>
      <c r="FJ197" s="242"/>
      <c r="FK197" s="9"/>
      <c r="FL197" s="9"/>
      <c r="FM197" s="9"/>
      <c r="FN197" s="9"/>
      <c r="FO197" s="9"/>
      <c r="FP197" s="9"/>
      <c r="FQ197" s="9"/>
      <c r="FR197" s="9"/>
      <c r="FS197" s="9"/>
      <c r="FT197" s="9"/>
      <c r="FU197" s="9"/>
      <c r="FV197" s="9"/>
      <c r="FW197" s="9"/>
      <c r="FX197" s="9"/>
      <c r="FY197" s="9"/>
      <c r="FZ197" s="9"/>
      <c r="GA197" s="9"/>
      <c r="GB197" s="9"/>
      <c r="GC197" s="9"/>
      <c r="GD197" s="9"/>
      <c r="GE197" s="9"/>
      <c r="GF197" s="9"/>
      <c r="GG197" s="9"/>
      <c r="GH197" s="9"/>
      <c r="GI197" s="9"/>
      <c r="GJ197" s="9"/>
      <c r="GK197" s="9"/>
      <c r="GL197" s="9"/>
      <c r="GM197" s="9"/>
      <c r="GN197" s="9"/>
      <c r="GO197" s="9"/>
      <c r="GP197" s="9"/>
      <c r="GQ197" s="9"/>
      <c r="GR197" s="9"/>
      <c r="GS197" s="9"/>
      <c r="GT197" s="9"/>
      <c r="GU197" s="9"/>
      <c r="GV197" s="9"/>
      <c r="GW197" s="9"/>
      <c r="GX197" s="9"/>
      <c r="GY197" s="9"/>
      <c r="GZ197" s="9"/>
    </row>
    <row r="198" spans="5:208">
      <c r="E198" s="243"/>
      <c r="F198" s="9"/>
      <c r="H198" s="243"/>
      <c r="Y198" s="9"/>
      <c r="AA198" s="9"/>
      <c r="AC198" s="9"/>
      <c r="AE198" s="9"/>
      <c r="AF198" s="9"/>
      <c r="AG198" s="9"/>
      <c r="AH198" s="9"/>
      <c r="AI198" s="9"/>
      <c r="AJ198" s="9"/>
      <c r="AK198" s="9"/>
      <c r="AO198" s="9"/>
      <c r="AQ198" s="9"/>
      <c r="AR198" s="9"/>
      <c r="BC198" s="9"/>
      <c r="BQ198" s="241"/>
      <c r="BR198" s="241"/>
      <c r="BS198" s="241"/>
      <c r="BT198" s="7"/>
      <c r="BU198" s="9"/>
      <c r="BX198" s="241"/>
      <c r="BY198" s="241"/>
      <c r="BZ198" s="8"/>
      <c r="CA198" s="241"/>
      <c r="CD198" s="241"/>
      <c r="CE198" s="9"/>
      <c r="CF198" s="9"/>
      <c r="CG198" s="9"/>
      <c r="CH198" s="9"/>
      <c r="CI198" s="9"/>
      <c r="CJ198" s="9"/>
      <c r="CK198" s="9"/>
      <c r="CL198" s="9"/>
      <c r="CM198" s="9"/>
      <c r="CN198" s="9"/>
      <c r="CO198" s="9"/>
      <c r="CP198" s="9"/>
      <c r="CQ198" s="9"/>
      <c r="CR198" s="9"/>
      <c r="CS198" s="9"/>
      <c r="CT198" s="9"/>
      <c r="CU198" s="9"/>
      <c r="CV198" s="9"/>
      <c r="CW198" s="9"/>
      <c r="CX198" s="9"/>
      <c r="CY198" s="9"/>
      <c r="CZ198" s="9"/>
      <c r="DA198" s="9"/>
      <c r="DB198" s="9"/>
      <c r="DC198" s="9"/>
      <c r="DD198" s="9"/>
      <c r="DE198" s="9"/>
      <c r="DF198" s="9"/>
      <c r="DG198" s="9"/>
      <c r="DH198" s="9"/>
      <c r="DI198" s="9"/>
      <c r="DJ198" s="9"/>
      <c r="DK198" s="9"/>
      <c r="DL198" s="9"/>
      <c r="DM198" s="9"/>
      <c r="DN198" s="9"/>
      <c r="DO198" s="9"/>
      <c r="DP198" s="9"/>
      <c r="DQ198" s="9"/>
      <c r="DR198" s="9"/>
      <c r="DS198" s="9"/>
      <c r="DT198" s="9"/>
      <c r="DU198" s="9"/>
      <c r="DV198" s="9"/>
      <c r="DW198" s="9"/>
      <c r="DX198" s="9"/>
      <c r="DY198" s="9"/>
      <c r="DZ198" s="9"/>
      <c r="EA198" s="9"/>
      <c r="EB198" s="9"/>
      <c r="EC198" s="9"/>
      <c r="ED198" s="9"/>
      <c r="EE198" s="9"/>
      <c r="EF198" s="9"/>
      <c r="EG198" s="9"/>
      <c r="EH198" s="9"/>
      <c r="EI198" s="9"/>
      <c r="EJ198" s="9"/>
      <c r="EK198" s="9"/>
      <c r="EL198" s="9"/>
      <c r="EM198" s="9"/>
      <c r="EN198" s="9"/>
      <c r="EO198" s="9"/>
      <c r="EP198" s="9"/>
      <c r="EQ198" s="9"/>
      <c r="ER198" s="9"/>
      <c r="ES198" s="9"/>
      <c r="ET198" s="9"/>
      <c r="EU198" s="9"/>
      <c r="EV198" s="9"/>
      <c r="EW198" s="9"/>
      <c r="EX198" s="9"/>
      <c r="EY198" s="9"/>
      <c r="EZ198" s="9"/>
      <c r="FA198" s="241"/>
      <c r="FB198" s="241"/>
      <c r="FC198" s="241"/>
      <c r="FD198" s="241"/>
      <c r="FE198" s="244"/>
      <c r="FF198" s="9"/>
      <c r="FG198" s="9"/>
      <c r="FH198" s="9"/>
      <c r="FI198" s="242"/>
      <c r="FJ198" s="242"/>
      <c r="FK198" s="9"/>
      <c r="FL198" s="9"/>
      <c r="FM198" s="9"/>
      <c r="FN198" s="9"/>
      <c r="FO198" s="9"/>
      <c r="FP198" s="9"/>
      <c r="FQ198" s="9"/>
      <c r="FR198" s="9"/>
      <c r="FS198" s="9"/>
      <c r="FT198" s="9"/>
      <c r="FU198" s="9"/>
      <c r="FV198" s="9"/>
      <c r="FW198" s="9"/>
      <c r="FX198" s="9"/>
      <c r="FY198" s="9"/>
      <c r="FZ198" s="9"/>
      <c r="GA198" s="9"/>
      <c r="GB198" s="9"/>
      <c r="GC198" s="9"/>
      <c r="GD198" s="9"/>
      <c r="GE198" s="9"/>
      <c r="GF198" s="9"/>
      <c r="GG198" s="9"/>
      <c r="GH198" s="9"/>
      <c r="GI198" s="9"/>
      <c r="GJ198" s="9"/>
      <c r="GK198" s="9"/>
      <c r="GL198" s="9"/>
      <c r="GM198" s="9"/>
      <c r="GN198" s="9"/>
      <c r="GO198" s="9"/>
      <c r="GP198" s="9"/>
      <c r="GQ198" s="9"/>
      <c r="GR198" s="9"/>
      <c r="GS198" s="9"/>
      <c r="GT198" s="9"/>
      <c r="GU198" s="9"/>
      <c r="GV198" s="9"/>
      <c r="GW198" s="9"/>
      <c r="GX198" s="9"/>
      <c r="GY198" s="9"/>
      <c r="GZ198" s="9"/>
    </row>
    <row r="199" spans="5:208">
      <c r="E199" s="243"/>
      <c r="F199" s="9"/>
      <c r="H199" s="243"/>
      <c r="Y199" s="9"/>
      <c r="AA199" s="9"/>
      <c r="AC199" s="9"/>
      <c r="AE199" s="9"/>
      <c r="AF199" s="9"/>
      <c r="AG199" s="9"/>
      <c r="AH199" s="9"/>
      <c r="AI199" s="9"/>
      <c r="AJ199" s="9"/>
      <c r="AK199" s="9"/>
      <c r="AO199" s="9"/>
      <c r="AQ199" s="9"/>
      <c r="AR199" s="9"/>
      <c r="BC199" s="9"/>
      <c r="BQ199" s="241"/>
      <c r="BR199" s="241"/>
      <c r="BS199" s="241"/>
      <c r="BT199" s="7"/>
      <c r="BU199" s="9"/>
      <c r="BX199" s="241"/>
      <c r="BY199" s="241"/>
      <c r="BZ199" s="8"/>
      <c r="CA199" s="241"/>
      <c r="CD199" s="241"/>
      <c r="CE199" s="9"/>
      <c r="CF199" s="9"/>
      <c r="CG199" s="9"/>
      <c r="CH199" s="9"/>
      <c r="CI199" s="9"/>
      <c r="CJ199" s="9"/>
      <c r="CK199" s="9"/>
      <c r="CL199" s="9"/>
      <c r="CM199" s="9"/>
      <c r="CN199" s="9"/>
      <c r="CO199" s="9"/>
      <c r="CP199" s="9"/>
      <c r="CQ199" s="9"/>
      <c r="CR199" s="9"/>
      <c r="CS199" s="9"/>
      <c r="CT199" s="9"/>
      <c r="CU199" s="9"/>
      <c r="CV199" s="9"/>
      <c r="CW199" s="9"/>
      <c r="CX199" s="9"/>
      <c r="CY199" s="9"/>
      <c r="CZ199" s="9"/>
      <c r="DA199" s="9"/>
      <c r="DB199" s="9"/>
      <c r="DC199" s="9"/>
      <c r="DD199" s="9"/>
      <c r="DE199" s="9"/>
      <c r="DF199" s="9"/>
      <c r="DG199" s="9"/>
      <c r="DH199" s="9"/>
      <c r="DI199" s="9"/>
      <c r="DJ199" s="9"/>
      <c r="DK199" s="9"/>
      <c r="DL199" s="9"/>
      <c r="DM199" s="9"/>
      <c r="DN199" s="9"/>
      <c r="DO199" s="9"/>
      <c r="DP199" s="9"/>
      <c r="DQ199" s="9"/>
      <c r="DR199" s="9"/>
      <c r="DS199" s="9"/>
      <c r="DT199" s="9"/>
      <c r="DU199" s="9"/>
      <c r="DV199" s="9"/>
      <c r="DW199" s="9"/>
      <c r="DX199" s="9"/>
      <c r="DY199" s="9"/>
      <c r="DZ199" s="9"/>
      <c r="EA199" s="9"/>
      <c r="EB199" s="9"/>
      <c r="EC199" s="9"/>
      <c r="ED199" s="9"/>
      <c r="EE199" s="9"/>
      <c r="EF199" s="9"/>
      <c r="EG199" s="9"/>
      <c r="EH199" s="9"/>
      <c r="EI199" s="9"/>
      <c r="EJ199" s="9"/>
      <c r="EK199" s="9"/>
      <c r="EL199" s="9"/>
      <c r="EM199" s="9"/>
      <c r="EN199" s="9"/>
      <c r="EO199" s="9"/>
      <c r="EP199" s="9"/>
      <c r="EQ199" s="9"/>
      <c r="ER199" s="9"/>
      <c r="ES199" s="9"/>
      <c r="ET199" s="9"/>
      <c r="EU199" s="9"/>
      <c r="EV199" s="9"/>
      <c r="EW199" s="9"/>
      <c r="EX199" s="9"/>
      <c r="EY199" s="9"/>
      <c r="EZ199" s="9"/>
      <c r="FA199" s="241"/>
      <c r="FB199" s="241"/>
      <c r="FC199" s="241"/>
      <c r="FD199" s="241"/>
      <c r="FE199" s="244"/>
      <c r="FF199" s="9"/>
      <c r="FG199" s="9"/>
      <c r="FH199" s="9"/>
      <c r="FI199" s="242"/>
      <c r="FJ199" s="242"/>
      <c r="FK199" s="9"/>
      <c r="FL199" s="9"/>
      <c r="FM199" s="9"/>
      <c r="FN199" s="9"/>
      <c r="FO199" s="9"/>
      <c r="FP199" s="9"/>
      <c r="FQ199" s="9"/>
      <c r="FR199" s="9"/>
      <c r="FS199" s="9"/>
      <c r="FT199" s="9"/>
      <c r="FU199" s="9"/>
      <c r="FV199" s="9"/>
      <c r="FW199" s="9"/>
      <c r="FX199" s="9"/>
      <c r="FY199" s="9"/>
      <c r="FZ199" s="9"/>
      <c r="GA199" s="9"/>
      <c r="GB199" s="9"/>
      <c r="GC199" s="9"/>
      <c r="GD199" s="9"/>
      <c r="GE199" s="9"/>
      <c r="GF199" s="9"/>
      <c r="GG199" s="9"/>
      <c r="GH199" s="9"/>
      <c r="GI199" s="9"/>
      <c r="GJ199" s="9"/>
      <c r="GK199" s="9"/>
      <c r="GL199" s="9"/>
      <c r="GM199" s="9"/>
      <c r="GN199" s="9"/>
      <c r="GO199" s="9"/>
      <c r="GP199" s="9"/>
      <c r="GQ199" s="9"/>
      <c r="GR199" s="9"/>
      <c r="GS199" s="9"/>
      <c r="GT199" s="9"/>
      <c r="GU199" s="9"/>
      <c r="GV199" s="9"/>
      <c r="GW199" s="9"/>
      <c r="GX199" s="9"/>
      <c r="GY199" s="9"/>
      <c r="GZ199" s="9"/>
    </row>
    <row r="200" spans="5:208">
      <c r="E200" s="243"/>
      <c r="F200" s="9"/>
      <c r="H200" s="243"/>
      <c r="Y200" s="9"/>
      <c r="AA200" s="9"/>
      <c r="AC200" s="9"/>
      <c r="AE200" s="9"/>
      <c r="AF200" s="9"/>
      <c r="AG200" s="9"/>
      <c r="AH200" s="9"/>
      <c r="AI200" s="9"/>
      <c r="AJ200" s="9"/>
      <c r="AK200" s="9"/>
      <c r="AO200" s="9"/>
      <c r="AQ200" s="9"/>
      <c r="AR200" s="9"/>
      <c r="BC200" s="9"/>
      <c r="BQ200" s="241"/>
      <c r="BR200" s="241"/>
      <c r="BS200" s="241"/>
      <c r="BT200" s="7"/>
      <c r="BU200" s="9"/>
      <c r="BX200" s="241"/>
      <c r="BY200" s="241"/>
      <c r="BZ200" s="8"/>
      <c r="CA200" s="241"/>
      <c r="CD200" s="241"/>
      <c r="CE200" s="9"/>
      <c r="CF200" s="9"/>
      <c r="CG200" s="9"/>
      <c r="CH200" s="9"/>
      <c r="CI200" s="9"/>
      <c r="CJ200" s="9"/>
      <c r="CK200" s="9"/>
      <c r="CL200" s="9"/>
      <c r="CM200" s="9"/>
      <c r="CN200" s="9"/>
      <c r="CO200" s="9"/>
      <c r="CP200" s="9"/>
      <c r="CQ200" s="9"/>
      <c r="CR200" s="9"/>
      <c r="CS200" s="9"/>
      <c r="CT200" s="9"/>
      <c r="CU200" s="9"/>
      <c r="CV200" s="9"/>
      <c r="CW200" s="9"/>
      <c r="CX200" s="9"/>
      <c r="CY200" s="9"/>
      <c r="CZ200" s="9"/>
      <c r="DA200" s="9"/>
      <c r="DB200" s="9"/>
      <c r="DC200" s="9"/>
      <c r="DD200" s="9"/>
      <c r="DE200" s="9"/>
      <c r="DF200" s="9"/>
      <c r="DG200" s="9"/>
      <c r="DH200" s="9"/>
      <c r="DI200" s="9"/>
      <c r="DJ200" s="9"/>
      <c r="DK200" s="9"/>
      <c r="DL200" s="9"/>
      <c r="DM200" s="9"/>
      <c r="DN200" s="9"/>
      <c r="DO200" s="9"/>
      <c r="DP200" s="9"/>
      <c r="DQ200" s="9"/>
      <c r="DR200" s="9"/>
      <c r="DS200" s="9"/>
      <c r="DT200" s="9"/>
      <c r="DU200" s="9"/>
      <c r="DV200" s="9"/>
      <c r="DW200" s="9"/>
      <c r="DX200" s="9"/>
      <c r="DY200" s="9"/>
      <c r="DZ200" s="9"/>
      <c r="EA200" s="9"/>
      <c r="EB200" s="9"/>
      <c r="EC200" s="9"/>
      <c r="ED200" s="9"/>
      <c r="EE200" s="9"/>
      <c r="EF200" s="9"/>
      <c r="EG200" s="9"/>
      <c r="EH200" s="9"/>
      <c r="EI200" s="9"/>
      <c r="EJ200" s="9"/>
      <c r="EK200" s="9"/>
      <c r="EL200" s="9"/>
      <c r="EM200" s="9"/>
      <c r="EN200" s="9"/>
      <c r="EO200" s="9"/>
      <c r="EP200" s="9"/>
      <c r="EQ200" s="9"/>
      <c r="ER200" s="9"/>
      <c r="ES200" s="9"/>
      <c r="ET200" s="9"/>
      <c r="EU200" s="9"/>
      <c r="EV200" s="9"/>
      <c r="EW200" s="9"/>
      <c r="EX200" s="9"/>
      <c r="EY200" s="9"/>
      <c r="EZ200" s="9"/>
      <c r="FA200" s="241"/>
      <c r="FB200" s="241"/>
      <c r="FC200" s="241"/>
      <c r="FD200" s="241"/>
      <c r="FE200" s="244"/>
      <c r="FF200" s="9"/>
      <c r="FG200" s="9"/>
      <c r="FH200" s="9"/>
      <c r="FI200" s="242"/>
      <c r="FJ200" s="242"/>
      <c r="FK200" s="9"/>
      <c r="FL200" s="9"/>
      <c r="FM200" s="9"/>
      <c r="FN200" s="9"/>
      <c r="FO200" s="9"/>
      <c r="FP200" s="9"/>
      <c r="FQ200" s="9"/>
      <c r="FR200" s="9"/>
      <c r="FS200" s="9"/>
      <c r="FT200" s="9"/>
      <c r="FU200" s="9"/>
      <c r="FV200" s="9"/>
      <c r="FW200" s="9"/>
      <c r="FX200" s="9"/>
      <c r="FY200" s="9"/>
      <c r="FZ200" s="9"/>
      <c r="GA200" s="9"/>
      <c r="GB200" s="9"/>
      <c r="GC200" s="9"/>
      <c r="GD200" s="9"/>
      <c r="GE200" s="9"/>
      <c r="GF200" s="9"/>
      <c r="GG200" s="9"/>
      <c r="GH200" s="9"/>
      <c r="GI200" s="9"/>
      <c r="GJ200" s="9"/>
      <c r="GK200" s="9"/>
      <c r="GL200" s="9"/>
      <c r="GM200" s="9"/>
      <c r="GN200" s="9"/>
      <c r="GO200" s="9"/>
      <c r="GP200" s="9"/>
      <c r="GQ200" s="9"/>
      <c r="GR200" s="9"/>
      <c r="GS200" s="9"/>
      <c r="GT200" s="9"/>
      <c r="GU200" s="9"/>
      <c r="GV200" s="9"/>
      <c r="GW200" s="9"/>
      <c r="GX200" s="9"/>
      <c r="GY200" s="9"/>
      <c r="GZ200" s="9"/>
    </row>
  </sheetData>
  <mergeCells count="46">
    <mergeCell ref="X1:AD1"/>
    <mergeCell ref="AF1:AJ1"/>
    <mergeCell ref="BF1:BL1"/>
    <mergeCell ref="BM1:BW1"/>
    <mergeCell ref="CL1:CS1"/>
    <mergeCell ref="CZ1:DB1"/>
    <mergeCell ref="DD1:DG1"/>
    <mergeCell ref="DL1:DO1"/>
    <mergeCell ref="DQ1:DT1"/>
    <mergeCell ref="DX1:EB1"/>
    <mergeCell ref="EE1:EJ1"/>
    <mergeCell ref="EL1:EQ1"/>
    <mergeCell ref="EZ1:FE1"/>
    <mergeCell ref="FH1:FM1"/>
    <mergeCell ref="FT1:FV1"/>
    <mergeCell ref="FW1:GA1"/>
    <mergeCell ref="A162:C162"/>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3"/>
    <mergeCell ref="S1:S2"/>
    <mergeCell ref="T1:T2"/>
    <mergeCell ref="U1:U2"/>
    <mergeCell ref="V1:V2"/>
    <mergeCell ref="W1:W2"/>
    <mergeCell ref="AL1:AL2"/>
    <mergeCell ref="AM1:AM2"/>
    <mergeCell ref="AN1:AN2"/>
    <mergeCell ref="AO1:AO2"/>
    <mergeCell ref="AP1:AP2"/>
    <mergeCell ref="AQ1:AQ2"/>
  </mergeCells>
  <conditionalFormatting sqref="O1">
    <cfRule type="dataBar" priority="6">
      <dataBar>
        <cfvo type="min"/>
        <cfvo type="max"/>
        <color rgb="FF63C384"/>
      </dataBar>
      <extLst>
        <ext xmlns:x14="http://schemas.microsoft.com/office/spreadsheetml/2009/9/main" uri="{B025F937-C7B1-47D3-B67F-A62EFF666E3E}">
          <x14:id>{59ff7892-fae6-4a39-a4cc-b4136a18f223}</x14:id>
        </ext>
      </extLst>
    </cfRule>
  </conditionalFormatting>
  <conditionalFormatting sqref="AT2">
    <cfRule type="dataBar" priority="9">
      <dataBar>
        <cfvo type="min"/>
        <cfvo type="max"/>
        <color rgb="FF63C384"/>
      </dataBar>
      <extLst>
        <ext xmlns:x14="http://schemas.microsoft.com/office/spreadsheetml/2009/9/main" uri="{B025F937-C7B1-47D3-B67F-A62EFF666E3E}">
          <x14:id>{f98e49a4-d612-4858-927a-d6a199a581b1}</x14:id>
        </ext>
      </extLst>
    </cfRule>
  </conditionalFormatting>
  <conditionalFormatting sqref="AU2">
    <cfRule type="dataBar" priority="37">
      <dataBar>
        <cfvo type="min"/>
        <cfvo type="max"/>
        <color rgb="FFFF555A"/>
      </dataBar>
      <extLst>
        <ext xmlns:x14="http://schemas.microsoft.com/office/spreadsheetml/2009/9/main" uri="{B025F937-C7B1-47D3-B67F-A62EFF666E3E}">
          <x14:id>{03c639f1-c061-4683-bb48-a22c105f49cf}</x14:id>
        </ext>
      </extLst>
    </cfRule>
  </conditionalFormatting>
  <conditionalFormatting sqref="AY2">
    <cfRule type="dataBar" priority="51">
      <dataBar>
        <cfvo type="min"/>
        <cfvo type="max"/>
        <color rgb="FF000000"/>
      </dataBar>
      <extLst>
        <ext xmlns:x14="http://schemas.microsoft.com/office/spreadsheetml/2009/9/main" uri="{B025F937-C7B1-47D3-B67F-A62EFF666E3E}">
          <x14:id>{b3b4a3da-2385-472f-93f9-5f244c534141}</x14:id>
        </ext>
      </extLst>
    </cfRule>
    <cfRule type="dataBar" priority="82">
      <dataBar>
        <cfvo type="min"/>
        <cfvo type="max"/>
        <color rgb="FF638EC6"/>
      </dataBar>
      <extLst>
        <ext xmlns:x14="http://schemas.microsoft.com/office/spreadsheetml/2009/9/main" uri="{B025F937-C7B1-47D3-B67F-A62EFF666E3E}">
          <x14:id>{6e1b47cb-827d-4672-a685-cebe044fc440}</x14:id>
        </ext>
      </extLst>
    </cfRule>
  </conditionalFormatting>
  <conditionalFormatting sqref="AZ2">
    <cfRule type="dataBar" priority="53">
      <dataBar>
        <cfvo type="min"/>
        <cfvo type="max"/>
        <color rgb="FFFFB628"/>
      </dataBar>
      <extLst>
        <ext xmlns:x14="http://schemas.microsoft.com/office/spreadsheetml/2009/9/main" uri="{B025F937-C7B1-47D3-B67F-A62EFF666E3E}">
          <x14:id>{202eec9f-01b8-41bc-a48c-079761d38152}</x14:id>
        </ext>
      </extLst>
    </cfRule>
    <cfRule type="dataBar" priority="149">
      <dataBar>
        <cfvo type="min"/>
        <cfvo type="max"/>
        <color rgb="FF000000"/>
      </dataBar>
      <extLst>
        <ext xmlns:x14="http://schemas.microsoft.com/office/spreadsheetml/2009/9/main" uri="{B025F937-C7B1-47D3-B67F-A62EFF666E3E}">
          <x14:id>{ae35a711-2530-4048-a7ba-e6a5b0a89bda}</x14:id>
        </ext>
      </extLst>
    </cfRule>
  </conditionalFormatting>
  <conditionalFormatting sqref="BO3">
    <cfRule type="dataBar" priority="22">
      <dataBar>
        <cfvo type="min"/>
        <cfvo type="max"/>
        <color rgb="FF638EC6"/>
      </dataBar>
      <extLst>
        <ext xmlns:x14="http://schemas.microsoft.com/office/spreadsheetml/2009/9/main" uri="{B025F937-C7B1-47D3-B67F-A62EFF666E3E}">
          <x14:id>{4d8d9b34-0211-4e03-a555-95b7eff4db1a}</x14:id>
        </ext>
      </extLst>
    </cfRule>
  </conditionalFormatting>
  <conditionalFormatting sqref="BP3">
    <cfRule type="dataBar" priority="19">
      <dataBar>
        <cfvo type="min"/>
        <cfvo type="max"/>
        <color rgb="FF63C384"/>
      </dataBar>
      <extLst>
        <ext xmlns:x14="http://schemas.microsoft.com/office/spreadsheetml/2009/9/main" uri="{B025F937-C7B1-47D3-B67F-A62EFF666E3E}">
          <x14:id>{f32c33cf-f7ea-4716-8c31-d27baf2907b9}</x14:id>
        </ext>
      </extLst>
    </cfRule>
  </conditionalFormatting>
  <conditionalFormatting sqref="BO4">
    <cfRule type="dataBar" priority="15">
      <dataBar>
        <cfvo type="min"/>
        <cfvo type="max"/>
        <color rgb="FF638EC6"/>
      </dataBar>
      <extLst>
        <ext xmlns:x14="http://schemas.microsoft.com/office/spreadsheetml/2009/9/main" uri="{B025F937-C7B1-47D3-B67F-A62EFF666E3E}">
          <x14:id>{7e454673-1f7a-4f40-a006-92cf4fc42e5a}</x14:id>
        </ext>
      </extLst>
    </cfRule>
  </conditionalFormatting>
  <conditionalFormatting sqref="BP4">
    <cfRule type="dataBar" priority="30">
      <dataBar>
        <cfvo type="min"/>
        <cfvo type="max"/>
        <color rgb="FF63C384"/>
      </dataBar>
      <extLst>
        <ext xmlns:x14="http://schemas.microsoft.com/office/spreadsheetml/2009/9/main" uri="{B025F937-C7B1-47D3-B67F-A62EFF666E3E}">
          <x14:id>{f25f0fb1-e7f6-4c56-b2c6-65b4d56272e9}</x14:id>
        </ext>
      </extLst>
    </cfRule>
  </conditionalFormatting>
  <conditionalFormatting sqref="BO5">
    <cfRule type="dataBar" priority="13">
      <dataBar>
        <cfvo type="min"/>
        <cfvo type="max"/>
        <color rgb="FF638EC6"/>
      </dataBar>
      <extLst>
        <ext xmlns:x14="http://schemas.microsoft.com/office/spreadsheetml/2009/9/main" uri="{B025F937-C7B1-47D3-B67F-A62EFF666E3E}">
          <x14:id>{9255db87-4c8f-4158-92d4-83bfac603b2d}</x14:id>
        </ext>
      </extLst>
    </cfRule>
  </conditionalFormatting>
  <conditionalFormatting sqref="BP5">
    <cfRule type="dataBar" priority="70">
      <dataBar>
        <cfvo type="min"/>
        <cfvo type="max"/>
        <color rgb="FF63C384"/>
      </dataBar>
      <extLst>
        <ext xmlns:x14="http://schemas.microsoft.com/office/spreadsheetml/2009/9/main" uri="{B025F937-C7B1-47D3-B67F-A62EFF666E3E}">
          <x14:id>{c448825e-d1ed-497a-83f9-52b4fc2166d9}</x14:id>
        </ext>
      </extLst>
    </cfRule>
  </conditionalFormatting>
  <conditionalFormatting sqref="BO6">
    <cfRule type="dataBar" priority="85">
      <dataBar>
        <cfvo type="min"/>
        <cfvo type="max"/>
        <color rgb="FF638EC6"/>
      </dataBar>
      <extLst>
        <ext xmlns:x14="http://schemas.microsoft.com/office/spreadsheetml/2009/9/main" uri="{B025F937-C7B1-47D3-B67F-A62EFF666E3E}">
          <x14:id>{7b60a4ef-2815-4410-996f-75b5711b7167}</x14:id>
        </ext>
      </extLst>
    </cfRule>
  </conditionalFormatting>
  <conditionalFormatting sqref="BP6">
    <cfRule type="dataBar" priority="127">
      <dataBar>
        <cfvo type="min"/>
        <cfvo type="max"/>
        <color rgb="FF63C384"/>
      </dataBar>
      <extLst>
        <ext xmlns:x14="http://schemas.microsoft.com/office/spreadsheetml/2009/9/main" uri="{B025F937-C7B1-47D3-B67F-A62EFF666E3E}">
          <x14:id>{8629c563-4aa4-48bc-98de-2d640b5e5290}</x14:id>
        </ext>
      </extLst>
    </cfRule>
  </conditionalFormatting>
  <conditionalFormatting sqref="BO7">
    <cfRule type="dataBar" priority="81">
      <dataBar>
        <cfvo type="min"/>
        <cfvo type="max"/>
        <color rgb="FF638EC6"/>
      </dataBar>
      <extLst>
        <ext xmlns:x14="http://schemas.microsoft.com/office/spreadsheetml/2009/9/main" uri="{B025F937-C7B1-47D3-B67F-A62EFF666E3E}">
          <x14:id>{9dc9a0b1-27bd-4b80-9441-01d0fe29105d}</x14:id>
        </ext>
      </extLst>
    </cfRule>
  </conditionalFormatting>
  <conditionalFormatting sqref="BP7">
    <cfRule type="dataBar" priority="1">
      <dataBar>
        <cfvo type="min"/>
        <cfvo type="max"/>
        <color rgb="FF63C384"/>
      </dataBar>
      <extLst>
        <ext xmlns:x14="http://schemas.microsoft.com/office/spreadsheetml/2009/9/main" uri="{B025F937-C7B1-47D3-B67F-A62EFF666E3E}">
          <x14:id>{1f0ddf96-ead5-4628-93db-e7560b6ba4d9}</x14:id>
        </ext>
      </extLst>
    </cfRule>
  </conditionalFormatting>
  <conditionalFormatting sqref="BO8">
    <cfRule type="dataBar" priority="147">
      <dataBar>
        <cfvo type="min"/>
        <cfvo type="max"/>
        <color rgb="FF638EC6"/>
      </dataBar>
      <extLst>
        <ext xmlns:x14="http://schemas.microsoft.com/office/spreadsheetml/2009/9/main" uri="{B025F937-C7B1-47D3-B67F-A62EFF666E3E}">
          <x14:id>{ed7fe14b-6b34-4a8d-8cbe-804919cff246}</x14:id>
        </ext>
      </extLst>
    </cfRule>
  </conditionalFormatting>
  <conditionalFormatting sqref="BP8">
    <cfRule type="dataBar" priority="40">
      <dataBar>
        <cfvo type="min"/>
        <cfvo type="max"/>
        <color rgb="FF63C384"/>
      </dataBar>
      <extLst>
        <ext xmlns:x14="http://schemas.microsoft.com/office/spreadsheetml/2009/9/main" uri="{B025F937-C7B1-47D3-B67F-A62EFF666E3E}">
          <x14:id>{401cac17-047c-41e3-9236-5ab2608d3f23}</x14:id>
        </ext>
      </extLst>
    </cfRule>
  </conditionalFormatting>
  <conditionalFormatting sqref="BO9">
    <cfRule type="dataBar" priority="83">
      <dataBar>
        <cfvo type="min"/>
        <cfvo type="max"/>
        <color rgb="FF638EC6"/>
      </dataBar>
      <extLst>
        <ext xmlns:x14="http://schemas.microsoft.com/office/spreadsheetml/2009/9/main" uri="{B025F937-C7B1-47D3-B67F-A62EFF666E3E}">
          <x14:id>{6dc93c74-ea8d-48e6-8e1c-2455d4e89ea9}</x14:id>
        </ext>
      </extLst>
    </cfRule>
  </conditionalFormatting>
  <conditionalFormatting sqref="BP9">
    <cfRule type="dataBar" priority="112">
      <dataBar>
        <cfvo type="min"/>
        <cfvo type="max"/>
        <color rgb="FF63C384"/>
      </dataBar>
      <extLst>
        <ext xmlns:x14="http://schemas.microsoft.com/office/spreadsheetml/2009/9/main" uri="{B025F937-C7B1-47D3-B67F-A62EFF666E3E}">
          <x14:id>{382a7693-4365-4164-b341-9535ce34a9b3}</x14:id>
        </ext>
      </extLst>
    </cfRule>
  </conditionalFormatting>
  <conditionalFormatting sqref="BO10">
    <cfRule type="dataBar" priority="88">
      <dataBar>
        <cfvo type="min"/>
        <cfvo type="max"/>
        <color rgb="FF638EC6"/>
      </dataBar>
      <extLst>
        <ext xmlns:x14="http://schemas.microsoft.com/office/spreadsheetml/2009/9/main" uri="{B025F937-C7B1-47D3-B67F-A62EFF666E3E}">
          <x14:id>{6fe15310-f07d-4b3b-b194-dfcbeab55bb5}</x14:id>
        </ext>
      </extLst>
    </cfRule>
  </conditionalFormatting>
  <conditionalFormatting sqref="BP10">
    <cfRule type="dataBar" priority="123">
      <dataBar>
        <cfvo type="min"/>
        <cfvo type="max"/>
        <color rgb="FF63C384"/>
      </dataBar>
      <extLst>
        <ext xmlns:x14="http://schemas.microsoft.com/office/spreadsheetml/2009/9/main" uri="{B025F937-C7B1-47D3-B67F-A62EFF666E3E}">
          <x14:id>{7b28a7ef-8b8c-46dd-8866-3dea2dd3162a}</x14:id>
        </ext>
      </extLst>
    </cfRule>
  </conditionalFormatting>
  <conditionalFormatting sqref="BO11">
    <cfRule type="dataBar" priority="54">
      <dataBar>
        <cfvo type="min"/>
        <cfvo type="max"/>
        <color rgb="FF638EC6"/>
      </dataBar>
      <extLst>
        <ext xmlns:x14="http://schemas.microsoft.com/office/spreadsheetml/2009/9/main" uri="{B025F937-C7B1-47D3-B67F-A62EFF666E3E}">
          <x14:id>{96528240-8df4-4924-a784-0c390a189800}</x14:id>
        </ext>
      </extLst>
    </cfRule>
  </conditionalFormatting>
  <conditionalFormatting sqref="BP11">
    <cfRule type="dataBar" priority="109">
      <dataBar>
        <cfvo type="min"/>
        <cfvo type="max"/>
        <color rgb="FF63C384"/>
      </dataBar>
      <extLst>
        <ext xmlns:x14="http://schemas.microsoft.com/office/spreadsheetml/2009/9/main" uri="{B025F937-C7B1-47D3-B67F-A62EFF666E3E}">
          <x14:id>{44e330d2-51be-4c38-b2ba-b5a0130cdeca}</x14:id>
        </ext>
      </extLst>
    </cfRule>
  </conditionalFormatting>
  <conditionalFormatting sqref="BO12">
    <cfRule type="dataBar" priority="142">
      <dataBar>
        <cfvo type="min"/>
        <cfvo type="max"/>
        <color rgb="FF638EC6"/>
      </dataBar>
      <extLst>
        <ext xmlns:x14="http://schemas.microsoft.com/office/spreadsheetml/2009/9/main" uri="{B025F937-C7B1-47D3-B67F-A62EFF666E3E}">
          <x14:id>{e0ba2a83-901b-4ac6-a554-33a108f8ca9a}</x14:id>
        </ext>
      </extLst>
    </cfRule>
  </conditionalFormatting>
  <conditionalFormatting sqref="BP12">
    <cfRule type="dataBar" priority="121">
      <dataBar>
        <cfvo type="min"/>
        <cfvo type="max"/>
        <color rgb="FF63C384"/>
      </dataBar>
      <extLst>
        <ext xmlns:x14="http://schemas.microsoft.com/office/spreadsheetml/2009/9/main" uri="{B025F937-C7B1-47D3-B67F-A62EFF666E3E}">
          <x14:id>{56bf9f42-56fe-4717-8a08-466245ddc1f8}</x14:id>
        </ext>
      </extLst>
    </cfRule>
  </conditionalFormatting>
  <conditionalFormatting sqref="BO13">
    <cfRule type="dataBar" priority="66">
      <dataBar>
        <cfvo type="min"/>
        <cfvo type="max"/>
        <color rgb="FF638EC6"/>
      </dataBar>
      <extLst>
        <ext xmlns:x14="http://schemas.microsoft.com/office/spreadsheetml/2009/9/main" uri="{B025F937-C7B1-47D3-B67F-A62EFF666E3E}">
          <x14:id>{2892e1c6-2dd6-45b9-92f7-ce969d380a2c}</x14:id>
        </ext>
      </extLst>
    </cfRule>
  </conditionalFormatting>
  <conditionalFormatting sqref="BP13">
    <cfRule type="dataBar" priority="131">
      <dataBar>
        <cfvo type="min"/>
        <cfvo type="max"/>
        <color rgb="FF63C384"/>
      </dataBar>
      <extLst>
        <ext xmlns:x14="http://schemas.microsoft.com/office/spreadsheetml/2009/9/main" uri="{B025F937-C7B1-47D3-B67F-A62EFF666E3E}">
          <x14:id>{91cdd5b1-c8ce-4b13-9ea9-0cc6c2aa9d13}</x14:id>
        </ext>
      </extLst>
    </cfRule>
  </conditionalFormatting>
  <conditionalFormatting sqref="BO14">
    <cfRule type="dataBar" priority="106">
      <dataBar>
        <cfvo type="min"/>
        <cfvo type="max"/>
        <color rgb="FF638EC6"/>
      </dataBar>
      <extLst>
        <ext xmlns:x14="http://schemas.microsoft.com/office/spreadsheetml/2009/9/main" uri="{B025F937-C7B1-47D3-B67F-A62EFF666E3E}">
          <x14:id>{4a0231c5-d518-47cd-98cc-0fb5cdb7ced7}</x14:id>
        </ext>
      </extLst>
    </cfRule>
  </conditionalFormatting>
  <conditionalFormatting sqref="BP14">
    <cfRule type="dataBar" priority="79">
      <dataBar>
        <cfvo type="min"/>
        <cfvo type="max"/>
        <color rgb="FF63C384"/>
      </dataBar>
      <extLst>
        <ext xmlns:x14="http://schemas.microsoft.com/office/spreadsheetml/2009/9/main" uri="{B025F937-C7B1-47D3-B67F-A62EFF666E3E}">
          <x14:id>{37ce4874-c000-40d7-80a8-ea6b407f77b7}</x14:id>
        </ext>
      </extLst>
    </cfRule>
  </conditionalFormatting>
  <conditionalFormatting sqref="BO15">
    <cfRule type="dataBar" priority="33">
      <dataBar>
        <cfvo type="min"/>
        <cfvo type="max"/>
        <color rgb="FF638EC6"/>
      </dataBar>
      <extLst>
        <ext xmlns:x14="http://schemas.microsoft.com/office/spreadsheetml/2009/9/main" uri="{B025F937-C7B1-47D3-B67F-A62EFF666E3E}">
          <x14:id>{4beeef13-b46a-47df-8052-a1086bf146db}</x14:id>
        </ext>
      </extLst>
    </cfRule>
  </conditionalFormatting>
  <conditionalFormatting sqref="BP15">
    <cfRule type="dataBar" priority="31">
      <dataBar>
        <cfvo type="min"/>
        <cfvo type="max"/>
        <color rgb="FF63C384"/>
      </dataBar>
      <extLst>
        <ext xmlns:x14="http://schemas.microsoft.com/office/spreadsheetml/2009/9/main" uri="{B025F937-C7B1-47D3-B67F-A62EFF666E3E}">
          <x14:id>{59670b6e-fd45-418f-9c17-bf1f992fbd42}</x14:id>
        </ext>
      </extLst>
    </cfRule>
  </conditionalFormatting>
  <conditionalFormatting sqref="BO16">
    <cfRule type="dataBar" priority="29">
      <dataBar>
        <cfvo type="min"/>
        <cfvo type="max"/>
        <color rgb="FF638EC6"/>
      </dataBar>
      <extLst>
        <ext xmlns:x14="http://schemas.microsoft.com/office/spreadsheetml/2009/9/main" uri="{B025F937-C7B1-47D3-B67F-A62EFF666E3E}">
          <x14:id>{b6f52292-5186-490d-8e66-f7fc70bcea0e}</x14:id>
        </ext>
      </extLst>
    </cfRule>
  </conditionalFormatting>
  <conditionalFormatting sqref="BP16">
    <cfRule type="dataBar" priority="92">
      <dataBar>
        <cfvo type="min"/>
        <cfvo type="max"/>
        <color rgb="FF63C384"/>
      </dataBar>
      <extLst>
        <ext xmlns:x14="http://schemas.microsoft.com/office/spreadsheetml/2009/9/main" uri="{B025F937-C7B1-47D3-B67F-A62EFF666E3E}">
          <x14:id>{a9547ec7-582b-4e9e-861a-e5a19cde41d0}</x14:id>
        </ext>
      </extLst>
    </cfRule>
  </conditionalFormatting>
  <conditionalFormatting sqref="BO17">
    <cfRule type="dataBar" priority="145">
      <dataBar>
        <cfvo type="min"/>
        <cfvo type="max"/>
        <color rgb="FF638EC6"/>
      </dataBar>
      <extLst>
        <ext xmlns:x14="http://schemas.microsoft.com/office/spreadsheetml/2009/9/main" uri="{B025F937-C7B1-47D3-B67F-A62EFF666E3E}">
          <x14:id>{1c2cf1c2-26a6-442e-b06e-b682707f3134}</x14:id>
        </ext>
      </extLst>
    </cfRule>
  </conditionalFormatting>
  <conditionalFormatting sqref="BP17">
    <cfRule type="dataBar" priority="67">
      <dataBar>
        <cfvo type="min"/>
        <cfvo type="max"/>
        <color rgb="FF63C384"/>
      </dataBar>
      <extLst>
        <ext xmlns:x14="http://schemas.microsoft.com/office/spreadsheetml/2009/9/main" uri="{B025F937-C7B1-47D3-B67F-A62EFF666E3E}">
          <x14:id>{ea7fb278-12cb-4c91-957a-4887e1a72249}</x14:id>
        </ext>
      </extLst>
    </cfRule>
  </conditionalFormatting>
  <conditionalFormatting sqref="AS63">
    <cfRule type="dataBar" priority="32">
      <dataBar>
        <cfvo type="min"/>
        <cfvo type="max"/>
        <color rgb="FF638EC6"/>
      </dataBar>
      <extLst>
        <ext xmlns:x14="http://schemas.microsoft.com/office/spreadsheetml/2009/9/main" uri="{B025F937-C7B1-47D3-B67F-A62EFF666E3E}">
          <x14:id>{8a3155eb-9cb3-4ab2-81e0-fbd1ab8f03d5}</x14:id>
        </ext>
      </extLst>
    </cfRule>
    <cfRule type="dataBar" priority="72">
      <dataBar>
        <cfvo type="min"/>
        <cfvo type="max"/>
        <color rgb="FF638EC6"/>
      </dataBar>
      <extLst>
        <ext xmlns:x14="http://schemas.microsoft.com/office/spreadsheetml/2009/9/main" uri="{B025F937-C7B1-47D3-B67F-A62EFF666E3E}">
          <x14:id>{a9a43272-a90c-4080-b46d-66f01ff06532}</x14:id>
        </ext>
      </extLst>
    </cfRule>
  </conditionalFormatting>
  <conditionalFormatting sqref="AT63">
    <cfRule type="dataBar" priority="94">
      <dataBar>
        <cfvo type="min"/>
        <cfvo type="max"/>
        <color rgb="FF63C384"/>
      </dataBar>
      <extLst>
        <ext xmlns:x14="http://schemas.microsoft.com/office/spreadsheetml/2009/9/main" uri="{B025F937-C7B1-47D3-B67F-A62EFF666E3E}">
          <x14:id>{19c67cf3-8861-4c40-9300-47162f91009a}</x14:id>
        </ext>
      </extLst>
    </cfRule>
  </conditionalFormatting>
  <conditionalFormatting sqref="BO63">
    <cfRule type="dataBar" priority="97">
      <dataBar>
        <cfvo type="min"/>
        <cfvo type="max"/>
        <color rgb="FF638EC6"/>
      </dataBar>
      <extLst>
        <ext xmlns:x14="http://schemas.microsoft.com/office/spreadsheetml/2009/9/main" uri="{B025F937-C7B1-47D3-B67F-A62EFF666E3E}">
          <x14:id>{08b95b5d-ee10-4a79-9bd7-a467255377ec}</x14:id>
        </ext>
      </extLst>
    </cfRule>
  </conditionalFormatting>
  <conditionalFormatting sqref="BP63">
    <cfRule type="dataBar" priority="14">
      <dataBar>
        <cfvo type="min"/>
        <cfvo type="max"/>
        <color rgb="FF63C384"/>
      </dataBar>
      <extLst>
        <ext xmlns:x14="http://schemas.microsoft.com/office/spreadsheetml/2009/9/main" uri="{B025F937-C7B1-47D3-B67F-A62EFF666E3E}">
          <x14:id>{db1a1b9f-72cb-497a-95b0-97601345bb55}</x14:id>
        </ext>
      </extLst>
    </cfRule>
  </conditionalFormatting>
  <conditionalFormatting sqref="AS64">
    <cfRule type="dataBar" priority="48">
      <dataBar>
        <cfvo type="min"/>
        <cfvo type="max"/>
        <color rgb="FF638EC6"/>
      </dataBar>
      <extLst>
        <ext xmlns:x14="http://schemas.microsoft.com/office/spreadsheetml/2009/9/main" uri="{B025F937-C7B1-47D3-B67F-A62EFF666E3E}">
          <x14:id>{cea9fa78-0b41-4a8e-bb19-8a7fa2c587c8}</x14:id>
        </ext>
      </extLst>
    </cfRule>
    <cfRule type="dataBar" priority="93">
      <dataBar>
        <cfvo type="min"/>
        <cfvo type="max"/>
        <color rgb="FF638EC6"/>
      </dataBar>
      <extLst>
        <ext xmlns:x14="http://schemas.microsoft.com/office/spreadsheetml/2009/9/main" uri="{B025F937-C7B1-47D3-B67F-A62EFF666E3E}">
          <x14:id>{f26f0c31-aef9-4b2f-a563-38b3b657cb0f}</x14:id>
        </ext>
      </extLst>
    </cfRule>
  </conditionalFormatting>
  <conditionalFormatting sqref="AT64">
    <cfRule type="dataBar" priority="151">
      <dataBar>
        <cfvo type="min"/>
        <cfvo type="max"/>
        <color rgb="FF63C384"/>
      </dataBar>
      <extLst>
        <ext xmlns:x14="http://schemas.microsoft.com/office/spreadsheetml/2009/9/main" uri="{B025F937-C7B1-47D3-B67F-A62EFF666E3E}">
          <x14:id>{8e3c7c6f-39b2-42b1-9dfb-62148e2cf175}</x14:id>
        </ext>
      </extLst>
    </cfRule>
  </conditionalFormatting>
  <conditionalFormatting sqref="BO64">
    <cfRule type="dataBar" priority="50">
      <dataBar>
        <cfvo type="min"/>
        <cfvo type="max"/>
        <color rgb="FF638EC6"/>
      </dataBar>
      <extLst>
        <ext xmlns:x14="http://schemas.microsoft.com/office/spreadsheetml/2009/9/main" uri="{B025F937-C7B1-47D3-B67F-A62EFF666E3E}">
          <x14:id>{48013dff-588c-4a4f-8123-b415d0cef5ee}</x14:id>
        </ext>
      </extLst>
    </cfRule>
  </conditionalFormatting>
  <conditionalFormatting sqref="BP64">
    <cfRule type="dataBar" priority="21">
      <dataBar>
        <cfvo type="min"/>
        <cfvo type="max"/>
        <color rgb="FF63C384"/>
      </dataBar>
      <extLst>
        <ext xmlns:x14="http://schemas.microsoft.com/office/spreadsheetml/2009/9/main" uri="{B025F937-C7B1-47D3-B67F-A62EFF666E3E}">
          <x14:id>{c6404a32-0067-4690-b646-c07ac47ad3db}</x14:id>
        </ext>
      </extLst>
    </cfRule>
  </conditionalFormatting>
  <conditionalFormatting sqref="AS65">
    <cfRule type="dataBar" priority="76">
      <dataBar>
        <cfvo type="min"/>
        <cfvo type="max"/>
        <color rgb="FF638EC6"/>
      </dataBar>
      <extLst>
        <ext xmlns:x14="http://schemas.microsoft.com/office/spreadsheetml/2009/9/main" uri="{B025F937-C7B1-47D3-B67F-A62EFF666E3E}">
          <x14:id>{9ab3d78d-2e3b-4106-b7f5-9b3904b0d398}</x14:id>
        </ext>
      </extLst>
    </cfRule>
    <cfRule type="dataBar" priority="116">
      <dataBar>
        <cfvo type="min"/>
        <cfvo type="max"/>
        <color rgb="FF638EC6"/>
      </dataBar>
      <extLst>
        <ext xmlns:x14="http://schemas.microsoft.com/office/spreadsheetml/2009/9/main" uri="{B025F937-C7B1-47D3-B67F-A62EFF666E3E}">
          <x14:id>{42f10c03-ba3e-4268-9a3c-61e0bbaca582}</x14:id>
        </ext>
      </extLst>
    </cfRule>
  </conditionalFormatting>
  <conditionalFormatting sqref="AT65">
    <cfRule type="dataBar" priority="122">
      <dataBar>
        <cfvo type="min"/>
        <cfvo type="max"/>
        <color rgb="FF63C384"/>
      </dataBar>
      <extLst>
        <ext xmlns:x14="http://schemas.microsoft.com/office/spreadsheetml/2009/9/main" uri="{B025F937-C7B1-47D3-B67F-A62EFF666E3E}">
          <x14:id>{a2aa76eb-a324-4399-b044-4fd9460f3e76}</x14:id>
        </ext>
      </extLst>
    </cfRule>
  </conditionalFormatting>
  <conditionalFormatting sqref="BO65">
    <cfRule type="dataBar" priority="91">
      <dataBar>
        <cfvo type="min"/>
        <cfvo type="max"/>
        <color rgb="FF638EC6"/>
      </dataBar>
      <extLst>
        <ext xmlns:x14="http://schemas.microsoft.com/office/spreadsheetml/2009/9/main" uri="{B025F937-C7B1-47D3-B67F-A62EFF666E3E}">
          <x14:id>{4f37305f-89e6-448c-a8c0-500f3f0ae64a}</x14:id>
        </ext>
      </extLst>
    </cfRule>
  </conditionalFormatting>
  <conditionalFormatting sqref="BP65">
    <cfRule type="dataBar" priority="2">
      <dataBar>
        <cfvo type="min"/>
        <cfvo type="max"/>
        <color rgb="FF63C384"/>
      </dataBar>
      <extLst>
        <ext xmlns:x14="http://schemas.microsoft.com/office/spreadsheetml/2009/9/main" uri="{B025F937-C7B1-47D3-B67F-A62EFF666E3E}">
          <x14:id>{d7873428-8ce0-4e07-a499-2fa0ab7f182b}</x14:id>
        </ext>
      </extLst>
    </cfRule>
  </conditionalFormatting>
  <conditionalFormatting sqref="AS66">
    <cfRule type="dataBar" priority="28">
      <dataBar>
        <cfvo type="min"/>
        <cfvo type="max"/>
        <color rgb="FF638EC6"/>
      </dataBar>
      <extLst>
        <ext xmlns:x14="http://schemas.microsoft.com/office/spreadsheetml/2009/9/main" uri="{B025F937-C7B1-47D3-B67F-A62EFF666E3E}">
          <x14:id>{9e509aa1-f8d2-417c-8de1-ed4866167e27}</x14:id>
        </ext>
      </extLst>
    </cfRule>
    <cfRule type="dataBar" priority="126">
      <dataBar>
        <cfvo type="min"/>
        <cfvo type="max"/>
        <color rgb="FF638EC6"/>
      </dataBar>
      <extLst>
        <ext xmlns:x14="http://schemas.microsoft.com/office/spreadsheetml/2009/9/main" uri="{B025F937-C7B1-47D3-B67F-A62EFF666E3E}">
          <x14:id>{466462dc-9240-4ecf-a76f-476f2e06f090}</x14:id>
        </ext>
      </extLst>
    </cfRule>
  </conditionalFormatting>
  <conditionalFormatting sqref="AT66">
    <cfRule type="dataBar" priority="105">
      <dataBar>
        <cfvo type="min"/>
        <cfvo type="max"/>
        <color rgb="FF63C384"/>
      </dataBar>
      <extLst>
        <ext xmlns:x14="http://schemas.microsoft.com/office/spreadsheetml/2009/9/main" uri="{B025F937-C7B1-47D3-B67F-A62EFF666E3E}">
          <x14:id>{9f5ba5d5-70b7-4ef4-9d73-c1236b2053ec}</x14:id>
        </ext>
      </extLst>
    </cfRule>
  </conditionalFormatting>
  <conditionalFormatting sqref="BO66">
    <cfRule type="dataBar" priority="124">
      <dataBar>
        <cfvo type="min"/>
        <cfvo type="max"/>
        <color rgb="FF638EC6"/>
      </dataBar>
      <extLst>
        <ext xmlns:x14="http://schemas.microsoft.com/office/spreadsheetml/2009/9/main" uri="{B025F937-C7B1-47D3-B67F-A62EFF666E3E}">
          <x14:id>{d0497ec9-8016-4c7a-ad78-96ecd8e4d32d}</x14:id>
        </ext>
      </extLst>
    </cfRule>
  </conditionalFormatting>
  <conditionalFormatting sqref="BP66">
    <cfRule type="dataBar" priority="64">
      <dataBar>
        <cfvo type="min"/>
        <cfvo type="max"/>
        <color rgb="FF63C384"/>
      </dataBar>
      <extLst>
        <ext xmlns:x14="http://schemas.microsoft.com/office/spreadsheetml/2009/9/main" uri="{B025F937-C7B1-47D3-B67F-A62EFF666E3E}">
          <x14:id>{8c0a1d47-c454-49ef-9434-b9d21c3658b3}</x14:id>
        </ext>
      </extLst>
    </cfRule>
  </conditionalFormatting>
  <conditionalFormatting sqref="AS67">
    <cfRule type="dataBar" priority="24">
      <dataBar>
        <cfvo type="min"/>
        <cfvo type="max"/>
        <color rgb="FF638EC6"/>
      </dataBar>
      <extLst>
        <ext xmlns:x14="http://schemas.microsoft.com/office/spreadsheetml/2009/9/main" uri="{B025F937-C7B1-47D3-B67F-A62EFF666E3E}">
          <x14:id>{7993ff11-87f3-46fc-8c3c-983b5ee937d9}</x14:id>
        </ext>
      </extLst>
    </cfRule>
    <cfRule type="dataBar" priority="63">
      <dataBar>
        <cfvo type="min"/>
        <cfvo type="max"/>
        <color rgb="FF638EC6"/>
      </dataBar>
      <extLst>
        <ext xmlns:x14="http://schemas.microsoft.com/office/spreadsheetml/2009/9/main" uri="{B025F937-C7B1-47D3-B67F-A62EFF666E3E}">
          <x14:id>{4cc1a992-01ea-429b-94d5-777acc1255a1}</x14:id>
        </ext>
      </extLst>
    </cfRule>
  </conditionalFormatting>
  <conditionalFormatting sqref="AT67">
    <cfRule type="dataBar" priority="11">
      <dataBar>
        <cfvo type="min"/>
        <cfvo type="max"/>
        <color rgb="FF63C384"/>
      </dataBar>
      <extLst>
        <ext xmlns:x14="http://schemas.microsoft.com/office/spreadsheetml/2009/9/main" uri="{B025F937-C7B1-47D3-B67F-A62EFF666E3E}">
          <x14:id>{1bbd8f11-72a8-4c51-8c28-7a8ab9ebd6a8}</x14:id>
        </ext>
      </extLst>
    </cfRule>
  </conditionalFormatting>
  <conditionalFormatting sqref="BO67">
    <cfRule type="dataBar" priority="41">
      <dataBar>
        <cfvo type="min"/>
        <cfvo type="max"/>
        <color rgb="FF638EC6"/>
      </dataBar>
      <extLst>
        <ext xmlns:x14="http://schemas.microsoft.com/office/spreadsheetml/2009/9/main" uri="{B025F937-C7B1-47D3-B67F-A62EFF666E3E}">
          <x14:id>{e7413a38-1e1d-421a-977e-b97b98ea9e28}</x14:id>
        </ext>
      </extLst>
    </cfRule>
  </conditionalFormatting>
  <conditionalFormatting sqref="BP67">
    <cfRule type="dataBar" priority="12">
      <dataBar>
        <cfvo type="min"/>
        <cfvo type="max"/>
        <color rgb="FF63C384"/>
      </dataBar>
      <extLst>
        <ext xmlns:x14="http://schemas.microsoft.com/office/spreadsheetml/2009/9/main" uri="{B025F937-C7B1-47D3-B67F-A62EFF666E3E}">
          <x14:id>{e4d3adf6-4cdf-48dd-9c29-74a33731740d}</x14:id>
        </ext>
      </extLst>
    </cfRule>
  </conditionalFormatting>
  <conditionalFormatting sqref="AS68">
    <cfRule type="dataBar" priority="42">
      <dataBar>
        <cfvo type="min"/>
        <cfvo type="max"/>
        <color rgb="FF638EC6"/>
      </dataBar>
      <extLst>
        <ext xmlns:x14="http://schemas.microsoft.com/office/spreadsheetml/2009/9/main" uri="{B025F937-C7B1-47D3-B67F-A62EFF666E3E}">
          <x14:id>{69478118-25b2-42d3-8719-2ced8147788e}</x14:id>
        </ext>
      </extLst>
    </cfRule>
    <cfRule type="dataBar" priority="117">
      <dataBar>
        <cfvo type="min"/>
        <cfvo type="max"/>
        <color rgb="FF638EC6"/>
      </dataBar>
      <extLst>
        <ext xmlns:x14="http://schemas.microsoft.com/office/spreadsheetml/2009/9/main" uri="{B025F937-C7B1-47D3-B67F-A62EFF666E3E}">
          <x14:id>{e908ebff-4ebb-4d38-9f20-6f2d681ef578}</x14:id>
        </ext>
      </extLst>
    </cfRule>
  </conditionalFormatting>
  <conditionalFormatting sqref="AT68">
    <cfRule type="dataBar" priority="128">
      <dataBar>
        <cfvo type="min"/>
        <cfvo type="max"/>
        <color rgb="FF63C384"/>
      </dataBar>
      <extLst>
        <ext xmlns:x14="http://schemas.microsoft.com/office/spreadsheetml/2009/9/main" uri="{B025F937-C7B1-47D3-B67F-A62EFF666E3E}">
          <x14:id>{9f833912-cdd3-49ae-bbc8-264ec24359d6}</x14:id>
        </ext>
      </extLst>
    </cfRule>
  </conditionalFormatting>
  <conditionalFormatting sqref="BO68">
    <cfRule type="dataBar" priority="140">
      <dataBar>
        <cfvo type="min"/>
        <cfvo type="max"/>
        <color rgb="FF638EC6"/>
      </dataBar>
      <extLst>
        <ext xmlns:x14="http://schemas.microsoft.com/office/spreadsheetml/2009/9/main" uri="{B025F937-C7B1-47D3-B67F-A62EFF666E3E}">
          <x14:id>{9390e7e6-4e7e-4013-92b7-b70bdd732100}</x14:id>
        </ext>
      </extLst>
    </cfRule>
  </conditionalFormatting>
  <conditionalFormatting sqref="BP68">
    <cfRule type="dataBar" priority="45">
      <dataBar>
        <cfvo type="min"/>
        <cfvo type="max"/>
        <color rgb="FF63C384"/>
      </dataBar>
      <extLst>
        <ext xmlns:x14="http://schemas.microsoft.com/office/spreadsheetml/2009/9/main" uri="{B025F937-C7B1-47D3-B67F-A62EFF666E3E}">
          <x14:id>{0a0121fb-1a36-4d8f-b290-5345b344bc44}</x14:id>
        </ext>
      </extLst>
    </cfRule>
  </conditionalFormatting>
  <conditionalFormatting sqref="AS69">
    <cfRule type="dataBar" priority="71">
      <dataBar>
        <cfvo type="min"/>
        <cfvo type="max"/>
        <color rgb="FF638EC6"/>
      </dataBar>
      <extLst>
        <ext xmlns:x14="http://schemas.microsoft.com/office/spreadsheetml/2009/9/main" uri="{B025F937-C7B1-47D3-B67F-A62EFF666E3E}">
          <x14:id>{1a565f86-3b46-493c-9a62-1020366e4ccc}</x14:id>
        </ext>
      </extLst>
    </cfRule>
    <cfRule type="dataBar" priority="152">
      <dataBar>
        <cfvo type="min"/>
        <cfvo type="max"/>
        <color rgb="FF638EC6"/>
      </dataBar>
      <extLst>
        <ext xmlns:x14="http://schemas.microsoft.com/office/spreadsheetml/2009/9/main" uri="{B025F937-C7B1-47D3-B67F-A62EFF666E3E}">
          <x14:id>{d1e477af-dbe2-4813-9252-350606736b33}</x14:id>
        </ext>
      </extLst>
    </cfRule>
  </conditionalFormatting>
  <conditionalFormatting sqref="AT69">
    <cfRule type="dataBar" priority="69">
      <dataBar>
        <cfvo type="min"/>
        <cfvo type="max"/>
        <color rgb="FF63C384"/>
      </dataBar>
      <extLst>
        <ext xmlns:x14="http://schemas.microsoft.com/office/spreadsheetml/2009/9/main" uri="{B025F937-C7B1-47D3-B67F-A62EFF666E3E}">
          <x14:id>{85e96cc9-1750-4ff9-8155-0b847a29028a}</x14:id>
        </ext>
      </extLst>
    </cfRule>
  </conditionalFormatting>
  <conditionalFormatting sqref="BO69">
    <cfRule type="dataBar" priority="16">
      <dataBar>
        <cfvo type="min"/>
        <cfvo type="max"/>
        <color rgb="FF638EC6"/>
      </dataBar>
      <extLst>
        <ext xmlns:x14="http://schemas.microsoft.com/office/spreadsheetml/2009/9/main" uri="{B025F937-C7B1-47D3-B67F-A62EFF666E3E}">
          <x14:id>{c1235a31-8d1e-471d-9dcd-2bbc1740fa54}</x14:id>
        </ext>
      </extLst>
    </cfRule>
  </conditionalFormatting>
  <conditionalFormatting sqref="BP69">
    <cfRule type="dataBar" priority="118">
      <dataBar>
        <cfvo type="min"/>
        <cfvo type="max"/>
        <color rgb="FF63C384"/>
      </dataBar>
      <extLst>
        <ext xmlns:x14="http://schemas.microsoft.com/office/spreadsheetml/2009/9/main" uri="{B025F937-C7B1-47D3-B67F-A62EFF666E3E}">
          <x14:id>{a2dd2332-6ff4-4a64-81c9-9b59f25e27ed}</x14:id>
        </ext>
      </extLst>
    </cfRule>
  </conditionalFormatting>
  <conditionalFormatting sqref="AS70">
    <cfRule type="dataBar" priority="114">
      <dataBar>
        <cfvo type="min"/>
        <cfvo type="max"/>
        <color rgb="FF638EC6"/>
      </dataBar>
      <extLst>
        <ext xmlns:x14="http://schemas.microsoft.com/office/spreadsheetml/2009/9/main" uri="{B025F937-C7B1-47D3-B67F-A62EFF666E3E}">
          <x14:id>{06de38de-02a5-40d9-88c8-5e21985999e7}</x14:id>
        </ext>
      </extLst>
    </cfRule>
    <cfRule type="dataBar" priority="132">
      <dataBar>
        <cfvo type="min"/>
        <cfvo type="max"/>
        <color rgb="FF638EC6"/>
      </dataBar>
      <extLst>
        <ext xmlns:x14="http://schemas.microsoft.com/office/spreadsheetml/2009/9/main" uri="{B025F937-C7B1-47D3-B67F-A62EFF666E3E}">
          <x14:id>{28690ca5-5275-4e17-8323-2bfe3649120a}</x14:id>
        </ext>
      </extLst>
    </cfRule>
  </conditionalFormatting>
  <conditionalFormatting sqref="AT70">
    <cfRule type="dataBar" priority="7">
      <dataBar>
        <cfvo type="min"/>
        <cfvo type="max"/>
        <color rgb="FF63C384"/>
      </dataBar>
      <extLst>
        <ext xmlns:x14="http://schemas.microsoft.com/office/spreadsheetml/2009/9/main" uri="{B025F937-C7B1-47D3-B67F-A62EFF666E3E}">
          <x14:id>{b75a2ad5-b2d9-43b4-b53b-703ededc43a6}</x14:id>
        </ext>
      </extLst>
    </cfRule>
  </conditionalFormatting>
  <conditionalFormatting sqref="BO70">
    <cfRule type="dataBar" priority="78">
      <dataBar>
        <cfvo type="min"/>
        <cfvo type="max"/>
        <color rgb="FF638EC6"/>
      </dataBar>
      <extLst>
        <ext xmlns:x14="http://schemas.microsoft.com/office/spreadsheetml/2009/9/main" uri="{B025F937-C7B1-47D3-B67F-A62EFF666E3E}">
          <x14:id>{5c29aa9a-a460-4b90-907a-8c329d385f19}</x14:id>
        </ext>
      </extLst>
    </cfRule>
  </conditionalFormatting>
  <conditionalFormatting sqref="BP70">
    <cfRule type="dataBar" priority="153">
      <dataBar>
        <cfvo type="min"/>
        <cfvo type="max"/>
        <color rgb="FF63C384"/>
      </dataBar>
      <extLst>
        <ext xmlns:x14="http://schemas.microsoft.com/office/spreadsheetml/2009/9/main" uri="{B025F937-C7B1-47D3-B67F-A62EFF666E3E}">
          <x14:id>{00a698a2-280d-43f4-90f5-11365b8c60cc}</x14:id>
        </ext>
      </extLst>
    </cfRule>
  </conditionalFormatting>
  <conditionalFormatting sqref="AS71">
    <cfRule type="dataBar" priority="89">
      <dataBar>
        <cfvo type="min"/>
        <cfvo type="max"/>
        <color rgb="FF638EC6"/>
      </dataBar>
      <extLst>
        <ext xmlns:x14="http://schemas.microsoft.com/office/spreadsheetml/2009/9/main" uri="{B025F937-C7B1-47D3-B67F-A62EFF666E3E}">
          <x14:id>{9b43a738-1b68-43e9-8140-7415b0afa91d}</x14:id>
        </ext>
      </extLst>
    </cfRule>
    <cfRule type="dataBar" priority="108">
      <dataBar>
        <cfvo type="min"/>
        <cfvo type="max"/>
        <color rgb="FF638EC6"/>
      </dataBar>
      <extLst>
        <ext xmlns:x14="http://schemas.microsoft.com/office/spreadsheetml/2009/9/main" uri="{B025F937-C7B1-47D3-B67F-A62EFF666E3E}">
          <x14:id>{020e896f-1ec7-45b6-a48c-bd9bdc27e321}</x14:id>
        </ext>
      </extLst>
    </cfRule>
  </conditionalFormatting>
  <conditionalFormatting sqref="AT71">
    <cfRule type="dataBar" priority="107">
      <dataBar>
        <cfvo type="min"/>
        <cfvo type="max"/>
        <color rgb="FF63C384"/>
      </dataBar>
      <extLst>
        <ext xmlns:x14="http://schemas.microsoft.com/office/spreadsheetml/2009/9/main" uri="{B025F937-C7B1-47D3-B67F-A62EFF666E3E}">
          <x14:id>{a52f35d8-b201-44c4-8170-18c229f09108}</x14:id>
        </ext>
      </extLst>
    </cfRule>
  </conditionalFormatting>
  <conditionalFormatting sqref="BO71">
    <cfRule type="dataBar" priority="3">
      <dataBar>
        <cfvo type="min"/>
        <cfvo type="max"/>
        <color rgb="FF638EC6"/>
      </dataBar>
      <extLst>
        <ext xmlns:x14="http://schemas.microsoft.com/office/spreadsheetml/2009/9/main" uri="{B025F937-C7B1-47D3-B67F-A62EFF666E3E}">
          <x14:id>{ef871b9f-f26c-4ffc-9d28-9b81b72aaab3}</x14:id>
        </ext>
      </extLst>
    </cfRule>
  </conditionalFormatting>
  <conditionalFormatting sqref="BP71">
    <cfRule type="dataBar" priority="137">
      <dataBar>
        <cfvo type="min"/>
        <cfvo type="max"/>
        <color rgb="FF63C384"/>
      </dataBar>
      <extLst>
        <ext xmlns:x14="http://schemas.microsoft.com/office/spreadsheetml/2009/9/main" uri="{B025F937-C7B1-47D3-B67F-A62EFF666E3E}">
          <x14:id>{bfa186c3-e4bd-4497-b255-4cf8c2748a6a}</x14:id>
        </ext>
      </extLst>
    </cfRule>
  </conditionalFormatting>
  <conditionalFormatting sqref="AS72">
    <cfRule type="dataBar" priority="8">
      <dataBar>
        <cfvo type="min"/>
        <cfvo type="max"/>
        <color rgb="FF638EC6"/>
      </dataBar>
      <extLst>
        <ext xmlns:x14="http://schemas.microsoft.com/office/spreadsheetml/2009/9/main" uri="{B025F937-C7B1-47D3-B67F-A62EFF666E3E}">
          <x14:id>{ee7ae554-33fa-489f-bfb4-f2e306e2cfd0}</x14:id>
        </ext>
      </extLst>
    </cfRule>
    <cfRule type="dataBar" priority="23">
      <dataBar>
        <cfvo type="min"/>
        <cfvo type="max"/>
        <color rgb="FF638EC6"/>
      </dataBar>
      <extLst>
        <ext xmlns:x14="http://schemas.microsoft.com/office/spreadsheetml/2009/9/main" uri="{B025F937-C7B1-47D3-B67F-A62EFF666E3E}">
          <x14:id>{883d536d-b392-4094-8a1d-21e1b598a72a}</x14:id>
        </ext>
      </extLst>
    </cfRule>
  </conditionalFormatting>
  <conditionalFormatting sqref="AT72">
    <cfRule type="dataBar" priority="96">
      <dataBar>
        <cfvo type="min"/>
        <cfvo type="max"/>
        <color rgb="FF63C384"/>
      </dataBar>
      <extLst>
        <ext xmlns:x14="http://schemas.microsoft.com/office/spreadsheetml/2009/9/main" uri="{B025F937-C7B1-47D3-B67F-A62EFF666E3E}">
          <x14:id>{e6ffba6a-e99a-433f-b69a-add4b8403431}</x14:id>
        </ext>
      </extLst>
    </cfRule>
  </conditionalFormatting>
  <conditionalFormatting sqref="BO72">
    <cfRule type="dataBar" priority="44">
      <dataBar>
        <cfvo type="min"/>
        <cfvo type="max"/>
        <color rgb="FF638EC6"/>
      </dataBar>
      <extLst>
        <ext xmlns:x14="http://schemas.microsoft.com/office/spreadsheetml/2009/9/main" uri="{B025F937-C7B1-47D3-B67F-A62EFF666E3E}">
          <x14:id>{bb50331c-2791-46d6-b860-e19e2407164d}</x14:id>
        </ext>
      </extLst>
    </cfRule>
  </conditionalFormatting>
  <conditionalFormatting sqref="BP72">
    <cfRule type="dataBar" priority="113">
      <dataBar>
        <cfvo type="min"/>
        <cfvo type="max"/>
        <color rgb="FF63C384"/>
      </dataBar>
      <extLst>
        <ext xmlns:x14="http://schemas.microsoft.com/office/spreadsheetml/2009/9/main" uri="{B025F937-C7B1-47D3-B67F-A62EFF666E3E}">
          <x14:id>{dcc3ff52-de3c-4227-93e3-31ddd0928ce7}</x14:id>
        </ext>
      </extLst>
    </cfRule>
  </conditionalFormatting>
  <conditionalFormatting sqref="AS73">
    <cfRule type="dataBar" priority="18">
      <dataBar>
        <cfvo type="min"/>
        <cfvo type="max"/>
        <color rgb="FF638EC6"/>
      </dataBar>
      <extLst>
        <ext xmlns:x14="http://schemas.microsoft.com/office/spreadsheetml/2009/9/main" uri="{B025F937-C7B1-47D3-B67F-A62EFF666E3E}">
          <x14:id>{d31bc829-50f2-4ed2-bea9-e602bfdec3ce}</x14:id>
        </ext>
      </extLst>
    </cfRule>
    <cfRule type="dataBar" priority="57">
      <dataBar>
        <cfvo type="min"/>
        <cfvo type="max"/>
        <color rgb="FF638EC6"/>
      </dataBar>
      <extLst>
        <ext xmlns:x14="http://schemas.microsoft.com/office/spreadsheetml/2009/9/main" uri="{B025F937-C7B1-47D3-B67F-A62EFF666E3E}">
          <x14:id>{8aacc9ee-4b07-411b-846a-ac187e5b0c9c}</x14:id>
        </ext>
      </extLst>
    </cfRule>
  </conditionalFormatting>
  <conditionalFormatting sqref="AT73">
    <cfRule type="dataBar" priority="141">
      <dataBar>
        <cfvo type="min"/>
        <cfvo type="max"/>
        <color rgb="FF63C384"/>
      </dataBar>
      <extLst>
        <ext xmlns:x14="http://schemas.microsoft.com/office/spreadsheetml/2009/9/main" uri="{B025F937-C7B1-47D3-B67F-A62EFF666E3E}">
          <x14:id>{6e35ba14-169b-4c65-b044-14743cb6e06c}</x14:id>
        </ext>
      </extLst>
    </cfRule>
  </conditionalFormatting>
  <conditionalFormatting sqref="BO73">
    <cfRule type="dataBar" priority="36">
      <dataBar>
        <cfvo type="min"/>
        <cfvo type="max"/>
        <color rgb="FF638EC6"/>
      </dataBar>
      <extLst>
        <ext xmlns:x14="http://schemas.microsoft.com/office/spreadsheetml/2009/9/main" uri="{B025F937-C7B1-47D3-B67F-A62EFF666E3E}">
          <x14:id>{18c927ea-277a-464d-9bd4-869f57a310c3}</x14:id>
        </ext>
      </extLst>
    </cfRule>
  </conditionalFormatting>
  <conditionalFormatting sqref="BP73">
    <cfRule type="dataBar" priority="17">
      <dataBar>
        <cfvo type="min"/>
        <cfvo type="max"/>
        <color rgb="FF63C384"/>
      </dataBar>
      <extLst>
        <ext xmlns:x14="http://schemas.microsoft.com/office/spreadsheetml/2009/9/main" uri="{B025F937-C7B1-47D3-B67F-A62EFF666E3E}">
          <x14:id>{03f6ac1e-c15b-4a08-80b1-03764d6ac383}</x14:id>
        </ext>
      </extLst>
    </cfRule>
  </conditionalFormatting>
  <conditionalFormatting sqref="AS74">
    <cfRule type="dataBar" priority="73">
      <dataBar>
        <cfvo type="min"/>
        <cfvo type="max"/>
        <color rgb="FF638EC6"/>
      </dataBar>
      <extLst>
        <ext xmlns:x14="http://schemas.microsoft.com/office/spreadsheetml/2009/9/main" uri="{B025F937-C7B1-47D3-B67F-A62EFF666E3E}">
          <x14:id>{5654f235-a412-4678-b04a-a66ba1d4d11b}</x14:id>
        </ext>
      </extLst>
    </cfRule>
    <cfRule type="dataBar" priority="115">
      <dataBar>
        <cfvo type="min"/>
        <cfvo type="max"/>
        <color rgb="FF638EC6"/>
      </dataBar>
      <extLst>
        <ext xmlns:x14="http://schemas.microsoft.com/office/spreadsheetml/2009/9/main" uri="{B025F937-C7B1-47D3-B67F-A62EFF666E3E}">
          <x14:id>{7e765686-1093-4992-9bdb-0e5e94860071}</x14:id>
        </ext>
      </extLst>
    </cfRule>
  </conditionalFormatting>
  <conditionalFormatting sqref="AT74">
    <cfRule type="dataBar" priority="75">
      <dataBar>
        <cfvo type="min"/>
        <cfvo type="max"/>
        <color rgb="FF63C384"/>
      </dataBar>
      <extLst>
        <ext xmlns:x14="http://schemas.microsoft.com/office/spreadsheetml/2009/9/main" uri="{B025F937-C7B1-47D3-B67F-A62EFF666E3E}">
          <x14:id>{83a57ecd-9571-4cae-9c3e-be686b1455e8}</x14:id>
        </ext>
      </extLst>
    </cfRule>
  </conditionalFormatting>
  <conditionalFormatting sqref="BO74">
    <cfRule type="dataBar" priority="125">
      <dataBar>
        <cfvo type="min"/>
        <cfvo type="max"/>
        <color rgb="FF638EC6"/>
      </dataBar>
      <extLst>
        <ext xmlns:x14="http://schemas.microsoft.com/office/spreadsheetml/2009/9/main" uri="{B025F937-C7B1-47D3-B67F-A62EFF666E3E}">
          <x14:id>{c2667a4f-abd8-4985-9f48-64e10ff103e5}</x14:id>
        </ext>
      </extLst>
    </cfRule>
  </conditionalFormatting>
  <conditionalFormatting sqref="BP74">
    <cfRule type="dataBar" priority="77">
      <dataBar>
        <cfvo type="min"/>
        <cfvo type="max"/>
        <color rgb="FF63C384"/>
      </dataBar>
      <extLst>
        <ext xmlns:x14="http://schemas.microsoft.com/office/spreadsheetml/2009/9/main" uri="{B025F937-C7B1-47D3-B67F-A62EFF666E3E}">
          <x14:id>{a8af9b35-394a-4175-a832-1810ba96eec7}</x14:id>
        </ext>
      </extLst>
    </cfRule>
  </conditionalFormatting>
  <conditionalFormatting sqref="M163">
    <cfRule type="dataBar" priority="65">
      <dataBar>
        <cfvo type="min"/>
        <cfvo type="max"/>
        <color rgb="FF63C384"/>
      </dataBar>
      <extLst>
        <ext xmlns:x14="http://schemas.microsoft.com/office/spreadsheetml/2009/9/main" uri="{B025F937-C7B1-47D3-B67F-A62EFF666E3E}">
          <x14:id>{22acf80d-a629-4063-9cb1-da84de7535ee}</x14:id>
        </ext>
      </extLst>
    </cfRule>
  </conditionalFormatting>
  <conditionalFormatting sqref="N163">
    <cfRule type="dataBar" priority="49">
      <dataBar>
        <cfvo type="min"/>
        <cfvo type="max"/>
        <color rgb="FFFF555A"/>
      </dataBar>
      <extLst>
        <ext xmlns:x14="http://schemas.microsoft.com/office/spreadsheetml/2009/9/main" uri="{B025F937-C7B1-47D3-B67F-A62EFF666E3E}">
          <x14:id>{29dbcfd7-dd9a-467a-8df3-1d391968b88a}</x14:id>
        </ext>
      </extLst>
    </cfRule>
  </conditionalFormatting>
  <conditionalFormatting sqref="AS163">
    <cfRule type="dataBar" priority="43">
      <dataBar>
        <cfvo type="min"/>
        <cfvo type="max"/>
        <color rgb="FF638EC6"/>
      </dataBar>
      <extLst>
        <ext xmlns:x14="http://schemas.microsoft.com/office/spreadsheetml/2009/9/main" uri="{B025F937-C7B1-47D3-B67F-A62EFF666E3E}">
          <x14:id>{f5227bbd-6e74-4232-aefa-076e9d74651f}</x14:id>
        </ext>
      </extLst>
    </cfRule>
    <cfRule type="dataBar" priority="68">
      <dataBar>
        <cfvo type="min"/>
        <cfvo type="max"/>
        <color rgb="FF638EC6"/>
      </dataBar>
      <extLst>
        <ext xmlns:x14="http://schemas.microsoft.com/office/spreadsheetml/2009/9/main" uri="{B025F937-C7B1-47D3-B67F-A62EFF666E3E}">
          <x14:id>{95bcc161-fd38-4cc4-8e63-a7b4160da194}</x14:id>
        </ext>
      </extLst>
    </cfRule>
  </conditionalFormatting>
  <conditionalFormatting sqref="AT163">
    <cfRule type="dataBar" priority="80">
      <dataBar>
        <cfvo type="min"/>
        <cfvo type="max"/>
        <color rgb="FF63C384"/>
      </dataBar>
      <extLst>
        <ext xmlns:x14="http://schemas.microsoft.com/office/spreadsheetml/2009/9/main" uri="{B025F937-C7B1-47D3-B67F-A62EFF666E3E}">
          <x14:id>{61869563-c6d9-437f-ac35-a6ce7f5140f5}</x14:id>
        </ext>
      </extLst>
    </cfRule>
  </conditionalFormatting>
  <conditionalFormatting sqref="BO163">
    <cfRule type="dataBar" priority="35">
      <dataBar>
        <cfvo type="min"/>
        <cfvo type="max"/>
        <color rgb="FF638EC6"/>
      </dataBar>
      <extLst>
        <ext xmlns:x14="http://schemas.microsoft.com/office/spreadsheetml/2009/9/main" uri="{B025F937-C7B1-47D3-B67F-A62EFF666E3E}">
          <x14:id>{7023b726-3c65-4c28-8ed8-d5e9d5cee2cc}</x14:id>
        </ext>
      </extLst>
    </cfRule>
  </conditionalFormatting>
  <conditionalFormatting sqref="BP163">
    <cfRule type="dataBar" priority="119">
      <dataBar>
        <cfvo type="min"/>
        <cfvo type="max"/>
        <color rgb="FF63C384"/>
      </dataBar>
      <extLst>
        <ext xmlns:x14="http://schemas.microsoft.com/office/spreadsheetml/2009/9/main" uri="{B025F937-C7B1-47D3-B67F-A62EFF666E3E}">
          <x14:id>{625d90d7-baca-4fdb-8253-4f9b14bf3826}</x14:id>
        </ext>
      </extLst>
    </cfRule>
  </conditionalFormatting>
  <conditionalFormatting sqref="M164">
    <cfRule type="dataBar" priority="95">
      <dataBar>
        <cfvo type="min"/>
        <cfvo type="max"/>
        <color rgb="FF63C384"/>
      </dataBar>
      <extLst>
        <ext xmlns:x14="http://schemas.microsoft.com/office/spreadsheetml/2009/9/main" uri="{B025F937-C7B1-47D3-B67F-A62EFF666E3E}">
          <x14:id>{5b4c7409-7207-4b65-ae6f-ab273b53e1c8}</x14:id>
        </ext>
      </extLst>
    </cfRule>
  </conditionalFormatting>
  <conditionalFormatting sqref="N164">
    <cfRule type="dataBar" priority="99">
      <dataBar>
        <cfvo type="min"/>
        <cfvo type="max"/>
        <color rgb="FFFF555A"/>
      </dataBar>
      <extLst>
        <ext xmlns:x14="http://schemas.microsoft.com/office/spreadsheetml/2009/9/main" uri="{B025F937-C7B1-47D3-B67F-A62EFF666E3E}">
          <x14:id>{882a33a5-962b-4570-810f-bac66ab005fd}</x14:id>
        </ext>
      </extLst>
    </cfRule>
  </conditionalFormatting>
  <conditionalFormatting sqref="AS164">
    <cfRule type="dataBar" priority="55">
      <dataBar>
        <cfvo type="min"/>
        <cfvo type="max"/>
        <color rgb="FF638EC6"/>
      </dataBar>
      <extLst>
        <ext xmlns:x14="http://schemas.microsoft.com/office/spreadsheetml/2009/9/main" uri="{B025F937-C7B1-47D3-B67F-A62EFF666E3E}">
          <x14:id>{d939f02f-160f-477d-9470-d278d640d833}</x14:id>
        </ext>
      </extLst>
    </cfRule>
    <cfRule type="dataBar" priority="59">
      <dataBar>
        <cfvo type="min"/>
        <cfvo type="max"/>
        <color rgb="FF638EC6"/>
      </dataBar>
      <extLst>
        <ext xmlns:x14="http://schemas.microsoft.com/office/spreadsheetml/2009/9/main" uri="{B025F937-C7B1-47D3-B67F-A62EFF666E3E}">
          <x14:id>{443607ff-418e-4998-ad6f-c3a09bb29cff}</x14:id>
        </ext>
      </extLst>
    </cfRule>
  </conditionalFormatting>
  <conditionalFormatting sqref="AT164">
    <cfRule type="dataBar" priority="4">
      <dataBar>
        <cfvo type="min"/>
        <cfvo type="max"/>
        <color rgb="FF63C384"/>
      </dataBar>
      <extLst>
        <ext xmlns:x14="http://schemas.microsoft.com/office/spreadsheetml/2009/9/main" uri="{B025F937-C7B1-47D3-B67F-A62EFF666E3E}">
          <x14:id>{184ef4bc-3160-4ae0-a3b9-a0e2a53edef2}</x14:id>
        </ext>
      </extLst>
    </cfRule>
  </conditionalFormatting>
  <conditionalFormatting sqref="BO164">
    <cfRule type="dataBar" priority="87">
      <dataBar>
        <cfvo type="min"/>
        <cfvo type="max"/>
        <color rgb="FF638EC6"/>
      </dataBar>
      <extLst>
        <ext xmlns:x14="http://schemas.microsoft.com/office/spreadsheetml/2009/9/main" uri="{B025F937-C7B1-47D3-B67F-A62EFF666E3E}">
          <x14:id>{e90e911a-afa2-4290-9645-3d949cb74c66}</x14:id>
        </ext>
      </extLst>
    </cfRule>
  </conditionalFormatting>
  <conditionalFormatting sqref="BP164">
    <cfRule type="dataBar" priority="144">
      <dataBar>
        <cfvo type="min"/>
        <cfvo type="max"/>
        <color rgb="FF63C384"/>
      </dataBar>
      <extLst>
        <ext xmlns:x14="http://schemas.microsoft.com/office/spreadsheetml/2009/9/main" uri="{B025F937-C7B1-47D3-B67F-A62EFF666E3E}">
          <x14:id>{a01eb3c2-6344-4697-ad97-c7585249f06a}</x14:id>
        </ext>
      </extLst>
    </cfRule>
  </conditionalFormatting>
  <conditionalFormatting sqref="M3:M159">
    <cfRule type="dataBar" priority="46">
      <dataBar>
        <cfvo type="min"/>
        <cfvo type="max"/>
        <color rgb="FF63C384"/>
      </dataBar>
      <extLst>
        <ext xmlns:x14="http://schemas.microsoft.com/office/spreadsheetml/2009/9/main" uri="{B025F937-C7B1-47D3-B67F-A62EFF666E3E}">
          <x14:id>{c2fc97c4-4401-4f1c-bf57-eb384b5658cc}</x14:id>
        </ext>
      </extLst>
    </cfRule>
  </conditionalFormatting>
  <conditionalFormatting sqref="M160:M162">
    <cfRule type="dataBar" priority="74">
      <dataBar>
        <cfvo type="min"/>
        <cfvo type="max"/>
        <color rgb="FF63C384"/>
      </dataBar>
      <extLst>
        <ext xmlns:x14="http://schemas.microsoft.com/office/spreadsheetml/2009/9/main" uri="{B025F937-C7B1-47D3-B67F-A62EFF666E3E}">
          <x14:id>{b2d253c0-f0a7-4424-a503-56e24c0f5c8e}</x14:id>
        </ext>
      </extLst>
    </cfRule>
  </conditionalFormatting>
  <conditionalFormatting sqref="N3:N62">
    <cfRule type="dataBar" priority="103">
      <dataBar>
        <cfvo type="min"/>
        <cfvo type="max"/>
        <color rgb="FFFF555A"/>
      </dataBar>
      <extLst>
        <ext xmlns:x14="http://schemas.microsoft.com/office/spreadsheetml/2009/9/main" uri="{B025F937-C7B1-47D3-B67F-A62EFF666E3E}">
          <x14:id>{590f0c5d-4fa1-4380-802a-e713dcfa987f}</x14:id>
        </ext>
      </extLst>
    </cfRule>
  </conditionalFormatting>
  <conditionalFormatting sqref="N63:N159">
    <cfRule type="dataBar" priority="148">
      <dataBar>
        <cfvo type="min"/>
        <cfvo type="max"/>
        <color rgb="FFFF555A"/>
      </dataBar>
      <extLst>
        <ext xmlns:x14="http://schemas.microsoft.com/office/spreadsheetml/2009/9/main" uri="{B025F937-C7B1-47D3-B67F-A62EFF666E3E}">
          <x14:id>{edcce4d9-ac89-41b7-831f-c22db297961e}</x14:id>
        </ext>
      </extLst>
    </cfRule>
  </conditionalFormatting>
  <conditionalFormatting sqref="N160:N162">
    <cfRule type="dataBar" priority="134">
      <dataBar>
        <cfvo type="min"/>
        <cfvo type="max"/>
        <color rgb="FFFF555A"/>
      </dataBar>
      <extLst>
        <ext xmlns:x14="http://schemas.microsoft.com/office/spreadsheetml/2009/9/main" uri="{B025F937-C7B1-47D3-B67F-A62EFF666E3E}">
          <x14:id>{cb41eb7e-242d-4a9d-8b16-dc90019b567e}</x14:id>
        </ext>
      </extLst>
    </cfRule>
  </conditionalFormatting>
  <conditionalFormatting sqref="AS3:AS22">
    <cfRule type="dataBar" priority="26">
      <dataBar>
        <cfvo type="min"/>
        <cfvo type="max"/>
        <color rgb="FF638EC6"/>
      </dataBar>
      <extLst>
        <ext xmlns:x14="http://schemas.microsoft.com/office/spreadsheetml/2009/9/main" uri="{B025F937-C7B1-47D3-B67F-A62EFF666E3E}">
          <x14:id>{cfc4b609-d712-4a5b-b939-6bd95a666c03}</x14:id>
        </ext>
      </extLst>
    </cfRule>
    <cfRule type="dataBar" priority="39">
      <dataBar>
        <cfvo type="min"/>
        <cfvo type="max"/>
        <color rgb="FF638EC6"/>
      </dataBar>
      <extLst>
        <ext xmlns:x14="http://schemas.microsoft.com/office/spreadsheetml/2009/9/main" uri="{B025F937-C7B1-47D3-B67F-A62EFF666E3E}">
          <x14:id>{213e72b9-506b-41d0-985a-4e3b9777a584}</x14:id>
        </ext>
      </extLst>
    </cfRule>
  </conditionalFormatting>
  <conditionalFormatting sqref="AS23:AS62">
    <cfRule type="dataBar" priority="98">
      <dataBar>
        <cfvo type="min"/>
        <cfvo type="max"/>
        <color rgb="FF638EC6"/>
      </dataBar>
      <extLst>
        <ext xmlns:x14="http://schemas.microsoft.com/office/spreadsheetml/2009/9/main" uri="{B025F937-C7B1-47D3-B67F-A62EFF666E3E}">
          <x14:id>{16b7cce6-31e7-400b-b3ae-0cf1f86e10de}</x14:id>
        </ext>
      </extLst>
    </cfRule>
    <cfRule type="dataBar" priority="102">
      <dataBar>
        <cfvo type="min"/>
        <cfvo type="max"/>
        <color rgb="FF638EC6"/>
      </dataBar>
      <extLst>
        <ext xmlns:x14="http://schemas.microsoft.com/office/spreadsheetml/2009/9/main" uri="{B025F937-C7B1-47D3-B67F-A62EFF666E3E}">
          <x14:id>{484af6ea-c174-41ab-86ff-70ab1665052d}</x14:id>
        </ext>
      </extLst>
    </cfRule>
  </conditionalFormatting>
  <conditionalFormatting sqref="AS75:AS92">
    <cfRule type="dataBar" priority="34">
      <dataBar>
        <cfvo type="min"/>
        <cfvo type="max"/>
        <color rgb="FF638EC6"/>
      </dataBar>
      <extLst>
        <ext xmlns:x14="http://schemas.microsoft.com/office/spreadsheetml/2009/9/main" uri="{B025F937-C7B1-47D3-B67F-A62EFF666E3E}">
          <x14:id>{3583b413-a114-491a-ba38-897178c09207}</x14:id>
        </ext>
      </extLst>
    </cfRule>
    <cfRule type="dataBar" priority="157">
      <dataBar>
        <cfvo type="min"/>
        <cfvo type="max"/>
        <color rgb="FF638EC6"/>
      </dataBar>
      <extLst>
        <ext xmlns:x14="http://schemas.microsoft.com/office/spreadsheetml/2009/9/main" uri="{B025F937-C7B1-47D3-B67F-A62EFF666E3E}">
          <x14:id>{cf18c64b-04aa-4b55-a774-e8d183bffc10}</x14:id>
        </ext>
      </extLst>
    </cfRule>
  </conditionalFormatting>
  <conditionalFormatting sqref="AS93:AS162">
    <cfRule type="dataBar" priority="52">
      <dataBar>
        <cfvo type="min"/>
        <cfvo type="max"/>
        <color rgb="FF638EC6"/>
      </dataBar>
      <extLst>
        <ext xmlns:x14="http://schemas.microsoft.com/office/spreadsheetml/2009/9/main" uri="{B025F937-C7B1-47D3-B67F-A62EFF666E3E}">
          <x14:id>{9e9ff0a3-8075-496b-b9aa-2a09c382f0ea}</x14:id>
        </ext>
      </extLst>
    </cfRule>
    <cfRule type="dataBar" priority="130">
      <dataBar>
        <cfvo type="min"/>
        <cfvo type="max"/>
        <color rgb="FF638EC6"/>
      </dataBar>
      <extLst>
        <ext xmlns:x14="http://schemas.microsoft.com/office/spreadsheetml/2009/9/main" uri="{B025F937-C7B1-47D3-B67F-A62EFF666E3E}">
          <x14:id>{0366f197-8cfe-4607-be02-9011435a2452}</x14:id>
        </ext>
      </extLst>
    </cfRule>
  </conditionalFormatting>
  <conditionalFormatting sqref="AT3:AT22">
    <cfRule type="dataBar" priority="156">
      <dataBar>
        <cfvo type="min"/>
        <cfvo type="max"/>
        <color rgb="FF63C384"/>
      </dataBar>
      <extLst>
        <ext xmlns:x14="http://schemas.microsoft.com/office/spreadsheetml/2009/9/main" uri="{B025F937-C7B1-47D3-B67F-A62EFF666E3E}">
          <x14:id>{4dcb5ef9-dd96-4175-a901-4889aa3f416f}</x14:id>
        </ext>
      </extLst>
    </cfRule>
  </conditionalFormatting>
  <conditionalFormatting sqref="AT75:AT92">
    <cfRule type="dataBar" priority="101">
      <dataBar>
        <cfvo type="min"/>
        <cfvo type="max"/>
        <color rgb="FF63C384"/>
      </dataBar>
      <extLst>
        <ext xmlns:x14="http://schemas.microsoft.com/office/spreadsheetml/2009/9/main" uri="{B025F937-C7B1-47D3-B67F-A62EFF666E3E}">
          <x14:id>{215d6f60-0782-4475-9a7d-1e9a13707f11}</x14:id>
        </ext>
      </extLst>
    </cfRule>
  </conditionalFormatting>
  <conditionalFormatting sqref="AT93:AT162">
    <cfRule type="dataBar" priority="110">
      <dataBar>
        <cfvo type="min"/>
        <cfvo type="max"/>
        <color rgb="FF63C384"/>
      </dataBar>
      <extLst>
        <ext xmlns:x14="http://schemas.microsoft.com/office/spreadsheetml/2009/9/main" uri="{B025F937-C7B1-47D3-B67F-A62EFF666E3E}">
          <x14:id>{0e2003d2-8ea0-4831-abc2-220b247b8544}</x14:id>
        </ext>
      </extLst>
    </cfRule>
  </conditionalFormatting>
  <conditionalFormatting sqref="BO1:BO201">
    <cfRule type="dataBar" priority="47">
      <dataBar>
        <cfvo type="min"/>
        <cfvo type="max"/>
        <color rgb="FF638EC6"/>
      </dataBar>
      <extLst>
        <ext xmlns:x14="http://schemas.microsoft.com/office/spreadsheetml/2009/9/main" uri="{B025F937-C7B1-47D3-B67F-A62EFF666E3E}">
          <x14:id>{8a7c5f92-770e-404b-ac5a-0a41c24a80f8}</x14:id>
        </ext>
      </extLst>
    </cfRule>
  </conditionalFormatting>
  <conditionalFormatting sqref="BO18:BO20">
    <cfRule type="dataBar" priority="104">
      <dataBar>
        <cfvo type="min"/>
        <cfvo type="max"/>
        <color rgb="FF638EC6"/>
      </dataBar>
      <extLst>
        <ext xmlns:x14="http://schemas.microsoft.com/office/spreadsheetml/2009/9/main" uri="{B025F937-C7B1-47D3-B67F-A62EFF666E3E}">
          <x14:id>{ec34d041-063a-46e5-94d2-4d4e9d1cc3dc}</x14:id>
        </ext>
      </extLst>
    </cfRule>
  </conditionalFormatting>
  <conditionalFormatting sqref="BO75:BO92">
    <cfRule type="dataBar" priority="111">
      <dataBar>
        <cfvo type="min"/>
        <cfvo type="max"/>
        <color rgb="FF638EC6"/>
      </dataBar>
      <extLst>
        <ext xmlns:x14="http://schemas.microsoft.com/office/spreadsheetml/2009/9/main" uri="{B025F937-C7B1-47D3-B67F-A62EFF666E3E}">
          <x14:id>{30bee200-e343-4139-a721-fe7c2838b461}</x14:id>
        </ext>
      </extLst>
    </cfRule>
  </conditionalFormatting>
  <conditionalFormatting sqref="BO93:BO162">
    <cfRule type="dataBar" priority="100">
      <dataBar>
        <cfvo type="min"/>
        <cfvo type="max"/>
        <color rgb="FF638EC6"/>
      </dataBar>
      <extLst>
        <ext xmlns:x14="http://schemas.microsoft.com/office/spreadsheetml/2009/9/main" uri="{B025F937-C7B1-47D3-B67F-A62EFF666E3E}">
          <x14:id>{31c54de8-fb21-46a4-9c2b-f0df691c9e14}</x14:id>
        </ext>
      </extLst>
    </cfRule>
  </conditionalFormatting>
  <conditionalFormatting sqref="BP1:BP201">
    <cfRule type="dataBar" priority="143">
      <dataBar>
        <cfvo type="min"/>
        <cfvo type="max"/>
        <color rgb="FF63C384"/>
      </dataBar>
      <extLst>
        <ext xmlns:x14="http://schemas.microsoft.com/office/spreadsheetml/2009/9/main" uri="{B025F937-C7B1-47D3-B67F-A62EFF666E3E}">
          <x14:id>{e827b777-51d2-4173-b0f3-7746fd1c4858}</x14:id>
        </ext>
      </extLst>
    </cfRule>
  </conditionalFormatting>
  <conditionalFormatting sqref="BP18:BP20">
    <cfRule type="dataBar" priority="120">
      <dataBar>
        <cfvo type="min"/>
        <cfvo type="max"/>
        <color rgb="FF63C384"/>
      </dataBar>
      <extLst>
        <ext xmlns:x14="http://schemas.microsoft.com/office/spreadsheetml/2009/9/main" uri="{B025F937-C7B1-47D3-B67F-A62EFF666E3E}">
          <x14:id>{bd5da846-6829-45a5-b64f-550fac5d92ee}</x14:id>
        </ext>
      </extLst>
    </cfRule>
  </conditionalFormatting>
  <conditionalFormatting sqref="BP75:BP92">
    <cfRule type="dataBar" priority="154">
      <dataBar>
        <cfvo type="min"/>
        <cfvo type="max"/>
        <color rgb="FF63C384"/>
      </dataBar>
      <extLst>
        <ext xmlns:x14="http://schemas.microsoft.com/office/spreadsheetml/2009/9/main" uri="{B025F937-C7B1-47D3-B67F-A62EFF666E3E}">
          <x14:id>{e48f0b83-16e0-4d1e-ba85-139e6498c134}</x14:id>
        </ext>
      </extLst>
    </cfRule>
  </conditionalFormatting>
  <conditionalFormatting sqref="BP93:BP162">
    <cfRule type="dataBar" priority="20">
      <dataBar>
        <cfvo type="min"/>
        <cfvo type="max"/>
        <color rgb="FF63C384"/>
      </dataBar>
      <extLst>
        <ext xmlns:x14="http://schemas.microsoft.com/office/spreadsheetml/2009/9/main" uri="{B025F937-C7B1-47D3-B67F-A62EFF666E3E}">
          <x14:id>{75b2c865-c686-4645-9fed-bfc5fd78bb47}</x14:id>
        </ext>
      </extLst>
    </cfRule>
  </conditionalFormatting>
  <conditionalFormatting sqref="M1:M2 M164:M165">
    <cfRule type="dataBar" priority="10">
      <dataBar>
        <cfvo type="min"/>
        <cfvo type="max"/>
        <color rgb="FF63C384"/>
      </dataBar>
      <extLst>
        <ext xmlns:x14="http://schemas.microsoft.com/office/spreadsheetml/2009/9/main" uri="{B025F937-C7B1-47D3-B67F-A62EFF666E3E}">
          <x14:id>{79d172fd-5cb1-467b-bf7d-4554a73969b8}</x14:id>
        </ext>
      </extLst>
    </cfRule>
  </conditionalFormatting>
  <conditionalFormatting sqref="N1:N2 P1">
    <cfRule type="dataBar" priority="5">
      <dataBar>
        <cfvo type="min"/>
        <cfvo type="max"/>
        <color rgb="FF63C384"/>
      </dataBar>
      <extLst>
        <ext xmlns:x14="http://schemas.microsoft.com/office/spreadsheetml/2009/9/main" uri="{B025F937-C7B1-47D3-B67F-A62EFF666E3E}">
          <x14:id>{120bf783-c377-49ad-9b55-b0fb6d4e5636}</x14:id>
        </ext>
      </extLst>
    </cfRule>
  </conditionalFormatting>
  <conditionalFormatting sqref="N1:N2 N164:N165">
    <cfRule type="dataBar" priority="150">
      <dataBar>
        <cfvo type="min"/>
        <cfvo type="max"/>
        <color rgb="FFFF555A"/>
      </dataBar>
      <extLst>
        <ext xmlns:x14="http://schemas.microsoft.com/office/spreadsheetml/2009/9/main" uri="{B025F937-C7B1-47D3-B67F-A62EFF666E3E}">
          <x14:id>{002ac24c-c344-4d33-9fd9-88a8035e739f}</x14:id>
        </ext>
      </extLst>
    </cfRule>
  </conditionalFormatting>
  <conditionalFormatting sqref="Q1:R2 S1">
    <cfRule type="dataBar" priority="129">
      <dataBar>
        <cfvo type="min"/>
        <cfvo type="max"/>
        <color rgb="FF638EC6"/>
      </dataBar>
      <extLst>
        <ext xmlns:x14="http://schemas.microsoft.com/office/spreadsheetml/2009/9/main" uri="{B025F937-C7B1-47D3-B67F-A62EFF666E3E}">
          <x14:id>{e6cd1295-1077-487c-ba10-83ecf09272c5}</x14:id>
        </ext>
      </extLst>
    </cfRule>
    <cfRule type="dataBar" priority="139">
      <dataBar>
        <cfvo type="min"/>
        <cfvo type="max"/>
        <color rgb="FF000000"/>
      </dataBar>
      <extLst>
        <ext xmlns:x14="http://schemas.microsoft.com/office/spreadsheetml/2009/9/main" uri="{B025F937-C7B1-47D3-B67F-A62EFF666E3E}">
          <x14:id>{cc32c852-5760-47ab-b8fb-12bcd77f843f}</x14:id>
        </ext>
      </extLst>
    </cfRule>
  </conditionalFormatting>
  <conditionalFormatting sqref="AT23:AT62 AT164:AT165">
    <cfRule type="dataBar" priority="61">
      <dataBar>
        <cfvo type="min"/>
        <cfvo type="max"/>
        <color rgb="FF63C384"/>
      </dataBar>
      <extLst>
        <ext xmlns:x14="http://schemas.microsoft.com/office/spreadsheetml/2009/9/main" uri="{B025F937-C7B1-47D3-B67F-A62EFF666E3E}">
          <x14:id>{61d69205-f6e8-446f-8df4-65438c7d6c95}</x14:id>
        </ext>
      </extLst>
    </cfRule>
  </conditionalFormatting>
  <hyperlinks>
    <hyperlink ref="FF1" r:id="rId3" display="如何提升自然排名和自然订单"/>
    <hyperlink ref="FF2" r:id="rId4" display="模型运营：“一周上首页”：揭秘亚马逊新品如何实现大词自然排名飙升与关键"/>
  </hyperlinks>
  <pageMargins left="0.75" right="0.75" top="1" bottom="1" header="0.5" footer="0.5"/>
  <headerFooter/>
  <legacyDrawing r:id="rId2"/>
  <extLst>
    <ext xmlns:x14="http://schemas.microsoft.com/office/spreadsheetml/2009/9/main" uri="{78C0D931-6437-407d-A8EE-F0AAD7539E65}">
      <x14:conditionalFormattings>
        <x14:conditionalFormatting xmlns:xm="http://schemas.microsoft.com/office/excel/2006/main">
          <x14:cfRule type="dataBar" id="{59ff7892-fae6-4a39-a4cc-b4136a18f223}">
            <x14:dataBar minLength="0" maxLength="100">
              <x14:cfvo type="min"/>
              <x14:cfvo type="max"/>
              <x14:negativeFillColor rgb="FFFFFFFF"/>
              <x14:axisColor rgb="FF000000"/>
            </x14:dataBar>
          </x14:cfRule>
          <xm:sqref>O1</xm:sqref>
        </x14:conditionalFormatting>
        <x14:conditionalFormatting xmlns:xm="http://schemas.microsoft.com/office/excel/2006/main">
          <x14:cfRule type="dataBar" id="{f98e49a4-d612-4858-927a-d6a199a581b1}">
            <x14:dataBar minLength="0" maxLength="100" gradient="0">
              <x14:cfvo type="autoMin"/>
              <x14:cfvo type="autoMax"/>
              <x14:negativeFillColor rgb="FFFF0000"/>
              <x14:axisColor rgb="FF000000"/>
            </x14:dataBar>
          </x14:cfRule>
          <xm:sqref>AT2</xm:sqref>
        </x14:conditionalFormatting>
        <x14:conditionalFormatting xmlns:xm="http://schemas.microsoft.com/office/excel/2006/main">
          <x14:cfRule type="dataBar" id="{03c639f1-c061-4683-bb48-a22c105f49cf}">
            <x14:dataBar minLength="0" maxLength="100">
              <x14:cfvo type="min"/>
              <x14:cfvo type="max"/>
              <x14:negativeFillColor rgb="FFFFFFFF"/>
              <x14:axisColor rgb="FF000000"/>
            </x14:dataBar>
          </x14:cfRule>
          <xm:sqref>AU2</xm:sqref>
        </x14:conditionalFormatting>
        <x14:conditionalFormatting xmlns:xm="http://schemas.microsoft.com/office/excel/2006/main">
          <x14:cfRule type="dataBar" id="{b3b4a3da-2385-472f-93f9-5f244c534141}">
            <x14:dataBar minLength="0" maxLength="100">
              <x14:cfvo type="min"/>
              <x14:cfvo type="max"/>
              <x14:negativeFillColor rgb="FFFFFFFF"/>
              <x14:axisColor rgb="FF000000"/>
            </x14:dataBar>
          </x14:cfRule>
          <x14:cfRule type="dataBar" id="{6e1b47cb-827d-4672-a685-cebe044fc440}">
            <x14:dataBar minLength="0" maxLength="100">
              <x14:cfvo type="min"/>
              <x14:cfvo type="max"/>
              <x14:negativeFillColor rgb="FFFFFFFF"/>
              <x14:axisColor rgb="FF000000"/>
            </x14:dataBar>
          </x14:cfRule>
          <xm:sqref>AY2</xm:sqref>
        </x14:conditionalFormatting>
        <x14:conditionalFormatting xmlns:xm="http://schemas.microsoft.com/office/excel/2006/main">
          <x14:cfRule type="dataBar" id="{202eec9f-01b8-41bc-a48c-079761d38152}">
            <x14:dataBar minLength="0" maxLength="100">
              <x14:cfvo type="min"/>
              <x14:cfvo type="max"/>
              <x14:negativeFillColor rgb="FFFFFFFF"/>
              <x14:axisColor rgb="FF000000"/>
            </x14:dataBar>
          </x14:cfRule>
          <x14:cfRule type="dataBar" id="{ae35a711-2530-4048-a7ba-e6a5b0a89bda}">
            <x14:dataBar minLength="0" maxLength="100">
              <x14:cfvo type="min"/>
              <x14:cfvo type="max"/>
              <x14:negativeFillColor rgb="FFFFFFFF"/>
              <x14:axisColor rgb="FF000000"/>
            </x14:dataBar>
          </x14:cfRule>
          <xm:sqref>AZ2</xm:sqref>
        </x14:conditionalFormatting>
        <x14:conditionalFormatting xmlns:xm="http://schemas.microsoft.com/office/excel/2006/main">
          <x14:cfRule type="dataBar" id="{4d8d9b34-0211-4e03-a555-95b7eff4db1a}">
            <x14:dataBar minLength="0" maxLength="100" gradient="0">
              <x14:cfvo type="autoMin"/>
              <x14:cfvo type="autoMax"/>
              <x14:negativeFillColor rgb="FFFF0000"/>
              <x14:axisColor rgb="FF000000"/>
            </x14:dataBar>
          </x14:cfRule>
          <xm:sqref>BO3</xm:sqref>
        </x14:conditionalFormatting>
        <x14:conditionalFormatting xmlns:xm="http://schemas.microsoft.com/office/excel/2006/main">
          <x14:cfRule type="dataBar" id="{f32c33cf-f7ea-4716-8c31-d27baf2907b9}">
            <x14:dataBar minLength="0" maxLength="100" gradient="0">
              <x14:cfvo type="autoMin"/>
              <x14:cfvo type="autoMax"/>
              <x14:negativeFillColor rgb="FFFF0000"/>
              <x14:axisColor rgb="FF000000"/>
            </x14:dataBar>
          </x14:cfRule>
          <xm:sqref>BP3</xm:sqref>
        </x14:conditionalFormatting>
        <x14:conditionalFormatting xmlns:xm="http://schemas.microsoft.com/office/excel/2006/main">
          <x14:cfRule type="dataBar" id="{7e454673-1f7a-4f40-a006-92cf4fc42e5a}">
            <x14:dataBar minLength="0" maxLength="100" gradient="0">
              <x14:cfvo type="autoMin"/>
              <x14:cfvo type="autoMax"/>
              <x14:negativeFillColor rgb="FFFF0000"/>
              <x14:axisColor rgb="FF000000"/>
            </x14:dataBar>
          </x14:cfRule>
          <xm:sqref>BO4</xm:sqref>
        </x14:conditionalFormatting>
        <x14:conditionalFormatting xmlns:xm="http://schemas.microsoft.com/office/excel/2006/main">
          <x14:cfRule type="dataBar" id="{f25f0fb1-e7f6-4c56-b2c6-65b4d56272e9}">
            <x14:dataBar minLength="0" maxLength="100" gradient="0">
              <x14:cfvo type="autoMin"/>
              <x14:cfvo type="autoMax"/>
              <x14:negativeFillColor rgb="FFFF0000"/>
              <x14:axisColor rgb="FF000000"/>
            </x14:dataBar>
          </x14:cfRule>
          <xm:sqref>BP4</xm:sqref>
        </x14:conditionalFormatting>
        <x14:conditionalFormatting xmlns:xm="http://schemas.microsoft.com/office/excel/2006/main">
          <x14:cfRule type="dataBar" id="{9255db87-4c8f-4158-92d4-83bfac603b2d}">
            <x14:dataBar minLength="0" maxLength="100" gradient="0">
              <x14:cfvo type="autoMin"/>
              <x14:cfvo type="autoMax"/>
              <x14:negativeFillColor rgb="FFFF0000"/>
              <x14:axisColor rgb="FF000000"/>
            </x14:dataBar>
          </x14:cfRule>
          <xm:sqref>BO5</xm:sqref>
        </x14:conditionalFormatting>
        <x14:conditionalFormatting xmlns:xm="http://schemas.microsoft.com/office/excel/2006/main">
          <x14:cfRule type="dataBar" id="{c448825e-d1ed-497a-83f9-52b4fc2166d9}">
            <x14:dataBar minLength="0" maxLength="100" gradient="0">
              <x14:cfvo type="autoMin"/>
              <x14:cfvo type="autoMax"/>
              <x14:negativeFillColor rgb="FFFF0000"/>
              <x14:axisColor rgb="FF000000"/>
            </x14:dataBar>
          </x14:cfRule>
          <xm:sqref>BP5</xm:sqref>
        </x14:conditionalFormatting>
        <x14:conditionalFormatting xmlns:xm="http://schemas.microsoft.com/office/excel/2006/main">
          <x14:cfRule type="dataBar" id="{7b60a4ef-2815-4410-996f-75b5711b7167}">
            <x14:dataBar minLength="0" maxLength="100" gradient="0">
              <x14:cfvo type="autoMin"/>
              <x14:cfvo type="autoMax"/>
              <x14:negativeFillColor rgb="FFFF0000"/>
              <x14:axisColor rgb="FF000000"/>
            </x14:dataBar>
          </x14:cfRule>
          <xm:sqref>BO6</xm:sqref>
        </x14:conditionalFormatting>
        <x14:conditionalFormatting xmlns:xm="http://schemas.microsoft.com/office/excel/2006/main">
          <x14:cfRule type="dataBar" id="{8629c563-4aa4-48bc-98de-2d640b5e5290}">
            <x14:dataBar minLength="0" maxLength="100" gradient="0">
              <x14:cfvo type="autoMin"/>
              <x14:cfvo type="autoMax"/>
              <x14:negativeFillColor rgb="FFFF0000"/>
              <x14:axisColor rgb="FF000000"/>
            </x14:dataBar>
          </x14:cfRule>
          <xm:sqref>BP6</xm:sqref>
        </x14:conditionalFormatting>
        <x14:conditionalFormatting xmlns:xm="http://schemas.microsoft.com/office/excel/2006/main">
          <x14:cfRule type="dataBar" id="{9dc9a0b1-27bd-4b80-9441-01d0fe29105d}">
            <x14:dataBar minLength="0" maxLength="100" gradient="0">
              <x14:cfvo type="autoMin"/>
              <x14:cfvo type="autoMax"/>
              <x14:negativeFillColor rgb="FFFF0000"/>
              <x14:axisColor rgb="FF000000"/>
            </x14:dataBar>
          </x14:cfRule>
          <xm:sqref>BO7</xm:sqref>
        </x14:conditionalFormatting>
        <x14:conditionalFormatting xmlns:xm="http://schemas.microsoft.com/office/excel/2006/main">
          <x14:cfRule type="dataBar" id="{1f0ddf96-ead5-4628-93db-e7560b6ba4d9}">
            <x14:dataBar minLength="0" maxLength="100" gradient="0">
              <x14:cfvo type="autoMin"/>
              <x14:cfvo type="autoMax"/>
              <x14:negativeFillColor rgb="FFFF0000"/>
              <x14:axisColor rgb="FF000000"/>
            </x14:dataBar>
          </x14:cfRule>
          <xm:sqref>BP7</xm:sqref>
        </x14:conditionalFormatting>
        <x14:conditionalFormatting xmlns:xm="http://schemas.microsoft.com/office/excel/2006/main">
          <x14:cfRule type="dataBar" id="{ed7fe14b-6b34-4a8d-8cbe-804919cff246}">
            <x14:dataBar minLength="0" maxLength="100" gradient="0">
              <x14:cfvo type="autoMin"/>
              <x14:cfvo type="autoMax"/>
              <x14:negativeFillColor rgb="FFFF0000"/>
              <x14:axisColor rgb="FF000000"/>
            </x14:dataBar>
          </x14:cfRule>
          <xm:sqref>BO8</xm:sqref>
        </x14:conditionalFormatting>
        <x14:conditionalFormatting xmlns:xm="http://schemas.microsoft.com/office/excel/2006/main">
          <x14:cfRule type="dataBar" id="{401cac17-047c-41e3-9236-5ab2608d3f23}">
            <x14:dataBar minLength="0" maxLength="100" gradient="0">
              <x14:cfvo type="autoMin"/>
              <x14:cfvo type="autoMax"/>
              <x14:negativeFillColor rgb="FFFF0000"/>
              <x14:axisColor rgb="FF000000"/>
            </x14:dataBar>
          </x14:cfRule>
          <xm:sqref>BP8</xm:sqref>
        </x14:conditionalFormatting>
        <x14:conditionalFormatting xmlns:xm="http://schemas.microsoft.com/office/excel/2006/main">
          <x14:cfRule type="dataBar" id="{6dc93c74-ea8d-48e6-8e1c-2455d4e89ea9}">
            <x14:dataBar minLength="0" maxLength="100" gradient="0">
              <x14:cfvo type="autoMin"/>
              <x14:cfvo type="autoMax"/>
              <x14:negativeFillColor rgb="FFFF0000"/>
              <x14:axisColor rgb="FF000000"/>
            </x14:dataBar>
          </x14:cfRule>
          <xm:sqref>BO9</xm:sqref>
        </x14:conditionalFormatting>
        <x14:conditionalFormatting xmlns:xm="http://schemas.microsoft.com/office/excel/2006/main">
          <x14:cfRule type="dataBar" id="{382a7693-4365-4164-b341-9535ce34a9b3}">
            <x14:dataBar minLength="0" maxLength="100" gradient="0">
              <x14:cfvo type="autoMin"/>
              <x14:cfvo type="autoMax"/>
              <x14:negativeFillColor rgb="FFFF0000"/>
              <x14:axisColor rgb="FF000000"/>
            </x14:dataBar>
          </x14:cfRule>
          <xm:sqref>BP9</xm:sqref>
        </x14:conditionalFormatting>
        <x14:conditionalFormatting xmlns:xm="http://schemas.microsoft.com/office/excel/2006/main">
          <x14:cfRule type="dataBar" id="{6fe15310-f07d-4b3b-b194-dfcbeab55bb5}">
            <x14:dataBar minLength="0" maxLength="100" gradient="0">
              <x14:cfvo type="autoMin"/>
              <x14:cfvo type="autoMax"/>
              <x14:negativeFillColor rgb="FFFF0000"/>
              <x14:axisColor rgb="FF000000"/>
            </x14:dataBar>
          </x14:cfRule>
          <xm:sqref>BO10</xm:sqref>
        </x14:conditionalFormatting>
        <x14:conditionalFormatting xmlns:xm="http://schemas.microsoft.com/office/excel/2006/main">
          <x14:cfRule type="dataBar" id="{7b28a7ef-8b8c-46dd-8866-3dea2dd3162a}">
            <x14:dataBar minLength="0" maxLength="100" gradient="0">
              <x14:cfvo type="autoMin"/>
              <x14:cfvo type="autoMax"/>
              <x14:negativeFillColor rgb="FFFF0000"/>
              <x14:axisColor rgb="FF000000"/>
            </x14:dataBar>
          </x14:cfRule>
          <xm:sqref>BP10</xm:sqref>
        </x14:conditionalFormatting>
        <x14:conditionalFormatting xmlns:xm="http://schemas.microsoft.com/office/excel/2006/main">
          <x14:cfRule type="dataBar" id="{96528240-8df4-4924-a784-0c390a189800}">
            <x14:dataBar minLength="0" maxLength="100" gradient="0">
              <x14:cfvo type="autoMin"/>
              <x14:cfvo type="autoMax"/>
              <x14:negativeFillColor rgb="FFFF0000"/>
              <x14:axisColor rgb="FF000000"/>
            </x14:dataBar>
          </x14:cfRule>
          <xm:sqref>BO11</xm:sqref>
        </x14:conditionalFormatting>
        <x14:conditionalFormatting xmlns:xm="http://schemas.microsoft.com/office/excel/2006/main">
          <x14:cfRule type="dataBar" id="{44e330d2-51be-4c38-b2ba-b5a0130cdeca}">
            <x14:dataBar minLength="0" maxLength="100" gradient="0">
              <x14:cfvo type="autoMin"/>
              <x14:cfvo type="autoMax"/>
              <x14:negativeFillColor rgb="FFFF0000"/>
              <x14:axisColor rgb="FF000000"/>
            </x14:dataBar>
          </x14:cfRule>
          <xm:sqref>BP11</xm:sqref>
        </x14:conditionalFormatting>
        <x14:conditionalFormatting xmlns:xm="http://schemas.microsoft.com/office/excel/2006/main">
          <x14:cfRule type="dataBar" id="{e0ba2a83-901b-4ac6-a554-33a108f8ca9a}">
            <x14:dataBar minLength="0" maxLength="100" gradient="0">
              <x14:cfvo type="autoMin"/>
              <x14:cfvo type="autoMax"/>
              <x14:negativeFillColor rgb="FFFF0000"/>
              <x14:axisColor rgb="FF000000"/>
            </x14:dataBar>
          </x14:cfRule>
          <xm:sqref>BO12</xm:sqref>
        </x14:conditionalFormatting>
        <x14:conditionalFormatting xmlns:xm="http://schemas.microsoft.com/office/excel/2006/main">
          <x14:cfRule type="dataBar" id="{56bf9f42-56fe-4717-8a08-466245ddc1f8}">
            <x14:dataBar minLength="0" maxLength="100" gradient="0">
              <x14:cfvo type="autoMin"/>
              <x14:cfvo type="autoMax"/>
              <x14:negativeFillColor rgb="FFFF0000"/>
              <x14:axisColor rgb="FF000000"/>
            </x14:dataBar>
          </x14:cfRule>
          <xm:sqref>BP12</xm:sqref>
        </x14:conditionalFormatting>
        <x14:conditionalFormatting xmlns:xm="http://schemas.microsoft.com/office/excel/2006/main">
          <x14:cfRule type="dataBar" id="{2892e1c6-2dd6-45b9-92f7-ce969d380a2c}">
            <x14:dataBar minLength="0" maxLength="100" gradient="0">
              <x14:cfvo type="autoMin"/>
              <x14:cfvo type="autoMax"/>
              <x14:negativeFillColor rgb="FFFF0000"/>
              <x14:axisColor rgb="FF000000"/>
            </x14:dataBar>
          </x14:cfRule>
          <xm:sqref>BO13</xm:sqref>
        </x14:conditionalFormatting>
        <x14:conditionalFormatting xmlns:xm="http://schemas.microsoft.com/office/excel/2006/main">
          <x14:cfRule type="dataBar" id="{91cdd5b1-c8ce-4b13-9ea9-0cc6c2aa9d13}">
            <x14:dataBar minLength="0" maxLength="100" gradient="0">
              <x14:cfvo type="autoMin"/>
              <x14:cfvo type="autoMax"/>
              <x14:negativeFillColor rgb="FFFF0000"/>
              <x14:axisColor rgb="FF000000"/>
            </x14:dataBar>
          </x14:cfRule>
          <xm:sqref>BP13</xm:sqref>
        </x14:conditionalFormatting>
        <x14:conditionalFormatting xmlns:xm="http://schemas.microsoft.com/office/excel/2006/main">
          <x14:cfRule type="dataBar" id="{4a0231c5-d518-47cd-98cc-0fb5cdb7ced7}">
            <x14:dataBar minLength="0" maxLength="100" gradient="0">
              <x14:cfvo type="autoMin"/>
              <x14:cfvo type="autoMax"/>
              <x14:negativeFillColor rgb="FFFF0000"/>
              <x14:axisColor rgb="FF000000"/>
            </x14:dataBar>
          </x14:cfRule>
          <xm:sqref>BO14</xm:sqref>
        </x14:conditionalFormatting>
        <x14:conditionalFormatting xmlns:xm="http://schemas.microsoft.com/office/excel/2006/main">
          <x14:cfRule type="dataBar" id="{37ce4874-c000-40d7-80a8-ea6b407f77b7}">
            <x14:dataBar minLength="0" maxLength="100" gradient="0">
              <x14:cfvo type="autoMin"/>
              <x14:cfvo type="autoMax"/>
              <x14:negativeFillColor rgb="FFFF0000"/>
              <x14:axisColor rgb="FF000000"/>
            </x14:dataBar>
          </x14:cfRule>
          <xm:sqref>BP14</xm:sqref>
        </x14:conditionalFormatting>
        <x14:conditionalFormatting xmlns:xm="http://schemas.microsoft.com/office/excel/2006/main">
          <x14:cfRule type="dataBar" id="{4beeef13-b46a-47df-8052-a1086bf146db}">
            <x14:dataBar minLength="0" maxLength="100" gradient="0">
              <x14:cfvo type="autoMin"/>
              <x14:cfvo type="autoMax"/>
              <x14:negativeFillColor rgb="FFFF0000"/>
              <x14:axisColor rgb="FF000000"/>
            </x14:dataBar>
          </x14:cfRule>
          <xm:sqref>BO15</xm:sqref>
        </x14:conditionalFormatting>
        <x14:conditionalFormatting xmlns:xm="http://schemas.microsoft.com/office/excel/2006/main">
          <x14:cfRule type="dataBar" id="{59670b6e-fd45-418f-9c17-bf1f992fbd42}">
            <x14:dataBar minLength="0" maxLength="100" gradient="0">
              <x14:cfvo type="autoMin"/>
              <x14:cfvo type="autoMax"/>
              <x14:negativeFillColor rgb="FFFF0000"/>
              <x14:axisColor rgb="FF000000"/>
            </x14:dataBar>
          </x14:cfRule>
          <xm:sqref>BP15</xm:sqref>
        </x14:conditionalFormatting>
        <x14:conditionalFormatting xmlns:xm="http://schemas.microsoft.com/office/excel/2006/main">
          <x14:cfRule type="dataBar" id="{b6f52292-5186-490d-8e66-f7fc70bcea0e}">
            <x14:dataBar minLength="0" maxLength="100" gradient="0">
              <x14:cfvo type="autoMin"/>
              <x14:cfvo type="autoMax"/>
              <x14:negativeFillColor rgb="FFFF0000"/>
              <x14:axisColor rgb="FF000000"/>
            </x14:dataBar>
          </x14:cfRule>
          <xm:sqref>BO16</xm:sqref>
        </x14:conditionalFormatting>
        <x14:conditionalFormatting xmlns:xm="http://schemas.microsoft.com/office/excel/2006/main">
          <x14:cfRule type="dataBar" id="{a9547ec7-582b-4e9e-861a-e5a19cde41d0}">
            <x14:dataBar minLength="0" maxLength="100" gradient="0">
              <x14:cfvo type="autoMin"/>
              <x14:cfvo type="autoMax"/>
              <x14:negativeFillColor rgb="FFFF0000"/>
              <x14:axisColor rgb="FF000000"/>
            </x14:dataBar>
          </x14:cfRule>
          <xm:sqref>BP16</xm:sqref>
        </x14:conditionalFormatting>
        <x14:conditionalFormatting xmlns:xm="http://schemas.microsoft.com/office/excel/2006/main">
          <x14:cfRule type="dataBar" id="{1c2cf1c2-26a6-442e-b06e-b682707f3134}">
            <x14:dataBar minLength="0" maxLength="100" gradient="0">
              <x14:cfvo type="autoMin"/>
              <x14:cfvo type="autoMax"/>
              <x14:negativeFillColor rgb="FFFF0000"/>
              <x14:axisColor rgb="FF000000"/>
            </x14:dataBar>
          </x14:cfRule>
          <xm:sqref>BO17</xm:sqref>
        </x14:conditionalFormatting>
        <x14:conditionalFormatting xmlns:xm="http://schemas.microsoft.com/office/excel/2006/main">
          <x14:cfRule type="dataBar" id="{ea7fb278-12cb-4c91-957a-4887e1a72249}">
            <x14:dataBar minLength="0" maxLength="100" gradient="0">
              <x14:cfvo type="autoMin"/>
              <x14:cfvo type="autoMax"/>
              <x14:negativeFillColor rgb="FFFF0000"/>
              <x14:axisColor rgb="FF000000"/>
            </x14:dataBar>
          </x14:cfRule>
          <xm:sqref>BP17</xm:sqref>
        </x14:conditionalFormatting>
        <x14:conditionalFormatting xmlns:xm="http://schemas.microsoft.com/office/excel/2006/main">
          <x14:cfRule type="dataBar" id="{8a3155eb-9cb3-4ab2-81e0-fbd1ab8f03d5}">
            <x14:dataBar minLength="0" maxLength="100">
              <x14:cfvo type="min"/>
              <x14:cfvo type="max"/>
              <x14:negativeFillColor rgb="FFFFFFFF"/>
              <x14:axisColor rgb="FF000000"/>
            </x14:dataBar>
          </x14:cfRule>
          <x14:cfRule type="dataBar" id="{a9a43272-a90c-4080-b46d-66f01ff06532}">
            <x14:dataBar minLength="0" maxLength="100">
              <x14:cfvo type="autoMin"/>
              <x14:cfvo type="autoMax"/>
              <x14:negativeFillColor rgb="FFFF0000"/>
              <x14:axisColor rgb="FF000000"/>
            </x14:dataBar>
          </x14:cfRule>
          <xm:sqref>AS63</xm:sqref>
        </x14:conditionalFormatting>
        <x14:conditionalFormatting xmlns:xm="http://schemas.microsoft.com/office/excel/2006/main">
          <x14:cfRule type="dataBar" id="{19c67cf3-8861-4c40-9300-47162f91009a}">
            <x14:dataBar minLength="0" maxLength="100" gradient="0">
              <x14:cfvo type="autoMin"/>
              <x14:cfvo type="autoMax"/>
              <x14:negativeFillColor rgb="FFFF0000"/>
              <x14:axisColor rgb="FF000000"/>
            </x14:dataBar>
          </x14:cfRule>
          <xm:sqref>AT63</xm:sqref>
        </x14:conditionalFormatting>
        <x14:conditionalFormatting xmlns:xm="http://schemas.microsoft.com/office/excel/2006/main">
          <x14:cfRule type="dataBar" id="{08b95b5d-ee10-4a79-9bd7-a467255377ec}">
            <x14:dataBar minLength="0" maxLength="100" gradient="0">
              <x14:cfvo type="autoMin"/>
              <x14:cfvo type="autoMax"/>
              <x14:negativeFillColor rgb="FFFF0000"/>
              <x14:axisColor rgb="FF000000"/>
            </x14:dataBar>
          </x14:cfRule>
          <xm:sqref>BO63</xm:sqref>
        </x14:conditionalFormatting>
        <x14:conditionalFormatting xmlns:xm="http://schemas.microsoft.com/office/excel/2006/main">
          <x14:cfRule type="dataBar" id="{db1a1b9f-72cb-497a-95b0-97601345bb55}">
            <x14:dataBar minLength="0" maxLength="100" gradient="0">
              <x14:cfvo type="autoMin"/>
              <x14:cfvo type="autoMax"/>
              <x14:negativeFillColor rgb="FFFF0000"/>
              <x14:axisColor rgb="FF000000"/>
            </x14:dataBar>
          </x14:cfRule>
          <xm:sqref>BP63</xm:sqref>
        </x14:conditionalFormatting>
        <x14:conditionalFormatting xmlns:xm="http://schemas.microsoft.com/office/excel/2006/main">
          <x14:cfRule type="dataBar" id="{cea9fa78-0b41-4a8e-bb19-8a7fa2c587c8}">
            <x14:dataBar minLength="0" maxLength="100">
              <x14:cfvo type="min"/>
              <x14:cfvo type="max"/>
              <x14:negativeFillColor rgb="FFFFFFFF"/>
              <x14:axisColor rgb="FF000000"/>
            </x14:dataBar>
          </x14:cfRule>
          <x14:cfRule type="dataBar" id="{f26f0c31-aef9-4b2f-a563-38b3b657cb0f}">
            <x14:dataBar minLength="0" maxLength="100">
              <x14:cfvo type="autoMin"/>
              <x14:cfvo type="autoMax"/>
              <x14:negativeFillColor rgb="FFFF0000"/>
              <x14:axisColor rgb="FF000000"/>
            </x14:dataBar>
          </x14:cfRule>
          <xm:sqref>AS64</xm:sqref>
        </x14:conditionalFormatting>
        <x14:conditionalFormatting xmlns:xm="http://schemas.microsoft.com/office/excel/2006/main">
          <x14:cfRule type="dataBar" id="{8e3c7c6f-39b2-42b1-9dfb-62148e2cf175}">
            <x14:dataBar minLength="0" maxLength="100" gradient="0">
              <x14:cfvo type="autoMin"/>
              <x14:cfvo type="autoMax"/>
              <x14:negativeFillColor rgb="FFFF0000"/>
              <x14:axisColor rgb="FF000000"/>
            </x14:dataBar>
          </x14:cfRule>
          <xm:sqref>AT64</xm:sqref>
        </x14:conditionalFormatting>
        <x14:conditionalFormatting xmlns:xm="http://schemas.microsoft.com/office/excel/2006/main">
          <x14:cfRule type="dataBar" id="{48013dff-588c-4a4f-8123-b415d0cef5ee}">
            <x14:dataBar minLength="0" maxLength="100" gradient="0">
              <x14:cfvo type="autoMin"/>
              <x14:cfvo type="autoMax"/>
              <x14:negativeFillColor rgb="FFFF0000"/>
              <x14:axisColor rgb="FF000000"/>
            </x14:dataBar>
          </x14:cfRule>
          <xm:sqref>BO64</xm:sqref>
        </x14:conditionalFormatting>
        <x14:conditionalFormatting xmlns:xm="http://schemas.microsoft.com/office/excel/2006/main">
          <x14:cfRule type="dataBar" id="{c6404a32-0067-4690-b646-c07ac47ad3db}">
            <x14:dataBar minLength="0" maxLength="100" gradient="0">
              <x14:cfvo type="autoMin"/>
              <x14:cfvo type="autoMax"/>
              <x14:negativeFillColor rgb="FFFF0000"/>
              <x14:axisColor rgb="FF000000"/>
            </x14:dataBar>
          </x14:cfRule>
          <xm:sqref>BP64</xm:sqref>
        </x14:conditionalFormatting>
        <x14:conditionalFormatting xmlns:xm="http://schemas.microsoft.com/office/excel/2006/main">
          <x14:cfRule type="dataBar" id="{9ab3d78d-2e3b-4106-b7f5-9b3904b0d398}">
            <x14:dataBar minLength="0" maxLength="100">
              <x14:cfvo type="min"/>
              <x14:cfvo type="max"/>
              <x14:negativeFillColor rgb="FFFFFFFF"/>
              <x14:axisColor rgb="FF000000"/>
            </x14:dataBar>
          </x14:cfRule>
          <x14:cfRule type="dataBar" id="{42f10c03-ba3e-4268-9a3c-61e0bbaca582}">
            <x14:dataBar minLength="0" maxLength="100">
              <x14:cfvo type="autoMin"/>
              <x14:cfvo type="autoMax"/>
              <x14:negativeFillColor rgb="FFFF0000"/>
              <x14:axisColor rgb="FF000000"/>
            </x14:dataBar>
          </x14:cfRule>
          <xm:sqref>AS65</xm:sqref>
        </x14:conditionalFormatting>
        <x14:conditionalFormatting xmlns:xm="http://schemas.microsoft.com/office/excel/2006/main">
          <x14:cfRule type="dataBar" id="{a2aa76eb-a324-4399-b044-4fd9460f3e76}">
            <x14:dataBar minLength="0" maxLength="100" gradient="0">
              <x14:cfvo type="autoMin"/>
              <x14:cfvo type="autoMax"/>
              <x14:negativeFillColor rgb="FFFF0000"/>
              <x14:axisColor rgb="FF000000"/>
            </x14:dataBar>
          </x14:cfRule>
          <xm:sqref>AT65</xm:sqref>
        </x14:conditionalFormatting>
        <x14:conditionalFormatting xmlns:xm="http://schemas.microsoft.com/office/excel/2006/main">
          <x14:cfRule type="dataBar" id="{4f37305f-89e6-448c-a8c0-500f3f0ae64a}">
            <x14:dataBar minLength="0" maxLength="100" gradient="0">
              <x14:cfvo type="autoMin"/>
              <x14:cfvo type="autoMax"/>
              <x14:negativeFillColor rgb="FFFF0000"/>
              <x14:axisColor rgb="FF000000"/>
            </x14:dataBar>
          </x14:cfRule>
          <xm:sqref>BO65</xm:sqref>
        </x14:conditionalFormatting>
        <x14:conditionalFormatting xmlns:xm="http://schemas.microsoft.com/office/excel/2006/main">
          <x14:cfRule type="dataBar" id="{d7873428-8ce0-4e07-a499-2fa0ab7f182b}">
            <x14:dataBar minLength="0" maxLength="100" gradient="0">
              <x14:cfvo type="autoMin"/>
              <x14:cfvo type="autoMax"/>
              <x14:negativeFillColor rgb="FFFF0000"/>
              <x14:axisColor rgb="FF000000"/>
            </x14:dataBar>
          </x14:cfRule>
          <xm:sqref>BP65</xm:sqref>
        </x14:conditionalFormatting>
        <x14:conditionalFormatting xmlns:xm="http://schemas.microsoft.com/office/excel/2006/main">
          <x14:cfRule type="dataBar" id="{9e509aa1-f8d2-417c-8de1-ed4866167e27}">
            <x14:dataBar minLength="0" maxLength="100">
              <x14:cfvo type="min"/>
              <x14:cfvo type="max"/>
              <x14:negativeFillColor rgb="FFFFFFFF"/>
              <x14:axisColor rgb="FF000000"/>
            </x14:dataBar>
          </x14:cfRule>
          <x14:cfRule type="dataBar" id="{466462dc-9240-4ecf-a76f-476f2e06f090}">
            <x14:dataBar minLength="0" maxLength="100">
              <x14:cfvo type="autoMin"/>
              <x14:cfvo type="autoMax"/>
              <x14:negativeFillColor rgb="FFFF0000"/>
              <x14:axisColor rgb="FF000000"/>
            </x14:dataBar>
          </x14:cfRule>
          <xm:sqref>AS66</xm:sqref>
        </x14:conditionalFormatting>
        <x14:conditionalFormatting xmlns:xm="http://schemas.microsoft.com/office/excel/2006/main">
          <x14:cfRule type="dataBar" id="{9f5ba5d5-70b7-4ef4-9d73-c1236b2053ec}">
            <x14:dataBar minLength="0" maxLength="100" gradient="0">
              <x14:cfvo type="autoMin"/>
              <x14:cfvo type="autoMax"/>
              <x14:negativeFillColor rgb="FFFF0000"/>
              <x14:axisColor rgb="FF000000"/>
            </x14:dataBar>
          </x14:cfRule>
          <xm:sqref>AT66</xm:sqref>
        </x14:conditionalFormatting>
        <x14:conditionalFormatting xmlns:xm="http://schemas.microsoft.com/office/excel/2006/main">
          <x14:cfRule type="dataBar" id="{d0497ec9-8016-4c7a-ad78-96ecd8e4d32d}">
            <x14:dataBar minLength="0" maxLength="100" gradient="0">
              <x14:cfvo type="autoMin"/>
              <x14:cfvo type="autoMax"/>
              <x14:negativeFillColor rgb="FFFF0000"/>
              <x14:axisColor rgb="FF000000"/>
            </x14:dataBar>
          </x14:cfRule>
          <xm:sqref>BO66</xm:sqref>
        </x14:conditionalFormatting>
        <x14:conditionalFormatting xmlns:xm="http://schemas.microsoft.com/office/excel/2006/main">
          <x14:cfRule type="dataBar" id="{8c0a1d47-c454-49ef-9434-b9d21c3658b3}">
            <x14:dataBar minLength="0" maxLength="100" gradient="0">
              <x14:cfvo type="autoMin"/>
              <x14:cfvo type="autoMax"/>
              <x14:negativeFillColor rgb="FFFF0000"/>
              <x14:axisColor rgb="FF000000"/>
            </x14:dataBar>
          </x14:cfRule>
          <xm:sqref>BP66</xm:sqref>
        </x14:conditionalFormatting>
        <x14:conditionalFormatting xmlns:xm="http://schemas.microsoft.com/office/excel/2006/main">
          <x14:cfRule type="dataBar" id="{7993ff11-87f3-46fc-8c3c-983b5ee937d9}">
            <x14:dataBar minLength="0" maxLength="100">
              <x14:cfvo type="autoMin"/>
              <x14:cfvo type="autoMax"/>
              <x14:negativeFillColor rgb="FFFF0000"/>
              <x14:axisColor rgb="FF000000"/>
            </x14:dataBar>
          </x14:cfRule>
          <x14:cfRule type="dataBar" id="{4cc1a992-01ea-429b-94d5-777acc1255a1}">
            <x14:dataBar minLength="0" maxLength="100">
              <x14:cfvo type="min"/>
              <x14:cfvo type="max"/>
              <x14:negativeFillColor rgb="FFFFFFFF"/>
              <x14:axisColor rgb="FF000000"/>
            </x14:dataBar>
          </x14:cfRule>
          <xm:sqref>AS67</xm:sqref>
        </x14:conditionalFormatting>
        <x14:conditionalFormatting xmlns:xm="http://schemas.microsoft.com/office/excel/2006/main">
          <x14:cfRule type="dataBar" id="{1bbd8f11-72a8-4c51-8c28-7a8ab9ebd6a8}">
            <x14:dataBar minLength="0" maxLength="100" gradient="0">
              <x14:cfvo type="autoMin"/>
              <x14:cfvo type="autoMax"/>
              <x14:negativeFillColor rgb="FFFF0000"/>
              <x14:axisColor rgb="FF000000"/>
            </x14:dataBar>
          </x14:cfRule>
          <xm:sqref>AT67</xm:sqref>
        </x14:conditionalFormatting>
        <x14:conditionalFormatting xmlns:xm="http://schemas.microsoft.com/office/excel/2006/main">
          <x14:cfRule type="dataBar" id="{e7413a38-1e1d-421a-977e-b97b98ea9e28}">
            <x14:dataBar minLength="0" maxLength="100" gradient="0">
              <x14:cfvo type="autoMin"/>
              <x14:cfvo type="autoMax"/>
              <x14:negativeFillColor rgb="FFFF0000"/>
              <x14:axisColor rgb="FF000000"/>
            </x14:dataBar>
          </x14:cfRule>
          <xm:sqref>BO67</xm:sqref>
        </x14:conditionalFormatting>
        <x14:conditionalFormatting xmlns:xm="http://schemas.microsoft.com/office/excel/2006/main">
          <x14:cfRule type="dataBar" id="{e4d3adf6-4cdf-48dd-9c29-74a33731740d}">
            <x14:dataBar minLength="0" maxLength="100" gradient="0">
              <x14:cfvo type="autoMin"/>
              <x14:cfvo type="autoMax"/>
              <x14:negativeFillColor rgb="FFFF0000"/>
              <x14:axisColor rgb="FF000000"/>
            </x14:dataBar>
          </x14:cfRule>
          <xm:sqref>BP67</xm:sqref>
        </x14:conditionalFormatting>
        <x14:conditionalFormatting xmlns:xm="http://schemas.microsoft.com/office/excel/2006/main">
          <x14:cfRule type="dataBar" id="{69478118-25b2-42d3-8719-2ced8147788e}">
            <x14:dataBar minLength="0" maxLength="100">
              <x14:cfvo type="min"/>
              <x14:cfvo type="max"/>
              <x14:negativeFillColor rgb="FFFFFFFF"/>
              <x14:axisColor rgb="FF000000"/>
            </x14:dataBar>
          </x14:cfRule>
          <x14:cfRule type="dataBar" id="{e908ebff-4ebb-4d38-9f20-6f2d681ef578}">
            <x14:dataBar minLength="0" maxLength="100">
              <x14:cfvo type="autoMin"/>
              <x14:cfvo type="autoMax"/>
              <x14:negativeFillColor rgb="FFFF0000"/>
              <x14:axisColor rgb="FF000000"/>
            </x14:dataBar>
          </x14:cfRule>
          <xm:sqref>AS68</xm:sqref>
        </x14:conditionalFormatting>
        <x14:conditionalFormatting xmlns:xm="http://schemas.microsoft.com/office/excel/2006/main">
          <x14:cfRule type="dataBar" id="{9f833912-cdd3-49ae-bbc8-264ec24359d6}">
            <x14:dataBar minLength="0" maxLength="100" gradient="0">
              <x14:cfvo type="autoMin"/>
              <x14:cfvo type="autoMax"/>
              <x14:negativeFillColor rgb="FFFF0000"/>
              <x14:axisColor rgb="FF000000"/>
            </x14:dataBar>
          </x14:cfRule>
          <xm:sqref>AT68</xm:sqref>
        </x14:conditionalFormatting>
        <x14:conditionalFormatting xmlns:xm="http://schemas.microsoft.com/office/excel/2006/main">
          <x14:cfRule type="dataBar" id="{9390e7e6-4e7e-4013-92b7-b70bdd732100}">
            <x14:dataBar minLength="0" maxLength="100" gradient="0">
              <x14:cfvo type="autoMin"/>
              <x14:cfvo type="autoMax"/>
              <x14:negativeFillColor rgb="FFFF0000"/>
              <x14:axisColor rgb="FF000000"/>
            </x14:dataBar>
          </x14:cfRule>
          <xm:sqref>BO68</xm:sqref>
        </x14:conditionalFormatting>
        <x14:conditionalFormatting xmlns:xm="http://schemas.microsoft.com/office/excel/2006/main">
          <x14:cfRule type="dataBar" id="{0a0121fb-1a36-4d8f-b290-5345b344bc44}">
            <x14:dataBar minLength="0" maxLength="100" gradient="0">
              <x14:cfvo type="autoMin"/>
              <x14:cfvo type="autoMax"/>
              <x14:negativeFillColor rgb="FFFF0000"/>
              <x14:axisColor rgb="FF000000"/>
            </x14:dataBar>
          </x14:cfRule>
          <xm:sqref>BP68</xm:sqref>
        </x14:conditionalFormatting>
        <x14:conditionalFormatting xmlns:xm="http://schemas.microsoft.com/office/excel/2006/main">
          <x14:cfRule type="dataBar" id="{1a565f86-3b46-493c-9a62-1020366e4ccc}">
            <x14:dataBar minLength="0" maxLength="100">
              <x14:cfvo type="min"/>
              <x14:cfvo type="max"/>
              <x14:negativeFillColor rgb="FFFFFFFF"/>
              <x14:axisColor rgb="FF000000"/>
            </x14:dataBar>
          </x14:cfRule>
          <x14:cfRule type="dataBar" id="{d1e477af-dbe2-4813-9252-350606736b33}">
            <x14:dataBar minLength="0" maxLength="100">
              <x14:cfvo type="autoMin"/>
              <x14:cfvo type="autoMax"/>
              <x14:negativeFillColor rgb="FFFF0000"/>
              <x14:axisColor rgb="FF000000"/>
            </x14:dataBar>
          </x14:cfRule>
          <xm:sqref>AS69</xm:sqref>
        </x14:conditionalFormatting>
        <x14:conditionalFormatting xmlns:xm="http://schemas.microsoft.com/office/excel/2006/main">
          <x14:cfRule type="dataBar" id="{85e96cc9-1750-4ff9-8155-0b847a29028a}">
            <x14:dataBar minLength="0" maxLength="100" gradient="0">
              <x14:cfvo type="autoMin"/>
              <x14:cfvo type="autoMax"/>
              <x14:negativeFillColor rgb="FFFF0000"/>
              <x14:axisColor rgb="FF000000"/>
            </x14:dataBar>
          </x14:cfRule>
          <xm:sqref>AT69</xm:sqref>
        </x14:conditionalFormatting>
        <x14:conditionalFormatting xmlns:xm="http://schemas.microsoft.com/office/excel/2006/main">
          <x14:cfRule type="dataBar" id="{c1235a31-8d1e-471d-9dcd-2bbc1740fa54}">
            <x14:dataBar minLength="0" maxLength="100" gradient="0">
              <x14:cfvo type="autoMin"/>
              <x14:cfvo type="autoMax"/>
              <x14:negativeFillColor rgb="FFFF0000"/>
              <x14:axisColor rgb="FF000000"/>
            </x14:dataBar>
          </x14:cfRule>
          <xm:sqref>BO69</xm:sqref>
        </x14:conditionalFormatting>
        <x14:conditionalFormatting xmlns:xm="http://schemas.microsoft.com/office/excel/2006/main">
          <x14:cfRule type="dataBar" id="{a2dd2332-6ff4-4a64-81c9-9b59f25e27ed}">
            <x14:dataBar minLength="0" maxLength="100" gradient="0">
              <x14:cfvo type="autoMin"/>
              <x14:cfvo type="autoMax"/>
              <x14:negativeFillColor rgb="FFFF0000"/>
              <x14:axisColor rgb="FF000000"/>
            </x14:dataBar>
          </x14:cfRule>
          <xm:sqref>BP69</xm:sqref>
        </x14:conditionalFormatting>
        <x14:conditionalFormatting xmlns:xm="http://schemas.microsoft.com/office/excel/2006/main">
          <x14:cfRule type="dataBar" id="{06de38de-02a5-40d9-88c8-5e21985999e7}">
            <x14:dataBar minLength="0" maxLength="100">
              <x14:cfvo type="min"/>
              <x14:cfvo type="max"/>
              <x14:negativeFillColor rgb="FFFFFFFF"/>
              <x14:axisColor rgb="FF000000"/>
            </x14:dataBar>
          </x14:cfRule>
          <x14:cfRule type="dataBar" id="{28690ca5-5275-4e17-8323-2bfe3649120a}">
            <x14:dataBar minLength="0" maxLength="100">
              <x14:cfvo type="autoMin"/>
              <x14:cfvo type="autoMax"/>
              <x14:negativeFillColor rgb="FFFF0000"/>
              <x14:axisColor rgb="FF000000"/>
            </x14:dataBar>
          </x14:cfRule>
          <xm:sqref>AS70</xm:sqref>
        </x14:conditionalFormatting>
        <x14:conditionalFormatting xmlns:xm="http://schemas.microsoft.com/office/excel/2006/main">
          <x14:cfRule type="dataBar" id="{b75a2ad5-b2d9-43b4-b53b-703ededc43a6}">
            <x14:dataBar minLength="0" maxLength="100" gradient="0">
              <x14:cfvo type="autoMin"/>
              <x14:cfvo type="autoMax"/>
              <x14:negativeFillColor rgb="FFFF0000"/>
              <x14:axisColor rgb="FF000000"/>
            </x14:dataBar>
          </x14:cfRule>
          <xm:sqref>AT70</xm:sqref>
        </x14:conditionalFormatting>
        <x14:conditionalFormatting xmlns:xm="http://schemas.microsoft.com/office/excel/2006/main">
          <x14:cfRule type="dataBar" id="{5c29aa9a-a460-4b90-907a-8c329d385f19}">
            <x14:dataBar minLength="0" maxLength="100" gradient="0">
              <x14:cfvo type="autoMin"/>
              <x14:cfvo type="autoMax"/>
              <x14:negativeFillColor rgb="FFFF0000"/>
              <x14:axisColor rgb="FF000000"/>
            </x14:dataBar>
          </x14:cfRule>
          <xm:sqref>BO70</xm:sqref>
        </x14:conditionalFormatting>
        <x14:conditionalFormatting xmlns:xm="http://schemas.microsoft.com/office/excel/2006/main">
          <x14:cfRule type="dataBar" id="{00a698a2-280d-43f4-90f5-11365b8c60cc}">
            <x14:dataBar minLength="0" maxLength="100" gradient="0">
              <x14:cfvo type="autoMin"/>
              <x14:cfvo type="autoMax"/>
              <x14:negativeFillColor rgb="FFFF0000"/>
              <x14:axisColor rgb="FF000000"/>
            </x14:dataBar>
          </x14:cfRule>
          <xm:sqref>BP70</xm:sqref>
        </x14:conditionalFormatting>
        <x14:conditionalFormatting xmlns:xm="http://schemas.microsoft.com/office/excel/2006/main">
          <x14:cfRule type="dataBar" id="{9b43a738-1b68-43e9-8140-7415b0afa91d}">
            <x14:dataBar minLength="0" maxLength="100">
              <x14:cfvo type="min"/>
              <x14:cfvo type="max"/>
              <x14:negativeFillColor rgb="FFFFFFFF"/>
              <x14:axisColor rgb="FF000000"/>
            </x14:dataBar>
          </x14:cfRule>
          <x14:cfRule type="dataBar" id="{020e896f-1ec7-45b6-a48c-bd9bdc27e321}">
            <x14:dataBar minLength="0" maxLength="100">
              <x14:cfvo type="autoMin"/>
              <x14:cfvo type="autoMax"/>
              <x14:negativeFillColor rgb="FFFF0000"/>
              <x14:axisColor rgb="FF000000"/>
            </x14:dataBar>
          </x14:cfRule>
          <xm:sqref>AS71</xm:sqref>
        </x14:conditionalFormatting>
        <x14:conditionalFormatting xmlns:xm="http://schemas.microsoft.com/office/excel/2006/main">
          <x14:cfRule type="dataBar" id="{a52f35d8-b201-44c4-8170-18c229f09108}">
            <x14:dataBar minLength="0" maxLength="100" gradient="0">
              <x14:cfvo type="autoMin"/>
              <x14:cfvo type="autoMax"/>
              <x14:negativeFillColor rgb="FFFF0000"/>
              <x14:axisColor rgb="FF000000"/>
            </x14:dataBar>
          </x14:cfRule>
          <xm:sqref>AT71</xm:sqref>
        </x14:conditionalFormatting>
        <x14:conditionalFormatting xmlns:xm="http://schemas.microsoft.com/office/excel/2006/main">
          <x14:cfRule type="dataBar" id="{ef871b9f-f26c-4ffc-9d28-9b81b72aaab3}">
            <x14:dataBar minLength="0" maxLength="100" gradient="0">
              <x14:cfvo type="autoMin"/>
              <x14:cfvo type="autoMax"/>
              <x14:negativeFillColor rgb="FFFF0000"/>
              <x14:axisColor rgb="FF000000"/>
            </x14:dataBar>
          </x14:cfRule>
          <xm:sqref>BO71</xm:sqref>
        </x14:conditionalFormatting>
        <x14:conditionalFormatting xmlns:xm="http://schemas.microsoft.com/office/excel/2006/main">
          <x14:cfRule type="dataBar" id="{bfa186c3-e4bd-4497-b255-4cf8c2748a6a}">
            <x14:dataBar minLength="0" maxLength="100" gradient="0">
              <x14:cfvo type="autoMin"/>
              <x14:cfvo type="autoMax"/>
              <x14:negativeFillColor rgb="FFFF0000"/>
              <x14:axisColor rgb="FF000000"/>
            </x14:dataBar>
          </x14:cfRule>
          <xm:sqref>BP71</xm:sqref>
        </x14:conditionalFormatting>
        <x14:conditionalFormatting xmlns:xm="http://schemas.microsoft.com/office/excel/2006/main">
          <x14:cfRule type="dataBar" id="{ee7ae554-33fa-489f-bfb4-f2e306e2cfd0}">
            <x14:dataBar minLength="0" maxLength="100">
              <x14:cfvo type="min"/>
              <x14:cfvo type="max"/>
              <x14:negativeFillColor rgb="FFFFFFFF"/>
              <x14:axisColor rgb="FF000000"/>
            </x14:dataBar>
          </x14:cfRule>
          <x14:cfRule type="dataBar" id="{883d536d-b392-4094-8a1d-21e1b598a72a}">
            <x14:dataBar minLength="0" maxLength="100">
              <x14:cfvo type="autoMin"/>
              <x14:cfvo type="autoMax"/>
              <x14:negativeFillColor rgb="FFFF0000"/>
              <x14:axisColor rgb="FF000000"/>
            </x14:dataBar>
          </x14:cfRule>
          <xm:sqref>AS72</xm:sqref>
        </x14:conditionalFormatting>
        <x14:conditionalFormatting xmlns:xm="http://schemas.microsoft.com/office/excel/2006/main">
          <x14:cfRule type="dataBar" id="{e6ffba6a-e99a-433f-b69a-add4b8403431}">
            <x14:dataBar minLength="0" maxLength="100" gradient="0">
              <x14:cfvo type="autoMin"/>
              <x14:cfvo type="autoMax"/>
              <x14:negativeFillColor rgb="FFFF0000"/>
              <x14:axisColor rgb="FF000000"/>
            </x14:dataBar>
          </x14:cfRule>
          <xm:sqref>AT72</xm:sqref>
        </x14:conditionalFormatting>
        <x14:conditionalFormatting xmlns:xm="http://schemas.microsoft.com/office/excel/2006/main">
          <x14:cfRule type="dataBar" id="{bb50331c-2791-46d6-b860-e19e2407164d}">
            <x14:dataBar minLength="0" maxLength="100" gradient="0">
              <x14:cfvo type="autoMin"/>
              <x14:cfvo type="autoMax"/>
              <x14:negativeFillColor rgb="FFFF0000"/>
              <x14:axisColor rgb="FF000000"/>
            </x14:dataBar>
          </x14:cfRule>
          <xm:sqref>BO72</xm:sqref>
        </x14:conditionalFormatting>
        <x14:conditionalFormatting xmlns:xm="http://schemas.microsoft.com/office/excel/2006/main">
          <x14:cfRule type="dataBar" id="{dcc3ff52-de3c-4227-93e3-31ddd0928ce7}">
            <x14:dataBar minLength="0" maxLength="100" gradient="0">
              <x14:cfvo type="autoMin"/>
              <x14:cfvo type="autoMax"/>
              <x14:negativeFillColor rgb="FFFF0000"/>
              <x14:axisColor rgb="FF000000"/>
            </x14:dataBar>
          </x14:cfRule>
          <xm:sqref>BP72</xm:sqref>
        </x14:conditionalFormatting>
        <x14:conditionalFormatting xmlns:xm="http://schemas.microsoft.com/office/excel/2006/main">
          <x14:cfRule type="dataBar" id="{d31bc829-50f2-4ed2-bea9-e602bfdec3ce}">
            <x14:dataBar minLength="0" maxLength="100">
              <x14:cfvo type="autoMin"/>
              <x14:cfvo type="autoMax"/>
              <x14:negativeFillColor rgb="FFFF0000"/>
              <x14:axisColor rgb="FF000000"/>
            </x14:dataBar>
          </x14:cfRule>
          <x14:cfRule type="dataBar" id="{8aacc9ee-4b07-411b-846a-ac187e5b0c9c}">
            <x14:dataBar minLength="0" maxLength="100">
              <x14:cfvo type="min"/>
              <x14:cfvo type="max"/>
              <x14:negativeFillColor rgb="FFFFFFFF"/>
              <x14:axisColor rgb="FF000000"/>
            </x14:dataBar>
          </x14:cfRule>
          <xm:sqref>AS73</xm:sqref>
        </x14:conditionalFormatting>
        <x14:conditionalFormatting xmlns:xm="http://schemas.microsoft.com/office/excel/2006/main">
          <x14:cfRule type="dataBar" id="{6e35ba14-169b-4c65-b044-14743cb6e06c}">
            <x14:dataBar minLength="0" maxLength="100" gradient="0">
              <x14:cfvo type="autoMin"/>
              <x14:cfvo type="autoMax"/>
              <x14:negativeFillColor rgb="FFFF0000"/>
              <x14:axisColor rgb="FF000000"/>
            </x14:dataBar>
          </x14:cfRule>
          <xm:sqref>AT73</xm:sqref>
        </x14:conditionalFormatting>
        <x14:conditionalFormatting xmlns:xm="http://schemas.microsoft.com/office/excel/2006/main">
          <x14:cfRule type="dataBar" id="{18c927ea-277a-464d-9bd4-869f57a310c3}">
            <x14:dataBar minLength="0" maxLength="100" gradient="0">
              <x14:cfvo type="autoMin"/>
              <x14:cfvo type="autoMax"/>
              <x14:negativeFillColor rgb="FFFF0000"/>
              <x14:axisColor rgb="FF000000"/>
            </x14:dataBar>
          </x14:cfRule>
          <xm:sqref>BO73</xm:sqref>
        </x14:conditionalFormatting>
        <x14:conditionalFormatting xmlns:xm="http://schemas.microsoft.com/office/excel/2006/main">
          <x14:cfRule type="dataBar" id="{03f6ac1e-c15b-4a08-80b1-03764d6ac383}">
            <x14:dataBar minLength="0" maxLength="100" gradient="0">
              <x14:cfvo type="autoMin"/>
              <x14:cfvo type="autoMax"/>
              <x14:negativeFillColor rgb="FFFF0000"/>
              <x14:axisColor rgb="FF000000"/>
            </x14:dataBar>
          </x14:cfRule>
          <xm:sqref>BP73</xm:sqref>
        </x14:conditionalFormatting>
        <x14:conditionalFormatting xmlns:xm="http://schemas.microsoft.com/office/excel/2006/main">
          <x14:cfRule type="dataBar" id="{5654f235-a412-4678-b04a-a66ba1d4d11b}">
            <x14:dataBar minLength="0" maxLength="100">
              <x14:cfvo type="min"/>
              <x14:cfvo type="max"/>
              <x14:negativeFillColor rgb="FFFFFFFF"/>
              <x14:axisColor rgb="FF000000"/>
            </x14:dataBar>
          </x14:cfRule>
          <x14:cfRule type="dataBar" id="{7e765686-1093-4992-9bdb-0e5e94860071}">
            <x14:dataBar minLength="0" maxLength="100">
              <x14:cfvo type="autoMin"/>
              <x14:cfvo type="autoMax"/>
              <x14:negativeFillColor rgb="FFFF0000"/>
              <x14:axisColor rgb="FF000000"/>
            </x14:dataBar>
          </x14:cfRule>
          <xm:sqref>AS74</xm:sqref>
        </x14:conditionalFormatting>
        <x14:conditionalFormatting xmlns:xm="http://schemas.microsoft.com/office/excel/2006/main">
          <x14:cfRule type="dataBar" id="{83a57ecd-9571-4cae-9c3e-be686b1455e8}">
            <x14:dataBar minLength="0" maxLength="100" gradient="0">
              <x14:cfvo type="autoMin"/>
              <x14:cfvo type="autoMax"/>
              <x14:negativeFillColor rgb="FFFF0000"/>
              <x14:axisColor rgb="FF000000"/>
            </x14:dataBar>
          </x14:cfRule>
          <xm:sqref>AT74</xm:sqref>
        </x14:conditionalFormatting>
        <x14:conditionalFormatting xmlns:xm="http://schemas.microsoft.com/office/excel/2006/main">
          <x14:cfRule type="dataBar" id="{c2667a4f-abd8-4985-9f48-64e10ff103e5}">
            <x14:dataBar minLength="0" maxLength="100" gradient="0">
              <x14:cfvo type="autoMin"/>
              <x14:cfvo type="autoMax"/>
              <x14:negativeFillColor rgb="FFFF0000"/>
              <x14:axisColor rgb="FF000000"/>
            </x14:dataBar>
          </x14:cfRule>
          <xm:sqref>BO74</xm:sqref>
        </x14:conditionalFormatting>
        <x14:conditionalFormatting xmlns:xm="http://schemas.microsoft.com/office/excel/2006/main">
          <x14:cfRule type="dataBar" id="{a8af9b35-394a-4175-a832-1810ba96eec7}">
            <x14:dataBar minLength="0" maxLength="100" gradient="0">
              <x14:cfvo type="autoMin"/>
              <x14:cfvo type="autoMax"/>
              <x14:negativeFillColor rgb="FFFF0000"/>
              <x14:axisColor rgb="FF000000"/>
            </x14:dataBar>
          </x14:cfRule>
          <xm:sqref>BP74</xm:sqref>
        </x14:conditionalFormatting>
        <x14:conditionalFormatting xmlns:xm="http://schemas.microsoft.com/office/excel/2006/main">
          <x14:cfRule type="dataBar" id="{22acf80d-a629-4063-9cb1-da84de7535ee}">
            <x14:dataBar minLength="0" maxLength="100" gradient="0">
              <x14:cfvo type="autoMin"/>
              <x14:cfvo type="autoMax"/>
              <x14:negativeFillColor rgb="FFFF0000"/>
              <x14:axisColor rgb="FF000000"/>
            </x14:dataBar>
          </x14:cfRule>
          <xm:sqref>M163</xm:sqref>
        </x14:conditionalFormatting>
        <x14:conditionalFormatting xmlns:xm="http://schemas.microsoft.com/office/excel/2006/main">
          <x14:cfRule type="dataBar" id="{29dbcfd7-dd9a-467a-8df3-1d391968b88a}">
            <x14:dataBar minLength="0" maxLength="100">
              <x14:cfvo type="autoMin"/>
              <x14:cfvo type="autoMax"/>
              <x14:negativeFillColor rgb="FFFF0000"/>
              <x14:axisColor rgb="FF000000"/>
            </x14:dataBar>
          </x14:cfRule>
          <xm:sqref>N163</xm:sqref>
        </x14:conditionalFormatting>
        <x14:conditionalFormatting xmlns:xm="http://schemas.microsoft.com/office/excel/2006/main">
          <x14:cfRule type="dataBar" id="{f5227bbd-6e74-4232-aefa-076e9d74651f}">
            <x14:dataBar minLength="0" maxLength="100">
              <x14:cfvo type="min"/>
              <x14:cfvo type="max"/>
              <x14:negativeFillColor rgb="FFFFFFFF"/>
              <x14:axisColor rgb="FF000000"/>
            </x14:dataBar>
          </x14:cfRule>
          <x14:cfRule type="dataBar" id="{95bcc161-fd38-4cc4-8e63-a7b4160da194}">
            <x14:dataBar minLength="0" maxLength="100">
              <x14:cfvo type="autoMin"/>
              <x14:cfvo type="autoMax"/>
              <x14:negativeFillColor rgb="FFFF0000"/>
              <x14:axisColor rgb="FF000000"/>
            </x14:dataBar>
          </x14:cfRule>
          <xm:sqref>AS163</xm:sqref>
        </x14:conditionalFormatting>
        <x14:conditionalFormatting xmlns:xm="http://schemas.microsoft.com/office/excel/2006/main">
          <x14:cfRule type="dataBar" id="{61869563-c6d9-437f-ac35-a6ce7f5140f5}">
            <x14:dataBar minLength="0" maxLength="100" gradient="0">
              <x14:cfvo type="autoMin"/>
              <x14:cfvo type="autoMax"/>
              <x14:negativeFillColor rgb="FFFF0000"/>
              <x14:axisColor rgb="FF000000"/>
            </x14:dataBar>
          </x14:cfRule>
          <xm:sqref>AT163</xm:sqref>
        </x14:conditionalFormatting>
        <x14:conditionalFormatting xmlns:xm="http://schemas.microsoft.com/office/excel/2006/main">
          <x14:cfRule type="dataBar" id="{7023b726-3c65-4c28-8ed8-d5e9d5cee2cc}">
            <x14:dataBar minLength="0" maxLength="100" gradient="0">
              <x14:cfvo type="autoMin"/>
              <x14:cfvo type="autoMax"/>
              <x14:negativeFillColor rgb="FFFF0000"/>
              <x14:axisColor rgb="FF000000"/>
            </x14:dataBar>
          </x14:cfRule>
          <xm:sqref>BO163</xm:sqref>
        </x14:conditionalFormatting>
        <x14:conditionalFormatting xmlns:xm="http://schemas.microsoft.com/office/excel/2006/main">
          <x14:cfRule type="dataBar" id="{625d90d7-baca-4fdb-8253-4f9b14bf3826}">
            <x14:dataBar minLength="0" maxLength="100" gradient="0">
              <x14:cfvo type="autoMin"/>
              <x14:cfvo type="autoMax"/>
              <x14:negativeFillColor rgb="FFFF0000"/>
              <x14:axisColor rgb="FF000000"/>
            </x14:dataBar>
          </x14:cfRule>
          <xm:sqref>BP163</xm:sqref>
        </x14:conditionalFormatting>
        <x14:conditionalFormatting xmlns:xm="http://schemas.microsoft.com/office/excel/2006/main">
          <x14:cfRule type="dataBar" id="{5b4c7409-7207-4b65-ae6f-ab273b53e1c8}">
            <x14:dataBar minLength="0" maxLength="100" gradient="0">
              <x14:cfvo type="autoMin"/>
              <x14:cfvo type="autoMax"/>
              <x14:negativeFillColor rgb="FFFF0000"/>
              <x14:axisColor rgb="FF000000"/>
            </x14:dataBar>
          </x14:cfRule>
          <xm:sqref>M164</xm:sqref>
        </x14:conditionalFormatting>
        <x14:conditionalFormatting xmlns:xm="http://schemas.microsoft.com/office/excel/2006/main">
          <x14:cfRule type="dataBar" id="{882a33a5-962b-4570-810f-bac66ab005fd}">
            <x14:dataBar minLength="0" maxLength="100">
              <x14:cfvo type="autoMin"/>
              <x14:cfvo type="autoMax"/>
              <x14:negativeFillColor rgb="FFFF0000"/>
              <x14:axisColor rgb="FF000000"/>
            </x14:dataBar>
          </x14:cfRule>
          <xm:sqref>N164</xm:sqref>
        </x14:conditionalFormatting>
        <x14:conditionalFormatting xmlns:xm="http://schemas.microsoft.com/office/excel/2006/main">
          <x14:cfRule type="dataBar" id="{d939f02f-160f-477d-9470-d278d640d833}">
            <x14:dataBar minLength="0" maxLength="100">
              <x14:cfvo type="autoMin"/>
              <x14:cfvo type="autoMax"/>
              <x14:negativeFillColor rgb="FFFF0000"/>
              <x14:axisColor rgb="FF000000"/>
            </x14:dataBar>
          </x14:cfRule>
          <x14:cfRule type="dataBar" id="{443607ff-418e-4998-ad6f-c3a09bb29cff}">
            <x14:dataBar minLength="0" maxLength="100">
              <x14:cfvo type="min"/>
              <x14:cfvo type="max"/>
              <x14:negativeFillColor rgb="FFFFFFFF"/>
              <x14:axisColor rgb="FF000000"/>
            </x14:dataBar>
          </x14:cfRule>
          <xm:sqref>AS164</xm:sqref>
        </x14:conditionalFormatting>
        <x14:conditionalFormatting xmlns:xm="http://schemas.microsoft.com/office/excel/2006/main">
          <x14:cfRule type="dataBar" id="{184ef4bc-3160-4ae0-a3b9-a0e2a53edef2}">
            <x14:dataBar minLength="0" maxLength="100" gradient="0">
              <x14:cfvo type="autoMin"/>
              <x14:cfvo type="autoMax"/>
              <x14:negativeFillColor rgb="FFFF0000"/>
              <x14:axisColor rgb="FF000000"/>
            </x14:dataBar>
          </x14:cfRule>
          <xm:sqref>AT164</xm:sqref>
        </x14:conditionalFormatting>
        <x14:conditionalFormatting xmlns:xm="http://schemas.microsoft.com/office/excel/2006/main">
          <x14:cfRule type="dataBar" id="{e90e911a-afa2-4290-9645-3d949cb74c66}">
            <x14:dataBar minLength="0" maxLength="100" gradient="0">
              <x14:cfvo type="autoMin"/>
              <x14:cfvo type="autoMax"/>
              <x14:negativeFillColor rgb="FFFF0000"/>
              <x14:axisColor rgb="FF000000"/>
            </x14:dataBar>
          </x14:cfRule>
          <xm:sqref>BO164</xm:sqref>
        </x14:conditionalFormatting>
        <x14:conditionalFormatting xmlns:xm="http://schemas.microsoft.com/office/excel/2006/main">
          <x14:cfRule type="dataBar" id="{a01eb3c2-6344-4697-ad97-c7585249f06a}">
            <x14:dataBar minLength="0" maxLength="100" gradient="0">
              <x14:cfvo type="autoMin"/>
              <x14:cfvo type="autoMax"/>
              <x14:negativeFillColor rgb="FFFF0000"/>
              <x14:axisColor rgb="FF000000"/>
            </x14:dataBar>
          </x14:cfRule>
          <xm:sqref>BP164</xm:sqref>
        </x14:conditionalFormatting>
        <x14:conditionalFormatting xmlns:xm="http://schemas.microsoft.com/office/excel/2006/main">
          <x14:cfRule type="dataBar" id="{c2fc97c4-4401-4f1c-bf57-eb384b5658cc}">
            <x14:dataBar minLength="0" maxLength="100" gradient="0">
              <x14:cfvo type="autoMin"/>
              <x14:cfvo type="autoMax"/>
              <x14:negativeFillColor rgb="FFFF0000"/>
              <x14:axisColor rgb="FF000000"/>
            </x14:dataBar>
          </x14:cfRule>
          <xm:sqref>M3:M159</xm:sqref>
        </x14:conditionalFormatting>
        <x14:conditionalFormatting xmlns:xm="http://schemas.microsoft.com/office/excel/2006/main">
          <x14:cfRule type="dataBar" id="{b2d253c0-f0a7-4424-a503-56e24c0f5c8e}">
            <x14:dataBar minLength="0" maxLength="100" gradient="0">
              <x14:cfvo type="autoMin"/>
              <x14:cfvo type="autoMax"/>
              <x14:negativeFillColor rgb="FFFF0000"/>
              <x14:axisColor rgb="FF000000"/>
            </x14:dataBar>
          </x14:cfRule>
          <xm:sqref>M160:M162</xm:sqref>
        </x14:conditionalFormatting>
        <x14:conditionalFormatting xmlns:xm="http://schemas.microsoft.com/office/excel/2006/main">
          <x14:cfRule type="dataBar" id="{590f0c5d-4fa1-4380-802a-e713dcfa987f}">
            <x14:dataBar minLength="0" maxLength="100">
              <x14:cfvo type="autoMin"/>
              <x14:cfvo type="autoMax"/>
              <x14:negativeFillColor rgb="FFFF0000"/>
              <x14:axisColor rgb="FF000000"/>
            </x14:dataBar>
          </x14:cfRule>
          <xm:sqref>N3:N62</xm:sqref>
        </x14:conditionalFormatting>
        <x14:conditionalFormatting xmlns:xm="http://schemas.microsoft.com/office/excel/2006/main">
          <x14:cfRule type="dataBar" id="{edcce4d9-ac89-41b7-831f-c22db297961e}">
            <x14:dataBar minLength="0" maxLength="100">
              <x14:cfvo type="autoMin"/>
              <x14:cfvo type="autoMax"/>
              <x14:negativeFillColor rgb="FFFF0000"/>
              <x14:axisColor rgb="FF000000"/>
            </x14:dataBar>
          </x14:cfRule>
          <xm:sqref>N63:N159</xm:sqref>
        </x14:conditionalFormatting>
        <x14:conditionalFormatting xmlns:xm="http://schemas.microsoft.com/office/excel/2006/main">
          <x14:cfRule type="dataBar" id="{cb41eb7e-242d-4a9d-8b16-dc90019b567e}">
            <x14:dataBar minLength="0" maxLength="100">
              <x14:cfvo type="autoMin"/>
              <x14:cfvo type="autoMax"/>
              <x14:negativeFillColor rgb="FFFF0000"/>
              <x14:axisColor rgb="FF000000"/>
            </x14:dataBar>
          </x14:cfRule>
          <xm:sqref>N160:N162</xm:sqref>
        </x14:conditionalFormatting>
        <x14:conditionalFormatting xmlns:xm="http://schemas.microsoft.com/office/excel/2006/main">
          <x14:cfRule type="dataBar" id="{cfc4b609-d712-4a5b-b939-6bd95a666c03}">
            <x14:dataBar minLength="0" maxLength="100">
              <x14:cfvo type="min"/>
              <x14:cfvo type="max"/>
              <x14:negativeFillColor rgb="FFFFFFFF"/>
              <x14:axisColor rgb="FF000000"/>
            </x14:dataBar>
          </x14:cfRule>
          <x14:cfRule type="dataBar" id="{213e72b9-506b-41d0-985a-4e3b9777a584}">
            <x14:dataBar minLength="0" maxLength="100">
              <x14:cfvo type="autoMin"/>
              <x14:cfvo type="autoMax"/>
              <x14:negativeFillColor rgb="FFFF0000"/>
              <x14:axisColor rgb="FF000000"/>
            </x14:dataBar>
          </x14:cfRule>
          <xm:sqref>AS3:AS22</xm:sqref>
        </x14:conditionalFormatting>
        <x14:conditionalFormatting xmlns:xm="http://schemas.microsoft.com/office/excel/2006/main">
          <x14:cfRule type="dataBar" id="{16b7cce6-31e7-400b-b3ae-0cf1f86e10de}">
            <x14:dataBar minLength="0" maxLength="100">
              <x14:cfvo type="min"/>
              <x14:cfvo type="max"/>
              <x14:negativeFillColor rgb="FFFFFFFF"/>
              <x14:axisColor rgb="FF000000"/>
            </x14:dataBar>
          </x14:cfRule>
          <x14:cfRule type="dataBar" id="{484af6ea-c174-41ab-86ff-70ab1665052d}">
            <x14:dataBar minLength="0" maxLength="100">
              <x14:cfvo type="autoMin"/>
              <x14:cfvo type="autoMax"/>
              <x14:negativeFillColor rgb="FFFF0000"/>
              <x14:axisColor rgb="FF000000"/>
            </x14:dataBar>
          </x14:cfRule>
          <xm:sqref>AS23:AS62</xm:sqref>
        </x14:conditionalFormatting>
        <x14:conditionalFormatting xmlns:xm="http://schemas.microsoft.com/office/excel/2006/main">
          <x14:cfRule type="dataBar" id="{3583b413-a114-491a-ba38-897178c09207}">
            <x14:dataBar minLength="0" maxLength="100">
              <x14:cfvo type="min"/>
              <x14:cfvo type="max"/>
              <x14:negativeFillColor rgb="FFFFFFFF"/>
              <x14:axisColor rgb="FF000000"/>
            </x14:dataBar>
          </x14:cfRule>
          <x14:cfRule type="dataBar" id="{cf18c64b-04aa-4b55-a774-e8d183bffc10}">
            <x14:dataBar minLength="0" maxLength="100">
              <x14:cfvo type="autoMin"/>
              <x14:cfvo type="autoMax"/>
              <x14:negativeFillColor rgb="FFFF0000"/>
              <x14:axisColor rgb="FF000000"/>
            </x14:dataBar>
          </x14:cfRule>
          <xm:sqref>AS75:AS92</xm:sqref>
        </x14:conditionalFormatting>
        <x14:conditionalFormatting xmlns:xm="http://schemas.microsoft.com/office/excel/2006/main">
          <x14:cfRule type="dataBar" id="{9e9ff0a3-8075-496b-b9aa-2a09c382f0ea}">
            <x14:dataBar minLength="0" maxLength="100">
              <x14:cfvo type="autoMin"/>
              <x14:cfvo type="autoMax"/>
              <x14:negativeFillColor rgb="FFFF0000"/>
              <x14:axisColor rgb="FF000000"/>
            </x14:dataBar>
          </x14:cfRule>
          <x14:cfRule type="dataBar" id="{0366f197-8cfe-4607-be02-9011435a2452}">
            <x14:dataBar minLength="0" maxLength="100">
              <x14:cfvo type="min"/>
              <x14:cfvo type="max"/>
              <x14:negativeFillColor rgb="FFFFFFFF"/>
              <x14:axisColor rgb="FF000000"/>
            </x14:dataBar>
          </x14:cfRule>
          <xm:sqref>AS93:AS162</xm:sqref>
        </x14:conditionalFormatting>
        <x14:conditionalFormatting xmlns:xm="http://schemas.microsoft.com/office/excel/2006/main">
          <x14:cfRule type="dataBar" id="{4dcb5ef9-dd96-4175-a901-4889aa3f416f}">
            <x14:dataBar minLength="0" maxLength="100" gradient="0">
              <x14:cfvo type="autoMin"/>
              <x14:cfvo type="autoMax"/>
              <x14:negativeFillColor rgb="FFFF0000"/>
              <x14:axisColor rgb="FF000000"/>
            </x14:dataBar>
          </x14:cfRule>
          <xm:sqref>AT3:AT22</xm:sqref>
        </x14:conditionalFormatting>
        <x14:conditionalFormatting xmlns:xm="http://schemas.microsoft.com/office/excel/2006/main">
          <x14:cfRule type="dataBar" id="{215d6f60-0782-4475-9a7d-1e9a13707f11}">
            <x14:dataBar minLength="0" maxLength="100" gradient="0">
              <x14:cfvo type="autoMin"/>
              <x14:cfvo type="autoMax"/>
              <x14:negativeFillColor rgb="FFFF0000"/>
              <x14:axisColor rgb="FF000000"/>
            </x14:dataBar>
          </x14:cfRule>
          <xm:sqref>AT75:AT92</xm:sqref>
        </x14:conditionalFormatting>
        <x14:conditionalFormatting xmlns:xm="http://schemas.microsoft.com/office/excel/2006/main">
          <x14:cfRule type="dataBar" id="{0e2003d2-8ea0-4831-abc2-220b247b8544}">
            <x14:dataBar minLength="0" maxLength="100" gradient="0">
              <x14:cfvo type="autoMin"/>
              <x14:cfvo type="autoMax"/>
              <x14:negativeFillColor rgb="FFFF0000"/>
              <x14:axisColor rgb="FF000000"/>
            </x14:dataBar>
          </x14:cfRule>
          <xm:sqref>AT93:AT162</xm:sqref>
        </x14:conditionalFormatting>
        <x14:conditionalFormatting xmlns:xm="http://schemas.microsoft.com/office/excel/2006/main">
          <x14:cfRule type="dataBar" id="{8a7c5f92-770e-404b-ac5a-0a41c24a80f8}">
            <x14:dataBar minLength="0" maxLength="100" gradient="0">
              <x14:cfvo type="autoMin"/>
              <x14:cfvo type="autoMax"/>
              <x14:negativeFillColor rgb="FFFF0000"/>
              <x14:axisColor rgb="FF000000"/>
            </x14:dataBar>
          </x14:cfRule>
          <xm:sqref>BO1:BO201</xm:sqref>
        </x14:conditionalFormatting>
        <x14:conditionalFormatting xmlns:xm="http://schemas.microsoft.com/office/excel/2006/main">
          <x14:cfRule type="dataBar" id="{ec34d041-063a-46e5-94d2-4d4e9d1cc3dc}">
            <x14:dataBar minLength="0" maxLength="100" gradient="0">
              <x14:cfvo type="autoMin"/>
              <x14:cfvo type="autoMax"/>
              <x14:negativeFillColor rgb="FFFF0000"/>
              <x14:axisColor rgb="FF000000"/>
            </x14:dataBar>
          </x14:cfRule>
          <xm:sqref>BO18:BO20</xm:sqref>
        </x14:conditionalFormatting>
        <x14:conditionalFormatting xmlns:xm="http://schemas.microsoft.com/office/excel/2006/main">
          <x14:cfRule type="dataBar" id="{30bee200-e343-4139-a721-fe7c2838b461}">
            <x14:dataBar minLength="0" maxLength="100" gradient="0">
              <x14:cfvo type="autoMin"/>
              <x14:cfvo type="autoMax"/>
              <x14:negativeFillColor rgb="FFFF0000"/>
              <x14:axisColor rgb="FF000000"/>
            </x14:dataBar>
          </x14:cfRule>
          <xm:sqref>BO75:BO92</xm:sqref>
        </x14:conditionalFormatting>
        <x14:conditionalFormatting xmlns:xm="http://schemas.microsoft.com/office/excel/2006/main">
          <x14:cfRule type="dataBar" id="{31c54de8-fb21-46a4-9c2b-f0df691c9e14}">
            <x14:dataBar minLength="0" maxLength="100" gradient="0">
              <x14:cfvo type="autoMin"/>
              <x14:cfvo type="autoMax"/>
              <x14:negativeFillColor rgb="FFFF0000"/>
              <x14:axisColor rgb="FF000000"/>
            </x14:dataBar>
          </x14:cfRule>
          <xm:sqref>BO93:BO162</xm:sqref>
        </x14:conditionalFormatting>
        <x14:conditionalFormatting xmlns:xm="http://schemas.microsoft.com/office/excel/2006/main">
          <x14:cfRule type="dataBar" id="{e827b777-51d2-4173-b0f3-7746fd1c4858}">
            <x14:dataBar minLength="0" maxLength="100" gradient="0">
              <x14:cfvo type="autoMin"/>
              <x14:cfvo type="autoMax"/>
              <x14:negativeFillColor rgb="FFFF0000"/>
              <x14:axisColor rgb="FF000000"/>
            </x14:dataBar>
          </x14:cfRule>
          <xm:sqref>BP1:BP201</xm:sqref>
        </x14:conditionalFormatting>
        <x14:conditionalFormatting xmlns:xm="http://schemas.microsoft.com/office/excel/2006/main">
          <x14:cfRule type="dataBar" id="{bd5da846-6829-45a5-b64f-550fac5d92ee}">
            <x14:dataBar minLength="0" maxLength="100" gradient="0">
              <x14:cfvo type="autoMin"/>
              <x14:cfvo type="autoMax"/>
              <x14:negativeFillColor rgb="FFFF0000"/>
              <x14:axisColor rgb="FF000000"/>
            </x14:dataBar>
          </x14:cfRule>
          <xm:sqref>BP18:BP20</xm:sqref>
        </x14:conditionalFormatting>
        <x14:conditionalFormatting xmlns:xm="http://schemas.microsoft.com/office/excel/2006/main">
          <x14:cfRule type="dataBar" id="{e48f0b83-16e0-4d1e-ba85-139e6498c134}">
            <x14:dataBar minLength="0" maxLength="100" gradient="0">
              <x14:cfvo type="autoMin"/>
              <x14:cfvo type="autoMax"/>
              <x14:negativeFillColor rgb="FFFF0000"/>
              <x14:axisColor rgb="FF000000"/>
            </x14:dataBar>
          </x14:cfRule>
          <xm:sqref>BP75:BP92</xm:sqref>
        </x14:conditionalFormatting>
        <x14:conditionalFormatting xmlns:xm="http://schemas.microsoft.com/office/excel/2006/main">
          <x14:cfRule type="dataBar" id="{75b2c865-c686-4645-9fed-bfc5fd78bb47}">
            <x14:dataBar minLength="0" maxLength="100" gradient="0">
              <x14:cfvo type="autoMin"/>
              <x14:cfvo type="autoMax"/>
              <x14:negativeFillColor rgb="FFFF0000"/>
              <x14:axisColor rgb="FF000000"/>
            </x14:dataBar>
          </x14:cfRule>
          <xm:sqref>BP93:BP162</xm:sqref>
        </x14:conditionalFormatting>
        <x14:conditionalFormatting xmlns:xm="http://schemas.microsoft.com/office/excel/2006/main">
          <x14:cfRule type="dataBar" id="{79d172fd-5cb1-467b-bf7d-4554a73969b8}">
            <x14:dataBar minLength="0" maxLength="100" gradient="0">
              <x14:cfvo type="autoMin"/>
              <x14:cfvo type="autoMax"/>
              <x14:negativeFillColor rgb="FFFF0000"/>
              <x14:axisColor rgb="FF000000"/>
            </x14:dataBar>
          </x14:cfRule>
          <xm:sqref>M1:M2 M164:M165</xm:sqref>
        </x14:conditionalFormatting>
        <x14:conditionalFormatting xmlns:xm="http://schemas.microsoft.com/office/excel/2006/main">
          <x14:cfRule type="dataBar" id="{120bf783-c377-49ad-9b55-b0fb6d4e5636}">
            <x14:dataBar minLength="0" maxLength="100">
              <x14:cfvo type="min"/>
              <x14:cfvo type="max"/>
              <x14:negativeFillColor rgb="FFFFFFFF"/>
              <x14:axisColor rgb="FF000000"/>
            </x14:dataBar>
          </x14:cfRule>
          <xm:sqref>N1:N2 P1</xm:sqref>
        </x14:conditionalFormatting>
        <x14:conditionalFormatting xmlns:xm="http://schemas.microsoft.com/office/excel/2006/main">
          <x14:cfRule type="dataBar" id="{002ac24c-c344-4d33-9fd9-88a8035e739f}">
            <x14:dataBar minLength="0" maxLength="100">
              <x14:cfvo type="autoMin"/>
              <x14:cfvo type="autoMax"/>
              <x14:negativeFillColor rgb="FFFF0000"/>
              <x14:axisColor rgb="FF000000"/>
            </x14:dataBar>
          </x14:cfRule>
          <xm:sqref>N1:N2 N164:N165</xm:sqref>
        </x14:conditionalFormatting>
        <x14:conditionalFormatting xmlns:xm="http://schemas.microsoft.com/office/excel/2006/main">
          <x14:cfRule type="dataBar" id="{e6cd1295-1077-487c-ba10-83ecf09272c5}">
            <x14:dataBar minLength="0" maxLength="100">
              <x14:cfvo type="min"/>
              <x14:cfvo type="max"/>
              <x14:negativeFillColor rgb="FFFFFFFF"/>
              <x14:axisColor rgb="FF000000"/>
            </x14:dataBar>
          </x14:cfRule>
          <x14:cfRule type="dataBar" id="{cc32c852-5760-47ab-b8fb-12bcd77f843f}">
            <x14:dataBar minLength="0" maxLength="100">
              <x14:cfvo type="min"/>
              <x14:cfvo type="max"/>
              <x14:negativeFillColor rgb="FFFFFFFF"/>
              <x14:axisColor rgb="FF000000"/>
            </x14:dataBar>
          </x14:cfRule>
          <xm:sqref>Q1:R2 S1</xm:sqref>
        </x14:conditionalFormatting>
        <x14:conditionalFormatting xmlns:xm="http://schemas.microsoft.com/office/excel/2006/main">
          <x14:cfRule type="dataBar" id="{61d69205-f6e8-446f-8df4-65438c7d6c95}">
            <x14:dataBar minLength="0" maxLength="100" gradient="0">
              <x14:cfvo type="autoMin"/>
              <x14:cfvo type="autoMax"/>
              <x14:negativeFillColor rgb="FFFF0000"/>
              <x14:axisColor rgb="FF000000"/>
            </x14:dataBar>
          </x14:cfRule>
          <xm:sqref>AT23:AT62 AT164:AT165</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8FA1C"/>
  </sheetPr>
  <dimension ref="A1:J14"/>
  <sheetViews>
    <sheetView workbookViewId="0">
      <selection activeCell="D14" sqref="D14"/>
    </sheetView>
  </sheetViews>
  <sheetFormatPr defaultColWidth="17" defaultRowHeight="11.4"/>
  <cols>
    <col min="1" max="18" width="16.59375" customWidth="1"/>
  </cols>
  <sheetData>
    <row r="1" ht="14.4" spans="1:10">
      <c r="A1" s="84" t="s">
        <v>415</v>
      </c>
      <c r="B1" s="85" t="s">
        <v>131</v>
      </c>
      <c r="C1" s="85" t="s">
        <v>416</v>
      </c>
      <c r="D1" s="85" t="s">
        <v>417</v>
      </c>
      <c r="E1" s="86" t="s">
        <v>418</v>
      </c>
      <c r="F1" s="85" t="s">
        <v>419</v>
      </c>
      <c r="G1" s="86" t="s">
        <v>420</v>
      </c>
      <c r="H1" s="86" t="s">
        <v>421</v>
      </c>
      <c r="I1" s="86" t="s">
        <v>422</v>
      </c>
    </row>
    <row r="2" spans="1:10">
      <c r="A2" s="7" t="s">
        <v>423</v>
      </c>
      <c r="B2" s="7">
        <v>139.99</v>
      </c>
      <c r="C2" s="87">
        <v>0.15</v>
      </c>
      <c r="D2" s="8">
        <v>0.3067</v>
      </c>
      <c r="E2" s="8">
        <v>0.2778</v>
      </c>
      <c r="F2" s="7"/>
      <c r="G2" s="88">
        <v>45797</v>
      </c>
      <c r="H2" s="89">
        <v>45828</v>
      </c>
      <c r="I2" s="7" t="s">
        <v>424</v>
      </c>
    </row>
    <row r="3" spans="1:10">
      <c r="A3" s="7" t="s">
        <v>423</v>
      </c>
    </row>
    <row r="4" spans="1:10">
      <c r="A4" s="7" t="s">
        <v>423</v>
      </c>
      <c r="H4" s="9"/>
      <c r="J4" s="9"/>
    </row>
    <row r="5" spans="1:10">
      <c r="A5" s="7" t="s">
        <v>423</v>
      </c>
      <c r="H5" s="9"/>
      <c r="J5" s="9"/>
    </row>
    <row r="6" spans="1:10">
      <c r="A6" s="7" t="s">
        <v>423</v>
      </c>
      <c r="H6" s="9"/>
      <c r="J6" s="9"/>
    </row>
    <row r="7" spans="1:10">
      <c r="H7" s="9"/>
      <c r="J7" s="9"/>
    </row>
    <row r="8" spans="1:10">
      <c r="H8" s="9"/>
      <c r="J8" s="9"/>
    </row>
    <row r="9" ht="13.8" spans="1:10">
      <c r="H9" s="9"/>
      <c r="I9" s="90"/>
      <c r="J9" s="9"/>
    </row>
    <row r="10" spans="1:10">
      <c r="H10" s="9"/>
      <c r="I10" s="9"/>
      <c r="J10" s="9"/>
    </row>
    <row r="11" spans="1:10">
      <c r="H11" s="9"/>
      <c r="I11" s="9"/>
      <c r="J11" s="9"/>
    </row>
    <row r="12" spans="1:10">
      <c r="H12" s="9"/>
      <c r="I12" s="9"/>
      <c r="J12" s="9"/>
    </row>
    <row r="13" spans="1:10">
      <c r="H13" s="9"/>
      <c r="I13" s="9"/>
      <c r="J13" s="9"/>
    </row>
    <row r="14" spans="1:10">
      <c r="I14" s="9"/>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7"/>
  <sheetViews>
    <sheetView topLeftCell="O1" workbookViewId="0">
      <selection activeCell="B15" sqref="B15"/>
    </sheetView>
  </sheetViews>
  <sheetFormatPr defaultColWidth="17" defaultRowHeight="11.4" outlineLevelRow="6"/>
  <cols>
    <col min="1" max="27" width="16.59375" customWidth="1"/>
  </cols>
  <sheetData>
    <row r="1" spans="1:27">
      <c r="A1" s="62" t="s">
        <v>41</v>
      </c>
      <c r="B1" s="62" t="s">
        <v>1</v>
      </c>
      <c r="C1" s="62" t="s">
        <v>42</v>
      </c>
      <c r="D1" s="62" t="s">
        <v>43</v>
      </c>
      <c r="E1" s="62" t="s">
        <v>44</v>
      </c>
      <c r="F1" s="62" t="s">
        <v>45</v>
      </c>
      <c r="G1" s="62" t="s">
        <v>46</v>
      </c>
      <c r="H1" s="62" t="s">
        <v>47</v>
      </c>
      <c r="I1" s="62" t="s">
        <v>6</v>
      </c>
      <c r="J1" s="62" t="s">
        <v>48</v>
      </c>
      <c r="K1" s="62" t="s">
        <v>49</v>
      </c>
      <c r="L1" s="62" t="s">
        <v>50</v>
      </c>
      <c r="M1" s="62" t="s">
        <v>51</v>
      </c>
      <c r="N1" s="62" t="s">
        <v>52</v>
      </c>
      <c r="O1" s="62" t="s">
        <v>53</v>
      </c>
      <c r="P1" s="62" t="s">
        <v>54</v>
      </c>
      <c r="Q1" s="62" t="s">
        <v>55</v>
      </c>
      <c r="R1" s="62" t="s">
        <v>56</v>
      </c>
      <c r="S1" s="62" t="s">
        <v>57</v>
      </c>
      <c r="T1" s="62" t="s">
        <v>58</v>
      </c>
      <c r="U1" s="62" t="s">
        <v>59</v>
      </c>
      <c r="V1" s="62" t="s">
        <v>60</v>
      </c>
      <c r="W1" s="62" t="s">
        <v>61</v>
      </c>
      <c r="X1" s="62" t="s">
        <v>62</v>
      </c>
      <c r="Y1" s="62" t="s">
        <v>63</v>
      </c>
      <c r="Z1" s="62" t="s">
        <v>64</v>
      </c>
      <c r="AA1" s="62" t="s">
        <v>65</v>
      </c>
    </row>
    <row r="2" spans="1:27">
      <c r="A2" s="82" t="s">
        <v>425</v>
      </c>
      <c r="B2" s="62">
        <v>7.4</v>
      </c>
      <c r="C2" s="62" t="s">
        <v>426</v>
      </c>
      <c r="D2" s="62" t="s">
        <v>426</v>
      </c>
      <c r="E2" s="62" t="s">
        <v>68</v>
      </c>
      <c r="F2" s="62">
        <v>17.483067924</v>
      </c>
      <c r="G2" s="62">
        <v>30.816347908</v>
      </c>
      <c r="H2" s="62">
        <v>29.99</v>
      </c>
      <c r="I2" s="62">
        <v>40.707964601</v>
      </c>
      <c r="J2" s="62">
        <v>2.78</v>
      </c>
      <c r="K2" s="62">
        <v>0.15</v>
      </c>
      <c r="L2" s="62">
        <v>0.16</v>
      </c>
      <c r="M2" s="62">
        <v>0.03</v>
      </c>
      <c r="N2" s="62">
        <v>0.15</v>
      </c>
      <c r="O2" s="62">
        <v>0.000666888</v>
      </c>
      <c r="P2" s="62">
        <v>0.02</v>
      </c>
      <c r="Q2" s="62">
        <v>20.2</v>
      </c>
      <c r="R2" s="62">
        <v>10.7</v>
      </c>
      <c r="S2" s="62">
        <v>3.6</v>
      </c>
      <c r="T2" s="62">
        <v>0.32</v>
      </c>
      <c r="U2" s="62">
        <v>0.129684</v>
      </c>
      <c r="V2" s="62">
        <v>0.32</v>
      </c>
      <c r="W2" s="62" t="s">
        <v>69</v>
      </c>
      <c r="X2" s="62">
        <v>14.687</v>
      </c>
      <c r="Y2" s="62">
        <v>4.69984</v>
      </c>
      <c r="Z2" s="62">
        <v>5.758910188</v>
      </c>
      <c r="AA2" s="62">
        <v>0.192027682</v>
      </c>
    </row>
    <row r="3" spans="1:27">
      <c r="A3" s="62"/>
      <c r="B3" s="62"/>
      <c r="C3" s="62"/>
      <c r="D3" s="62"/>
      <c r="E3" s="62"/>
      <c r="F3" s="62"/>
      <c r="G3" s="62"/>
      <c r="H3" s="62"/>
      <c r="I3" s="62"/>
      <c r="J3" s="62"/>
      <c r="K3" s="62"/>
      <c r="L3" s="62"/>
      <c r="M3" s="62"/>
      <c r="N3" s="62"/>
      <c r="O3" s="62"/>
      <c r="P3" s="62"/>
      <c r="Q3" s="62"/>
      <c r="R3" s="62"/>
      <c r="S3" s="62"/>
      <c r="T3" s="62"/>
      <c r="U3" s="62"/>
      <c r="V3" s="62"/>
      <c r="W3" s="62"/>
      <c r="X3" s="62"/>
      <c r="Y3" s="62"/>
      <c r="Z3" s="62"/>
      <c r="AA3" s="62"/>
    </row>
    <row r="4" spans="1:27">
      <c r="A4" s="62"/>
      <c r="B4" s="62"/>
      <c r="C4" s="62"/>
      <c r="D4" s="62"/>
      <c r="E4" s="62"/>
      <c r="F4" s="62"/>
      <c r="G4" s="62"/>
      <c r="H4" s="62"/>
      <c r="I4" s="62"/>
      <c r="J4" s="62"/>
      <c r="K4" s="62"/>
      <c r="L4" s="62"/>
      <c r="M4" s="62"/>
      <c r="N4" s="62"/>
      <c r="O4" s="62"/>
      <c r="P4" s="62"/>
      <c r="Q4" s="62"/>
      <c r="R4" s="62"/>
      <c r="S4" s="62"/>
      <c r="T4" s="62"/>
      <c r="U4" s="62"/>
      <c r="V4" s="62"/>
      <c r="W4" s="62"/>
      <c r="X4" s="62"/>
      <c r="Y4" s="62"/>
      <c r="Z4" s="62"/>
      <c r="AA4" s="62"/>
    </row>
    <row r="5" spans="1:27">
      <c r="A5" s="62" t="s">
        <v>415</v>
      </c>
      <c r="B5" s="62" t="s">
        <v>427</v>
      </c>
      <c r="C5" s="62" t="s">
        <v>428</v>
      </c>
      <c r="D5" s="62" t="s">
        <v>429</v>
      </c>
      <c r="E5" s="62" t="s">
        <v>430</v>
      </c>
      <c r="F5" s="62" t="s">
        <v>431</v>
      </c>
      <c r="G5" s="62" t="s">
        <v>137</v>
      </c>
      <c r="H5" s="62" t="s">
        <v>432</v>
      </c>
      <c r="I5" s="62" t="s">
        <v>433</v>
      </c>
      <c r="J5" s="62" t="s">
        <v>154</v>
      </c>
      <c r="K5" s="62"/>
      <c r="L5" s="62"/>
      <c r="M5" s="62"/>
      <c r="N5" s="62"/>
      <c r="O5" s="62"/>
      <c r="P5" s="62"/>
      <c r="Q5" s="62"/>
      <c r="R5" s="62"/>
      <c r="S5" s="62"/>
      <c r="T5" s="62"/>
      <c r="U5" s="62"/>
      <c r="V5" s="62"/>
      <c r="W5" s="62"/>
      <c r="X5" s="62"/>
      <c r="Y5" s="62"/>
      <c r="Z5" s="62"/>
      <c r="AA5" s="62"/>
    </row>
    <row r="6" spans="1:27">
      <c r="A6" s="62"/>
      <c r="B6" s="62"/>
      <c r="C6" s="62"/>
      <c r="D6" s="62"/>
      <c r="E6" s="62"/>
      <c r="F6" s="62"/>
      <c r="G6" s="62"/>
      <c r="H6" s="83">
        <f>E6*F6*D6</f>
        <v>0</v>
      </c>
      <c r="I6" s="62"/>
      <c r="J6" s="62"/>
      <c r="K6" s="62"/>
      <c r="L6" s="62"/>
      <c r="M6" s="62"/>
      <c r="N6" s="62"/>
      <c r="O6" s="62"/>
      <c r="P6" s="62"/>
      <c r="Q6" s="62"/>
      <c r="R6" s="62"/>
      <c r="S6" s="62"/>
      <c r="T6" s="62"/>
      <c r="U6" s="62"/>
      <c r="V6" s="62"/>
      <c r="W6" s="62"/>
      <c r="X6" s="62"/>
      <c r="Y6" s="62"/>
      <c r="Z6" s="62"/>
      <c r="AA6" s="62"/>
    </row>
    <row r="7" spans="1:27">
      <c r="A7" s="62"/>
      <c r="B7" s="62"/>
      <c r="C7" s="62"/>
      <c r="D7" s="62"/>
      <c r="E7" s="62"/>
      <c r="F7" s="62"/>
      <c r="G7" s="62"/>
      <c r="H7" s="62"/>
      <c r="I7" s="62"/>
      <c r="J7" s="62"/>
      <c r="K7" s="62"/>
      <c r="L7" s="62"/>
      <c r="M7" s="62"/>
      <c r="N7" s="62"/>
      <c r="O7" s="62"/>
      <c r="P7" s="62"/>
      <c r="Q7" s="62"/>
      <c r="R7" s="62"/>
      <c r="S7" s="62"/>
      <c r="T7" s="62"/>
      <c r="U7" s="62"/>
      <c r="V7" s="62"/>
      <c r="W7" s="62"/>
      <c r="X7" s="62"/>
      <c r="Y7" s="62"/>
      <c r="Z7" s="62"/>
      <c r="AA7" s="62"/>
    </row>
  </sheetData>
  <pageMargins left="0.7" right="0.7" top="0.75" bottom="0.75" header="0.3" footer="0.3"/>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
  <sheetViews>
    <sheetView workbookViewId="0">
      <selection activeCell="A1" sqref="A1"/>
    </sheetView>
  </sheetViews>
  <sheetFormatPr defaultColWidth="17" defaultRowHeight="11.4"/>
  <cols>
    <col min="1" max="18" width="16.59375" customWidth="1"/>
  </cols>
  <sheetData>
    <row r="1" ht="12" spans="1:18">
      <c r="A1" s="61" t="s">
        <v>415</v>
      </c>
      <c r="B1" s="61" t="s">
        <v>434</v>
      </c>
      <c r="C1" s="61" t="s">
        <v>207</v>
      </c>
      <c r="D1" s="61" t="s">
        <v>199</v>
      </c>
      <c r="E1" s="61" t="s">
        <v>435</v>
      </c>
      <c r="F1" s="61" t="s">
        <v>436</v>
      </c>
      <c r="G1" s="61" t="s">
        <v>209</v>
      </c>
      <c r="H1" s="61" t="s">
        <v>204</v>
      </c>
      <c r="I1" s="61"/>
      <c r="J1" s="61"/>
      <c r="K1" s="61"/>
      <c r="L1" s="61"/>
      <c r="M1" s="61"/>
      <c r="N1" s="61"/>
      <c r="O1" s="61"/>
      <c r="P1" s="61"/>
      <c r="Q1" s="61"/>
      <c r="R1" s="61"/>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
  <sheetViews>
    <sheetView workbookViewId="0">
      <selection activeCell="K9" sqref="K9"/>
    </sheetView>
  </sheetViews>
  <sheetFormatPr defaultColWidth="17" defaultRowHeight="11.4"/>
  <cols>
    <col min="1" max="18" width="16.59375" customWidth="1"/>
  </cols>
  <sheetData>
    <row r="1" ht="13.2" spans="1:18">
      <c r="A1" s="67" t="s">
        <v>437</v>
      </c>
      <c r="B1" s="67"/>
      <c r="C1" s="67"/>
      <c r="D1" s="67"/>
      <c r="E1" s="67"/>
      <c r="F1" s="67"/>
      <c r="G1" s="67"/>
      <c r="H1" s="67"/>
      <c r="I1" s="67"/>
      <c r="J1" s="67"/>
      <c r="K1" s="67"/>
      <c r="L1" s="67"/>
      <c r="M1" s="67"/>
      <c r="N1" s="67"/>
      <c r="O1" s="67"/>
      <c r="P1" s="77"/>
      <c r="Q1" s="77"/>
      <c r="R1" s="77"/>
    </row>
    <row r="2" ht="13.2" spans="1:18">
      <c r="A2" s="69" t="s">
        <v>232</v>
      </c>
      <c r="B2" s="19">
        <v>45793</v>
      </c>
      <c r="C2" s="19">
        <v>45794</v>
      </c>
      <c r="D2" s="19">
        <v>45795</v>
      </c>
      <c r="E2" s="19">
        <v>45796</v>
      </c>
      <c r="F2" s="19">
        <v>45797</v>
      </c>
      <c r="G2" s="19">
        <v>45798</v>
      </c>
      <c r="H2" s="19">
        <v>45799</v>
      </c>
      <c r="I2" s="19">
        <v>45800</v>
      </c>
      <c r="J2" s="19">
        <v>45801</v>
      </c>
      <c r="K2" s="19">
        <v>45802</v>
      </c>
      <c r="L2" s="19">
        <v>45803</v>
      </c>
      <c r="M2" s="19">
        <v>45804</v>
      </c>
      <c r="N2" s="19">
        <v>45805</v>
      </c>
      <c r="O2" s="19">
        <v>45806</v>
      </c>
      <c r="P2" s="19">
        <v>45807</v>
      </c>
      <c r="Q2" s="19">
        <v>45794</v>
      </c>
      <c r="R2" s="19">
        <v>45795</v>
      </c>
    </row>
    <row r="3" ht="13.2" spans="1:18">
      <c r="A3" s="69" t="s">
        <v>438</v>
      </c>
      <c r="B3" s="69" t="s">
        <v>439</v>
      </c>
      <c r="C3" s="69" t="s">
        <v>440</v>
      </c>
      <c r="D3" s="69" t="s">
        <v>441</v>
      </c>
      <c r="E3" s="69" t="s">
        <v>442</v>
      </c>
      <c r="F3" s="69" t="s">
        <v>443</v>
      </c>
      <c r="G3" s="69" t="s">
        <v>444</v>
      </c>
      <c r="H3" s="69" t="s">
        <v>445</v>
      </c>
      <c r="I3" s="69" t="s">
        <v>439</v>
      </c>
      <c r="J3" s="69" t="s">
        <v>440</v>
      </c>
      <c r="K3" s="69" t="s">
        <v>441</v>
      </c>
      <c r="L3" s="69" t="s">
        <v>442</v>
      </c>
      <c r="M3" s="69" t="s">
        <v>443</v>
      </c>
      <c r="N3" s="69" t="s">
        <v>444</v>
      </c>
      <c r="O3" s="69" t="s">
        <v>445</v>
      </c>
      <c r="P3" s="69" t="s">
        <v>445</v>
      </c>
      <c r="Q3" s="69" t="s">
        <v>445</v>
      </c>
      <c r="R3" s="69" t="s">
        <v>445</v>
      </c>
    </row>
    <row r="4" ht="18" customHeight="1" spans="1:18">
      <c r="A4" s="69" t="s">
        <v>446</v>
      </c>
      <c r="B4" s="71" t="s">
        <v>214</v>
      </c>
      <c r="C4" s="15"/>
      <c r="D4" s="15">
        <v>4</v>
      </c>
      <c r="E4" s="15">
        <v>1</v>
      </c>
      <c r="F4" s="15">
        <v>1</v>
      </c>
      <c r="G4" s="15">
        <v>1</v>
      </c>
      <c r="H4" s="15">
        <v>1</v>
      </c>
      <c r="I4" s="69">
        <v>1</v>
      </c>
      <c r="J4" s="69">
        <v>1</v>
      </c>
      <c r="K4" s="69">
        <v>2</v>
      </c>
      <c r="L4" s="15">
        <v>2</v>
      </c>
      <c r="M4" s="15">
        <v>2</v>
      </c>
      <c r="N4" s="69">
        <v>3</v>
      </c>
      <c r="O4" s="69"/>
      <c r="P4" s="77"/>
      <c r="Q4" s="77"/>
      <c r="R4" s="77"/>
    </row>
    <row r="5" ht="26.4" spans="1:18">
      <c r="A5" s="69" t="s">
        <v>447</v>
      </c>
      <c r="B5" s="72"/>
      <c r="C5" s="72"/>
      <c r="D5" s="72"/>
      <c r="E5" s="72"/>
      <c r="F5" s="78"/>
      <c r="G5" s="78">
        <v>1</v>
      </c>
      <c r="H5" s="79" t="s">
        <v>214</v>
      </c>
      <c r="I5" s="72"/>
      <c r="J5" s="72"/>
      <c r="K5" s="72"/>
      <c r="L5" s="72"/>
      <c r="M5" s="72"/>
      <c r="N5" s="72"/>
      <c r="O5" s="72"/>
      <c r="P5" s="77"/>
      <c r="Q5" s="77"/>
      <c r="R5" s="77"/>
    </row>
    <row r="6" ht="13.2" spans="1:18">
      <c r="A6" s="69" t="s">
        <v>448</v>
      </c>
      <c r="B6" s="80">
        <v>0.05</v>
      </c>
      <c r="C6" s="80"/>
      <c r="D6" s="80"/>
      <c r="E6" s="80"/>
      <c r="F6" s="80"/>
      <c r="G6" s="80"/>
      <c r="H6" s="80"/>
      <c r="I6" s="80"/>
      <c r="J6" s="80"/>
      <c r="K6" s="80"/>
      <c r="L6" s="80"/>
      <c r="M6" s="80"/>
      <c r="N6" s="80"/>
      <c r="O6" s="80"/>
      <c r="P6" s="77"/>
      <c r="Q6" s="77"/>
      <c r="R6" s="77"/>
    </row>
    <row r="7" ht="13.2" spans="1:18">
      <c r="A7" s="69" t="s">
        <v>449</v>
      </c>
      <c r="B7" s="81" t="s">
        <v>450</v>
      </c>
      <c r="C7" s="81"/>
      <c r="D7" s="81"/>
      <c r="E7" s="81"/>
      <c r="F7" s="81"/>
      <c r="G7" s="81"/>
      <c r="H7" s="81"/>
      <c r="I7" s="81"/>
      <c r="J7" s="81"/>
      <c r="K7" s="81"/>
      <c r="L7" s="81"/>
      <c r="M7" s="81"/>
      <c r="N7" s="81"/>
      <c r="O7" s="81"/>
      <c r="P7" s="77"/>
      <c r="Q7" s="77"/>
      <c r="R7" s="77"/>
    </row>
    <row r="8" ht="13.2" spans="1:18">
      <c r="A8" s="69" t="s">
        <v>451</v>
      </c>
      <c r="B8" s="73">
        <v>0.02</v>
      </c>
      <c r="C8" s="73">
        <v>0.02</v>
      </c>
      <c r="D8" s="73">
        <v>0.02</v>
      </c>
      <c r="E8" s="73">
        <v>0.02</v>
      </c>
      <c r="F8" s="73">
        <v>0.02</v>
      </c>
      <c r="G8" s="73">
        <v>0.02</v>
      </c>
      <c r="H8" s="73">
        <v>0.02</v>
      </c>
      <c r="I8" s="73">
        <v>0.02</v>
      </c>
      <c r="J8" s="73"/>
      <c r="K8" s="73"/>
      <c r="L8" s="73"/>
      <c r="M8" s="73"/>
      <c r="N8" s="73"/>
      <c r="O8" s="73"/>
      <c r="P8" s="77"/>
      <c r="Q8" s="77"/>
      <c r="R8" s="77"/>
    </row>
    <row r="9" ht="13.2" spans="1:18">
      <c r="A9" s="69" t="s">
        <v>452</v>
      </c>
      <c r="B9" s="69"/>
      <c r="C9" s="69"/>
      <c r="D9" s="69"/>
      <c r="E9" s="69"/>
      <c r="F9" s="69"/>
      <c r="G9" s="69"/>
      <c r="H9" s="69"/>
      <c r="I9" s="69"/>
      <c r="J9" s="69"/>
      <c r="K9" s="69"/>
      <c r="L9" s="69"/>
      <c r="M9" s="69"/>
      <c r="N9" s="69"/>
      <c r="O9" s="69"/>
      <c r="P9" s="77"/>
      <c r="Q9" s="77"/>
      <c r="R9" s="77"/>
    </row>
    <row r="10" ht="13.2" spans="1:18">
      <c r="A10" s="69" t="s">
        <v>453</v>
      </c>
      <c r="B10" s="69"/>
      <c r="C10" s="69"/>
      <c r="D10" s="69"/>
      <c r="E10" s="69"/>
      <c r="F10" s="69"/>
      <c r="G10" s="69"/>
      <c r="H10" s="69"/>
      <c r="I10" s="69"/>
      <c r="J10" s="69"/>
      <c r="K10" s="69"/>
      <c r="L10" s="69"/>
      <c r="M10" s="69"/>
      <c r="N10" s="69"/>
      <c r="O10" s="69"/>
      <c r="P10" s="77"/>
      <c r="Q10" s="77"/>
      <c r="R10" s="77"/>
    </row>
    <row r="11" ht="13.2" spans="1:18">
      <c r="A11" s="76"/>
      <c r="B11" s="76"/>
      <c r="C11" s="76"/>
      <c r="D11" s="76"/>
      <c r="E11" s="76"/>
      <c r="F11" s="76"/>
      <c r="G11" s="76"/>
      <c r="H11" s="76"/>
      <c r="I11" s="76"/>
      <c r="J11" s="76"/>
      <c r="K11" s="76"/>
      <c r="L11" s="76"/>
      <c r="M11" s="76"/>
      <c r="N11" s="76"/>
      <c r="O11" s="76"/>
      <c r="P11" s="77"/>
      <c r="Q11" s="77"/>
      <c r="R11" s="77"/>
    </row>
    <row r="12" spans="1:18">
      <c r="A12" s="62"/>
      <c r="B12" s="62"/>
      <c r="C12" s="62"/>
      <c r="D12" s="62"/>
      <c r="E12" s="62"/>
      <c r="F12" s="62"/>
      <c r="G12" s="62"/>
      <c r="H12" s="62"/>
      <c r="I12" s="62"/>
      <c r="J12" s="62"/>
      <c r="K12" s="62"/>
      <c r="L12" s="62"/>
      <c r="M12" s="62"/>
      <c r="N12" s="62"/>
      <c r="O12" s="62"/>
      <c r="P12" s="77"/>
      <c r="Q12" s="77"/>
      <c r="R12" s="77"/>
    </row>
  </sheetData>
  <mergeCells count="3">
    <mergeCell ref="A1:O1"/>
    <mergeCell ref="B6:O6"/>
    <mergeCell ref="B7:O7"/>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Y195"/>
  <sheetViews>
    <sheetView topLeftCell="M1" workbookViewId="0">
      <selection activeCell="A1" sqref="A1:V1"/>
    </sheetView>
  </sheetViews>
  <sheetFormatPr defaultColWidth="17" defaultRowHeight="11.4"/>
  <cols>
    <col min="1" max="3" width="16.59375" customWidth="1"/>
    <col min="4" max="8" width="16.59375" hidden="1" customWidth="1"/>
    <col min="9" max="25" width="16.59375" customWidth="1"/>
  </cols>
  <sheetData>
    <row r="1" ht="13.2" spans="1:25">
      <c r="A1" s="67" t="s">
        <v>454</v>
      </c>
      <c r="B1" s="67"/>
      <c r="C1" s="67"/>
      <c r="D1" s="67"/>
      <c r="E1" s="67"/>
      <c r="F1" s="67"/>
      <c r="G1" s="67"/>
      <c r="H1" s="67"/>
      <c r="I1" s="67"/>
      <c r="J1" s="67"/>
      <c r="K1" s="67"/>
      <c r="L1" s="67"/>
      <c r="M1" s="67"/>
      <c r="N1" s="67"/>
      <c r="O1" s="67"/>
      <c r="P1" s="67"/>
      <c r="Q1" s="67"/>
      <c r="R1" s="67"/>
      <c r="S1" s="67"/>
      <c r="T1" s="67"/>
      <c r="U1" s="67"/>
      <c r="V1" s="67"/>
      <c r="W1" s="68"/>
      <c r="X1" s="68"/>
      <c r="Y1" s="68"/>
    </row>
    <row r="2" ht="13.2" spans="1:25">
      <c r="A2" s="69" t="s">
        <v>455</v>
      </c>
      <c r="B2" s="69" t="s">
        <v>210</v>
      </c>
      <c r="C2" s="69" t="s">
        <v>423</v>
      </c>
      <c r="D2" s="69" t="s">
        <v>456</v>
      </c>
      <c r="E2" s="69" t="s">
        <v>457</v>
      </c>
      <c r="F2" s="69" t="s">
        <v>458</v>
      </c>
      <c r="G2" s="69" t="s">
        <v>459</v>
      </c>
      <c r="H2" s="19" t="s">
        <v>460</v>
      </c>
      <c r="I2" s="19">
        <v>45797</v>
      </c>
      <c r="J2" s="19">
        <v>45798</v>
      </c>
      <c r="K2" s="19">
        <v>45799</v>
      </c>
      <c r="L2" s="19">
        <v>45800</v>
      </c>
      <c r="M2" s="19">
        <v>45801</v>
      </c>
      <c r="N2" s="19">
        <v>45802</v>
      </c>
      <c r="O2" s="19">
        <v>45803</v>
      </c>
      <c r="P2" s="19">
        <v>45804</v>
      </c>
      <c r="Q2" s="19">
        <v>45805</v>
      </c>
      <c r="R2" s="19">
        <v>45806</v>
      </c>
      <c r="S2" s="19">
        <v>45807</v>
      </c>
      <c r="T2" s="19">
        <v>45808</v>
      </c>
      <c r="U2" s="19">
        <v>45809</v>
      </c>
      <c r="V2" s="19">
        <v>45810</v>
      </c>
      <c r="W2" s="19">
        <v>45811</v>
      </c>
      <c r="X2" s="19">
        <v>45812</v>
      </c>
      <c r="Y2" s="19">
        <v>45813</v>
      </c>
    </row>
    <row r="3" ht="13.2" spans="1:25">
      <c r="A3" s="69" t="s">
        <v>438</v>
      </c>
      <c r="B3" s="69"/>
      <c r="C3" s="69" t="s">
        <v>67</v>
      </c>
      <c r="D3" s="69" t="s">
        <v>426</v>
      </c>
      <c r="E3" s="69" t="s">
        <v>461</v>
      </c>
      <c r="F3" s="69" t="s">
        <v>462</v>
      </c>
      <c r="G3" s="69" t="s">
        <v>463</v>
      </c>
      <c r="H3" s="15" t="s">
        <v>464</v>
      </c>
      <c r="I3" s="70">
        <f t="shared" ref="I3:Y3" si="0">I2</f>
        <v>45797</v>
      </c>
      <c r="J3" s="70">
        <f t="shared" si="0"/>
        <v>45798</v>
      </c>
      <c r="K3" s="70">
        <f t="shared" si="0"/>
        <v>45799</v>
      </c>
      <c r="L3" s="70">
        <f t="shared" si="0"/>
        <v>45800</v>
      </c>
      <c r="M3" s="70">
        <f t="shared" si="0"/>
        <v>45801</v>
      </c>
      <c r="N3" s="70">
        <f t="shared" si="0"/>
        <v>45802</v>
      </c>
      <c r="O3" s="70">
        <f t="shared" si="0"/>
        <v>45803</v>
      </c>
      <c r="P3" s="70">
        <f t="shared" si="0"/>
        <v>45804</v>
      </c>
      <c r="Q3" s="70">
        <f t="shared" si="0"/>
        <v>45805</v>
      </c>
      <c r="R3" s="70">
        <f t="shared" si="0"/>
        <v>45806</v>
      </c>
      <c r="S3" s="70">
        <f t="shared" si="0"/>
        <v>45807</v>
      </c>
      <c r="T3" s="70">
        <f t="shared" si="0"/>
        <v>45808</v>
      </c>
      <c r="U3" s="70">
        <f t="shared" si="0"/>
        <v>45809</v>
      </c>
      <c r="V3" s="70">
        <f t="shared" si="0"/>
        <v>45810</v>
      </c>
      <c r="W3" s="70">
        <f t="shared" si="0"/>
        <v>45811</v>
      </c>
      <c r="X3" s="70">
        <f t="shared" si="0"/>
        <v>45812</v>
      </c>
      <c r="Y3" s="70">
        <f t="shared" si="0"/>
        <v>45813</v>
      </c>
    </row>
    <row r="4" ht="18" customHeight="1" spans="1:25">
      <c r="A4" s="69" t="s">
        <v>446</v>
      </c>
      <c r="B4" s="69"/>
      <c r="C4" s="69"/>
      <c r="D4" s="69"/>
      <c r="E4" s="69"/>
      <c r="F4" s="69"/>
      <c r="G4" s="69"/>
      <c r="H4" s="69"/>
      <c r="I4" s="71" t="s">
        <v>214</v>
      </c>
      <c r="J4" s="69"/>
      <c r="K4" s="69"/>
      <c r="L4" s="69"/>
      <c r="M4" s="69"/>
      <c r="N4" s="69"/>
      <c r="O4" s="69"/>
      <c r="P4" s="69"/>
      <c r="Q4" s="69"/>
      <c r="R4" s="69"/>
      <c r="S4" s="69"/>
      <c r="T4" s="69"/>
      <c r="U4" s="69"/>
      <c r="V4" s="69"/>
      <c r="W4" s="68"/>
      <c r="X4" s="68"/>
      <c r="Y4" s="68"/>
    </row>
    <row r="5" ht="13.2" spans="1:25">
      <c r="A5" s="69" t="s">
        <v>447</v>
      </c>
      <c r="B5" s="69"/>
      <c r="C5" s="69"/>
      <c r="D5" s="69"/>
      <c r="E5" s="69"/>
      <c r="F5" s="69"/>
      <c r="G5" s="69"/>
      <c r="H5" s="72"/>
      <c r="I5" s="72"/>
      <c r="J5" s="72"/>
      <c r="K5" s="72"/>
      <c r="L5" s="72"/>
      <c r="M5" s="72"/>
      <c r="N5" s="72"/>
      <c r="O5" s="72"/>
      <c r="P5" s="72"/>
      <c r="Q5" s="72"/>
      <c r="R5" s="72"/>
      <c r="S5" s="72"/>
      <c r="T5" s="72"/>
      <c r="U5" s="72"/>
      <c r="V5" s="72"/>
      <c r="W5" s="68"/>
      <c r="X5" s="68"/>
      <c r="Y5" s="68"/>
    </row>
    <row r="6" ht="13.2" spans="1:25">
      <c r="A6" s="69"/>
      <c r="B6" s="69"/>
      <c r="C6" s="69"/>
      <c r="D6" s="69"/>
      <c r="E6" s="69"/>
      <c r="F6" s="69"/>
      <c r="G6" s="69"/>
      <c r="H6" s="73"/>
      <c r="I6" s="73"/>
      <c r="J6" s="73"/>
      <c r="K6" s="73"/>
      <c r="L6" s="73"/>
      <c r="M6" s="73"/>
      <c r="N6" s="73"/>
      <c r="O6" s="73"/>
      <c r="P6" s="73"/>
      <c r="Q6" s="73"/>
      <c r="R6" s="73"/>
      <c r="S6" s="73"/>
      <c r="T6" s="73"/>
      <c r="U6" s="73"/>
      <c r="V6" s="73"/>
      <c r="W6" s="68"/>
      <c r="X6" s="68"/>
      <c r="Y6" s="68"/>
    </row>
    <row r="7" ht="13.2" spans="1:25">
      <c r="A7" s="69"/>
      <c r="B7" s="69"/>
      <c r="C7" s="69"/>
      <c r="D7" s="69"/>
      <c r="E7" s="69"/>
      <c r="F7" s="69"/>
      <c r="G7" s="69"/>
      <c r="H7" s="69"/>
      <c r="I7" s="69"/>
      <c r="J7" s="69"/>
      <c r="K7" s="69"/>
      <c r="L7" s="69"/>
      <c r="M7" s="69"/>
      <c r="N7" s="69"/>
      <c r="O7" s="69"/>
      <c r="P7" s="69"/>
      <c r="Q7" s="69"/>
      <c r="R7" s="69"/>
      <c r="S7" s="69"/>
      <c r="T7" s="69"/>
      <c r="U7" s="69"/>
      <c r="V7" s="69"/>
      <c r="W7" s="68"/>
      <c r="X7" s="68"/>
      <c r="Y7" s="68"/>
    </row>
    <row r="8" ht="13.2" spans="1:25">
      <c r="A8" s="74" t="s">
        <v>465</v>
      </c>
      <c r="B8" s="69"/>
      <c r="C8" s="75">
        <v>10</v>
      </c>
      <c r="D8" s="75">
        <v>10</v>
      </c>
      <c r="E8" s="76">
        <v>2</v>
      </c>
      <c r="F8" s="76">
        <v>2</v>
      </c>
      <c r="G8" s="76">
        <v>2</v>
      </c>
      <c r="H8" s="75">
        <v>0</v>
      </c>
      <c r="I8" s="69"/>
      <c r="J8" s="69"/>
      <c r="K8" s="69"/>
      <c r="L8" s="69"/>
      <c r="M8" s="69"/>
      <c r="N8" s="69"/>
      <c r="O8" s="69"/>
      <c r="P8" s="69"/>
      <c r="Q8" s="69"/>
      <c r="R8" s="69"/>
      <c r="S8" s="69"/>
      <c r="T8" s="69"/>
      <c r="U8" s="69"/>
      <c r="V8" s="69"/>
      <c r="W8" s="68"/>
      <c r="X8" s="68"/>
      <c r="Y8" s="68"/>
    </row>
    <row r="9" ht="13.2" spans="1:25">
      <c r="A9" s="15" t="s">
        <v>466</v>
      </c>
      <c r="B9" s="76"/>
      <c r="C9" s="75">
        <v>2</v>
      </c>
      <c r="D9" s="75">
        <v>0</v>
      </c>
      <c r="E9" s="75">
        <v>0</v>
      </c>
      <c r="F9" s="75">
        <v>0</v>
      </c>
      <c r="G9" s="75">
        <v>0</v>
      </c>
      <c r="H9" s="75">
        <v>0</v>
      </c>
      <c r="I9" s="76"/>
      <c r="J9" s="76"/>
      <c r="K9" s="76"/>
      <c r="L9" s="76"/>
      <c r="M9" s="76"/>
      <c r="N9" s="76"/>
      <c r="O9" s="76"/>
      <c r="P9" s="76"/>
      <c r="Q9" s="76"/>
      <c r="R9" s="76"/>
      <c r="S9" s="76"/>
      <c r="T9" s="76"/>
      <c r="U9" s="76"/>
      <c r="V9" s="76"/>
      <c r="W9" s="68"/>
      <c r="X9" s="68"/>
      <c r="Y9" s="68"/>
    </row>
    <row r="10" ht="13.2" spans="1:25">
      <c r="A10" s="74" t="s">
        <v>467</v>
      </c>
      <c r="B10" s="69"/>
      <c r="C10" s="76">
        <v>2</v>
      </c>
      <c r="D10" s="75">
        <v>0</v>
      </c>
      <c r="E10" s="76">
        <v>0</v>
      </c>
      <c r="F10" s="76">
        <v>0</v>
      </c>
      <c r="G10" s="76">
        <v>0</v>
      </c>
      <c r="H10" s="75">
        <v>0</v>
      </c>
      <c r="I10" s="69"/>
      <c r="J10" s="69"/>
      <c r="K10" s="69"/>
      <c r="L10" s="69"/>
      <c r="M10" s="69"/>
      <c r="N10" s="69"/>
      <c r="O10" s="69"/>
      <c r="P10" s="69"/>
      <c r="Q10" s="69"/>
      <c r="R10" s="69"/>
      <c r="S10" s="69"/>
      <c r="T10" s="69"/>
      <c r="U10" s="69"/>
      <c r="V10" s="69"/>
      <c r="W10" s="68"/>
      <c r="X10" s="68"/>
      <c r="Y10" s="68"/>
    </row>
    <row r="11" ht="13.2" spans="1:25">
      <c r="A11" s="15" t="s">
        <v>468</v>
      </c>
      <c r="B11" s="76"/>
      <c r="C11" s="75">
        <v>8</v>
      </c>
      <c r="D11" s="75"/>
      <c r="E11" s="75"/>
      <c r="F11" s="76"/>
      <c r="G11" s="76"/>
      <c r="H11" s="76"/>
      <c r="I11" s="76"/>
      <c r="J11" s="76"/>
      <c r="K11" s="76"/>
      <c r="L11" s="76"/>
      <c r="M11" s="76"/>
      <c r="N11" s="76"/>
      <c r="O11" s="76"/>
      <c r="P11" s="76"/>
      <c r="Q11" s="76"/>
      <c r="R11" s="76"/>
      <c r="S11" s="76"/>
      <c r="T11" s="76"/>
      <c r="U11" s="76"/>
      <c r="V11" s="76"/>
      <c r="W11" s="68"/>
      <c r="X11" s="68"/>
      <c r="Y11" s="68"/>
    </row>
    <row r="12" spans="1:25">
      <c r="H12" s="9"/>
    </row>
    <row r="13" spans="1:25">
      <c r="H13" s="9"/>
    </row>
    <row r="14" spans="1:25">
      <c r="H14" s="9"/>
    </row>
    <row r="15" spans="1:25">
      <c r="H15" s="9"/>
    </row>
    <row r="16" spans="1:25">
      <c r="H16" s="9"/>
    </row>
    <row r="17" spans="8:8">
      <c r="H17" s="9"/>
    </row>
    <row r="18" spans="8:8">
      <c r="H18" s="9"/>
    </row>
    <row r="19" spans="8:8">
      <c r="H19" s="9"/>
    </row>
    <row r="20" spans="8:8">
      <c r="H20" s="9"/>
    </row>
    <row r="21" spans="8:8">
      <c r="H21" s="9"/>
    </row>
    <row r="22" spans="8:8">
      <c r="H22" s="9"/>
    </row>
    <row r="23" spans="8:8">
      <c r="H23" s="9"/>
    </row>
    <row r="24" spans="8:8">
      <c r="H24" s="9"/>
    </row>
    <row r="25" spans="8:8">
      <c r="H25" s="9"/>
    </row>
    <row r="26" spans="8:8">
      <c r="H26" s="9"/>
    </row>
    <row r="27" spans="8:8">
      <c r="H27" s="9"/>
    </row>
    <row r="28" spans="8:8">
      <c r="H28" s="9"/>
    </row>
    <row r="29" spans="8:8">
      <c r="H29" s="9"/>
    </row>
    <row r="30" spans="8:8">
      <c r="H30" s="9"/>
    </row>
    <row r="31" spans="8:8">
      <c r="H31" s="9"/>
    </row>
    <row r="32" spans="8:8">
      <c r="H32" s="9"/>
    </row>
    <row r="33" spans="8:8">
      <c r="H33" s="9"/>
    </row>
    <row r="34" spans="8:8">
      <c r="H34" s="9"/>
    </row>
    <row r="35" spans="8:8">
      <c r="H35" s="9"/>
    </row>
    <row r="36" spans="8:8">
      <c r="H36" s="9"/>
    </row>
    <row r="37" spans="8:8">
      <c r="H37" s="9"/>
    </row>
    <row r="38" spans="8:8">
      <c r="H38" s="9"/>
    </row>
    <row r="39" spans="8:8">
      <c r="H39" s="9"/>
    </row>
    <row r="40" spans="8:8">
      <c r="H40" s="9"/>
    </row>
    <row r="41" spans="8:8">
      <c r="H41" s="9"/>
    </row>
    <row r="42" spans="8:8">
      <c r="H42" s="9"/>
    </row>
    <row r="43" spans="8:8">
      <c r="H43" s="9"/>
    </row>
    <row r="44" spans="8:8">
      <c r="H44" s="9"/>
    </row>
    <row r="45" spans="8:8">
      <c r="H45" s="9"/>
    </row>
    <row r="46" spans="8:8">
      <c r="H46" s="9"/>
    </row>
    <row r="47" spans="8:8">
      <c r="H47" s="9"/>
    </row>
    <row r="48" spans="8:8">
      <c r="H48" s="9"/>
    </row>
    <row r="49" spans="8:8">
      <c r="H49" s="9"/>
    </row>
    <row r="50" spans="8:8">
      <c r="H50" s="9"/>
    </row>
    <row r="51" spans="8:8">
      <c r="H51" s="9"/>
    </row>
    <row r="52" spans="8:8">
      <c r="H52" s="9"/>
    </row>
    <row r="53" spans="8:8">
      <c r="H53" s="9"/>
    </row>
    <row r="54" spans="8:8">
      <c r="H54" s="9"/>
    </row>
    <row r="55" spans="8:8">
      <c r="H55" s="9"/>
    </row>
    <row r="56" spans="8:8">
      <c r="H56" s="9"/>
    </row>
    <row r="57" spans="8:8">
      <c r="H57" s="9"/>
    </row>
    <row r="58" spans="8:8">
      <c r="H58" s="9"/>
    </row>
    <row r="59" spans="8:8">
      <c r="H59" s="9"/>
    </row>
    <row r="60" spans="8:8">
      <c r="H60" s="9"/>
    </row>
    <row r="61" spans="8:8">
      <c r="H61" s="9"/>
    </row>
    <row r="62" spans="8:8">
      <c r="H62" s="9"/>
    </row>
    <row r="63" spans="8:8">
      <c r="H63" s="9"/>
    </row>
    <row r="64" spans="8:8">
      <c r="H64" s="9"/>
    </row>
    <row r="65" spans="8:8">
      <c r="H65" s="9"/>
    </row>
    <row r="66" spans="8:8">
      <c r="H66" s="9"/>
    </row>
    <row r="67" spans="8:8">
      <c r="H67" s="9"/>
    </row>
    <row r="68" spans="8:8">
      <c r="H68" s="9"/>
    </row>
    <row r="69" spans="8:8">
      <c r="H69" s="9"/>
    </row>
    <row r="70" spans="8:8">
      <c r="H70" s="9"/>
    </row>
    <row r="71" spans="8:8">
      <c r="H71" s="9"/>
    </row>
    <row r="72" spans="8:8">
      <c r="H72" s="9"/>
    </row>
    <row r="73" spans="8:8">
      <c r="H73" s="9"/>
    </row>
    <row r="74" spans="8:8">
      <c r="H74" s="9"/>
    </row>
    <row r="75" spans="8:8">
      <c r="H75" s="9"/>
    </row>
    <row r="76" spans="8:8">
      <c r="H76" s="9"/>
    </row>
    <row r="77" spans="8:8">
      <c r="H77" s="9"/>
    </row>
    <row r="78" spans="8:8">
      <c r="H78" s="9"/>
    </row>
    <row r="79" spans="8:8">
      <c r="H79" s="9"/>
    </row>
    <row r="80" spans="8:8">
      <c r="H80" s="9"/>
    </row>
    <row r="81" spans="8:8">
      <c r="H81" s="9"/>
    </row>
    <row r="82" spans="8:8">
      <c r="H82" s="9"/>
    </row>
    <row r="83" spans="8:8">
      <c r="H83" s="9"/>
    </row>
    <row r="84" spans="8:8">
      <c r="H84" s="9"/>
    </row>
    <row r="85" spans="8:8">
      <c r="H85" s="9"/>
    </row>
    <row r="86" spans="8:8">
      <c r="H86" s="9"/>
    </row>
    <row r="87" spans="8:8">
      <c r="H87" s="9"/>
    </row>
    <row r="88" spans="8:8">
      <c r="H88" s="9"/>
    </row>
    <row r="89" spans="8:8">
      <c r="H89" s="9"/>
    </row>
    <row r="90" spans="8:8">
      <c r="H90" s="9"/>
    </row>
    <row r="91" spans="8:8">
      <c r="H91" s="9"/>
    </row>
    <row r="92" spans="8:8">
      <c r="H92" s="9"/>
    </row>
    <row r="93" spans="8:8">
      <c r="H93" s="9"/>
    </row>
    <row r="94" spans="8:8">
      <c r="H94" s="9"/>
    </row>
    <row r="95" spans="8:8">
      <c r="H95" s="9"/>
    </row>
    <row r="96" spans="8:8">
      <c r="H96" s="9"/>
    </row>
    <row r="97" spans="8:8">
      <c r="H97" s="9"/>
    </row>
    <row r="98" spans="8:8">
      <c r="H98" s="9"/>
    </row>
    <row r="99" spans="8:8">
      <c r="H99" s="9"/>
    </row>
    <row r="100" spans="8:8">
      <c r="H100" s="9"/>
    </row>
    <row r="101" spans="8:8">
      <c r="H101" s="9"/>
    </row>
    <row r="102" spans="8:8">
      <c r="H102" s="9"/>
    </row>
    <row r="103" spans="8:8">
      <c r="H103" s="9"/>
    </row>
    <row r="104" spans="8:8">
      <c r="H104" s="9"/>
    </row>
    <row r="105" spans="8:8">
      <c r="H105" s="9"/>
    </row>
    <row r="106" spans="8:8">
      <c r="H106" s="9"/>
    </row>
    <row r="107" spans="8:8">
      <c r="H107" s="9"/>
    </row>
    <row r="108" spans="8:8">
      <c r="H108" s="9"/>
    </row>
    <row r="109" spans="8:8">
      <c r="H109" s="9"/>
    </row>
    <row r="110" spans="8:8">
      <c r="H110" s="9"/>
    </row>
    <row r="111" spans="8:8">
      <c r="H111" s="9"/>
    </row>
    <row r="112" spans="8:8">
      <c r="H112" s="9"/>
    </row>
    <row r="113" spans="8:8">
      <c r="H113" s="9"/>
    </row>
    <row r="114" spans="8:8">
      <c r="H114" s="9"/>
    </row>
    <row r="115" spans="8:8">
      <c r="H115" s="9"/>
    </row>
    <row r="116" spans="8:8">
      <c r="H116" s="9"/>
    </row>
    <row r="117" spans="8:8">
      <c r="H117" s="9"/>
    </row>
    <row r="118" spans="8:8">
      <c r="H118" s="9"/>
    </row>
    <row r="119" spans="8:8">
      <c r="H119" s="9"/>
    </row>
    <row r="120" spans="8:8">
      <c r="H120" s="9"/>
    </row>
    <row r="121" spans="8:8">
      <c r="H121" s="9"/>
    </row>
    <row r="122" spans="8:8">
      <c r="H122" s="9"/>
    </row>
    <row r="123" spans="8:8">
      <c r="H123" s="9"/>
    </row>
    <row r="124" spans="8:8">
      <c r="H124" s="9"/>
    </row>
    <row r="125" spans="8:8">
      <c r="H125" s="9"/>
    </row>
    <row r="126" spans="8:8">
      <c r="H126" s="9"/>
    </row>
    <row r="127" spans="8:8">
      <c r="H127" s="9"/>
    </row>
    <row r="128" spans="8:8">
      <c r="H128" s="9"/>
    </row>
    <row r="129" spans="8:8">
      <c r="H129" s="9"/>
    </row>
    <row r="130" spans="8:8">
      <c r="H130" s="9"/>
    </row>
    <row r="131" spans="8:8">
      <c r="H131" s="9"/>
    </row>
    <row r="132" spans="8:8">
      <c r="H132" s="9"/>
    </row>
    <row r="133" spans="8:8">
      <c r="H133" s="9"/>
    </row>
    <row r="134" spans="8:8">
      <c r="H134" s="9"/>
    </row>
    <row r="135" spans="8:8">
      <c r="H135" s="9"/>
    </row>
    <row r="136" spans="8:8">
      <c r="H136" s="9"/>
    </row>
    <row r="137" spans="8:8">
      <c r="H137" s="9"/>
    </row>
    <row r="138" spans="8:8">
      <c r="H138" s="9"/>
    </row>
    <row r="139" spans="8:8">
      <c r="H139" s="9"/>
    </row>
    <row r="140" spans="8:8">
      <c r="H140" s="9"/>
    </row>
    <row r="141" spans="8:8">
      <c r="H141" s="9"/>
    </row>
    <row r="142" spans="8:8">
      <c r="H142" s="9"/>
    </row>
    <row r="143" spans="8:8">
      <c r="H143" s="9"/>
    </row>
    <row r="144" spans="8:8">
      <c r="H144" s="9"/>
    </row>
    <row r="145" spans="8:8">
      <c r="H145" s="9"/>
    </row>
    <row r="146" spans="8:8">
      <c r="H146" s="9"/>
    </row>
    <row r="147" spans="8:8">
      <c r="H147" s="9"/>
    </row>
    <row r="148" spans="8:8">
      <c r="H148" s="9"/>
    </row>
    <row r="149" spans="8:8">
      <c r="H149" s="9"/>
    </row>
    <row r="150" spans="8:8">
      <c r="H150" s="9"/>
    </row>
    <row r="151" spans="8:8">
      <c r="H151" s="9"/>
    </row>
    <row r="152" spans="8:8">
      <c r="H152" s="9"/>
    </row>
    <row r="153" spans="8:8">
      <c r="H153" s="9"/>
    </row>
    <row r="154" spans="8:8">
      <c r="H154" s="9"/>
    </row>
    <row r="155" spans="8:8">
      <c r="H155" s="9"/>
    </row>
    <row r="156" spans="8:8">
      <c r="H156" s="9"/>
    </row>
    <row r="157" spans="8:8">
      <c r="H157" s="9"/>
    </row>
    <row r="158" spans="8:8">
      <c r="H158" s="9"/>
    </row>
    <row r="159" spans="8:8">
      <c r="H159" s="9"/>
    </row>
    <row r="160" spans="8:8">
      <c r="H160" s="9"/>
    </row>
    <row r="161" spans="8:8">
      <c r="H161" s="9"/>
    </row>
    <row r="162" spans="8:8">
      <c r="H162" s="9"/>
    </row>
    <row r="163" spans="8:8">
      <c r="H163" s="9"/>
    </row>
    <row r="164" spans="8:8">
      <c r="H164" s="9"/>
    </row>
    <row r="165" spans="8:8">
      <c r="H165" s="9"/>
    </row>
    <row r="166" spans="8:8">
      <c r="H166" s="9"/>
    </row>
    <row r="167" spans="8:8">
      <c r="H167" s="9"/>
    </row>
    <row r="168" spans="8:8">
      <c r="H168" s="9"/>
    </row>
    <row r="169" spans="8:8">
      <c r="H169" s="9"/>
    </row>
    <row r="170" spans="8:8">
      <c r="H170" s="9"/>
    </row>
    <row r="171" spans="8:8">
      <c r="H171" s="9"/>
    </row>
    <row r="172" spans="8:8">
      <c r="H172" s="9"/>
    </row>
    <row r="173" spans="8:8">
      <c r="H173" s="9"/>
    </row>
    <row r="174" spans="8:8">
      <c r="H174" s="9"/>
    </row>
    <row r="175" spans="8:8">
      <c r="H175" s="9"/>
    </row>
    <row r="176" spans="8:8">
      <c r="H176" s="9"/>
    </row>
    <row r="177" spans="8:8">
      <c r="H177" s="9"/>
    </row>
    <row r="178" spans="8:8">
      <c r="H178" s="9"/>
    </row>
    <row r="179" spans="8:8">
      <c r="H179" s="9"/>
    </row>
    <row r="180" spans="8:8">
      <c r="H180" s="9"/>
    </row>
    <row r="181" spans="8:8">
      <c r="H181" s="9"/>
    </row>
    <row r="182" spans="8:8">
      <c r="H182" s="9"/>
    </row>
    <row r="183" spans="8:8">
      <c r="H183" s="9"/>
    </row>
    <row r="184" spans="8:8">
      <c r="H184" s="9"/>
    </row>
    <row r="185" spans="8:8">
      <c r="H185" s="9"/>
    </row>
    <row r="186" spans="8:8">
      <c r="H186" s="9"/>
    </row>
    <row r="187" spans="8:8">
      <c r="H187" s="9"/>
    </row>
    <row r="188" spans="8:8">
      <c r="H188" s="9"/>
    </row>
    <row r="189" spans="8:8">
      <c r="H189" s="9"/>
    </row>
    <row r="190" spans="8:8">
      <c r="H190" s="9"/>
    </row>
    <row r="191" spans="8:8">
      <c r="H191" s="9"/>
    </row>
    <row r="192" spans="8:8">
      <c r="H192" s="9"/>
    </row>
    <row r="193" spans="8:8">
      <c r="H193" s="9"/>
    </row>
    <row r="194" spans="8:8">
      <c r="H194" s="9"/>
    </row>
    <row r="195" spans="8:8">
      <c r="H195" s="9"/>
    </row>
  </sheetData>
  <mergeCells count="1">
    <mergeCell ref="A1:V1"/>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
  <sheetViews>
    <sheetView topLeftCell="J1" workbookViewId="0">
      <selection activeCell="J11" sqref="J11"/>
    </sheetView>
  </sheetViews>
  <sheetFormatPr defaultColWidth="17" defaultRowHeight="11.4" outlineLevelRow="2"/>
  <cols>
    <col min="1" max="18" width="16.59375" customWidth="1"/>
  </cols>
  <sheetData>
    <row r="1" ht="12" spans="1:11">
      <c r="A1" s="60" t="s">
        <v>232</v>
      </c>
      <c r="B1" s="60" t="s">
        <v>429</v>
      </c>
      <c r="C1" s="60" t="s">
        <v>469</v>
      </c>
      <c r="D1" s="62" t="s">
        <v>470</v>
      </c>
      <c r="E1" s="62" t="s">
        <v>471</v>
      </c>
      <c r="F1" s="62" t="s">
        <v>472</v>
      </c>
      <c r="G1" s="62" t="s">
        <v>473</v>
      </c>
      <c r="H1" s="62" t="s">
        <v>474</v>
      </c>
      <c r="I1" s="62" t="s">
        <v>475</v>
      </c>
    </row>
    <row r="2" ht="14.4" spans="1:11">
      <c r="A2" s="64">
        <v>45803</v>
      </c>
      <c r="J2" s="9" t="s">
        <v>476</v>
      </c>
      <c r="K2" s="65" t="s">
        <v>477</v>
      </c>
    </row>
    <row r="3" ht="12" spans="1:11">
      <c r="A3" s="64">
        <v>45803</v>
      </c>
      <c r="J3" s="66" t="s">
        <v>476</v>
      </c>
      <c r="K3" s="9" t="s">
        <v>478</v>
      </c>
    </row>
  </sheetData>
  <hyperlinks>
    <hyperlink ref="K2" r:id="rId1" display="https://shimo.im/sheets/R13j887geRuXZrk5/WRWrU   (https://shimo.im/sheets/R13j887geRuXZrk5/WRWrU)   站外推广需求大家也可以填一下这个表给我们，我们这边提前储备红人资源"/>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1" sqref="A1"/>
    </sheetView>
  </sheetViews>
  <sheetFormatPr defaultColWidth="17" defaultRowHeight="11.4" outlineLevelRow="1" outlineLevelCol="6"/>
  <cols>
    <col min="1" max="18" width="16.59375" customWidth="1"/>
  </cols>
  <sheetData>
    <row r="1" ht="12" spans="1:7">
      <c r="A1" s="60" t="s">
        <v>198</v>
      </c>
      <c r="B1" s="60" t="s">
        <v>429</v>
      </c>
      <c r="C1" s="60" t="s">
        <v>479</v>
      </c>
      <c r="D1" s="60" t="s">
        <v>469</v>
      </c>
      <c r="E1" s="61" t="s">
        <v>480</v>
      </c>
      <c r="F1" s="61" t="s">
        <v>481</v>
      </c>
      <c r="G1" s="62"/>
    </row>
    <row r="2" spans="1:7">
      <c r="A2" s="62"/>
      <c r="B2" s="62"/>
      <c r="C2" s="63" t="s">
        <v>482</v>
      </c>
      <c r="D2" s="62"/>
      <c r="E2" s="62"/>
      <c r="F2" s="62"/>
      <c r="G2" s="62"/>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22"/>
  <sheetViews>
    <sheetView zoomScale="50" zoomScaleNormal="50" workbookViewId="0">
      <selection activeCell="A17" sqref="A17"/>
    </sheetView>
  </sheetViews>
  <sheetFormatPr defaultColWidth="17" defaultRowHeight="11.4"/>
  <cols>
    <col min="1" max="1" width="19.8125" customWidth="1"/>
    <col min="2" max="3" width="16.59375" customWidth="1"/>
    <col min="4" max="18" width="10.1354166666667" customWidth="1"/>
    <col min="19" max="39" width="11.75" customWidth="1"/>
    <col min="40" max="40" width="139.083333333333" customWidth="1"/>
  </cols>
  <sheetData>
    <row r="1" ht="19.6" customHeight="1" spans="1:40">
      <c r="A1" s="23" t="s">
        <v>483</v>
      </c>
      <c r="B1" s="24"/>
      <c r="C1" s="24"/>
      <c r="D1" s="25"/>
      <c r="E1" s="25"/>
      <c r="F1" s="26"/>
      <c r="G1" s="24"/>
      <c r="H1" s="27"/>
      <c r="I1" s="28" t="s">
        <v>484</v>
      </c>
      <c r="J1" s="29"/>
      <c r="K1" s="29"/>
      <c r="L1" s="29"/>
      <c r="M1" s="29"/>
      <c r="N1" s="29"/>
      <c r="O1" s="29"/>
      <c r="P1" s="29"/>
      <c r="Q1" s="29"/>
      <c r="R1" s="30"/>
      <c r="S1" s="31" t="s">
        <v>485</v>
      </c>
      <c r="T1" s="31"/>
      <c r="U1" s="32"/>
      <c r="V1" s="32"/>
      <c r="W1" s="31"/>
      <c r="X1" s="33"/>
      <c r="Y1" s="31"/>
      <c r="Z1" s="31"/>
      <c r="AA1" s="31"/>
      <c r="AB1" s="31"/>
      <c r="AC1" s="31"/>
      <c r="AD1" s="31"/>
      <c r="AE1" s="31"/>
      <c r="AF1" s="31"/>
      <c r="AG1" s="31"/>
      <c r="AH1" s="31"/>
      <c r="AI1" s="31"/>
      <c r="AJ1" s="31"/>
      <c r="AK1" s="31"/>
      <c r="AL1" s="31"/>
      <c r="AM1" s="31"/>
      <c r="AN1" s="34" t="s">
        <v>486</v>
      </c>
    </row>
    <row r="2" ht="70.15" customHeight="1" spans="1:40">
      <c r="A2" s="35" t="s">
        <v>487</v>
      </c>
      <c r="B2" s="35" t="s">
        <v>488</v>
      </c>
      <c r="C2" s="36" t="s">
        <v>415</v>
      </c>
      <c r="D2" s="35" t="s">
        <v>489</v>
      </c>
      <c r="E2" s="35" t="s">
        <v>490</v>
      </c>
      <c r="F2" s="35" t="s">
        <v>491</v>
      </c>
      <c r="G2" s="35" t="s">
        <v>492</v>
      </c>
      <c r="H2" s="35" t="s">
        <v>6</v>
      </c>
      <c r="I2" s="37" t="s">
        <v>493</v>
      </c>
      <c r="J2" s="35" t="s">
        <v>494</v>
      </c>
      <c r="K2" s="35" t="s">
        <v>495</v>
      </c>
      <c r="L2" s="35" t="s">
        <v>496</v>
      </c>
      <c r="M2" s="38" t="s">
        <v>497</v>
      </c>
      <c r="N2" s="39" t="s">
        <v>498</v>
      </c>
      <c r="O2" s="39" t="s">
        <v>499</v>
      </c>
      <c r="P2" s="39" t="s">
        <v>500</v>
      </c>
      <c r="Q2" s="39" t="s">
        <v>501</v>
      </c>
      <c r="R2" s="40" t="s">
        <v>502</v>
      </c>
      <c r="S2" s="41" t="s">
        <v>503</v>
      </c>
      <c r="T2" s="42" t="s">
        <v>504</v>
      </c>
      <c r="U2" s="41" t="s">
        <v>61</v>
      </c>
      <c r="V2" s="42" t="s">
        <v>505</v>
      </c>
      <c r="W2" s="42" t="s">
        <v>506</v>
      </c>
      <c r="X2" s="43" t="s">
        <v>507</v>
      </c>
      <c r="Y2" s="41" t="s">
        <v>508</v>
      </c>
      <c r="Z2" s="42" t="s">
        <v>509</v>
      </c>
      <c r="AA2" s="42" t="s">
        <v>510</v>
      </c>
      <c r="AB2" s="41" t="s">
        <v>511</v>
      </c>
      <c r="AC2" s="41" t="s">
        <v>512</v>
      </c>
      <c r="AD2" s="44" t="s">
        <v>513</v>
      </c>
      <c r="AE2" s="41" t="s">
        <v>514</v>
      </c>
      <c r="AF2" s="41" t="s">
        <v>515</v>
      </c>
      <c r="AG2" s="42" t="s">
        <v>516</v>
      </c>
      <c r="AH2" s="41" t="s">
        <v>517</v>
      </c>
      <c r="AI2" s="42" t="s">
        <v>518</v>
      </c>
      <c r="AJ2" s="42" t="s">
        <v>519</v>
      </c>
      <c r="AK2" s="42" t="s">
        <v>520</v>
      </c>
      <c r="AL2" s="41" t="s">
        <v>521</v>
      </c>
      <c r="AM2" s="42" t="s">
        <v>204</v>
      </c>
      <c r="AN2" s="45" t="s">
        <v>522</v>
      </c>
    </row>
    <row r="3" spans="1:40">
      <c r="A3" s="46" t="s">
        <v>523</v>
      </c>
      <c r="B3" s="47" t="s">
        <v>524</v>
      </c>
      <c r="C3" s="48" t="s">
        <v>67</v>
      </c>
      <c r="D3" s="49"/>
      <c r="E3" s="49"/>
      <c r="F3" s="50"/>
      <c r="G3" s="50"/>
      <c r="H3" s="48"/>
      <c r="I3" s="48"/>
      <c r="J3" s="48"/>
      <c r="K3" s="48"/>
      <c r="L3" s="48"/>
      <c r="M3" s="48"/>
      <c r="N3" s="48"/>
      <c r="O3" s="48"/>
      <c r="P3" s="48"/>
      <c r="Q3" s="51"/>
      <c r="R3" s="51"/>
      <c r="S3" s="52"/>
      <c r="T3" s="48"/>
      <c r="U3" s="53"/>
      <c r="V3" s="53"/>
      <c r="W3" s="54"/>
      <c r="X3" s="55"/>
      <c r="Y3" s="48"/>
      <c r="Z3" s="48"/>
      <c r="AA3" s="48"/>
      <c r="AB3" s="56"/>
      <c r="AC3" s="56"/>
      <c r="AD3" s="57"/>
      <c r="AE3" s="57"/>
      <c r="AF3" s="57"/>
      <c r="AG3" s="57"/>
      <c r="AH3" s="57"/>
      <c r="AI3" s="57"/>
      <c r="AJ3" s="57"/>
      <c r="AK3" s="57"/>
      <c r="AL3" s="57"/>
      <c r="AM3" s="57"/>
      <c r="AN3" s="58"/>
    </row>
    <row r="4" ht="54.65" customHeight="1" spans="1:40">
      <c r="A4" s="46">
        <v>45730</v>
      </c>
      <c r="B4" s="47" t="s">
        <v>524</v>
      </c>
      <c r="C4" s="48" t="s">
        <v>67</v>
      </c>
      <c r="D4" s="49"/>
      <c r="E4" s="49"/>
      <c r="F4" s="50" t="s">
        <v>525</v>
      </c>
      <c r="G4" s="50" t="s">
        <v>526</v>
      </c>
      <c r="H4" s="48">
        <f>138.5/1.13</f>
        <v>122.566371681416</v>
      </c>
      <c r="I4" s="48">
        <v>1100</v>
      </c>
      <c r="J4" s="48">
        <v>0</v>
      </c>
      <c r="K4" s="48">
        <v>0</v>
      </c>
      <c r="L4" s="48">
        <v>0</v>
      </c>
      <c r="M4" s="48">
        <f>I4+J4+K4+L4</f>
        <v>1100</v>
      </c>
      <c r="N4" s="48">
        <v>0</v>
      </c>
      <c r="O4" s="48">
        <v>0</v>
      </c>
      <c r="P4" s="48">
        <v>0</v>
      </c>
      <c r="Q4" s="51">
        <v>0.1</v>
      </c>
      <c r="R4" s="51">
        <v>0.07</v>
      </c>
      <c r="S4" s="52">
        <f>N4/7*0.5+O4/14*0.3+P4/30*0.2</f>
        <v>0</v>
      </c>
      <c r="T4" s="48">
        <v>30</v>
      </c>
      <c r="U4" s="53" t="s">
        <v>73</v>
      </c>
      <c r="V4" s="53" t="s">
        <v>527</v>
      </c>
      <c r="W4" s="54">
        <v>45590</v>
      </c>
      <c r="X4" s="55">
        <f>W4+Y4</f>
        <v>45640</v>
      </c>
      <c r="Y4" s="48">
        <v>50</v>
      </c>
      <c r="Z4" s="48">
        <v>15</v>
      </c>
      <c r="AA4" s="48">
        <v>0</v>
      </c>
      <c r="AB4" s="56">
        <f>Y4+Z4</f>
        <v>65</v>
      </c>
      <c r="AC4" s="56" t="e">
        <f>(K4+J4)/S4</f>
        <v>#DIV/0!</v>
      </c>
      <c r="AD4" s="57" t="e">
        <f>AG4/S4</f>
        <v>#DIV/0!</v>
      </c>
      <c r="AE4" s="57" t="e">
        <f>IF((AD4-AB4+AC4)&gt;(35),"备货过多",IF((AD4-AB4+AC4)&gt;=(25),"合理","备货太少"))</f>
        <v>#DIV/0!</v>
      </c>
      <c r="AF4" s="57" t="e">
        <f>(AB4-AC4+30)*S4</f>
        <v>#DIV/0!</v>
      </c>
      <c r="AG4" s="57">
        <v>1100</v>
      </c>
      <c r="AH4" s="57">
        <f>AG4*H4</f>
        <v>134823.008849558</v>
      </c>
      <c r="AI4" s="57" t="s">
        <v>528</v>
      </c>
      <c r="AJ4" s="57" t="s">
        <v>145</v>
      </c>
      <c r="AK4" s="57">
        <v>1100</v>
      </c>
      <c r="AL4" s="57">
        <f>AK4*H4</f>
        <v>134823.008849558</v>
      </c>
      <c r="AM4" s="57"/>
      <c r="AN4" s="58" t="s">
        <v>529</v>
      </c>
    </row>
    <row r="5" ht="18.55" customHeight="1"/>
    <row r="6" ht="18.55" customHeight="1"/>
    <row r="7" ht="70.15" customHeight="1" spans="1:40">
      <c r="A7" s="35" t="s">
        <v>487</v>
      </c>
      <c r="B7" s="35" t="s">
        <v>488</v>
      </c>
      <c r="C7" s="36" t="s">
        <v>415</v>
      </c>
      <c r="D7" s="35" t="s">
        <v>489</v>
      </c>
      <c r="E7" s="35" t="s">
        <v>490</v>
      </c>
      <c r="F7" s="35" t="s">
        <v>491</v>
      </c>
      <c r="G7" s="35" t="s">
        <v>492</v>
      </c>
      <c r="H7" s="35" t="s">
        <v>6</v>
      </c>
      <c r="I7" s="37" t="s">
        <v>493</v>
      </c>
      <c r="J7" s="35" t="s">
        <v>530</v>
      </c>
      <c r="K7" s="35" t="s">
        <v>531</v>
      </c>
      <c r="L7" s="35" t="s">
        <v>532</v>
      </c>
      <c r="M7" s="38" t="s">
        <v>497</v>
      </c>
      <c r="N7" s="39" t="s">
        <v>498</v>
      </c>
      <c r="O7" s="39" t="s">
        <v>499</v>
      </c>
      <c r="P7" s="39" t="s">
        <v>500</v>
      </c>
      <c r="Q7" s="39" t="s">
        <v>501</v>
      </c>
      <c r="R7" s="40" t="s">
        <v>502</v>
      </c>
      <c r="S7" s="41" t="s">
        <v>503</v>
      </c>
      <c r="T7" s="42" t="s">
        <v>504</v>
      </c>
      <c r="U7" s="41" t="s">
        <v>61</v>
      </c>
      <c r="V7" s="42" t="s">
        <v>505</v>
      </c>
      <c r="W7" s="42" t="s">
        <v>506</v>
      </c>
      <c r="X7" s="43" t="s">
        <v>507</v>
      </c>
      <c r="Y7" s="41" t="s">
        <v>508</v>
      </c>
      <c r="Z7" s="42" t="s">
        <v>509</v>
      </c>
      <c r="AA7" s="42" t="s">
        <v>510</v>
      </c>
      <c r="AB7" s="41" t="s">
        <v>511</v>
      </c>
      <c r="AC7" s="41" t="s">
        <v>512</v>
      </c>
      <c r="AD7" s="44" t="s">
        <v>513</v>
      </c>
      <c r="AE7" s="41" t="s">
        <v>514</v>
      </c>
      <c r="AF7" s="41" t="s">
        <v>515</v>
      </c>
      <c r="AG7" s="42" t="s">
        <v>516</v>
      </c>
      <c r="AH7" s="41" t="s">
        <v>517</v>
      </c>
      <c r="AI7" s="42" t="s">
        <v>518</v>
      </c>
      <c r="AJ7" s="42" t="s">
        <v>519</v>
      </c>
      <c r="AK7" s="42" t="s">
        <v>520</v>
      </c>
      <c r="AL7" s="41" t="s">
        <v>521</v>
      </c>
      <c r="AM7" s="42" t="s">
        <v>204</v>
      </c>
      <c r="AN7" s="45" t="s">
        <v>533</v>
      </c>
    </row>
    <row r="8" spans="1:40">
      <c r="A8" s="46" t="s">
        <v>534</v>
      </c>
      <c r="B8" s="47" t="s">
        <v>535</v>
      </c>
      <c r="C8" s="48" t="s">
        <v>67</v>
      </c>
      <c r="D8" s="49"/>
      <c r="E8" s="49"/>
      <c r="F8" s="50"/>
      <c r="G8" s="50"/>
      <c r="H8" s="48"/>
      <c r="I8" s="48"/>
      <c r="J8" s="48"/>
      <c r="K8" s="48"/>
      <c r="L8" s="48"/>
      <c r="M8" s="48"/>
      <c r="N8" s="48"/>
      <c r="O8" s="48"/>
      <c r="P8" s="48"/>
      <c r="Q8" s="51"/>
      <c r="R8" s="51"/>
      <c r="S8" s="52"/>
      <c r="T8" s="48"/>
      <c r="U8" s="53"/>
      <c r="V8" s="53"/>
      <c r="W8" s="54"/>
      <c r="X8" s="55"/>
      <c r="Y8" s="48"/>
      <c r="Z8" s="48"/>
      <c r="AA8" s="48"/>
      <c r="AB8" s="56"/>
      <c r="AC8" s="56"/>
      <c r="AD8" s="57"/>
      <c r="AE8" s="57"/>
      <c r="AF8" s="57"/>
      <c r="AG8" s="57"/>
      <c r="AH8" s="57"/>
      <c r="AI8" s="57"/>
      <c r="AJ8" s="57"/>
      <c r="AK8" s="57"/>
      <c r="AL8" s="57"/>
      <c r="AM8" s="57"/>
      <c r="AN8" s="58"/>
    </row>
    <row r="9" ht="92.8" customHeight="1" spans="1:40">
      <c r="A9" s="46">
        <v>45730</v>
      </c>
      <c r="B9" s="47" t="s">
        <v>535</v>
      </c>
      <c r="C9" s="48" t="s">
        <v>67</v>
      </c>
      <c r="D9" s="49"/>
      <c r="E9" s="49"/>
      <c r="F9" s="50" t="s">
        <v>525</v>
      </c>
      <c r="G9" s="50" t="s">
        <v>526</v>
      </c>
      <c r="H9" s="48">
        <f>138.5/1.13</f>
        <v>122.566371681416</v>
      </c>
      <c r="I9" s="48">
        <v>400</v>
      </c>
      <c r="J9" s="48">
        <v>0</v>
      </c>
      <c r="K9" s="48">
        <v>0</v>
      </c>
      <c r="L9" s="48">
        <v>0</v>
      </c>
      <c r="M9" s="48">
        <f>I9+J9+K9+L9</f>
        <v>400</v>
      </c>
      <c r="N9" s="48">
        <v>0</v>
      </c>
      <c r="O9" s="48">
        <v>0</v>
      </c>
      <c r="P9" s="48">
        <v>0</v>
      </c>
      <c r="Q9" s="51">
        <v>0.1</v>
      </c>
      <c r="R9" s="51">
        <v>0.07</v>
      </c>
      <c r="S9" s="52">
        <f>N9/7*0.5+O9/14*0.3+P9/30*0.2</f>
        <v>0</v>
      </c>
      <c r="T9" s="48">
        <v>6</v>
      </c>
      <c r="U9" s="53" t="s">
        <v>536</v>
      </c>
      <c r="V9" s="53" t="s">
        <v>537</v>
      </c>
      <c r="W9" s="54">
        <v>45590</v>
      </c>
      <c r="X9" s="55">
        <f>W9+Y9</f>
        <v>45620</v>
      </c>
      <c r="Y9" s="48">
        <v>30</v>
      </c>
      <c r="Z9" s="48">
        <v>15</v>
      </c>
      <c r="AA9" s="48">
        <v>0</v>
      </c>
      <c r="AB9" s="56">
        <f>Y9+Z9</f>
        <v>45</v>
      </c>
      <c r="AC9" s="56" t="e">
        <f>(K9+J9)/S9</f>
        <v>#DIV/0!</v>
      </c>
      <c r="AD9" s="57" t="e">
        <f>AG9/S9</f>
        <v>#DIV/0!</v>
      </c>
      <c r="AE9" s="57" t="e">
        <f>IF((AD9-AB9+AC9)&gt;(35),"备货过多",IF((AD9-AB9+AC9)&gt;=(25),"合理","备货太少"))</f>
        <v>#DIV/0!</v>
      </c>
      <c r="AF9" s="57" t="e">
        <f>(AB9-AC9+30)*S9</f>
        <v>#DIV/0!</v>
      </c>
      <c r="AG9" s="57">
        <v>400</v>
      </c>
      <c r="AH9" s="57">
        <f>AG9*H9</f>
        <v>49026.5486725664</v>
      </c>
      <c r="AI9" s="57" t="s">
        <v>528</v>
      </c>
      <c r="AJ9" s="57" t="s">
        <v>145</v>
      </c>
      <c r="AK9" s="57">
        <v>400</v>
      </c>
      <c r="AL9" s="57">
        <f>AK9*H9</f>
        <v>49026.5486725664</v>
      </c>
      <c r="AM9" s="57"/>
      <c r="AN9" s="58" t="s">
        <v>538</v>
      </c>
    </row>
    <row r="10" ht="18.55" customHeight="1"/>
    <row r="11" ht="18.55" customHeight="1" spans="1:40">
      <c r="A11" s="59" t="s">
        <v>539</v>
      </c>
    </row>
    <row r="12" ht="18.55" customHeight="1" spans="1:40">
      <c r="A12" s="59" t="s">
        <v>540</v>
      </c>
    </row>
    <row r="13" ht="18.55" customHeight="1" spans="1:40">
      <c r="A13" s="59" t="s">
        <v>541</v>
      </c>
    </row>
    <row r="14" ht="18.55" customHeight="1" spans="1:40">
      <c r="A14" s="59" t="s">
        <v>542</v>
      </c>
    </row>
    <row r="15" ht="18.55" customHeight="1" spans="1:40">
      <c r="A15" s="59" t="s">
        <v>543</v>
      </c>
    </row>
    <row r="16" ht="18.55" customHeight="1"/>
    <row r="17" ht="18.55" customHeight="1"/>
    <row r="18" ht="18.55" customHeight="1"/>
    <row r="19" ht="18.55" customHeight="1"/>
    <row r="20" ht="18.55" customHeight="1"/>
    <row r="21" ht="18.55" customHeight="1"/>
    <row r="22" ht="18.55" customHeight="1"/>
  </sheetData>
  <mergeCells count="3">
    <mergeCell ref="A1:H1"/>
    <mergeCell ref="I1:R1"/>
    <mergeCell ref="S1:AM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0"/>
  <sheetViews>
    <sheetView workbookViewId="0">
      <pane ySplit="2" topLeftCell="A3" activePane="bottomLeft" state="frozen"/>
      <selection/>
      <selection pane="bottomLeft" activeCell="A1" sqref="A1:A2"/>
    </sheetView>
  </sheetViews>
  <sheetFormatPr defaultColWidth="17" defaultRowHeight="11.4"/>
  <cols>
    <col min="1" max="1" width="19.8125" customWidth="1"/>
    <col min="2" max="2" width="42.375" customWidth="1"/>
    <col min="3" max="3" width="39.1458333333333" customWidth="1"/>
    <col min="4" max="11" width="19.8125" customWidth="1"/>
    <col min="12" max="24" width="27.875" customWidth="1"/>
    <col min="25" max="25" width="31.09375" customWidth="1"/>
    <col min="26" max="26" width="32.6979166666667" customWidth="1"/>
    <col min="27" max="28" width="27.875" customWidth="1"/>
  </cols>
  <sheetData>
    <row r="1" ht="26.8" customHeight="1" spans="1:28">
      <c r="A1" s="10" t="s">
        <v>232</v>
      </c>
      <c r="B1" s="10" t="s">
        <v>544</v>
      </c>
      <c r="C1" s="10" t="s">
        <v>545</v>
      </c>
      <c r="D1" s="10" t="s">
        <v>546</v>
      </c>
      <c r="E1" s="10" t="s">
        <v>547</v>
      </c>
      <c r="F1" s="10" t="s">
        <v>548</v>
      </c>
      <c r="G1" s="10" t="s">
        <v>549</v>
      </c>
      <c r="H1" s="10" t="s">
        <v>550</v>
      </c>
      <c r="I1" s="10" t="s">
        <v>551</v>
      </c>
      <c r="J1" s="10" t="s">
        <v>552</v>
      </c>
      <c r="K1" s="11" t="s">
        <v>553</v>
      </c>
      <c r="L1" s="10" t="s">
        <v>554</v>
      </c>
      <c r="M1" s="10"/>
      <c r="N1" s="10"/>
      <c r="O1" s="10"/>
      <c r="P1" s="10"/>
      <c r="Q1" s="10" t="s">
        <v>555</v>
      </c>
      <c r="R1" s="10"/>
      <c r="S1" s="10"/>
      <c r="T1" s="10"/>
      <c r="U1" s="10"/>
      <c r="V1" s="12" t="s">
        <v>556</v>
      </c>
      <c r="W1" s="13"/>
      <c r="X1" s="14" t="s">
        <v>557</v>
      </c>
      <c r="Y1" s="15" t="s">
        <v>558</v>
      </c>
      <c r="Z1" s="15"/>
      <c r="AA1" s="15"/>
      <c r="AB1" s="14" t="s">
        <v>559</v>
      </c>
    </row>
    <row r="2" ht="26.8" customHeight="1" spans="1:28">
      <c r="A2" s="10"/>
      <c r="B2" s="10"/>
      <c r="C2" s="10"/>
      <c r="D2" s="10"/>
      <c r="E2" s="10"/>
      <c r="F2" s="10"/>
      <c r="G2" s="10"/>
      <c r="H2" s="10"/>
      <c r="I2" s="10"/>
      <c r="J2" s="10"/>
      <c r="K2" s="11"/>
      <c r="L2" s="10" t="s">
        <v>560</v>
      </c>
      <c r="M2" s="10" t="s">
        <v>561</v>
      </c>
      <c r="N2" s="10" t="s">
        <v>562</v>
      </c>
      <c r="O2" s="10" t="s">
        <v>563</v>
      </c>
      <c r="P2" s="16" t="s">
        <v>564</v>
      </c>
      <c r="Q2" s="10" t="s">
        <v>560</v>
      </c>
      <c r="R2" s="10" t="s">
        <v>561</v>
      </c>
      <c r="S2" s="10" t="s">
        <v>562</v>
      </c>
      <c r="T2" s="10" t="s">
        <v>565</v>
      </c>
      <c r="U2" s="16" t="s">
        <v>566</v>
      </c>
      <c r="V2" s="17" t="s">
        <v>567</v>
      </c>
      <c r="W2" s="17" t="s">
        <v>568</v>
      </c>
      <c r="X2" s="14"/>
      <c r="Y2" s="18" t="s">
        <v>569</v>
      </c>
      <c r="Z2" s="18" t="s">
        <v>570</v>
      </c>
      <c r="AA2" s="15" t="s">
        <v>511</v>
      </c>
      <c r="AB2" s="14"/>
    </row>
    <row r="3" ht="26.8" customHeight="1" spans="1:28">
      <c r="A3" s="19">
        <v>45590</v>
      </c>
      <c r="B3" s="15" t="s">
        <v>571</v>
      </c>
      <c r="C3" s="15" t="s">
        <v>572</v>
      </c>
      <c r="D3" s="15">
        <v>1500</v>
      </c>
      <c r="E3" s="15"/>
      <c r="F3" s="15">
        <v>0</v>
      </c>
      <c r="G3" s="15">
        <v>0</v>
      </c>
      <c r="H3" s="15">
        <v>0</v>
      </c>
      <c r="I3" s="15">
        <v>0</v>
      </c>
      <c r="J3" s="15">
        <v>0</v>
      </c>
      <c r="K3" s="15"/>
      <c r="L3" s="15">
        <v>0</v>
      </c>
      <c r="M3" s="15">
        <v>0</v>
      </c>
      <c r="N3" s="15">
        <v>0</v>
      </c>
      <c r="O3" s="15">
        <v>0</v>
      </c>
      <c r="P3" s="15">
        <v>0</v>
      </c>
      <c r="Q3" s="15">
        <v>0</v>
      </c>
      <c r="R3" s="15">
        <v>96</v>
      </c>
      <c r="S3" s="15">
        <v>608</v>
      </c>
      <c r="T3" s="15">
        <v>21.49</v>
      </c>
      <c r="U3" s="15">
        <v>16.38</v>
      </c>
      <c r="V3" s="15">
        <f>L3*8</f>
        <v>0</v>
      </c>
      <c r="W3" s="15">
        <f>(L3*0.5+M3/2*0.3+N3/4*0.2)*8</f>
        <v>0</v>
      </c>
      <c r="X3" s="15">
        <v>145</v>
      </c>
      <c r="Y3" s="15">
        <v>30</v>
      </c>
      <c r="Z3" s="15">
        <v>30</v>
      </c>
      <c r="AA3" s="15">
        <v>60</v>
      </c>
      <c r="AB3" s="20" t="str">
        <f>IF((X3)&gt;(100),"库存滞销",IF((X3)&gt;=(70),"合理","库存告急"))</f>
        <v>库存滞销</v>
      </c>
    </row>
    <row r="4" ht="26.8" customHeight="1" spans="1:28">
      <c r="A4" s="21"/>
      <c r="B4" s="21"/>
      <c r="C4" s="22" t="s">
        <v>573</v>
      </c>
      <c r="D4" s="21"/>
      <c r="E4" s="21"/>
      <c r="F4" s="21"/>
      <c r="G4" s="21"/>
      <c r="H4" s="21"/>
      <c r="I4" s="21"/>
      <c r="J4" s="21"/>
      <c r="K4" s="21"/>
      <c r="L4" s="21"/>
      <c r="M4" s="21"/>
      <c r="N4" s="21"/>
      <c r="O4" s="21"/>
      <c r="P4" s="21"/>
      <c r="Q4" s="21"/>
      <c r="R4" s="21"/>
      <c r="S4" s="21"/>
      <c r="T4" s="21"/>
      <c r="U4" s="21"/>
      <c r="V4" s="21"/>
      <c r="W4" s="21"/>
      <c r="X4" s="21"/>
      <c r="Y4" s="21"/>
      <c r="Z4" s="21"/>
      <c r="AA4" s="21"/>
      <c r="AB4" s="21"/>
    </row>
    <row r="5" ht="26.8" customHeight="1" spans="1:28">
      <c r="A5" s="21"/>
      <c r="B5" s="21"/>
      <c r="C5" s="22" t="s">
        <v>574</v>
      </c>
      <c r="D5" s="21"/>
      <c r="E5" s="21"/>
      <c r="F5" s="21"/>
      <c r="G5" s="21"/>
      <c r="H5" s="21"/>
      <c r="I5" s="21"/>
      <c r="J5" s="21"/>
      <c r="K5" s="21"/>
      <c r="L5" s="21"/>
      <c r="M5" s="21"/>
      <c r="N5" s="21"/>
      <c r="O5" s="21"/>
      <c r="P5" s="21"/>
      <c r="Q5" s="21"/>
      <c r="R5" s="21"/>
      <c r="S5" s="21"/>
      <c r="T5" s="21"/>
      <c r="U5" s="21"/>
      <c r="V5" s="21"/>
      <c r="W5" s="21"/>
      <c r="X5" s="21"/>
      <c r="Y5" s="21"/>
      <c r="Z5" s="21"/>
      <c r="AA5" s="21"/>
      <c r="AB5" s="21"/>
    </row>
    <row r="6" ht="26.8" customHeight="1" spans="1:28">
      <c r="A6" s="21"/>
      <c r="B6" s="21"/>
      <c r="C6" s="22" t="s">
        <v>575</v>
      </c>
      <c r="D6" s="21"/>
      <c r="E6" s="21"/>
      <c r="F6" s="21"/>
      <c r="G6" s="21"/>
      <c r="H6" s="21"/>
      <c r="I6" s="21"/>
      <c r="J6" s="21"/>
      <c r="K6" s="21"/>
      <c r="L6" s="21"/>
      <c r="M6" s="21"/>
      <c r="N6" s="21"/>
      <c r="O6" s="21"/>
      <c r="P6" s="21"/>
      <c r="Q6" s="21"/>
      <c r="R6" s="21"/>
      <c r="S6" s="21"/>
      <c r="T6" s="21"/>
      <c r="U6" s="21"/>
      <c r="V6" s="21"/>
      <c r="W6" s="21"/>
      <c r="X6" s="21"/>
      <c r="Y6" s="21"/>
      <c r="Z6" s="21"/>
      <c r="AA6" s="21"/>
      <c r="AB6" s="21"/>
    </row>
    <row r="7" ht="26.8" customHeight="1" spans="1:28">
      <c r="A7" s="21"/>
      <c r="B7" s="21"/>
      <c r="C7" s="22" t="s">
        <v>576</v>
      </c>
      <c r="D7" s="21"/>
      <c r="E7" s="21"/>
      <c r="F7" s="21"/>
      <c r="G7" s="21"/>
      <c r="H7" s="21"/>
      <c r="I7" s="21"/>
      <c r="J7" s="21"/>
      <c r="K7" s="21"/>
      <c r="L7" s="21"/>
      <c r="M7" s="21"/>
      <c r="N7" s="21"/>
      <c r="O7" s="21"/>
      <c r="P7" s="21"/>
      <c r="Q7" s="21"/>
      <c r="R7" s="21"/>
      <c r="S7" s="21"/>
      <c r="T7" s="21"/>
      <c r="U7" s="21"/>
      <c r="V7" s="21"/>
      <c r="W7" s="21"/>
      <c r="X7" s="21"/>
      <c r="Y7" s="21"/>
      <c r="Z7" s="21"/>
      <c r="AA7" s="21"/>
      <c r="AB7" s="21"/>
    </row>
    <row r="8" ht="26.8" customHeight="1" spans="1:28">
      <c r="A8" s="21"/>
      <c r="B8" s="21"/>
      <c r="C8" s="22" t="s">
        <v>577</v>
      </c>
      <c r="D8" s="21"/>
      <c r="E8" s="21"/>
      <c r="F8" s="21"/>
      <c r="G8" s="21"/>
      <c r="H8" s="21"/>
      <c r="I8" s="21"/>
      <c r="J8" s="21"/>
      <c r="K8" s="21"/>
      <c r="L8" s="21"/>
      <c r="M8" s="21"/>
      <c r="N8" s="21"/>
      <c r="O8" s="21"/>
      <c r="P8" s="21"/>
      <c r="Q8" s="21"/>
      <c r="R8" s="21"/>
      <c r="S8" s="21"/>
      <c r="T8" s="21"/>
      <c r="U8" s="21"/>
      <c r="V8" s="21"/>
      <c r="W8" s="21"/>
      <c r="X8" s="21"/>
      <c r="Y8" s="21"/>
      <c r="Z8" s="21"/>
      <c r="AA8" s="21"/>
      <c r="AB8" s="21"/>
    </row>
    <row r="9" ht="26.8" customHeight="1" spans="1:28">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row>
    <row r="10" ht="26.8" customHeight="1" spans="1:28">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row>
    <row r="11" ht="26.8" customHeight="1" spans="1:28">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row>
    <row r="12" ht="26.8" customHeight="1" spans="1:28">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row>
    <row r="13" ht="26.8" customHeight="1" spans="1:28">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ht="26.8" customHeight="1" spans="1:28">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row>
    <row r="15" ht="26.8" customHeight="1"/>
    <row r="16" ht="26.8" customHeight="1"/>
    <row r="17" ht="26.8" customHeight="1"/>
    <row r="18" ht="26.8" customHeight="1"/>
    <row r="19" ht="26.8" customHeight="1"/>
    <row r="20" ht="26.8" customHeight="1"/>
  </sheetData>
  <mergeCells count="17">
    <mergeCell ref="L1:P1"/>
    <mergeCell ref="Q1:U1"/>
    <mergeCell ref="V1:W1"/>
    <mergeCell ref="Y1:AA1"/>
    <mergeCell ref="A1:A2"/>
    <mergeCell ref="B1:B2"/>
    <mergeCell ref="C1:C2"/>
    <mergeCell ref="D1:D2"/>
    <mergeCell ref="E1:E2"/>
    <mergeCell ref="F1:F2"/>
    <mergeCell ref="G1:G2"/>
    <mergeCell ref="H1:H2"/>
    <mergeCell ref="I1:I2"/>
    <mergeCell ref="J1:J2"/>
    <mergeCell ref="K1:K2"/>
    <mergeCell ref="X1:X2"/>
    <mergeCell ref="AB1:AB2"/>
  </mergeCells>
  <conditionalFormatting sqref="AB3">
    <cfRule type="containsText" dxfId="0" priority="1" operator="between" text="库存滞销">
      <formula>NOT(ISERROR(SEARCH("库存滞销",AB3)))</formula>
    </cfRule>
  </conditionalFormatting>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00"/>
  <sheetViews>
    <sheetView topLeftCell="A147" workbookViewId="0">
      <selection activeCell="AE11" sqref="AE11"/>
    </sheetView>
  </sheetViews>
  <sheetFormatPr defaultColWidth="17" defaultRowHeight="11.4"/>
  <cols>
    <col min="1" max="31" width="23.03125" customWidth="1"/>
  </cols>
  <sheetData>
    <row r="1" ht="61.9" customHeight="1" spans="1:31">
      <c r="A1" s="1" t="s">
        <v>578</v>
      </c>
      <c r="B1" s="1" t="s">
        <v>102</v>
      </c>
      <c r="C1" s="1" t="s">
        <v>579</v>
      </c>
      <c r="D1" s="1" t="s">
        <v>580</v>
      </c>
      <c r="E1" s="1" t="s">
        <v>137</v>
      </c>
      <c r="F1" s="1" t="s">
        <v>253</v>
      </c>
      <c r="G1" s="1" t="s">
        <v>581</v>
      </c>
      <c r="H1" s="1" t="s">
        <v>582</v>
      </c>
      <c r="I1" s="1" t="s">
        <v>583</v>
      </c>
      <c r="J1" s="1" t="s">
        <v>584</v>
      </c>
      <c r="K1" s="1" t="s">
        <v>585</v>
      </c>
      <c r="L1" s="1" t="s">
        <v>586</v>
      </c>
      <c r="M1" s="1" t="s">
        <v>587</v>
      </c>
      <c r="N1" s="1" t="s">
        <v>588</v>
      </c>
      <c r="O1" s="1" t="s">
        <v>589</v>
      </c>
      <c r="P1" s="1" t="s">
        <v>590</v>
      </c>
      <c r="Q1" s="1" t="s">
        <v>321</v>
      </c>
      <c r="R1" s="1" t="s">
        <v>361</v>
      </c>
      <c r="S1" s="1" t="s">
        <v>291</v>
      </c>
      <c r="T1" s="1" t="s">
        <v>297</v>
      </c>
      <c r="U1" s="1" t="s">
        <v>591</v>
      </c>
      <c r="V1" s="1" t="s">
        <v>592</v>
      </c>
      <c r="W1" s="1" t="s">
        <v>593</v>
      </c>
      <c r="X1" s="1" t="s">
        <v>594</v>
      </c>
      <c r="Y1" s="1" t="s">
        <v>298</v>
      </c>
      <c r="Z1" s="1" t="s">
        <v>595</v>
      </c>
      <c r="AA1" s="1" t="s">
        <v>596</v>
      </c>
      <c r="AB1" s="1" t="s">
        <v>597</v>
      </c>
      <c r="AC1" s="1" t="s">
        <v>598</v>
      </c>
      <c r="AD1" s="1" t="s">
        <v>599</v>
      </c>
      <c r="AE1" s="1" t="s">
        <v>256</v>
      </c>
    </row>
    <row r="2" ht="19.6" customHeight="1" spans="1:31">
      <c r="A2" s="2" t="s">
        <v>600</v>
      </c>
      <c r="B2" s="3">
        <v>45556</v>
      </c>
      <c r="C2" s="4"/>
      <c r="D2" s="5"/>
      <c r="E2" s="4"/>
      <c r="F2" s="4"/>
      <c r="G2" s="4"/>
      <c r="H2" s="4"/>
      <c r="I2" s="4"/>
      <c r="J2" s="4"/>
      <c r="K2" s="4"/>
      <c r="L2" s="5"/>
      <c r="M2" s="4"/>
      <c r="N2" s="4"/>
      <c r="O2" s="4"/>
      <c r="P2" s="5"/>
      <c r="Q2" s="5"/>
      <c r="R2" s="4"/>
      <c r="S2" s="4"/>
      <c r="T2" s="4"/>
      <c r="U2" s="5"/>
      <c r="V2" s="5"/>
      <c r="W2" s="4"/>
      <c r="X2" s="5"/>
      <c r="Y2" s="4"/>
      <c r="Z2" s="6"/>
      <c r="AA2" s="4"/>
      <c r="AB2" s="4"/>
      <c r="AC2" s="4"/>
      <c r="AD2" s="4"/>
      <c r="AE2" s="4"/>
    </row>
    <row r="3" ht="19.6" customHeight="1" spans="1:31">
      <c r="A3" s="2" t="s">
        <v>600</v>
      </c>
      <c r="B3" s="3">
        <v>45557</v>
      </c>
      <c r="C3" s="4"/>
      <c r="D3" s="5"/>
      <c r="E3" s="4"/>
      <c r="F3" s="4"/>
      <c r="G3" s="4"/>
      <c r="H3" s="4"/>
      <c r="I3" s="4"/>
      <c r="J3" s="4"/>
      <c r="K3" s="4"/>
      <c r="L3" s="5"/>
      <c r="M3" s="4"/>
      <c r="N3" s="4"/>
      <c r="O3" s="4"/>
      <c r="P3" s="5"/>
      <c r="Q3" s="5"/>
      <c r="R3" s="4"/>
      <c r="S3" s="4"/>
      <c r="T3" s="4"/>
      <c r="U3" s="5"/>
      <c r="V3" s="5"/>
      <c r="W3" s="4"/>
      <c r="X3" s="5"/>
      <c r="Y3" s="4"/>
      <c r="Z3" s="6"/>
      <c r="AA3" s="4"/>
      <c r="AB3" s="4"/>
      <c r="AC3" s="4"/>
      <c r="AD3" s="4"/>
      <c r="AE3" s="4"/>
    </row>
    <row r="4" ht="19.6" customHeight="1" spans="1:31">
      <c r="A4" s="2" t="s">
        <v>600</v>
      </c>
      <c r="B4" s="3">
        <v>45558</v>
      </c>
      <c r="C4" s="4"/>
      <c r="D4" s="5"/>
      <c r="E4" s="4"/>
      <c r="F4" s="4"/>
      <c r="G4" s="4"/>
      <c r="H4" s="4"/>
      <c r="I4" s="4"/>
      <c r="J4" s="4"/>
      <c r="K4" s="4"/>
      <c r="L4" s="5"/>
      <c r="M4" s="4"/>
      <c r="N4" s="4"/>
      <c r="O4" s="4"/>
      <c r="P4" s="5"/>
      <c r="Q4" s="5"/>
      <c r="R4" s="4"/>
      <c r="S4" s="4"/>
      <c r="T4" s="4"/>
      <c r="U4" s="5"/>
      <c r="V4" s="5"/>
      <c r="W4" s="4"/>
      <c r="X4" s="5"/>
      <c r="Y4" s="4"/>
      <c r="Z4" s="6"/>
      <c r="AA4" s="4"/>
      <c r="AB4" s="4"/>
      <c r="AC4" s="4"/>
      <c r="AD4" s="4"/>
      <c r="AE4" s="4"/>
    </row>
    <row r="5" ht="19.6" customHeight="1" spans="1:31">
      <c r="A5" s="2" t="s">
        <v>600</v>
      </c>
      <c r="B5" s="3">
        <v>45559</v>
      </c>
      <c r="C5" s="4"/>
      <c r="D5" s="5"/>
      <c r="E5" s="4"/>
      <c r="F5" s="4"/>
      <c r="G5" s="4"/>
      <c r="H5" s="4"/>
      <c r="I5" s="4"/>
      <c r="J5" s="4"/>
      <c r="K5" s="4"/>
      <c r="L5" s="5"/>
      <c r="M5" s="4"/>
      <c r="N5" s="4"/>
      <c r="O5" s="4"/>
      <c r="P5" s="5"/>
      <c r="Q5" s="5"/>
      <c r="R5" s="4"/>
      <c r="S5" s="4"/>
      <c r="T5" s="4"/>
      <c r="U5" s="5"/>
      <c r="V5" s="5"/>
      <c r="W5" s="4"/>
      <c r="X5" s="5"/>
      <c r="Y5" s="4"/>
      <c r="Z5" s="6"/>
      <c r="AA5" s="4"/>
      <c r="AB5" s="4"/>
      <c r="AC5" s="4"/>
      <c r="AD5" s="4"/>
      <c r="AE5" s="4"/>
    </row>
    <row r="6" ht="19.6" customHeight="1" spans="1:31">
      <c r="A6" s="2" t="s">
        <v>600</v>
      </c>
      <c r="B6" s="3">
        <v>45560</v>
      </c>
      <c r="C6" s="4"/>
      <c r="D6" s="5"/>
      <c r="E6" s="4"/>
      <c r="F6" s="4"/>
      <c r="G6" s="4"/>
      <c r="H6" s="4"/>
      <c r="I6" s="4"/>
      <c r="J6" s="4"/>
      <c r="K6" s="4"/>
      <c r="L6" s="5"/>
      <c r="M6" s="4"/>
      <c r="N6" s="4"/>
      <c r="O6" s="4"/>
      <c r="P6" s="5"/>
      <c r="Q6" s="5"/>
      <c r="R6" s="4"/>
      <c r="S6" s="4"/>
      <c r="T6" s="4"/>
      <c r="U6" s="5"/>
      <c r="V6" s="5"/>
      <c r="W6" s="4"/>
      <c r="X6" s="5"/>
      <c r="Y6" s="4"/>
      <c r="Z6" s="6"/>
      <c r="AA6" s="4"/>
      <c r="AB6" s="4"/>
      <c r="AC6" s="4"/>
      <c r="AD6" s="4"/>
      <c r="AE6" s="4"/>
    </row>
    <row r="7" ht="19.6" customHeight="1" spans="1:31">
      <c r="A7" s="2" t="s">
        <v>600</v>
      </c>
      <c r="B7" s="3">
        <v>45561</v>
      </c>
      <c r="C7" s="4"/>
      <c r="D7" s="5"/>
      <c r="E7" s="4"/>
      <c r="F7" s="4"/>
      <c r="G7" s="4"/>
      <c r="H7" s="4"/>
      <c r="I7" s="4"/>
      <c r="J7" s="4"/>
      <c r="K7" s="4"/>
      <c r="L7" s="5"/>
      <c r="M7" s="4"/>
      <c r="N7" s="4"/>
      <c r="O7" s="4"/>
      <c r="P7" s="5"/>
      <c r="Q7" s="5"/>
      <c r="R7" s="4"/>
      <c r="S7" s="4"/>
      <c r="T7" s="4"/>
      <c r="U7" s="5"/>
      <c r="V7" s="5"/>
      <c r="W7" s="4"/>
      <c r="X7" s="5"/>
      <c r="Y7" s="4"/>
      <c r="Z7" s="6"/>
      <c r="AA7" s="4"/>
      <c r="AB7" s="4"/>
      <c r="AC7" s="4"/>
      <c r="AD7" s="4"/>
      <c r="AE7" s="4"/>
    </row>
    <row r="8" ht="19.6" customHeight="1" spans="1:31">
      <c r="A8" s="2" t="s">
        <v>600</v>
      </c>
      <c r="B8" s="3">
        <v>45562</v>
      </c>
      <c r="C8" s="4"/>
      <c r="D8" s="5"/>
      <c r="E8" s="4"/>
      <c r="F8" s="4"/>
      <c r="G8" s="4"/>
      <c r="H8" s="4"/>
      <c r="I8" s="4"/>
      <c r="J8" s="4"/>
      <c r="K8" s="4"/>
      <c r="L8" s="5"/>
      <c r="M8" s="4"/>
      <c r="N8" s="4"/>
      <c r="O8" s="4"/>
      <c r="P8" s="5"/>
      <c r="Q8" s="5"/>
      <c r="R8" s="4"/>
      <c r="S8" s="4"/>
      <c r="T8" s="4"/>
      <c r="U8" s="5"/>
      <c r="V8" s="5"/>
      <c r="W8" s="4"/>
      <c r="X8" s="5"/>
      <c r="Y8" s="4"/>
      <c r="Z8" s="6"/>
      <c r="AA8" s="4"/>
      <c r="AB8" s="4"/>
      <c r="AC8" s="4"/>
      <c r="AD8" s="4"/>
      <c r="AE8" s="4"/>
    </row>
    <row r="9" ht="19.6" customHeight="1" spans="1:31">
      <c r="A9" s="2" t="s">
        <v>600</v>
      </c>
      <c r="B9" s="3">
        <v>45563</v>
      </c>
      <c r="C9" s="4"/>
      <c r="D9" s="5"/>
      <c r="E9" s="4"/>
      <c r="F9" s="4"/>
      <c r="G9" s="4"/>
      <c r="H9" s="4"/>
      <c r="I9" s="4"/>
      <c r="J9" s="4"/>
      <c r="K9" s="4"/>
      <c r="L9" s="5"/>
      <c r="M9" s="4"/>
      <c r="N9" s="4"/>
      <c r="O9" s="4"/>
      <c r="P9" s="5"/>
      <c r="Q9" s="5"/>
      <c r="R9" s="4"/>
      <c r="S9" s="4"/>
      <c r="T9" s="4"/>
      <c r="U9" s="5"/>
      <c r="V9" s="5"/>
      <c r="W9" s="4"/>
      <c r="X9" s="5"/>
      <c r="Y9" s="4"/>
      <c r="Z9" s="6"/>
      <c r="AA9" s="4"/>
      <c r="AB9" s="4"/>
      <c r="AC9" s="4"/>
      <c r="AD9" s="4"/>
      <c r="AE9" s="4"/>
    </row>
    <row r="10" ht="19.6" customHeight="1" spans="1:31">
      <c r="A10" s="2" t="s">
        <v>600</v>
      </c>
      <c r="B10" s="3">
        <v>45564</v>
      </c>
      <c r="C10" s="4"/>
      <c r="D10" s="5"/>
      <c r="E10" s="4"/>
      <c r="F10" s="4"/>
      <c r="G10" s="4"/>
      <c r="H10" s="4"/>
      <c r="I10" s="4"/>
      <c r="J10" s="4"/>
      <c r="K10" s="4"/>
      <c r="L10" s="5"/>
      <c r="M10" s="4"/>
      <c r="N10" s="4"/>
      <c r="O10" s="4"/>
      <c r="P10" s="5"/>
      <c r="Q10" s="5"/>
      <c r="R10" s="4"/>
      <c r="S10" s="4"/>
      <c r="T10" s="4"/>
      <c r="U10" s="5"/>
      <c r="V10" s="5"/>
      <c r="W10" s="4"/>
      <c r="X10" s="5"/>
      <c r="Y10" s="4"/>
      <c r="Z10" s="6"/>
      <c r="AA10" s="4"/>
      <c r="AB10" s="4"/>
      <c r="AC10" s="4"/>
      <c r="AD10" s="4"/>
      <c r="AE10" s="4"/>
    </row>
    <row r="11" ht="19.6" customHeight="1" spans="1:31">
      <c r="A11" s="2" t="s">
        <v>600</v>
      </c>
      <c r="B11" s="3">
        <v>45565</v>
      </c>
      <c r="C11" s="4"/>
      <c r="D11" s="5"/>
      <c r="E11" s="4"/>
      <c r="F11" s="4"/>
      <c r="G11" s="4"/>
      <c r="H11" s="4"/>
      <c r="I11" s="4"/>
      <c r="J11" s="4"/>
      <c r="K11" s="4"/>
      <c r="L11" s="5"/>
      <c r="M11" s="4"/>
      <c r="N11" s="4"/>
      <c r="O11" s="4"/>
      <c r="P11" s="5"/>
      <c r="Q11" s="5"/>
      <c r="R11" s="4"/>
      <c r="S11" s="4"/>
      <c r="T11" s="4"/>
      <c r="U11" s="5"/>
      <c r="V11" s="5"/>
      <c r="W11" s="4"/>
      <c r="X11" s="5"/>
      <c r="Y11" s="4"/>
      <c r="Z11" s="6"/>
      <c r="AA11" s="4"/>
      <c r="AB11" s="4"/>
      <c r="AC11" s="4"/>
      <c r="AD11" s="4"/>
      <c r="AE11" s="4"/>
    </row>
    <row r="12" ht="19.6" customHeight="1" spans="1:31">
      <c r="A12" s="2" t="s">
        <v>600</v>
      </c>
      <c r="B12" s="3">
        <v>45566</v>
      </c>
      <c r="C12" s="4"/>
      <c r="D12" s="5"/>
      <c r="E12" s="4"/>
      <c r="F12" s="4"/>
      <c r="G12" s="4"/>
      <c r="H12" s="4"/>
      <c r="I12" s="4"/>
      <c r="J12" s="4"/>
      <c r="K12" s="4"/>
      <c r="L12" s="5"/>
      <c r="M12" s="4"/>
      <c r="N12" s="4"/>
      <c r="O12" s="4"/>
      <c r="P12" s="5"/>
      <c r="Q12" s="5"/>
      <c r="R12" s="4"/>
      <c r="S12" s="4"/>
      <c r="T12" s="4"/>
      <c r="U12" s="5"/>
      <c r="V12" s="5"/>
      <c r="W12" s="4"/>
      <c r="X12" s="5"/>
      <c r="Y12" s="4"/>
      <c r="Z12" s="6"/>
      <c r="AA12" s="4"/>
      <c r="AB12" s="4"/>
      <c r="AC12" s="4"/>
      <c r="AD12" s="4"/>
      <c r="AE12" s="4"/>
    </row>
    <row r="13" ht="19.6" customHeight="1" spans="1:31">
      <c r="A13" s="2" t="s">
        <v>600</v>
      </c>
      <c r="B13" s="3">
        <v>45567</v>
      </c>
      <c r="C13" s="4"/>
      <c r="D13" s="5"/>
      <c r="E13" s="4"/>
      <c r="F13" s="4"/>
      <c r="G13" s="4"/>
      <c r="H13" s="4"/>
      <c r="I13" s="4"/>
      <c r="J13" s="4"/>
      <c r="K13" s="4"/>
      <c r="L13" s="5"/>
      <c r="M13" s="4"/>
      <c r="N13" s="4"/>
      <c r="O13" s="4"/>
      <c r="P13" s="5"/>
      <c r="Q13" s="5"/>
      <c r="R13" s="4"/>
      <c r="S13" s="4"/>
      <c r="T13" s="4"/>
      <c r="U13" s="5"/>
      <c r="V13" s="5"/>
      <c r="W13" s="4"/>
      <c r="X13" s="5"/>
      <c r="Y13" s="4"/>
      <c r="Z13" s="6"/>
      <c r="AA13" s="4"/>
      <c r="AB13" s="4"/>
      <c r="AC13" s="4"/>
      <c r="AD13" s="4"/>
      <c r="AE13" s="4"/>
    </row>
    <row r="14" ht="19.6" customHeight="1" spans="1:31">
      <c r="A14" s="2" t="s">
        <v>600</v>
      </c>
      <c r="B14" s="3">
        <v>45568</v>
      </c>
      <c r="C14" s="4"/>
      <c r="D14" s="5"/>
      <c r="E14" s="4"/>
      <c r="F14" s="4"/>
      <c r="G14" s="4"/>
      <c r="H14" s="4"/>
      <c r="I14" s="4"/>
      <c r="J14" s="4"/>
      <c r="K14" s="4"/>
      <c r="L14" s="5"/>
      <c r="M14" s="4"/>
      <c r="N14" s="4"/>
      <c r="O14" s="4"/>
      <c r="P14" s="5"/>
      <c r="Q14" s="5"/>
      <c r="R14" s="4"/>
      <c r="S14" s="4"/>
      <c r="T14" s="4"/>
      <c r="U14" s="5"/>
      <c r="V14" s="5"/>
      <c r="W14" s="4"/>
      <c r="X14" s="5"/>
      <c r="Y14" s="4"/>
      <c r="Z14" s="6"/>
      <c r="AA14" s="4"/>
      <c r="AB14" s="4"/>
      <c r="AC14" s="4"/>
      <c r="AD14" s="4"/>
      <c r="AE14" s="4"/>
    </row>
    <row r="15" ht="19.6" customHeight="1" spans="1:31">
      <c r="A15" s="2" t="s">
        <v>600</v>
      </c>
      <c r="B15" s="3">
        <v>45569</v>
      </c>
      <c r="C15" s="4"/>
      <c r="D15" s="5"/>
      <c r="E15" s="4"/>
      <c r="F15" s="4"/>
      <c r="G15" s="4"/>
      <c r="H15" s="4"/>
      <c r="I15" s="4"/>
      <c r="J15" s="4"/>
      <c r="K15" s="4"/>
      <c r="L15" s="5"/>
      <c r="M15" s="4"/>
      <c r="N15" s="4"/>
      <c r="O15" s="4"/>
      <c r="P15" s="5"/>
      <c r="Q15" s="5"/>
      <c r="R15" s="4"/>
      <c r="S15" s="4"/>
      <c r="T15" s="4"/>
      <c r="U15" s="5"/>
      <c r="V15" s="5"/>
      <c r="W15" s="4"/>
      <c r="X15" s="5"/>
      <c r="Y15" s="4"/>
      <c r="Z15" s="6"/>
      <c r="AA15" s="4"/>
      <c r="AB15" s="4"/>
      <c r="AC15" s="4"/>
      <c r="AD15" s="4"/>
      <c r="AE15" s="4"/>
    </row>
    <row r="16" ht="19.6" customHeight="1" spans="1:31">
      <c r="A16" s="2" t="s">
        <v>600</v>
      </c>
      <c r="B16" s="3">
        <v>45570</v>
      </c>
      <c r="C16" s="4"/>
      <c r="D16" s="5"/>
      <c r="E16" s="4"/>
      <c r="F16" s="4"/>
      <c r="G16" s="4"/>
      <c r="H16" s="4"/>
      <c r="I16" s="4"/>
      <c r="J16" s="4"/>
      <c r="K16" s="4"/>
      <c r="L16" s="5"/>
      <c r="M16" s="4"/>
      <c r="N16" s="4"/>
      <c r="O16" s="4"/>
      <c r="P16" s="5"/>
      <c r="Q16" s="5"/>
      <c r="R16" s="4"/>
      <c r="S16" s="4"/>
      <c r="T16" s="4"/>
      <c r="U16" s="5"/>
      <c r="V16" s="5"/>
      <c r="W16" s="4"/>
      <c r="X16" s="5"/>
      <c r="Y16" s="4"/>
      <c r="Z16" s="6"/>
      <c r="AA16" s="4"/>
      <c r="AB16" s="4"/>
      <c r="AC16" s="4"/>
      <c r="AD16" s="4"/>
      <c r="AE16" s="4"/>
    </row>
    <row r="17" ht="19.6" customHeight="1" spans="1:31">
      <c r="A17" s="2" t="s">
        <v>600</v>
      </c>
      <c r="B17" s="3">
        <v>45571</v>
      </c>
      <c r="C17" s="4"/>
      <c r="D17" s="5"/>
      <c r="E17" s="4"/>
      <c r="F17" s="4"/>
      <c r="G17" s="4"/>
      <c r="H17" s="4"/>
      <c r="I17" s="4"/>
      <c r="J17" s="4"/>
      <c r="K17" s="4"/>
      <c r="L17" s="5"/>
      <c r="M17" s="4"/>
      <c r="N17" s="4"/>
      <c r="O17" s="4"/>
      <c r="P17" s="5"/>
      <c r="Q17" s="5"/>
      <c r="R17" s="4"/>
      <c r="S17" s="4"/>
      <c r="T17" s="4"/>
      <c r="U17" s="5"/>
      <c r="V17" s="5"/>
      <c r="W17" s="4"/>
      <c r="X17" s="5"/>
      <c r="Y17" s="4"/>
      <c r="Z17" s="6"/>
      <c r="AA17" s="4"/>
      <c r="AB17" s="4"/>
      <c r="AC17" s="4"/>
      <c r="AD17" s="4"/>
      <c r="AE17" s="4"/>
    </row>
    <row r="18" ht="19.6" customHeight="1" spans="1:31">
      <c r="A18" s="2" t="s">
        <v>600</v>
      </c>
      <c r="B18" s="3">
        <v>45572</v>
      </c>
      <c r="C18" s="4"/>
      <c r="D18" s="5"/>
      <c r="E18" s="4"/>
      <c r="F18" s="4"/>
      <c r="G18" s="4"/>
      <c r="H18" s="4"/>
      <c r="I18" s="4"/>
      <c r="J18" s="4"/>
      <c r="K18" s="4"/>
      <c r="L18" s="5"/>
      <c r="M18" s="4"/>
      <c r="N18" s="4"/>
      <c r="O18" s="4"/>
      <c r="P18" s="5"/>
      <c r="Q18" s="5"/>
      <c r="R18" s="4"/>
      <c r="S18" s="4"/>
      <c r="T18" s="4"/>
      <c r="U18" s="5"/>
      <c r="V18" s="5"/>
      <c r="W18" s="4"/>
      <c r="X18" s="5"/>
      <c r="Y18" s="4"/>
      <c r="Z18" s="6"/>
      <c r="AA18" s="4"/>
      <c r="AB18" s="4"/>
      <c r="AC18" s="4"/>
      <c r="AD18" s="4"/>
      <c r="AE18" s="4"/>
    </row>
    <row r="19" ht="19.6" customHeight="1" spans="1:31">
      <c r="A19" s="2" t="s">
        <v>600</v>
      </c>
      <c r="B19" s="3">
        <v>45573</v>
      </c>
      <c r="C19" s="4"/>
      <c r="D19" s="5"/>
      <c r="E19" s="4"/>
      <c r="F19" s="4"/>
      <c r="G19" s="4"/>
      <c r="H19" s="4"/>
      <c r="I19" s="4"/>
      <c r="J19" s="4"/>
      <c r="K19" s="4"/>
      <c r="L19" s="5"/>
      <c r="M19" s="4"/>
      <c r="N19" s="4"/>
      <c r="O19" s="4"/>
      <c r="P19" s="5"/>
      <c r="Q19" s="5"/>
      <c r="R19" s="4"/>
      <c r="S19" s="4"/>
      <c r="T19" s="4"/>
      <c r="U19" s="5"/>
      <c r="V19" s="5"/>
      <c r="W19" s="4"/>
      <c r="X19" s="5"/>
      <c r="Y19" s="4"/>
      <c r="Z19" s="6"/>
      <c r="AA19" s="4"/>
      <c r="AB19" s="4"/>
      <c r="AC19" s="4"/>
      <c r="AD19" s="4"/>
      <c r="AE19" s="4"/>
    </row>
    <row r="20" ht="19.6" customHeight="1" spans="1:31">
      <c r="A20" s="2" t="s">
        <v>600</v>
      </c>
      <c r="B20" s="3">
        <v>45574</v>
      </c>
      <c r="C20" s="4"/>
      <c r="D20" s="5"/>
      <c r="E20" s="4"/>
      <c r="F20" s="4"/>
      <c r="G20" s="4"/>
      <c r="H20" s="4"/>
      <c r="I20" s="4"/>
      <c r="J20" s="4"/>
      <c r="K20" s="4"/>
      <c r="L20" s="5"/>
      <c r="M20" s="4"/>
      <c r="N20" s="4"/>
      <c r="O20" s="4"/>
      <c r="P20" s="5"/>
      <c r="Q20" s="5"/>
      <c r="R20" s="4"/>
      <c r="S20" s="4"/>
      <c r="T20" s="4"/>
      <c r="U20" s="5"/>
      <c r="V20" s="5"/>
      <c r="W20" s="4"/>
      <c r="X20" s="5"/>
      <c r="Y20" s="4"/>
      <c r="Z20" s="6"/>
      <c r="AA20" s="4"/>
      <c r="AB20" s="4"/>
      <c r="AC20" s="4"/>
      <c r="AD20" s="4"/>
      <c r="AE20" s="4"/>
    </row>
    <row r="21" ht="19.6" customHeight="1" spans="1:31">
      <c r="A21" s="2" t="s">
        <v>600</v>
      </c>
      <c r="B21" s="3">
        <v>45575</v>
      </c>
      <c r="C21" s="4"/>
      <c r="D21" s="5"/>
      <c r="E21" s="4"/>
      <c r="F21" s="4"/>
      <c r="G21" s="4"/>
      <c r="H21" s="4"/>
      <c r="I21" s="4"/>
      <c r="J21" s="4"/>
      <c r="K21" s="4"/>
      <c r="L21" s="5"/>
      <c r="M21" s="4"/>
      <c r="N21" s="4"/>
      <c r="O21" s="4"/>
      <c r="P21" s="5"/>
      <c r="Q21" s="5"/>
      <c r="R21" s="4"/>
      <c r="S21" s="4"/>
      <c r="T21" s="4"/>
      <c r="U21" s="5"/>
      <c r="V21" s="5"/>
      <c r="W21" s="4"/>
      <c r="X21" s="5"/>
      <c r="Y21" s="4"/>
      <c r="Z21" s="6"/>
      <c r="AA21" s="4"/>
      <c r="AB21" s="4"/>
      <c r="AC21" s="4"/>
      <c r="AD21" s="4"/>
      <c r="AE21" s="4"/>
    </row>
    <row r="22" ht="19.6" customHeight="1" spans="1:31">
      <c r="A22" s="2" t="s">
        <v>600</v>
      </c>
      <c r="B22" s="3">
        <v>45576</v>
      </c>
      <c r="C22" s="4"/>
      <c r="D22" s="5"/>
      <c r="E22" s="4"/>
      <c r="F22" s="4"/>
      <c r="G22" s="4"/>
      <c r="H22" s="4"/>
      <c r="I22" s="4"/>
      <c r="J22" s="4"/>
      <c r="K22" s="4"/>
      <c r="L22" s="5"/>
      <c r="M22" s="4"/>
      <c r="N22" s="4"/>
      <c r="O22" s="4"/>
      <c r="P22" s="5"/>
      <c r="Q22" s="5"/>
      <c r="R22" s="4"/>
      <c r="S22" s="4"/>
      <c r="T22" s="4"/>
      <c r="U22" s="5"/>
      <c r="V22" s="5"/>
      <c r="W22" s="4"/>
      <c r="X22" s="5"/>
      <c r="Y22" s="4"/>
      <c r="Z22" s="6"/>
      <c r="AA22" s="4"/>
      <c r="AB22" s="4"/>
      <c r="AC22" s="4"/>
      <c r="AD22" s="4"/>
      <c r="AE22" s="4"/>
    </row>
    <row r="23" ht="19.6" customHeight="1" spans="1:31">
      <c r="A23" s="2" t="s">
        <v>600</v>
      </c>
      <c r="B23" s="3">
        <v>45577</v>
      </c>
      <c r="C23" s="4"/>
      <c r="D23" s="5"/>
      <c r="E23" s="4"/>
      <c r="F23" s="4"/>
      <c r="G23" s="4"/>
      <c r="H23" s="4"/>
      <c r="I23" s="4"/>
      <c r="J23" s="4"/>
      <c r="K23" s="4"/>
      <c r="L23" s="5"/>
      <c r="M23" s="4"/>
      <c r="N23" s="4"/>
      <c r="O23" s="4"/>
      <c r="P23" s="5"/>
      <c r="Q23" s="5"/>
      <c r="R23" s="4"/>
      <c r="S23" s="4"/>
      <c r="T23" s="4"/>
      <c r="U23" s="5"/>
      <c r="V23" s="5"/>
      <c r="W23" s="4"/>
      <c r="X23" s="5"/>
      <c r="Y23" s="4"/>
      <c r="Z23" s="6"/>
      <c r="AA23" s="4"/>
      <c r="AB23" s="4"/>
      <c r="AC23" s="4"/>
      <c r="AD23" s="4"/>
      <c r="AE23" s="4"/>
    </row>
    <row r="24" ht="19.6" customHeight="1" spans="1:31">
      <c r="A24" s="2" t="s">
        <v>600</v>
      </c>
      <c r="B24" s="3">
        <v>45578</v>
      </c>
      <c r="C24" s="4"/>
      <c r="D24" s="5"/>
      <c r="E24" s="4"/>
      <c r="F24" s="4"/>
      <c r="G24" s="4"/>
      <c r="H24" s="4"/>
      <c r="I24" s="4"/>
      <c r="J24" s="4"/>
      <c r="K24" s="4"/>
      <c r="L24" s="5"/>
      <c r="M24" s="4"/>
      <c r="N24" s="4"/>
      <c r="O24" s="4"/>
      <c r="P24" s="5"/>
      <c r="Q24" s="5"/>
      <c r="R24" s="4"/>
      <c r="S24" s="4"/>
      <c r="T24" s="4"/>
      <c r="U24" s="5"/>
      <c r="V24" s="5"/>
      <c r="W24" s="4"/>
      <c r="X24" s="5"/>
      <c r="Y24" s="4"/>
      <c r="Z24" s="6"/>
      <c r="AA24" s="4"/>
      <c r="AB24" s="4"/>
      <c r="AC24" s="4"/>
      <c r="AD24" s="4"/>
      <c r="AE24" s="4"/>
    </row>
    <row r="25" ht="19.6" customHeight="1" spans="1:31">
      <c r="A25" s="2" t="s">
        <v>600</v>
      </c>
      <c r="B25" s="3">
        <v>45579</v>
      </c>
      <c r="C25" s="4"/>
      <c r="D25" s="5"/>
      <c r="E25" s="4"/>
      <c r="F25" s="4"/>
      <c r="G25" s="4"/>
      <c r="H25" s="4"/>
      <c r="I25" s="4"/>
      <c r="J25" s="4"/>
      <c r="K25" s="4"/>
      <c r="L25" s="5"/>
      <c r="M25" s="4"/>
      <c r="N25" s="4"/>
      <c r="O25" s="4"/>
      <c r="P25" s="5"/>
      <c r="Q25" s="5"/>
      <c r="R25" s="4"/>
      <c r="S25" s="4"/>
      <c r="T25" s="4"/>
      <c r="U25" s="5"/>
      <c r="V25" s="5"/>
      <c r="W25" s="4"/>
      <c r="X25" s="5"/>
      <c r="Y25" s="4"/>
      <c r="Z25" s="6"/>
      <c r="AA25" s="4"/>
      <c r="AB25" s="4"/>
      <c r="AC25" s="4"/>
      <c r="AD25" s="4"/>
      <c r="AE25" s="4"/>
    </row>
    <row r="26" ht="19.6" customHeight="1" spans="1:31">
      <c r="A26" s="2" t="s">
        <v>600</v>
      </c>
      <c r="B26" s="3">
        <v>45580</v>
      </c>
      <c r="C26" s="4"/>
      <c r="D26" s="5"/>
      <c r="E26" s="4"/>
      <c r="F26" s="4"/>
      <c r="G26" s="4"/>
      <c r="H26" s="4"/>
      <c r="I26" s="4"/>
      <c r="J26" s="4"/>
      <c r="K26" s="4"/>
      <c r="L26" s="5"/>
      <c r="M26" s="4"/>
      <c r="N26" s="4"/>
      <c r="O26" s="4"/>
      <c r="P26" s="5"/>
      <c r="Q26" s="5"/>
      <c r="R26" s="4"/>
      <c r="S26" s="4"/>
      <c r="T26" s="4"/>
      <c r="U26" s="5"/>
      <c r="V26" s="5"/>
      <c r="W26" s="4"/>
      <c r="X26" s="5"/>
      <c r="Y26" s="4"/>
      <c r="Z26" s="6"/>
      <c r="AA26" s="4"/>
      <c r="AB26" s="4"/>
      <c r="AC26" s="4"/>
      <c r="AD26" s="4"/>
      <c r="AE26" s="4"/>
    </row>
    <row r="27" ht="19.6" customHeight="1" spans="1:31">
      <c r="A27" s="2" t="s">
        <v>600</v>
      </c>
      <c r="B27" s="3">
        <v>45581</v>
      </c>
      <c r="C27" s="4"/>
      <c r="D27" s="5"/>
      <c r="E27" s="4"/>
      <c r="F27" s="4"/>
      <c r="G27" s="4"/>
      <c r="H27" s="4"/>
      <c r="I27" s="4"/>
      <c r="J27" s="4"/>
      <c r="K27" s="4"/>
      <c r="L27" s="5"/>
      <c r="M27" s="4"/>
      <c r="N27" s="4"/>
      <c r="O27" s="4"/>
      <c r="P27" s="5"/>
      <c r="Q27" s="5"/>
      <c r="R27" s="4"/>
      <c r="S27" s="4"/>
      <c r="T27" s="4"/>
      <c r="U27" s="5"/>
      <c r="V27" s="5"/>
      <c r="W27" s="4"/>
      <c r="X27" s="5"/>
      <c r="Y27" s="4"/>
      <c r="Z27" s="6"/>
      <c r="AA27" s="4"/>
      <c r="AB27" s="4"/>
      <c r="AC27" s="4"/>
      <c r="AD27" s="4"/>
      <c r="AE27" s="4"/>
    </row>
    <row r="28" ht="19.6" customHeight="1" spans="1:31">
      <c r="A28" s="2" t="s">
        <v>600</v>
      </c>
      <c r="B28" s="3">
        <v>45582</v>
      </c>
      <c r="C28" s="4"/>
      <c r="D28" s="5"/>
      <c r="E28" s="4"/>
      <c r="F28" s="4"/>
      <c r="G28" s="4"/>
      <c r="H28" s="4"/>
      <c r="I28" s="4"/>
      <c r="J28" s="4"/>
      <c r="K28" s="4"/>
      <c r="L28" s="5"/>
      <c r="M28" s="4"/>
      <c r="N28" s="4"/>
      <c r="O28" s="4"/>
      <c r="P28" s="5"/>
      <c r="Q28" s="5"/>
      <c r="R28" s="4"/>
      <c r="S28" s="4"/>
      <c r="T28" s="4"/>
      <c r="U28" s="5"/>
      <c r="V28" s="5"/>
      <c r="W28" s="4"/>
      <c r="X28" s="5"/>
      <c r="Y28" s="4"/>
      <c r="Z28" s="6"/>
      <c r="AA28" s="4"/>
      <c r="AB28" s="4"/>
      <c r="AC28" s="4"/>
      <c r="AD28" s="4"/>
      <c r="AE28" s="4"/>
    </row>
    <row r="29" ht="19.6" customHeight="1" spans="1:31">
      <c r="A29" s="2" t="s">
        <v>600</v>
      </c>
      <c r="B29" s="3">
        <v>45583</v>
      </c>
      <c r="C29" s="4"/>
      <c r="D29" s="5"/>
      <c r="E29" s="4"/>
      <c r="F29" s="4"/>
      <c r="G29" s="4"/>
      <c r="H29" s="4"/>
      <c r="I29" s="4"/>
      <c r="J29" s="4"/>
      <c r="K29" s="4"/>
      <c r="L29" s="5"/>
      <c r="M29" s="4"/>
      <c r="N29" s="4"/>
      <c r="O29" s="4"/>
      <c r="P29" s="5"/>
      <c r="Q29" s="5"/>
      <c r="R29" s="4"/>
      <c r="S29" s="4"/>
      <c r="T29" s="4"/>
      <c r="U29" s="5"/>
      <c r="V29" s="5"/>
      <c r="W29" s="4"/>
      <c r="X29" s="5"/>
      <c r="Y29" s="4"/>
      <c r="Z29" s="6"/>
      <c r="AA29" s="4"/>
      <c r="AB29" s="4"/>
      <c r="AC29" s="4"/>
      <c r="AD29" s="4"/>
      <c r="AE29" s="4"/>
    </row>
    <row r="30" ht="19.6" customHeight="1" spans="1:31">
      <c r="A30" s="2" t="s">
        <v>600</v>
      </c>
      <c r="B30" s="3">
        <v>45584</v>
      </c>
      <c r="C30" s="4"/>
      <c r="D30" s="5"/>
      <c r="E30" s="4"/>
      <c r="F30" s="4"/>
      <c r="G30" s="4"/>
      <c r="H30" s="4"/>
      <c r="I30" s="4"/>
      <c r="J30" s="4"/>
      <c r="K30" s="4"/>
      <c r="L30" s="5"/>
      <c r="M30" s="4"/>
      <c r="N30" s="4"/>
      <c r="O30" s="4"/>
      <c r="P30" s="5"/>
      <c r="Q30" s="5"/>
      <c r="R30" s="4"/>
      <c r="S30" s="4"/>
      <c r="T30" s="4"/>
      <c r="U30" s="5"/>
      <c r="V30" s="5"/>
      <c r="W30" s="4"/>
      <c r="X30" s="5"/>
      <c r="Y30" s="4"/>
      <c r="Z30" s="6"/>
      <c r="AA30" s="4"/>
      <c r="AB30" s="4"/>
      <c r="AC30" s="4"/>
      <c r="AD30" s="4"/>
      <c r="AE30" s="4"/>
    </row>
    <row r="31" ht="19.6" customHeight="1" spans="1:31">
      <c r="A31" s="2" t="s">
        <v>600</v>
      </c>
      <c r="B31" s="3">
        <v>45585</v>
      </c>
      <c r="C31" s="4"/>
      <c r="D31" s="5"/>
      <c r="E31" s="4"/>
      <c r="F31" s="4"/>
      <c r="G31" s="4"/>
      <c r="H31" s="4"/>
      <c r="I31" s="4"/>
      <c r="J31" s="4"/>
      <c r="K31" s="4"/>
      <c r="L31" s="5"/>
      <c r="M31" s="4"/>
      <c r="N31" s="4"/>
      <c r="O31" s="4"/>
      <c r="P31" s="5"/>
      <c r="Q31" s="5"/>
      <c r="R31" s="4"/>
      <c r="S31" s="4"/>
      <c r="T31" s="4"/>
      <c r="U31" s="5"/>
      <c r="V31" s="5"/>
      <c r="W31" s="4"/>
      <c r="X31" s="5"/>
      <c r="Y31" s="4"/>
      <c r="Z31" s="6"/>
      <c r="AA31" s="4"/>
      <c r="AB31" s="4"/>
      <c r="AC31" s="4"/>
      <c r="AD31" s="4"/>
      <c r="AE31" s="4"/>
    </row>
    <row r="32" ht="19.6" customHeight="1" spans="1:31">
      <c r="A32" s="2" t="s">
        <v>600</v>
      </c>
      <c r="B32" s="3">
        <v>45586</v>
      </c>
      <c r="C32" s="4"/>
      <c r="D32" s="5"/>
      <c r="E32" s="4"/>
      <c r="F32" s="4"/>
      <c r="G32" s="4"/>
      <c r="H32" s="4"/>
      <c r="I32" s="4"/>
      <c r="J32" s="4"/>
      <c r="K32" s="4"/>
      <c r="L32" s="5"/>
      <c r="M32" s="4"/>
      <c r="N32" s="4"/>
      <c r="O32" s="4"/>
      <c r="P32" s="5"/>
      <c r="Q32" s="5"/>
      <c r="R32" s="4"/>
      <c r="S32" s="4"/>
      <c r="T32" s="4"/>
      <c r="U32" s="5"/>
      <c r="V32" s="5"/>
      <c r="W32" s="4"/>
      <c r="X32" s="5"/>
      <c r="Y32" s="4"/>
      <c r="Z32" s="6"/>
      <c r="AA32" s="4"/>
      <c r="AB32" s="4"/>
      <c r="AC32" s="4"/>
      <c r="AD32" s="4"/>
      <c r="AE32" s="4"/>
    </row>
    <row r="33" ht="19.6" customHeight="1" spans="1:31">
      <c r="A33" s="2" t="s">
        <v>600</v>
      </c>
      <c r="B33" s="3">
        <v>45587</v>
      </c>
      <c r="C33" s="4"/>
      <c r="D33" s="5"/>
      <c r="E33" s="4"/>
      <c r="F33" s="4"/>
      <c r="G33" s="4"/>
      <c r="H33" s="4"/>
      <c r="I33" s="4"/>
      <c r="J33" s="4"/>
      <c r="K33" s="4"/>
      <c r="L33" s="5"/>
      <c r="M33" s="4"/>
      <c r="N33" s="4"/>
      <c r="O33" s="4"/>
      <c r="P33" s="5"/>
      <c r="Q33" s="5"/>
      <c r="R33" s="4"/>
      <c r="S33" s="4"/>
      <c r="T33" s="4"/>
      <c r="U33" s="5"/>
      <c r="V33" s="5"/>
      <c r="W33" s="4"/>
      <c r="X33" s="5"/>
      <c r="Y33" s="4"/>
      <c r="Z33" s="6"/>
      <c r="AA33" s="4"/>
      <c r="AB33" s="4"/>
      <c r="AC33" s="4"/>
      <c r="AD33" s="4"/>
      <c r="AE33" s="4"/>
    </row>
    <row r="34" ht="19.6" customHeight="1" spans="1:31">
      <c r="A34" s="2" t="s">
        <v>600</v>
      </c>
      <c r="B34" s="3">
        <v>45588</v>
      </c>
      <c r="C34" s="4"/>
      <c r="D34" s="5"/>
      <c r="E34" s="4"/>
      <c r="F34" s="4"/>
      <c r="G34" s="4"/>
      <c r="H34" s="4"/>
      <c r="I34" s="4"/>
      <c r="J34" s="4"/>
      <c r="K34" s="4"/>
      <c r="L34" s="5"/>
      <c r="M34" s="4"/>
      <c r="N34" s="4"/>
      <c r="O34" s="4"/>
      <c r="P34" s="5"/>
      <c r="Q34" s="5"/>
      <c r="R34" s="4"/>
      <c r="S34" s="4"/>
      <c r="T34" s="4"/>
      <c r="U34" s="5"/>
      <c r="V34" s="5"/>
      <c r="W34" s="4"/>
      <c r="X34" s="5"/>
      <c r="Y34" s="4"/>
      <c r="Z34" s="6"/>
      <c r="AA34" s="4"/>
      <c r="AB34" s="4"/>
      <c r="AC34" s="4"/>
      <c r="AD34" s="4"/>
      <c r="AE34" s="4"/>
    </row>
    <row r="35" ht="19.6" customHeight="1" spans="1:31">
      <c r="A35" s="2" t="s">
        <v>600</v>
      </c>
      <c r="B35" s="3">
        <v>45589</v>
      </c>
      <c r="C35" s="4"/>
      <c r="D35" s="5"/>
      <c r="E35" s="4"/>
      <c r="F35" s="4"/>
      <c r="G35" s="4"/>
      <c r="H35" s="4"/>
      <c r="I35" s="4"/>
      <c r="J35" s="4"/>
      <c r="K35" s="4"/>
      <c r="L35" s="5"/>
      <c r="M35" s="4"/>
      <c r="N35" s="4"/>
      <c r="O35" s="4"/>
      <c r="P35" s="5"/>
      <c r="Q35" s="5"/>
      <c r="R35" s="4"/>
      <c r="S35" s="4"/>
      <c r="T35" s="4"/>
      <c r="U35" s="5"/>
      <c r="V35" s="5"/>
      <c r="W35" s="4"/>
      <c r="X35" s="5"/>
      <c r="Y35" s="4"/>
      <c r="Z35" s="6"/>
      <c r="AA35" s="4"/>
      <c r="AB35" s="4"/>
      <c r="AC35" s="4"/>
      <c r="AD35" s="4"/>
      <c r="AE35" s="4"/>
    </row>
    <row r="36" ht="19.6" customHeight="1" spans="1:31">
      <c r="A36" s="2" t="s">
        <v>600</v>
      </c>
      <c r="B36" s="3">
        <v>45590</v>
      </c>
      <c r="C36" s="4"/>
      <c r="D36" s="5"/>
      <c r="E36" s="4"/>
      <c r="F36" s="4"/>
      <c r="G36" s="4"/>
      <c r="H36" s="4"/>
      <c r="I36" s="4"/>
      <c r="J36" s="4"/>
      <c r="K36" s="4"/>
      <c r="L36" s="5"/>
      <c r="M36" s="4"/>
      <c r="N36" s="4"/>
      <c r="O36" s="4"/>
      <c r="P36" s="5"/>
      <c r="Q36" s="5"/>
      <c r="R36" s="4"/>
      <c r="S36" s="4"/>
      <c r="T36" s="4"/>
      <c r="U36" s="5"/>
      <c r="V36" s="5"/>
      <c r="W36" s="4"/>
      <c r="X36" s="5"/>
      <c r="Y36" s="4"/>
      <c r="Z36" s="6"/>
      <c r="AA36" s="4"/>
      <c r="AB36" s="4"/>
      <c r="AC36" s="4"/>
      <c r="AD36" s="4"/>
      <c r="AE36" s="4"/>
    </row>
    <row r="37" ht="19.6" customHeight="1" spans="1:31">
      <c r="A37" s="2" t="s">
        <v>600</v>
      </c>
      <c r="B37" s="3">
        <v>45591</v>
      </c>
      <c r="C37" s="4"/>
      <c r="D37" s="5"/>
      <c r="E37" s="4"/>
      <c r="F37" s="4"/>
      <c r="G37" s="4"/>
      <c r="H37" s="4"/>
      <c r="I37" s="4"/>
      <c r="J37" s="4"/>
      <c r="K37" s="4"/>
      <c r="L37" s="5"/>
      <c r="M37" s="4"/>
      <c r="N37" s="4"/>
      <c r="O37" s="4"/>
      <c r="P37" s="5"/>
      <c r="Q37" s="5"/>
      <c r="R37" s="4"/>
      <c r="S37" s="4"/>
      <c r="T37" s="4"/>
      <c r="U37" s="5"/>
      <c r="V37" s="5"/>
      <c r="W37" s="4"/>
      <c r="X37" s="5"/>
      <c r="Y37" s="4"/>
      <c r="Z37" s="6"/>
      <c r="AA37" s="4"/>
      <c r="AB37" s="4"/>
      <c r="AC37" s="4"/>
      <c r="AD37" s="4"/>
      <c r="AE37" s="4"/>
    </row>
    <row r="38" ht="19.6" customHeight="1" spans="1:31">
      <c r="A38" s="2" t="s">
        <v>600</v>
      </c>
      <c r="B38" s="3">
        <v>45592</v>
      </c>
      <c r="C38" s="4"/>
      <c r="D38" s="5"/>
      <c r="E38" s="4"/>
      <c r="F38" s="4"/>
      <c r="G38" s="4"/>
      <c r="H38" s="4"/>
      <c r="I38" s="4"/>
      <c r="J38" s="4"/>
      <c r="K38" s="4"/>
      <c r="L38" s="5"/>
      <c r="M38" s="4"/>
      <c r="N38" s="4"/>
      <c r="O38" s="4"/>
      <c r="P38" s="5"/>
      <c r="Q38" s="5"/>
      <c r="R38" s="4"/>
      <c r="S38" s="4"/>
      <c r="T38" s="4"/>
      <c r="U38" s="5"/>
      <c r="V38" s="5"/>
      <c r="W38" s="4"/>
      <c r="X38" s="5"/>
      <c r="Y38" s="4"/>
      <c r="Z38" s="6"/>
      <c r="AA38" s="4"/>
      <c r="AB38" s="4"/>
      <c r="AC38" s="4"/>
      <c r="AD38" s="4"/>
      <c r="AE38" s="4"/>
    </row>
    <row r="39" ht="19.6" customHeight="1" spans="1:31">
      <c r="A39" s="2" t="s">
        <v>600</v>
      </c>
      <c r="B39" s="3">
        <v>45593</v>
      </c>
      <c r="C39" s="4"/>
      <c r="D39" s="5"/>
      <c r="E39" s="4"/>
      <c r="F39" s="4"/>
      <c r="G39" s="4"/>
      <c r="H39" s="4"/>
      <c r="I39" s="4"/>
      <c r="J39" s="4"/>
      <c r="K39" s="4"/>
      <c r="L39" s="5"/>
      <c r="M39" s="4"/>
      <c r="N39" s="4"/>
      <c r="O39" s="4"/>
      <c r="P39" s="5"/>
      <c r="Q39" s="5"/>
      <c r="R39" s="4"/>
      <c r="S39" s="4"/>
      <c r="T39" s="4"/>
      <c r="U39" s="5"/>
      <c r="V39" s="5"/>
      <c r="W39" s="4"/>
      <c r="X39" s="5"/>
      <c r="Y39" s="4"/>
      <c r="Z39" s="6"/>
      <c r="AA39" s="4"/>
      <c r="AB39" s="4"/>
      <c r="AC39" s="4"/>
      <c r="AD39" s="4"/>
      <c r="AE39" s="4"/>
    </row>
    <row r="40" ht="19.6" customHeight="1" spans="1:31">
      <c r="A40" s="2" t="s">
        <v>600</v>
      </c>
      <c r="B40" s="3">
        <v>45594</v>
      </c>
      <c r="C40" s="4"/>
      <c r="D40" s="5"/>
      <c r="E40" s="4"/>
      <c r="F40" s="4"/>
      <c r="G40" s="4"/>
      <c r="H40" s="4"/>
      <c r="I40" s="4"/>
      <c r="J40" s="4"/>
      <c r="K40" s="4"/>
      <c r="L40" s="5"/>
      <c r="M40" s="4"/>
      <c r="N40" s="4"/>
      <c r="O40" s="4"/>
      <c r="P40" s="5"/>
      <c r="Q40" s="5"/>
      <c r="R40" s="4"/>
      <c r="S40" s="4"/>
      <c r="T40" s="4"/>
      <c r="U40" s="5"/>
      <c r="V40" s="5"/>
      <c r="W40" s="4"/>
      <c r="X40" s="5"/>
      <c r="Y40" s="4"/>
      <c r="Z40" s="6"/>
      <c r="AA40" s="4"/>
      <c r="AB40" s="4"/>
      <c r="AC40" s="4"/>
      <c r="AD40" s="4"/>
      <c r="AE40" s="4"/>
    </row>
    <row r="41" ht="19.6" customHeight="1" spans="1:31">
      <c r="A41" s="2" t="s">
        <v>600</v>
      </c>
      <c r="B41" s="3">
        <v>45595</v>
      </c>
      <c r="C41" s="4"/>
      <c r="D41" s="5"/>
      <c r="E41" s="4"/>
      <c r="F41" s="4"/>
      <c r="G41" s="4"/>
      <c r="H41" s="4"/>
      <c r="I41" s="4"/>
      <c r="J41" s="4"/>
      <c r="K41" s="4"/>
      <c r="L41" s="5"/>
      <c r="M41" s="4"/>
      <c r="N41" s="4"/>
      <c r="O41" s="4"/>
      <c r="P41" s="5"/>
      <c r="Q41" s="5"/>
      <c r="R41" s="4"/>
      <c r="S41" s="4"/>
      <c r="T41" s="4"/>
      <c r="U41" s="5"/>
      <c r="V41" s="5"/>
      <c r="W41" s="4"/>
      <c r="X41" s="5"/>
      <c r="Y41" s="4"/>
      <c r="Z41" s="6"/>
      <c r="AA41" s="4"/>
      <c r="AB41" s="4"/>
      <c r="AC41" s="4"/>
      <c r="AD41" s="4"/>
      <c r="AE41" s="4"/>
    </row>
    <row r="42" ht="19.6" customHeight="1" spans="1:31">
      <c r="A42" s="2" t="s">
        <v>600</v>
      </c>
      <c r="B42" s="3">
        <v>45596</v>
      </c>
      <c r="C42" s="4"/>
      <c r="D42" s="5"/>
      <c r="E42" s="4"/>
      <c r="F42" s="4"/>
      <c r="G42" s="4"/>
      <c r="H42" s="4"/>
      <c r="I42" s="4"/>
      <c r="J42" s="4"/>
      <c r="K42" s="4"/>
      <c r="L42" s="5"/>
      <c r="M42" s="4"/>
      <c r="N42" s="4"/>
      <c r="O42" s="4"/>
      <c r="P42" s="5"/>
      <c r="Q42" s="5"/>
      <c r="R42" s="4"/>
      <c r="S42" s="4"/>
      <c r="T42" s="4"/>
      <c r="U42" s="5"/>
      <c r="V42" s="5"/>
      <c r="W42" s="4"/>
      <c r="X42" s="5"/>
      <c r="Y42" s="4"/>
      <c r="Z42" s="6"/>
      <c r="AA42" s="4"/>
      <c r="AB42" s="4"/>
      <c r="AC42" s="4"/>
      <c r="AD42" s="4"/>
      <c r="AE42" s="4"/>
    </row>
    <row r="43" ht="19.6" customHeight="1" spans="1:31">
      <c r="A43" s="2" t="s">
        <v>600</v>
      </c>
      <c r="B43" s="3">
        <v>45597</v>
      </c>
      <c r="C43" s="4"/>
      <c r="D43" s="5"/>
      <c r="E43" s="4"/>
      <c r="F43" s="4"/>
      <c r="G43" s="4"/>
      <c r="H43" s="4"/>
      <c r="I43" s="4"/>
      <c r="J43" s="4"/>
      <c r="K43" s="4"/>
      <c r="L43" s="5"/>
      <c r="M43" s="4"/>
      <c r="N43" s="4"/>
      <c r="O43" s="4"/>
      <c r="P43" s="5"/>
      <c r="Q43" s="5"/>
      <c r="R43" s="4"/>
      <c r="S43" s="4"/>
      <c r="T43" s="4"/>
      <c r="U43" s="5"/>
      <c r="V43" s="5"/>
      <c r="W43" s="4"/>
      <c r="X43" s="5"/>
      <c r="Y43" s="4"/>
      <c r="Z43" s="4"/>
      <c r="AA43" s="4"/>
      <c r="AB43" s="4"/>
      <c r="AC43" s="4"/>
      <c r="AD43" s="4"/>
      <c r="AE43" s="4"/>
    </row>
    <row r="44" ht="19.6" customHeight="1" spans="1:31">
      <c r="A44" s="2" t="s">
        <v>600</v>
      </c>
      <c r="B44" s="3">
        <v>45598</v>
      </c>
      <c r="C44" s="4"/>
      <c r="D44" s="5"/>
      <c r="E44" s="4"/>
      <c r="F44" s="4"/>
      <c r="G44" s="4"/>
      <c r="H44" s="4"/>
      <c r="I44" s="4"/>
      <c r="J44" s="4"/>
      <c r="K44" s="4"/>
      <c r="L44" s="5"/>
      <c r="M44" s="4"/>
      <c r="N44" s="4"/>
      <c r="O44" s="4"/>
      <c r="P44" s="5"/>
      <c r="Q44" s="5"/>
      <c r="R44" s="4"/>
      <c r="S44" s="4"/>
      <c r="T44" s="4"/>
      <c r="U44" s="5"/>
      <c r="V44" s="5"/>
      <c r="W44" s="4"/>
      <c r="X44" s="5"/>
      <c r="Y44" s="4"/>
      <c r="Z44" s="4"/>
      <c r="AA44" s="4"/>
      <c r="AB44" s="4"/>
      <c r="AC44" s="4"/>
      <c r="AD44" s="4"/>
      <c r="AE44" s="4"/>
    </row>
    <row r="45" ht="19.6" customHeight="1" spans="1:31">
      <c r="A45" s="2" t="s">
        <v>600</v>
      </c>
      <c r="B45" s="3">
        <v>45599</v>
      </c>
      <c r="C45" s="4"/>
      <c r="D45" s="5"/>
      <c r="E45" s="4"/>
      <c r="F45" s="4"/>
      <c r="G45" s="4"/>
      <c r="H45" s="4"/>
      <c r="I45" s="4"/>
      <c r="J45" s="4"/>
      <c r="K45" s="4"/>
      <c r="L45" s="5"/>
      <c r="M45" s="4"/>
      <c r="N45" s="4"/>
      <c r="O45" s="4"/>
      <c r="P45" s="5"/>
      <c r="Q45" s="5"/>
      <c r="R45" s="4"/>
      <c r="S45" s="4"/>
      <c r="T45" s="4"/>
      <c r="U45" s="5"/>
      <c r="V45" s="5"/>
      <c r="W45" s="4"/>
      <c r="X45" s="5"/>
      <c r="Y45" s="4"/>
      <c r="Z45" s="4"/>
      <c r="AA45" s="4"/>
      <c r="AB45" s="4"/>
      <c r="AC45" s="4"/>
      <c r="AD45" s="4"/>
      <c r="AE45" s="4"/>
    </row>
    <row r="46" ht="19.6" customHeight="1" spans="1:31">
      <c r="A46" s="2" t="s">
        <v>600</v>
      </c>
      <c r="B46" s="3">
        <v>45600</v>
      </c>
      <c r="C46" s="4"/>
      <c r="D46" s="5"/>
      <c r="E46" s="4"/>
      <c r="F46" s="4"/>
      <c r="G46" s="4"/>
      <c r="H46" s="4"/>
      <c r="I46" s="4"/>
      <c r="J46" s="4"/>
      <c r="K46" s="4"/>
      <c r="L46" s="5"/>
      <c r="M46" s="4"/>
      <c r="N46" s="4"/>
      <c r="O46" s="4"/>
      <c r="P46" s="5"/>
      <c r="Q46" s="5"/>
      <c r="R46" s="4"/>
      <c r="S46" s="4"/>
      <c r="T46" s="4"/>
      <c r="U46" s="5"/>
      <c r="V46" s="5"/>
      <c r="W46" s="4"/>
      <c r="X46" s="5"/>
      <c r="Y46" s="4"/>
      <c r="Z46" s="4"/>
      <c r="AA46" s="4"/>
      <c r="AB46" s="4"/>
      <c r="AC46" s="4"/>
      <c r="AD46" s="4"/>
      <c r="AE46" s="4"/>
    </row>
    <row r="47" ht="19.6" customHeight="1" spans="1:31">
      <c r="A47" s="2" t="s">
        <v>600</v>
      </c>
      <c r="B47" s="3">
        <v>45601</v>
      </c>
      <c r="C47" s="4"/>
      <c r="D47" s="5"/>
      <c r="E47" s="4"/>
      <c r="F47" s="4"/>
      <c r="G47" s="4"/>
      <c r="H47" s="4"/>
      <c r="I47" s="4"/>
      <c r="J47" s="4"/>
      <c r="K47" s="4"/>
      <c r="L47" s="5"/>
      <c r="M47" s="4"/>
      <c r="N47" s="4"/>
      <c r="O47" s="4"/>
      <c r="P47" s="5"/>
      <c r="Q47" s="5"/>
      <c r="R47" s="4"/>
      <c r="S47" s="4"/>
      <c r="T47" s="4"/>
      <c r="U47" s="5"/>
      <c r="V47" s="5"/>
      <c r="W47" s="4"/>
      <c r="X47" s="5"/>
      <c r="Y47" s="4"/>
      <c r="Z47" s="4"/>
      <c r="AA47" s="4"/>
      <c r="AB47" s="4"/>
      <c r="AC47" s="4"/>
      <c r="AD47" s="4"/>
      <c r="AE47" s="4"/>
    </row>
    <row r="48" ht="19.6" customHeight="1" spans="1:31">
      <c r="A48" s="2" t="s">
        <v>600</v>
      </c>
      <c r="B48" s="3">
        <v>45602</v>
      </c>
      <c r="C48" s="4"/>
      <c r="D48" s="5"/>
      <c r="E48" s="4"/>
      <c r="F48" s="4"/>
      <c r="G48" s="4"/>
      <c r="H48" s="4"/>
      <c r="I48" s="4"/>
      <c r="J48" s="4"/>
      <c r="K48" s="4"/>
      <c r="L48" s="5"/>
      <c r="M48" s="4"/>
      <c r="N48" s="4"/>
      <c r="O48" s="4"/>
      <c r="P48" s="5"/>
      <c r="Q48" s="5"/>
      <c r="R48" s="4"/>
      <c r="S48" s="4"/>
      <c r="T48" s="4"/>
      <c r="U48" s="5"/>
      <c r="V48" s="5"/>
      <c r="W48" s="4"/>
      <c r="X48" s="5"/>
      <c r="Y48" s="4"/>
      <c r="Z48" s="4"/>
      <c r="AA48" s="4"/>
      <c r="AB48" s="4"/>
      <c r="AC48" s="4"/>
      <c r="AD48" s="4"/>
      <c r="AE48" s="4"/>
    </row>
    <row r="49" ht="19.6" customHeight="1" spans="1:31">
      <c r="A49" s="2" t="s">
        <v>600</v>
      </c>
      <c r="B49" s="3">
        <v>45603</v>
      </c>
      <c r="C49" s="4"/>
      <c r="D49" s="5"/>
      <c r="E49" s="4"/>
      <c r="F49" s="4"/>
      <c r="G49" s="4"/>
      <c r="H49" s="4"/>
      <c r="I49" s="4"/>
      <c r="J49" s="4"/>
      <c r="K49" s="4"/>
      <c r="L49" s="5"/>
      <c r="M49" s="4"/>
      <c r="N49" s="4"/>
      <c r="O49" s="4"/>
      <c r="P49" s="5"/>
      <c r="Q49" s="5"/>
      <c r="R49" s="4"/>
      <c r="S49" s="4"/>
      <c r="T49" s="4"/>
      <c r="U49" s="5"/>
      <c r="V49" s="5"/>
      <c r="W49" s="4"/>
      <c r="X49" s="5"/>
      <c r="Y49" s="4"/>
      <c r="Z49" s="4"/>
      <c r="AA49" s="4"/>
      <c r="AB49" s="4"/>
      <c r="AC49" s="4"/>
      <c r="AD49" s="4"/>
      <c r="AE49" s="4"/>
    </row>
    <row r="50" ht="19.6" customHeight="1" spans="1:31">
      <c r="A50" s="2" t="s">
        <v>600</v>
      </c>
      <c r="B50" s="3">
        <v>45604</v>
      </c>
      <c r="C50" s="4"/>
      <c r="D50" s="5"/>
      <c r="E50" s="4"/>
      <c r="F50" s="4"/>
      <c r="G50" s="4"/>
      <c r="H50" s="4"/>
      <c r="I50" s="4"/>
      <c r="J50" s="4"/>
      <c r="K50" s="4"/>
      <c r="L50" s="5"/>
      <c r="M50" s="4"/>
      <c r="N50" s="4"/>
      <c r="O50" s="4"/>
      <c r="P50" s="5"/>
      <c r="Q50" s="5"/>
      <c r="R50" s="4"/>
      <c r="S50" s="4"/>
      <c r="T50" s="4"/>
      <c r="U50" s="5"/>
      <c r="V50" s="5"/>
      <c r="W50" s="4"/>
      <c r="X50" s="5"/>
      <c r="Y50" s="4"/>
      <c r="Z50" s="4"/>
      <c r="AA50" s="4"/>
      <c r="AB50" s="4"/>
      <c r="AC50" s="4"/>
      <c r="AD50" s="4"/>
      <c r="AE50" s="4"/>
    </row>
    <row r="51" ht="19.6" customHeight="1" spans="1:31">
      <c r="A51" s="2" t="s">
        <v>600</v>
      </c>
      <c r="B51" s="3">
        <v>45605</v>
      </c>
      <c r="C51" s="4"/>
      <c r="D51" s="5"/>
      <c r="E51" s="4"/>
      <c r="F51" s="4"/>
      <c r="G51" s="4"/>
      <c r="H51" s="4"/>
      <c r="I51" s="4"/>
      <c r="J51" s="4"/>
      <c r="K51" s="4"/>
      <c r="L51" s="5"/>
      <c r="M51" s="4"/>
      <c r="N51" s="4"/>
      <c r="O51" s="4"/>
      <c r="P51" s="5"/>
      <c r="Q51" s="5"/>
      <c r="R51" s="4"/>
      <c r="S51" s="4"/>
      <c r="T51" s="4"/>
      <c r="U51" s="5"/>
      <c r="V51" s="5"/>
      <c r="W51" s="4"/>
      <c r="X51" s="5"/>
      <c r="Y51" s="4"/>
      <c r="Z51" s="4"/>
      <c r="AA51" s="4"/>
      <c r="AB51" s="4"/>
      <c r="AC51" s="4"/>
      <c r="AD51" s="4"/>
      <c r="AE51" s="4"/>
    </row>
    <row r="52" ht="19.6" customHeight="1" spans="1:31">
      <c r="A52" s="2" t="s">
        <v>600</v>
      </c>
      <c r="B52" s="3">
        <v>45606</v>
      </c>
      <c r="C52" s="4"/>
      <c r="D52" s="5"/>
      <c r="E52" s="4"/>
      <c r="F52" s="4"/>
      <c r="G52" s="4"/>
      <c r="H52" s="4"/>
      <c r="I52" s="4"/>
      <c r="J52" s="4"/>
      <c r="K52" s="4"/>
      <c r="L52" s="5"/>
      <c r="M52" s="4"/>
      <c r="N52" s="4"/>
      <c r="O52" s="4"/>
      <c r="P52" s="5"/>
      <c r="Q52" s="5"/>
      <c r="R52" s="4"/>
      <c r="S52" s="4"/>
      <c r="T52" s="4"/>
      <c r="U52" s="5"/>
      <c r="V52" s="5"/>
      <c r="W52" s="4"/>
      <c r="X52" s="5"/>
      <c r="Y52" s="4"/>
      <c r="Z52" s="4"/>
      <c r="AA52" s="4"/>
      <c r="AB52" s="4"/>
      <c r="AC52" s="4"/>
      <c r="AD52" s="4"/>
      <c r="AE52" s="4"/>
    </row>
    <row r="53" ht="19.6" customHeight="1" spans="1:31">
      <c r="A53" s="2" t="s">
        <v>600</v>
      </c>
      <c r="B53" s="3">
        <v>45607</v>
      </c>
      <c r="C53" s="4"/>
      <c r="D53" s="5"/>
      <c r="E53" s="4"/>
      <c r="F53" s="4"/>
      <c r="G53" s="4"/>
      <c r="H53" s="4"/>
      <c r="I53" s="4"/>
      <c r="J53" s="4"/>
      <c r="K53" s="4"/>
      <c r="L53" s="5"/>
      <c r="M53" s="4"/>
      <c r="N53" s="4"/>
      <c r="O53" s="4"/>
      <c r="P53" s="5"/>
      <c r="Q53" s="5"/>
      <c r="R53" s="4"/>
      <c r="S53" s="4"/>
      <c r="T53" s="4"/>
      <c r="U53" s="5"/>
      <c r="V53" s="5"/>
      <c r="W53" s="4"/>
      <c r="X53" s="5"/>
      <c r="Y53" s="4"/>
      <c r="Z53" s="4"/>
      <c r="AA53" s="4"/>
      <c r="AB53" s="4"/>
      <c r="AC53" s="4"/>
      <c r="AD53" s="4"/>
      <c r="AE53" s="4"/>
    </row>
    <row r="54" ht="19.6" customHeight="1" spans="1:31">
      <c r="A54" s="2" t="s">
        <v>600</v>
      </c>
      <c r="B54" s="3">
        <v>45608</v>
      </c>
      <c r="C54" s="4"/>
      <c r="D54" s="5"/>
      <c r="E54" s="4"/>
      <c r="F54" s="4"/>
      <c r="G54" s="4"/>
      <c r="H54" s="4"/>
      <c r="I54" s="4"/>
      <c r="J54" s="4"/>
      <c r="K54" s="4"/>
      <c r="L54" s="5"/>
      <c r="M54" s="4"/>
      <c r="N54" s="4"/>
      <c r="O54" s="4"/>
      <c r="P54" s="5"/>
      <c r="Q54" s="5"/>
      <c r="R54" s="4"/>
      <c r="S54" s="4"/>
      <c r="T54" s="4"/>
      <c r="U54" s="5"/>
      <c r="V54" s="5"/>
      <c r="W54" s="4"/>
      <c r="X54" s="5"/>
      <c r="Y54" s="4"/>
      <c r="Z54" s="4"/>
      <c r="AA54" s="4"/>
      <c r="AB54" s="4"/>
      <c r="AC54" s="4"/>
      <c r="AD54" s="4"/>
      <c r="AE54" s="4"/>
    </row>
    <row r="55" ht="19.6" customHeight="1" spans="1:31">
      <c r="A55" s="2" t="s">
        <v>600</v>
      </c>
      <c r="B55" s="3">
        <v>45609</v>
      </c>
      <c r="C55" s="4"/>
      <c r="D55" s="5"/>
      <c r="E55" s="4"/>
      <c r="F55" s="4"/>
      <c r="G55" s="4"/>
      <c r="H55" s="4"/>
      <c r="I55" s="4"/>
      <c r="J55" s="4"/>
      <c r="K55" s="4"/>
      <c r="L55" s="5"/>
      <c r="M55" s="4"/>
      <c r="N55" s="4"/>
      <c r="O55" s="4"/>
      <c r="P55" s="5"/>
      <c r="Q55" s="5"/>
      <c r="R55" s="4"/>
      <c r="S55" s="4"/>
      <c r="T55" s="4"/>
      <c r="U55" s="5"/>
      <c r="V55" s="5"/>
      <c r="W55" s="4"/>
      <c r="X55" s="5"/>
      <c r="Y55" s="4"/>
      <c r="Z55" s="4"/>
      <c r="AA55" s="4"/>
      <c r="AB55" s="4"/>
      <c r="AC55" s="4"/>
      <c r="AD55" s="4"/>
      <c r="AE55" s="4"/>
    </row>
    <row r="56" ht="19.6" customHeight="1" spans="1:31">
      <c r="A56" s="2" t="s">
        <v>600</v>
      </c>
      <c r="B56" s="3">
        <v>45610</v>
      </c>
      <c r="C56" s="4"/>
      <c r="D56" s="5"/>
      <c r="E56" s="4"/>
      <c r="F56" s="4"/>
      <c r="G56" s="4"/>
      <c r="H56" s="4"/>
      <c r="I56" s="4"/>
      <c r="J56" s="4"/>
      <c r="K56" s="4"/>
      <c r="L56" s="5"/>
      <c r="M56" s="4"/>
      <c r="N56" s="4"/>
      <c r="O56" s="4"/>
      <c r="P56" s="5"/>
      <c r="Q56" s="5"/>
      <c r="R56" s="4"/>
      <c r="S56" s="4"/>
      <c r="T56" s="4"/>
      <c r="U56" s="5"/>
      <c r="V56" s="5"/>
      <c r="W56" s="4"/>
      <c r="X56" s="5"/>
      <c r="Y56" s="4"/>
      <c r="Z56" s="4"/>
      <c r="AA56" s="4"/>
      <c r="AB56" s="4"/>
      <c r="AC56" s="4"/>
      <c r="AD56" s="4"/>
      <c r="AE56" s="4"/>
    </row>
    <row r="57" ht="19.6" customHeight="1" spans="1:31">
      <c r="A57" s="2" t="s">
        <v>600</v>
      </c>
      <c r="B57" s="3">
        <v>45611</v>
      </c>
      <c r="C57" s="4"/>
      <c r="D57" s="5"/>
      <c r="E57" s="4"/>
      <c r="F57" s="4"/>
      <c r="G57" s="4"/>
      <c r="H57" s="4"/>
      <c r="I57" s="4"/>
      <c r="J57" s="4"/>
      <c r="K57" s="4"/>
      <c r="L57" s="5"/>
      <c r="M57" s="4"/>
      <c r="N57" s="4"/>
      <c r="O57" s="4"/>
      <c r="P57" s="5"/>
      <c r="Q57" s="5"/>
      <c r="R57" s="4"/>
      <c r="S57" s="4"/>
      <c r="T57" s="4"/>
      <c r="U57" s="5"/>
      <c r="V57" s="5"/>
      <c r="W57" s="4"/>
      <c r="X57" s="5"/>
      <c r="Y57" s="4"/>
      <c r="Z57" s="4"/>
      <c r="AA57" s="4"/>
      <c r="AB57" s="4"/>
      <c r="AC57" s="4"/>
      <c r="AD57" s="4"/>
      <c r="AE57" s="4"/>
    </row>
    <row r="58" ht="19.6" customHeight="1" spans="1:31">
      <c r="A58" s="2" t="s">
        <v>600</v>
      </c>
      <c r="B58" s="3">
        <v>45612</v>
      </c>
      <c r="C58" s="4"/>
      <c r="D58" s="5"/>
      <c r="E58" s="4"/>
      <c r="F58" s="4"/>
      <c r="G58" s="4"/>
      <c r="H58" s="4"/>
      <c r="I58" s="4"/>
      <c r="J58" s="4"/>
      <c r="K58" s="4"/>
      <c r="L58" s="5"/>
      <c r="M58" s="4"/>
      <c r="N58" s="4"/>
      <c r="O58" s="4"/>
      <c r="P58" s="5"/>
      <c r="Q58" s="5"/>
      <c r="R58" s="4"/>
      <c r="S58" s="4"/>
      <c r="T58" s="4"/>
      <c r="U58" s="5"/>
      <c r="V58" s="5"/>
      <c r="W58" s="4"/>
      <c r="X58" s="5"/>
      <c r="Y58" s="4"/>
      <c r="Z58" s="4"/>
      <c r="AA58" s="4"/>
      <c r="AB58" s="4"/>
      <c r="AC58" s="4"/>
      <c r="AD58" s="4"/>
      <c r="AE58" s="4"/>
    </row>
    <row r="59" ht="19.6" customHeight="1" spans="1:31">
      <c r="A59" s="2" t="s">
        <v>600</v>
      </c>
      <c r="B59" s="3">
        <v>45613</v>
      </c>
      <c r="C59" s="4"/>
      <c r="D59" s="5"/>
      <c r="E59" s="4"/>
      <c r="F59" s="4"/>
      <c r="G59" s="4"/>
      <c r="H59" s="4"/>
      <c r="I59" s="4"/>
      <c r="J59" s="4"/>
      <c r="K59" s="4"/>
      <c r="L59" s="5"/>
      <c r="M59" s="4"/>
      <c r="N59" s="4"/>
      <c r="O59" s="4"/>
      <c r="P59" s="5"/>
      <c r="Q59" s="5"/>
      <c r="R59" s="4"/>
      <c r="S59" s="4"/>
      <c r="T59" s="4"/>
      <c r="U59" s="5"/>
      <c r="V59" s="5"/>
      <c r="W59" s="4"/>
      <c r="X59" s="5"/>
      <c r="Y59" s="4"/>
      <c r="Z59" s="4"/>
      <c r="AA59" s="4"/>
      <c r="AB59" s="4"/>
      <c r="AC59" s="4"/>
      <c r="AD59" s="4"/>
      <c r="AE59" s="4"/>
    </row>
    <row r="60" ht="19.6" customHeight="1" spans="1:31">
      <c r="A60" s="2" t="s">
        <v>600</v>
      </c>
      <c r="B60" s="3">
        <v>45614</v>
      </c>
      <c r="C60" s="4"/>
      <c r="D60" s="5"/>
      <c r="E60" s="4"/>
      <c r="F60" s="4"/>
      <c r="G60" s="4"/>
      <c r="H60" s="4"/>
      <c r="I60" s="4"/>
      <c r="J60" s="4"/>
      <c r="K60" s="4"/>
      <c r="L60" s="5"/>
      <c r="M60" s="4"/>
      <c r="N60" s="4"/>
      <c r="O60" s="4"/>
      <c r="P60" s="5"/>
      <c r="Q60" s="5"/>
      <c r="R60" s="4"/>
      <c r="S60" s="4"/>
      <c r="T60" s="4"/>
      <c r="U60" s="5"/>
      <c r="V60" s="5"/>
      <c r="W60" s="4"/>
      <c r="X60" s="5"/>
      <c r="Y60" s="4"/>
      <c r="Z60" s="4"/>
      <c r="AA60" s="4"/>
      <c r="AB60" s="4"/>
      <c r="AC60" s="4"/>
      <c r="AD60" s="4"/>
      <c r="AE60" s="4"/>
    </row>
    <row r="61" ht="19.6" customHeight="1" spans="1:31">
      <c r="A61" s="2" t="s">
        <v>600</v>
      </c>
      <c r="B61" s="3">
        <v>45615</v>
      </c>
      <c r="C61" s="4"/>
      <c r="D61" s="5"/>
      <c r="E61" s="4"/>
      <c r="F61" s="4"/>
      <c r="G61" s="4"/>
      <c r="H61" s="4"/>
      <c r="I61" s="4"/>
      <c r="J61" s="4"/>
      <c r="K61" s="4"/>
      <c r="L61" s="5"/>
      <c r="M61" s="4"/>
      <c r="N61" s="4"/>
      <c r="O61" s="4"/>
      <c r="P61" s="5"/>
      <c r="Q61" s="5"/>
      <c r="R61" s="4"/>
      <c r="S61" s="4"/>
      <c r="T61" s="4"/>
      <c r="U61" s="5"/>
      <c r="V61" s="5"/>
      <c r="W61" s="4"/>
      <c r="X61" s="5"/>
      <c r="Y61" s="4"/>
      <c r="Z61" s="4"/>
      <c r="AA61" s="4"/>
      <c r="AB61" s="4"/>
      <c r="AC61" s="4"/>
      <c r="AD61" s="4"/>
      <c r="AE61" s="4"/>
    </row>
    <row r="62" ht="19.6" customHeight="1" spans="1:31">
      <c r="A62" s="2" t="s">
        <v>600</v>
      </c>
      <c r="B62" s="3">
        <v>45616</v>
      </c>
      <c r="C62" s="4"/>
      <c r="D62" s="5"/>
      <c r="E62" s="4"/>
      <c r="F62" s="4"/>
      <c r="G62" s="4"/>
      <c r="H62" s="4"/>
      <c r="I62" s="4"/>
      <c r="J62" s="4"/>
      <c r="K62" s="4"/>
      <c r="L62" s="5"/>
      <c r="M62" s="4"/>
      <c r="N62" s="4"/>
      <c r="O62" s="4"/>
      <c r="P62" s="5"/>
      <c r="Q62" s="5"/>
      <c r="R62" s="4"/>
      <c r="S62" s="4"/>
      <c r="T62" s="4"/>
      <c r="U62" s="5"/>
      <c r="V62" s="5"/>
      <c r="W62" s="4"/>
      <c r="X62" s="5"/>
      <c r="Y62" s="4"/>
      <c r="Z62" s="4"/>
      <c r="AA62" s="4"/>
      <c r="AB62" s="4"/>
      <c r="AC62" s="4"/>
      <c r="AD62" s="4"/>
      <c r="AE62" s="4"/>
    </row>
    <row r="63" ht="19.6" customHeight="1" spans="1:31">
      <c r="A63" s="2" t="s">
        <v>600</v>
      </c>
      <c r="B63" s="3">
        <v>45617</v>
      </c>
      <c r="C63" s="4"/>
      <c r="D63" s="5"/>
      <c r="E63" s="4"/>
      <c r="F63" s="4"/>
      <c r="G63" s="4"/>
      <c r="H63" s="4"/>
      <c r="I63" s="4"/>
      <c r="J63" s="4"/>
      <c r="K63" s="4"/>
      <c r="L63" s="5"/>
      <c r="M63" s="4"/>
      <c r="N63" s="4"/>
      <c r="O63" s="4"/>
      <c r="P63" s="5"/>
      <c r="Q63" s="5"/>
      <c r="R63" s="4"/>
      <c r="S63" s="4"/>
      <c r="T63" s="4"/>
      <c r="U63" s="5"/>
      <c r="V63" s="5"/>
      <c r="W63" s="4"/>
      <c r="X63" s="5"/>
      <c r="Y63" s="4"/>
      <c r="Z63" s="4"/>
      <c r="AA63" s="4"/>
      <c r="AB63" s="4"/>
      <c r="AC63" s="4"/>
      <c r="AD63" s="4"/>
      <c r="AE63" s="4"/>
    </row>
    <row r="64" ht="19.6" customHeight="1" spans="1:31">
      <c r="A64" s="2" t="s">
        <v>600</v>
      </c>
      <c r="B64" s="3">
        <v>45618</v>
      </c>
      <c r="C64" s="4"/>
      <c r="D64" s="5"/>
      <c r="E64" s="4"/>
      <c r="F64" s="4"/>
      <c r="G64" s="4"/>
      <c r="H64" s="4"/>
      <c r="I64" s="4"/>
      <c r="J64" s="4"/>
      <c r="K64" s="4"/>
      <c r="L64" s="5"/>
      <c r="M64" s="4"/>
      <c r="N64" s="4"/>
      <c r="O64" s="4"/>
      <c r="P64" s="5"/>
      <c r="Q64" s="5"/>
      <c r="R64" s="4"/>
      <c r="S64" s="4"/>
      <c r="T64" s="4"/>
      <c r="U64" s="5"/>
      <c r="V64" s="5"/>
      <c r="W64" s="4"/>
      <c r="X64" s="5"/>
      <c r="Y64" s="4"/>
      <c r="Z64" s="4"/>
      <c r="AA64" s="4"/>
      <c r="AB64" s="4"/>
      <c r="AC64" s="4"/>
      <c r="AD64" s="4"/>
      <c r="AE64" s="4"/>
    </row>
    <row r="65" ht="19.6" customHeight="1" spans="1:31">
      <c r="A65" s="2" t="s">
        <v>600</v>
      </c>
      <c r="B65" s="3">
        <v>45619</v>
      </c>
      <c r="C65" s="4"/>
      <c r="D65" s="5"/>
      <c r="E65" s="4"/>
      <c r="F65" s="4"/>
      <c r="G65" s="4"/>
      <c r="H65" s="4"/>
      <c r="I65" s="4"/>
      <c r="J65" s="4"/>
      <c r="K65" s="4"/>
      <c r="L65" s="5"/>
      <c r="M65" s="4"/>
      <c r="N65" s="4"/>
      <c r="O65" s="4"/>
      <c r="P65" s="5"/>
      <c r="Q65" s="5"/>
      <c r="R65" s="4"/>
      <c r="S65" s="4"/>
      <c r="T65" s="4"/>
      <c r="U65" s="5"/>
      <c r="V65" s="5"/>
      <c r="W65" s="4"/>
      <c r="X65" s="5"/>
      <c r="Y65" s="4"/>
      <c r="Z65" s="4"/>
      <c r="AA65" s="4"/>
      <c r="AB65" s="4"/>
      <c r="AC65" s="4"/>
      <c r="AD65" s="4"/>
      <c r="AE65" s="4"/>
    </row>
    <row r="66" ht="19.6" customHeight="1" spans="1:31">
      <c r="A66" s="2" t="s">
        <v>600</v>
      </c>
      <c r="B66" s="3">
        <v>45620</v>
      </c>
      <c r="C66" s="4"/>
      <c r="D66" s="5"/>
      <c r="E66" s="4"/>
      <c r="F66" s="4"/>
      <c r="G66" s="4"/>
      <c r="H66" s="4"/>
      <c r="I66" s="4"/>
      <c r="J66" s="4"/>
      <c r="K66" s="4"/>
      <c r="L66" s="5"/>
      <c r="M66" s="4"/>
      <c r="N66" s="4"/>
      <c r="O66" s="4"/>
      <c r="P66" s="5"/>
      <c r="Q66" s="5"/>
      <c r="R66" s="4"/>
      <c r="S66" s="4"/>
      <c r="T66" s="4"/>
      <c r="U66" s="5"/>
      <c r="V66" s="5"/>
      <c r="W66" s="4"/>
      <c r="X66" s="5"/>
      <c r="Y66" s="4"/>
      <c r="Z66" s="4"/>
      <c r="AA66" s="4"/>
      <c r="AB66" s="4"/>
      <c r="AC66" s="4"/>
      <c r="AD66" s="4"/>
      <c r="AE66" s="4"/>
    </row>
    <row r="67" ht="19.6" customHeight="1" spans="1:31">
      <c r="A67" s="2" t="s">
        <v>600</v>
      </c>
      <c r="B67" s="3">
        <v>45621</v>
      </c>
      <c r="C67" s="4"/>
      <c r="D67" s="5"/>
      <c r="E67" s="4"/>
      <c r="F67" s="4"/>
      <c r="G67" s="4"/>
      <c r="H67" s="4"/>
      <c r="I67" s="4"/>
      <c r="J67" s="4"/>
      <c r="K67" s="4"/>
      <c r="L67" s="5"/>
      <c r="M67" s="4"/>
      <c r="N67" s="4"/>
      <c r="O67" s="4"/>
      <c r="P67" s="5"/>
      <c r="Q67" s="5"/>
      <c r="R67" s="4"/>
      <c r="S67" s="4"/>
      <c r="T67" s="4"/>
      <c r="U67" s="5"/>
      <c r="V67" s="5"/>
      <c r="W67" s="4"/>
      <c r="X67" s="5"/>
      <c r="Y67" s="4"/>
      <c r="Z67" s="4"/>
      <c r="AA67" s="4"/>
      <c r="AB67" s="4"/>
      <c r="AC67" s="4"/>
      <c r="AD67" s="4"/>
      <c r="AE67" s="4"/>
    </row>
    <row r="68" ht="19.6" customHeight="1" spans="1:31">
      <c r="A68" s="2" t="s">
        <v>600</v>
      </c>
      <c r="B68" s="3">
        <v>45622</v>
      </c>
      <c r="C68" s="4"/>
      <c r="D68" s="5"/>
      <c r="E68" s="4"/>
      <c r="F68" s="4"/>
      <c r="G68" s="4"/>
      <c r="H68" s="4"/>
      <c r="I68" s="4"/>
      <c r="J68" s="4"/>
      <c r="K68" s="4"/>
      <c r="L68" s="5"/>
      <c r="M68" s="4"/>
      <c r="N68" s="4"/>
      <c r="O68" s="4"/>
      <c r="P68" s="5"/>
      <c r="Q68" s="5"/>
      <c r="R68" s="4"/>
      <c r="S68" s="4"/>
      <c r="T68" s="4"/>
      <c r="U68" s="5"/>
      <c r="V68" s="5"/>
      <c r="W68" s="4"/>
      <c r="X68" s="5"/>
      <c r="Y68" s="4"/>
      <c r="Z68" s="4"/>
      <c r="AA68" s="4"/>
      <c r="AB68" s="4"/>
      <c r="AC68" s="4"/>
      <c r="AD68" s="4"/>
      <c r="AE68" s="4"/>
    </row>
    <row r="69" ht="19.6" customHeight="1" spans="1:31">
      <c r="A69" s="2" t="s">
        <v>600</v>
      </c>
      <c r="B69" s="3">
        <v>45623</v>
      </c>
      <c r="C69" s="4"/>
      <c r="D69" s="5"/>
      <c r="E69" s="4"/>
      <c r="F69" s="4"/>
      <c r="G69" s="4"/>
      <c r="H69" s="4"/>
      <c r="I69" s="4"/>
      <c r="J69" s="4"/>
      <c r="K69" s="4"/>
      <c r="L69" s="5"/>
      <c r="M69" s="4"/>
      <c r="N69" s="4"/>
      <c r="O69" s="4"/>
      <c r="P69" s="5"/>
      <c r="Q69" s="5"/>
      <c r="R69" s="4"/>
      <c r="S69" s="4"/>
      <c r="T69" s="4"/>
      <c r="U69" s="5"/>
      <c r="V69" s="5"/>
      <c r="W69" s="4"/>
      <c r="X69" s="5"/>
      <c r="Y69" s="4"/>
      <c r="Z69" s="4"/>
      <c r="AA69" s="4"/>
      <c r="AB69" s="4"/>
      <c r="AC69" s="4"/>
      <c r="AD69" s="4"/>
      <c r="AE69" s="4"/>
    </row>
    <row r="70" ht="19.6" customHeight="1" spans="1:31">
      <c r="A70" s="2" t="s">
        <v>600</v>
      </c>
      <c r="B70" s="3">
        <v>45624</v>
      </c>
      <c r="C70" s="4"/>
      <c r="D70" s="5"/>
      <c r="E70" s="4"/>
      <c r="F70" s="4"/>
      <c r="G70" s="4"/>
      <c r="H70" s="4"/>
      <c r="I70" s="4"/>
      <c r="J70" s="4"/>
      <c r="K70" s="4"/>
      <c r="L70" s="5"/>
      <c r="M70" s="4"/>
      <c r="N70" s="4"/>
      <c r="O70" s="4"/>
      <c r="P70" s="5"/>
      <c r="Q70" s="5"/>
      <c r="R70" s="4"/>
      <c r="S70" s="4"/>
      <c r="T70" s="4"/>
      <c r="U70" s="5"/>
      <c r="V70" s="5"/>
      <c r="W70" s="4"/>
      <c r="X70" s="5"/>
      <c r="Y70" s="4"/>
      <c r="Z70" s="4"/>
      <c r="AA70" s="4"/>
      <c r="AB70" s="4"/>
      <c r="AC70" s="4"/>
      <c r="AD70" s="4"/>
      <c r="AE70" s="4"/>
    </row>
    <row r="71" ht="19.6" customHeight="1" spans="1:31">
      <c r="A71" s="2" t="s">
        <v>600</v>
      </c>
      <c r="B71" s="3">
        <v>45625</v>
      </c>
      <c r="C71" s="4"/>
      <c r="D71" s="5"/>
      <c r="E71" s="4"/>
      <c r="F71" s="4"/>
      <c r="G71" s="4"/>
      <c r="H71" s="4"/>
      <c r="I71" s="4"/>
      <c r="J71" s="4"/>
      <c r="K71" s="4"/>
      <c r="L71" s="5"/>
      <c r="M71" s="4"/>
      <c r="N71" s="4"/>
      <c r="O71" s="4"/>
      <c r="P71" s="5"/>
      <c r="Q71" s="5"/>
      <c r="R71" s="4"/>
      <c r="S71" s="4"/>
      <c r="T71" s="4"/>
      <c r="U71" s="5"/>
      <c r="V71" s="5"/>
      <c r="W71" s="4"/>
      <c r="X71" s="5"/>
      <c r="Y71" s="4"/>
      <c r="Z71" s="4"/>
      <c r="AA71" s="4"/>
      <c r="AB71" s="4"/>
      <c r="AC71" s="4"/>
      <c r="AD71" s="4"/>
      <c r="AE71" s="4"/>
    </row>
    <row r="72" ht="19.6" customHeight="1" spans="1:31">
      <c r="A72" s="2" t="s">
        <v>600</v>
      </c>
      <c r="B72" s="3">
        <v>45626</v>
      </c>
      <c r="C72" s="4"/>
      <c r="D72" s="5"/>
      <c r="E72" s="4"/>
      <c r="F72" s="4"/>
      <c r="G72" s="4"/>
      <c r="H72" s="4"/>
      <c r="I72" s="4"/>
      <c r="J72" s="4"/>
      <c r="K72" s="4"/>
      <c r="L72" s="5"/>
      <c r="M72" s="4"/>
      <c r="N72" s="4"/>
      <c r="O72" s="4"/>
      <c r="P72" s="5"/>
      <c r="Q72" s="5"/>
      <c r="R72" s="4"/>
      <c r="S72" s="4"/>
      <c r="T72" s="4"/>
      <c r="U72" s="5"/>
      <c r="V72" s="5"/>
      <c r="W72" s="4"/>
      <c r="X72" s="5"/>
      <c r="Y72" s="4"/>
      <c r="Z72" s="4"/>
      <c r="AA72" s="4"/>
      <c r="AB72" s="4"/>
      <c r="AC72" s="4"/>
      <c r="AD72" s="4"/>
      <c r="AE72" s="4"/>
    </row>
    <row r="73" ht="19.6" customHeight="1" spans="1:31">
      <c r="A73" s="2" t="s">
        <v>600</v>
      </c>
      <c r="B73" s="3">
        <v>45627</v>
      </c>
      <c r="C73" s="4"/>
      <c r="D73" s="5"/>
      <c r="E73" s="4"/>
      <c r="F73" s="4"/>
      <c r="G73" s="4"/>
      <c r="H73" s="4"/>
      <c r="I73" s="4"/>
      <c r="J73" s="4"/>
      <c r="K73" s="4"/>
      <c r="L73" s="5"/>
      <c r="M73" s="4"/>
      <c r="N73" s="4"/>
      <c r="O73" s="4"/>
      <c r="P73" s="5"/>
      <c r="Q73" s="5"/>
      <c r="R73" s="4"/>
      <c r="S73" s="4"/>
      <c r="T73" s="4"/>
      <c r="U73" s="5"/>
      <c r="V73" s="5"/>
      <c r="W73" s="4"/>
      <c r="X73" s="5"/>
      <c r="Y73" s="4"/>
      <c r="Z73" s="4"/>
      <c r="AA73" s="4"/>
      <c r="AB73" s="4"/>
      <c r="AC73" s="4"/>
      <c r="AD73" s="4"/>
      <c r="AE73" s="4"/>
    </row>
    <row r="74" ht="19.6" customHeight="1" spans="1:31">
      <c r="A74" s="2" t="s">
        <v>600</v>
      </c>
      <c r="B74" s="3">
        <v>45628</v>
      </c>
      <c r="C74" s="4"/>
      <c r="D74" s="5"/>
      <c r="E74" s="4"/>
      <c r="F74" s="4"/>
      <c r="G74" s="4"/>
      <c r="H74" s="4"/>
      <c r="I74" s="4"/>
      <c r="J74" s="4"/>
      <c r="K74" s="4"/>
      <c r="L74" s="5"/>
      <c r="M74" s="4"/>
      <c r="N74" s="4"/>
      <c r="O74" s="4"/>
      <c r="P74" s="5"/>
      <c r="Q74" s="5"/>
      <c r="R74" s="4"/>
      <c r="S74" s="4"/>
      <c r="T74" s="4"/>
      <c r="U74" s="5"/>
      <c r="V74" s="5"/>
      <c r="W74" s="4"/>
      <c r="X74" s="5"/>
      <c r="Y74" s="4"/>
      <c r="Z74" s="6"/>
      <c r="AA74" s="4"/>
      <c r="AB74" s="4"/>
      <c r="AC74" s="4"/>
      <c r="AD74" s="4"/>
      <c r="AE74" s="4"/>
    </row>
    <row r="75" ht="19.6" customHeight="1" spans="1:31">
      <c r="A75" s="2" t="s">
        <v>600</v>
      </c>
      <c r="B75" s="3">
        <v>45629</v>
      </c>
      <c r="C75" s="4"/>
      <c r="D75" s="5"/>
      <c r="E75" s="4"/>
      <c r="F75" s="4"/>
      <c r="G75" s="4"/>
      <c r="H75" s="4"/>
      <c r="I75" s="4"/>
      <c r="J75" s="4"/>
      <c r="K75" s="4"/>
      <c r="L75" s="5"/>
      <c r="M75" s="4"/>
      <c r="N75" s="4"/>
      <c r="O75" s="4"/>
      <c r="P75" s="5"/>
      <c r="Q75" s="5"/>
      <c r="R75" s="4"/>
      <c r="S75" s="4"/>
      <c r="T75" s="4"/>
      <c r="U75" s="5"/>
      <c r="V75" s="5"/>
      <c r="W75" s="4"/>
      <c r="X75" s="5"/>
      <c r="Y75" s="4"/>
      <c r="Z75" s="6"/>
      <c r="AA75" s="4"/>
      <c r="AB75" s="4"/>
      <c r="AC75" s="4"/>
      <c r="AD75" s="4"/>
      <c r="AE75" s="4"/>
    </row>
    <row r="76" ht="19.6" customHeight="1" spans="1:31">
      <c r="A76" s="2" t="s">
        <v>600</v>
      </c>
      <c r="B76" s="3">
        <v>45630</v>
      </c>
      <c r="C76" s="4"/>
      <c r="D76" s="5"/>
      <c r="E76" s="4"/>
      <c r="F76" s="4"/>
      <c r="G76" s="4"/>
      <c r="H76" s="4"/>
      <c r="I76" s="4"/>
      <c r="J76" s="4"/>
      <c r="K76" s="4"/>
      <c r="L76" s="5"/>
      <c r="M76" s="4"/>
      <c r="N76" s="4"/>
      <c r="O76" s="4"/>
      <c r="P76" s="5"/>
      <c r="Q76" s="5"/>
      <c r="R76" s="4"/>
      <c r="S76" s="4"/>
      <c r="T76" s="4"/>
      <c r="U76" s="5"/>
      <c r="V76" s="5"/>
      <c r="W76" s="4"/>
      <c r="X76" s="5"/>
      <c r="Y76" s="4"/>
      <c r="Z76" s="6"/>
      <c r="AA76" s="4"/>
      <c r="AB76" s="4"/>
      <c r="AC76" s="4"/>
      <c r="AD76" s="4"/>
      <c r="AE76" s="4"/>
    </row>
    <row r="77" ht="19.6" customHeight="1" spans="1:31">
      <c r="A77" s="2" t="s">
        <v>600</v>
      </c>
      <c r="B77" s="3">
        <v>45631</v>
      </c>
      <c r="C77" s="4"/>
      <c r="D77" s="5"/>
      <c r="E77" s="4"/>
      <c r="F77" s="4"/>
      <c r="G77" s="4"/>
      <c r="H77" s="4"/>
      <c r="I77" s="4"/>
      <c r="J77" s="4"/>
      <c r="K77" s="4"/>
      <c r="L77" s="5"/>
      <c r="M77" s="4"/>
      <c r="N77" s="4"/>
      <c r="O77" s="4"/>
      <c r="P77" s="5"/>
      <c r="Q77" s="5"/>
      <c r="R77" s="4"/>
      <c r="S77" s="4"/>
      <c r="T77" s="4"/>
      <c r="U77" s="5"/>
      <c r="V77" s="5"/>
      <c r="W77" s="4"/>
      <c r="X77" s="5"/>
      <c r="Y77" s="4"/>
      <c r="Z77" s="6"/>
      <c r="AA77" s="4"/>
      <c r="AB77" s="4"/>
      <c r="AC77" s="4"/>
      <c r="AD77" s="4"/>
      <c r="AE77" s="4"/>
    </row>
    <row r="78" ht="19.6" customHeight="1" spans="1:31">
      <c r="A78" s="2" t="s">
        <v>600</v>
      </c>
      <c r="B78" s="3">
        <v>45632</v>
      </c>
      <c r="C78" s="4"/>
      <c r="D78" s="5"/>
      <c r="E78" s="4"/>
      <c r="F78" s="4"/>
      <c r="G78" s="4"/>
      <c r="H78" s="4"/>
      <c r="I78" s="4"/>
      <c r="J78" s="4"/>
      <c r="K78" s="4"/>
      <c r="L78" s="5"/>
      <c r="M78" s="4"/>
      <c r="N78" s="4"/>
      <c r="O78" s="4"/>
      <c r="P78" s="5"/>
      <c r="Q78" s="5"/>
      <c r="R78" s="4"/>
      <c r="S78" s="4"/>
      <c r="T78" s="4"/>
      <c r="U78" s="5"/>
      <c r="V78" s="5"/>
      <c r="W78" s="4"/>
      <c r="X78" s="5"/>
      <c r="Y78" s="4"/>
      <c r="Z78" s="6"/>
      <c r="AA78" s="4"/>
      <c r="AB78" s="4"/>
      <c r="AC78" s="4"/>
      <c r="AD78" s="4"/>
      <c r="AE78" s="4"/>
    </row>
    <row r="79" ht="19.6" customHeight="1" spans="1:31">
      <c r="A79" s="2" t="s">
        <v>600</v>
      </c>
      <c r="B79" s="3">
        <v>45633</v>
      </c>
      <c r="C79" s="4"/>
      <c r="D79" s="5"/>
      <c r="E79" s="4"/>
      <c r="F79" s="4"/>
      <c r="G79" s="4"/>
      <c r="H79" s="4"/>
      <c r="I79" s="4"/>
      <c r="J79" s="4"/>
      <c r="K79" s="4"/>
      <c r="L79" s="5"/>
      <c r="M79" s="4"/>
      <c r="N79" s="4"/>
      <c r="O79" s="4"/>
      <c r="P79" s="5"/>
      <c r="Q79" s="5"/>
      <c r="R79" s="4"/>
      <c r="S79" s="4"/>
      <c r="T79" s="4"/>
      <c r="U79" s="5"/>
      <c r="V79" s="5"/>
      <c r="W79" s="4"/>
      <c r="X79" s="5"/>
      <c r="Y79" s="4"/>
      <c r="Z79" s="6"/>
      <c r="AA79" s="4"/>
      <c r="AB79" s="4"/>
      <c r="AC79" s="4"/>
      <c r="AD79" s="4"/>
      <c r="AE79" s="4"/>
    </row>
    <row r="80" ht="19.6" customHeight="1" spans="1:31">
      <c r="A80" s="2" t="s">
        <v>600</v>
      </c>
      <c r="B80" s="3">
        <v>45634</v>
      </c>
      <c r="C80" s="4"/>
      <c r="D80" s="5"/>
      <c r="E80" s="4"/>
      <c r="F80" s="4"/>
      <c r="G80" s="4"/>
      <c r="H80" s="4"/>
      <c r="I80" s="4"/>
      <c r="J80" s="4"/>
      <c r="K80" s="4"/>
      <c r="L80" s="5"/>
      <c r="M80" s="4"/>
      <c r="N80" s="4"/>
      <c r="O80" s="4"/>
      <c r="P80" s="5"/>
      <c r="Q80" s="5"/>
      <c r="R80" s="4"/>
      <c r="S80" s="4"/>
      <c r="T80" s="4"/>
      <c r="U80" s="5"/>
      <c r="V80" s="5"/>
      <c r="W80" s="4"/>
      <c r="X80" s="5"/>
      <c r="Y80" s="4"/>
      <c r="Z80" s="6"/>
      <c r="AA80" s="4"/>
      <c r="AB80" s="4"/>
      <c r="AC80" s="4"/>
      <c r="AD80" s="4"/>
      <c r="AE80" s="4"/>
    </row>
    <row r="81" ht="19.6" customHeight="1" spans="1:31">
      <c r="A81" s="2" t="s">
        <v>600</v>
      </c>
      <c r="B81" s="3">
        <v>45635</v>
      </c>
      <c r="C81" s="4"/>
      <c r="D81" s="5"/>
      <c r="E81" s="4"/>
      <c r="F81" s="4"/>
      <c r="G81" s="4"/>
      <c r="H81" s="4"/>
      <c r="I81" s="4"/>
      <c r="J81" s="4"/>
      <c r="K81" s="4"/>
      <c r="L81" s="5"/>
      <c r="M81" s="4"/>
      <c r="N81" s="4"/>
      <c r="O81" s="4"/>
      <c r="P81" s="5"/>
      <c r="Q81" s="5"/>
      <c r="R81" s="4"/>
      <c r="S81" s="4"/>
      <c r="T81" s="4"/>
      <c r="U81" s="5"/>
      <c r="V81" s="5"/>
      <c r="W81" s="4"/>
      <c r="X81" s="5"/>
      <c r="Y81" s="4"/>
      <c r="Z81" s="6"/>
      <c r="AA81" s="4"/>
      <c r="AB81" s="4"/>
      <c r="AC81" s="4"/>
      <c r="AD81" s="4"/>
      <c r="AE81" s="4"/>
    </row>
    <row r="82" ht="19.6" customHeight="1" spans="1:31">
      <c r="A82" s="2" t="s">
        <v>600</v>
      </c>
      <c r="B82" s="3">
        <v>45636</v>
      </c>
      <c r="C82" s="4"/>
      <c r="D82" s="5"/>
      <c r="E82" s="4"/>
      <c r="F82" s="4"/>
      <c r="G82" s="4"/>
      <c r="H82" s="4"/>
      <c r="I82" s="4"/>
      <c r="J82" s="4"/>
      <c r="K82" s="4"/>
      <c r="L82" s="5"/>
      <c r="M82" s="4"/>
      <c r="N82" s="4"/>
      <c r="O82" s="4"/>
      <c r="P82" s="5"/>
      <c r="Q82" s="5"/>
      <c r="R82" s="4"/>
      <c r="S82" s="4"/>
      <c r="T82" s="4"/>
      <c r="U82" s="5"/>
      <c r="V82" s="5"/>
      <c r="W82" s="4"/>
      <c r="X82" s="5"/>
      <c r="Y82" s="4"/>
      <c r="Z82" s="6"/>
      <c r="AA82" s="4"/>
      <c r="AB82" s="4"/>
      <c r="AC82" s="4"/>
      <c r="AD82" s="4"/>
      <c r="AE82" s="4"/>
    </row>
    <row r="83" ht="19.6" customHeight="1" spans="1:31">
      <c r="A83" s="2" t="s">
        <v>600</v>
      </c>
      <c r="B83" s="3">
        <v>45637</v>
      </c>
      <c r="C83" s="4"/>
      <c r="D83" s="5"/>
      <c r="E83" s="4"/>
      <c r="F83" s="4"/>
      <c r="G83" s="4"/>
      <c r="H83" s="4"/>
      <c r="I83" s="4"/>
      <c r="J83" s="4"/>
      <c r="K83" s="4"/>
      <c r="L83" s="5"/>
      <c r="M83" s="4"/>
      <c r="N83" s="4"/>
      <c r="O83" s="4"/>
      <c r="P83" s="5"/>
      <c r="Q83" s="5"/>
      <c r="R83" s="4"/>
      <c r="S83" s="4"/>
      <c r="T83" s="4"/>
      <c r="U83" s="5"/>
      <c r="V83" s="5"/>
      <c r="W83" s="4"/>
      <c r="X83" s="5"/>
      <c r="Y83" s="4"/>
      <c r="Z83" s="6"/>
      <c r="AA83" s="4"/>
      <c r="AB83" s="4"/>
      <c r="AC83" s="4"/>
      <c r="AD83" s="4"/>
      <c r="AE83" s="4"/>
    </row>
    <row r="84" ht="19.6" customHeight="1" spans="1:31">
      <c r="A84" s="2" t="s">
        <v>600</v>
      </c>
      <c r="B84" s="3">
        <v>45638</v>
      </c>
      <c r="C84" s="4"/>
      <c r="D84" s="5"/>
      <c r="E84" s="4"/>
      <c r="F84" s="4"/>
      <c r="G84" s="4"/>
      <c r="H84" s="4"/>
      <c r="I84" s="4"/>
      <c r="J84" s="4"/>
      <c r="K84" s="4"/>
      <c r="L84" s="5"/>
      <c r="M84" s="4"/>
      <c r="N84" s="4"/>
      <c r="O84" s="4"/>
      <c r="P84" s="5"/>
      <c r="Q84" s="5"/>
      <c r="R84" s="4"/>
      <c r="S84" s="4"/>
      <c r="T84" s="4"/>
      <c r="U84" s="5"/>
      <c r="V84" s="5"/>
      <c r="W84" s="4"/>
      <c r="X84" s="5"/>
      <c r="Y84" s="4"/>
      <c r="Z84" s="6"/>
      <c r="AA84" s="4"/>
      <c r="AB84" s="4"/>
      <c r="AC84" s="4"/>
      <c r="AD84" s="4"/>
      <c r="AE84" s="4"/>
    </row>
    <row r="85" ht="19.6" customHeight="1" spans="1:31">
      <c r="A85" s="2" t="s">
        <v>600</v>
      </c>
      <c r="B85" s="3">
        <v>45639</v>
      </c>
      <c r="C85" s="4"/>
      <c r="D85" s="5"/>
      <c r="E85" s="4"/>
      <c r="F85" s="4"/>
      <c r="G85" s="4"/>
      <c r="H85" s="4"/>
      <c r="I85" s="4"/>
      <c r="J85" s="4"/>
      <c r="K85" s="4"/>
      <c r="L85" s="5"/>
      <c r="M85" s="4"/>
      <c r="N85" s="4"/>
      <c r="O85" s="4"/>
      <c r="P85" s="5"/>
      <c r="Q85" s="5"/>
      <c r="R85" s="4"/>
      <c r="S85" s="4"/>
      <c r="T85" s="4"/>
      <c r="U85" s="5"/>
      <c r="V85" s="5"/>
      <c r="W85" s="4"/>
      <c r="X85" s="5"/>
      <c r="Y85" s="4"/>
      <c r="Z85" s="6"/>
      <c r="AA85" s="4"/>
      <c r="AB85" s="4"/>
      <c r="AC85" s="4"/>
      <c r="AD85" s="4"/>
      <c r="AE85" s="4"/>
    </row>
    <row r="86" ht="19.6" customHeight="1" spans="1:31">
      <c r="A86" s="2" t="s">
        <v>600</v>
      </c>
      <c r="B86" s="3">
        <v>45640</v>
      </c>
      <c r="C86" s="4"/>
      <c r="D86" s="5"/>
      <c r="E86" s="4"/>
      <c r="F86" s="4"/>
      <c r="G86" s="4"/>
      <c r="H86" s="4"/>
      <c r="I86" s="4"/>
      <c r="J86" s="4"/>
      <c r="K86" s="4"/>
      <c r="L86" s="5"/>
      <c r="M86" s="4"/>
      <c r="N86" s="4"/>
      <c r="O86" s="4"/>
      <c r="P86" s="5"/>
      <c r="Q86" s="5"/>
      <c r="R86" s="4"/>
      <c r="S86" s="4"/>
      <c r="T86" s="4"/>
      <c r="U86" s="5"/>
      <c r="V86" s="5"/>
      <c r="W86" s="4"/>
      <c r="X86" s="5"/>
      <c r="Y86" s="4"/>
      <c r="Z86" s="6"/>
      <c r="AA86" s="4"/>
      <c r="AB86" s="4"/>
      <c r="AC86" s="4"/>
      <c r="AD86" s="4"/>
      <c r="AE86" s="4"/>
    </row>
    <row r="87" ht="19.6" customHeight="1" spans="1:31">
      <c r="A87" s="2" t="s">
        <v>600</v>
      </c>
      <c r="B87" s="3">
        <v>45641</v>
      </c>
      <c r="C87" s="4"/>
      <c r="D87" s="5"/>
      <c r="E87" s="4"/>
      <c r="F87" s="4"/>
      <c r="G87" s="4"/>
      <c r="H87" s="4"/>
      <c r="I87" s="4"/>
      <c r="J87" s="4"/>
      <c r="K87" s="4"/>
      <c r="L87" s="5"/>
      <c r="M87" s="4"/>
      <c r="N87" s="4"/>
      <c r="O87" s="4"/>
      <c r="P87" s="5"/>
      <c r="Q87" s="5"/>
      <c r="R87" s="4"/>
      <c r="S87" s="4"/>
      <c r="T87" s="4"/>
      <c r="U87" s="5"/>
      <c r="V87" s="5"/>
      <c r="W87" s="4"/>
      <c r="X87" s="5"/>
      <c r="Y87" s="4"/>
      <c r="Z87" s="6"/>
      <c r="AA87" s="4"/>
      <c r="AB87" s="4"/>
      <c r="AC87" s="4"/>
      <c r="AD87" s="4"/>
      <c r="AE87" s="4"/>
    </row>
    <row r="88" ht="19.6" customHeight="1" spans="1:31">
      <c r="A88" s="2" t="s">
        <v>600</v>
      </c>
      <c r="B88" s="3">
        <v>45642</v>
      </c>
      <c r="C88" s="4"/>
      <c r="D88" s="5"/>
      <c r="E88" s="4"/>
      <c r="F88" s="4"/>
      <c r="G88" s="4"/>
      <c r="H88" s="4"/>
      <c r="I88" s="4"/>
      <c r="J88" s="4"/>
      <c r="K88" s="4"/>
      <c r="L88" s="5"/>
      <c r="M88" s="4"/>
      <c r="N88" s="4"/>
      <c r="O88" s="4"/>
      <c r="P88" s="5"/>
      <c r="Q88" s="5"/>
      <c r="R88" s="4"/>
      <c r="S88" s="4"/>
      <c r="T88" s="4"/>
      <c r="U88" s="5"/>
      <c r="V88" s="5"/>
      <c r="W88" s="4"/>
      <c r="X88" s="5"/>
      <c r="Y88" s="4"/>
      <c r="Z88" s="6"/>
      <c r="AA88" s="4"/>
      <c r="AB88" s="4"/>
      <c r="AC88" s="4"/>
      <c r="AD88" s="4"/>
      <c r="AE88" s="4"/>
    </row>
    <row r="89" ht="19.6" customHeight="1" spans="1:31">
      <c r="A89" s="2" t="s">
        <v>600</v>
      </c>
      <c r="B89" s="3">
        <v>45643</v>
      </c>
      <c r="C89" s="4"/>
      <c r="D89" s="5"/>
      <c r="E89" s="4"/>
      <c r="F89" s="4"/>
      <c r="G89" s="4"/>
      <c r="H89" s="4"/>
      <c r="I89" s="4"/>
      <c r="J89" s="4"/>
      <c r="K89" s="4"/>
      <c r="L89" s="5"/>
      <c r="M89" s="4"/>
      <c r="N89" s="4"/>
      <c r="O89" s="4"/>
      <c r="P89" s="5"/>
      <c r="Q89" s="5"/>
      <c r="R89" s="4"/>
      <c r="S89" s="4"/>
      <c r="T89" s="4"/>
      <c r="U89" s="5"/>
      <c r="V89" s="5"/>
      <c r="W89" s="4"/>
      <c r="X89" s="5"/>
      <c r="Y89" s="4"/>
      <c r="Z89" s="6"/>
      <c r="AA89" s="4"/>
      <c r="AB89" s="4"/>
      <c r="AC89" s="4"/>
      <c r="AD89" s="4"/>
      <c r="AE89" s="4"/>
    </row>
    <row r="90" ht="19.6" customHeight="1" spans="1:31">
      <c r="A90" s="2" t="s">
        <v>600</v>
      </c>
      <c r="B90" s="3">
        <v>45644</v>
      </c>
      <c r="C90" s="4"/>
      <c r="D90" s="5"/>
      <c r="E90" s="4"/>
      <c r="F90" s="4"/>
      <c r="G90" s="4"/>
      <c r="H90" s="4"/>
      <c r="I90" s="4"/>
      <c r="J90" s="4"/>
      <c r="K90" s="4"/>
      <c r="L90" s="5"/>
      <c r="M90" s="4"/>
      <c r="N90" s="4"/>
      <c r="O90" s="4"/>
      <c r="P90" s="5"/>
      <c r="Q90" s="5"/>
      <c r="R90" s="4"/>
      <c r="S90" s="4"/>
      <c r="T90" s="4"/>
      <c r="U90" s="5"/>
      <c r="V90" s="5"/>
      <c r="W90" s="4"/>
      <c r="X90" s="5"/>
      <c r="Y90" s="4"/>
      <c r="Z90" s="6"/>
      <c r="AA90" s="4"/>
      <c r="AB90" s="4"/>
      <c r="AC90" s="4"/>
      <c r="AD90" s="4"/>
      <c r="AE90" s="4"/>
    </row>
    <row r="91" ht="19.6" customHeight="1" spans="1:31">
      <c r="A91" s="2" t="s">
        <v>600</v>
      </c>
      <c r="B91" s="3">
        <v>45645</v>
      </c>
      <c r="C91" s="4"/>
      <c r="D91" s="5"/>
      <c r="E91" s="4"/>
      <c r="F91" s="4"/>
      <c r="G91" s="4"/>
      <c r="H91" s="4"/>
      <c r="I91" s="4"/>
      <c r="J91" s="4"/>
      <c r="K91" s="4"/>
      <c r="L91" s="5"/>
      <c r="M91" s="4"/>
      <c r="N91" s="4"/>
      <c r="O91" s="4"/>
      <c r="P91" s="5"/>
      <c r="Q91" s="5"/>
      <c r="R91" s="4"/>
      <c r="S91" s="4"/>
      <c r="T91" s="4"/>
      <c r="U91" s="5"/>
      <c r="V91" s="5"/>
      <c r="W91" s="4"/>
      <c r="X91" s="5"/>
      <c r="Y91" s="4"/>
      <c r="Z91" s="6"/>
      <c r="AA91" s="4"/>
      <c r="AB91" s="4"/>
      <c r="AC91" s="4"/>
      <c r="AD91" s="4"/>
      <c r="AE91" s="4"/>
    </row>
    <row r="92" ht="19.6" customHeight="1" spans="1:31">
      <c r="A92" s="2" t="s">
        <v>600</v>
      </c>
      <c r="B92" s="3">
        <v>45646</v>
      </c>
      <c r="C92" s="4"/>
      <c r="D92" s="5"/>
      <c r="E92" s="4"/>
      <c r="F92" s="4"/>
      <c r="G92" s="4"/>
      <c r="H92" s="4"/>
      <c r="I92" s="4"/>
      <c r="J92" s="4"/>
      <c r="K92" s="4"/>
      <c r="L92" s="5"/>
      <c r="M92" s="4"/>
      <c r="N92" s="4"/>
      <c r="O92" s="4"/>
      <c r="P92" s="5"/>
      <c r="Q92" s="5"/>
      <c r="R92" s="4"/>
      <c r="S92" s="4"/>
      <c r="T92" s="4"/>
      <c r="U92" s="5"/>
      <c r="V92" s="5"/>
      <c r="W92" s="4"/>
      <c r="X92" s="5"/>
      <c r="Y92" s="4"/>
      <c r="Z92" s="6"/>
      <c r="AA92" s="4"/>
      <c r="AB92" s="4"/>
      <c r="AC92" s="4"/>
      <c r="AD92" s="4"/>
      <c r="AE92" s="4"/>
    </row>
    <row r="93" ht="19.6" customHeight="1" spans="1:31">
      <c r="A93" s="2" t="s">
        <v>600</v>
      </c>
      <c r="B93" s="3">
        <v>45647</v>
      </c>
      <c r="C93" s="4"/>
      <c r="D93" s="5"/>
      <c r="E93" s="4"/>
      <c r="F93" s="4"/>
      <c r="G93" s="4"/>
      <c r="H93" s="4"/>
      <c r="I93" s="4"/>
      <c r="J93" s="4"/>
      <c r="K93" s="4"/>
      <c r="L93" s="5"/>
      <c r="M93" s="4"/>
      <c r="N93" s="4"/>
      <c r="O93" s="4"/>
      <c r="P93" s="5"/>
      <c r="Q93" s="5"/>
      <c r="R93" s="4"/>
      <c r="S93" s="4"/>
      <c r="T93" s="4"/>
      <c r="U93" s="5"/>
      <c r="V93" s="5"/>
      <c r="W93" s="4"/>
      <c r="X93" s="5"/>
      <c r="Y93" s="4"/>
      <c r="Z93" s="6"/>
      <c r="AA93" s="4"/>
      <c r="AB93" s="4"/>
      <c r="AC93" s="4"/>
      <c r="AD93" s="4"/>
      <c r="AE93" s="4"/>
    </row>
    <row r="94" ht="19.6" customHeight="1" spans="1:31">
      <c r="A94" s="2" t="s">
        <v>600</v>
      </c>
      <c r="B94" s="3">
        <v>45648</v>
      </c>
      <c r="C94" s="4"/>
      <c r="D94" s="5"/>
      <c r="E94" s="4"/>
      <c r="F94" s="4"/>
      <c r="G94" s="4"/>
      <c r="H94" s="4"/>
      <c r="I94" s="4"/>
      <c r="J94" s="4"/>
      <c r="K94" s="4"/>
      <c r="L94" s="5"/>
      <c r="M94" s="4"/>
      <c r="N94" s="4"/>
      <c r="O94" s="4"/>
      <c r="P94" s="5"/>
      <c r="Q94" s="5"/>
      <c r="R94" s="4"/>
      <c r="S94" s="4"/>
      <c r="T94" s="4"/>
      <c r="U94" s="5"/>
      <c r="V94" s="5"/>
      <c r="W94" s="4"/>
      <c r="X94" s="5"/>
      <c r="Y94" s="4"/>
      <c r="Z94" s="6"/>
      <c r="AA94" s="4"/>
      <c r="AB94" s="4"/>
      <c r="AC94" s="4"/>
      <c r="AD94" s="4"/>
      <c r="AE94" s="4"/>
    </row>
    <row r="95" ht="19.6" customHeight="1" spans="1:31">
      <c r="A95" s="2" t="s">
        <v>600</v>
      </c>
      <c r="B95" s="3">
        <v>45649</v>
      </c>
      <c r="C95" s="4"/>
      <c r="D95" s="5"/>
      <c r="E95" s="4"/>
      <c r="F95" s="4"/>
      <c r="G95" s="4"/>
      <c r="H95" s="4"/>
      <c r="I95" s="4"/>
      <c r="J95" s="4"/>
      <c r="K95" s="4"/>
      <c r="L95" s="5"/>
      <c r="M95" s="4"/>
      <c r="N95" s="4"/>
      <c r="O95" s="4"/>
      <c r="P95" s="5"/>
      <c r="Q95" s="5"/>
      <c r="R95" s="4"/>
      <c r="S95" s="4"/>
      <c r="T95" s="4"/>
      <c r="U95" s="5"/>
      <c r="V95" s="5"/>
      <c r="W95" s="4"/>
      <c r="X95" s="5"/>
      <c r="Y95" s="4"/>
      <c r="Z95" s="6"/>
      <c r="AA95" s="4"/>
      <c r="AB95" s="4"/>
      <c r="AC95" s="4"/>
      <c r="AD95" s="4"/>
      <c r="AE95" s="4"/>
    </row>
    <row r="96" ht="19.6" customHeight="1" spans="1:31">
      <c r="A96" s="2" t="s">
        <v>600</v>
      </c>
      <c r="B96" s="3">
        <v>45650</v>
      </c>
      <c r="C96" s="7"/>
      <c r="D96" s="8"/>
      <c r="E96" s="7"/>
      <c r="F96" s="7"/>
      <c r="G96" s="7"/>
      <c r="H96" s="7"/>
      <c r="I96" s="7"/>
      <c r="J96" s="7"/>
      <c r="K96" s="7"/>
      <c r="L96" s="8"/>
      <c r="M96" s="4"/>
      <c r="N96" s="7"/>
      <c r="O96" s="7"/>
      <c r="P96" s="8"/>
      <c r="Q96" s="8"/>
      <c r="R96" s="7"/>
      <c r="S96" s="7"/>
      <c r="T96" s="7"/>
      <c r="U96" s="8"/>
      <c r="V96" s="8"/>
      <c r="W96" s="7"/>
      <c r="X96" s="8"/>
      <c r="Y96" s="7"/>
      <c r="Z96" s="6"/>
      <c r="AA96" s="4"/>
      <c r="AB96" s="4"/>
      <c r="AC96" s="4"/>
      <c r="AD96" s="4"/>
      <c r="AE96" s="4"/>
    </row>
    <row r="97" ht="19.6" customHeight="1" spans="1:31">
      <c r="A97" s="2" t="s">
        <v>600</v>
      </c>
      <c r="B97" s="3">
        <v>45651</v>
      </c>
      <c r="C97" s="7"/>
      <c r="D97" s="8"/>
      <c r="E97" s="7"/>
      <c r="F97" s="7"/>
      <c r="G97" s="7"/>
      <c r="H97" s="7"/>
      <c r="I97" s="7"/>
      <c r="J97" s="7"/>
      <c r="K97" s="7"/>
      <c r="L97" s="8"/>
      <c r="M97" s="4"/>
      <c r="N97" s="7"/>
      <c r="O97" s="7"/>
      <c r="P97" s="8"/>
      <c r="Q97" s="8"/>
      <c r="R97" s="7"/>
      <c r="S97" s="7"/>
      <c r="T97" s="7"/>
      <c r="U97" s="8"/>
      <c r="V97" s="8"/>
      <c r="W97" s="7"/>
      <c r="X97" s="8"/>
      <c r="Y97" s="7"/>
      <c r="Z97" s="6"/>
      <c r="AA97" s="4"/>
      <c r="AB97" s="4"/>
      <c r="AC97" s="4"/>
      <c r="AD97" s="4"/>
      <c r="AE97" s="4"/>
    </row>
    <row r="98" ht="19.6" customHeight="1" spans="1:31">
      <c r="A98" s="2" t="s">
        <v>600</v>
      </c>
      <c r="B98" s="3">
        <v>45652</v>
      </c>
      <c r="C98" s="7"/>
      <c r="D98" s="8"/>
      <c r="E98" s="7"/>
      <c r="F98" s="7"/>
      <c r="G98" s="7"/>
      <c r="H98" s="7"/>
      <c r="I98" s="7"/>
      <c r="J98" s="7"/>
      <c r="K98" s="7"/>
      <c r="L98" s="8"/>
      <c r="M98" s="4"/>
      <c r="N98" s="7"/>
      <c r="O98" s="7"/>
      <c r="P98" s="8"/>
      <c r="Q98" s="8"/>
      <c r="R98" s="7"/>
      <c r="S98" s="7"/>
      <c r="T98" s="7"/>
      <c r="U98" s="8"/>
      <c r="V98" s="8"/>
      <c r="W98" s="7"/>
      <c r="X98" s="8"/>
      <c r="Y98" s="7"/>
      <c r="Z98" s="6"/>
      <c r="AA98" s="4"/>
      <c r="AB98" s="4"/>
      <c r="AC98" s="4"/>
      <c r="AD98" s="4"/>
      <c r="AE98" s="4"/>
    </row>
    <row r="99" ht="19.6" customHeight="1" spans="1:31">
      <c r="A99" s="2" t="s">
        <v>600</v>
      </c>
      <c r="B99" s="3">
        <v>45653</v>
      </c>
      <c r="C99" s="7"/>
      <c r="D99" s="8"/>
      <c r="E99" s="7"/>
      <c r="F99" s="7"/>
      <c r="G99" s="7"/>
      <c r="H99" s="7"/>
      <c r="I99" s="7"/>
      <c r="J99" s="7"/>
      <c r="K99" s="7"/>
      <c r="L99" s="8"/>
      <c r="M99" s="4"/>
      <c r="N99" s="7"/>
      <c r="O99" s="7"/>
      <c r="P99" s="8"/>
      <c r="Q99" s="8"/>
      <c r="R99" s="7"/>
      <c r="S99" s="7"/>
      <c r="T99" s="7"/>
      <c r="U99" s="8"/>
      <c r="V99" s="8"/>
      <c r="W99" s="7"/>
      <c r="X99" s="8"/>
      <c r="Y99" s="7"/>
      <c r="Z99" s="6"/>
      <c r="AA99" s="4"/>
      <c r="AB99" s="4"/>
      <c r="AC99" s="4"/>
      <c r="AD99" s="4"/>
      <c r="AE99" s="4"/>
    </row>
    <row r="100" ht="19.6" customHeight="1" spans="1:31">
      <c r="A100" s="2" t="s">
        <v>600</v>
      </c>
      <c r="B100" s="3">
        <v>45654</v>
      </c>
      <c r="C100" s="7"/>
      <c r="D100" s="8"/>
      <c r="E100" s="7"/>
      <c r="F100" s="7"/>
      <c r="G100" s="7"/>
      <c r="H100" s="7"/>
      <c r="I100" s="7"/>
      <c r="J100" s="7"/>
      <c r="K100" s="7"/>
      <c r="L100" s="8"/>
      <c r="M100" s="4"/>
      <c r="N100" s="7"/>
      <c r="O100" s="7"/>
      <c r="P100" s="8"/>
      <c r="Q100" s="8"/>
      <c r="R100" s="7"/>
      <c r="S100" s="7"/>
      <c r="T100" s="7"/>
      <c r="U100" s="8"/>
      <c r="V100" s="8"/>
      <c r="W100" s="7"/>
      <c r="X100" s="8"/>
      <c r="Y100" s="7"/>
      <c r="Z100" s="6"/>
      <c r="AA100" s="4"/>
      <c r="AB100" s="4"/>
      <c r="AC100" s="4"/>
      <c r="AD100" s="4"/>
      <c r="AE100" s="4"/>
    </row>
    <row r="101" ht="19.6" customHeight="1" spans="1:31">
      <c r="A101" s="2" t="s">
        <v>600</v>
      </c>
      <c r="B101" s="3">
        <v>45655</v>
      </c>
      <c r="C101" s="7"/>
      <c r="D101" s="8"/>
      <c r="E101" s="7"/>
      <c r="F101" s="7"/>
      <c r="G101" s="7"/>
      <c r="H101" s="7"/>
      <c r="I101" s="7"/>
      <c r="J101" s="7"/>
      <c r="K101" s="7"/>
      <c r="L101" s="8"/>
      <c r="M101" s="4"/>
      <c r="N101" s="7"/>
      <c r="O101" s="7"/>
      <c r="P101" s="8"/>
      <c r="Q101" s="8"/>
      <c r="R101" s="7"/>
      <c r="S101" s="7"/>
      <c r="T101" s="7"/>
      <c r="U101" s="8"/>
      <c r="V101" s="8"/>
      <c r="W101" s="7"/>
      <c r="X101" s="8"/>
      <c r="Y101" s="7"/>
      <c r="Z101" s="6"/>
      <c r="AA101" s="4"/>
      <c r="AB101" s="4"/>
      <c r="AC101" s="4"/>
      <c r="AD101" s="4"/>
      <c r="AE101" s="4"/>
    </row>
    <row r="102" ht="19.6" customHeight="1" spans="1:31">
      <c r="A102" s="2" t="s">
        <v>600</v>
      </c>
      <c r="B102" s="3">
        <v>45656</v>
      </c>
      <c r="C102" s="7"/>
      <c r="D102" s="8"/>
      <c r="E102" s="7"/>
      <c r="F102" s="7"/>
      <c r="G102" s="7"/>
      <c r="H102" s="7"/>
      <c r="I102" s="7"/>
      <c r="J102" s="7"/>
      <c r="K102" s="7"/>
      <c r="L102" s="8"/>
      <c r="M102" s="4"/>
      <c r="N102" s="7"/>
      <c r="O102" s="7"/>
      <c r="P102" s="8"/>
      <c r="Q102" s="8"/>
      <c r="R102" s="7"/>
      <c r="S102" s="7"/>
      <c r="T102" s="7"/>
      <c r="U102" s="8"/>
      <c r="V102" s="8"/>
      <c r="W102" s="7"/>
      <c r="X102" s="8"/>
      <c r="Y102" s="7"/>
      <c r="Z102" s="6"/>
      <c r="AA102" s="4"/>
      <c r="AB102" s="4"/>
      <c r="AC102" s="4"/>
      <c r="AD102" s="4"/>
      <c r="AE102" s="4"/>
    </row>
    <row r="103" ht="19.6" customHeight="1" spans="1:31">
      <c r="A103" s="2" t="s">
        <v>600</v>
      </c>
      <c r="B103" s="3">
        <v>45657</v>
      </c>
      <c r="C103" s="7"/>
      <c r="D103" s="8"/>
      <c r="E103" s="7"/>
      <c r="F103" s="7"/>
      <c r="G103" s="7"/>
      <c r="H103" s="7"/>
      <c r="I103" s="7"/>
      <c r="J103" s="7"/>
      <c r="K103" s="7"/>
      <c r="L103" s="8"/>
      <c r="M103" s="4"/>
      <c r="N103" s="7"/>
      <c r="O103" s="7"/>
      <c r="P103" s="8"/>
      <c r="Q103" s="8"/>
      <c r="R103" s="7"/>
      <c r="S103" s="7"/>
      <c r="T103" s="7"/>
      <c r="U103" s="8"/>
      <c r="V103" s="8"/>
      <c r="W103" s="7"/>
      <c r="X103" s="8"/>
      <c r="Y103" s="7"/>
      <c r="Z103" s="6"/>
      <c r="AA103" s="4"/>
      <c r="AB103" s="4"/>
      <c r="AC103" s="4"/>
      <c r="AD103" s="4"/>
      <c r="AE103" s="4"/>
    </row>
    <row r="104" ht="19.6" customHeight="1" spans="1:31">
      <c r="A104" s="2" t="s">
        <v>600</v>
      </c>
      <c r="B104" s="3">
        <v>45658</v>
      </c>
      <c r="C104" s="7"/>
      <c r="D104" s="8"/>
      <c r="E104" s="7"/>
      <c r="F104" s="7"/>
      <c r="G104" s="7"/>
      <c r="H104" s="7"/>
      <c r="I104" s="7"/>
      <c r="J104" s="7"/>
      <c r="K104" s="7"/>
      <c r="L104" s="8"/>
      <c r="M104" s="4"/>
      <c r="N104" s="7"/>
      <c r="O104" s="7"/>
      <c r="P104" s="8"/>
      <c r="Q104" s="8"/>
      <c r="R104" s="7"/>
      <c r="S104" s="7"/>
      <c r="T104" s="7"/>
      <c r="U104" s="8"/>
      <c r="V104" s="8"/>
      <c r="W104" s="7"/>
      <c r="X104" s="8"/>
      <c r="Y104" s="7"/>
      <c r="Z104" s="6"/>
      <c r="AA104" s="4"/>
      <c r="AB104" s="4"/>
      <c r="AC104" s="4"/>
      <c r="AD104" s="4"/>
      <c r="AE104" s="4"/>
    </row>
    <row r="105" ht="19.6" customHeight="1" spans="1:31">
      <c r="A105" s="2" t="s">
        <v>600</v>
      </c>
      <c r="B105" s="3">
        <v>45659</v>
      </c>
      <c r="C105" s="7"/>
      <c r="D105" s="8"/>
      <c r="E105" s="7"/>
      <c r="F105" s="7"/>
      <c r="G105" s="7"/>
      <c r="H105" s="7"/>
      <c r="I105" s="7"/>
      <c r="J105" s="7"/>
      <c r="K105" s="7"/>
      <c r="L105" s="8"/>
      <c r="M105" s="4"/>
      <c r="N105" s="7"/>
      <c r="O105" s="7"/>
      <c r="P105" s="8"/>
      <c r="Q105" s="8"/>
      <c r="R105" s="7"/>
      <c r="S105" s="7"/>
      <c r="T105" s="7"/>
      <c r="U105" s="8"/>
      <c r="V105" s="8"/>
      <c r="W105" s="7"/>
      <c r="X105" s="8"/>
      <c r="Y105" s="7"/>
      <c r="Z105" s="6"/>
      <c r="AA105" s="4"/>
      <c r="AB105" s="4"/>
      <c r="AC105" s="4"/>
      <c r="AD105" s="4"/>
      <c r="AE105" s="4"/>
    </row>
    <row r="106" ht="19.6" customHeight="1" spans="1:31">
      <c r="A106" s="2" t="s">
        <v>600</v>
      </c>
      <c r="B106" s="3">
        <v>45660</v>
      </c>
      <c r="C106" s="7"/>
      <c r="D106" s="8"/>
      <c r="E106" s="7"/>
      <c r="F106" s="7"/>
      <c r="G106" s="7"/>
      <c r="H106" s="7"/>
      <c r="I106" s="7"/>
      <c r="J106" s="7"/>
      <c r="K106" s="7"/>
      <c r="L106" s="8"/>
      <c r="M106" s="4"/>
      <c r="N106" s="7"/>
      <c r="O106" s="7"/>
      <c r="P106" s="8"/>
      <c r="Q106" s="8"/>
      <c r="R106" s="7"/>
      <c r="S106" s="7"/>
      <c r="T106" s="7"/>
      <c r="U106" s="8"/>
      <c r="V106" s="8"/>
      <c r="W106" s="7"/>
      <c r="X106" s="8"/>
      <c r="Y106" s="7"/>
      <c r="Z106" s="6"/>
      <c r="AA106" s="4"/>
      <c r="AB106" s="4"/>
      <c r="AC106" s="4"/>
      <c r="AD106" s="4"/>
      <c r="AE106" s="4"/>
    </row>
    <row r="107" ht="19.6" customHeight="1" spans="1:31">
      <c r="A107" s="2" t="s">
        <v>600</v>
      </c>
      <c r="B107" s="3">
        <v>45661</v>
      </c>
      <c r="C107" s="7"/>
      <c r="D107" s="8"/>
      <c r="E107" s="7"/>
      <c r="F107" s="7"/>
      <c r="G107" s="7"/>
      <c r="H107" s="7"/>
      <c r="I107" s="7"/>
      <c r="J107" s="7"/>
      <c r="K107" s="7"/>
      <c r="L107" s="8"/>
      <c r="M107" s="4"/>
      <c r="N107" s="7"/>
      <c r="O107" s="7"/>
      <c r="P107" s="8"/>
      <c r="Q107" s="8"/>
      <c r="R107" s="7"/>
      <c r="S107" s="7"/>
      <c r="T107" s="7"/>
      <c r="U107" s="8"/>
      <c r="V107" s="8"/>
      <c r="W107" s="7"/>
      <c r="X107" s="8"/>
      <c r="Y107" s="7"/>
      <c r="Z107" s="6"/>
      <c r="AA107" s="4"/>
      <c r="AB107" s="4"/>
      <c r="AC107" s="4"/>
      <c r="AD107" s="4"/>
      <c r="AE107" s="4"/>
    </row>
    <row r="108" ht="19.6" customHeight="1" spans="1:31">
      <c r="A108" s="2" t="s">
        <v>600</v>
      </c>
      <c r="B108" s="3">
        <v>45662</v>
      </c>
      <c r="C108" s="7"/>
      <c r="D108" s="8"/>
      <c r="E108" s="7"/>
      <c r="F108" s="7"/>
      <c r="G108" s="7"/>
      <c r="H108" s="7"/>
      <c r="I108" s="7"/>
      <c r="J108" s="7"/>
      <c r="K108" s="7"/>
      <c r="L108" s="8"/>
      <c r="M108" s="4"/>
      <c r="N108" s="7"/>
      <c r="O108" s="7"/>
      <c r="P108" s="8"/>
      <c r="Q108" s="8"/>
      <c r="R108" s="7"/>
      <c r="S108" s="7"/>
      <c r="T108" s="7"/>
      <c r="U108" s="8"/>
      <c r="V108" s="8"/>
      <c r="W108" s="7"/>
      <c r="X108" s="8"/>
      <c r="Y108" s="7"/>
      <c r="Z108" s="6"/>
      <c r="AA108" s="4"/>
      <c r="AB108" s="4"/>
      <c r="AC108" s="4"/>
      <c r="AD108" s="4"/>
      <c r="AE108" s="4"/>
    </row>
    <row r="109" ht="19.6" customHeight="1" spans="1:31">
      <c r="A109" s="2" t="s">
        <v>600</v>
      </c>
      <c r="B109" s="3">
        <v>45663</v>
      </c>
      <c r="C109" s="7"/>
      <c r="D109" s="8"/>
      <c r="E109" s="7"/>
      <c r="F109" s="7"/>
      <c r="G109" s="7"/>
      <c r="H109" s="7"/>
      <c r="I109" s="7"/>
      <c r="J109" s="7"/>
      <c r="K109" s="7"/>
      <c r="L109" s="8"/>
      <c r="M109" s="4"/>
      <c r="N109" s="7"/>
      <c r="O109" s="7"/>
      <c r="P109" s="8"/>
      <c r="Q109" s="8"/>
      <c r="R109" s="7"/>
      <c r="S109" s="7"/>
      <c r="T109" s="7"/>
      <c r="U109" s="8"/>
      <c r="V109" s="8"/>
      <c r="W109" s="7"/>
      <c r="X109" s="8"/>
      <c r="Y109" s="7"/>
      <c r="Z109" s="6"/>
      <c r="AA109" s="4"/>
      <c r="AB109" s="4"/>
      <c r="AC109" s="4"/>
      <c r="AD109" s="4"/>
      <c r="AE109" s="4"/>
    </row>
    <row r="110" ht="19.6" customHeight="1" spans="1:31">
      <c r="A110" s="2" t="s">
        <v>600</v>
      </c>
      <c r="B110" s="3">
        <v>45664</v>
      </c>
      <c r="C110" s="7"/>
      <c r="D110" s="8"/>
      <c r="E110" s="7"/>
      <c r="F110" s="7"/>
      <c r="G110" s="7"/>
      <c r="H110" s="7"/>
      <c r="I110" s="7"/>
      <c r="J110" s="7"/>
      <c r="K110" s="7"/>
      <c r="L110" s="8"/>
      <c r="M110" s="4"/>
      <c r="N110" s="7"/>
      <c r="O110" s="7"/>
      <c r="P110" s="8"/>
      <c r="Q110" s="8"/>
      <c r="R110" s="7"/>
      <c r="S110" s="7"/>
      <c r="T110" s="7"/>
      <c r="U110" s="8"/>
      <c r="V110" s="8"/>
      <c r="W110" s="7"/>
      <c r="X110" s="8"/>
      <c r="Y110" s="7"/>
      <c r="Z110" s="6"/>
      <c r="AA110" s="4"/>
      <c r="AB110" s="4"/>
      <c r="AC110" s="4"/>
      <c r="AD110" s="4"/>
      <c r="AE110" s="4"/>
    </row>
    <row r="111" ht="19.6" customHeight="1" spans="1:31">
      <c r="A111" s="2" t="s">
        <v>600</v>
      </c>
      <c r="B111" s="3">
        <v>45665</v>
      </c>
      <c r="C111" s="7"/>
      <c r="D111" s="8"/>
      <c r="E111" s="7"/>
      <c r="F111" s="7"/>
      <c r="G111" s="7"/>
      <c r="H111" s="7"/>
      <c r="I111" s="7"/>
      <c r="J111" s="7"/>
      <c r="K111" s="7"/>
      <c r="L111" s="8"/>
      <c r="M111" s="4"/>
      <c r="N111" s="7"/>
      <c r="O111" s="7"/>
      <c r="P111" s="8"/>
      <c r="Q111" s="8"/>
      <c r="R111" s="7"/>
      <c r="S111" s="7"/>
      <c r="T111" s="7"/>
      <c r="U111" s="8"/>
      <c r="V111" s="8"/>
      <c r="W111" s="7"/>
      <c r="X111" s="8"/>
      <c r="Y111" s="7"/>
      <c r="Z111" s="6"/>
      <c r="AA111" s="4"/>
      <c r="AB111" s="4"/>
      <c r="AC111" s="4"/>
      <c r="AD111" s="4"/>
      <c r="AE111" s="4"/>
    </row>
    <row r="112" ht="19.6" customHeight="1" spans="1:31">
      <c r="A112" s="2" t="s">
        <v>600</v>
      </c>
      <c r="B112" s="3">
        <v>45666</v>
      </c>
      <c r="C112" s="7"/>
      <c r="D112" s="8"/>
      <c r="E112" s="7"/>
      <c r="F112" s="7"/>
      <c r="G112" s="7"/>
      <c r="H112" s="7"/>
      <c r="I112" s="7"/>
      <c r="J112" s="7"/>
      <c r="K112" s="7"/>
      <c r="L112" s="8"/>
      <c r="M112" s="4"/>
      <c r="N112" s="7"/>
      <c r="O112" s="7"/>
      <c r="P112" s="8"/>
      <c r="Q112" s="8"/>
      <c r="R112" s="7"/>
      <c r="S112" s="7"/>
      <c r="T112" s="7"/>
      <c r="U112" s="8"/>
      <c r="V112" s="8"/>
      <c r="W112" s="7"/>
      <c r="X112" s="8"/>
      <c r="Y112" s="7"/>
      <c r="Z112" s="6"/>
      <c r="AA112" s="4"/>
      <c r="AB112" s="4"/>
      <c r="AC112" s="4"/>
      <c r="AD112" s="4"/>
      <c r="AE112" s="4"/>
    </row>
    <row r="113" ht="19.6" customHeight="1" spans="1:31">
      <c r="A113" s="2" t="s">
        <v>600</v>
      </c>
      <c r="B113" s="3">
        <v>45667</v>
      </c>
      <c r="C113" s="7"/>
      <c r="D113" s="8"/>
      <c r="E113" s="7"/>
      <c r="F113" s="7"/>
      <c r="G113" s="7"/>
      <c r="H113" s="7"/>
      <c r="I113" s="7"/>
      <c r="J113" s="7"/>
      <c r="K113" s="7"/>
      <c r="L113" s="8"/>
      <c r="M113" s="4"/>
      <c r="N113" s="7"/>
      <c r="O113" s="7"/>
      <c r="P113" s="8"/>
      <c r="Q113" s="8"/>
      <c r="R113" s="7"/>
      <c r="S113" s="7"/>
      <c r="T113" s="7"/>
      <c r="U113" s="8"/>
      <c r="V113" s="8"/>
      <c r="W113" s="7"/>
      <c r="X113" s="8"/>
      <c r="Y113" s="7"/>
      <c r="Z113" s="6"/>
      <c r="AA113" s="4"/>
      <c r="AB113" s="4"/>
      <c r="AC113" s="4"/>
      <c r="AD113" s="4"/>
      <c r="AE113" s="4"/>
    </row>
    <row r="114" ht="19.6" customHeight="1" spans="1:31">
      <c r="A114" s="2" t="s">
        <v>600</v>
      </c>
      <c r="B114" s="3">
        <v>45668</v>
      </c>
      <c r="C114" s="7"/>
      <c r="D114" s="8"/>
      <c r="E114" s="7"/>
      <c r="F114" s="7"/>
      <c r="G114" s="7"/>
      <c r="H114" s="7"/>
      <c r="I114" s="7"/>
      <c r="J114" s="7"/>
      <c r="K114" s="7"/>
      <c r="L114" s="8"/>
      <c r="M114" s="4"/>
      <c r="N114" s="7"/>
      <c r="O114" s="7"/>
      <c r="P114" s="8"/>
      <c r="Q114" s="8"/>
      <c r="R114" s="7"/>
      <c r="S114" s="7"/>
      <c r="T114" s="7"/>
      <c r="U114" s="8"/>
      <c r="V114" s="8"/>
      <c r="W114" s="7"/>
      <c r="X114" s="8"/>
      <c r="Y114" s="7"/>
      <c r="Z114" s="6"/>
      <c r="AA114" s="4"/>
      <c r="AB114" s="4"/>
      <c r="AC114" s="4"/>
      <c r="AD114" s="4"/>
      <c r="AE114" s="4"/>
    </row>
    <row r="115" ht="19.6" customHeight="1" spans="1:31">
      <c r="A115" s="2" t="s">
        <v>600</v>
      </c>
      <c r="B115" s="3">
        <v>45669</v>
      </c>
      <c r="C115" s="7"/>
      <c r="D115" s="8"/>
      <c r="E115" s="7"/>
      <c r="F115" s="7"/>
      <c r="G115" s="7"/>
      <c r="H115" s="7"/>
      <c r="I115" s="7"/>
      <c r="J115" s="7"/>
      <c r="K115" s="7"/>
      <c r="L115" s="8"/>
      <c r="M115" s="4"/>
      <c r="N115" s="7"/>
      <c r="O115" s="7"/>
      <c r="P115" s="8"/>
      <c r="Q115" s="8"/>
      <c r="R115" s="7"/>
      <c r="S115" s="7"/>
      <c r="T115" s="7"/>
      <c r="U115" s="8"/>
      <c r="V115" s="8"/>
      <c r="W115" s="7"/>
      <c r="X115" s="8"/>
      <c r="Y115" s="7"/>
      <c r="Z115" s="6"/>
      <c r="AA115" s="4"/>
      <c r="AB115" s="4"/>
      <c r="AC115" s="4"/>
      <c r="AD115" s="4"/>
      <c r="AE115" s="4"/>
    </row>
    <row r="116" ht="19.6" customHeight="1" spans="1:31">
      <c r="A116" s="2" t="s">
        <v>600</v>
      </c>
      <c r="B116" s="3">
        <v>45670</v>
      </c>
      <c r="C116" s="7"/>
      <c r="D116" s="8"/>
      <c r="E116" s="7"/>
      <c r="F116" s="7"/>
      <c r="G116" s="7"/>
      <c r="H116" s="7"/>
      <c r="I116" s="7"/>
      <c r="J116" s="7"/>
      <c r="K116" s="7"/>
      <c r="L116" s="8"/>
      <c r="M116" s="4"/>
      <c r="N116" s="7"/>
      <c r="O116" s="7"/>
      <c r="P116" s="8"/>
      <c r="Q116" s="8"/>
      <c r="R116" s="7"/>
      <c r="S116" s="7"/>
      <c r="T116" s="7"/>
      <c r="U116" s="8"/>
      <c r="V116" s="8"/>
      <c r="W116" s="7"/>
      <c r="X116" s="8"/>
      <c r="Y116" s="7"/>
      <c r="Z116" s="6"/>
      <c r="AA116" s="4"/>
      <c r="AB116" s="4"/>
      <c r="AC116" s="4"/>
      <c r="AD116" s="4"/>
      <c r="AE116" s="4"/>
    </row>
    <row r="117" ht="19.6" customHeight="1" spans="1:31">
      <c r="A117" s="2" t="s">
        <v>600</v>
      </c>
      <c r="B117" s="3">
        <v>45671</v>
      </c>
      <c r="C117" s="7"/>
      <c r="D117" s="8"/>
      <c r="E117" s="7"/>
      <c r="F117" s="7"/>
      <c r="G117" s="7"/>
      <c r="H117" s="7"/>
      <c r="I117" s="7"/>
      <c r="J117" s="7"/>
      <c r="K117" s="7"/>
      <c r="L117" s="8"/>
      <c r="M117" s="4"/>
      <c r="N117" s="7"/>
      <c r="O117" s="7"/>
      <c r="P117" s="8"/>
      <c r="Q117" s="8"/>
      <c r="R117" s="7"/>
      <c r="S117" s="7"/>
      <c r="T117" s="7"/>
      <c r="U117" s="8"/>
      <c r="V117" s="8"/>
      <c r="W117" s="7"/>
      <c r="X117" s="8"/>
      <c r="Y117" s="7"/>
      <c r="Z117" s="6"/>
      <c r="AA117" s="4"/>
      <c r="AB117" s="4"/>
      <c r="AC117" s="4"/>
      <c r="AD117" s="4"/>
      <c r="AE117" s="4"/>
    </row>
    <row r="118" ht="19.6" customHeight="1" spans="1:31">
      <c r="A118" s="2" t="s">
        <v>600</v>
      </c>
      <c r="B118" s="3">
        <v>45672</v>
      </c>
      <c r="C118" s="7"/>
      <c r="D118" s="8"/>
      <c r="E118" s="7"/>
      <c r="F118" s="7"/>
      <c r="G118" s="7"/>
      <c r="H118" s="7"/>
      <c r="I118" s="7"/>
      <c r="J118" s="7"/>
      <c r="K118" s="7"/>
      <c r="L118" s="8"/>
      <c r="M118" s="4"/>
      <c r="N118" s="7"/>
      <c r="O118" s="7"/>
      <c r="P118" s="8"/>
      <c r="Q118" s="8"/>
      <c r="R118" s="7"/>
      <c r="S118" s="7"/>
      <c r="T118" s="7"/>
      <c r="U118" s="8"/>
      <c r="V118" s="8"/>
      <c r="W118" s="7"/>
      <c r="X118" s="8"/>
      <c r="Y118" s="7"/>
      <c r="Z118" s="6"/>
      <c r="AA118" s="4"/>
      <c r="AB118" s="4"/>
      <c r="AC118" s="4"/>
      <c r="AD118" s="4"/>
      <c r="AE118" s="4"/>
    </row>
    <row r="119" ht="19.6" customHeight="1" spans="1:31">
      <c r="A119" s="2" t="s">
        <v>600</v>
      </c>
      <c r="B119" s="3">
        <v>45673</v>
      </c>
      <c r="C119" s="7"/>
      <c r="D119" s="8"/>
      <c r="E119" s="7"/>
      <c r="F119" s="7"/>
      <c r="G119" s="7"/>
      <c r="H119" s="7"/>
      <c r="I119" s="7"/>
      <c r="J119" s="7"/>
      <c r="K119" s="7"/>
      <c r="L119" s="8"/>
      <c r="M119" s="4"/>
      <c r="N119" s="7"/>
      <c r="O119" s="7"/>
      <c r="P119" s="8"/>
      <c r="Q119" s="8"/>
      <c r="R119" s="7"/>
      <c r="S119" s="7"/>
      <c r="T119" s="7"/>
      <c r="U119" s="8"/>
      <c r="V119" s="8"/>
      <c r="W119" s="7"/>
      <c r="X119" s="8"/>
      <c r="Y119" s="7"/>
      <c r="Z119" s="6"/>
      <c r="AA119" s="4"/>
      <c r="AB119" s="4"/>
      <c r="AC119" s="4"/>
      <c r="AD119" s="4"/>
      <c r="AE119" s="4"/>
    </row>
    <row r="120" ht="19.6" customHeight="1" spans="1:31">
      <c r="A120" s="2" t="s">
        <v>600</v>
      </c>
      <c r="B120" s="3">
        <v>45674</v>
      </c>
      <c r="C120" s="7"/>
      <c r="D120" s="8"/>
      <c r="E120" s="7"/>
      <c r="F120" s="7"/>
      <c r="G120" s="7"/>
      <c r="H120" s="7"/>
      <c r="I120" s="7"/>
      <c r="J120" s="7"/>
      <c r="K120" s="7"/>
      <c r="L120" s="8"/>
      <c r="M120" s="4"/>
      <c r="N120" s="7"/>
      <c r="O120" s="7"/>
      <c r="P120" s="8"/>
      <c r="Q120" s="8"/>
      <c r="R120" s="7"/>
      <c r="S120" s="7"/>
      <c r="T120" s="7"/>
      <c r="U120" s="8"/>
      <c r="V120" s="8"/>
      <c r="W120" s="7"/>
      <c r="X120" s="8"/>
      <c r="Y120" s="7"/>
      <c r="Z120" s="6"/>
      <c r="AA120" s="4"/>
      <c r="AB120" s="4"/>
      <c r="AC120" s="4"/>
      <c r="AD120" s="4"/>
      <c r="AE120" s="4"/>
    </row>
    <row r="121" ht="19.6" customHeight="1" spans="1:31">
      <c r="A121" s="2" t="s">
        <v>600</v>
      </c>
      <c r="B121" s="3">
        <v>45675</v>
      </c>
      <c r="C121" s="7"/>
      <c r="D121" s="8"/>
      <c r="E121" s="7"/>
      <c r="F121" s="7"/>
      <c r="G121" s="7"/>
      <c r="H121" s="7"/>
      <c r="I121" s="7"/>
      <c r="J121" s="7"/>
      <c r="K121" s="9"/>
      <c r="L121" s="8"/>
      <c r="M121" s="4"/>
      <c r="N121" s="7"/>
      <c r="O121" s="7"/>
      <c r="P121" s="8"/>
      <c r="Q121" s="8"/>
      <c r="R121" s="7"/>
      <c r="S121" s="7"/>
      <c r="T121" s="7"/>
      <c r="U121" s="8"/>
      <c r="V121" s="8"/>
      <c r="W121" s="7"/>
      <c r="X121" s="8"/>
      <c r="Y121" s="7"/>
      <c r="Z121" s="6"/>
      <c r="AA121" s="4"/>
      <c r="AB121" s="4"/>
      <c r="AC121" s="4"/>
      <c r="AD121" s="4"/>
      <c r="AE121" s="4"/>
    </row>
    <row r="122" ht="19.6" customHeight="1" spans="1:31">
      <c r="A122" s="2" t="s">
        <v>600</v>
      </c>
      <c r="B122" s="3">
        <v>45676</v>
      </c>
      <c r="C122" s="7"/>
      <c r="D122" s="8"/>
      <c r="E122" s="7"/>
      <c r="F122" s="7"/>
      <c r="G122" s="7"/>
      <c r="H122" s="7"/>
      <c r="I122" s="7"/>
      <c r="J122" s="7"/>
      <c r="K122" s="7"/>
      <c r="L122" s="8"/>
      <c r="M122" s="4"/>
      <c r="N122" s="7"/>
      <c r="O122" s="7"/>
      <c r="P122" s="8"/>
      <c r="Q122" s="8"/>
      <c r="R122" s="7"/>
      <c r="S122" s="7"/>
      <c r="T122" s="7"/>
      <c r="U122" s="8"/>
      <c r="V122" s="8"/>
      <c r="W122" s="7"/>
      <c r="X122" s="8"/>
      <c r="Y122" s="7"/>
      <c r="Z122" s="6"/>
      <c r="AA122" s="4"/>
      <c r="AB122" s="4"/>
      <c r="AC122" s="4"/>
      <c r="AD122" s="4"/>
      <c r="AE122" s="4"/>
    </row>
    <row r="123" ht="19.6" customHeight="1" spans="1:31">
      <c r="A123" s="2" t="s">
        <v>600</v>
      </c>
      <c r="B123" s="3">
        <v>45677</v>
      </c>
      <c r="C123" s="7"/>
      <c r="D123" s="8"/>
      <c r="E123" s="7"/>
      <c r="F123" s="7"/>
      <c r="G123" s="7"/>
      <c r="H123" s="7"/>
      <c r="I123" s="7"/>
      <c r="J123" s="7"/>
      <c r="K123" s="7"/>
      <c r="L123" s="8"/>
      <c r="M123" s="4"/>
      <c r="N123" s="7"/>
      <c r="O123" s="7"/>
      <c r="P123" s="8"/>
      <c r="Q123" s="8"/>
      <c r="R123" s="7"/>
      <c r="S123" s="7"/>
      <c r="T123" s="7"/>
      <c r="U123" s="8"/>
      <c r="V123" s="8"/>
      <c r="W123" s="7"/>
      <c r="X123" s="8"/>
      <c r="Y123" s="7"/>
      <c r="Z123" s="6"/>
      <c r="AA123" s="4"/>
      <c r="AB123" s="4"/>
      <c r="AC123" s="4"/>
      <c r="AD123" s="4"/>
      <c r="AE123" s="4"/>
    </row>
    <row r="124" ht="19.6" customHeight="1" spans="1:31">
      <c r="A124" s="2" t="s">
        <v>600</v>
      </c>
      <c r="B124" s="3">
        <v>45678</v>
      </c>
      <c r="C124" s="7"/>
      <c r="D124" s="8"/>
      <c r="E124" s="7"/>
      <c r="F124" s="7"/>
      <c r="G124" s="7"/>
      <c r="H124" s="7"/>
      <c r="I124" s="7"/>
      <c r="J124" s="7"/>
      <c r="K124" s="7"/>
      <c r="L124" s="8"/>
      <c r="M124" s="4"/>
      <c r="N124" s="7"/>
      <c r="O124" s="7"/>
      <c r="P124" s="8"/>
      <c r="Q124" s="8"/>
      <c r="R124" s="7"/>
      <c r="S124" s="7"/>
      <c r="T124" s="7"/>
      <c r="U124" s="8"/>
      <c r="V124" s="8"/>
      <c r="W124" s="7"/>
      <c r="X124" s="8"/>
      <c r="Y124" s="7"/>
      <c r="Z124" s="6"/>
      <c r="AA124" s="4"/>
      <c r="AB124" s="4"/>
      <c r="AC124" s="4"/>
      <c r="AD124" s="4"/>
      <c r="AE124" s="4"/>
    </row>
    <row r="125" ht="19.6" customHeight="1" spans="1:31">
      <c r="A125" s="2" t="s">
        <v>600</v>
      </c>
      <c r="B125" s="3">
        <v>45679</v>
      </c>
      <c r="C125" s="7"/>
      <c r="D125" s="8"/>
      <c r="E125" s="7"/>
      <c r="F125" s="7"/>
      <c r="G125" s="7"/>
      <c r="H125" s="7"/>
      <c r="I125" s="7"/>
      <c r="J125" s="7"/>
      <c r="K125" s="7"/>
      <c r="L125" s="8"/>
      <c r="M125" s="4"/>
      <c r="N125" s="7"/>
      <c r="O125" s="7"/>
      <c r="P125" s="8"/>
      <c r="Q125" s="8"/>
      <c r="R125" s="7"/>
      <c r="S125" s="7"/>
      <c r="T125" s="7"/>
      <c r="U125" s="8"/>
      <c r="V125" s="8"/>
      <c r="W125" s="7"/>
      <c r="X125" s="8"/>
      <c r="Y125" s="7"/>
      <c r="Z125" s="6"/>
      <c r="AA125" s="4"/>
      <c r="AB125" s="4"/>
      <c r="AC125" s="4"/>
      <c r="AD125" s="4"/>
      <c r="AE125" s="4"/>
    </row>
    <row r="126" ht="19.6" customHeight="1" spans="1:31">
      <c r="A126" s="2" t="s">
        <v>600</v>
      </c>
      <c r="B126" s="3">
        <v>45680</v>
      </c>
      <c r="C126" s="7"/>
      <c r="D126" s="8"/>
      <c r="E126" s="7"/>
      <c r="F126" s="7"/>
      <c r="G126" s="7"/>
      <c r="H126" s="7"/>
      <c r="I126" s="7"/>
      <c r="J126" s="7"/>
      <c r="K126" s="7"/>
      <c r="L126" s="8"/>
      <c r="M126" s="4"/>
      <c r="N126" s="7"/>
      <c r="O126" s="7"/>
      <c r="P126" s="8"/>
      <c r="Q126" s="8"/>
      <c r="R126" s="7"/>
      <c r="S126" s="7"/>
      <c r="T126" s="7"/>
      <c r="U126" s="8"/>
      <c r="V126" s="8"/>
      <c r="W126" s="7"/>
      <c r="X126" s="8"/>
      <c r="Y126" s="7"/>
      <c r="Z126" s="6"/>
      <c r="AA126" s="4"/>
      <c r="AB126" s="4"/>
      <c r="AC126" s="4"/>
      <c r="AD126" s="4"/>
      <c r="AE126" s="4"/>
    </row>
    <row r="127" ht="19.6" customHeight="1" spans="1:31">
      <c r="A127" s="2" t="s">
        <v>600</v>
      </c>
      <c r="B127" s="3">
        <v>45681</v>
      </c>
      <c r="C127" s="7"/>
      <c r="D127" s="8"/>
      <c r="E127" s="7"/>
      <c r="F127" s="7"/>
      <c r="G127" s="7"/>
      <c r="H127" s="7"/>
      <c r="I127" s="7"/>
      <c r="J127" s="7"/>
      <c r="K127" s="7"/>
      <c r="L127" s="8"/>
      <c r="M127" s="4"/>
      <c r="N127" s="7"/>
      <c r="O127" s="7"/>
      <c r="P127" s="8"/>
      <c r="Q127" s="8"/>
      <c r="R127" s="7"/>
      <c r="S127" s="7"/>
      <c r="T127" s="7"/>
      <c r="U127" s="8"/>
      <c r="V127" s="8"/>
      <c r="W127" s="7"/>
      <c r="X127" s="8"/>
      <c r="Y127" s="7"/>
      <c r="Z127" s="6"/>
      <c r="AA127" s="4"/>
      <c r="AB127" s="4"/>
      <c r="AC127" s="4"/>
      <c r="AD127" s="4"/>
      <c r="AE127" s="4"/>
    </row>
    <row r="128" ht="19.6" customHeight="1" spans="1:31">
      <c r="A128" s="2" t="s">
        <v>600</v>
      </c>
      <c r="B128" s="3">
        <v>45682</v>
      </c>
      <c r="C128" s="7"/>
      <c r="D128" s="8"/>
      <c r="E128" s="7"/>
      <c r="F128" s="7"/>
      <c r="G128" s="7"/>
      <c r="H128" s="7"/>
      <c r="I128" s="7"/>
      <c r="J128" s="7"/>
      <c r="K128" s="7"/>
      <c r="L128" s="8"/>
      <c r="M128" s="4"/>
      <c r="N128" s="7"/>
      <c r="O128" s="7"/>
      <c r="P128" s="8"/>
      <c r="Q128" s="8"/>
      <c r="R128" s="7"/>
      <c r="S128" s="7"/>
      <c r="T128" s="7"/>
      <c r="U128" s="8"/>
      <c r="V128" s="8"/>
      <c r="W128" s="7"/>
      <c r="X128" s="8"/>
      <c r="Y128" s="7"/>
      <c r="Z128" s="6"/>
      <c r="AA128" s="4"/>
      <c r="AB128" s="4"/>
      <c r="AC128" s="4"/>
      <c r="AD128" s="4"/>
      <c r="AE128" s="4"/>
    </row>
    <row r="129" ht="19.6" customHeight="1" spans="1:31">
      <c r="A129" s="2" t="s">
        <v>600</v>
      </c>
      <c r="B129" s="3">
        <v>45683</v>
      </c>
      <c r="C129" s="7"/>
      <c r="D129" s="8"/>
      <c r="E129" s="7"/>
      <c r="F129" s="7"/>
      <c r="G129" s="7"/>
      <c r="H129" s="7"/>
      <c r="I129" s="7"/>
      <c r="J129" s="7"/>
      <c r="K129" s="7"/>
      <c r="L129" s="8"/>
      <c r="M129" s="7"/>
      <c r="N129" s="7"/>
      <c r="O129" s="7"/>
      <c r="P129" s="8"/>
      <c r="Q129" s="8"/>
      <c r="R129" s="7"/>
      <c r="S129" s="7"/>
      <c r="T129" s="7"/>
      <c r="U129" s="8"/>
      <c r="V129" s="8"/>
      <c r="W129" s="7"/>
      <c r="X129" s="8"/>
      <c r="Y129" s="7"/>
      <c r="Z129" s="6"/>
      <c r="AA129" s="4"/>
      <c r="AB129" s="4"/>
      <c r="AC129" s="4"/>
      <c r="AD129" s="4"/>
      <c r="AE129" s="4"/>
    </row>
    <row r="130" ht="19.6" customHeight="1" spans="1:31">
      <c r="A130" s="2" t="s">
        <v>600</v>
      </c>
      <c r="B130" s="3">
        <v>45684</v>
      </c>
      <c r="C130" s="7"/>
      <c r="D130" s="8"/>
      <c r="E130" s="7"/>
      <c r="F130" s="7"/>
      <c r="G130" s="7"/>
      <c r="H130" s="7"/>
      <c r="I130" s="7"/>
      <c r="J130" s="7"/>
      <c r="K130" s="7"/>
      <c r="L130" s="8"/>
      <c r="M130" s="7"/>
      <c r="N130" s="7"/>
      <c r="O130" s="7"/>
      <c r="P130" s="8"/>
      <c r="Q130" s="8"/>
      <c r="R130" s="7"/>
      <c r="S130" s="7"/>
      <c r="T130" s="7"/>
      <c r="U130" s="8"/>
      <c r="V130" s="8"/>
      <c r="W130" s="7"/>
      <c r="X130" s="8"/>
      <c r="Y130" s="7"/>
      <c r="Z130" s="6"/>
      <c r="AA130" s="4"/>
      <c r="AB130" s="4"/>
      <c r="AC130" s="4"/>
      <c r="AD130" s="4"/>
      <c r="AE130" s="4"/>
    </row>
    <row r="131" ht="19.6" customHeight="1" spans="1:31">
      <c r="A131" s="2" t="s">
        <v>600</v>
      </c>
      <c r="B131" s="3">
        <v>45685</v>
      </c>
      <c r="C131" s="7"/>
      <c r="D131" s="8"/>
      <c r="E131" s="7"/>
      <c r="F131" s="7"/>
      <c r="G131" s="7"/>
      <c r="H131" s="7"/>
      <c r="I131" s="7"/>
      <c r="J131" s="7"/>
      <c r="K131" s="7"/>
      <c r="L131" s="8"/>
      <c r="M131" s="7"/>
      <c r="N131" s="7"/>
      <c r="O131" s="7"/>
      <c r="P131" s="8"/>
      <c r="Q131" s="8"/>
      <c r="R131" s="7"/>
      <c r="S131" s="7"/>
      <c r="T131" s="7"/>
      <c r="U131" s="8"/>
      <c r="V131" s="8"/>
      <c r="W131" s="7"/>
      <c r="X131" s="8"/>
      <c r="Y131" s="7"/>
      <c r="Z131" s="6"/>
      <c r="AA131" s="4"/>
      <c r="AB131" s="4"/>
      <c r="AC131" s="4"/>
      <c r="AD131" s="4"/>
      <c r="AE131" s="4"/>
    </row>
    <row r="132" ht="19.6" customHeight="1" spans="1:31">
      <c r="A132" s="2" t="s">
        <v>600</v>
      </c>
      <c r="B132" s="3">
        <v>45686</v>
      </c>
      <c r="C132" s="7"/>
      <c r="D132" s="8"/>
      <c r="E132" s="7"/>
      <c r="F132" s="7"/>
      <c r="G132" s="7"/>
      <c r="H132" s="7"/>
      <c r="I132" s="7"/>
      <c r="J132" s="7"/>
      <c r="K132" s="7"/>
      <c r="L132" s="8"/>
      <c r="M132" s="7"/>
      <c r="N132" s="7"/>
      <c r="O132" s="7"/>
      <c r="P132" s="8"/>
      <c r="Q132" s="8"/>
      <c r="R132" s="7"/>
      <c r="S132" s="7"/>
      <c r="T132" s="7"/>
      <c r="U132" s="8"/>
      <c r="V132" s="8"/>
      <c r="W132" s="7"/>
      <c r="X132" s="8"/>
      <c r="Y132" s="7"/>
      <c r="Z132" s="6"/>
      <c r="AA132" s="4"/>
      <c r="AB132" s="4"/>
      <c r="AC132" s="4"/>
      <c r="AD132" s="4"/>
      <c r="AE132" s="4"/>
    </row>
    <row r="133" ht="19.6" customHeight="1" spans="1:31">
      <c r="A133" s="2" t="s">
        <v>600</v>
      </c>
      <c r="B133" s="3">
        <v>45687</v>
      </c>
      <c r="C133" s="7"/>
      <c r="D133" s="8"/>
      <c r="E133" s="7"/>
      <c r="F133" s="7"/>
      <c r="G133" s="7"/>
      <c r="H133" s="7"/>
      <c r="I133" s="7"/>
      <c r="J133" s="7"/>
      <c r="K133" s="7"/>
      <c r="L133" s="8"/>
      <c r="M133" s="7"/>
      <c r="N133" s="7"/>
      <c r="O133" s="7"/>
      <c r="P133" s="8"/>
      <c r="Q133" s="8"/>
      <c r="R133" s="7"/>
      <c r="S133" s="7"/>
      <c r="T133" s="7"/>
      <c r="U133" s="8"/>
      <c r="V133" s="8"/>
      <c r="W133" s="7"/>
      <c r="X133" s="8"/>
      <c r="Y133" s="7"/>
      <c r="Z133" s="6"/>
      <c r="AA133" s="4"/>
      <c r="AB133" s="4"/>
      <c r="AC133" s="4"/>
      <c r="AD133" s="4"/>
      <c r="AE133" s="4"/>
    </row>
    <row r="134" ht="19.6" customHeight="1" spans="1:31">
      <c r="A134" s="2" t="s">
        <v>600</v>
      </c>
      <c r="B134" s="3">
        <v>45688</v>
      </c>
      <c r="C134" s="7"/>
      <c r="D134" s="8"/>
      <c r="E134" s="7"/>
      <c r="F134" s="7"/>
      <c r="G134" s="7"/>
      <c r="H134" s="7"/>
      <c r="I134" s="7"/>
      <c r="J134" s="7"/>
      <c r="K134" s="7"/>
      <c r="L134" s="8"/>
      <c r="M134" s="7"/>
      <c r="N134" s="7"/>
      <c r="O134" s="7"/>
      <c r="P134" s="8"/>
      <c r="Q134" s="8"/>
      <c r="R134" s="7"/>
      <c r="S134" s="7"/>
      <c r="T134" s="7"/>
      <c r="U134" s="8"/>
      <c r="V134" s="8"/>
      <c r="W134" s="7"/>
      <c r="X134" s="8"/>
      <c r="Y134" s="7"/>
      <c r="Z134" s="6"/>
      <c r="AA134" s="4"/>
      <c r="AB134" s="4"/>
      <c r="AC134" s="4"/>
      <c r="AD134" s="4"/>
      <c r="AE134" s="4"/>
    </row>
    <row r="135" ht="19.6" customHeight="1" spans="1:31">
      <c r="A135" s="2" t="s">
        <v>600</v>
      </c>
      <c r="B135" s="3">
        <v>45689</v>
      </c>
      <c r="C135" s="7"/>
      <c r="D135" s="8"/>
      <c r="E135" s="7"/>
      <c r="F135" s="7"/>
      <c r="G135" s="7"/>
      <c r="H135" s="7"/>
      <c r="I135" s="7"/>
      <c r="J135" s="7"/>
      <c r="K135" s="7"/>
      <c r="L135" s="8"/>
      <c r="M135" s="7"/>
      <c r="N135" s="7"/>
      <c r="O135" s="7"/>
      <c r="P135" s="8"/>
      <c r="Q135" s="8"/>
      <c r="R135" s="7"/>
      <c r="S135" s="7"/>
      <c r="T135" s="7"/>
      <c r="U135" s="8"/>
      <c r="V135" s="8"/>
      <c r="W135" s="7"/>
      <c r="X135" s="8"/>
      <c r="Y135" s="7"/>
      <c r="Z135" s="6"/>
      <c r="AA135" s="4"/>
      <c r="AB135" s="4"/>
      <c r="AC135" s="4"/>
      <c r="AD135" s="4"/>
      <c r="AE135" s="4"/>
    </row>
    <row r="136" ht="19.6" customHeight="1" spans="1:31">
      <c r="A136" s="2" t="s">
        <v>600</v>
      </c>
      <c r="B136" s="3">
        <v>45690</v>
      </c>
      <c r="C136" s="7"/>
      <c r="D136" s="8"/>
      <c r="E136" s="7"/>
      <c r="F136" s="7"/>
      <c r="G136" s="7"/>
      <c r="H136" s="7"/>
      <c r="I136" s="7"/>
      <c r="J136" s="7"/>
      <c r="K136" s="7"/>
      <c r="L136" s="8"/>
      <c r="M136" s="7"/>
      <c r="N136" s="7"/>
      <c r="O136" s="7"/>
      <c r="P136" s="8"/>
      <c r="Q136" s="8"/>
      <c r="R136" s="7"/>
      <c r="S136" s="7"/>
      <c r="T136" s="7"/>
      <c r="U136" s="8"/>
      <c r="V136" s="8"/>
      <c r="W136" s="7"/>
      <c r="X136" s="8"/>
      <c r="Y136" s="7"/>
      <c r="Z136" s="6"/>
      <c r="AA136" s="4"/>
      <c r="AB136" s="4"/>
      <c r="AC136" s="4"/>
      <c r="AD136" s="4"/>
      <c r="AE136" s="4"/>
    </row>
    <row r="137" ht="19.6" customHeight="1" spans="1:31">
      <c r="A137" s="2" t="s">
        <v>600</v>
      </c>
      <c r="B137" s="3">
        <v>45691</v>
      </c>
      <c r="C137" s="7"/>
      <c r="D137" s="8"/>
      <c r="E137" s="7"/>
      <c r="F137" s="7"/>
      <c r="G137" s="7"/>
      <c r="H137" s="7"/>
      <c r="I137" s="7"/>
      <c r="J137" s="7"/>
      <c r="K137" s="7"/>
      <c r="L137" s="8"/>
      <c r="M137" s="7"/>
      <c r="N137" s="7"/>
      <c r="O137" s="7"/>
      <c r="P137" s="8"/>
      <c r="Q137" s="8"/>
      <c r="R137" s="7"/>
      <c r="S137" s="7"/>
      <c r="T137" s="7"/>
      <c r="U137" s="8"/>
      <c r="V137" s="8"/>
      <c r="W137" s="7"/>
      <c r="X137" s="8"/>
      <c r="Y137" s="7"/>
      <c r="Z137" s="6"/>
      <c r="AA137" s="4"/>
      <c r="AB137" s="4"/>
      <c r="AC137" s="4"/>
      <c r="AD137" s="4"/>
      <c r="AE137" s="4"/>
    </row>
    <row r="138" ht="19.6" customHeight="1" spans="1:31">
      <c r="A138" s="2" t="s">
        <v>600</v>
      </c>
      <c r="B138" s="3">
        <v>45692</v>
      </c>
      <c r="C138" s="7"/>
      <c r="D138" s="8"/>
      <c r="E138" s="7"/>
      <c r="F138" s="7"/>
      <c r="G138" s="7"/>
      <c r="H138" s="7"/>
      <c r="I138" s="7"/>
      <c r="J138" s="7"/>
      <c r="K138" s="7"/>
      <c r="L138" s="8"/>
      <c r="M138" s="7"/>
      <c r="N138" s="7"/>
      <c r="O138" s="7"/>
      <c r="P138" s="8"/>
      <c r="Q138" s="8"/>
      <c r="R138" s="7"/>
      <c r="S138" s="7"/>
      <c r="T138" s="7"/>
      <c r="U138" s="8"/>
      <c r="V138" s="8"/>
      <c r="W138" s="7"/>
      <c r="X138" s="8"/>
      <c r="Y138" s="7"/>
      <c r="Z138" s="6"/>
      <c r="AA138" s="4"/>
      <c r="AB138" s="4"/>
      <c r="AC138" s="4"/>
      <c r="AD138" s="4"/>
      <c r="AE138" s="4"/>
    </row>
    <row r="139" ht="19.6" customHeight="1" spans="1:31">
      <c r="A139" s="2" t="s">
        <v>600</v>
      </c>
      <c r="B139" s="3">
        <v>45693</v>
      </c>
      <c r="C139" s="7"/>
      <c r="D139" s="8"/>
      <c r="E139" s="7"/>
      <c r="F139" s="7"/>
      <c r="G139" s="7"/>
      <c r="H139" s="7"/>
      <c r="I139" s="7"/>
      <c r="J139" s="7"/>
      <c r="K139" s="7"/>
      <c r="L139" s="8"/>
      <c r="M139" s="7"/>
      <c r="N139" s="7"/>
      <c r="O139" s="7"/>
      <c r="P139" s="8"/>
      <c r="Q139" s="8"/>
      <c r="R139" s="7"/>
      <c r="S139" s="7"/>
      <c r="T139" s="7"/>
      <c r="U139" s="8"/>
      <c r="V139" s="8"/>
      <c r="W139" s="7"/>
      <c r="X139" s="8"/>
      <c r="Y139" s="7"/>
      <c r="Z139" s="6"/>
      <c r="AA139" s="4"/>
      <c r="AB139" s="4"/>
      <c r="AC139" s="4"/>
      <c r="AD139" s="4"/>
      <c r="AE139" s="4"/>
    </row>
    <row r="140" ht="19.6" customHeight="1" spans="1:31">
      <c r="A140" s="2" t="s">
        <v>600</v>
      </c>
      <c r="B140" s="3">
        <v>45694</v>
      </c>
      <c r="C140" s="7"/>
      <c r="D140" s="8"/>
      <c r="E140" s="7"/>
      <c r="F140" s="7"/>
      <c r="G140" s="7"/>
      <c r="H140" s="7"/>
      <c r="I140" s="7"/>
      <c r="J140" s="7"/>
      <c r="K140" s="7"/>
      <c r="L140" s="8"/>
      <c r="M140" s="7"/>
      <c r="N140" s="7"/>
      <c r="O140" s="7"/>
      <c r="P140" s="8"/>
      <c r="Q140" s="8"/>
      <c r="R140" s="7"/>
      <c r="S140" s="7"/>
      <c r="T140" s="7"/>
      <c r="U140" s="8"/>
      <c r="V140" s="8"/>
      <c r="W140" s="7"/>
      <c r="X140" s="8"/>
      <c r="Y140" s="7"/>
      <c r="Z140" s="6"/>
      <c r="AA140" s="4"/>
      <c r="AB140" s="4"/>
      <c r="AC140" s="4"/>
      <c r="AD140" s="4"/>
      <c r="AE140" s="4"/>
    </row>
    <row r="141" ht="19.6" customHeight="1" spans="1:31">
      <c r="A141" s="2" t="s">
        <v>600</v>
      </c>
      <c r="B141" s="3">
        <v>45695</v>
      </c>
      <c r="C141" s="7"/>
      <c r="D141" s="8"/>
      <c r="E141" s="7"/>
      <c r="F141" s="7"/>
      <c r="G141" s="7"/>
      <c r="H141" s="7"/>
      <c r="I141" s="7"/>
      <c r="J141" s="7"/>
      <c r="K141" s="7"/>
      <c r="L141" s="8"/>
      <c r="M141" s="7"/>
      <c r="N141" s="7"/>
      <c r="O141" s="7"/>
      <c r="P141" s="8"/>
      <c r="Q141" s="8"/>
      <c r="R141" s="7"/>
      <c r="S141" s="7"/>
      <c r="T141" s="7"/>
      <c r="U141" s="8"/>
      <c r="V141" s="8"/>
      <c r="W141" s="7"/>
      <c r="X141" s="8"/>
      <c r="Y141" s="7"/>
      <c r="Z141" s="6"/>
      <c r="AA141" s="4"/>
      <c r="AB141" s="4"/>
      <c r="AC141" s="4"/>
      <c r="AD141" s="4"/>
      <c r="AE141" s="4"/>
    </row>
    <row r="142" ht="19.6" customHeight="1" spans="1:31">
      <c r="A142" s="2" t="s">
        <v>600</v>
      </c>
      <c r="B142" s="3">
        <v>45696</v>
      </c>
      <c r="C142" s="7"/>
      <c r="D142" s="8"/>
      <c r="E142" s="7"/>
      <c r="F142" s="7"/>
      <c r="G142" s="7"/>
      <c r="H142" s="7"/>
      <c r="I142" s="7"/>
      <c r="J142" s="7"/>
      <c r="K142" s="7"/>
      <c r="L142" s="8"/>
      <c r="M142" s="7"/>
      <c r="N142" s="7"/>
      <c r="O142" s="7"/>
      <c r="P142" s="8"/>
      <c r="Q142" s="8"/>
      <c r="R142" s="7"/>
      <c r="S142" s="7"/>
      <c r="T142" s="7"/>
      <c r="U142" s="8"/>
      <c r="V142" s="8"/>
      <c r="W142" s="7"/>
      <c r="X142" s="8"/>
      <c r="Y142" s="7"/>
      <c r="Z142" s="6"/>
      <c r="AA142" s="4"/>
      <c r="AB142" s="4"/>
      <c r="AC142" s="4"/>
      <c r="AD142" s="4"/>
      <c r="AE142" s="4"/>
    </row>
    <row r="143" ht="19.6" customHeight="1" spans="1:31">
      <c r="A143" s="2" t="s">
        <v>600</v>
      </c>
      <c r="B143" s="3">
        <v>45697</v>
      </c>
      <c r="C143" s="7"/>
      <c r="D143" s="8"/>
      <c r="E143" s="7"/>
      <c r="F143" s="7"/>
      <c r="G143" s="7"/>
      <c r="H143" s="7"/>
      <c r="I143" s="7"/>
      <c r="J143" s="7"/>
      <c r="K143" s="7"/>
      <c r="L143" s="8"/>
      <c r="M143" s="7"/>
      <c r="N143" s="7"/>
      <c r="O143" s="7"/>
      <c r="P143" s="8"/>
      <c r="Q143" s="8"/>
      <c r="R143" s="7"/>
      <c r="S143" s="7"/>
      <c r="T143" s="7"/>
      <c r="U143" s="8"/>
      <c r="V143" s="8"/>
      <c r="W143" s="7"/>
      <c r="X143" s="8"/>
      <c r="Y143" s="7"/>
      <c r="Z143" s="6"/>
      <c r="AA143" s="4"/>
      <c r="AB143" s="4"/>
      <c r="AC143" s="4"/>
      <c r="AD143" s="4"/>
      <c r="AE143" s="4"/>
    </row>
    <row r="144" ht="19.6" customHeight="1" spans="1:31">
      <c r="A144" s="2" t="s">
        <v>600</v>
      </c>
      <c r="B144" s="3">
        <v>45698</v>
      </c>
      <c r="C144" s="7"/>
      <c r="D144" s="8"/>
      <c r="E144" s="7"/>
      <c r="F144" s="7"/>
      <c r="G144" s="7"/>
      <c r="H144" s="7"/>
      <c r="I144" s="7"/>
      <c r="J144" s="7"/>
      <c r="K144" s="7"/>
      <c r="L144" s="8"/>
      <c r="M144" s="7"/>
      <c r="N144" s="7"/>
      <c r="O144" s="7"/>
      <c r="P144" s="8"/>
      <c r="Q144" s="8"/>
      <c r="R144" s="7"/>
      <c r="S144" s="7"/>
      <c r="T144" s="7"/>
      <c r="U144" s="8"/>
      <c r="V144" s="8"/>
      <c r="W144" s="7"/>
      <c r="X144" s="8"/>
      <c r="Y144" s="7"/>
      <c r="Z144" s="6"/>
      <c r="AA144" s="4"/>
      <c r="AB144" s="4"/>
      <c r="AC144" s="4"/>
      <c r="AD144" s="4"/>
      <c r="AE144" s="4"/>
    </row>
    <row r="145" ht="19.6" customHeight="1" spans="1:31">
      <c r="A145" s="2" t="s">
        <v>600</v>
      </c>
      <c r="B145" s="3">
        <v>45699</v>
      </c>
      <c r="C145" s="7"/>
      <c r="D145" s="8"/>
      <c r="E145" s="7"/>
      <c r="F145" s="7"/>
      <c r="G145" s="7"/>
      <c r="H145" s="7"/>
      <c r="I145" s="7"/>
      <c r="J145" s="7"/>
      <c r="K145" s="7"/>
      <c r="L145" s="8"/>
      <c r="M145" s="7"/>
      <c r="N145" s="7"/>
      <c r="O145" s="7"/>
      <c r="P145" s="8"/>
      <c r="Q145" s="8"/>
      <c r="R145" s="7"/>
      <c r="S145" s="7"/>
      <c r="T145" s="7"/>
      <c r="U145" s="8"/>
      <c r="V145" s="8"/>
      <c r="W145" s="7"/>
      <c r="X145" s="8"/>
      <c r="Y145" s="7"/>
      <c r="Z145" s="6"/>
      <c r="AA145" s="4"/>
      <c r="AB145" s="4"/>
      <c r="AC145" s="4"/>
      <c r="AD145" s="4"/>
      <c r="AE145" s="4"/>
    </row>
    <row r="146" ht="19.6" customHeight="1" spans="1:31">
      <c r="A146" s="2" t="s">
        <v>600</v>
      </c>
      <c r="B146" s="3">
        <v>45700</v>
      </c>
      <c r="C146" s="7"/>
      <c r="D146" s="8"/>
      <c r="E146" s="7"/>
      <c r="F146" s="7"/>
      <c r="G146" s="7"/>
      <c r="H146" s="7"/>
      <c r="I146" s="7"/>
      <c r="J146" s="7"/>
      <c r="K146" s="7"/>
      <c r="L146" s="8"/>
      <c r="M146" s="7"/>
      <c r="N146" s="7"/>
      <c r="O146" s="7"/>
      <c r="P146" s="8"/>
      <c r="Q146" s="8"/>
      <c r="R146" s="7"/>
      <c r="S146" s="7"/>
      <c r="T146" s="7"/>
      <c r="U146" s="8"/>
      <c r="V146" s="8"/>
      <c r="W146" s="7"/>
      <c r="X146" s="8"/>
      <c r="Y146" s="7"/>
      <c r="Z146" s="6"/>
      <c r="AA146" s="4"/>
      <c r="AB146" s="4"/>
      <c r="AC146" s="4"/>
      <c r="AD146" s="4"/>
      <c r="AE146" s="4"/>
    </row>
    <row r="147" ht="19.6" customHeight="1" spans="1:31">
      <c r="A147" s="2" t="s">
        <v>600</v>
      </c>
      <c r="B147" s="3">
        <v>45701</v>
      </c>
      <c r="C147" s="7"/>
      <c r="D147" s="8"/>
      <c r="E147" s="7"/>
      <c r="F147" s="7"/>
      <c r="G147" s="7"/>
      <c r="H147" s="7"/>
      <c r="I147" s="7"/>
      <c r="J147" s="7"/>
      <c r="K147" s="7"/>
      <c r="L147" s="8"/>
      <c r="M147" s="7"/>
      <c r="N147" s="7"/>
      <c r="O147" s="7"/>
      <c r="P147" s="8"/>
      <c r="Q147" s="8"/>
      <c r="R147" s="7"/>
      <c r="S147" s="7"/>
      <c r="T147" s="7"/>
      <c r="U147" s="8"/>
      <c r="V147" s="8"/>
      <c r="W147" s="7"/>
      <c r="X147" s="8"/>
      <c r="Y147" s="7"/>
      <c r="Z147" s="6"/>
      <c r="AA147" s="4"/>
      <c r="AB147" s="4"/>
      <c r="AC147" s="4"/>
      <c r="AD147" s="4"/>
      <c r="AE147" s="4"/>
    </row>
    <row r="148" ht="19.6" customHeight="1" spans="1:31">
      <c r="A148" s="2" t="s">
        <v>600</v>
      </c>
      <c r="B148" s="3">
        <v>45702</v>
      </c>
      <c r="C148" s="7"/>
      <c r="D148" s="8"/>
      <c r="E148" s="7"/>
      <c r="F148" s="7"/>
      <c r="G148" s="7"/>
      <c r="H148" s="7"/>
      <c r="I148" s="7"/>
      <c r="J148" s="7"/>
      <c r="K148" s="7"/>
      <c r="L148" s="8"/>
      <c r="M148" s="7"/>
      <c r="N148" s="7"/>
      <c r="O148" s="7"/>
      <c r="P148" s="8"/>
      <c r="Q148" s="8"/>
      <c r="R148" s="7"/>
      <c r="S148" s="7"/>
      <c r="T148" s="7"/>
      <c r="U148" s="8"/>
      <c r="V148" s="8"/>
      <c r="W148" s="7"/>
      <c r="X148" s="8"/>
      <c r="Y148" s="7"/>
      <c r="Z148" s="6"/>
      <c r="AA148" s="4"/>
      <c r="AB148" s="4"/>
      <c r="AC148" s="4"/>
      <c r="AD148" s="4"/>
      <c r="AE148" s="4"/>
    </row>
    <row r="149" ht="14.25" customHeight="1" spans="1:31">
      <c r="A149" s="2" t="s">
        <v>600</v>
      </c>
      <c r="B149" s="3">
        <v>45703</v>
      </c>
      <c r="C149" s="7"/>
      <c r="D149" s="8"/>
      <c r="E149" s="7"/>
      <c r="F149" s="7"/>
      <c r="G149" s="7"/>
      <c r="H149" s="7"/>
      <c r="I149" s="7"/>
      <c r="J149" s="7"/>
      <c r="K149" s="7"/>
      <c r="L149" s="8"/>
      <c r="M149" s="7"/>
      <c r="N149" s="7"/>
      <c r="O149" s="7"/>
      <c r="P149" s="8"/>
      <c r="Q149" s="8"/>
      <c r="R149" s="7"/>
      <c r="S149" s="7"/>
      <c r="T149" s="7"/>
      <c r="U149" s="8"/>
      <c r="V149" s="8"/>
      <c r="W149" s="7"/>
      <c r="X149" s="8"/>
      <c r="Y149" s="7"/>
      <c r="Z149" s="6"/>
      <c r="AA149" s="4"/>
      <c r="AB149" s="4"/>
      <c r="AC149" s="4"/>
      <c r="AD149" s="4"/>
      <c r="AE149" s="4"/>
    </row>
    <row r="150" ht="14.25" customHeight="1" spans="1:31">
      <c r="A150" s="2" t="s">
        <v>600</v>
      </c>
      <c r="B150" s="3">
        <v>45704</v>
      </c>
      <c r="C150" s="7"/>
      <c r="D150" s="8"/>
      <c r="E150" s="7"/>
      <c r="F150" s="7"/>
      <c r="G150" s="7"/>
      <c r="H150" s="7"/>
      <c r="I150" s="7"/>
      <c r="J150" s="7"/>
      <c r="K150" s="7"/>
      <c r="L150" s="8"/>
      <c r="M150" s="7"/>
      <c r="N150" s="7"/>
      <c r="O150" s="7"/>
      <c r="P150" s="8"/>
      <c r="Q150" s="8"/>
      <c r="R150" s="7"/>
      <c r="S150" s="7"/>
      <c r="T150" s="7"/>
      <c r="U150" s="8"/>
      <c r="V150" s="8"/>
      <c r="W150" s="7"/>
      <c r="X150" s="8"/>
      <c r="Y150" s="7"/>
      <c r="Z150" s="6"/>
      <c r="AA150" s="4"/>
      <c r="AB150" s="4"/>
      <c r="AC150" s="4"/>
      <c r="AD150" s="4"/>
      <c r="AE150" s="4"/>
    </row>
    <row r="151" ht="14.25" customHeight="1" spans="1:31">
      <c r="A151" s="2" t="s">
        <v>600</v>
      </c>
      <c r="B151" s="3">
        <v>45705</v>
      </c>
      <c r="C151" s="7"/>
      <c r="D151" s="8"/>
      <c r="E151" s="7"/>
      <c r="F151" s="7"/>
      <c r="G151" s="7"/>
      <c r="H151" s="7"/>
      <c r="I151" s="7"/>
      <c r="J151" s="7"/>
      <c r="K151" s="7"/>
      <c r="L151" s="8"/>
      <c r="M151" s="7"/>
      <c r="N151" s="7"/>
      <c r="O151" s="7"/>
      <c r="P151" s="8"/>
      <c r="Q151" s="8"/>
      <c r="R151" s="7"/>
      <c r="S151" s="7"/>
      <c r="T151" s="7"/>
      <c r="U151" s="8"/>
      <c r="V151" s="8"/>
      <c r="W151" s="7"/>
      <c r="X151" s="8"/>
      <c r="Y151" s="7"/>
      <c r="Z151" s="6"/>
      <c r="AA151" s="4"/>
      <c r="AB151" s="4"/>
      <c r="AC151" s="4"/>
      <c r="AD151" s="4"/>
      <c r="AE151" s="4"/>
    </row>
    <row r="152" ht="14.25" customHeight="1" spans="1:31">
      <c r="A152" s="2" t="s">
        <v>600</v>
      </c>
      <c r="B152" s="3">
        <v>45706</v>
      </c>
      <c r="C152" s="7"/>
      <c r="D152" s="8"/>
      <c r="E152" s="7"/>
      <c r="F152" s="7"/>
      <c r="G152" s="7"/>
      <c r="H152" s="7"/>
      <c r="I152" s="7"/>
      <c r="J152" s="7"/>
      <c r="K152" s="7"/>
      <c r="L152" s="8"/>
      <c r="M152" s="7"/>
      <c r="N152" s="7"/>
      <c r="O152" s="7"/>
      <c r="P152" s="8"/>
      <c r="Q152" s="8"/>
      <c r="R152" s="7"/>
      <c r="S152" s="7"/>
      <c r="T152" s="7"/>
      <c r="U152" s="8"/>
      <c r="V152" s="8"/>
      <c r="W152" s="7"/>
      <c r="X152" s="8"/>
      <c r="Y152" s="7"/>
      <c r="Z152" s="6"/>
      <c r="AA152" s="4"/>
      <c r="AB152" s="4"/>
      <c r="AC152" s="4"/>
      <c r="AD152" s="4"/>
      <c r="AE152" s="4"/>
    </row>
    <row r="153" ht="14.25" customHeight="1" spans="1:31">
      <c r="A153" s="2" t="s">
        <v>600</v>
      </c>
      <c r="B153" s="3">
        <v>45707</v>
      </c>
      <c r="C153" s="7"/>
      <c r="D153" s="8"/>
      <c r="E153" s="7"/>
      <c r="F153" s="7"/>
      <c r="G153" s="7"/>
      <c r="H153" s="7"/>
      <c r="I153" s="7"/>
      <c r="J153" s="7"/>
      <c r="K153" s="7"/>
      <c r="L153" s="8"/>
      <c r="M153" s="7"/>
      <c r="N153" s="7"/>
      <c r="O153" s="7"/>
      <c r="P153" s="8"/>
      <c r="Q153" s="8"/>
      <c r="R153" s="7"/>
      <c r="S153" s="7"/>
      <c r="T153" s="7"/>
      <c r="U153" s="8"/>
      <c r="V153" s="8"/>
      <c r="W153" s="7"/>
      <c r="X153" s="8"/>
      <c r="Y153" s="7"/>
      <c r="Z153" s="6"/>
      <c r="AA153" s="4"/>
      <c r="AB153" s="4"/>
      <c r="AC153" s="4"/>
      <c r="AD153" s="4"/>
      <c r="AE153" s="4"/>
    </row>
    <row r="154" ht="14.25" customHeight="1" spans="1:31">
      <c r="A154" s="2" t="s">
        <v>600</v>
      </c>
      <c r="B154" s="3">
        <v>45708</v>
      </c>
      <c r="C154" s="7"/>
      <c r="D154" s="8"/>
      <c r="E154" s="7"/>
      <c r="F154" s="7"/>
      <c r="G154" s="7"/>
      <c r="H154" s="7"/>
      <c r="I154" s="7"/>
      <c r="J154" s="7"/>
      <c r="K154" s="7"/>
      <c r="L154" s="8"/>
      <c r="M154" s="7"/>
      <c r="N154" s="7"/>
      <c r="O154" s="7"/>
      <c r="P154" s="8"/>
      <c r="Q154" s="8"/>
      <c r="R154" s="7"/>
      <c r="S154" s="7"/>
      <c r="T154" s="7"/>
      <c r="U154" s="8"/>
      <c r="V154" s="8"/>
      <c r="W154" s="7"/>
      <c r="X154" s="8"/>
      <c r="Y154" s="7"/>
      <c r="Z154" s="6"/>
      <c r="AA154" s="4"/>
      <c r="AB154" s="4"/>
      <c r="AC154" s="4"/>
      <c r="AD154" s="4"/>
      <c r="AE154" s="4"/>
    </row>
    <row r="155" ht="14.25" customHeight="1" spans="1:31">
      <c r="A155" s="2" t="s">
        <v>600</v>
      </c>
      <c r="B155" s="3">
        <v>45708</v>
      </c>
      <c r="C155" s="7"/>
      <c r="D155" s="8"/>
      <c r="E155" s="7"/>
      <c r="F155" s="7"/>
      <c r="G155" s="7"/>
      <c r="H155" s="7"/>
      <c r="I155" s="7"/>
      <c r="J155" s="7"/>
      <c r="K155" s="7"/>
      <c r="L155" s="8"/>
      <c r="M155" s="7"/>
      <c r="N155" s="7"/>
      <c r="O155" s="7"/>
      <c r="P155" s="8"/>
      <c r="Q155" s="8"/>
      <c r="R155" s="7"/>
      <c r="S155" s="7"/>
      <c r="T155" s="7"/>
      <c r="U155" s="8"/>
      <c r="V155" s="8"/>
      <c r="W155" s="7"/>
      <c r="X155" s="8"/>
      <c r="Y155" s="7"/>
      <c r="Z155" s="6"/>
      <c r="AA155" s="4"/>
      <c r="AB155" s="4"/>
      <c r="AC155" s="4"/>
      <c r="AD155" s="4"/>
      <c r="AE155" s="4"/>
    </row>
    <row r="156" ht="14.25" customHeight="1" spans="1:31">
      <c r="A156" s="2" t="s">
        <v>600</v>
      </c>
      <c r="B156" s="3">
        <v>45709</v>
      </c>
      <c r="C156" s="7"/>
      <c r="D156" s="8"/>
      <c r="E156" s="7"/>
      <c r="F156" s="7"/>
      <c r="G156" s="7"/>
      <c r="H156" s="7"/>
      <c r="I156" s="7"/>
      <c r="J156" s="7"/>
      <c r="K156" s="7"/>
      <c r="L156" s="8"/>
      <c r="M156" s="7"/>
      <c r="N156" s="7"/>
      <c r="O156" s="7"/>
      <c r="P156" s="8"/>
      <c r="Q156" s="8"/>
      <c r="R156" s="7"/>
      <c r="S156" s="7"/>
      <c r="T156" s="7"/>
      <c r="U156" s="8"/>
      <c r="V156" s="8"/>
      <c r="W156" s="7"/>
      <c r="X156" s="8"/>
      <c r="Y156" s="7"/>
      <c r="Z156" s="6"/>
      <c r="AA156" s="4"/>
      <c r="AB156" s="4"/>
      <c r="AC156" s="4"/>
      <c r="AD156" s="4"/>
      <c r="AE156" s="4"/>
    </row>
    <row r="157" ht="14.25" customHeight="1" spans="1:31">
      <c r="A157" s="2" t="s">
        <v>600</v>
      </c>
      <c r="B157" s="3">
        <v>45710</v>
      </c>
      <c r="C157" s="7"/>
      <c r="D157" s="8"/>
      <c r="E157" s="7"/>
      <c r="F157" s="7"/>
      <c r="G157" s="7"/>
      <c r="H157" s="7"/>
      <c r="I157" s="7"/>
      <c r="J157" s="7"/>
      <c r="K157" s="7"/>
      <c r="L157" s="8"/>
      <c r="M157" s="7"/>
      <c r="N157" s="7"/>
      <c r="O157" s="7"/>
      <c r="P157" s="8"/>
      <c r="Q157" s="8"/>
      <c r="R157" s="7"/>
      <c r="S157" s="7"/>
      <c r="T157" s="7"/>
      <c r="U157" s="8"/>
      <c r="V157" s="8"/>
      <c r="W157" s="7"/>
      <c r="X157" s="8"/>
      <c r="Y157" s="7"/>
      <c r="Z157" s="6"/>
      <c r="AA157" s="4"/>
      <c r="AB157" s="4"/>
      <c r="AC157" s="4"/>
      <c r="AD157" s="4"/>
      <c r="AE157" s="4"/>
    </row>
    <row r="158" ht="14.25" customHeight="1" spans="1:31">
      <c r="A158" s="2" t="s">
        <v>600</v>
      </c>
      <c r="B158" s="3">
        <v>45711</v>
      </c>
      <c r="C158" s="7"/>
      <c r="D158" s="8"/>
      <c r="E158" s="7"/>
      <c r="F158" s="7"/>
      <c r="G158" s="7"/>
      <c r="H158" s="7"/>
      <c r="I158" s="7"/>
      <c r="J158" s="7"/>
      <c r="K158" s="7"/>
      <c r="L158" s="8"/>
      <c r="M158" s="7"/>
      <c r="N158" s="7"/>
      <c r="O158" s="7"/>
      <c r="P158" s="8"/>
      <c r="Q158" s="8"/>
      <c r="R158" s="7"/>
      <c r="S158" s="7"/>
      <c r="T158" s="7"/>
      <c r="U158" s="8"/>
      <c r="V158" s="8"/>
      <c r="W158" s="7"/>
      <c r="X158" s="8"/>
      <c r="Y158" s="7"/>
      <c r="Z158" s="6"/>
      <c r="AA158" s="4"/>
      <c r="AB158" s="4"/>
      <c r="AC158" s="4"/>
      <c r="AD158" s="4"/>
      <c r="AE158" s="4"/>
    </row>
    <row r="159" ht="14.25" customHeight="1" spans="1:31">
      <c r="A159" s="2" t="s">
        <v>600</v>
      </c>
      <c r="B159" s="3">
        <v>45712</v>
      </c>
      <c r="C159" s="7"/>
      <c r="D159" s="8"/>
      <c r="E159" s="7"/>
      <c r="F159" s="7"/>
      <c r="G159" s="7"/>
      <c r="H159" s="7"/>
      <c r="I159" s="7"/>
      <c r="J159" s="7"/>
      <c r="K159" s="7"/>
      <c r="L159" s="8"/>
      <c r="M159" s="7"/>
      <c r="N159" s="7"/>
      <c r="O159" s="7"/>
      <c r="P159" s="8"/>
      <c r="Q159" s="8"/>
      <c r="R159" s="7"/>
      <c r="S159" s="7"/>
      <c r="T159" s="7"/>
      <c r="U159" s="8"/>
      <c r="V159" s="8"/>
      <c r="W159" s="7"/>
      <c r="X159" s="8"/>
      <c r="Y159" s="7"/>
      <c r="Z159" s="6"/>
      <c r="AA159" s="4"/>
      <c r="AB159" s="4"/>
      <c r="AC159" s="4"/>
      <c r="AD159" s="4"/>
      <c r="AE159" s="4"/>
    </row>
    <row r="160" ht="14.25" customHeight="1" spans="1:31">
      <c r="A160" s="2" t="s">
        <v>600</v>
      </c>
      <c r="B160" s="3">
        <v>45713</v>
      </c>
      <c r="C160" s="7"/>
      <c r="D160" s="8"/>
      <c r="E160" s="7"/>
      <c r="F160" s="7"/>
      <c r="G160" s="7"/>
      <c r="H160" s="7"/>
      <c r="I160" s="7"/>
      <c r="J160" s="7"/>
      <c r="K160" s="7"/>
      <c r="L160" s="8"/>
      <c r="M160" s="7"/>
      <c r="N160" s="7"/>
      <c r="O160" s="7"/>
      <c r="P160" s="8"/>
      <c r="Q160" s="8"/>
      <c r="R160" s="7"/>
      <c r="S160" s="7"/>
      <c r="T160" s="7"/>
      <c r="U160" s="8"/>
      <c r="V160" s="8"/>
      <c r="W160" s="7"/>
      <c r="X160" s="8"/>
      <c r="Y160" s="7"/>
      <c r="Z160" s="6"/>
      <c r="AA160" s="4"/>
      <c r="AB160" s="4"/>
      <c r="AC160" s="4"/>
      <c r="AD160" s="4"/>
      <c r="AE160" s="4"/>
    </row>
    <row r="161" ht="14.25" customHeight="1" spans="1:31">
      <c r="A161" s="2" t="s">
        <v>600</v>
      </c>
      <c r="B161" s="3">
        <v>45713</v>
      </c>
      <c r="C161" s="7"/>
      <c r="D161" s="8"/>
      <c r="E161" s="7"/>
      <c r="F161" s="7"/>
      <c r="G161" s="7"/>
      <c r="H161" s="7"/>
      <c r="I161" s="7"/>
      <c r="J161" s="7"/>
      <c r="K161" s="7"/>
      <c r="L161" s="8"/>
      <c r="M161" s="7"/>
      <c r="N161" s="7"/>
      <c r="O161" s="7"/>
      <c r="P161" s="8"/>
      <c r="Q161" s="8"/>
      <c r="R161" s="7"/>
      <c r="S161" s="7"/>
      <c r="T161" s="7"/>
      <c r="U161" s="8"/>
      <c r="V161" s="8"/>
      <c r="W161" s="7"/>
      <c r="X161" s="8"/>
      <c r="Y161" s="7"/>
      <c r="Z161" s="6"/>
      <c r="AA161" s="4"/>
      <c r="AB161" s="4"/>
      <c r="AC161" s="4"/>
      <c r="AD161" s="4"/>
      <c r="AE161" s="4"/>
    </row>
    <row r="162" spans="1:31">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spans="1:31">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spans="1:31">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spans="1:31">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spans="1:31">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spans="1:31">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spans="1:31">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spans="1:31">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spans="1:31">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spans="1:31">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spans="1:31">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spans="1:31">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spans="1:31">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spans="1:31">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spans="1:31">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spans="3:31">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spans="3:31">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spans="3:31">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spans="3:31">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spans="3:31">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spans="3:31">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spans="3:31">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spans="3:31">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spans="3:31">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spans="3:31">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spans="3:31">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spans="3:31">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spans="3:31">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spans="3:31">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spans="3:31">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spans="3:31">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spans="3:31">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spans="3:31">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spans="3:31">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spans="3:31">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spans="3:31">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spans="3:31">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spans="3:31">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spans="3:31">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vt:i4>
      </vt:variant>
    </vt:vector>
  </HeadingPairs>
  <TitlesOfParts>
    <vt:vector size="14" baseType="lpstr">
      <vt:lpstr>SC定价表</vt:lpstr>
      <vt:lpstr>目标&amp;经营分析</vt:lpstr>
      <vt:lpstr>测评</vt:lpstr>
      <vt:lpstr>英国XX仪 日常跟踪表</vt:lpstr>
      <vt:lpstr>Coupon</vt:lpstr>
      <vt:lpstr>活动排期核算</vt:lpstr>
      <vt:lpstr>差评记录</vt:lpstr>
      <vt:lpstr>刷单节奏</vt:lpstr>
      <vt:lpstr>绿标节奏跟进表</vt:lpstr>
      <vt:lpstr>红人促销（站外）</vt:lpstr>
      <vt:lpstr>红人促销（站内）</vt:lpstr>
      <vt:lpstr>备货计划表</vt:lpstr>
      <vt:lpstr>库存监控表</vt:lpstr>
      <vt:lpstr>ERP数据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侣桌稍呜</cp:lastModifiedBy>
  <dcterms:created xsi:type="dcterms:W3CDTF">2025-07-16T07:19:00Z</dcterms:created>
  <dcterms:modified xsi:type="dcterms:W3CDTF">2026-01-20T11:18:40Z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950AB2D5E5D84C17B9FBA780342FA7C0_13</vt:lpwstr>
  </property>
  <property fmtid="{D5CDD505-2E9C-101B-9397-08002B2CF9AE}" pid="3" name="KSOProductBuildVer">
    <vt:lpwstr>2052-12.1.0.24657</vt:lpwstr>
  </property>
  <property fmtid="{D5CDD505-2E9C-101B-9397-08002B2CF9AE}" pid="4" name="CalculationRule">
    <vt:i4>0</vt:i4>
  </property>
</Properties>
</file>