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产品信息" sheetId="1" r:id="rId1"/>
    <sheet name="美国SC毛利测算" sheetId="2" r:id="rId2"/>
    <sheet name="美国VC毛利测算" sheetId="3" r:id="rId3"/>
    <sheet name="欧洲SC毛利测算" sheetId="4" r:id="rId4"/>
    <sheet name="欧洲VC毛利测算" sheetId="5" r:id="rId5"/>
    <sheet name="美国DI毛利测算" sheetId="6" r:id="rId6"/>
    <sheet name="欧洲DI毛利测算" sheetId="7" r:id="rId7"/>
    <sheet name="日历工作计划表" sheetId="8" r:id="rId8"/>
    <sheet name="工作表9" sheetId="9" r:id="rId9"/>
    <sheet name="2025欧洲listing SOP流程" sheetId="10" r:id="rId10"/>
    <sheet name="发货物流价格" sheetId="11" r:id="rId11"/>
    <sheet name="TK视频链接" sheetId="12" r:id="rId12"/>
  </sheets>
  <definedNames>
    <definedName name="_xlnm._FilterDatabase" localSheetId="4" hidden="1">欧洲VC毛利测算!$A$1:$BS$240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1751601146432358</author>
  </authors>
  <commentList>
    <comment ref="T2" authorId="0">
      <text>
        <r>
          <rPr>
            <sz val="10"/>
            <rFont val="宋体"/>
            <charset val="134"/>
          </rPr>
          <t>包税</t>
        </r>
      </text>
    </comment>
    <comment ref="V2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T5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V5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B8" authorId="0">
      <text>
        <r>
          <rPr>
            <sz val="9"/>
            <color rgb="FF000000"/>
            <rFont val="宋体"/>
            <scheme val="minor"/>
            <charset val="0"/>
          </rPr>
          <t>DU-8OG7-EMPI</t>
        </r>
      </text>
    </comment>
    <comment ref="B10" authorId="0">
      <text>
        <r>
          <rPr>
            <sz val="9"/>
            <color rgb="FF000000"/>
            <rFont val="宋体"/>
            <scheme val="minor"/>
            <charset val="0"/>
          </rPr>
          <t>C2-VE6T-ZY40</t>
        </r>
      </text>
    </comment>
    <comment ref="T13" authorId="0">
      <text/>
    </comment>
    <comment ref="V13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T16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V16" authorId="0">
      <text>
        <r>
          <rPr>
            <sz val="12"/>
            <color rgb="FF000000"/>
            <rFont val="宋体"/>
            <scheme val="minor"/>
            <charset val="0"/>
          </rPr>
          <t>包税</t>
        </r>
      </text>
    </comment>
    <comment ref="T19" authorId="0">
      <text>
        <r>
          <rPr>
            <sz val="10"/>
            <rFont val="宋体"/>
            <charset val="134"/>
          </rPr>
          <t>包税</t>
        </r>
      </text>
    </comment>
  </commentList>
</comments>
</file>

<file path=xl/comments2.xml><?xml version="1.0" encoding="utf-8"?>
<comments xmlns="http://schemas.openxmlformats.org/spreadsheetml/2006/main">
  <authors>
    <author>1751601146561711</author>
  </authors>
  <commentList>
    <comment ref="G1" authorId="0">
      <text>
        <r>
          <rPr>
            <sz val="12"/>
            <color rgb="FF000000"/>
            <rFont val="宋体"/>
            <scheme val="minor"/>
            <charset val="0"/>
          </rPr>
          <t xml:space="preserve">PO主供应商代码：PO托盘供应商代码：DI供应商代码：
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R1" authorId="0">
      <text>
        <r>
          <rPr>
            <sz val="12"/>
            <color rgb="FF000000"/>
            <rFont val="宋体"/>
            <scheme val="minor"/>
            <charset val="0"/>
          </rPr>
          <t>外币兑人民币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广告费/PO价</t>
        </r>
      </text>
    </comment>
    <comment ref="T1" authorId="0">
      <text>
        <r>
          <rPr>
            <sz val="12"/>
            <color rgb="FF000000"/>
            <rFont val="宋体"/>
            <scheme val="minor"/>
            <charset val="0"/>
          </rPr>
          <t>促销费/PO价
不是前台价的折扣比例！！</t>
        </r>
      </text>
    </comment>
    <comment ref="V1" authorId="0">
      <text>
        <r>
          <rPr>
            <sz val="12"/>
            <color rgb="FF000000"/>
            <rFont val="宋体"/>
            <scheme val="minor"/>
            <charset val="0"/>
          </rPr>
          <t>”不含税采购价+头程“占比</t>
        </r>
      </text>
    </comment>
    <comment ref="X1" authorId="0">
      <text>
        <r>
          <rPr>
            <sz val="12"/>
            <color rgb="FF000000"/>
            <rFont val="宋体"/>
            <scheme val="minor"/>
            <charset val="0"/>
          </rPr>
          <t>DI无佣，普通PO佣金19%+2%</t>
        </r>
      </text>
    </comment>
    <comment ref="AC1" authorId="0">
      <text>
        <r>
          <rPr>
            <sz val="12"/>
            <color rgb="FF000000"/>
            <rFont val="宋体"/>
            <scheme val="minor"/>
            <charset val="0"/>
          </rPr>
          <t>优先匹配财务采购成本&amp;头程；
其次匹配马帮采购成本；
最后匹配原始成本记录信息。</t>
        </r>
      </text>
    </comment>
  </commentList>
</comments>
</file>

<file path=xl/comments3.xml><?xml version="1.0" encoding="utf-8"?>
<comments xmlns="http://schemas.openxmlformats.org/spreadsheetml/2006/main">
  <authors>
    <author>1751601146782488</author>
  </authors>
  <commentList>
    <comment ref="E1" authorId="0">
      <text>
        <r>
          <rPr>
            <sz val="9"/>
            <color rgb="FF000000"/>
            <rFont val="宋体"/>
            <scheme val="minor"/>
            <charset val="0"/>
          </rPr>
          <t>战略款 (目标是小类头部,以私模或产品本身有绝对的 优势和体量为主,日销150单以上,利润10%-15%,备货不能断货)
主推款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>
      <text>
        <r>
          <rPr>
            <sz val="12"/>
            <color rgb="FF000000"/>
            <rFont val="宋体"/>
            <scheme val="minor"/>
            <charset val="0"/>
          </rPr>
          <t xml:space="preserve">墨客-8038:
PENDING
-------------------------
</t>
        </r>
        <r>
          <rPr>
            <sz val="9"/>
            <color rgb="FF000000"/>
            <rFont val="宋体"/>
            <scheme val="minor"/>
            <charset val="0"/>
          </rPr>
          <t>pending待定</t>
        </r>
      </text>
    </comment>
    <comment ref="L1" authorId="0">
      <text>
        <r>
          <rPr>
            <sz val="9"/>
            <color rgb="FF000000"/>
            <rFont val="宋体"/>
            <scheme val="minor"/>
            <charset val="0"/>
          </rPr>
          <t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>
      <text>
        <r>
          <rPr>
            <sz val="9"/>
            <color rgb="FF000000"/>
            <rFont val="宋体"/>
            <scheme val="minor"/>
            <charset val="0"/>
          </rPr>
          <t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 xml:space="preserve">
多变体和其他站点布局 情况  -发货前任务:
1.判断产品是否能多变体售卖;
2.北美考虑加拿大站点是否布局;</t>
        </r>
      </text>
    </comment>
    <comment ref="O1" authorId="0">
      <text>
        <r>
          <rPr>
            <sz val="9"/>
            <color rgb="FF000000"/>
            <rFont val="宋体"/>
            <scheme val="minor"/>
            <charset val="0"/>
          </rPr>
          <t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</t>
        </r>
      </text>
    </comment>
    <comment ref="P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>
      <text>
        <r>
          <rPr>
            <sz val="9"/>
            <color rgb="FF000000"/>
            <rFont val="宋体"/>
            <scheme val="minor"/>
            <charset val="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>
      <text>
        <r>
          <rPr>
            <sz val="9"/>
            <color rgb="FF000000"/>
            <rFont val="宋体"/>
            <scheme val="minor"/>
            <charset val="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>
      <text>
        <r>
          <rPr>
            <sz val="9"/>
            <color rgb="FF000000"/>
            <rFont val="宋体"/>
            <scheme val="minor"/>
            <charset val="0"/>
          </rPr>
          <t xml:space="preserve">
时效：
空运15天 卡航30 铁路40 海运45</t>
        </r>
      </text>
    </comment>
    <comment ref="AC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>
      <text>
        <r>
          <rPr>
            <sz val="9"/>
            <color rgb="FF000000"/>
            <rFont val="宋体"/>
            <scheme val="minor"/>
            <charset val="0"/>
          </rPr>
          <t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>
      <text>
        <r>
          <rPr>
            <sz val="9"/>
            <color rgb="FF000000"/>
            <rFont val="宋体"/>
            <scheme val="minor"/>
            <charset val="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>
      <text>
        <r>
          <rPr>
            <sz val="9"/>
            <color rgb="FF000000"/>
            <rFont val="宋体"/>
            <scheme val="minor"/>
            <charset val="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>
      <text>
        <r>
          <rPr>
            <sz val="9"/>
            <color rgb="FF000000"/>
            <rFont val="宋体"/>
            <scheme val="minor"/>
            <charset val="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>
      <text>
        <r>
          <rPr>
            <sz val="9"/>
            <color rgb="FF000000"/>
            <rFont val="宋体"/>
            <scheme val="minor"/>
            <charset val="0"/>
          </rPr>
          <t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>
      <text>
        <r>
          <rPr>
            <sz val="9"/>
            <color rgb="FF000000"/>
            <rFont val="宋体"/>
            <scheme val="minor"/>
            <charset val="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>
      <text>
        <r>
          <rPr>
            <sz val="9"/>
            <color rgb="FF000000"/>
            <rFont val="宋体"/>
            <scheme val="minor"/>
            <charset val="0"/>
          </rPr>
          <t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>
      <text>
        <r>
          <rPr>
            <sz val="9"/>
            <color rgb="FF000000"/>
            <rFont val="宋体"/>
            <scheme val="minor"/>
            <charset val="0"/>
          </rPr>
          <t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>
      <text>
        <r>
          <rPr>
            <sz val="9"/>
            <color rgb="FF000000"/>
            <rFont val="宋体"/>
            <scheme val="minor"/>
            <charset val="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>
      <text>
        <r>
          <rPr>
            <sz val="9"/>
            <color rgb="FF000000"/>
            <rFont val="宋体"/>
            <scheme val="minor"/>
            <charset val="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>
      <text>
        <r>
          <rPr>
            <sz val="9"/>
            <color rgb="FF000000"/>
            <rFont val="宋体"/>
            <scheme val="minor"/>
            <charset val="0"/>
          </rPr>
          <t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>
      <text>
        <r>
          <rPr>
            <sz val="9"/>
            <color rgb="FF000000"/>
            <rFont val="宋体"/>
            <scheme val="minor"/>
            <charset val="0"/>
          </rPr>
          <t>五星评论完结时间
评论数据根据产品定位来判断，逐步上评，上评率控制在5%以内</t>
        </r>
      </text>
    </comment>
    <comment ref="BT1" authorId="0">
      <text>
        <r>
          <rPr>
            <sz val="9"/>
            <color rgb="FF000000"/>
            <rFont val="宋体"/>
            <scheme val="minor"/>
            <charset val="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4.xml><?xml version="1.0" encoding="utf-8"?>
<comments xmlns="http://schemas.openxmlformats.org/spreadsheetml/2006/main">
  <authors>
    <author>1751601146838337</author>
  </authors>
  <commentList>
    <comment ref="F1" authorId="0">
      <text>
        <r>
          <rPr>
            <sz val="9"/>
            <color rgb="FF000000"/>
            <rFont val="宋体"/>
            <scheme val="minor"/>
            <charset val="0"/>
          </rPr>
          <t>+34%  +50%</t>
        </r>
      </text>
    </comment>
  </commentList>
</comments>
</file>

<file path=xl/sharedStrings.xml><?xml version="1.0" encoding="utf-8"?>
<sst xmlns="http://schemas.openxmlformats.org/spreadsheetml/2006/main" count="5497" uniqueCount="509">
  <si>
    <t>采购成本（含税）</t>
  </si>
  <si>
    <t>长cm（单）</t>
  </si>
  <si>
    <t>宽cm（单）</t>
  </si>
  <si>
    <t>高cm（单）</t>
  </si>
  <si>
    <t>重量Kg（单）</t>
  </si>
  <si>
    <t>装箱数</t>
  </si>
  <si>
    <t>长cm（箱）</t>
  </si>
  <si>
    <t>宽cm（箱）</t>
  </si>
  <si>
    <t>高cm（箱）</t>
  </si>
  <si>
    <t>重量Kg（箱）</t>
  </si>
  <si>
    <t>体积重</t>
  </si>
  <si>
    <t>体积</t>
  </si>
  <si>
    <t>重量体积</t>
  </si>
  <si>
    <t>首单</t>
  </si>
  <si>
    <t>空运</t>
  </si>
  <si>
    <t>美森/卡航</t>
  </si>
  <si>
    <t>铁路</t>
  </si>
  <si>
    <t>海运</t>
  </si>
  <si>
    <t>45天</t>
  </si>
  <si>
    <t>40天</t>
  </si>
  <si>
    <t>65天</t>
  </si>
  <si>
    <t>品名</t>
  </si>
  <si>
    <t>售价</t>
  </si>
  <si>
    <t>汇率</t>
  </si>
  <si>
    <t>进价（￥不含税价）</t>
  </si>
  <si>
    <t>进价（$）</t>
  </si>
  <si>
    <t>头程￥</t>
  </si>
  <si>
    <t>头程（$）</t>
  </si>
  <si>
    <t>成本合计</t>
  </si>
  <si>
    <t>抽佣比例</t>
  </si>
  <si>
    <t>佣金</t>
  </si>
  <si>
    <t>配送费</t>
  </si>
  <si>
    <t>毛利</t>
  </si>
  <si>
    <t>毛利率</t>
  </si>
  <si>
    <t>仓库调拨费</t>
  </si>
  <si>
    <t>退货</t>
  </si>
  <si>
    <t>送测</t>
  </si>
  <si>
    <t>广告</t>
  </si>
  <si>
    <t>备注</t>
  </si>
  <si>
    <t>采购比</t>
  </si>
  <si>
    <t>头程占比</t>
  </si>
  <si>
    <t>尾程占比</t>
  </si>
  <si>
    <t>物流运费总账单金额59259.1，发货数量1000</t>
  </si>
  <si>
    <t>成本底价30美金</t>
  </si>
  <si>
    <t>类型</t>
  </si>
  <si>
    <t>ASIN</t>
  </si>
  <si>
    <t>运营</t>
  </si>
  <si>
    <t>SKU</t>
  </si>
  <si>
    <t>产品名称</t>
  </si>
  <si>
    <t>品牌</t>
  </si>
  <si>
    <t>供应商代码</t>
  </si>
  <si>
    <t>cost price
外币</t>
  </si>
  <si>
    <t>建议售价
亚马逊售价-外币</t>
  </si>
  <si>
    <t>毛利
外币</t>
  </si>
  <si>
    <t>Profit Margin (%)</t>
  </si>
  <si>
    <t>NET PPM</t>
  </si>
  <si>
    <t>亚马逊毛利
外币</t>
  </si>
  <si>
    <t>成本</t>
  </si>
  <si>
    <t>海外仓
操作费</t>
  </si>
  <si>
    <t>广告占比</t>
  </si>
  <si>
    <t>促销占比</t>
  </si>
  <si>
    <t>其他占比</t>
  </si>
  <si>
    <t>成本占比</t>
  </si>
  <si>
    <t>佣金占比</t>
  </si>
  <si>
    <t>广告
外币</t>
  </si>
  <si>
    <t>促销
外币</t>
  </si>
  <si>
    <t>其它
外币</t>
  </si>
  <si>
    <t>佣金
外币</t>
  </si>
  <si>
    <t>采购成本
 ¥含税</t>
  </si>
  <si>
    <t>采购成本
 ¥不含税</t>
  </si>
  <si>
    <t>头程 
RMB</t>
  </si>
  <si>
    <t>采购占比</t>
  </si>
  <si>
    <t>PO</t>
  </si>
  <si>
    <t>DI</t>
  </si>
  <si>
    <t xml:space="preserve">
</t>
  </si>
  <si>
    <t>国家</t>
  </si>
  <si>
    <t>国家代码</t>
  </si>
  <si>
    <t>有无VAT</t>
  </si>
  <si>
    <t>成本价(0边利)</t>
  </si>
  <si>
    <t>建议价(20%边利)</t>
  </si>
  <si>
    <t>实际定价</t>
  </si>
  <si>
    <t>采购价</t>
  </si>
  <si>
    <t>FBA Fee</t>
  </si>
  <si>
    <t>佣金比例</t>
  </si>
  <si>
    <t>VAT</t>
  </si>
  <si>
    <t>预估退货率</t>
  </si>
  <si>
    <t>广告费率</t>
  </si>
  <si>
    <t>FBA仓储费</t>
  </si>
  <si>
    <t>其他费用</t>
  </si>
  <si>
    <t>广告费用</t>
  </si>
  <si>
    <t>长</t>
  </si>
  <si>
    <t>宽</t>
  </si>
  <si>
    <t>高</t>
  </si>
  <si>
    <t>包装后实重</t>
  </si>
  <si>
    <t>计费重</t>
  </si>
  <si>
    <t>运输方式</t>
  </si>
  <si>
    <t>运费单价</t>
  </si>
  <si>
    <t>运费</t>
  </si>
  <si>
    <t>利润/USD</t>
  </si>
  <si>
    <t>利润率/USD</t>
  </si>
  <si>
    <t>各费用占比分析</t>
  </si>
  <si>
    <t>FBA配送费占比</t>
  </si>
  <si>
    <t>采购成本占比</t>
  </si>
  <si>
    <t>头程费用占比</t>
  </si>
  <si>
    <t>其他费用占比</t>
  </si>
  <si>
    <t>XX仪德国日常价走铁路</t>
  </si>
  <si>
    <t>德国</t>
  </si>
  <si>
    <t>DE</t>
  </si>
  <si>
    <t>有</t>
  </si>
  <si>
    <t>XX仪德国活动价走铁路</t>
  </si>
  <si>
    <t>XX仪德国最底价走铁路</t>
  </si>
  <si>
    <t>XX仪德国日常价走卡航</t>
  </si>
  <si>
    <t>卡航</t>
  </si>
  <si>
    <t>XX仪德国活动价走卡航</t>
  </si>
  <si>
    <t>XX仪德国最底价走卡航</t>
  </si>
  <si>
    <t>XX仪日常价走海运（划线30%）</t>
  </si>
  <si>
    <t>XX仪活动价走海运（15%）coupon</t>
  </si>
  <si>
    <t>XX仪最底价走海运（20%）PD</t>
  </si>
  <si>
    <t>法国</t>
  </si>
  <si>
    <t>FR</t>
  </si>
  <si>
    <t>意大利</t>
  </si>
  <si>
    <t>IT</t>
  </si>
  <si>
    <t>XX仪企业购价85.11走海运（20%）coupon</t>
  </si>
  <si>
    <t>西班牙</t>
  </si>
  <si>
    <t>ES</t>
  </si>
  <si>
    <t>XX仪英国日常价走铁路</t>
  </si>
  <si>
    <t>英国</t>
  </si>
  <si>
    <t>UK</t>
  </si>
  <si>
    <t>XX仪英国活动价走铁路</t>
  </si>
  <si>
    <t>XX仪英国最底价走铁路</t>
  </si>
  <si>
    <t>XX仪英国日常价走卡航</t>
  </si>
  <si>
    <t>XX仪英国活动价走卡航</t>
  </si>
  <si>
    <t>XX仪英国最底价走卡航</t>
  </si>
  <si>
    <t>XX仪活动价走海运（15%）coupon/BD</t>
  </si>
  <si>
    <t>电动XX仪德国日常价走空运</t>
  </si>
  <si>
    <t>电动XX仪德国活动价走空运</t>
  </si>
  <si>
    <t>电动XX仪德国最底价走空运</t>
  </si>
  <si>
    <t>电动XX仪德国日常价走铁路</t>
  </si>
  <si>
    <t>电动XX仪德国活动价走铁路</t>
  </si>
  <si>
    <t>电动XX仪德国最底价走铁路</t>
  </si>
  <si>
    <t>电动XX仪德国日常价走卡航</t>
  </si>
  <si>
    <t>电动XX仪德国活动价走卡航</t>
  </si>
  <si>
    <t>电动XX仪德国最底价走卡航</t>
  </si>
  <si>
    <t>电动刷头德国日常价走卡航</t>
  </si>
  <si>
    <t>电动XX仪德国日常价走海运</t>
  </si>
  <si>
    <t>电动XX仪德国活动价走海运</t>
  </si>
  <si>
    <t>电动XX仪德国最底价走海运</t>
  </si>
  <si>
    <t>刷头德国日常价走卡航</t>
  </si>
  <si>
    <t>刷头英国日常价走卡航</t>
  </si>
  <si>
    <t>电动XX仪英国日常价走空运</t>
  </si>
  <si>
    <t>电动XX仪英国活动价走空运</t>
  </si>
  <si>
    <t>电动XX仪英国最底价走空运</t>
  </si>
  <si>
    <t>电动XX仪英国日常价走铁路</t>
  </si>
  <si>
    <t>电动XX仪英国活动价走铁路</t>
  </si>
  <si>
    <t>电动XX仪英国最底价走铁路</t>
  </si>
  <si>
    <t>电动XX仪英国日常价走卡航</t>
  </si>
  <si>
    <t>电动XX仪英国活动价走卡航</t>
  </si>
  <si>
    <t>电动XX仪英国最底价走卡航</t>
  </si>
  <si>
    <t>电动XX仪英国日常价走海运</t>
  </si>
  <si>
    <t>电动XX仪英国活动价走海运</t>
  </si>
  <si>
    <t>电动XX仪英国最底价走海运</t>
  </si>
  <si>
    <t>杆式- 吸尘器德国日常价走海运</t>
  </si>
  <si>
    <t>杆式-吸尘器英国日常价走海运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</si>
  <si>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</si>
  <si>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</si>
  <si>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</si>
  <si>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</si>
  <si>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空净100德国海运(划线价）</t>
  </si>
  <si>
    <t>空净100德国海运(coupon-15%）</t>
  </si>
  <si>
    <t>空净100德国海运(coupon-25%）</t>
  </si>
  <si>
    <t>空净100英国海运(划线价）</t>
  </si>
  <si>
    <t>空净100英国海运(coupon-10%）</t>
  </si>
  <si>
    <t>空净100英国海运(coupon-15%）</t>
  </si>
  <si>
    <t>电钻</t>
  </si>
  <si>
    <t>牙套超声波清洗机锂电池走铁路</t>
  </si>
  <si>
    <t>牙套超声波清洗机锂电池走空运</t>
  </si>
  <si>
    <t>牙套超声波清洗机锂电池走卡航</t>
  </si>
  <si>
    <t>牙套超声波清洗机锂电池英国日常价走空运</t>
  </si>
  <si>
    <t>牙套超声波清洗机锂电池英国活动价走空运</t>
  </si>
  <si>
    <t>牙套超声波清洗机锂电池英国最底价走空运</t>
  </si>
  <si>
    <t>牙套超声波清洗机锂电池英国日常价走卡航</t>
  </si>
  <si>
    <t>牙套超声波清洗机锂电池英国活动价走卡航</t>
  </si>
  <si>
    <t>牙套超声波清洗机锂电池英国最底价走卡航</t>
  </si>
  <si>
    <t>XX仪-牙套超声波清洗机锂电池</t>
  </si>
  <si>
    <t>XX仪-牙套超声波清洗机插电</t>
  </si>
  <si>
    <t>雾化器YS-32</t>
  </si>
  <si>
    <t>LED面部按摩器美国</t>
  </si>
  <si>
    <t>美国</t>
  </si>
  <si>
    <t>US</t>
  </si>
  <si>
    <t>无</t>
  </si>
  <si>
    <t>LED面部按摩器德国</t>
  </si>
  <si>
    <t>LED面部按摩器英国</t>
  </si>
  <si>
    <t>智能电子口喷美国</t>
  </si>
  <si>
    <t>智能电子口喷德国</t>
  </si>
  <si>
    <t>智能电子口喷英国</t>
  </si>
  <si>
    <t>厨房</t>
  </si>
  <si>
    <t>测距仪  美国B07</t>
  </si>
  <si>
    <t>站点</t>
  </si>
  <si>
    <t>PO售价
外币</t>
  </si>
  <si>
    <t>建议售价(含税)
亚马逊售价-外币</t>
  </si>
  <si>
    <t>成交价
(含税）</t>
  </si>
  <si>
    <t>成交价
(不含税）</t>
  </si>
  <si>
    <t>建议售价
不含税外币</t>
  </si>
  <si>
    <t>二程外币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</si>
  <si>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</si>
  <si>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</si>
  <si>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</si>
  <si>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</si>
  <si>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</si>
  <si>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</si>
  <si>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</si>
  <si>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头程
外币</t>
  </si>
  <si>
    <t>2025年
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</si>
  <si>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</si>
  <si>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</si>
  <si>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</si>
  <si>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</si>
  <si>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</si>
  <si>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</si>
  <si>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</si>
  <si>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</si>
  <si>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</si>
  <si>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</si>
  <si>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</si>
  <si>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3月</t>
  </si>
  <si>
    <t>25年
1月</t>
  </si>
  <si>
    <t>PO价
监控</t>
  </si>
  <si>
    <t>R0001UK</t>
  </si>
  <si>
    <t>XX仪（coupon-0%）</t>
  </si>
  <si>
    <t>☆</t>
  </si>
  <si>
    <t>#NULL!</t>
  </si>
  <si>
    <t>XX仪（coupon-15%）</t>
  </si>
  <si>
    <t>R0001EU</t>
  </si>
  <si>
    <t>XX仪（coupon-10%）</t>
  </si>
  <si>
    <t>NL</t>
  </si>
  <si>
    <t>XX仪荷兰</t>
  </si>
  <si>
    <t>PL</t>
  </si>
  <si>
    <t>XX仪波兰</t>
  </si>
  <si>
    <t>SE</t>
  </si>
  <si>
    <t>XX仪瑞典</t>
  </si>
  <si>
    <t>BE</t>
  </si>
  <si>
    <t>XX仪比利时</t>
  </si>
  <si>
    <t>Z0002UK</t>
  </si>
  <si>
    <t>电动XX仪英国 （15%）</t>
  </si>
  <si>
    <t>UK BD</t>
  </si>
  <si>
    <t>电动XX仪英国 BD活动价</t>
  </si>
  <si>
    <t xml:space="preserve">电动XX仪英国 </t>
  </si>
  <si>
    <t>电动XX仪英国 （10%）</t>
  </si>
  <si>
    <t>电动XX仪（coupon-0%）</t>
  </si>
  <si>
    <t>电动XX仪（coupon-10%）</t>
  </si>
  <si>
    <t>电动XX仪（coupon-15%）</t>
  </si>
  <si>
    <t>Z0002EU</t>
  </si>
  <si>
    <t>电动XX仪荷兰</t>
  </si>
  <si>
    <t>电动XX仪波兰</t>
  </si>
  <si>
    <t>电动XX仪瑞典</t>
  </si>
  <si>
    <t>电动XX仪比利时</t>
  </si>
  <si>
    <t>Z0003UK</t>
  </si>
  <si>
    <t>牙套超声波清洗机锂电池</t>
  </si>
  <si>
    <t>Z0003EU</t>
  </si>
  <si>
    <t>xxx</t>
  </si>
  <si>
    <t>杆式吸尘器</t>
  </si>
  <si>
    <t>空净KJ-330</t>
  </si>
  <si>
    <t>空净KJ-100</t>
  </si>
  <si>
    <t>面部按摩器</t>
  </si>
  <si>
    <t>Brand</t>
  </si>
  <si>
    <t>原PO售价
外币</t>
  </si>
  <si>
    <t>原建议售价(含税)
亚马逊售价-外币</t>
  </si>
  <si>
    <t>后台PO价</t>
  </si>
  <si>
    <t>对比
PO价</t>
  </si>
  <si>
    <t>尾程
外币</t>
  </si>
  <si>
    <t>头程 
*1.5</t>
  </si>
  <si>
    <t>23年
3月</t>
  </si>
  <si>
    <t>XX仪英国灰色</t>
  </si>
  <si>
    <t>XX仪德国灰色</t>
  </si>
  <si>
    <t>XX仪法国灰色</t>
  </si>
  <si>
    <t>XX仪意大利灰</t>
  </si>
  <si>
    <t>XX仪西班牙灰</t>
  </si>
  <si>
    <t>XX仪荷兰灰色</t>
  </si>
  <si>
    <t>XX仪波兰灰色</t>
  </si>
  <si>
    <t>XX仪瑞典灰色</t>
  </si>
  <si>
    <t>XX仪比利时灰</t>
  </si>
  <si>
    <t>电动XX仪德国</t>
  </si>
  <si>
    <t>电动XX仪法国</t>
  </si>
  <si>
    <t>电动XX仪意大利</t>
  </si>
  <si>
    <t>电动XX仪西班牙</t>
  </si>
  <si>
    <t>日历工作计划表</t>
  </si>
  <si>
    <t>序号</t>
  </si>
  <si>
    <t>项目名称</t>
  </si>
  <si>
    <t>开始日期</t>
  </si>
  <si>
    <t>结束日期</t>
  </si>
  <si>
    <t>已持续天数</t>
  </si>
  <si>
    <t>剩余天数</t>
  </si>
  <si>
    <t>项目负责人</t>
  </si>
  <si>
    <t>重要程度</t>
  </si>
  <si>
    <t>项目1</t>
  </si>
  <si>
    <t>张三</t>
  </si>
  <si>
    <t>重要</t>
  </si>
  <si>
    <t>项目2</t>
  </si>
  <si>
    <t>中等</t>
  </si>
  <si>
    <t>一</t>
  </si>
  <si>
    <t>二</t>
  </si>
  <si>
    <t>三</t>
  </si>
  <si>
    <t>四</t>
  </si>
  <si>
    <t>五</t>
  </si>
  <si>
    <t>六</t>
  </si>
  <si>
    <t>项目3</t>
  </si>
  <si>
    <t>日常</t>
  </si>
  <si>
    <t>项目4</t>
  </si>
  <si>
    <t>项目5</t>
  </si>
  <si>
    <t>项目6</t>
  </si>
  <si>
    <t>项目7</t>
  </si>
  <si>
    <t>项目8</t>
  </si>
  <si>
    <t>项目9</t>
  </si>
  <si>
    <t>项目10</t>
  </si>
  <si>
    <t>本月重要提醒事项</t>
  </si>
  <si>
    <t>项目1招商引资</t>
  </si>
  <si>
    <t>第二季度会议</t>
  </si>
  <si>
    <t>陪同张总去上海出差</t>
  </si>
  <si>
    <t>去虹桥机场接待王总</t>
  </si>
  <si>
    <t>1、首评（指定评论）</t>
  </si>
  <si>
    <t>2、VC vine费用问题？</t>
  </si>
  <si>
    <t>US:</t>
  </si>
  <si>
    <t>1.上架按照B或者X或者UPC?结合VC</t>
  </si>
  <si>
    <t>产品分配时间</t>
  </si>
  <si>
    <t>产品定位</t>
  </si>
  <si>
    <t xml:space="preserve">品牌 </t>
  </si>
  <si>
    <t>店铺</t>
  </si>
  <si>
    <t>开发人员</t>
  </si>
  <si>
    <t xml:space="preserve"> 产品认领人</t>
  </si>
  <si>
    <t>部门主管</t>
  </si>
  <si>
    <t>环节1:种子链接布局</t>
  </si>
  <si>
    <t xml:space="preserve">竞对信息收集-发货前任务 </t>
  </si>
  <si>
    <t>多变体和其他站点布局 情况  -发货前任务</t>
  </si>
  <si>
    <t>建立关键词库- 上架前任务</t>
  </si>
  <si>
    <t>环节1:布局关键词收录布局 埋词技巧-上架前任务</t>
  </si>
  <si>
    <t>项目跟进表  完成情况  -发货前任务</t>
  </si>
  <si>
    <t>市场调研</t>
  </si>
  <si>
    <t>新品推广计划，广告</t>
  </si>
  <si>
    <t>透明计划 布局情况  -发货前任务</t>
  </si>
  <si>
    <t>盈利模型分析</t>
  </si>
  <si>
    <t>欧洲XX仪  VC 选品利润测算表_EU V1.0欧洲五国</t>
  </si>
  <si>
    <t>备货规划  -发货前任务</t>
  </si>
  <si>
    <t xml:space="preserve">ASIN   </t>
  </si>
  <si>
    <t># 出货数量</t>
  </si>
  <si>
    <t>#具体出货时间</t>
  </si>
  <si>
    <t>预计到货时间(FBA)</t>
  </si>
  <si>
    <t>开售时间 手动填写</t>
  </si>
  <si>
    <t>环节1:开发包材需求表-发货前任务</t>
  </si>
  <si>
    <t>开发提交包材需求的具体时间</t>
  </si>
  <si>
    <t>环节2:布局直评-发货后</t>
  </si>
  <si>
    <t xml:space="preserve">环节2:运营产品图片需求表--发货后  </t>
  </si>
  <si>
    <t>运营提交产品图片需求时间</t>
  </si>
  <si>
    <t>运营提交产品视频需求时间</t>
  </si>
  <si>
    <t>Review</t>
  </si>
  <si>
    <t>运营提交产品测评需求时间</t>
  </si>
  <si>
    <t>客服部完成测评时间</t>
  </si>
  <si>
    <t>Q&amp;A</t>
  </si>
  <si>
    <t>运营提交产品问答需求时间</t>
  </si>
  <si>
    <t>客服部完成问答时间</t>
  </si>
  <si>
    <t>主图视频</t>
  </si>
  <si>
    <t>设计部完成视频时间</t>
  </si>
  <si>
    <t>Related Videos</t>
  </si>
  <si>
    <t>运营提交产品相关视频需求时间</t>
  </si>
  <si>
    <t>推广部完成视频时间</t>
  </si>
  <si>
    <t>环节2:开发产品图片需求表--发货后</t>
  </si>
  <si>
    <t>开发提交产品设计需求时间</t>
  </si>
  <si>
    <t>产品图片完结时间</t>
  </si>
  <si>
    <t>环节2:检查图片详情属性-关键词打标</t>
  </si>
  <si>
    <t>环节2:运营提供自拍视频需求表-上架前任务</t>
  </si>
  <si>
    <t>运营提供自拍视频需求表时间</t>
  </si>
  <si>
    <t>环节2:网红视频-上架前任务</t>
  </si>
  <si>
    <t>视频完结时间 -上架前任务</t>
  </si>
  <si>
    <t>品牌故事 -上架前任务</t>
  </si>
  <si>
    <t>品牌旗舰店装修 -上架前任务</t>
  </si>
  <si>
    <t>环节2:上架前任务完结时间</t>
  </si>
  <si>
    <t>环节3:QA-上架后任务</t>
  </si>
  <si>
    <t>检查asin收录，节点，类目，  -上架前任务</t>
  </si>
  <si>
    <t>检查产品属性填写完成度</t>
  </si>
  <si>
    <t>环节3:产品关联-上架后任务</t>
  </si>
  <si>
    <t>环节3:划线价-激活listing</t>
  </si>
  <si>
    <t>环节3:划线价完结时间</t>
  </si>
  <si>
    <t>环节3:listing审核时间</t>
  </si>
  <si>
    <t>环节3:该listing完成度 %</t>
  </si>
  <si>
    <t>环节3:关键词上首页-推广前期准备</t>
  </si>
  <si>
    <t>环节3:站外辅助--推广中的配合</t>
  </si>
  <si>
    <t>关键上首页完结时间</t>
  </si>
  <si>
    <t>环节3:五星评论布局-推广前期准备</t>
  </si>
  <si>
    <t>五星评论完结时间</t>
  </si>
  <si>
    <t>父记录</t>
  </si>
  <si>
    <t>A:文案(埋词)</t>
  </si>
  <si>
    <t>关键词库搭建</t>
  </si>
  <si>
    <t>完成情况</t>
  </si>
  <si>
    <t>项目跟进表</t>
  </si>
  <si>
    <t>备选</t>
  </si>
  <si>
    <t>参考资料</t>
  </si>
  <si>
    <t>SC电动XX仪黑色 德国站</t>
  </si>
  <si>
    <t>主推款</t>
  </si>
  <si>
    <t>XX仪</t>
  </si>
  <si>
    <t>X</t>
  </si>
  <si>
    <t>NO</t>
  </si>
  <si>
    <t>-</t>
  </si>
  <si>
    <t>YES 布局多变体 合并国际评论，VINE</t>
  </si>
  <si>
    <t>德国 电动XX仪关键词收集数据-德国标题2关键词库搭建</t>
  </si>
  <si>
    <t>YES</t>
  </si>
  <si>
    <t>德国电动XX仪- 项目跟进表-阳亚运-20250325</t>
  </si>
  <si>
    <t>市调</t>
  </si>
  <si>
    <t>电动XX仪德国ASIN 定投广告</t>
  </si>
  <si>
    <t>电动XX仪VC 选品利润测算表_EU V1.0欧洲五国</t>
  </si>
  <si>
    <t>SC电动XX仪黑色 德国站432空运</t>
  </si>
  <si>
    <t>1+10+10VP+10VINE</t>
  </si>
  <si>
    <t>3组</t>
  </si>
  <si>
    <t xml:space="preserve">3.1关键词库高效搭建策略方法.pdf </t>
  </si>
  <si>
    <t>已完成</t>
  </si>
  <si>
    <t>项目跟进表模板</t>
  </si>
  <si>
    <t>Listing后台全属性填写标准</t>
  </si>
  <si>
    <t>SC电动XX仪黑色 英国站</t>
  </si>
  <si>
    <t>英国 电动XX仪关键词收集数据-德国标题2关键词库搭建</t>
  </si>
  <si>
    <t>英国电动XX仪- 项目跟进表-阳亚运-20250325</t>
  </si>
  <si>
    <t>SC电动XX仪黑色 英国站270空运</t>
  </si>
  <si>
    <t>项目跟进表--20241016</t>
  </si>
  <si>
    <t>SC电动XX仪白色 德国站</t>
  </si>
  <si>
    <t>SC电动XX仪白色 德国站432空运</t>
  </si>
  <si>
    <t>SC电动XX仪白色 英国站</t>
  </si>
  <si>
    <t>SC电动XX仪白色 英国站270空运</t>
  </si>
  <si>
    <t>SCXX仪灰色 德国站</t>
  </si>
  <si>
    <t>德国XX仪竞品分析</t>
  </si>
  <si>
    <t>德国XX仪标题和关键词库搭建</t>
  </si>
  <si>
    <t>德国XX仪 - 项目跟进表-阳亚运-20250325</t>
  </si>
  <si>
    <t>XX仪市调</t>
  </si>
  <si>
    <t>德国XX仪的推广计划——德国XX仪 欧洲</t>
  </si>
  <si>
    <t>德国XX仪 -盈利模型分析</t>
  </si>
  <si>
    <t>欧洲XX仪 VC 选品利润测算表_EU V1.0欧洲五国</t>
  </si>
  <si>
    <t>SCXX仪灰色 德国站360铁路</t>
  </si>
  <si>
    <t>1+10+9VP+2VINE</t>
  </si>
  <si>
    <t>SCXX仪灰色 英国站</t>
  </si>
  <si>
    <t>英国XX仪标题 关键词库搭建</t>
  </si>
  <si>
    <t>英国XX仪 - 项目跟进表-阳亚运-20250325</t>
  </si>
  <si>
    <t>欧洲五国VC选品利润测算表EU V10</t>
  </si>
  <si>
    <t>SCXX仪灰色 英国站160铁路</t>
  </si>
  <si>
    <t>VC电动XX仪黑色 德国站</t>
  </si>
  <si>
    <t>关键词词库查看SC</t>
  </si>
  <si>
    <t>项目跟进表查看SC</t>
  </si>
  <si>
    <t>VC电动XX仪黑色 德国站  540卡航1080</t>
  </si>
  <si>
    <t>VC电动XX仪黑色 德国站  540铁路0</t>
  </si>
  <si>
    <t>VC电动XX仪黑色 英国站</t>
  </si>
  <si>
    <t>VC电动XX仪黑色 英国站 540卡航</t>
  </si>
  <si>
    <t>VC电动XX仪白色 德国站</t>
  </si>
  <si>
    <t>VC电动XX仪白色 德国站  540卡航1080</t>
  </si>
  <si>
    <t>VC电动XX仪白色 德国站  540铁路0</t>
  </si>
  <si>
    <t>VC电动XX仪白色 英国站</t>
  </si>
  <si>
    <t>VC电动XX仪白色 英国站 540卡航</t>
  </si>
  <si>
    <t>VCXX仪灰色 德国站</t>
  </si>
  <si>
    <t>VCXX仪灰色 德国站 340卡航</t>
  </si>
  <si>
    <t>VCXX仪灰色 德国站 1140海运</t>
  </si>
  <si>
    <t>VCXX仪灰色 英国站</t>
  </si>
  <si>
    <t>VCXX仪灰色 英国站 340海运</t>
  </si>
  <si>
    <t>SC牙套超声波清洗机 德国站</t>
  </si>
  <si>
    <t>德国超声波清洗机竞争程度分析</t>
  </si>
  <si>
    <t>德国牙套超声波清洗机标题和关键词库搭建</t>
  </si>
  <si>
    <t>超声波清洗机市调</t>
  </si>
  <si>
    <t>SC牙套超声波清洗机 英国站</t>
  </si>
  <si>
    <t>SC杆式吸尘器 德国站</t>
  </si>
  <si>
    <t>杆式吸尘器竞品分析-84ASIN</t>
  </si>
  <si>
    <t>杆式吸尘器市调</t>
  </si>
  <si>
    <t>SC杆式吸尘器 英国站</t>
  </si>
  <si>
    <t>SC空气净化器德国站</t>
  </si>
  <si>
    <t>空气净化器 竞品分析</t>
  </si>
  <si>
    <t>德国空气净化器标题和关键词库搭建</t>
  </si>
  <si>
    <t>德国空气净化器 - 项目跟进表-阳亚运-20250611</t>
  </si>
  <si>
    <t>空气净化器市调</t>
  </si>
  <si>
    <t>SC空气净化器英国站</t>
  </si>
  <si>
    <t>英国空气净化器 - 项目跟进表-阳亚运-20250611</t>
  </si>
  <si>
    <t>VC空气净化器  德国站</t>
  </si>
  <si>
    <t>VC空气净化器  英国站</t>
  </si>
  <si>
    <t>牙齿美白德国</t>
  </si>
  <si>
    <t>牙齿美白英国</t>
  </si>
  <si>
    <t>面部按摩器德国</t>
  </si>
  <si>
    <t>面部按摩器英国</t>
  </si>
  <si>
    <t>雾化器德国</t>
  </si>
  <si>
    <t>雾化器英国</t>
  </si>
  <si>
    <t>US 口喷市调 SIF所有数据oral spray</t>
  </si>
  <si>
    <t>US口喷市调 Tik Tok所有数据ALL</t>
  </si>
  <si>
    <t>DE 口腔喷雾剂Mundsprays(卖家精灵)</t>
  </si>
  <si>
    <t>UK(口腔喷雾剂)Sprays</t>
  </si>
  <si>
    <t>中文名</t>
  </si>
  <si>
    <t>渠道</t>
  </si>
  <si>
    <t>数量</t>
  </si>
  <si>
    <t>单价</t>
  </si>
  <si>
    <t>报关+清关</t>
  </si>
  <si>
    <t>关税</t>
  </si>
  <si>
    <t>总费用</t>
  </si>
  <si>
    <t>美森</t>
  </si>
  <si>
    <t>普船</t>
  </si>
  <si>
    <t>降关税</t>
  </si>
  <si>
    <t>EU</t>
  </si>
  <si>
    <t>整柜</t>
  </si>
  <si>
    <t>视频链接</t>
  </si>
  <si>
    <t>https://www.tiktok.com/@/video/7507733538158972191?shop_region=US</t>
  </si>
  <si>
    <t>https://www.tiktok.com/@/video/7505007970158185771?shop_region=US</t>
  </si>
  <si>
    <t>https://www.tiktok.com/@/video/7510315444860063022?shop_region=US</t>
  </si>
  <si>
    <t>https://www.tiktok.com/@/video/7509468659413372206?shop_region=US</t>
  </si>
  <si>
    <t>https://www.tiktok.com/@/video/7507463120143600939?shop_region=US</t>
  </si>
  <si>
    <t>https://www.tiktok.com/@/video/7509602854680710443?shop_region=US</t>
  </si>
  <si>
    <t>https://www.tiktok.com/@/video/7512260049553607966?shop_region=US</t>
  </si>
  <si>
    <t>https://www.tiktok.com/@/video/7510281518846135582?shop_region=US</t>
  </si>
  <si>
    <t>https://www.tiktok.com/@/video/7512121539337194782?shop_region=US</t>
  </si>
  <si>
    <t>https://www.tiktok.com/@/video/7512217482250177838?shop_region=US</t>
  </si>
  <si>
    <t>https://www.tiktok.com/@/video/7510822530660289823?shop_region=US</t>
  </si>
  <si>
    <t>https://www.tiktok.com/@/video/7513258934547860779?shop_region=US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</si>
</sst>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,##0.0_);[Red]\(#,##0.0\)"/>
    <numFmt numFmtId="178" formatCode="yyyy/m/d;@"/>
    <numFmt numFmtId="179" formatCode="d"/>
    <numFmt numFmtId="180" formatCode="0.00_ ;[Red]\-0.00\ "/>
    <numFmt numFmtId="181" formatCode="0.00_);[Red]\(0.00\)"/>
    <numFmt numFmtId="182" formatCode="0_ "/>
    <numFmt numFmtId="183" formatCode="0.0%"/>
    <numFmt numFmtId="184" formatCode="0.0_ ;[Red]\-0.0\ "/>
    <numFmt numFmtId="185" formatCode="0_);[Red]\(0\)"/>
    <numFmt numFmtId="186" formatCode="0.000%"/>
    <numFmt numFmtId="187" formatCode="\¥#,##0.00_);[Red]\(\¥#,##0.00\)"/>
    <numFmt numFmtId="188" formatCode="&quot;$&quot;#,##0.00;[Red]\-&quot;$&quot;#,##0.00"/>
    <numFmt numFmtId="189" formatCode="&quot;$&quot;#,##0.00_);[Red]\(&quot;$&quot;#,##0.00\)"/>
    <numFmt numFmtId="190" formatCode="&quot;$&quot;#,##0.0_);[Red]\(&quot;$&quot;#,##0.0\)"/>
    <numFmt numFmtId="191" formatCode="\¥#,##0.0_);[Red]\(\¥#,##0.0\)"/>
  </numFmts>
  <fonts count="61">
    <font>
      <sz val="9"/>
      <name val="等线"/>
      <charset val="64"/>
    </font>
    <font>
      <sz val="12"/>
      <name val="BlinkMacSystemFont"/>
      <charset val="134"/>
    </font>
    <font>
      <u/>
      <sz val="12"/>
      <color rgb="FF3861AF"/>
      <name val="BlinkMacSystemFont"/>
      <charset val="134"/>
    </font>
    <font>
      <u/>
      <sz val="12"/>
      <color rgb="FF0066CC"/>
      <name val="BlinkMacSystemFont"/>
      <charset val="134"/>
    </font>
    <font>
      <sz val="14"/>
      <name val="BlinkMacSystemFont"/>
      <charset val="134"/>
    </font>
    <font>
      <sz val="9"/>
      <name val="BlinkMacSystemFont"/>
      <charset val="134"/>
    </font>
    <font>
      <sz val="9"/>
      <name val="等线"/>
      <charset val="134"/>
    </font>
    <font>
      <b/>
      <sz val="9"/>
      <name val="BlinkMacSystemFont"/>
      <charset val="134"/>
    </font>
    <font>
      <sz val="9"/>
      <color rgb="FF000000"/>
      <name val="等线"/>
      <charset val="134"/>
    </font>
    <font>
      <sz val="8"/>
      <color rgb="FF000000"/>
      <name val="BlinkMacSystemFont"/>
      <charset val="134"/>
    </font>
    <font>
      <u/>
      <sz val="9"/>
      <color rgb="FF3861AF"/>
      <name val="等线"/>
      <charset val="134"/>
    </font>
    <font>
      <sz val="9"/>
      <color rgb="FF000000"/>
      <name val="BlinkMacSystemFont"/>
      <charset val="134"/>
    </font>
    <font>
      <u/>
      <sz val="9"/>
      <color rgb="FF3861AF"/>
      <name val="BlinkMacSystemFont"/>
      <charset val="134"/>
    </font>
    <font>
      <u/>
      <sz val="9"/>
      <color rgb="FF0066CC"/>
      <name val="BlinkMacSystemFont"/>
      <charset val="134"/>
    </font>
    <font>
      <sz val="11"/>
      <name val="等线"/>
      <charset val="134"/>
    </font>
    <font>
      <b/>
      <sz val="18"/>
      <color rgb="FFEE7976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1"/>
      <color rgb="FFFFFFFF"/>
      <name val="等线"/>
      <charset val="134"/>
    </font>
    <font>
      <b/>
      <sz val="14"/>
      <name val="等线"/>
      <charset val="134"/>
    </font>
    <font>
      <sz val="14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2"/>
      <color rgb="FFFFFFFF"/>
      <name val="等线"/>
      <charset val="134"/>
    </font>
    <font>
      <b/>
      <sz val="11"/>
      <name val="等线"/>
      <charset val="134"/>
    </font>
    <font>
      <sz val="11"/>
      <color rgb="FFEE7976"/>
      <name val="等线"/>
      <charset val="13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sz val="10"/>
      <color rgb="FFFF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9"/>
      <color rgb="FF0D0015"/>
      <name val="微软雅黑"/>
      <charset val="134"/>
    </font>
    <font>
      <sz val="9"/>
      <color rgb="FF0D0015"/>
      <name val="微软雅黑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2"/>
      <color rgb="FF000000"/>
      <name val="宋体"/>
      <charset val="0"/>
      <scheme val="minor"/>
    </font>
    <font>
      <sz val="9"/>
      <color rgb="FF0000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D90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F0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A3E0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FBD4D0"/>
      </left>
      <right style="thin">
        <color rgb="FFFBD4D0"/>
      </right>
      <top style="thin">
        <color rgb="FFFBD4D0"/>
      </top>
      <bottom style="thin">
        <color rgb="FFFBD4D0"/>
      </bottom>
      <diagonal/>
    </border>
    <border>
      <left style="thin">
        <color rgb="FFFBD4D0"/>
      </left>
      <right/>
      <top style="thin">
        <color rgb="FFFBD4D0"/>
      </top>
      <bottom/>
      <diagonal/>
    </border>
    <border>
      <left/>
      <right/>
      <top style="thin">
        <color rgb="FFFBD4D0"/>
      </top>
      <bottom/>
      <diagonal/>
    </border>
    <border>
      <left style="thin">
        <color rgb="FFFBD4D0"/>
      </left>
      <right/>
      <top/>
      <bottom/>
      <diagonal/>
    </border>
    <border>
      <left style="thin">
        <color rgb="FFFBD4D0"/>
      </left>
      <right/>
      <top/>
      <bottom style="thin">
        <color rgb="FFFBD4D0"/>
      </bottom>
      <diagonal/>
    </border>
    <border>
      <left/>
      <right/>
      <top/>
      <bottom style="thin">
        <color rgb="FFFBD4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FBD4D0"/>
      </right>
      <top style="thin">
        <color rgb="FFFBD4D0"/>
      </top>
      <bottom/>
      <diagonal/>
    </border>
    <border>
      <left/>
      <right style="thin">
        <color rgb="FFFBD4D0"/>
      </right>
      <top/>
      <bottom/>
      <diagonal/>
    </border>
    <border>
      <left/>
      <right style="thin">
        <color rgb="FFFBD4D0"/>
      </right>
      <top/>
      <bottom style="thin">
        <color rgb="FFFBD4D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19" borderId="17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0" borderId="20" applyNumberFormat="0" applyAlignment="0" applyProtection="0">
      <alignment vertical="center"/>
    </xf>
    <xf numFmtId="0" fontId="48" fillId="7" borderId="21" applyNumberFormat="0" applyAlignment="0" applyProtection="0">
      <alignment vertical="center"/>
    </xf>
    <xf numFmtId="0" fontId="49" fillId="7" borderId="20" applyNumberFormat="0" applyAlignment="0" applyProtection="0">
      <alignment vertical="center"/>
    </xf>
    <xf numFmtId="0" fontId="50" fillId="21" borderId="22" applyNumberFormat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</cellStyleXfs>
  <cellXfs count="310">
    <xf numFmtId="0" fontId="0" fillId="0" borderId="0" xfId="0" applyFo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0" borderId="0" xfId="0" applyNumberFormat="1" applyFont="1" applyAlignment="1"/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40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40" fontId="6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left" vertical="center" wrapText="1"/>
    </xf>
    <xf numFmtId="0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NumberFormat="1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3" xfId="0" applyFont="1" applyFill="1" applyBorder="1">
      <alignment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0" xfId="0" applyFont="1" applyFill="1" applyAlignment="1"/>
    <xf numFmtId="0" fontId="19" fillId="6" borderId="0" xfId="0" applyFont="1" applyFill="1">
      <alignment vertical="center"/>
    </xf>
    <xf numFmtId="0" fontId="20" fillId="6" borderId="0" xfId="0" applyFont="1" applyFill="1">
      <alignment vertical="center"/>
    </xf>
    <xf numFmtId="179" fontId="17" fillId="5" borderId="4" xfId="0" applyNumberFormat="1" applyFont="1" applyFill="1" applyBorder="1" applyAlignment="1">
      <alignment horizontal="center" vertical="center"/>
    </xf>
    <xf numFmtId="179" fontId="17" fillId="5" borderId="0" xfId="0" applyNumberFormat="1" applyFont="1" applyFill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9" fontId="21" fillId="5" borderId="5" xfId="0" applyNumberFormat="1" applyFont="1" applyFill="1" applyBorder="1" applyAlignment="1">
      <alignment horizontal="center" vertical="center"/>
    </xf>
    <xf numFmtId="179" fontId="21" fillId="5" borderId="6" xfId="0" applyNumberFormat="1" applyFont="1" applyFill="1" applyBorder="1">
      <alignment vertical="center"/>
    </xf>
    <xf numFmtId="0" fontId="22" fillId="6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18" fillId="0" borderId="0" xfId="0" applyFont="1">
      <alignment vertical="center"/>
    </xf>
    <xf numFmtId="0" fontId="14" fillId="6" borderId="10" xfId="0" applyFont="1" applyFill="1" applyBorder="1">
      <alignment vertical="center"/>
    </xf>
    <xf numFmtId="0" fontId="20" fillId="6" borderId="11" xfId="0" applyFont="1" applyFill="1" applyBorder="1">
      <alignment vertical="center"/>
    </xf>
    <xf numFmtId="179" fontId="17" fillId="5" borderId="1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79" fontId="17" fillId="0" borderId="11" xfId="0" applyNumberFormat="1" applyFont="1" applyBorder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9" fontId="21" fillId="5" borderId="12" xfId="0" applyNumberFormat="1" applyFont="1" applyFill="1" applyBorder="1">
      <alignment vertical="center"/>
    </xf>
    <xf numFmtId="179" fontId="14" fillId="0" borderId="0" xfId="0" applyNumberFormat="1" applyFont="1">
      <alignment vertical="center"/>
    </xf>
    <xf numFmtId="0" fontId="25" fillId="0" borderId="13" xfId="0" applyFont="1" applyBorder="1" applyAlignment="1"/>
    <xf numFmtId="0" fontId="25" fillId="0" borderId="13" xfId="0" applyFont="1" applyBorder="1">
      <alignment vertical="center"/>
    </xf>
    <xf numFmtId="0" fontId="26" fillId="0" borderId="14" xfId="0" applyNumberFormat="1" applyFont="1" applyBorder="1" applyAlignment="1">
      <alignment horizontal="center" vertical="center" wrapText="1"/>
    </xf>
    <xf numFmtId="0" fontId="26" fillId="0" borderId="14" xfId="0" applyNumberFormat="1" applyFont="1" applyBorder="1" applyAlignment="1">
      <alignment horizontal="center" vertical="center"/>
    </xf>
    <xf numFmtId="180" fontId="27" fillId="8" borderId="14" xfId="0" applyNumberFormat="1" applyFont="1" applyFill="1" applyBorder="1" applyAlignment="1">
      <alignment horizontal="center" vertical="center" wrapText="1"/>
    </xf>
    <xf numFmtId="181" fontId="27" fillId="8" borderId="14" xfId="0" applyNumberFormat="1" applyFont="1" applyFill="1" applyBorder="1" applyAlignment="1">
      <alignment horizontal="center" vertical="center" wrapText="1"/>
    </xf>
    <xf numFmtId="180" fontId="27" fillId="9" borderId="14" xfId="0" applyNumberFormat="1" applyFont="1" applyFill="1" applyBorder="1" applyAlignment="1">
      <alignment horizontal="center" vertical="center" wrapText="1"/>
    </xf>
    <xf numFmtId="0" fontId="28" fillId="0" borderId="14" xfId="0" applyNumberFormat="1" applyFont="1" applyBorder="1" applyAlignment="1">
      <alignment horizontal="center" vertical="center"/>
    </xf>
    <xf numFmtId="0" fontId="28" fillId="0" borderId="14" xfId="0" applyNumberFormat="1" applyFont="1" applyBorder="1" applyAlignment="1">
      <alignment horizontal="left" wrapText="1"/>
    </xf>
    <xf numFmtId="182" fontId="28" fillId="0" borderId="14" xfId="0" applyNumberFormat="1" applyFont="1" applyBorder="1" applyAlignment="1">
      <alignment horizontal="center" vertical="center" wrapText="1"/>
    </xf>
    <xf numFmtId="0" fontId="28" fillId="0" borderId="15" xfId="0" applyNumberFormat="1" applyFont="1" applyBorder="1" applyAlignment="1">
      <alignment horizontal="center"/>
    </xf>
    <xf numFmtId="181" fontId="28" fillId="0" borderId="14" xfId="0" applyNumberFormat="1" applyFont="1" applyBorder="1" applyAlignment="1">
      <alignment horizontal="center" vertical="center"/>
    </xf>
    <xf numFmtId="181" fontId="28" fillId="0" borderId="14" xfId="0" applyNumberFormat="1" applyFont="1" applyBorder="1" applyAlignment="1">
      <alignment horizontal="center" vertical="center" wrapText="1"/>
    </xf>
    <xf numFmtId="180" fontId="27" fillId="10" borderId="14" xfId="0" applyNumberFormat="1" applyFont="1" applyFill="1" applyBorder="1" applyAlignment="1">
      <alignment horizontal="center" vertical="center" wrapText="1"/>
    </xf>
    <xf numFmtId="181" fontId="27" fillId="10" borderId="14" xfId="0" applyNumberFormat="1" applyFont="1" applyFill="1" applyBorder="1" applyAlignment="1">
      <alignment horizontal="center" vertical="center" wrapText="1"/>
    </xf>
    <xf numFmtId="180" fontId="26" fillId="10" borderId="14" xfId="0" applyNumberFormat="1" applyFont="1" applyFill="1" applyBorder="1" applyAlignment="1">
      <alignment horizontal="center" vertical="center" wrapText="1"/>
    </xf>
    <xf numFmtId="183" fontId="26" fillId="10" borderId="14" xfId="0" applyNumberFormat="1" applyFont="1" applyFill="1" applyBorder="1" applyAlignment="1">
      <alignment horizontal="center" vertical="center" wrapText="1"/>
    </xf>
    <xf numFmtId="181" fontId="26" fillId="0" borderId="14" xfId="0" applyNumberFormat="1" applyFont="1" applyBorder="1" applyAlignment="1">
      <alignment horizontal="center" vertical="center" wrapText="1"/>
    </xf>
    <xf numFmtId="10" fontId="26" fillId="10" borderId="14" xfId="0" applyNumberFormat="1" applyFont="1" applyFill="1" applyBorder="1" applyAlignment="1">
      <alignment horizontal="center" vertical="center" wrapText="1"/>
    </xf>
    <xf numFmtId="0" fontId="26" fillId="11" borderId="14" xfId="0" applyNumberFormat="1" applyFont="1" applyFill="1" applyBorder="1" applyAlignment="1">
      <alignment horizontal="center" vertical="center" wrapText="1"/>
    </xf>
    <xf numFmtId="2" fontId="28" fillId="0" borderId="15" xfId="0" applyNumberFormat="1" applyFont="1" applyBorder="1" applyAlignment="1">
      <alignment horizontal="center"/>
    </xf>
    <xf numFmtId="180" fontId="28" fillId="0" borderId="14" xfId="0" applyNumberFormat="1" applyFont="1" applyBorder="1" applyAlignment="1">
      <alignment horizontal="center" vertical="center"/>
    </xf>
    <xf numFmtId="183" fontId="28" fillId="0" borderId="14" xfId="0" applyNumberFormat="1" applyFont="1" applyBorder="1" applyAlignment="1">
      <alignment horizontal="center" vertical="center"/>
    </xf>
    <xf numFmtId="10" fontId="28" fillId="0" borderId="14" xfId="0" applyNumberFormat="1" applyFont="1" applyBorder="1" applyAlignment="1">
      <alignment horizontal="center" vertical="center"/>
    </xf>
    <xf numFmtId="184" fontId="26" fillId="10" borderId="14" xfId="0" applyNumberFormat="1" applyFont="1" applyFill="1" applyBorder="1" applyAlignment="1">
      <alignment horizontal="center" vertical="center" wrapText="1"/>
    </xf>
    <xf numFmtId="181" fontId="27" fillId="9" borderId="14" xfId="0" applyNumberFormat="1" applyFont="1" applyFill="1" applyBorder="1" applyAlignment="1">
      <alignment horizontal="left" vertical="center" wrapText="1"/>
    </xf>
    <xf numFmtId="10" fontId="27" fillId="10" borderId="14" xfId="0" applyNumberFormat="1" applyFont="1" applyFill="1" applyBorder="1" applyAlignment="1">
      <alignment horizontal="center" vertical="center" wrapText="1"/>
    </xf>
    <xf numFmtId="9" fontId="27" fillId="10" borderId="14" xfId="0" applyNumberFormat="1" applyFont="1" applyFill="1" applyBorder="1" applyAlignment="1">
      <alignment horizontal="center" vertical="center" wrapText="1"/>
    </xf>
    <xf numFmtId="176" fontId="28" fillId="0" borderId="14" xfId="0" applyNumberFormat="1" applyFont="1" applyBorder="1" applyAlignment="1">
      <alignment horizontal="center" vertical="center"/>
    </xf>
    <xf numFmtId="9" fontId="28" fillId="0" borderId="14" xfId="0" applyNumberFormat="1" applyFont="1" applyBorder="1" applyAlignment="1">
      <alignment horizontal="center" vertical="center"/>
    </xf>
    <xf numFmtId="10" fontId="27" fillId="0" borderId="14" xfId="0" applyNumberFormat="1" applyFont="1" applyBorder="1" applyAlignment="1">
      <alignment horizontal="center" vertical="center" wrapText="1"/>
    </xf>
    <xf numFmtId="181" fontId="26" fillId="12" borderId="14" xfId="0" applyNumberFormat="1" applyFont="1" applyFill="1" applyBorder="1" applyAlignment="1">
      <alignment horizontal="left" vertical="center" wrapText="1"/>
    </xf>
    <xf numFmtId="0" fontId="26" fillId="12" borderId="14" xfId="0" applyNumberFormat="1" applyFont="1" applyFill="1" applyBorder="1" applyAlignment="1">
      <alignment horizontal="left" vertical="center" wrapText="1"/>
    </xf>
    <xf numFmtId="40" fontId="29" fillId="0" borderId="14" xfId="0" applyNumberFormat="1" applyFont="1" applyBorder="1" applyAlignment="1">
      <alignment horizontal="center" vertical="center" wrapText="1"/>
    </xf>
    <xf numFmtId="2" fontId="28" fillId="0" borderId="14" xfId="0" applyNumberFormat="1" applyFont="1" applyBorder="1" applyAlignment="1">
      <alignment horizontal="center" vertical="center"/>
    </xf>
    <xf numFmtId="9" fontId="27" fillId="13" borderId="14" xfId="0" applyNumberFormat="1" applyFont="1" applyFill="1" applyBorder="1" applyAlignment="1">
      <alignment horizontal="center" vertical="center" wrapText="1"/>
    </xf>
    <xf numFmtId="181" fontId="26" fillId="12" borderId="14" xfId="0" applyNumberFormat="1" applyFont="1" applyFill="1" applyBorder="1" applyAlignment="1">
      <alignment horizontal="center" vertical="center" wrapText="1"/>
    </xf>
    <xf numFmtId="9" fontId="27" fillId="0" borderId="14" xfId="0" applyNumberFormat="1" applyFont="1" applyBorder="1" applyAlignment="1">
      <alignment horizontal="center" vertical="center" wrapText="1"/>
    </xf>
    <xf numFmtId="0" fontId="27" fillId="0" borderId="14" xfId="0" applyNumberFormat="1" applyFont="1" applyBorder="1" applyAlignment="1">
      <alignment horizontal="center" vertical="center"/>
    </xf>
    <xf numFmtId="0" fontId="27" fillId="14" borderId="14" xfId="0" applyNumberFormat="1" applyFont="1" applyFill="1" applyBorder="1" applyAlignment="1">
      <alignment horizontal="center" vertical="center" wrapText="1"/>
    </xf>
    <xf numFmtId="9" fontId="27" fillId="14" borderId="14" xfId="0" applyNumberFormat="1" applyFont="1" applyFill="1" applyBorder="1" applyAlignment="1">
      <alignment horizontal="center" vertical="center" wrapText="1"/>
    </xf>
    <xf numFmtId="0" fontId="27" fillId="13" borderId="14" xfId="0" applyNumberFormat="1" applyFont="1" applyFill="1" applyBorder="1" applyAlignment="1">
      <alignment horizontal="center" vertical="center" wrapText="1"/>
    </xf>
    <xf numFmtId="0" fontId="27" fillId="0" borderId="14" xfId="0" applyNumberFormat="1" applyFont="1" applyBorder="1" applyAlignment="1">
      <alignment horizontal="center" vertical="center" wrapText="1"/>
    </xf>
    <xf numFmtId="0" fontId="28" fillId="0" borderId="14" xfId="0" applyNumberFormat="1" applyFont="1" applyBorder="1" applyAlignment="1"/>
    <xf numFmtId="0" fontId="28" fillId="0" borderId="14" xfId="0" applyFont="1" applyBorder="1" applyAlignment="1">
      <alignment horizontal="center" vertical="center"/>
    </xf>
    <xf numFmtId="185" fontId="28" fillId="0" borderId="14" xfId="0" applyNumberFormat="1" applyFont="1" applyBorder="1" applyAlignment="1">
      <alignment horizontal="center" vertical="center"/>
    </xf>
    <xf numFmtId="0" fontId="26" fillId="14" borderId="14" xfId="0" applyNumberFormat="1" applyFont="1" applyFill="1" applyBorder="1" applyAlignment="1">
      <alignment horizontal="center" vertical="center" wrapText="1"/>
    </xf>
    <xf numFmtId="0" fontId="26" fillId="14" borderId="14" xfId="0" applyNumberFormat="1" applyFont="1" applyFill="1" applyBorder="1" applyAlignment="1">
      <alignment horizontal="center" vertical="center"/>
    </xf>
    <xf numFmtId="180" fontId="27" fillId="14" borderId="14" xfId="0" applyNumberFormat="1" applyFont="1" applyFill="1" applyBorder="1" applyAlignment="1">
      <alignment horizontal="center" vertical="center" wrapText="1"/>
    </xf>
    <xf numFmtId="181" fontId="27" fillId="15" borderId="14" xfId="0" applyNumberFormat="1" applyFont="1" applyFill="1" applyBorder="1" applyAlignment="1">
      <alignment horizontal="center" vertical="center" wrapText="1"/>
    </xf>
    <xf numFmtId="180" fontId="26" fillId="14" borderId="14" xfId="0" applyNumberFormat="1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left" wrapText="1"/>
    </xf>
    <xf numFmtId="0" fontId="28" fillId="0" borderId="15" xfId="0" applyFont="1" applyBorder="1" applyAlignment="1">
      <alignment horizontal="center"/>
    </xf>
    <xf numFmtId="0" fontId="28" fillId="0" borderId="14" xfId="0" applyFont="1" applyBorder="1" applyAlignment="1">
      <alignment horizontal="left" wrapText="1"/>
    </xf>
    <xf numFmtId="0" fontId="30" fillId="0" borderId="14" xfId="0" applyNumberFormat="1" applyFont="1" applyBorder="1" applyAlignment="1">
      <alignment horizontal="left" wrapText="1"/>
    </xf>
    <xf numFmtId="0" fontId="28" fillId="16" borderId="14" xfId="0" applyNumberFormat="1" applyFont="1" applyFill="1" applyBorder="1" applyAlignment="1">
      <alignment horizontal="center" vertical="center"/>
    </xf>
    <xf numFmtId="0" fontId="28" fillId="16" borderId="14" xfId="0" applyFont="1" applyFill="1" applyBorder="1" applyAlignment="1">
      <alignment horizontal="left" wrapText="1"/>
    </xf>
    <xf numFmtId="181" fontId="28" fillId="16" borderId="14" xfId="0" applyNumberFormat="1" applyFont="1" applyFill="1" applyBorder="1" applyAlignment="1">
      <alignment horizontal="center" vertical="center"/>
    </xf>
    <xf numFmtId="181" fontId="28" fillId="16" borderId="14" xfId="0" applyNumberFormat="1" applyFont="1" applyFill="1" applyBorder="1" applyAlignment="1">
      <alignment horizontal="center" vertical="center" wrapText="1"/>
    </xf>
    <xf numFmtId="0" fontId="28" fillId="16" borderId="14" xfId="0" applyFont="1" applyFill="1" applyBorder="1" applyAlignment="1">
      <alignment horizontal="center" vertical="center"/>
    </xf>
    <xf numFmtId="0" fontId="30" fillId="16" borderId="14" xfId="0" applyFont="1" applyFill="1" applyBorder="1" applyAlignment="1">
      <alignment horizontal="left" wrapText="1"/>
    </xf>
    <xf numFmtId="181" fontId="28" fillId="2" borderId="14" xfId="0" applyNumberFormat="1" applyFont="1" applyFill="1" applyBorder="1" applyAlignment="1">
      <alignment horizontal="center" vertical="center" wrapText="1"/>
    </xf>
    <xf numFmtId="0" fontId="28" fillId="16" borderId="14" xfId="0" applyNumberFormat="1" applyFont="1" applyFill="1" applyBorder="1" applyAlignment="1">
      <alignment horizontal="left" wrapText="1"/>
    </xf>
    <xf numFmtId="0" fontId="6" fillId="0" borderId="14" xfId="0" applyFont="1" applyBorder="1">
      <alignment vertical="center"/>
    </xf>
    <xf numFmtId="183" fontId="26" fillId="14" borderId="14" xfId="0" applyNumberFormat="1" applyFont="1" applyFill="1" applyBorder="1" applyAlignment="1">
      <alignment horizontal="center" vertical="center" wrapText="1"/>
    </xf>
    <xf numFmtId="181" fontId="26" fillId="14" borderId="14" xfId="0" applyNumberFormat="1" applyFont="1" applyFill="1" applyBorder="1" applyAlignment="1">
      <alignment horizontal="center" vertical="center" wrapText="1"/>
    </xf>
    <xf numFmtId="10" fontId="26" fillId="14" borderId="14" xfId="0" applyNumberFormat="1" applyFont="1" applyFill="1" applyBorder="1" applyAlignment="1">
      <alignment horizontal="center" vertical="center" wrapText="1"/>
    </xf>
    <xf numFmtId="184" fontId="26" fillId="15" borderId="14" xfId="0" applyNumberFormat="1" applyFont="1" applyFill="1" applyBorder="1" applyAlignment="1">
      <alignment horizontal="center" vertical="center" wrapText="1"/>
    </xf>
    <xf numFmtId="180" fontId="26" fillId="15" borderId="14" xfId="0" applyNumberFormat="1" applyFont="1" applyFill="1" applyBorder="1" applyAlignment="1">
      <alignment horizontal="center" vertical="center" wrapText="1"/>
    </xf>
    <xf numFmtId="10" fontId="28" fillId="15" borderId="14" xfId="0" applyNumberFormat="1" applyFont="1" applyFill="1" applyBorder="1" applyAlignment="1">
      <alignment horizontal="center" vertical="center"/>
    </xf>
    <xf numFmtId="180" fontId="28" fillId="16" borderId="14" xfId="0" applyNumberFormat="1" applyFont="1" applyFill="1" applyBorder="1" applyAlignment="1">
      <alignment horizontal="center" vertical="center"/>
    </xf>
    <xf numFmtId="183" fontId="28" fillId="16" borderId="14" xfId="0" applyNumberFormat="1" applyFont="1" applyFill="1" applyBorder="1" applyAlignment="1">
      <alignment horizontal="center" vertical="center"/>
    </xf>
    <xf numFmtId="10" fontId="28" fillId="16" borderId="14" xfId="0" applyNumberFormat="1" applyFont="1" applyFill="1" applyBorder="1" applyAlignment="1">
      <alignment horizontal="center" vertical="center"/>
    </xf>
    <xf numFmtId="0" fontId="26" fillId="15" borderId="14" xfId="0" applyNumberFormat="1" applyFont="1" applyFill="1" applyBorder="1" applyAlignment="1">
      <alignment horizontal="center" vertical="center" wrapText="1"/>
    </xf>
    <xf numFmtId="10" fontId="27" fillId="15" borderId="14" xfId="0" applyNumberFormat="1" applyFont="1" applyFill="1" applyBorder="1" applyAlignment="1">
      <alignment horizontal="center" vertical="center" wrapText="1"/>
    </xf>
    <xf numFmtId="10" fontId="27" fillId="14" borderId="14" xfId="0" applyNumberFormat="1" applyFont="1" applyFill="1" applyBorder="1" applyAlignment="1">
      <alignment horizontal="center" vertical="center" wrapText="1"/>
    </xf>
    <xf numFmtId="9" fontId="28" fillId="4" borderId="14" xfId="0" applyNumberFormat="1" applyFont="1" applyFill="1" applyBorder="1" applyAlignment="1">
      <alignment horizontal="center" vertical="center"/>
    </xf>
    <xf numFmtId="9" fontId="28" fillId="16" borderId="14" xfId="0" applyNumberFormat="1" applyFont="1" applyFill="1" applyBorder="1" applyAlignment="1">
      <alignment horizontal="center" vertical="center"/>
    </xf>
    <xf numFmtId="181" fontId="26" fillId="15" borderId="14" xfId="0" applyNumberFormat="1" applyFont="1" applyFill="1" applyBorder="1" applyAlignment="1">
      <alignment horizontal="center" vertical="center" wrapText="1"/>
    </xf>
    <xf numFmtId="0" fontId="26" fillId="14" borderId="14" xfId="0" applyNumberFormat="1" applyFont="1" applyFill="1" applyBorder="1" applyAlignment="1">
      <alignment horizontal="left" vertical="center" wrapText="1"/>
    </xf>
    <xf numFmtId="40" fontId="29" fillId="16" borderId="14" xfId="0" applyNumberFormat="1" applyFont="1" applyFill="1" applyBorder="1" applyAlignment="1">
      <alignment horizontal="center" vertical="center" wrapText="1"/>
    </xf>
    <xf numFmtId="2" fontId="28" fillId="16" borderId="14" xfId="0" applyNumberFormat="1" applyFont="1" applyFill="1" applyBorder="1" applyAlignment="1">
      <alignment horizontal="center" vertical="center"/>
    </xf>
    <xf numFmtId="176" fontId="28" fillId="16" borderId="14" xfId="0" applyNumberFormat="1" applyFont="1" applyFill="1" applyBorder="1" applyAlignment="1">
      <alignment horizontal="center" vertical="center"/>
    </xf>
    <xf numFmtId="0" fontId="27" fillId="16" borderId="14" xfId="0" applyNumberFormat="1" applyFont="1" applyFill="1" applyBorder="1" applyAlignment="1">
      <alignment horizontal="center" vertical="center"/>
    </xf>
    <xf numFmtId="0" fontId="28" fillId="14" borderId="14" xfId="0" applyNumberFormat="1" applyFont="1" applyFill="1" applyBorder="1" applyAlignment="1">
      <alignment horizontal="center" vertical="center"/>
    </xf>
    <xf numFmtId="0" fontId="28" fillId="0" borderId="14" xfId="0" applyNumberFormat="1" applyFont="1" applyBorder="1">
      <alignment vertical="center"/>
    </xf>
    <xf numFmtId="185" fontId="28" fillId="16" borderId="14" xfId="0" applyNumberFormat="1" applyFont="1" applyFill="1" applyBorder="1" applyAlignment="1">
      <alignment horizontal="center" vertical="center"/>
    </xf>
    <xf numFmtId="0" fontId="6" fillId="0" borderId="14" xfId="0" applyNumberFormat="1" applyFont="1" applyBorder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6" fillId="17" borderId="0" xfId="0" applyNumberFormat="1" applyFont="1" applyFill="1">
      <alignment vertical="center"/>
    </xf>
    <xf numFmtId="2" fontId="6" fillId="4" borderId="0" xfId="0" applyNumberFormat="1" applyFont="1" applyFill="1" applyAlignment="1">
      <alignment horizontal="center" vertical="center"/>
    </xf>
    <xf numFmtId="0" fontId="6" fillId="17" borderId="0" xfId="0" applyFont="1" applyFill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2" borderId="0" xfId="0" applyFont="1" applyFill="1">
      <alignment vertical="center"/>
    </xf>
    <xf numFmtId="0" fontId="6" fillId="3" borderId="0" xfId="0" applyNumberFormat="1" applyFont="1" applyFill="1" applyAlignment="1">
      <alignment horizontal="center" vertical="center"/>
    </xf>
    <xf numFmtId="186" fontId="1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185" fontId="16" fillId="0" borderId="0" xfId="0" applyNumberFormat="1" applyFont="1" applyAlignment="1">
      <alignment horizontal="center" vertical="center"/>
    </xf>
    <xf numFmtId="181" fontId="16" fillId="2" borderId="0" xfId="0" applyNumberFormat="1" applyFont="1" applyFill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181" fontId="6" fillId="2" borderId="0" xfId="0" applyNumberFormat="1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6" fillId="2" borderId="0" xfId="0" applyNumberFormat="1" applyFont="1" applyFill="1">
      <alignment vertical="center"/>
    </xf>
    <xf numFmtId="0" fontId="6" fillId="2" borderId="0" xfId="0" applyFont="1" applyFill="1" applyAlignment="1">
      <alignment horizontal="center" vertical="center"/>
    </xf>
    <xf numFmtId="181" fontId="6" fillId="0" borderId="0" xfId="0" applyNumberFormat="1" applyFont="1">
      <alignment vertical="center"/>
    </xf>
    <xf numFmtId="2" fontId="6" fillId="17" borderId="0" xfId="0" applyNumberFormat="1" applyFont="1" applyFill="1" applyAlignment="1">
      <alignment horizontal="center" vertical="center"/>
    </xf>
    <xf numFmtId="9" fontId="6" fillId="2" borderId="0" xfId="0" applyNumberFormat="1" applyFont="1" applyFill="1" applyAlignment="1">
      <alignment horizontal="center" vertical="center"/>
    </xf>
    <xf numFmtId="186" fontId="6" fillId="2" borderId="0" xfId="0" applyNumberFormat="1" applyFont="1" applyFill="1" applyAlignment="1">
      <alignment horizontal="center" vertical="center"/>
    </xf>
    <xf numFmtId="186" fontId="6" fillId="0" borderId="0" xfId="0" applyNumberFormat="1" applyFont="1">
      <alignment vertical="center"/>
    </xf>
    <xf numFmtId="185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83" fontId="6" fillId="2" borderId="0" xfId="0" applyNumberFormat="1" applyFont="1" applyFill="1" applyAlignment="1">
      <alignment horizontal="center" vertical="center"/>
    </xf>
    <xf numFmtId="185" fontId="6" fillId="0" borderId="0" xfId="0" applyNumberFormat="1" applyFont="1">
      <alignment vertical="center"/>
    </xf>
    <xf numFmtId="10" fontId="6" fillId="0" borderId="0" xfId="0" applyNumberFormat="1" applyFont="1">
      <alignment vertical="center"/>
    </xf>
    <xf numFmtId="183" fontId="6" fillId="0" borderId="0" xfId="0" applyNumberFormat="1" applyFont="1">
      <alignment vertical="center"/>
    </xf>
    <xf numFmtId="187" fontId="31" fillId="0" borderId="14" xfId="0" applyNumberFormat="1" applyFont="1" applyBorder="1" applyAlignment="1">
      <alignment horizontal="center" vertical="center" wrapText="1"/>
    </xf>
    <xf numFmtId="181" fontId="31" fillId="0" borderId="14" xfId="0" applyNumberFormat="1" applyFont="1" applyBorder="1" applyAlignment="1">
      <alignment horizontal="center" vertical="center" wrapText="1"/>
    </xf>
    <xf numFmtId="188" fontId="31" fillId="0" borderId="14" xfId="0" applyNumberFormat="1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0" fontId="32" fillId="0" borderId="14" xfId="0" applyNumberFormat="1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left" vertical="center"/>
    </xf>
    <xf numFmtId="189" fontId="32" fillId="0" borderId="14" xfId="0" applyNumberFormat="1" applyFont="1" applyBorder="1" applyAlignment="1">
      <alignment horizontal="center" vertical="center"/>
    </xf>
    <xf numFmtId="188" fontId="32" fillId="0" borderId="14" xfId="0" applyNumberFormat="1" applyFont="1" applyBorder="1" applyAlignment="1">
      <alignment horizontal="center" vertical="center"/>
    </xf>
    <xf numFmtId="189" fontId="31" fillId="0" borderId="14" xfId="0" applyNumberFormat="1" applyFont="1" applyBorder="1" applyAlignment="1">
      <alignment horizontal="center" vertical="center" wrapText="1"/>
    </xf>
    <xf numFmtId="188" fontId="33" fillId="0" borderId="14" xfId="0" applyNumberFormat="1" applyFont="1" applyBorder="1" applyAlignment="1">
      <alignment horizontal="center" vertical="center" wrapText="1"/>
    </xf>
    <xf numFmtId="183" fontId="33" fillId="0" borderId="14" xfId="0" applyNumberFormat="1" applyFont="1" applyBorder="1" applyAlignment="1">
      <alignment horizontal="center" vertical="center" wrapText="1"/>
    </xf>
    <xf numFmtId="10" fontId="33" fillId="17" borderId="14" xfId="0" applyNumberFormat="1" applyFont="1" applyFill="1" applyBorder="1" applyAlignment="1">
      <alignment horizontal="center" vertical="center" wrapText="1"/>
    </xf>
    <xf numFmtId="180" fontId="33" fillId="0" borderId="14" xfId="0" applyNumberFormat="1" applyFont="1" applyBorder="1" applyAlignment="1">
      <alignment horizontal="center" vertical="center" wrapText="1"/>
    </xf>
    <xf numFmtId="183" fontId="32" fillId="0" borderId="14" xfId="0" applyNumberFormat="1" applyFont="1" applyBorder="1" applyAlignment="1">
      <alignment horizontal="center" vertical="center"/>
    </xf>
    <xf numFmtId="10" fontId="32" fillId="0" borderId="14" xfId="0" applyNumberFormat="1" applyFont="1" applyBorder="1" applyAlignment="1">
      <alignment horizontal="center" vertical="center"/>
    </xf>
    <xf numFmtId="187" fontId="32" fillId="0" borderId="14" xfId="0" applyNumberFormat="1" applyFont="1" applyBorder="1" applyAlignment="1">
      <alignment horizontal="center" vertical="center"/>
    </xf>
    <xf numFmtId="183" fontId="32" fillId="2" borderId="14" xfId="0" applyNumberFormat="1" applyFont="1" applyFill="1" applyBorder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 wrapText="1"/>
    </xf>
    <xf numFmtId="10" fontId="31" fillId="0" borderId="14" xfId="0" applyNumberFormat="1" applyFont="1" applyBorder="1" applyAlignment="1">
      <alignment horizontal="center" vertical="center" wrapText="1"/>
    </xf>
    <xf numFmtId="9" fontId="31" fillId="0" borderId="14" xfId="0" applyNumberFormat="1" applyFont="1" applyBorder="1" applyAlignment="1">
      <alignment horizontal="center" vertical="center" wrapText="1"/>
    </xf>
    <xf numFmtId="9" fontId="32" fillId="0" borderId="14" xfId="0" applyNumberFormat="1" applyFont="1" applyBorder="1" applyAlignment="1">
      <alignment horizontal="center" vertical="center"/>
    </xf>
    <xf numFmtId="9" fontId="31" fillId="15" borderId="14" xfId="0" applyNumberFormat="1" applyFont="1" applyFill="1" applyBorder="1" applyAlignment="1">
      <alignment horizontal="center" vertical="center" wrapText="1"/>
    </xf>
    <xf numFmtId="181" fontId="33" fillId="15" borderId="14" xfId="0" applyNumberFormat="1" applyFont="1" applyFill="1" applyBorder="1" applyAlignment="1">
      <alignment horizontal="center" vertical="center" wrapText="1"/>
    </xf>
    <xf numFmtId="0" fontId="33" fillId="15" borderId="14" xfId="0" applyNumberFormat="1" applyFont="1" applyFill="1" applyBorder="1" applyAlignment="1">
      <alignment horizontal="center" vertical="center" wrapText="1"/>
    </xf>
    <xf numFmtId="190" fontId="34" fillId="0" borderId="14" xfId="0" applyNumberFormat="1" applyFont="1" applyBorder="1" applyAlignment="1">
      <alignment horizontal="center" vertical="center" wrapText="1"/>
    </xf>
    <xf numFmtId="190" fontId="32" fillId="0" borderId="14" xfId="0" applyNumberFormat="1" applyFont="1" applyBorder="1" applyAlignment="1">
      <alignment horizontal="center" vertical="center"/>
    </xf>
    <xf numFmtId="191" fontId="32" fillId="0" borderId="14" xfId="0" applyNumberFormat="1" applyFont="1" applyBorder="1" applyAlignment="1">
      <alignment horizontal="center" vertical="center"/>
    </xf>
    <xf numFmtId="190" fontId="34" fillId="2" borderId="14" xfId="0" applyNumberFormat="1" applyFont="1" applyFill="1" applyBorder="1" applyAlignment="1">
      <alignment horizontal="center" vertical="center" wrapText="1"/>
    </xf>
    <xf numFmtId="0" fontId="35" fillId="18" borderId="15" xfId="0" applyNumberFormat="1" applyFont="1" applyFill="1" applyBorder="1" applyAlignment="1">
      <alignment horizontal="center" vertical="center"/>
    </xf>
    <xf numFmtId="181" fontId="35" fillId="18" borderId="15" xfId="0" applyNumberFormat="1" applyFont="1" applyFill="1" applyBorder="1" applyAlignment="1">
      <alignment horizontal="center" vertical="center"/>
    </xf>
    <xf numFmtId="0" fontId="36" fillId="15" borderId="16" xfId="0" applyNumberFormat="1" applyFont="1" applyFill="1" applyBorder="1" applyAlignment="1">
      <alignment horizontal="center" vertical="center"/>
    </xf>
    <xf numFmtId="0" fontId="35" fillId="7" borderId="16" xfId="0" applyNumberFormat="1" applyFont="1" applyFill="1" applyBorder="1" applyAlignment="1">
      <alignment horizontal="center" vertical="center"/>
    </xf>
    <xf numFmtId="189" fontId="35" fillId="7" borderId="16" xfId="0" applyNumberFormat="1" applyFont="1" applyFill="1" applyBorder="1" applyAlignment="1">
      <alignment horizontal="center" vertical="center"/>
    </xf>
    <xf numFmtId="181" fontId="35" fillId="7" borderId="16" xfId="0" applyNumberFormat="1" applyFont="1" applyFill="1" applyBorder="1" applyAlignment="1">
      <alignment horizontal="center" vertical="center"/>
    </xf>
    <xf numFmtId="0" fontId="35" fillId="7" borderId="15" xfId="0" applyNumberFormat="1" applyFont="1" applyFill="1" applyBorder="1" applyAlignment="1">
      <alignment horizontal="center" vertical="center"/>
    </xf>
    <xf numFmtId="189" fontId="35" fillId="7" borderId="15" xfId="0" applyNumberFormat="1" applyFont="1" applyFill="1" applyBorder="1" applyAlignment="1">
      <alignment horizontal="center" vertical="center"/>
    </xf>
    <xf numFmtId="181" fontId="35" fillId="7" borderId="15" xfId="0" applyNumberFormat="1" applyFont="1" applyFill="1" applyBorder="1" applyAlignment="1">
      <alignment horizontal="center" vertical="center"/>
    </xf>
    <xf numFmtId="0" fontId="35" fillId="7" borderId="15" xfId="0" applyFont="1" applyFill="1" applyBorder="1" applyAlignment="1">
      <alignment horizontal="center" vertical="center"/>
    </xf>
    <xf numFmtId="0" fontId="36" fillId="0" borderId="16" xfId="0" applyNumberFormat="1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17" borderId="15" xfId="0" applyFont="1" applyFill="1" applyBorder="1" applyAlignment="1">
      <alignment horizontal="center" vertical="center"/>
    </xf>
    <xf numFmtId="0" fontId="35" fillId="0" borderId="15" xfId="0" applyNumberFormat="1" applyFont="1" applyBorder="1" applyAlignment="1">
      <alignment horizontal="center" vertical="center"/>
    </xf>
    <xf numFmtId="189" fontId="35" fillId="0" borderId="15" xfId="0" applyNumberFormat="1" applyFont="1" applyBorder="1" applyAlignment="1">
      <alignment horizontal="center" vertical="center"/>
    </xf>
    <xf numFmtId="181" fontId="35" fillId="0" borderId="16" xfId="0" applyNumberFormat="1" applyFont="1" applyBorder="1" applyAlignment="1">
      <alignment horizontal="center" vertical="center"/>
    </xf>
    <xf numFmtId="189" fontId="35" fillId="0" borderId="16" xfId="0" applyNumberFormat="1" applyFont="1" applyBorder="1" applyAlignment="1">
      <alignment horizontal="center" vertical="center"/>
    </xf>
    <xf numFmtId="181" fontId="35" fillId="0" borderId="15" xfId="0" applyNumberFormat="1" applyFont="1" applyBorder="1" applyAlignment="1">
      <alignment horizontal="center" vertical="center"/>
    </xf>
    <xf numFmtId="0" fontId="36" fillId="2" borderId="16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189" fontId="35" fillId="2" borderId="15" xfId="0" applyNumberFormat="1" applyFont="1" applyFill="1" applyBorder="1" applyAlignment="1">
      <alignment horizontal="center" vertical="center"/>
    </xf>
    <xf numFmtId="181" fontId="35" fillId="2" borderId="16" xfId="0" applyNumberFormat="1" applyFont="1" applyFill="1" applyBorder="1" applyAlignment="1">
      <alignment horizontal="center" vertical="center"/>
    </xf>
    <xf numFmtId="189" fontId="35" fillId="2" borderId="16" xfId="0" applyNumberFormat="1" applyFont="1" applyFill="1" applyBorder="1" applyAlignment="1">
      <alignment horizontal="center" vertical="center"/>
    </xf>
    <xf numFmtId="181" fontId="35" fillId="2" borderId="15" xfId="0" applyNumberFormat="1" applyFont="1" applyFill="1" applyBorder="1" applyAlignment="1">
      <alignment horizontal="center" vertical="center"/>
    </xf>
    <xf numFmtId="0" fontId="36" fillId="2" borderId="16" xfId="0" applyNumberFormat="1" applyFont="1" applyFill="1" applyBorder="1" applyAlignment="1">
      <alignment horizontal="center" vertical="center"/>
    </xf>
    <xf numFmtId="0" fontId="36" fillId="14" borderId="16" xfId="0" applyNumberFormat="1" applyFont="1" applyFill="1" applyBorder="1" applyAlignment="1">
      <alignment horizontal="center" vertical="center"/>
    </xf>
    <xf numFmtId="0" fontId="35" fillId="14" borderId="15" xfId="0" applyNumberFormat="1" applyFont="1" applyFill="1" applyBorder="1" applyAlignment="1">
      <alignment horizontal="center" vertical="center"/>
    </xf>
    <xf numFmtId="189" fontId="35" fillId="14" borderId="15" xfId="0" applyNumberFormat="1" applyFont="1" applyFill="1" applyBorder="1" applyAlignment="1">
      <alignment horizontal="center" vertical="center"/>
    </xf>
    <xf numFmtId="181" fontId="35" fillId="14" borderId="16" xfId="0" applyNumberFormat="1" applyFont="1" applyFill="1" applyBorder="1" applyAlignment="1">
      <alignment horizontal="center" vertical="center"/>
    </xf>
    <xf numFmtId="189" fontId="35" fillId="14" borderId="16" xfId="0" applyNumberFormat="1" applyFont="1" applyFill="1" applyBorder="1" applyAlignment="1">
      <alignment horizontal="center" vertical="center"/>
    </xf>
    <xf numFmtId="181" fontId="35" fillId="14" borderId="15" xfId="0" applyNumberFormat="1" applyFont="1" applyFill="1" applyBorder="1" applyAlignment="1">
      <alignment horizontal="center" vertical="center"/>
    </xf>
    <xf numFmtId="0" fontId="35" fillId="14" borderId="15" xfId="0" applyFont="1" applyFill="1" applyBorder="1" applyAlignment="1">
      <alignment horizontal="center" vertical="center"/>
    </xf>
    <xf numFmtId="2" fontId="35" fillId="7" borderId="15" xfId="0" applyNumberFormat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81" fontId="24" fillId="0" borderId="0" xfId="0" applyNumberFormat="1" applyFont="1">
      <alignment vertical="center"/>
    </xf>
    <xf numFmtId="0" fontId="35" fillId="17" borderId="15" xfId="0" applyNumberFormat="1" applyFont="1" applyFill="1" applyBorder="1" applyAlignment="1">
      <alignment horizontal="center" vertical="center"/>
    </xf>
    <xf numFmtId="0" fontId="35" fillId="18" borderId="15" xfId="0" applyFont="1" applyFill="1" applyBorder="1" applyAlignment="1">
      <alignment horizontal="center" vertical="center"/>
    </xf>
    <xf numFmtId="10" fontId="35" fillId="7" borderId="16" xfId="0" applyNumberFormat="1" applyFont="1" applyFill="1" applyBorder="1" applyAlignment="1">
      <alignment horizontal="center" vertical="center"/>
    </xf>
    <xf numFmtId="9" fontId="35" fillId="7" borderId="16" xfId="0" applyNumberFormat="1" applyFont="1" applyFill="1" applyBorder="1" applyAlignment="1">
      <alignment horizontal="center" vertical="center"/>
    </xf>
    <xf numFmtId="10" fontId="35" fillId="0" borderId="16" xfId="0" applyNumberFormat="1" applyFont="1" applyBorder="1" applyAlignment="1">
      <alignment horizontal="center" vertical="center"/>
    </xf>
    <xf numFmtId="0" fontId="35" fillId="0" borderId="16" xfId="0" applyNumberFormat="1" applyFont="1" applyBorder="1" applyAlignment="1">
      <alignment horizontal="center" vertical="center"/>
    </xf>
    <xf numFmtId="9" fontId="35" fillId="0" borderId="16" xfId="0" applyNumberFormat="1" applyFont="1" applyBorder="1" applyAlignment="1">
      <alignment horizontal="center" vertical="center"/>
    </xf>
    <xf numFmtId="10" fontId="35" fillId="2" borderId="16" xfId="0" applyNumberFormat="1" applyFont="1" applyFill="1" applyBorder="1" applyAlignment="1">
      <alignment horizontal="center" vertical="center"/>
    </xf>
    <xf numFmtId="0" fontId="35" fillId="2" borderId="16" xfId="0" applyNumberFormat="1" applyFont="1" applyFill="1" applyBorder="1" applyAlignment="1">
      <alignment horizontal="center" vertical="center"/>
    </xf>
    <xf numFmtId="9" fontId="35" fillId="2" borderId="16" xfId="0" applyNumberFormat="1" applyFont="1" applyFill="1" applyBorder="1" applyAlignment="1">
      <alignment horizontal="center" vertical="center"/>
    </xf>
    <xf numFmtId="10" fontId="35" fillId="14" borderId="16" xfId="0" applyNumberFormat="1" applyFont="1" applyFill="1" applyBorder="1" applyAlignment="1">
      <alignment horizontal="center" vertical="center"/>
    </xf>
    <xf numFmtId="0" fontId="35" fillId="14" borderId="16" xfId="0" applyNumberFormat="1" applyFont="1" applyFill="1" applyBorder="1" applyAlignment="1">
      <alignment horizontal="center" vertical="center"/>
    </xf>
    <xf numFmtId="9" fontId="35" fillId="14" borderId="16" xfId="0" applyNumberFormat="1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24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9" fontId="35" fillId="18" borderId="15" xfId="0" applyNumberFormat="1" applyFont="1" applyFill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35" fillId="2" borderId="15" xfId="0" applyNumberFormat="1" applyFont="1" applyFill="1" applyBorder="1" applyAlignment="1">
      <alignment horizontal="center" vertical="center"/>
    </xf>
    <xf numFmtId="9" fontId="35" fillId="2" borderId="0" xfId="0" applyNumberFormat="1" applyFont="1" applyFill="1" applyAlignment="1">
      <alignment horizontal="center" vertical="center"/>
    </xf>
    <xf numFmtId="9" fontId="24" fillId="2" borderId="0" xfId="0" applyNumberFormat="1" applyFont="1" applyFill="1" applyAlignment="1">
      <alignment horizontal="center" vertical="center"/>
    </xf>
    <xf numFmtId="9" fontId="35" fillId="14" borderId="0" xfId="0" applyNumberFormat="1" applyFont="1" applyFill="1" applyAlignment="1">
      <alignment horizontal="center" vertical="center"/>
    </xf>
    <xf numFmtId="9" fontId="24" fillId="14" borderId="0" xfId="0" applyNumberFormat="1" applyFont="1" applyFill="1" applyAlignment="1">
      <alignment horizontal="center" vertical="center"/>
    </xf>
    <xf numFmtId="0" fontId="24" fillId="2" borderId="0" xfId="0" applyFont="1" applyFill="1">
      <alignment vertical="center"/>
    </xf>
    <xf numFmtId="0" fontId="24" fillId="14" borderId="0" xfId="0" applyFont="1" applyFill="1">
      <alignment vertical="center"/>
    </xf>
    <xf numFmtId="0" fontId="37" fillId="14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0"/>
        <i val="0"/>
        <strike val="0"/>
        <u val="none"/>
        <color rgb="FF2C3033"/>
      </font>
      <fill>
        <patternFill patternType="solid">
          <bgColor rgb="FFFBD4D0"/>
        </patternFill>
      </fill>
    </dxf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ont>
        <b val="0"/>
        <i val="0"/>
        <strike val="0"/>
        <u val="none"/>
        <color rgb="FFF2F2F2"/>
      </font>
      <fill>
        <patternFill patternType="solid"/>
      </fill>
    </dxf>
    <dxf>
      <font>
        <b val="0"/>
        <i val="0"/>
        <strike val="0"/>
        <u val="none"/>
        <color rgb="FF000000"/>
      </font>
      <fill>
        <patternFill patternType="solid">
          <bgColor rgb="FFD4E9D6"/>
        </patternFill>
      </fill>
    </dxf>
    <dxf>
      <font>
        <b val="0"/>
        <i val="0"/>
        <strike val="0"/>
        <u val="none"/>
        <color rgb="FF000000"/>
      </font>
      <fill>
        <patternFill patternType="solid">
          <bgColor rgb="FFCCE0F1"/>
        </patternFill>
      </fill>
    </dxf>
    <dxf>
      <font>
        <b val="0"/>
        <i val="0"/>
        <strike val="0"/>
        <u val="none"/>
        <color rgb="FFFFFFFF"/>
      </font>
      <fill>
        <patternFill patternType="solid">
          <bgColor rgb="FFEE7976"/>
        </patternFill>
      </fill>
    </dxf>
    <dxf>
      <font>
        <b val="0"/>
        <i val="0"/>
        <strike val="1"/>
        <u val="none"/>
        <color rgb="FFBFBFBF"/>
      </font>
      <fill>
        <patternFill patternType="solid"/>
      </fill>
    </dxf>
    <dxf>
      <font>
        <b val="0"/>
        <i val="0"/>
        <strike val="0"/>
        <u val="none"/>
        <color rgb="FFFFFFFF"/>
      </font>
      <fill>
        <patternFill patternType="solid">
          <bgColor rgb="FFEE797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9080" y="1790700"/>
          <a:ext cx="160782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sanjdqeje0.feishu.cn/file/YT4Ob07PyogqKgxeXFrclrmZnfc" TargetMode="External"/><Relationship Id="rId8" Type="http://schemas.openxmlformats.org/officeDocument/2006/relationships/hyperlink" Target="https://shimo.im/sheets/5bqndwNRpvUWYNAy/hctQE" TargetMode="External"/><Relationship Id="rId7" Type="http://schemas.openxmlformats.org/officeDocument/2006/relationships/hyperlink" Target="https://shimo.im/file/5rk9KXwYjmtmpo3x" TargetMode="External"/><Relationship Id="rId6" Type="http://schemas.openxmlformats.org/officeDocument/2006/relationships/hyperlink" Target="https://shimo.im/docx/m8AZMGg5pWs8Kekb" TargetMode="External"/><Relationship Id="rId5" Type="http://schemas.openxmlformats.org/officeDocument/2006/relationships/hyperlink" Target="https://shimo.im/sheets/gO3odwvxdEcW7OqD/cusv7" TargetMode="External"/><Relationship Id="rId4" Type="http://schemas.openxmlformats.org/officeDocument/2006/relationships/hyperlink" Target="https://shimo.im/sheets/zdkyd5GBB8syL0q6/GTpiM" TargetMode="External"/><Relationship Id="rId39" Type="http://schemas.openxmlformats.org/officeDocument/2006/relationships/hyperlink" Target="https://shimo.im/file/NJkbn7vwLQCRpkRp" TargetMode="External"/><Relationship Id="rId38" Type="http://schemas.openxmlformats.org/officeDocument/2006/relationships/hyperlink" Target="https://shimo.im/file/vVAXMG2zLju25d3m" TargetMode="External"/><Relationship Id="rId37" Type="http://schemas.openxmlformats.org/officeDocument/2006/relationships/hyperlink" Target="https://shimo.im/docx/1lq7rnX8jNSe903e" TargetMode="External"/><Relationship Id="rId36" Type="http://schemas.openxmlformats.org/officeDocument/2006/relationships/hyperlink" Target="https://shimo.im/sheets/e1Azdp2E7ph1lzqW/NICpS" TargetMode="External"/><Relationship Id="rId35" Type="http://schemas.openxmlformats.org/officeDocument/2006/relationships/hyperlink" Target="https://shimo.im/docx/Wr3DpbnyN9tEMP3J" TargetMode="External"/><Relationship Id="rId34" Type="http://schemas.openxmlformats.org/officeDocument/2006/relationships/hyperlink" Target="https://shimo.im/docx/2wAldwarwyia7gAP" TargetMode="External"/><Relationship Id="rId33" Type="http://schemas.openxmlformats.org/officeDocument/2006/relationships/hyperlink" Target="https://shimo.im/file/913JMZXYlJf5z4AE" TargetMode="External"/><Relationship Id="rId32" Type="http://schemas.openxmlformats.org/officeDocument/2006/relationships/hyperlink" Target="https://shimo.im/file/KrkElQ9QYdS84XqJ" TargetMode="External"/><Relationship Id="rId31" Type="http://schemas.openxmlformats.org/officeDocument/2006/relationships/hyperlink" Target="https://shimo.im/file/25q5XbZLowS7PR3D" TargetMode="External"/><Relationship Id="rId30" Type="http://schemas.openxmlformats.org/officeDocument/2006/relationships/hyperlink" Target="https://shimo.im/sheets/16q8x2ywXVFK9mq7/hdwA2" TargetMode="External"/><Relationship Id="rId3" Type="http://schemas.openxmlformats.org/officeDocument/2006/relationships/hyperlink" Target="https://sanjdqeje0.feishu.cn/file/TJihbfhluoFrtdxwf86c6yUxndx?office_edit=1" TargetMode="External"/><Relationship Id="rId29" Type="http://schemas.openxmlformats.org/officeDocument/2006/relationships/hyperlink" Target="https://shimo.im/sheets/R13jdwQw60uWm6k5/UV2uf" TargetMode="External"/><Relationship Id="rId28" Type="http://schemas.openxmlformats.org/officeDocument/2006/relationships/hyperlink" Target="https://shimo.im/docx/8Nk6emELG8TwWxqL" TargetMode="External"/><Relationship Id="rId27" Type="http://schemas.openxmlformats.org/officeDocument/2006/relationships/hyperlink" Target="https://shimo.im/sheets/Wr3Dp1B0mnh8Zm3J/ZfbUi" TargetMode="External"/><Relationship Id="rId26" Type="http://schemas.openxmlformats.org/officeDocument/2006/relationships/hyperlink" Target="https://shimo.im/docx/N2A1gPjYr4h47GqD" TargetMode="External"/><Relationship Id="rId25" Type="http://schemas.openxmlformats.org/officeDocument/2006/relationships/hyperlink" Target="https://shimo.im/sheets/m5kvdwonvnSRwD3X/Zz48c" TargetMode="External"/><Relationship Id="rId24" Type="http://schemas.openxmlformats.org/officeDocument/2006/relationships/hyperlink" Target="https://shimo.im/sheets/gO3odw62KrFQVpqD/0j0dU" TargetMode="External"/><Relationship Id="rId23" Type="http://schemas.openxmlformats.org/officeDocument/2006/relationships/hyperlink" Target="https://shimo.im/docx/RKAWMDjJgeUJvXq8" TargetMode="External"/><Relationship Id="rId22" Type="http://schemas.openxmlformats.org/officeDocument/2006/relationships/hyperlink" Target="https://shimo.im/sheets/aBAYMYKEOah2rJAj/aj3k0" TargetMode="External"/><Relationship Id="rId21" Type="http://schemas.openxmlformats.org/officeDocument/2006/relationships/hyperlink" Target="https://shimo.im/sheets/1d3aMwgMnPse2Y3g/RmTDc" TargetMode="External"/><Relationship Id="rId20" Type="http://schemas.openxmlformats.org/officeDocument/2006/relationships/hyperlink" Target="https://shimo.im/sheets/ZzkLMZ0LzGC28eAQ/i7L3Q" TargetMode="External"/><Relationship Id="rId2" Type="http://schemas.openxmlformats.org/officeDocument/2006/relationships/vmlDrawing" Target="../drawings/vmlDrawing3.vml"/><Relationship Id="rId19" Type="http://schemas.openxmlformats.org/officeDocument/2006/relationships/hyperlink" Target="https://shimo.im/sheets/Wr3Dp1XYQwhaeM3J/TkhgB" TargetMode="External"/><Relationship Id="rId18" Type="http://schemas.openxmlformats.org/officeDocument/2006/relationships/hyperlink" Target="https://shimo.im/sheets/KrkElQwjEzFWEqJp/xXMQQ" TargetMode="External"/><Relationship Id="rId17" Type="http://schemas.openxmlformats.org/officeDocument/2006/relationships/hyperlink" Target="https://shimo.im/docx/25q5Xg6ddNcJ8Z3D" TargetMode="External"/><Relationship Id="rId16" Type="http://schemas.openxmlformats.org/officeDocument/2006/relationships/hyperlink" Target="https://shimo.im/sheets/913JMP2Z91cJPrAE/ZBXMH" TargetMode="External"/><Relationship Id="rId15" Type="http://schemas.openxmlformats.org/officeDocument/2006/relationships/hyperlink" Target="https://shimo.im/sheets/5rk9KXRngOSw6J3x/Uh9jY" TargetMode="External"/><Relationship Id="rId14" Type="http://schemas.openxmlformats.org/officeDocument/2006/relationships/hyperlink" Target="https://sanjdqeje0.feishu.cn/sheets/KU8Gs3PQfhloEbtWoX8cHAqjnyS?from=from_copylink" TargetMode="External"/><Relationship Id="rId13" Type="http://schemas.openxmlformats.org/officeDocument/2006/relationships/hyperlink" Target="https://shimo.im/sheets/16q8x20zMRfQ8Gq7/Va8UM" TargetMode="External"/><Relationship Id="rId12" Type="http://schemas.openxmlformats.org/officeDocument/2006/relationships/hyperlink" Target="https://shimo.im/sheets/m5kvdw4dOmFDDZ3X/G1jVx" TargetMode="External"/><Relationship Id="rId11" Type="http://schemas.openxmlformats.org/officeDocument/2006/relationships/hyperlink" Target="https://shimo.im/docx/5rk9KXGjdKsxEZ3x" TargetMode="External"/><Relationship Id="rId10" Type="http://schemas.openxmlformats.org/officeDocument/2006/relationships/hyperlink" Target="https://sanjdqeje0.feishu.cn/sheets/O2MTszxKDh9uVNtRbLRcD9xBnYb?from=from_copylink" TargetMode="Externa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ktok.com/@/video/7512121539337194782?shop_region=US" TargetMode="External"/><Relationship Id="rId8" Type="http://schemas.openxmlformats.org/officeDocument/2006/relationships/hyperlink" Target="https://www.tiktok.com/@/video/7510281518846135582?shop_region=US" TargetMode="External"/><Relationship Id="rId7" Type="http://schemas.openxmlformats.org/officeDocument/2006/relationships/hyperlink" Target="https://www.tiktok.com/@/video/7512260049553607966?shop_region=US" TargetMode="External"/><Relationship Id="rId6" Type="http://schemas.openxmlformats.org/officeDocument/2006/relationships/hyperlink" Target="https://www.tiktok.com/@/video/7509602854680710443?shop_region=US" TargetMode="External"/><Relationship Id="rId5" Type="http://schemas.openxmlformats.org/officeDocument/2006/relationships/hyperlink" Target="https://www.tiktok.com/@/video/7507463120143600939?shop_region=US" TargetMode="External"/><Relationship Id="rId4" Type="http://schemas.openxmlformats.org/officeDocument/2006/relationships/hyperlink" Target="https://www.tiktok.com/@/video/7509468659413372206?shop_region=US" TargetMode="External"/><Relationship Id="rId3" Type="http://schemas.openxmlformats.org/officeDocument/2006/relationships/hyperlink" Target="https://www.tiktok.com/@/video/7510315444860063022?shop_region=US" TargetMode="External"/><Relationship Id="rId2" Type="http://schemas.openxmlformats.org/officeDocument/2006/relationships/hyperlink" Target="https://www.tiktok.com/@/video/7505007970158185771?shop_region=US" TargetMode="External"/><Relationship Id="rId12" Type="http://schemas.openxmlformats.org/officeDocument/2006/relationships/hyperlink" Target="https://www.tiktok.com/@/video/7513258934547860779?shop_region=US" TargetMode="External"/><Relationship Id="rId11" Type="http://schemas.openxmlformats.org/officeDocument/2006/relationships/hyperlink" Target="https://www.tiktok.com/@/video/7510822530660289823?shop_region=US" TargetMode="External"/><Relationship Id="rId10" Type="http://schemas.openxmlformats.org/officeDocument/2006/relationships/hyperlink" Target="https://www.tiktok.com/@/video/7512217482250177838?shop_region=US" TargetMode="External"/><Relationship Id="rId1" Type="http://schemas.openxmlformats.org/officeDocument/2006/relationships/hyperlink" Target="https://www.tiktok.com/@/video/7507733538158972191?shop_region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6"/>
  <sheetViews>
    <sheetView workbookViewId="0">
      <pane xSplit="5" ySplit="2" topLeftCell="F46" activePane="bottomRight" state="frozen"/>
      <selection/>
      <selection pane="topRight"/>
      <selection pane="bottomLeft"/>
      <selection pane="bottomRight" activeCell="D27" sqref="D27:D35"/>
    </sheetView>
  </sheetViews>
  <sheetFormatPr defaultColWidth="17" defaultRowHeight="11.4"/>
  <cols>
    <col min="1" max="2" width="16.59375" customWidth="1"/>
    <col min="3" max="3" width="19.375" customWidth="1"/>
    <col min="4" max="4" width="32.3020833333333" customWidth="1"/>
    <col min="5" max="5" width="17.5" customWidth="1"/>
    <col min="6" max="9" width="14.6666666666667" customWidth="1"/>
    <col min="10" max="10" width="12.9166666666667" customWidth="1"/>
    <col min="11" max="14" width="14.6666666666667" customWidth="1"/>
    <col min="15" max="15" width="13.4375" customWidth="1"/>
    <col min="16" max="16" width="13.625" customWidth="1"/>
    <col min="17" max="17" width="14.1354166666667" customWidth="1"/>
    <col min="18" max="25" width="16.59375" customWidth="1"/>
  </cols>
  <sheetData>
    <row r="1" ht="21" customHeight="1" spans="1:25">
      <c r="A1" s="307"/>
      <c r="B1" s="307"/>
      <c r="C1" s="307"/>
      <c r="D1" s="307"/>
      <c r="E1" s="307" t="s">
        <v>0</v>
      </c>
      <c r="F1" s="307" t="s">
        <v>1</v>
      </c>
      <c r="G1" s="307" t="s">
        <v>2</v>
      </c>
      <c r="H1" s="307" t="s">
        <v>3</v>
      </c>
      <c r="I1" s="307" t="s">
        <v>4</v>
      </c>
      <c r="J1" s="307" t="s">
        <v>5</v>
      </c>
      <c r="K1" s="307" t="s">
        <v>6</v>
      </c>
      <c r="L1" s="307" t="s">
        <v>7</v>
      </c>
      <c r="M1" s="307" t="s">
        <v>8</v>
      </c>
      <c r="N1" s="307" t="s">
        <v>9</v>
      </c>
      <c r="O1" s="307" t="s">
        <v>10</v>
      </c>
      <c r="P1" s="307" t="s">
        <v>11</v>
      </c>
      <c r="Q1" s="307" t="s">
        <v>12</v>
      </c>
      <c r="R1" s="308" t="s">
        <v>13</v>
      </c>
      <c r="S1" s="308" t="s">
        <v>14</v>
      </c>
      <c r="T1" s="308" t="s">
        <v>15</v>
      </c>
      <c r="U1" s="308" t="s">
        <v>16</v>
      </c>
      <c r="V1" s="308" t="s">
        <v>17</v>
      </c>
      <c r="W1" s="309"/>
      <c r="X1" s="309"/>
      <c r="Y1" s="309"/>
    </row>
    <row r="2" ht="21" customHeight="1" spans="1:25">
      <c r="A2" s="8"/>
      <c r="B2" s="8"/>
      <c r="C2" s="8"/>
      <c r="D2" s="8"/>
      <c r="E2" s="8">
        <v>46</v>
      </c>
      <c r="F2" s="8">
        <v>20.2</v>
      </c>
      <c r="G2" s="8">
        <v>10.7</v>
      </c>
      <c r="H2" s="8">
        <v>3.6</v>
      </c>
      <c r="I2" s="8">
        <v>0.32</v>
      </c>
      <c r="J2" s="8">
        <v>54</v>
      </c>
      <c r="K2" s="8">
        <v>42.4</v>
      </c>
      <c r="L2" s="8">
        <v>34.1</v>
      </c>
      <c r="M2" s="8">
        <v>34.4</v>
      </c>
      <c r="N2" s="8">
        <v>18.3</v>
      </c>
      <c r="O2" s="188">
        <f t="shared" ref="O2:O8" si="0">K2*L2*M2/6000</f>
        <v>8.28948266666667</v>
      </c>
      <c r="P2" s="188">
        <f t="shared" ref="P2:P8" si="1">K2*L2*M2/1000000</f>
        <v>0.049736896</v>
      </c>
      <c r="Q2" s="188">
        <f t="shared" ref="Q2:Q8" si="2">N2/365</f>
        <v>0.0501369863013699</v>
      </c>
      <c r="R2" s="11">
        <v>1500</v>
      </c>
      <c r="S2" s="11">
        <f>52*N2/J2</f>
        <v>17.6222222222222</v>
      </c>
      <c r="T2" s="11">
        <f>14*N2/J2</f>
        <v>4.74444444444444</v>
      </c>
      <c r="U2" s="11"/>
      <c r="V2" s="11">
        <f>9*N2/J2</f>
        <v>3.05</v>
      </c>
      <c r="W2" s="8">
        <f>S2*432</f>
        <v>7612.8</v>
      </c>
      <c r="X2" s="11">
        <f>T2*2482</f>
        <v>11775.7111111111</v>
      </c>
      <c r="Y2" s="11">
        <f>(W2+X2)/2914</f>
        <v>6.65357279036071</v>
      </c>
    </row>
    <row r="3" ht="21" customHeight="1" spans="1:25">
      <c r="A3" s="8"/>
      <c r="B3" s="8"/>
      <c r="C3" s="8"/>
      <c r="D3" s="8"/>
      <c r="E3" s="9">
        <v>46</v>
      </c>
      <c r="F3" s="9">
        <v>20.2</v>
      </c>
      <c r="G3" s="9">
        <v>10.7</v>
      </c>
      <c r="H3" s="9">
        <v>3.6</v>
      </c>
      <c r="I3" s="9">
        <v>0.32</v>
      </c>
      <c r="J3" s="9">
        <v>54</v>
      </c>
      <c r="K3" s="9">
        <v>42.4</v>
      </c>
      <c r="L3" s="9">
        <v>34.1</v>
      </c>
      <c r="M3" s="9">
        <v>34.4</v>
      </c>
      <c r="N3" s="9">
        <v>18.3</v>
      </c>
      <c r="O3" s="188">
        <f t="shared" si="0"/>
        <v>8.28948266666667</v>
      </c>
      <c r="P3" s="188">
        <f t="shared" si="1"/>
        <v>0.049736896</v>
      </c>
      <c r="Q3" s="188">
        <f t="shared" si="2"/>
        <v>0.0501369863013699</v>
      </c>
      <c r="R3" s="11">
        <v>1500</v>
      </c>
      <c r="S3" s="11">
        <f>N3*35/J3</f>
        <v>11.8611111111111</v>
      </c>
      <c r="T3" s="11">
        <f>18*N3/J3</f>
        <v>6.1</v>
      </c>
      <c r="U3" s="11">
        <f>14*N3/J3</f>
        <v>4.74444444444444</v>
      </c>
      <c r="V3" s="11">
        <f>700*P3/J3+30*7.8*0.3*0.027</f>
        <v>2.54013754074074</v>
      </c>
      <c r="W3" s="8">
        <f>S3*1404</f>
        <v>16653</v>
      </c>
      <c r="X3" s="8">
        <f>T3*(1080+1080+540+540)</f>
        <v>19764</v>
      </c>
      <c r="Y3" s="11">
        <f>(W3+X3)/4644</f>
        <v>7.84173126614987</v>
      </c>
    </row>
    <row r="4" ht="21" customHeight="1" spans="1:25">
      <c r="A4" s="8"/>
      <c r="B4" s="8"/>
      <c r="C4" s="8"/>
      <c r="D4" s="8"/>
      <c r="E4" s="9">
        <v>46</v>
      </c>
      <c r="F4" s="9">
        <v>20.2</v>
      </c>
      <c r="G4" s="9">
        <v>10.7</v>
      </c>
      <c r="H4" s="9">
        <v>3.6</v>
      </c>
      <c r="I4" s="9">
        <v>0.32</v>
      </c>
      <c r="J4" s="9">
        <v>54</v>
      </c>
      <c r="K4" s="9">
        <v>42.4</v>
      </c>
      <c r="L4" s="9">
        <v>34.1</v>
      </c>
      <c r="M4" s="9">
        <v>34.4</v>
      </c>
      <c r="N4" s="9">
        <v>18.3</v>
      </c>
      <c r="O4" s="188">
        <f t="shared" si="0"/>
        <v>8.28948266666667</v>
      </c>
      <c r="P4" s="188">
        <f t="shared" si="1"/>
        <v>0.049736896</v>
      </c>
      <c r="Q4" s="188">
        <f t="shared" si="2"/>
        <v>0.0501369863013699</v>
      </c>
      <c r="R4" s="11">
        <v>800</v>
      </c>
      <c r="S4" s="11">
        <f>N4*35/J4</f>
        <v>11.8611111111111</v>
      </c>
      <c r="T4" s="11">
        <f>18*N4/J4</f>
        <v>6.1</v>
      </c>
      <c r="U4" s="11">
        <f>14*N4/J4</f>
        <v>4.74444444444444</v>
      </c>
      <c r="V4" s="11">
        <f>700*P4/J4+30*7.8*0.3*0.027</f>
        <v>2.54013754074074</v>
      </c>
      <c r="W4" s="8"/>
      <c r="X4" s="8"/>
      <c r="Y4" s="8"/>
    </row>
    <row r="5" ht="21" customHeight="1" spans="1:25">
      <c r="A5" s="8"/>
      <c r="B5" s="8"/>
      <c r="C5" s="8"/>
      <c r="D5" s="8"/>
      <c r="E5" s="9">
        <v>46</v>
      </c>
      <c r="F5" s="9">
        <v>20.2</v>
      </c>
      <c r="G5" s="9">
        <v>10.7</v>
      </c>
      <c r="H5" s="9">
        <v>3.6</v>
      </c>
      <c r="I5" s="9">
        <v>0.32</v>
      </c>
      <c r="J5" s="9">
        <v>54</v>
      </c>
      <c r="K5" s="9">
        <v>42.4</v>
      </c>
      <c r="L5" s="9">
        <v>34.1</v>
      </c>
      <c r="M5" s="9">
        <v>34.4</v>
      </c>
      <c r="N5" s="9">
        <v>18.3</v>
      </c>
      <c r="O5" s="188">
        <f t="shared" si="0"/>
        <v>8.28948266666667</v>
      </c>
      <c r="P5" s="188">
        <f t="shared" si="1"/>
        <v>0.049736896</v>
      </c>
      <c r="Q5" s="188">
        <f t="shared" si="2"/>
        <v>0.0501369863013699</v>
      </c>
      <c r="R5" s="11">
        <v>1500</v>
      </c>
      <c r="S5" s="11">
        <f>52*N5/J5</f>
        <v>17.6222222222222</v>
      </c>
      <c r="T5" s="11">
        <f>21*N5/J5</f>
        <v>7.11666666666667</v>
      </c>
      <c r="U5" s="11"/>
      <c r="V5" s="11">
        <f>9*N5/J5</f>
        <v>3.05</v>
      </c>
      <c r="W5" s="8"/>
      <c r="X5" s="8"/>
      <c r="Y5" s="8"/>
    </row>
    <row r="6" ht="21" customHeight="1" spans="1:25">
      <c r="A6" s="8"/>
      <c r="B6" s="8"/>
      <c r="C6" s="8"/>
      <c r="D6" s="9"/>
      <c r="E6" s="9">
        <v>46</v>
      </c>
      <c r="F6" s="9">
        <v>20.2</v>
      </c>
      <c r="G6" s="9">
        <v>10.7</v>
      </c>
      <c r="H6" s="9">
        <v>3.6</v>
      </c>
      <c r="I6" s="9">
        <v>0.32</v>
      </c>
      <c r="J6" s="9">
        <v>54</v>
      </c>
      <c r="K6" s="9">
        <v>42.4</v>
      </c>
      <c r="L6" s="9">
        <v>34.1</v>
      </c>
      <c r="M6" s="9">
        <v>34.4</v>
      </c>
      <c r="N6" s="9">
        <v>18.3</v>
      </c>
      <c r="O6" s="188">
        <f t="shared" si="0"/>
        <v>8.28948266666667</v>
      </c>
      <c r="P6" s="188">
        <f t="shared" si="1"/>
        <v>0.049736896</v>
      </c>
      <c r="Q6" s="188">
        <f t="shared" si="2"/>
        <v>0.0501369863013699</v>
      </c>
      <c r="R6" s="11">
        <v>1500</v>
      </c>
      <c r="S6" s="11">
        <f>N6*35/J6</f>
        <v>11.8611111111111</v>
      </c>
      <c r="T6" s="11">
        <f>18*N6/J6</f>
        <v>6.1</v>
      </c>
      <c r="U6" s="11">
        <f>14*N6/J6</f>
        <v>4.74444444444444</v>
      </c>
      <c r="V6" s="11">
        <f>700*P6/J6+30*7.8*0.3*0.027</f>
        <v>2.54013754074074</v>
      </c>
      <c r="W6" s="8"/>
      <c r="X6" s="8"/>
      <c r="Y6" s="8"/>
    </row>
    <row r="7" ht="21" customHeight="1" spans="1:25">
      <c r="A7" s="8"/>
      <c r="B7" s="8"/>
      <c r="C7" s="8"/>
      <c r="D7" s="9"/>
      <c r="E7" s="9">
        <v>46</v>
      </c>
      <c r="F7" s="9">
        <v>20.2</v>
      </c>
      <c r="G7" s="9">
        <v>10.7</v>
      </c>
      <c r="H7" s="9">
        <v>3.6</v>
      </c>
      <c r="I7" s="9">
        <v>0.32</v>
      </c>
      <c r="J7" s="9">
        <v>54</v>
      </c>
      <c r="K7" s="9">
        <v>42.4</v>
      </c>
      <c r="L7" s="9">
        <v>34.1</v>
      </c>
      <c r="M7" s="9">
        <v>34.4</v>
      </c>
      <c r="N7" s="9">
        <v>18.3</v>
      </c>
      <c r="O7" s="188">
        <f t="shared" si="0"/>
        <v>8.28948266666667</v>
      </c>
      <c r="P7" s="188">
        <f t="shared" si="1"/>
        <v>0.049736896</v>
      </c>
      <c r="Q7" s="188">
        <f t="shared" si="2"/>
        <v>0.0501369863013699</v>
      </c>
      <c r="R7" s="11">
        <v>800</v>
      </c>
      <c r="S7" s="11">
        <f>N7*35/J7</f>
        <v>11.8611111111111</v>
      </c>
      <c r="T7" s="11">
        <f>18*N7/J7</f>
        <v>6.1</v>
      </c>
      <c r="U7" s="11">
        <f>14*N7/J7</f>
        <v>4.74444444444444</v>
      </c>
      <c r="V7" s="11">
        <f>700*P7/J7+30*7.8*0.3*0.027</f>
        <v>2.54013754074074</v>
      </c>
      <c r="W7" s="8"/>
      <c r="X7" s="8"/>
      <c r="Y7" s="8"/>
    </row>
    <row r="8" ht="21" customHeight="1" spans="1:25">
      <c r="A8" s="8"/>
      <c r="B8" s="8"/>
      <c r="C8" s="8"/>
      <c r="D8" s="8"/>
      <c r="E8" s="8">
        <v>136.5</v>
      </c>
      <c r="F8" s="8">
        <v>33.5</v>
      </c>
      <c r="G8" s="8">
        <v>26.5</v>
      </c>
      <c r="H8" s="8">
        <v>25</v>
      </c>
      <c r="I8" s="8">
        <v>2.3</v>
      </c>
      <c r="J8" s="8">
        <v>4</v>
      </c>
      <c r="K8" s="9">
        <v>56</v>
      </c>
      <c r="L8" s="9">
        <v>36.5</v>
      </c>
      <c r="M8" s="8">
        <v>53</v>
      </c>
      <c r="N8" s="8">
        <v>10</v>
      </c>
      <c r="O8" s="188">
        <f t="shared" si="0"/>
        <v>18.0553333333333</v>
      </c>
      <c r="P8" s="188">
        <f t="shared" si="1"/>
        <v>0.108332</v>
      </c>
      <c r="Q8" s="188">
        <f t="shared" si="2"/>
        <v>0.0273972602739726</v>
      </c>
      <c r="R8" s="11">
        <v>1000</v>
      </c>
      <c r="S8" s="11">
        <f>49*O8/J8</f>
        <v>221.177833333333</v>
      </c>
      <c r="T8" s="11">
        <f>14*O8/J8</f>
        <v>63.1936666666667</v>
      </c>
      <c r="U8" s="11"/>
      <c r="V8" s="11">
        <f>780*P8/J8+18</f>
        <v>39.12474</v>
      </c>
      <c r="W8" s="8"/>
      <c r="X8" s="8"/>
      <c r="Y8" s="8"/>
    </row>
    <row r="9" ht="21" customHeight="1" spans="1:25">
      <c r="A9" s="8"/>
      <c r="B9" s="8"/>
      <c r="C9" s="8"/>
      <c r="D9" s="8"/>
      <c r="E9" s="8">
        <v>135.12</v>
      </c>
      <c r="F9" s="8"/>
      <c r="G9" s="8"/>
      <c r="H9" s="8"/>
      <c r="I9" s="8"/>
      <c r="J9" s="8">
        <v>12</v>
      </c>
      <c r="K9" s="9"/>
      <c r="L9" s="9"/>
      <c r="M9" s="8"/>
      <c r="N9" s="8"/>
      <c r="O9" s="188"/>
      <c r="P9" s="188"/>
      <c r="Q9" s="188"/>
      <c r="R9" s="11"/>
      <c r="S9" s="11"/>
      <c r="T9" s="11"/>
      <c r="U9" s="11"/>
      <c r="V9" s="11"/>
      <c r="W9" s="8"/>
      <c r="X9" s="8"/>
      <c r="Y9" s="8"/>
    </row>
    <row r="10" ht="21" customHeight="1" spans="1:25">
      <c r="A10" s="8"/>
      <c r="B10" s="8"/>
      <c r="C10" s="8"/>
      <c r="D10" s="8"/>
      <c r="E10" s="8">
        <v>136.5</v>
      </c>
      <c r="F10" s="8">
        <v>33.5</v>
      </c>
      <c r="G10" s="8">
        <v>26.5</v>
      </c>
      <c r="H10" s="8">
        <v>25</v>
      </c>
      <c r="I10" s="8">
        <v>2.3</v>
      </c>
      <c r="J10" s="8">
        <v>4</v>
      </c>
      <c r="K10" s="9">
        <v>56</v>
      </c>
      <c r="L10" s="9">
        <v>36.5</v>
      </c>
      <c r="M10" s="8">
        <v>53</v>
      </c>
      <c r="N10" s="8">
        <v>10</v>
      </c>
      <c r="O10" s="188">
        <f t="shared" ref="O10:O41" si="3">K10*L10*M10/6000</f>
        <v>18.0553333333333</v>
      </c>
      <c r="P10" s="188">
        <f t="shared" ref="P10:P41" si="4">K10*L10*M10/1000000</f>
        <v>0.108332</v>
      </c>
      <c r="Q10" s="188">
        <f t="shared" ref="Q10:Q21" si="5">N10/365</f>
        <v>0.0273972602739726</v>
      </c>
      <c r="R10" s="11">
        <v>1000</v>
      </c>
      <c r="S10" s="11">
        <f>49*O10/J10</f>
        <v>221.177833333333</v>
      </c>
      <c r="T10" s="11">
        <f>14*O10/J10</f>
        <v>63.1936666666667</v>
      </c>
      <c r="U10" s="11"/>
      <c r="V10" s="11">
        <f>780*P10/J10+18</f>
        <v>39.12474</v>
      </c>
      <c r="W10" s="8"/>
      <c r="X10" s="8"/>
      <c r="Y10" s="8"/>
    </row>
    <row r="11" ht="21" customHeight="1" spans="1:25">
      <c r="A11" s="8"/>
      <c r="B11" s="8"/>
      <c r="C11" s="8"/>
      <c r="D11" s="8"/>
      <c r="E11" s="8">
        <v>138.5</v>
      </c>
      <c r="F11" s="9">
        <v>33.5</v>
      </c>
      <c r="G11" s="9">
        <v>26.5</v>
      </c>
      <c r="H11" s="9">
        <v>25</v>
      </c>
      <c r="I11" s="9">
        <v>2.3</v>
      </c>
      <c r="J11" s="9">
        <v>4</v>
      </c>
      <c r="K11" s="9">
        <v>56</v>
      </c>
      <c r="L11" s="9">
        <v>36.5</v>
      </c>
      <c r="M11" s="9">
        <v>53</v>
      </c>
      <c r="N11" s="9">
        <v>10</v>
      </c>
      <c r="O11" s="188">
        <f t="shared" si="3"/>
        <v>18.0553333333333</v>
      </c>
      <c r="P11" s="188">
        <f t="shared" si="4"/>
        <v>0.108332</v>
      </c>
      <c r="Q11" s="188">
        <f t="shared" si="5"/>
        <v>0.0273972602739726</v>
      </c>
      <c r="R11" s="11">
        <v>1500</v>
      </c>
      <c r="S11" s="11">
        <f>O11*35/J11</f>
        <v>157.984166666667</v>
      </c>
      <c r="T11" s="11">
        <f>15*O11/J11</f>
        <v>67.7075</v>
      </c>
      <c r="U11" s="11">
        <f>8.5*O11/J11+80*7.8*0.3*0.027</f>
        <v>43.4219833333333</v>
      </c>
      <c r="V11" s="11">
        <f>700*P11/J11+80*7.8*0.3*0.027</f>
        <v>24.0125</v>
      </c>
      <c r="W11" s="8"/>
      <c r="X11" s="8"/>
      <c r="Y11" s="8"/>
    </row>
    <row r="12" ht="21" customHeight="1" spans="1:25">
      <c r="A12" s="8"/>
      <c r="B12" s="8"/>
      <c r="C12" s="8"/>
      <c r="D12" s="8"/>
      <c r="E12" s="9">
        <v>138.5</v>
      </c>
      <c r="F12" s="9">
        <v>33.5</v>
      </c>
      <c r="G12" s="9">
        <v>26.5</v>
      </c>
      <c r="H12" s="9">
        <v>25</v>
      </c>
      <c r="I12" s="9">
        <v>2.3</v>
      </c>
      <c r="J12" s="9">
        <v>4</v>
      </c>
      <c r="K12" s="8">
        <v>56</v>
      </c>
      <c r="L12" s="8">
        <v>36.5</v>
      </c>
      <c r="M12" s="9">
        <v>53</v>
      </c>
      <c r="N12" s="9">
        <v>10</v>
      </c>
      <c r="O12" s="188">
        <f t="shared" si="3"/>
        <v>18.0553333333333</v>
      </c>
      <c r="P12" s="188">
        <f t="shared" si="4"/>
        <v>0.108332</v>
      </c>
      <c r="Q12" s="188">
        <f t="shared" si="5"/>
        <v>0.0273972602739726</v>
      </c>
      <c r="R12" s="11">
        <v>500</v>
      </c>
      <c r="S12" s="11">
        <f>O12*35/J12</f>
        <v>157.984166666667</v>
      </c>
      <c r="T12" s="11">
        <f>15*O12/J12</f>
        <v>67.7075</v>
      </c>
      <c r="U12" s="11">
        <f>10.5*O12/J12+80*7.8*0.3*0.027</f>
        <v>52.44965</v>
      </c>
      <c r="V12" s="11">
        <f>700*P12/J12+80*7.8*0.3*0.027</f>
        <v>24.0125</v>
      </c>
      <c r="W12" s="8"/>
      <c r="X12" s="8"/>
      <c r="Y12" s="8"/>
    </row>
    <row r="13" ht="21" customHeight="1" spans="1:25">
      <c r="A13" s="8"/>
      <c r="B13" s="8"/>
      <c r="C13" s="8"/>
      <c r="D13" s="8"/>
      <c r="E13" s="8">
        <v>11</v>
      </c>
      <c r="F13" s="8">
        <v>12.5</v>
      </c>
      <c r="G13" s="8">
        <v>10.5</v>
      </c>
      <c r="H13" s="9">
        <v>2.8</v>
      </c>
      <c r="I13" s="8">
        <v>0.055</v>
      </c>
      <c r="J13" s="8">
        <v>96</v>
      </c>
      <c r="K13" s="8">
        <v>45.2</v>
      </c>
      <c r="L13" s="8">
        <v>39.5</v>
      </c>
      <c r="M13" s="8">
        <v>24.5</v>
      </c>
      <c r="N13" s="8">
        <v>6.2</v>
      </c>
      <c r="O13" s="188">
        <f t="shared" si="3"/>
        <v>7.29038333333333</v>
      </c>
      <c r="P13" s="188">
        <f t="shared" si="4"/>
        <v>0.0437423</v>
      </c>
      <c r="Q13" s="188">
        <f t="shared" si="5"/>
        <v>0.016986301369863</v>
      </c>
      <c r="R13" s="11">
        <v>200</v>
      </c>
      <c r="S13" s="11">
        <f>52*N13/J13</f>
        <v>3.35833333333333</v>
      </c>
      <c r="T13" s="11">
        <f>14*N13/J13</f>
        <v>0.904166666666667</v>
      </c>
      <c r="U13" s="11"/>
      <c r="V13" s="11">
        <f>9*N13/J13</f>
        <v>0.58125</v>
      </c>
      <c r="W13" s="8">
        <f>S13*432</f>
        <v>1450.8</v>
      </c>
      <c r="X13" s="11">
        <f>T13*2482</f>
        <v>2244.14166666667</v>
      </c>
      <c r="Y13" s="11">
        <f>(W13+X13)/2914</f>
        <v>1.26799645390071</v>
      </c>
    </row>
    <row r="14" ht="21" customHeight="1" spans="1:25">
      <c r="A14" s="8"/>
      <c r="B14" s="8"/>
      <c r="C14" s="8"/>
      <c r="D14" s="8"/>
      <c r="E14" s="9">
        <v>11</v>
      </c>
      <c r="F14" s="9">
        <v>12.5</v>
      </c>
      <c r="G14" s="9">
        <v>10.5</v>
      </c>
      <c r="H14" s="9">
        <v>2.8</v>
      </c>
      <c r="I14" s="9">
        <v>0.055</v>
      </c>
      <c r="J14" s="9">
        <v>96</v>
      </c>
      <c r="K14" s="9">
        <v>45.2</v>
      </c>
      <c r="L14" s="9">
        <v>39.5</v>
      </c>
      <c r="M14" s="9">
        <v>24.5</v>
      </c>
      <c r="N14" s="9">
        <v>6.2</v>
      </c>
      <c r="O14" s="188">
        <f t="shared" si="3"/>
        <v>7.29038333333333</v>
      </c>
      <c r="P14" s="188">
        <f t="shared" si="4"/>
        <v>0.0437423</v>
      </c>
      <c r="Q14" s="188">
        <f t="shared" si="5"/>
        <v>0.016986301369863</v>
      </c>
      <c r="R14" s="11">
        <v>200</v>
      </c>
      <c r="S14" s="11">
        <f>N14*35/J14</f>
        <v>2.26041666666667</v>
      </c>
      <c r="T14" s="11">
        <f>18*N14/J14</f>
        <v>1.1625</v>
      </c>
      <c r="U14" s="11">
        <f>14*N14/J14</f>
        <v>0.904166666666667</v>
      </c>
      <c r="V14" s="11">
        <f>700*P14/J14+30*7.8*0.3*0.027</f>
        <v>2.21435427083333</v>
      </c>
      <c r="W14" s="8">
        <f>S14*1404</f>
        <v>3173.625</v>
      </c>
      <c r="X14" s="8">
        <f>T14*(1080+1080+540+540)</f>
        <v>3766.5</v>
      </c>
      <c r="Y14" s="11">
        <f>(W14+X14)/4644</f>
        <v>1.49442829457364</v>
      </c>
    </row>
    <row r="15" ht="21" customHeight="1" spans="1:25">
      <c r="A15" s="8"/>
      <c r="B15" s="8"/>
      <c r="C15" s="8"/>
      <c r="D15" s="8"/>
      <c r="E15" s="9">
        <v>11</v>
      </c>
      <c r="F15" s="9">
        <v>12.5</v>
      </c>
      <c r="G15" s="9">
        <v>10.5</v>
      </c>
      <c r="H15" s="9">
        <v>2.8</v>
      </c>
      <c r="I15" s="9">
        <v>0.055</v>
      </c>
      <c r="J15" s="9">
        <v>96</v>
      </c>
      <c r="K15" s="9">
        <v>45.2</v>
      </c>
      <c r="L15" s="9">
        <v>39.5</v>
      </c>
      <c r="M15" s="9">
        <v>24.5</v>
      </c>
      <c r="N15" s="9">
        <v>6.2</v>
      </c>
      <c r="O15" s="188">
        <f t="shared" si="3"/>
        <v>7.29038333333333</v>
      </c>
      <c r="P15" s="188">
        <f t="shared" si="4"/>
        <v>0.0437423</v>
      </c>
      <c r="Q15" s="188">
        <f t="shared" si="5"/>
        <v>0.016986301369863</v>
      </c>
      <c r="R15" s="11">
        <v>300</v>
      </c>
      <c r="S15" s="11">
        <f>N15*35/J15</f>
        <v>2.26041666666667</v>
      </c>
      <c r="T15" s="11">
        <f>18*N15/J15</f>
        <v>1.1625</v>
      </c>
      <c r="U15" s="11">
        <f>14*N15/J15</f>
        <v>0.904166666666667</v>
      </c>
      <c r="V15" s="11">
        <f>700*P15/J15+30*7.8*0.3*0.027</f>
        <v>2.21435427083333</v>
      </c>
      <c r="W15" s="8"/>
      <c r="X15" s="8"/>
      <c r="Y15" s="8"/>
    </row>
    <row r="16" ht="21" customHeight="1" spans="1:25">
      <c r="A16" s="8"/>
      <c r="B16" s="8"/>
      <c r="C16" s="8"/>
      <c r="D16" s="8"/>
      <c r="E16" s="9">
        <v>11</v>
      </c>
      <c r="F16" s="9">
        <v>12.5</v>
      </c>
      <c r="G16" s="9">
        <v>10.5</v>
      </c>
      <c r="H16" s="9">
        <v>2.8</v>
      </c>
      <c r="I16" s="9">
        <v>0.055</v>
      </c>
      <c r="J16" s="9">
        <v>96</v>
      </c>
      <c r="K16" s="9">
        <v>45.2</v>
      </c>
      <c r="L16" s="9">
        <v>39.5</v>
      </c>
      <c r="M16" s="9">
        <v>24.5</v>
      </c>
      <c r="N16" s="9">
        <v>6.2</v>
      </c>
      <c r="O16" s="188">
        <f t="shared" si="3"/>
        <v>7.29038333333333</v>
      </c>
      <c r="P16" s="188">
        <f t="shared" si="4"/>
        <v>0.0437423</v>
      </c>
      <c r="Q16" s="188">
        <f t="shared" si="5"/>
        <v>0.016986301369863</v>
      </c>
      <c r="R16" s="11">
        <v>200</v>
      </c>
      <c r="S16" s="11">
        <f>52*N16/J16</f>
        <v>3.35833333333333</v>
      </c>
      <c r="T16" s="11">
        <f>21*N16/J16</f>
        <v>1.35625</v>
      </c>
      <c r="U16" s="11"/>
      <c r="V16" s="11">
        <f>9*N16/J16</f>
        <v>0.58125</v>
      </c>
      <c r="W16" s="8"/>
      <c r="X16" s="8"/>
      <c r="Y16" s="8"/>
    </row>
    <row r="17" ht="21" customHeight="1" spans="1:25">
      <c r="A17" s="8"/>
      <c r="B17" s="8"/>
      <c r="C17" s="8"/>
      <c r="D17" s="8"/>
      <c r="E17" s="9">
        <v>11</v>
      </c>
      <c r="F17" s="9">
        <v>12.5</v>
      </c>
      <c r="G17" s="9">
        <v>10.5</v>
      </c>
      <c r="H17" s="9">
        <v>2.8</v>
      </c>
      <c r="I17" s="9">
        <v>0.055</v>
      </c>
      <c r="J17" s="9">
        <v>96</v>
      </c>
      <c r="K17" s="9">
        <v>45.2</v>
      </c>
      <c r="L17" s="9">
        <v>39.5</v>
      </c>
      <c r="M17" s="9">
        <v>24.5</v>
      </c>
      <c r="N17" s="9">
        <v>6.2</v>
      </c>
      <c r="O17" s="188">
        <f t="shared" si="3"/>
        <v>7.29038333333333</v>
      </c>
      <c r="P17" s="188">
        <f t="shared" si="4"/>
        <v>0.0437423</v>
      </c>
      <c r="Q17" s="188">
        <f t="shared" si="5"/>
        <v>0.016986301369863</v>
      </c>
      <c r="R17" s="11">
        <v>200</v>
      </c>
      <c r="S17" s="11">
        <f>N17*35/J17</f>
        <v>2.26041666666667</v>
      </c>
      <c r="T17" s="11">
        <f>18*N17/J17</f>
        <v>1.1625</v>
      </c>
      <c r="U17" s="11">
        <f>14*N17/J17</f>
        <v>0.904166666666667</v>
      </c>
      <c r="V17" s="11">
        <f>700*P17/J17+30*7.8*0.3*0.027</f>
        <v>2.21435427083333</v>
      </c>
      <c r="W17" s="8"/>
      <c r="X17" s="8"/>
      <c r="Y17" s="8"/>
    </row>
    <row r="18" ht="21" customHeight="1" spans="1:25">
      <c r="A18" s="8"/>
      <c r="B18" s="8"/>
      <c r="C18" s="8"/>
      <c r="D18" s="8"/>
      <c r="E18" s="9">
        <v>11</v>
      </c>
      <c r="F18" s="9">
        <v>12.5</v>
      </c>
      <c r="G18" s="9">
        <v>10.5</v>
      </c>
      <c r="H18" s="9">
        <v>2.8</v>
      </c>
      <c r="I18" s="9">
        <v>0.055</v>
      </c>
      <c r="J18" s="9">
        <v>96</v>
      </c>
      <c r="K18" s="9">
        <v>45.2</v>
      </c>
      <c r="L18" s="9">
        <v>39.5</v>
      </c>
      <c r="M18" s="9">
        <v>24.5</v>
      </c>
      <c r="N18" s="9">
        <v>6.2</v>
      </c>
      <c r="O18" s="188">
        <f t="shared" si="3"/>
        <v>7.29038333333333</v>
      </c>
      <c r="P18" s="188">
        <f t="shared" si="4"/>
        <v>0.0437423</v>
      </c>
      <c r="Q18" s="188">
        <f t="shared" si="5"/>
        <v>0.016986301369863</v>
      </c>
      <c r="R18" s="11">
        <v>300</v>
      </c>
      <c r="S18" s="11">
        <f>N18*35/J18</f>
        <v>2.26041666666667</v>
      </c>
      <c r="T18" s="11">
        <f>18*N18/J18</f>
        <v>1.1625</v>
      </c>
      <c r="U18" s="11">
        <f>14*N18/J18</f>
        <v>0.904166666666667</v>
      </c>
      <c r="V18" s="11">
        <f>700*P18/J18+30*7.8*0.3*0.027</f>
        <v>2.21435427083333</v>
      </c>
      <c r="W18" s="8"/>
      <c r="X18" s="8"/>
      <c r="Y18" s="8"/>
    </row>
    <row r="19" spans="1:25">
      <c r="A19" s="8"/>
      <c r="B19" s="8"/>
      <c r="C19" s="8"/>
      <c r="D19" s="8"/>
      <c r="E19" s="8">
        <v>87</v>
      </c>
      <c r="F19" s="8">
        <v>12.4</v>
      </c>
      <c r="G19" s="8">
        <v>12.4</v>
      </c>
      <c r="H19" s="8">
        <v>15.5</v>
      </c>
      <c r="I19" s="8">
        <v>0.55</v>
      </c>
      <c r="J19" s="9">
        <v>27</v>
      </c>
      <c r="K19" s="8">
        <v>39.5</v>
      </c>
      <c r="L19" s="9">
        <v>39.5</v>
      </c>
      <c r="M19" s="8">
        <v>50.5</v>
      </c>
      <c r="N19" s="11">
        <f>J19*I19+1</f>
        <v>15.85</v>
      </c>
      <c r="O19" s="11">
        <f t="shared" si="3"/>
        <v>13.1321041666667</v>
      </c>
      <c r="P19" s="188">
        <f t="shared" si="4"/>
        <v>0.078792625</v>
      </c>
      <c r="Q19" s="188">
        <f t="shared" si="5"/>
        <v>0.0434246575342466</v>
      </c>
      <c r="R19" s="8"/>
      <c r="S19" s="11">
        <f>52*N19/J19</f>
        <v>30.5259259259259</v>
      </c>
      <c r="T19" s="11">
        <f>14*N19/J19</f>
        <v>8.21851851851852</v>
      </c>
      <c r="U19" s="11"/>
      <c r="V19" s="11"/>
      <c r="W19" s="8"/>
      <c r="X19" s="8"/>
      <c r="Y19" s="8"/>
    </row>
    <row r="20" spans="1:25">
      <c r="A20" s="8"/>
      <c r="B20" s="8"/>
      <c r="C20" s="8"/>
      <c r="D20" s="9"/>
      <c r="E20" s="8">
        <v>87</v>
      </c>
      <c r="F20" s="9">
        <v>12.4</v>
      </c>
      <c r="G20" s="9">
        <v>12.4</v>
      </c>
      <c r="H20" s="9">
        <v>15.5</v>
      </c>
      <c r="I20" s="9">
        <v>0.55</v>
      </c>
      <c r="J20" s="9">
        <v>27</v>
      </c>
      <c r="K20" s="9">
        <v>39.5</v>
      </c>
      <c r="L20" s="9">
        <v>39.5</v>
      </c>
      <c r="M20" s="9">
        <v>50.5</v>
      </c>
      <c r="N20" s="11">
        <f>J20*I20+1</f>
        <v>15.85</v>
      </c>
      <c r="O20" s="11">
        <f t="shared" si="3"/>
        <v>13.1321041666667</v>
      </c>
      <c r="P20" s="188">
        <f t="shared" si="4"/>
        <v>0.078792625</v>
      </c>
      <c r="Q20" s="188">
        <f t="shared" si="5"/>
        <v>0.0434246575342466</v>
      </c>
      <c r="R20" s="8"/>
      <c r="S20" s="11">
        <f>N20*35/J20</f>
        <v>20.5462962962963</v>
      </c>
      <c r="T20" s="11">
        <f>18*N20/J20</f>
        <v>10.5666666666667</v>
      </c>
      <c r="U20" s="11">
        <f>14*N20/J20</f>
        <v>8.21851851851852</v>
      </c>
      <c r="V20" s="11">
        <f>700*P20/J20+30*7.8*0.3*0.027</f>
        <v>3.93817175925926</v>
      </c>
      <c r="W20" s="8"/>
      <c r="X20" s="8"/>
      <c r="Y20" s="8"/>
    </row>
    <row r="21" spans="1:25">
      <c r="A21" s="8"/>
      <c r="B21" s="8"/>
      <c r="C21" s="8"/>
      <c r="D21" s="9"/>
      <c r="E21" s="8">
        <v>89</v>
      </c>
      <c r="F21" s="9">
        <v>12.4</v>
      </c>
      <c r="G21" s="9">
        <v>12.4</v>
      </c>
      <c r="H21" s="9">
        <v>15.5</v>
      </c>
      <c r="I21" s="9">
        <v>0.55</v>
      </c>
      <c r="J21" s="9">
        <v>27</v>
      </c>
      <c r="K21" s="9">
        <v>39.5</v>
      </c>
      <c r="L21" s="9">
        <v>39.5</v>
      </c>
      <c r="M21" s="9">
        <v>50.5</v>
      </c>
      <c r="N21" s="11">
        <f>J21*I21+1</f>
        <v>15.85</v>
      </c>
      <c r="O21" s="11">
        <f t="shared" si="3"/>
        <v>13.1321041666667</v>
      </c>
      <c r="P21" s="188">
        <f t="shared" si="4"/>
        <v>0.078792625</v>
      </c>
      <c r="Q21" s="188">
        <f t="shared" si="5"/>
        <v>0.0434246575342466</v>
      </c>
      <c r="R21" s="8">
        <v>500</v>
      </c>
      <c r="S21" s="11">
        <f>N21*35/J21</f>
        <v>20.5462962962963</v>
      </c>
      <c r="T21" s="11">
        <f>18*N21/J21</f>
        <v>10.5666666666667</v>
      </c>
      <c r="U21" s="11">
        <f>14*N21/J21</f>
        <v>8.21851851851852</v>
      </c>
      <c r="V21" s="11">
        <f>700*P21/J21+30*7.8*0.3*0.027</f>
        <v>3.93817175925926</v>
      </c>
      <c r="W21" s="8"/>
      <c r="X21" s="8"/>
      <c r="Y21" s="8"/>
    </row>
    <row r="22" spans="1:25">
      <c r="A22" s="8"/>
      <c r="B22" s="8"/>
      <c r="C22" s="8"/>
      <c r="D22" s="8"/>
      <c r="E22" s="8">
        <v>440</v>
      </c>
      <c r="F22" s="8">
        <v>38.5</v>
      </c>
      <c r="G22" s="8">
        <v>32.5</v>
      </c>
      <c r="H22" s="8">
        <v>18.3</v>
      </c>
      <c r="I22" s="8">
        <v>2.3</v>
      </c>
      <c r="J22" s="8">
        <v>1</v>
      </c>
      <c r="K22" s="8">
        <v>38.5</v>
      </c>
      <c r="L22" s="8">
        <v>32.5</v>
      </c>
      <c r="M22" s="8">
        <v>18.3</v>
      </c>
      <c r="N22" s="8">
        <v>2.3</v>
      </c>
      <c r="O22" s="188">
        <f t="shared" si="3"/>
        <v>3.8163125</v>
      </c>
      <c r="P22" s="188">
        <f t="shared" si="4"/>
        <v>0.022897875</v>
      </c>
      <c r="Q22" s="188">
        <v>4</v>
      </c>
      <c r="R22" s="11">
        <v>1000</v>
      </c>
      <c r="S22" s="11">
        <f>49*O22/J22</f>
        <v>186.9993125</v>
      </c>
      <c r="T22" s="11">
        <f>14*O22/J22</f>
        <v>53.428375</v>
      </c>
      <c r="U22" s="11"/>
      <c r="V22" s="11">
        <f>780*P22/J22+18</f>
        <v>35.8603425</v>
      </c>
      <c r="W22" s="8"/>
      <c r="X22" s="8"/>
      <c r="Y22" s="8"/>
    </row>
    <row r="23" spans="1:25">
      <c r="A23" s="9"/>
      <c r="B23" s="8"/>
      <c r="C23" s="8"/>
      <c r="D23" s="9"/>
      <c r="E23" s="9">
        <v>440</v>
      </c>
      <c r="F23" s="8">
        <v>38.5</v>
      </c>
      <c r="G23" s="8">
        <v>32.5</v>
      </c>
      <c r="H23" s="8">
        <v>18.3</v>
      </c>
      <c r="I23" s="9">
        <v>2.3</v>
      </c>
      <c r="J23" s="8">
        <v>1</v>
      </c>
      <c r="K23" s="8">
        <v>38.5</v>
      </c>
      <c r="L23" s="8">
        <v>32.5</v>
      </c>
      <c r="M23" s="8">
        <v>18.3</v>
      </c>
      <c r="N23" s="8">
        <v>2.3</v>
      </c>
      <c r="O23" s="188">
        <f t="shared" si="3"/>
        <v>3.8163125</v>
      </c>
      <c r="P23" s="188">
        <f t="shared" si="4"/>
        <v>0.022897875</v>
      </c>
      <c r="Q23" s="188">
        <f t="shared" ref="Q23:Q41" si="6">N23/365</f>
        <v>0.0063013698630137</v>
      </c>
      <c r="R23" s="11">
        <v>1500</v>
      </c>
      <c r="S23" s="11">
        <f>O23*35/J23</f>
        <v>133.5709375</v>
      </c>
      <c r="T23" s="11">
        <f>15*O23/J23</f>
        <v>57.2446875</v>
      </c>
      <c r="U23" s="11">
        <f>8.5*O23/J23+80*7.8*0.3*0.027</f>
        <v>37.49305625</v>
      </c>
      <c r="V23" s="11">
        <f>700*P23/J23+100*7.8*0.3*0.027</f>
        <v>22.3465125</v>
      </c>
      <c r="W23" s="8"/>
      <c r="X23" s="8"/>
      <c r="Y23" s="8"/>
    </row>
    <row r="24" ht="18.75" customHeight="1" spans="1:25">
      <c r="A24" s="9"/>
      <c r="B24" s="8"/>
      <c r="C24" s="8"/>
      <c r="D24" s="9"/>
      <c r="E24" s="9">
        <v>440</v>
      </c>
      <c r="F24" s="8">
        <v>38.5</v>
      </c>
      <c r="G24" s="8">
        <v>32.5</v>
      </c>
      <c r="H24" s="8">
        <v>18.3</v>
      </c>
      <c r="I24" s="9">
        <v>2.3</v>
      </c>
      <c r="J24" s="8">
        <v>1</v>
      </c>
      <c r="K24" s="8">
        <v>38.5</v>
      </c>
      <c r="L24" s="8">
        <v>32.5</v>
      </c>
      <c r="M24" s="8">
        <v>18.3</v>
      </c>
      <c r="N24" s="8">
        <v>2.3</v>
      </c>
      <c r="O24" s="188">
        <f t="shared" si="3"/>
        <v>3.8163125</v>
      </c>
      <c r="P24" s="188">
        <f t="shared" si="4"/>
        <v>0.022897875</v>
      </c>
      <c r="Q24" s="188">
        <f t="shared" si="6"/>
        <v>0.0063013698630137</v>
      </c>
      <c r="R24" s="11">
        <v>500</v>
      </c>
      <c r="S24" s="11">
        <f>O24*35/J24</f>
        <v>133.5709375</v>
      </c>
      <c r="T24" s="11">
        <f>15*O24/J24</f>
        <v>57.2446875</v>
      </c>
      <c r="U24" s="11">
        <f>10.5*O24/J24+80*7.8*0.3*0.027</f>
        <v>45.12568125</v>
      </c>
      <c r="V24" s="11">
        <f>700*P24/J24+100*7.8*0.3*0.027</f>
        <v>22.3465125</v>
      </c>
      <c r="W24" s="8"/>
      <c r="X24" s="8"/>
      <c r="Y24" s="8"/>
    </row>
    <row r="25" spans="1:25">
      <c r="A25" s="8"/>
      <c r="B25" s="8"/>
      <c r="C25" s="8"/>
      <c r="D25" s="8"/>
      <c r="E25" s="8">
        <v>270</v>
      </c>
      <c r="F25" s="8">
        <v>43.5</v>
      </c>
      <c r="G25" s="8">
        <v>32.3</v>
      </c>
      <c r="H25" s="8">
        <v>19</v>
      </c>
      <c r="I25" s="8">
        <v>3.05</v>
      </c>
      <c r="J25" s="8">
        <v>1</v>
      </c>
      <c r="K25" s="9">
        <v>43.5</v>
      </c>
      <c r="L25" s="8">
        <v>32.5</v>
      </c>
      <c r="M25" s="9">
        <v>19</v>
      </c>
      <c r="N25" s="8">
        <v>3.05</v>
      </c>
      <c r="O25" s="188">
        <f t="shared" si="3"/>
        <v>4.476875</v>
      </c>
      <c r="P25" s="188">
        <f t="shared" si="4"/>
        <v>0.02686125</v>
      </c>
      <c r="Q25" s="188">
        <f t="shared" si="6"/>
        <v>0.00835616438356164</v>
      </c>
      <c r="R25" s="8"/>
      <c r="S25" s="11"/>
      <c r="T25" s="11">
        <f>15*MAX(N25:O25)/J25</f>
        <v>67.153125</v>
      </c>
      <c r="U25" s="11"/>
      <c r="V25" s="11">
        <f>780*P25/J25+E25*0.1*0.5</f>
        <v>34.451775</v>
      </c>
      <c r="W25" s="8"/>
      <c r="X25" s="8"/>
      <c r="Y25" s="8"/>
    </row>
    <row r="26" spans="1:25">
      <c r="A26" s="8"/>
      <c r="B26" s="8"/>
      <c r="C26" s="8"/>
      <c r="D26" s="8"/>
      <c r="E26" s="9">
        <v>270</v>
      </c>
      <c r="F26" s="8">
        <v>43.5</v>
      </c>
      <c r="G26" s="8">
        <v>32.3</v>
      </c>
      <c r="H26" s="8">
        <v>19</v>
      </c>
      <c r="I26" s="8">
        <v>3.05</v>
      </c>
      <c r="J26" s="8">
        <v>1</v>
      </c>
      <c r="K26" s="9">
        <v>43.5</v>
      </c>
      <c r="L26" s="8">
        <v>32.5</v>
      </c>
      <c r="M26" s="9">
        <v>19</v>
      </c>
      <c r="N26" s="8">
        <v>3.05</v>
      </c>
      <c r="O26" s="188">
        <f t="shared" si="3"/>
        <v>4.476875</v>
      </c>
      <c r="P26" s="188">
        <f t="shared" si="4"/>
        <v>0.02686125</v>
      </c>
      <c r="Q26" s="188">
        <f t="shared" si="6"/>
        <v>0.00835616438356164</v>
      </c>
      <c r="R26" s="8"/>
      <c r="S26" s="11"/>
      <c r="T26" s="11">
        <f>15*MAX(N26:O26)/J26</f>
        <v>67.153125</v>
      </c>
      <c r="U26" s="11">
        <f>8.5*O26/J26+80*7.8*0.3*0.027</f>
        <v>43.1078375</v>
      </c>
      <c r="V26" s="11">
        <f>700*P26/J26+130*7.8*0.3*0.027</f>
        <v>27.016275</v>
      </c>
      <c r="W26" s="8"/>
      <c r="X26" s="8"/>
      <c r="Y26" s="8"/>
    </row>
    <row r="27" spans="1:25">
      <c r="A27" s="8"/>
      <c r="B27" s="8"/>
      <c r="C27" s="8"/>
      <c r="D27" s="8"/>
      <c r="E27" s="9">
        <v>270</v>
      </c>
      <c r="F27" s="9">
        <v>43.5</v>
      </c>
      <c r="G27" s="9">
        <v>32.3</v>
      </c>
      <c r="H27" s="9">
        <v>19</v>
      </c>
      <c r="I27" s="9">
        <v>3.05</v>
      </c>
      <c r="J27" s="8">
        <v>1</v>
      </c>
      <c r="K27" s="9">
        <v>43.5</v>
      </c>
      <c r="L27" s="9">
        <v>32.5</v>
      </c>
      <c r="M27" s="9">
        <v>19</v>
      </c>
      <c r="N27" s="8">
        <v>3.05</v>
      </c>
      <c r="O27" s="188">
        <f t="shared" si="3"/>
        <v>4.476875</v>
      </c>
      <c r="P27" s="188">
        <f t="shared" si="4"/>
        <v>0.02686125</v>
      </c>
      <c r="Q27" s="188">
        <f t="shared" si="6"/>
        <v>0.00835616438356164</v>
      </c>
      <c r="R27" s="8"/>
      <c r="S27" s="11"/>
      <c r="T27" s="11">
        <f>15*MAX(N27:O27)/J27</f>
        <v>67.153125</v>
      </c>
      <c r="U27" s="11">
        <f>10.5*O27/J27+80*7.8*0.3*0.027</f>
        <v>52.0615875</v>
      </c>
      <c r="V27" s="11">
        <f>700*P27/J27+130*7.8*0.3*0.027</f>
        <v>27.016275</v>
      </c>
      <c r="W27" s="8"/>
      <c r="X27" s="8"/>
      <c r="Y27" s="8"/>
    </row>
    <row r="28" spans="1:25">
      <c r="A28" s="9"/>
      <c r="B28" s="9"/>
      <c r="C28" s="9"/>
      <c r="D28" s="8"/>
      <c r="E28" s="8">
        <v>93</v>
      </c>
      <c r="F28" s="8">
        <v>32</v>
      </c>
      <c r="G28" s="8">
        <v>17.3</v>
      </c>
      <c r="H28" s="8">
        <v>17.3</v>
      </c>
      <c r="I28" s="8">
        <v>1.6</v>
      </c>
      <c r="J28" s="8">
        <v>6</v>
      </c>
      <c r="K28" s="8">
        <v>54</v>
      </c>
      <c r="L28" s="8">
        <v>36.5</v>
      </c>
      <c r="M28" s="8">
        <v>34</v>
      </c>
      <c r="N28" s="8">
        <v>10</v>
      </c>
      <c r="O28" s="188">
        <f t="shared" si="3"/>
        <v>11.169</v>
      </c>
      <c r="P28" s="188">
        <f t="shared" si="4"/>
        <v>0.067014</v>
      </c>
      <c r="Q28" s="188">
        <f t="shared" si="6"/>
        <v>0.0273972602739726</v>
      </c>
      <c r="R28" s="8"/>
      <c r="S28" s="11"/>
      <c r="T28" s="11">
        <f>10*MAX(N28:O28)/J28</f>
        <v>18.615</v>
      </c>
      <c r="U28" s="11"/>
      <c r="V28" s="11">
        <f>780*P28/J28+E28*0.1*0.5</f>
        <v>13.36182</v>
      </c>
      <c r="W28" s="8"/>
      <c r="X28" s="8"/>
      <c r="Y28" s="8"/>
    </row>
    <row r="29" spans="1:25">
      <c r="A29" s="8"/>
      <c r="B29" s="9"/>
      <c r="C29" s="9"/>
      <c r="D29" s="8"/>
      <c r="E29" s="9">
        <v>93</v>
      </c>
      <c r="F29" s="8">
        <v>32</v>
      </c>
      <c r="G29" s="8">
        <v>17.3</v>
      </c>
      <c r="H29" s="8">
        <v>17.3</v>
      </c>
      <c r="I29" s="8">
        <v>1.6</v>
      </c>
      <c r="J29" s="8">
        <v>9</v>
      </c>
      <c r="K29" s="8">
        <v>54</v>
      </c>
      <c r="L29" s="8">
        <v>54</v>
      </c>
      <c r="M29" s="8">
        <v>34</v>
      </c>
      <c r="N29" s="8">
        <v>15.5</v>
      </c>
      <c r="O29" s="188">
        <f t="shared" si="3"/>
        <v>16.524</v>
      </c>
      <c r="P29" s="188">
        <f t="shared" si="4"/>
        <v>0.099144</v>
      </c>
      <c r="Q29" s="188">
        <f t="shared" si="6"/>
        <v>0.0424657534246575</v>
      </c>
      <c r="R29" s="8"/>
      <c r="S29" s="11"/>
      <c r="T29" s="11">
        <f>15*MAX(N29:O29)/J29</f>
        <v>27.54</v>
      </c>
      <c r="U29" s="11">
        <f>8.5*O29/J29+50*7.8*0.3*0.027</f>
        <v>18.765</v>
      </c>
      <c r="V29" s="11">
        <f>700*P29/J29+50*7.8*0.3*0.027</f>
        <v>10.8702</v>
      </c>
      <c r="W29" s="8"/>
      <c r="X29" s="8"/>
      <c r="Y29" s="8"/>
    </row>
    <row r="30" spans="1:25">
      <c r="A30" s="8"/>
      <c r="B30" s="9"/>
      <c r="C30" s="9"/>
      <c r="D30" s="8"/>
      <c r="E30" s="9">
        <v>93</v>
      </c>
      <c r="F30" s="9">
        <v>32</v>
      </c>
      <c r="G30" s="9">
        <v>17.3</v>
      </c>
      <c r="H30" s="9">
        <v>17.3</v>
      </c>
      <c r="I30" s="8">
        <v>1.6</v>
      </c>
      <c r="J30" s="8">
        <v>1</v>
      </c>
      <c r="K30" s="8">
        <v>32</v>
      </c>
      <c r="L30" s="8">
        <v>17.3</v>
      </c>
      <c r="M30" s="8">
        <v>17.3</v>
      </c>
      <c r="N30" s="8">
        <v>1.6</v>
      </c>
      <c r="O30" s="188">
        <f t="shared" si="3"/>
        <v>1.59621333333333</v>
      </c>
      <c r="P30" s="188">
        <f t="shared" si="4"/>
        <v>0.00957728</v>
      </c>
      <c r="Q30" s="188">
        <f t="shared" si="6"/>
        <v>0.00438356164383562</v>
      </c>
      <c r="R30" s="8"/>
      <c r="S30" s="11"/>
      <c r="T30" s="11">
        <f>15*MAX(N30:O30)/J30</f>
        <v>24</v>
      </c>
      <c r="U30" s="11">
        <f>8.5*O30/J30+50*7.8*0.3*0.027</f>
        <v>16.7268133333333</v>
      </c>
      <c r="V30" s="11">
        <f>700*P30/J30+50*7.8*0.3*0.027</f>
        <v>9.863096</v>
      </c>
      <c r="W30" s="8"/>
      <c r="X30" s="8"/>
      <c r="Y30" s="8"/>
    </row>
    <row r="31" spans="1:25">
      <c r="A31" s="9"/>
      <c r="B31" s="9"/>
      <c r="C31" s="9"/>
      <c r="D31" s="8"/>
      <c r="E31" s="8">
        <v>14.5</v>
      </c>
      <c r="F31" s="8">
        <v>15</v>
      </c>
      <c r="G31" s="8">
        <v>15</v>
      </c>
      <c r="H31" s="8">
        <v>15</v>
      </c>
      <c r="I31" s="8">
        <v>0.3</v>
      </c>
      <c r="J31" s="8">
        <v>1</v>
      </c>
      <c r="K31" s="9">
        <v>15</v>
      </c>
      <c r="L31" s="9">
        <v>15</v>
      </c>
      <c r="M31" s="9">
        <v>15</v>
      </c>
      <c r="N31" s="8">
        <v>0.3</v>
      </c>
      <c r="O31" s="188">
        <f t="shared" si="3"/>
        <v>0.5625</v>
      </c>
      <c r="P31" s="188">
        <f t="shared" si="4"/>
        <v>0.003375</v>
      </c>
      <c r="Q31" s="188">
        <f t="shared" si="6"/>
        <v>0.000821917808219178</v>
      </c>
      <c r="R31" s="8"/>
      <c r="S31" s="11"/>
      <c r="T31" s="11">
        <f>10*MAX(N31:O31)/J31</f>
        <v>5.625</v>
      </c>
      <c r="U31" s="11"/>
      <c r="V31" s="11">
        <f>780*P31/J31+E31*0.1*0.5</f>
        <v>3.3575</v>
      </c>
      <c r="W31" s="8"/>
      <c r="X31" s="8"/>
      <c r="Y31" s="8"/>
    </row>
    <row r="32" spans="1:25">
      <c r="A32" s="8"/>
      <c r="B32" s="9"/>
      <c r="C32" s="9"/>
      <c r="D32" s="8"/>
      <c r="E32" s="9">
        <v>14.5</v>
      </c>
      <c r="F32" s="9">
        <v>15</v>
      </c>
      <c r="G32" s="9">
        <v>15</v>
      </c>
      <c r="H32" s="9">
        <v>15</v>
      </c>
      <c r="I32" s="8">
        <v>0.3</v>
      </c>
      <c r="J32" s="8">
        <v>1</v>
      </c>
      <c r="K32" s="9">
        <v>15</v>
      </c>
      <c r="L32" s="9">
        <v>15</v>
      </c>
      <c r="M32" s="9">
        <v>15</v>
      </c>
      <c r="N32" s="9">
        <v>0.3</v>
      </c>
      <c r="O32" s="188">
        <f t="shared" si="3"/>
        <v>0.5625</v>
      </c>
      <c r="P32" s="188">
        <f t="shared" si="4"/>
        <v>0.003375</v>
      </c>
      <c r="Q32" s="188">
        <f t="shared" si="6"/>
        <v>0.000821917808219178</v>
      </c>
      <c r="R32" s="8"/>
      <c r="S32" s="11"/>
      <c r="T32" s="11">
        <f>15*MAX(N32:O32)/J32</f>
        <v>8.4375</v>
      </c>
      <c r="U32" s="11">
        <f t="shared" ref="U32:U38" si="7">11*O32/J32</f>
        <v>6.1875</v>
      </c>
      <c r="V32" s="11">
        <f>700*P32/J32+50*7.8*0.3*0.027</f>
        <v>5.5215</v>
      </c>
      <c r="W32" s="8"/>
      <c r="X32" s="8"/>
      <c r="Y32" s="8"/>
    </row>
    <row r="33" spans="1:25">
      <c r="A33" s="8"/>
      <c r="B33" s="9"/>
      <c r="C33" s="9"/>
      <c r="D33" s="8"/>
      <c r="E33" s="9">
        <v>14.5</v>
      </c>
      <c r="F33" s="9">
        <v>15</v>
      </c>
      <c r="G33" s="9">
        <v>15</v>
      </c>
      <c r="H33" s="9">
        <v>15</v>
      </c>
      <c r="I33" s="8">
        <v>0.3</v>
      </c>
      <c r="J33" s="8">
        <v>1</v>
      </c>
      <c r="K33" s="9">
        <v>15</v>
      </c>
      <c r="L33" s="9">
        <v>15</v>
      </c>
      <c r="M33" s="9">
        <v>15</v>
      </c>
      <c r="N33" s="9">
        <v>0.3</v>
      </c>
      <c r="O33" s="188">
        <f t="shared" si="3"/>
        <v>0.5625</v>
      </c>
      <c r="P33" s="188">
        <f t="shared" si="4"/>
        <v>0.003375</v>
      </c>
      <c r="Q33" s="188">
        <f t="shared" si="6"/>
        <v>0.000821917808219178</v>
      </c>
      <c r="R33" s="8"/>
      <c r="S33" s="11"/>
      <c r="T33" s="11">
        <f>15*MAX(N33:O33)/J33</f>
        <v>8.4375</v>
      </c>
      <c r="U33" s="11">
        <f t="shared" si="7"/>
        <v>6.1875</v>
      </c>
      <c r="V33" s="11">
        <f>600*P33/J33+50*7.8*0.3*0.027</f>
        <v>5.184</v>
      </c>
      <c r="W33" s="8"/>
      <c r="X33" s="8"/>
      <c r="Y33" s="8"/>
    </row>
    <row r="34" spans="1:25">
      <c r="A34" s="8"/>
      <c r="B34" s="9"/>
      <c r="C34" s="9"/>
      <c r="D34" s="8"/>
      <c r="E34" s="8">
        <f>78</f>
        <v>78</v>
      </c>
      <c r="F34" s="8">
        <v>14.2</v>
      </c>
      <c r="G34" s="8">
        <v>11</v>
      </c>
      <c r="H34" s="8">
        <v>8.4</v>
      </c>
      <c r="I34" s="8">
        <v>0.322</v>
      </c>
      <c r="J34" s="8">
        <v>36</v>
      </c>
      <c r="K34" s="8">
        <v>47</v>
      </c>
      <c r="L34" s="8">
        <v>45</v>
      </c>
      <c r="M34" s="8">
        <v>28</v>
      </c>
      <c r="N34" s="8">
        <v>13.5</v>
      </c>
      <c r="O34" s="188">
        <f t="shared" si="3"/>
        <v>9.87</v>
      </c>
      <c r="P34" s="188">
        <f t="shared" si="4"/>
        <v>0.05922</v>
      </c>
      <c r="Q34" s="188">
        <f t="shared" si="6"/>
        <v>0.036986301369863</v>
      </c>
      <c r="R34" s="8"/>
      <c r="S34" s="11">
        <f>O34*35/J34</f>
        <v>9.59583333333333</v>
      </c>
      <c r="T34" s="11">
        <f>15*O34/J34</f>
        <v>4.1125</v>
      </c>
      <c r="U34" s="11">
        <f t="shared" si="7"/>
        <v>3.01583333333333</v>
      </c>
      <c r="V34" s="11">
        <f>700*P34/J34+130*7.8*0.3*0.027</f>
        <v>9.3649</v>
      </c>
      <c r="W34" s="8"/>
      <c r="X34" s="8"/>
      <c r="Y34" s="8"/>
    </row>
    <row r="35" spans="1:25">
      <c r="A35" s="8"/>
      <c r="B35" s="9"/>
      <c r="C35" s="9"/>
      <c r="D35" s="8"/>
      <c r="E35" s="9">
        <f>78</f>
        <v>78</v>
      </c>
      <c r="F35" s="9">
        <v>14.2</v>
      </c>
      <c r="G35" s="9">
        <v>11</v>
      </c>
      <c r="H35" s="9">
        <v>8.4</v>
      </c>
      <c r="I35" s="9">
        <v>0.322</v>
      </c>
      <c r="J35" s="9">
        <v>36</v>
      </c>
      <c r="K35" s="9">
        <v>47</v>
      </c>
      <c r="L35" s="9">
        <v>45</v>
      </c>
      <c r="M35" s="9">
        <v>28</v>
      </c>
      <c r="N35" s="9">
        <v>13.5</v>
      </c>
      <c r="O35" s="188">
        <f t="shared" si="3"/>
        <v>9.87</v>
      </c>
      <c r="P35" s="188">
        <f t="shared" si="4"/>
        <v>0.05922</v>
      </c>
      <c r="Q35" s="188">
        <f t="shared" si="6"/>
        <v>0.036986301369863</v>
      </c>
      <c r="R35" s="8"/>
      <c r="S35" s="11">
        <f>O35*35/J35</f>
        <v>9.59583333333333</v>
      </c>
      <c r="T35" s="11">
        <f>15*O35/J35</f>
        <v>4.1125</v>
      </c>
      <c r="U35" s="11">
        <f t="shared" si="7"/>
        <v>3.01583333333333</v>
      </c>
      <c r="V35" s="11">
        <f>700*P35/J35+130*7.8*0.3*0.027</f>
        <v>9.3649</v>
      </c>
      <c r="W35" s="8"/>
      <c r="X35" s="8"/>
      <c r="Y35" s="8"/>
    </row>
    <row r="36" spans="1:25">
      <c r="A36" s="8"/>
      <c r="B36" s="9"/>
      <c r="C36" s="9"/>
      <c r="D36" s="9"/>
      <c r="E36" s="9">
        <f>78</f>
        <v>78</v>
      </c>
      <c r="F36" s="9">
        <v>14.2</v>
      </c>
      <c r="G36" s="9">
        <v>11</v>
      </c>
      <c r="H36" s="9">
        <v>8.4</v>
      </c>
      <c r="I36" s="9">
        <v>0.322</v>
      </c>
      <c r="J36" s="9">
        <v>36</v>
      </c>
      <c r="K36" s="9">
        <v>47</v>
      </c>
      <c r="L36" s="9">
        <v>45</v>
      </c>
      <c r="M36" s="9">
        <v>28</v>
      </c>
      <c r="N36" s="9">
        <v>13.5</v>
      </c>
      <c r="O36" s="188">
        <f t="shared" si="3"/>
        <v>9.87</v>
      </c>
      <c r="P36" s="188">
        <f t="shared" si="4"/>
        <v>0.05922</v>
      </c>
      <c r="Q36" s="188">
        <f t="shared" si="6"/>
        <v>0.036986301369863</v>
      </c>
      <c r="R36" s="8"/>
      <c r="S36" s="11">
        <f>O36*35/J36</f>
        <v>9.59583333333333</v>
      </c>
      <c r="T36" s="11">
        <f>15*O36/J36</f>
        <v>4.1125</v>
      </c>
      <c r="U36" s="11">
        <f t="shared" si="7"/>
        <v>3.01583333333333</v>
      </c>
      <c r="V36" s="11">
        <f>700*P36/J36+130*7.8*0.3*0.027</f>
        <v>9.3649</v>
      </c>
      <c r="W36" s="8"/>
      <c r="X36" s="8"/>
      <c r="Y36" s="8"/>
    </row>
    <row r="37" spans="1:25">
      <c r="A37" s="8"/>
      <c r="B37" s="9"/>
      <c r="C37" s="9"/>
      <c r="D37" s="9"/>
      <c r="E37" s="8">
        <v>54</v>
      </c>
      <c r="F37" s="8">
        <v>19.3</v>
      </c>
      <c r="G37" s="8">
        <v>13.21</v>
      </c>
      <c r="H37" s="8">
        <v>5.08</v>
      </c>
      <c r="I37" s="8">
        <v>0.331</v>
      </c>
      <c r="J37" s="8">
        <v>50</v>
      </c>
      <c r="K37" s="8">
        <v>42.4</v>
      </c>
      <c r="L37" s="8">
        <v>34.1</v>
      </c>
      <c r="M37" s="8">
        <v>34.4</v>
      </c>
      <c r="N37" s="8">
        <v>18.3</v>
      </c>
      <c r="O37" s="188">
        <f t="shared" si="3"/>
        <v>8.28948266666667</v>
      </c>
      <c r="P37" s="188">
        <f t="shared" si="4"/>
        <v>0.049736896</v>
      </c>
      <c r="Q37" s="188">
        <f t="shared" si="6"/>
        <v>0.0501369863013699</v>
      </c>
      <c r="R37" s="8"/>
      <c r="S37" s="11">
        <f>O37*35/J37</f>
        <v>5.80263786666667</v>
      </c>
      <c r="T37" s="11">
        <f>15*O37/J37</f>
        <v>2.4868448</v>
      </c>
      <c r="U37" s="11">
        <f t="shared" si="7"/>
        <v>1.82368618666667</v>
      </c>
      <c r="V37" s="11">
        <f>700*P37/J37+130*7.8*0.3*0.027</f>
        <v>8.909716544</v>
      </c>
      <c r="W37" s="8"/>
      <c r="X37" s="8"/>
      <c r="Y37" s="8"/>
    </row>
    <row r="38" spans="1:25">
      <c r="A38" s="8"/>
      <c r="B38" s="9"/>
      <c r="C38" s="9"/>
      <c r="D38" s="9"/>
      <c r="E38" s="8">
        <v>54</v>
      </c>
      <c r="F38" s="8">
        <v>19.3</v>
      </c>
      <c r="G38" s="8">
        <v>13.21</v>
      </c>
      <c r="H38" s="8">
        <v>5.08</v>
      </c>
      <c r="I38" s="8">
        <v>0.331</v>
      </c>
      <c r="J38" s="8">
        <v>50</v>
      </c>
      <c r="K38" s="8">
        <v>42.4</v>
      </c>
      <c r="L38" s="8">
        <v>34.1</v>
      </c>
      <c r="M38" s="8">
        <v>34.4</v>
      </c>
      <c r="N38" s="8">
        <v>18.3</v>
      </c>
      <c r="O38" s="188">
        <f t="shared" si="3"/>
        <v>8.28948266666667</v>
      </c>
      <c r="P38" s="188">
        <f t="shared" si="4"/>
        <v>0.049736896</v>
      </c>
      <c r="Q38" s="188">
        <f t="shared" si="6"/>
        <v>0.0501369863013699</v>
      </c>
      <c r="R38" s="8"/>
      <c r="S38" s="11">
        <f>O38*35/J38</f>
        <v>5.80263786666667</v>
      </c>
      <c r="T38" s="11">
        <f>15*O38/J38</f>
        <v>2.4868448</v>
      </c>
      <c r="U38" s="11">
        <f t="shared" si="7"/>
        <v>1.82368618666667</v>
      </c>
      <c r="V38" s="11">
        <f>700*P38/J38+130*7.8*0.3*0.027</f>
        <v>8.909716544</v>
      </c>
      <c r="W38" s="8"/>
      <c r="X38" s="8"/>
      <c r="Y38" s="8"/>
    </row>
    <row r="39" spans="1:25">
      <c r="A39" s="8"/>
      <c r="B39" s="9"/>
      <c r="C39" s="9"/>
      <c r="D39" s="8"/>
      <c r="E39" s="8">
        <v>270</v>
      </c>
      <c r="F39" s="9">
        <f>12*2.5</f>
        <v>30</v>
      </c>
      <c r="G39" s="9">
        <f>7*2.5</f>
        <v>17.5</v>
      </c>
      <c r="H39" s="9">
        <f>5*2.5</f>
        <v>12.5</v>
      </c>
      <c r="I39" s="9">
        <v>1.2</v>
      </c>
      <c r="J39" s="8">
        <v>1</v>
      </c>
      <c r="K39" s="9">
        <f>12*2.5</f>
        <v>30</v>
      </c>
      <c r="L39" s="9">
        <f>7*2.5</f>
        <v>17.5</v>
      </c>
      <c r="M39" s="9">
        <f>5*2.5</f>
        <v>12.5</v>
      </c>
      <c r="N39" s="9">
        <v>1.2</v>
      </c>
      <c r="O39" s="188">
        <f t="shared" si="3"/>
        <v>1.09375</v>
      </c>
      <c r="P39" s="188">
        <f t="shared" si="4"/>
        <v>0.0065625</v>
      </c>
      <c r="Q39" s="188">
        <f t="shared" si="6"/>
        <v>0.00328767123287671</v>
      </c>
      <c r="R39" s="8"/>
      <c r="S39" s="11"/>
      <c r="T39" s="11">
        <f>15*MAX(N39,O39)/J39</f>
        <v>18</v>
      </c>
      <c r="U39" s="11"/>
      <c r="V39" s="11">
        <f>780*P39/J39+E39*0.1*0.5</f>
        <v>18.61875</v>
      </c>
      <c r="W39" s="8"/>
      <c r="X39" s="8"/>
      <c r="Y39" s="8"/>
    </row>
    <row r="40" spans="1:25">
      <c r="A40" s="8"/>
      <c r="B40" s="9"/>
      <c r="C40" s="9"/>
      <c r="D40" s="9"/>
      <c r="E40" s="8">
        <v>80</v>
      </c>
      <c r="F40" s="9">
        <f>12*2.5</f>
        <v>30</v>
      </c>
      <c r="G40" s="9">
        <f>7*2.5</f>
        <v>17.5</v>
      </c>
      <c r="H40" s="9">
        <f>5*2.5</f>
        <v>12.5</v>
      </c>
      <c r="I40" s="9">
        <v>1.2</v>
      </c>
      <c r="J40" s="8">
        <v>1</v>
      </c>
      <c r="K40" s="9">
        <f>12*2.5</f>
        <v>30</v>
      </c>
      <c r="L40" s="9">
        <f>7*2.5</f>
        <v>17.5</v>
      </c>
      <c r="M40" s="9">
        <f>5*2.5</f>
        <v>12.5</v>
      </c>
      <c r="N40" s="9">
        <v>1.2</v>
      </c>
      <c r="O40" s="188">
        <f t="shared" si="3"/>
        <v>1.09375</v>
      </c>
      <c r="P40" s="188">
        <f t="shared" si="4"/>
        <v>0.0065625</v>
      </c>
      <c r="Q40" s="188">
        <f t="shared" si="6"/>
        <v>0.00328767123287671</v>
      </c>
      <c r="R40" s="8"/>
      <c r="S40" s="11"/>
      <c r="T40" s="11">
        <f>15*MAX(N40,O40)/J40</f>
        <v>18</v>
      </c>
      <c r="U40" s="11">
        <f>8.5*MAX(O40,N40)/J40+80*7.8*0.3*0.027</f>
        <v>15.2544</v>
      </c>
      <c r="V40" s="11">
        <f>700*P40/J40+30*7.8*0.3*0.027</f>
        <v>6.48915</v>
      </c>
      <c r="W40" s="8"/>
      <c r="X40" s="8"/>
      <c r="Y40" s="8"/>
    </row>
    <row r="41" spans="1:25">
      <c r="A41" s="8"/>
      <c r="B41" s="9"/>
      <c r="C41" s="9"/>
      <c r="D41" s="9"/>
      <c r="E41" s="9">
        <v>80</v>
      </c>
      <c r="F41" s="9">
        <f>12*2.5</f>
        <v>30</v>
      </c>
      <c r="G41" s="9">
        <f>7*2.5</f>
        <v>17.5</v>
      </c>
      <c r="H41" s="9">
        <f>5*2.5</f>
        <v>12.5</v>
      </c>
      <c r="I41" s="9">
        <v>1.2</v>
      </c>
      <c r="J41" s="8">
        <v>1</v>
      </c>
      <c r="K41" s="9">
        <f>12*2.5</f>
        <v>30</v>
      </c>
      <c r="L41" s="9">
        <f>7*2.5</f>
        <v>17.5</v>
      </c>
      <c r="M41" s="9">
        <f>5*2.5</f>
        <v>12.5</v>
      </c>
      <c r="N41" s="9">
        <v>1.2</v>
      </c>
      <c r="O41" s="188">
        <f t="shared" si="3"/>
        <v>1.09375</v>
      </c>
      <c r="P41" s="188">
        <f t="shared" si="4"/>
        <v>0.0065625</v>
      </c>
      <c r="Q41" s="188">
        <f t="shared" si="6"/>
        <v>0.00328767123287671</v>
      </c>
      <c r="R41" s="8"/>
      <c r="S41" s="11"/>
      <c r="T41" s="11">
        <f>15*MAX(N41,O41)/J41</f>
        <v>18</v>
      </c>
      <c r="U41" s="11">
        <f>8.5*MAX(O41,N41)/J41+80*7.8*0.3*0.027</f>
        <v>15.2544</v>
      </c>
      <c r="V41" s="11">
        <f>700*P41/J41+30*7.8*0.3*0.027</f>
        <v>6.48915</v>
      </c>
      <c r="W41" s="8"/>
      <c r="X41" s="8"/>
      <c r="Y41" s="8"/>
    </row>
    <row r="42" spans="1:25">
      <c r="A42" s="8"/>
      <c r="B42" s="9"/>
      <c r="C42" s="9"/>
      <c r="D42" s="9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>
      <c r="A43" s="8"/>
      <c r="B43" s="9"/>
      <c r="C43" s="9"/>
      <c r="D43" s="9"/>
      <c r="E43" s="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>
      <c r="A44" s="8"/>
      <c r="B44" s="9"/>
      <c r="C44" s="9"/>
      <c r="D44" s="9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A45" s="8"/>
      <c r="B45" s="9"/>
      <c r="C45" s="9"/>
      <c r="D45" s="9"/>
      <c r="E45" s="9" t="s">
        <v>17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>
      <c r="A46" s="9"/>
      <c r="B46" s="9"/>
      <c r="C46" s="9"/>
      <c r="D46" s="9"/>
      <c r="E46" s="9" t="s">
        <v>18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7.25" customHeight="1" spans="1:25">
      <c r="A47" s="8"/>
      <c r="B47" s="9"/>
      <c r="C47" s="9"/>
      <c r="D47" s="8"/>
      <c r="E47" s="8" t="s">
        <v>16</v>
      </c>
      <c r="F47" s="9" t="s">
        <v>17</v>
      </c>
      <c r="G47" s="8"/>
      <c r="H47" s="8"/>
      <c r="I47" s="8"/>
      <c r="J47" s="8"/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>
      <c r="A48" s="9"/>
      <c r="B48" s="9"/>
      <c r="C48" s="9"/>
      <c r="D48" s="8"/>
      <c r="E48" s="8" t="s">
        <v>19</v>
      </c>
      <c r="F48" s="8" t="s">
        <v>20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>
      <c r="A49" s="9"/>
      <c r="B49" s="9"/>
      <c r="C49" s="9"/>
      <c r="D49" s="9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>
      <c r="A50" s="9"/>
      <c r="B50" s="9"/>
      <c r="C50" s="9"/>
      <c r="D50" s="9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</sheetData>
  <mergeCells count="3">
    <mergeCell ref="A45:A46"/>
    <mergeCell ref="A47:A48"/>
    <mergeCell ref="A49:A50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9"/>
  <sheetViews>
    <sheetView workbookViewId="0">
      <pane xSplit="3" ySplit="1" topLeftCell="T17" activePane="bottomRight" state="frozen"/>
      <selection/>
      <selection pane="topRight"/>
      <selection pane="bottomLeft"/>
      <selection pane="bottomRight" activeCell="A31" sqref="A31:B33"/>
    </sheetView>
  </sheetViews>
  <sheetFormatPr defaultColWidth="17" defaultRowHeight="11.4"/>
  <cols>
    <col min="1" max="1" width="10.6458333333333" customWidth="1"/>
    <col min="2" max="2" width="40.3333333333333" customWidth="1"/>
    <col min="3" max="3" width="13.4375" customWidth="1"/>
    <col min="4" max="4" width="10.125" customWidth="1"/>
    <col min="5" max="5" width="23.5729166666667" customWidth="1"/>
    <col min="6" max="8" width="13.2708333333333" customWidth="1"/>
    <col min="9" max="10" width="12.9166666666667" customWidth="1"/>
    <col min="11" max="11" width="12.5729166666667" customWidth="1"/>
    <col min="12" max="12" width="15.0208333333333" customWidth="1"/>
    <col min="13" max="15" width="16.59375" customWidth="1"/>
    <col min="16" max="18" width="7.51041666666667" customWidth="1"/>
    <col min="19" max="19" width="12.3958333333333" customWidth="1"/>
    <col min="20" max="20" width="22" customWidth="1"/>
    <col min="21" max="21" width="57.625" customWidth="1"/>
    <col min="22" max="77" width="16.59375" customWidth="1"/>
  </cols>
  <sheetData>
    <row r="1" ht="14.4" spans="1:77">
      <c r="A1" s="246"/>
      <c r="B1" s="246" t="s">
        <v>21</v>
      </c>
      <c r="C1" s="246" t="s">
        <v>22</v>
      </c>
      <c r="D1" s="247" t="s">
        <v>23</v>
      </c>
      <c r="E1" s="247" t="s">
        <v>24</v>
      </c>
      <c r="F1" s="246" t="s">
        <v>25</v>
      </c>
      <c r="G1" s="247" t="s">
        <v>26</v>
      </c>
      <c r="H1" s="246" t="s">
        <v>27</v>
      </c>
      <c r="I1" s="246" t="s">
        <v>28</v>
      </c>
      <c r="J1" s="247" t="s">
        <v>29</v>
      </c>
      <c r="K1" s="246" t="s">
        <v>30</v>
      </c>
      <c r="L1" s="246" t="s">
        <v>31</v>
      </c>
      <c r="M1" s="281" t="s">
        <v>32</v>
      </c>
      <c r="N1" s="281" t="s">
        <v>33</v>
      </c>
      <c r="O1" s="246" t="s">
        <v>34</v>
      </c>
      <c r="P1" s="282" t="s">
        <v>35</v>
      </c>
      <c r="Q1" s="282" t="s">
        <v>36</v>
      </c>
      <c r="R1" s="282" t="s">
        <v>37</v>
      </c>
      <c r="S1" s="282" t="s">
        <v>32</v>
      </c>
      <c r="T1" s="282" t="s">
        <v>33</v>
      </c>
      <c r="U1" s="246" t="s">
        <v>38</v>
      </c>
      <c r="V1" s="296" t="s">
        <v>39</v>
      </c>
      <c r="W1" s="297" t="s">
        <v>40</v>
      </c>
      <c r="X1" s="297" t="s">
        <v>41</v>
      </c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79"/>
      <c r="BA1" s="279"/>
      <c r="BB1" s="279"/>
      <c r="BC1" s="279"/>
      <c r="BD1" s="279"/>
      <c r="BE1" s="279"/>
      <c r="BF1" s="279"/>
      <c r="BG1" s="279"/>
      <c r="BH1" s="279"/>
      <c r="BI1" s="279"/>
      <c r="BJ1" s="279"/>
      <c r="BK1" s="279"/>
      <c r="BL1" s="279"/>
      <c r="BM1" s="279"/>
      <c r="BN1" s="279"/>
      <c r="BO1" s="279"/>
      <c r="BP1" s="279"/>
      <c r="BQ1" s="279"/>
      <c r="BR1" s="279"/>
      <c r="BS1" s="279"/>
      <c r="BT1" s="279"/>
      <c r="BU1" s="279"/>
      <c r="BV1" s="279"/>
      <c r="BW1" s="279"/>
      <c r="BX1" s="279"/>
      <c r="BY1" s="279"/>
    </row>
    <row r="2" ht="12" customHeight="1" spans="1:77">
      <c r="A2" s="248" t="s">
        <v>14</v>
      </c>
      <c r="B2" s="249"/>
      <c r="C2" s="250">
        <v>26.36</v>
      </c>
      <c r="D2" s="251">
        <v>7.1</v>
      </c>
      <c r="E2" s="251">
        <f>46/1.13</f>
        <v>40.7079646017699</v>
      </c>
      <c r="F2" s="250">
        <f t="shared" ref="F2:F7" si="0">E2/D2</f>
        <v>5.73351614109435</v>
      </c>
      <c r="G2" s="251">
        <v>16.6</v>
      </c>
      <c r="H2" s="250">
        <f t="shared" ref="H2:H7" si="1">G2/D2</f>
        <v>2.33802816901408</v>
      </c>
      <c r="I2" s="250">
        <f t="shared" ref="I2:I7" si="2">F2+H2</f>
        <v>8.07154431010844</v>
      </c>
      <c r="J2" s="251">
        <v>0.15</v>
      </c>
      <c r="K2" s="250">
        <f t="shared" ref="K2:K7" si="3">C2*J2</f>
        <v>3.954</v>
      </c>
      <c r="L2" s="250">
        <v>4.26</v>
      </c>
      <c r="M2" s="250">
        <f t="shared" ref="M2:M7" si="4">C2-I2-K2-L2</f>
        <v>10.0744556898916</v>
      </c>
      <c r="N2" s="283">
        <f t="shared" ref="N2:N7" si="5">M2/C2</f>
        <v>0.382187241649907</v>
      </c>
      <c r="O2" s="249"/>
      <c r="P2" s="284">
        <v>0.05</v>
      </c>
      <c r="Q2" s="250"/>
      <c r="R2" s="250"/>
      <c r="S2" s="250">
        <f t="shared" ref="S2:S7" si="6">C2-I2-K2-L2-Q2-R2</f>
        <v>10.0744556898916</v>
      </c>
      <c r="T2" s="283">
        <f t="shared" ref="T2:T7" si="7">S2/C2</f>
        <v>0.382187241649907</v>
      </c>
      <c r="U2" s="249"/>
      <c r="V2" s="298">
        <f t="shared" ref="V2:V7" si="8">E2/D2/C2</f>
        <v>0.217508199586281</v>
      </c>
      <c r="W2" s="299">
        <f t="shared" ref="W2:W7" si="9">H2/C2</f>
        <v>0.088696061039988</v>
      </c>
      <c r="X2" s="299">
        <f t="shared" ref="X2:X7" si="10">L2/C2</f>
        <v>0.161608497723824</v>
      </c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79"/>
      <c r="BR2" s="279"/>
      <c r="BS2" s="279"/>
      <c r="BT2" s="279"/>
      <c r="BU2" s="279"/>
      <c r="BV2" s="279"/>
      <c r="BW2" s="279"/>
      <c r="BX2" s="279"/>
      <c r="BY2" s="279"/>
    </row>
    <row r="3" ht="12.75" customHeight="1" spans="1:77">
      <c r="A3" s="252"/>
      <c r="B3" s="252"/>
      <c r="C3" s="253">
        <v>19.99</v>
      </c>
      <c r="D3" s="251">
        <v>7.1</v>
      </c>
      <c r="E3" s="251">
        <f>46/1.13</f>
        <v>40.7079646017699</v>
      </c>
      <c r="F3" s="250">
        <f t="shared" si="0"/>
        <v>5.73351614109435</v>
      </c>
      <c r="G3" s="254">
        <v>16.6</v>
      </c>
      <c r="H3" s="250">
        <f t="shared" si="1"/>
        <v>2.33802816901408</v>
      </c>
      <c r="I3" s="250">
        <f t="shared" si="2"/>
        <v>8.07154431010844</v>
      </c>
      <c r="J3" s="251">
        <v>0.15</v>
      </c>
      <c r="K3" s="250">
        <f t="shared" si="3"/>
        <v>2.9985</v>
      </c>
      <c r="L3" s="250">
        <v>4.26</v>
      </c>
      <c r="M3" s="250">
        <f t="shared" si="4"/>
        <v>4.65995568989156</v>
      </c>
      <c r="N3" s="283">
        <f t="shared" si="5"/>
        <v>0.233114341665411</v>
      </c>
      <c r="O3" s="249"/>
      <c r="P3" s="284">
        <v>0.05</v>
      </c>
      <c r="Q3" s="250"/>
      <c r="R3" s="250"/>
      <c r="S3" s="250">
        <f t="shared" si="6"/>
        <v>4.65995568989156</v>
      </c>
      <c r="T3" s="283">
        <f t="shared" si="7"/>
        <v>0.233114341665411</v>
      </c>
      <c r="U3" s="252"/>
      <c r="V3" s="298">
        <f t="shared" si="8"/>
        <v>0.286819216663049</v>
      </c>
      <c r="W3" s="299">
        <f t="shared" si="9"/>
        <v>0.116959888394902</v>
      </c>
      <c r="X3" s="299">
        <f t="shared" si="10"/>
        <v>0.213106553276638</v>
      </c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</row>
    <row r="4" ht="14.4" spans="1:77">
      <c r="A4" s="248" t="s">
        <v>17</v>
      </c>
      <c r="B4" s="249"/>
      <c r="C4" s="250">
        <v>19.99</v>
      </c>
      <c r="D4" s="251">
        <v>7.1</v>
      </c>
      <c r="E4" s="251">
        <f>46/1.13</f>
        <v>40.7079646017699</v>
      </c>
      <c r="F4" s="250">
        <f t="shared" si="0"/>
        <v>5.73351614109435</v>
      </c>
      <c r="G4" s="251">
        <v>4.4</v>
      </c>
      <c r="H4" s="250">
        <f t="shared" si="1"/>
        <v>0.619718309859155</v>
      </c>
      <c r="I4" s="250">
        <f t="shared" si="2"/>
        <v>6.35323445095351</v>
      </c>
      <c r="J4" s="251">
        <v>0.15</v>
      </c>
      <c r="K4" s="250">
        <f t="shared" si="3"/>
        <v>2.9985</v>
      </c>
      <c r="L4" s="250">
        <v>4.26</v>
      </c>
      <c r="M4" s="250">
        <f t="shared" si="4"/>
        <v>6.37826554904649</v>
      </c>
      <c r="N4" s="283">
        <f t="shared" si="5"/>
        <v>0.319072813859254</v>
      </c>
      <c r="O4" s="249"/>
      <c r="P4" s="284">
        <v>0.05</v>
      </c>
      <c r="Q4" s="250"/>
      <c r="R4" s="250"/>
      <c r="S4" s="250">
        <f t="shared" si="6"/>
        <v>6.37826554904649</v>
      </c>
      <c r="T4" s="283">
        <f t="shared" si="7"/>
        <v>0.319072813859254</v>
      </c>
      <c r="U4" s="249"/>
      <c r="V4" s="298">
        <f t="shared" si="8"/>
        <v>0.286819216663049</v>
      </c>
      <c r="W4" s="299">
        <f t="shared" si="9"/>
        <v>0.0310014162010583</v>
      </c>
      <c r="X4" s="299">
        <f t="shared" si="10"/>
        <v>0.213106553276638</v>
      </c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79"/>
      <c r="BY4" s="279"/>
    </row>
    <row r="5" ht="14.4" spans="1:77">
      <c r="A5" s="252"/>
      <c r="B5" s="255"/>
      <c r="C5" s="253">
        <v>19.41</v>
      </c>
      <c r="D5" s="251">
        <v>7.1</v>
      </c>
      <c r="E5" s="251">
        <f>46/1.13</f>
        <v>40.7079646017699</v>
      </c>
      <c r="F5" s="250">
        <f t="shared" si="0"/>
        <v>5.73351614109435</v>
      </c>
      <c r="G5" s="254">
        <v>9</v>
      </c>
      <c r="H5" s="250">
        <f t="shared" si="1"/>
        <v>1.26760563380282</v>
      </c>
      <c r="I5" s="250">
        <f t="shared" si="2"/>
        <v>7.00112177489717</v>
      </c>
      <c r="J5" s="251">
        <v>0.15</v>
      </c>
      <c r="K5" s="250">
        <f t="shared" si="3"/>
        <v>2.9115</v>
      </c>
      <c r="L5" s="250">
        <v>4.26</v>
      </c>
      <c r="M5" s="250">
        <f t="shared" si="4"/>
        <v>5.23737822510283</v>
      </c>
      <c r="N5" s="283">
        <f t="shared" si="5"/>
        <v>0.269828862704937</v>
      </c>
      <c r="O5" s="249"/>
      <c r="P5" s="284">
        <v>0.05</v>
      </c>
      <c r="Q5" s="250"/>
      <c r="R5" s="250"/>
      <c r="S5" s="250">
        <f t="shared" si="6"/>
        <v>5.23737822510283</v>
      </c>
      <c r="T5" s="283">
        <f t="shared" si="7"/>
        <v>0.269828862704937</v>
      </c>
      <c r="U5" s="252"/>
      <c r="V5" s="298">
        <f t="shared" si="8"/>
        <v>0.295389806341801</v>
      </c>
      <c r="W5" s="299">
        <f t="shared" si="9"/>
        <v>0.0653068332716547</v>
      </c>
      <c r="X5" s="299">
        <f t="shared" si="10"/>
        <v>0.219474497681607</v>
      </c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</row>
    <row r="6" ht="14.4" spans="1:77">
      <c r="A6" s="252"/>
      <c r="B6" s="252"/>
      <c r="C6" s="253">
        <v>13.99</v>
      </c>
      <c r="D6" s="251">
        <v>7.1</v>
      </c>
      <c r="E6" s="251">
        <f>46/1.13</f>
        <v>40.7079646017699</v>
      </c>
      <c r="F6" s="250">
        <f t="shared" si="0"/>
        <v>5.73351614109435</v>
      </c>
      <c r="G6" s="254">
        <v>9</v>
      </c>
      <c r="H6" s="250">
        <f t="shared" si="1"/>
        <v>1.26760563380282</v>
      </c>
      <c r="I6" s="250">
        <f t="shared" si="2"/>
        <v>7.00112177489717</v>
      </c>
      <c r="J6" s="251">
        <v>0.15</v>
      </c>
      <c r="K6" s="250">
        <f t="shared" si="3"/>
        <v>2.0985</v>
      </c>
      <c r="L6" s="250">
        <v>4.26</v>
      </c>
      <c r="M6" s="250">
        <f t="shared" si="4"/>
        <v>0.630378225102829</v>
      </c>
      <c r="N6" s="283">
        <f t="shared" si="5"/>
        <v>0.0450592012225039</v>
      </c>
      <c r="O6" s="249"/>
      <c r="P6" s="284">
        <v>0.05</v>
      </c>
      <c r="Q6" s="250"/>
      <c r="R6" s="250"/>
      <c r="S6" s="250">
        <f t="shared" si="6"/>
        <v>0.630378225102829</v>
      </c>
      <c r="T6" s="283">
        <f t="shared" si="7"/>
        <v>0.0450592012225039</v>
      </c>
      <c r="U6" s="252"/>
      <c r="V6" s="298">
        <f t="shared" si="8"/>
        <v>0.409829602651491</v>
      </c>
      <c r="W6" s="299">
        <f t="shared" si="9"/>
        <v>0.0906079795427317</v>
      </c>
      <c r="X6" s="299">
        <f t="shared" si="10"/>
        <v>0.304503216583274</v>
      </c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79"/>
      <c r="BK6" s="279"/>
      <c r="BL6" s="279"/>
      <c r="BM6" s="279"/>
      <c r="BN6" s="279"/>
      <c r="BO6" s="279"/>
      <c r="BP6" s="279"/>
      <c r="BQ6" s="279"/>
      <c r="BR6" s="279"/>
      <c r="BS6" s="279"/>
      <c r="BT6" s="279"/>
      <c r="BU6" s="279"/>
      <c r="BV6" s="279"/>
      <c r="BW6" s="279"/>
      <c r="BX6" s="279"/>
      <c r="BY6" s="279"/>
    </row>
    <row r="7" ht="14.4" spans="1:77">
      <c r="A7" s="252"/>
      <c r="B7" s="255"/>
      <c r="C7" s="253">
        <v>14.99</v>
      </c>
      <c r="D7" s="251">
        <v>7.1</v>
      </c>
      <c r="E7" s="251">
        <f>11/1.13</f>
        <v>9.73451327433628</v>
      </c>
      <c r="F7" s="250">
        <f t="shared" si="0"/>
        <v>1.371058207653</v>
      </c>
      <c r="G7" s="254">
        <v>2</v>
      </c>
      <c r="H7" s="250">
        <f t="shared" si="1"/>
        <v>0.28169014084507</v>
      </c>
      <c r="I7" s="250">
        <f t="shared" si="2"/>
        <v>1.65274834849807</v>
      </c>
      <c r="J7" s="251">
        <v>0.15</v>
      </c>
      <c r="K7" s="250">
        <f t="shared" si="3"/>
        <v>2.2485</v>
      </c>
      <c r="L7" s="250">
        <v>3.68</v>
      </c>
      <c r="M7" s="250">
        <f t="shared" si="4"/>
        <v>7.40875165150193</v>
      </c>
      <c r="N7" s="283">
        <f t="shared" si="5"/>
        <v>0.494246274282984</v>
      </c>
      <c r="O7" s="249"/>
      <c r="P7" s="284">
        <v>0.05</v>
      </c>
      <c r="Q7" s="250"/>
      <c r="R7" s="250"/>
      <c r="S7" s="250">
        <f t="shared" si="6"/>
        <v>7.40875165150193</v>
      </c>
      <c r="T7" s="283">
        <f t="shared" si="7"/>
        <v>0.494246274282984</v>
      </c>
      <c r="U7" s="252"/>
      <c r="V7" s="298">
        <f t="shared" si="8"/>
        <v>0.0914648570815876</v>
      </c>
      <c r="W7" s="299">
        <f t="shared" si="9"/>
        <v>0.0187918706367625</v>
      </c>
      <c r="X7" s="299">
        <f t="shared" si="10"/>
        <v>0.245496997998666</v>
      </c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</row>
    <row r="8" ht="19.5" customHeight="1" spans="1:77">
      <c r="A8" s="256"/>
      <c r="B8" s="257"/>
      <c r="C8" s="253"/>
      <c r="D8" s="251"/>
      <c r="E8" s="251"/>
      <c r="F8" s="250"/>
      <c r="G8" s="254"/>
      <c r="H8" s="250"/>
      <c r="I8" s="250"/>
      <c r="J8" s="251"/>
      <c r="K8" s="250"/>
      <c r="L8" s="250"/>
      <c r="M8" s="250"/>
      <c r="N8" s="283"/>
      <c r="O8" s="249"/>
      <c r="P8" s="284"/>
      <c r="Q8" s="250"/>
      <c r="R8" s="250"/>
      <c r="S8" s="249"/>
      <c r="T8" s="283"/>
      <c r="U8" s="255"/>
      <c r="V8" s="298"/>
      <c r="W8" s="299"/>
      <c r="X8" s="29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  <c r="AY8" s="279"/>
      <c r="AZ8" s="279"/>
      <c r="BA8" s="279"/>
      <c r="BB8" s="279"/>
      <c r="BC8" s="279"/>
      <c r="BD8" s="279"/>
      <c r="BE8" s="279"/>
      <c r="BF8" s="279"/>
      <c r="BG8" s="279"/>
      <c r="BH8" s="279"/>
      <c r="BI8" s="279"/>
      <c r="BJ8" s="279"/>
      <c r="BK8" s="279"/>
      <c r="BL8" s="279"/>
      <c r="BM8" s="279"/>
      <c r="BN8" s="279"/>
      <c r="BO8" s="279"/>
      <c r="BP8" s="279"/>
      <c r="BQ8" s="279"/>
      <c r="BR8" s="279"/>
      <c r="BS8" s="279"/>
      <c r="BT8" s="279"/>
      <c r="BU8" s="279"/>
      <c r="BV8" s="279"/>
      <c r="BW8" s="279"/>
      <c r="BX8" s="279"/>
      <c r="BY8" s="279"/>
    </row>
    <row r="9" ht="19.5" customHeight="1" spans="1:77">
      <c r="A9" s="248" t="s">
        <v>17</v>
      </c>
      <c r="B9" s="258"/>
      <c r="C9" s="253">
        <v>99.99</v>
      </c>
      <c r="D9" s="251">
        <v>7.1</v>
      </c>
      <c r="E9" s="251">
        <v>120.8</v>
      </c>
      <c r="F9" s="250">
        <f>E9/D9</f>
        <v>17.0140845070423</v>
      </c>
      <c r="G9" s="254">
        <v>60</v>
      </c>
      <c r="H9" s="250">
        <f>G9/D9</f>
        <v>8.45070422535211</v>
      </c>
      <c r="I9" s="250">
        <f>F9+H9</f>
        <v>25.4647887323944</v>
      </c>
      <c r="J9" s="251">
        <v>0.15</v>
      </c>
      <c r="K9" s="250">
        <f>C9*J9</f>
        <v>14.9985</v>
      </c>
      <c r="L9" s="250">
        <v>13.41</v>
      </c>
      <c r="M9" s="250">
        <f>C9-I9-K9-L9</f>
        <v>46.1167112676056</v>
      </c>
      <c r="N9" s="283">
        <f>M9/C9</f>
        <v>0.461213233999456</v>
      </c>
      <c r="O9" s="249"/>
      <c r="P9" s="284">
        <v>0.07</v>
      </c>
      <c r="Q9" s="250"/>
      <c r="R9" s="250"/>
      <c r="S9" s="250">
        <f>C9-I9-K9-L9-Q9-R9</f>
        <v>46.1167112676056</v>
      </c>
      <c r="T9" s="283">
        <f>S9/C9</f>
        <v>0.461213233999456</v>
      </c>
      <c r="U9" s="255" t="s">
        <v>42</v>
      </c>
      <c r="V9" s="298">
        <f>E9/D9/C9</f>
        <v>0.170157860856508</v>
      </c>
      <c r="W9" s="299">
        <f>H9/C9</f>
        <v>0.0845154938029014</v>
      </c>
      <c r="X9" s="299">
        <f>L9/C9</f>
        <v>0.134113411341134</v>
      </c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  <c r="AK9" s="279"/>
      <c r="AL9" s="279"/>
      <c r="AM9" s="279"/>
      <c r="AN9" s="279"/>
      <c r="AO9" s="279"/>
      <c r="AP9" s="279"/>
      <c r="AQ9" s="279"/>
      <c r="AR9" s="279"/>
      <c r="AS9" s="279"/>
      <c r="AT9" s="279"/>
      <c r="AU9" s="279"/>
      <c r="AV9" s="279"/>
      <c r="AW9" s="279"/>
      <c r="AX9" s="279"/>
      <c r="AY9" s="279"/>
      <c r="AZ9" s="279"/>
      <c r="BA9" s="279"/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79"/>
      <c r="BM9" s="279"/>
      <c r="BN9" s="279"/>
      <c r="BO9" s="279"/>
      <c r="BP9" s="279"/>
      <c r="BQ9" s="279"/>
      <c r="BR9" s="279"/>
      <c r="BS9" s="279"/>
      <c r="BT9" s="279"/>
      <c r="BU9" s="279"/>
      <c r="BV9" s="279"/>
      <c r="BW9" s="279"/>
      <c r="BX9" s="279"/>
      <c r="BY9" s="279"/>
    </row>
    <row r="10" ht="19.5" customHeight="1" spans="1:77">
      <c r="A10" s="248" t="s">
        <v>17</v>
      </c>
      <c r="B10" s="258"/>
      <c r="C10" s="253">
        <v>59.99</v>
      </c>
      <c r="D10" s="251">
        <v>7.1</v>
      </c>
      <c r="E10" s="251">
        <v>120.8</v>
      </c>
      <c r="F10" s="250">
        <f>E10/D10</f>
        <v>17.0140845070423</v>
      </c>
      <c r="G10" s="254">
        <v>40</v>
      </c>
      <c r="H10" s="250">
        <f>G10/D10</f>
        <v>5.63380281690141</v>
      </c>
      <c r="I10" s="250">
        <f>F10+H10</f>
        <v>22.6478873239437</v>
      </c>
      <c r="J10" s="251">
        <v>0.15</v>
      </c>
      <c r="K10" s="250">
        <f>C10*J10</f>
        <v>8.9985</v>
      </c>
      <c r="L10" s="250">
        <v>13.41</v>
      </c>
      <c r="M10" s="250">
        <f>C10-I10-K10-L10</f>
        <v>14.9336126760563</v>
      </c>
      <c r="N10" s="283">
        <f>M10/C10</f>
        <v>0.248935033773235</v>
      </c>
      <c r="O10" s="249"/>
      <c r="P10" s="284">
        <v>0.07</v>
      </c>
      <c r="Q10" s="250"/>
      <c r="R10" s="250"/>
      <c r="S10" s="250">
        <f>C10-I10-K10-L10-Q10-R10</f>
        <v>14.9336126760563</v>
      </c>
      <c r="T10" s="283">
        <f>S10/C10</f>
        <v>0.248935033773235</v>
      </c>
      <c r="U10" s="255" t="s">
        <v>42</v>
      </c>
      <c r="V10" s="298">
        <f>E10/D10/C10</f>
        <v>0.283615344341428</v>
      </c>
      <c r="W10" s="299">
        <f>H10/C10</f>
        <v>0.0939123656759695</v>
      </c>
      <c r="X10" s="299">
        <f>L10/C10</f>
        <v>0.223537256209368</v>
      </c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79"/>
      <c r="BK10" s="279"/>
      <c r="BL10" s="279"/>
      <c r="BM10" s="279"/>
      <c r="BN10" s="279"/>
      <c r="BO10" s="279"/>
      <c r="BP10" s="279"/>
      <c r="BQ10" s="279"/>
      <c r="BR10" s="279"/>
      <c r="BS10" s="279"/>
      <c r="BT10" s="279"/>
      <c r="BU10" s="279"/>
      <c r="BV10" s="279"/>
      <c r="BW10" s="279"/>
      <c r="BX10" s="279"/>
      <c r="BY10" s="279"/>
    </row>
    <row r="11" ht="19.5" customHeight="1" spans="1:77">
      <c r="A11" s="248" t="s">
        <v>17</v>
      </c>
      <c r="B11" s="258"/>
      <c r="C11" s="253">
        <f>C9*0.75</f>
        <v>74.9925</v>
      </c>
      <c r="D11" s="251">
        <v>7.1</v>
      </c>
      <c r="E11" s="251">
        <v>120.8</v>
      </c>
      <c r="F11" s="250">
        <f>E11/D11</f>
        <v>17.0140845070423</v>
      </c>
      <c r="G11" s="254">
        <v>60</v>
      </c>
      <c r="H11" s="250">
        <f>G11/D11</f>
        <v>8.45070422535211</v>
      </c>
      <c r="I11" s="250">
        <f>F11+H11</f>
        <v>25.4647887323944</v>
      </c>
      <c r="J11" s="251">
        <v>0.15</v>
      </c>
      <c r="K11" s="250">
        <f>C11*J11</f>
        <v>11.248875</v>
      </c>
      <c r="L11" s="250">
        <v>13.41</v>
      </c>
      <c r="M11" s="250">
        <f>C11-I11-K11-L11</f>
        <v>24.8688362676056</v>
      </c>
      <c r="N11" s="283">
        <f>M11/C11</f>
        <v>0.331617645332608</v>
      </c>
      <c r="O11" s="249"/>
      <c r="P11" s="284">
        <v>0.07</v>
      </c>
      <c r="Q11" s="250"/>
      <c r="R11" s="250"/>
      <c r="S11" s="250">
        <f>C11-I11-K11-L11-Q11-R11</f>
        <v>24.8688362676056</v>
      </c>
      <c r="T11" s="283">
        <f>S11/C11</f>
        <v>0.331617645332608</v>
      </c>
      <c r="U11" s="255" t="s">
        <v>42</v>
      </c>
      <c r="V11" s="298">
        <f>E11/D11/C11</f>
        <v>0.226877147808678</v>
      </c>
      <c r="W11" s="299">
        <f>H11/C11</f>
        <v>0.112687325070535</v>
      </c>
      <c r="X11" s="299">
        <f>L11/C11</f>
        <v>0.178817881788179</v>
      </c>
      <c r="Y11" s="279"/>
      <c r="Z11" s="279"/>
      <c r="AA11" s="279"/>
      <c r="AB11" s="279"/>
      <c r="AC11" s="279"/>
      <c r="AD11" s="279"/>
      <c r="AE11" s="279"/>
      <c r="AF11" s="279"/>
      <c r="AG11" s="279"/>
      <c r="AH11" s="279"/>
      <c r="AI11" s="279"/>
      <c r="AJ11" s="279"/>
      <c r="AK11" s="279"/>
      <c r="AL11" s="279"/>
      <c r="AM11" s="279"/>
      <c r="AN11" s="279"/>
      <c r="AO11" s="279"/>
      <c r="AP11" s="279"/>
      <c r="AQ11" s="279"/>
      <c r="AR11" s="279"/>
      <c r="AS11" s="279"/>
      <c r="AT11" s="279"/>
      <c r="AU11" s="279"/>
      <c r="AV11" s="279"/>
      <c r="AW11" s="279"/>
      <c r="AX11" s="279"/>
      <c r="AY11" s="279"/>
      <c r="AZ11" s="279"/>
      <c r="BA11" s="279"/>
      <c r="BB11" s="279"/>
      <c r="BC11" s="279"/>
      <c r="BD11" s="279"/>
      <c r="BE11" s="279"/>
      <c r="BF11" s="279"/>
      <c r="BG11" s="279"/>
      <c r="BH11" s="279"/>
      <c r="BI11" s="279"/>
      <c r="BJ11" s="279"/>
      <c r="BK11" s="279"/>
      <c r="BL11" s="279"/>
      <c r="BM11" s="279"/>
      <c r="BN11" s="279"/>
      <c r="BO11" s="279"/>
      <c r="BP11" s="279"/>
      <c r="BQ11" s="279"/>
      <c r="BR11" s="279"/>
      <c r="BS11" s="279"/>
      <c r="BT11" s="279"/>
      <c r="BU11" s="279"/>
      <c r="BV11" s="279"/>
      <c r="BW11" s="279"/>
      <c r="BX11" s="279"/>
      <c r="BY11" s="279"/>
    </row>
    <row r="12" ht="19.5" customHeight="1" spans="1:77">
      <c r="A12" s="248" t="s">
        <v>17</v>
      </c>
      <c r="B12" s="258"/>
      <c r="C12" s="253">
        <v>53.95</v>
      </c>
      <c r="D12" s="251">
        <v>7.1</v>
      </c>
      <c r="E12" s="251">
        <v>120.8</v>
      </c>
      <c r="F12" s="250">
        <f>E12/D12</f>
        <v>17.0140845070423</v>
      </c>
      <c r="G12" s="254">
        <v>40</v>
      </c>
      <c r="H12" s="250">
        <f>G12/D12</f>
        <v>5.63380281690141</v>
      </c>
      <c r="I12" s="250">
        <f>F12+H12</f>
        <v>22.6478873239437</v>
      </c>
      <c r="J12" s="251">
        <v>0.15</v>
      </c>
      <c r="K12" s="250">
        <f>C12*J12</f>
        <v>8.0925</v>
      </c>
      <c r="L12" s="250">
        <v>13.41</v>
      </c>
      <c r="M12" s="250">
        <f>C12-I12-K12-L12</f>
        <v>9.79961267605634</v>
      </c>
      <c r="N12" s="283">
        <f>M12/C12</f>
        <v>0.181642496312444</v>
      </c>
      <c r="O12" s="249"/>
      <c r="P12" s="284">
        <v>0.07</v>
      </c>
      <c r="Q12" s="250"/>
      <c r="R12" s="250"/>
      <c r="S12" s="250">
        <f>C12-I12-K12-L12-Q12-R12</f>
        <v>9.79961267605634</v>
      </c>
      <c r="T12" s="283">
        <f>S12/C12</f>
        <v>0.181642496312444</v>
      </c>
      <c r="U12" s="255" t="s">
        <v>42</v>
      </c>
      <c r="V12" s="298">
        <f>E12/D12/C12</f>
        <v>0.315367646099022</v>
      </c>
      <c r="W12" s="299">
        <f>H12/C12</f>
        <v>0.104426372880471</v>
      </c>
      <c r="X12" s="299">
        <f>L12/C12</f>
        <v>0.248563484708063</v>
      </c>
      <c r="Y12" s="279"/>
      <c r="Z12" s="279"/>
      <c r="AA12" s="279"/>
      <c r="AB12" s="279"/>
      <c r="AC12" s="279"/>
      <c r="AD12" s="279"/>
      <c r="AE12" s="279"/>
      <c r="AF12" s="279"/>
      <c r="AG12" s="279"/>
      <c r="AH12" s="279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  <c r="AZ12" s="279"/>
      <c r="BA12" s="279"/>
      <c r="BB12" s="279"/>
      <c r="BC12" s="279"/>
      <c r="BD12" s="279"/>
      <c r="BE12" s="279"/>
      <c r="BF12" s="279"/>
      <c r="BG12" s="279"/>
      <c r="BH12" s="279"/>
      <c r="BI12" s="279"/>
      <c r="BJ12" s="279"/>
      <c r="BK12" s="279"/>
      <c r="BL12" s="279"/>
      <c r="BM12" s="279"/>
      <c r="BN12" s="279"/>
      <c r="BO12" s="279"/>
      <c r="BP12" s="279"/>
      <c r="BQ12" s="279"/>
      <c r="BR12" s="279"/>
      <c r="BS12" s="279"/>
      <c r="BT12" s="279"/>
      <c r="BU12" s="279"/>
      <c r="BV12" s="279"/>
      <c r="BW12" s="279"/>
      <c r="BX12" s="279"/>
      <c r="BY12" s="279"/>
    </row>
    <row r="13" ht="14.4" spans="1:77">
      <c r="A13" s="256"/>
      <c r="B13" s="259"/>
      <c r="C13" s="260"/>
      <c r="D13" s="261"/>
      <c r="E13" s="261"/>
      <c r="F13" s="262"/>
      <c r="G13" s="263"/>
      <c r="H13" s="262"/>
      <c r="I13" s="262"/>
      <c r="J13" s="261"/>
      <c r="K13" s="262"/>
      <c r="L13" s="262"/>
      <c r="M13" s="262"/>
      <c r="N13" s="285"/>
      <c r="O13" s="286"/>
      <c r="P13" s="287"/>
      <c r="Q13" s="262"/>
      <c r="R13" s="262"/>
      <c r="S13" s="286"/>
      <c r="T13" s="285"/>
      <c r="U13" s="259"/>
      <c r="V13" s="298"/>
      <c r="W13" s="299"/>
      <c r="X13" s="299"/>
      <c r="Y13" s="279"/>
      <c r="Z13" s="279"/>
      <c r="AA13" s="279"/>
      <c r="AB13" s="279"/>
      <c r="AC13" s="279"/>
      <c r="AD13" s="279"/>
      <c r="AE13" s="279"/>
      <c r="AF13" s="279"/>
      <c r="AG13" s="279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  <c r="AV13" s="279"/>
      <c r="AW13" s="279"/>
      <c r="AX13" s="279"/>
      <c r="AY13" s="279"/>
      <c r="AZ13" s="279"/>
      <c r="BA13" s="279"/>
      <c r="BB13" s="279"/>
      <c r="BC13" s="279"/>
      <c r="BD13" s="279"/>
      <c r="BE13" s="279"/>
      <c r="BF13" s="279"/>
      <c r="BG13" s="279"/>
      <c r="BH13" s="279"/>
      <c r="BI13" s="279"/>
      <c r="BJ13" s="279"/>
      <c r="BK13" s="279"/>
      <c r="BL13" s="279"/>
      <c r="BM13" s="279"/>
      <c r="BN13" s="279"/>
      <c r="BO13" s="279"/>
      <c r="BP13" s="279"/>
      <c r="BQ13" s="279"/>
      <c r="BR13" s="279"/>
      <c r="BS13" s="279"/>
      <c r="BT13" s="279"/>
      <c r="BU13" s="279"/>
      <c r="BV13" s="279"/>
      <c r="BW13" s="279"/>
      <c r="BX13" s="279"/>
      <c r="BY13" s="279"/>
    </row>
    <row r="14" ht="14.4" spans="1:77">
      <c r="A14" s="264" t="s">
        <v>17</v>
      </c>
      <c r="B14" s="265"/>
      <c r="C14" s="266">
        <v>54.99</v>
      </c>
      <c r="D14" s="267">
        <v>7.1</v>
      </c>
      <c r="E14" s="267">
        <f t="shared" ref="E14:E19" si="11">87/1.13</f>
        <v>76.9911504424779</v>
      </c>
      <c r="F14" s="268">
        <f t="shared" ref="F14:F33" si="12">E14/D14</f>
        <v>10.8438240059828</v>
      </c>
      <c r="G14" s="269">
        <f t="shared" ref="G14:G19" si="13">14*15.9/27</f>
        <v>8.24444444444444</v>
      </c>
      <c r="H14" s="268">
        <f t="shared" ref="H14:H33" si="14">G14/D14</f>
        <v>1.16118935837246</v>
      </c>
      <c r="I14" s="268">
        <f t="shared" ref="I14:I33" si="15">F14+H14</f>
        <v>12.0050133643553</v>
      </c>
      <c r="J14" s="267">
        <v>0.15</v>
      </c>
      <c r="K14" s="268">
        <f t="shared" ref="K14:K33" si="16">C14*J14</f>
        <v>8.2485</v>
      </c>
      <c r="L14" s="268">
        <v>4.99</v>
      </c>
      <c r="M14" s="268">
        <f t="shared" ref="M14:M33" si="17">C14-I14-K14-L14</f>
        <v>29.7464866356447</v>
      </c>
      <c r="N14" s="288">
        <f t="shared" ref="N14:N33" si="18">M14/C14</f>
        <v>0.540943564932619</v>
      </c>
      <c r="O14" s="289"/>
      <c r="P14" s="290">
        <v>0.05</v>
      </c>
      <c r="Q14" s="268"/>
      <c r="R14" s="268"/>
      <c r="S14" s="268">
        <f t="shared" ref="S14:S19" si="19">C14-I14-K14-L14-Q14-R14</f>
        <v>29.7464866356447</v>
      </c>
      <c r="T14" s="288">
        <f t="shared" ref="T14:T19" si="20">S14/C14</f>
        <v>0.540943564932619</v>
      </c>
      <c r="U14" s="300"/>
      <c r="V14" s="301">
        <f t="shared" ref="V14:V32" si="21">E14/D14/C14</f>
        <v>0.197196290343386</v>
      </c>
      <c r="W14" s="302">
        <f t="shared" ref="W14:W32" si="22">H14/C14</f>
        <v>0.0211163731291591</v>
      </c>
      <c r="X14" s="302">
        <f t="shared" ref="X14:X32" si="23">L14/C14</f>
        <v>0.0907437715948354</v>
      </c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5"/>
      <c r="BD14" s="305"/>
      <c r="BE14" s="305"/>
      <c r="BF14" s="305"/>
      <c r="BG14" s="305"/>
      <c r="BH14" s="305"/>
      <c r="BI14" s="305"/>
      <c r="BJ14" s="305"/>
      <c r="BK14" s="305"/>
      <c r="BL14" s="305"/>
      <c r="BM14" s="305"/>
      <c r="BN14" s="305"/>
      <c r="BO14" s="305"/>
      <c r="BP14" s="305"/>
      <c r="BQ14" s="305"/>
      <c r="BR14" s="305"/>
      <c r="BS14" s="305"/>
      <c r="BT14" s="305"/>
      <c r="BU14" s="305"/>
      <c r="BV14" s="305"/>
      <c r="BW14" s="305"/>
      <c r="BX14" s="305"/>
      <c r="BY14" s="305"/>
    </row>
    <row r="15" ht="14.4" spans="1:77">
      <c r="A15" s="270" t="s">
        <v>17</v>
      </c>
      <c r="B15" s="265"/>
      <c r="C15" s="266">
        <f>54.99*0.6</f>
        <v>32.994</v>
      </c>
      <c r="D15" s="267">
        <v>7.1</v>
      </c>
      <c r="E15" s="267">
        <f t="shared" si="11"/>
        <v>76.9911504424779</v>
      </c>
      <c r="F15" s="268">
        <f t="shared" si="12"/>
        <v>10.8438240059828</v>
      </c>
      <c r="G15" s="269">
        <f t="shared" si="13"/>
        <v>8.24444444444444</v>
      </c>
      <c r="H15" s="268">
        <f t="shared" si="14"/>
        <v>1.16118935837246</v>
      </c>
      <c r="I15" s="268">
        <f t="shared" si="15"/>
        <v>12.0050133643553</v>
      </c>
      <c r="J15" s="267">
        <v>0.15</v>
      </c>
      <c r="K15" s="268">
        <f t="shared" si="16"/>
        <v>4.9491</v>
      </c>
      <c r="L15" s="268">
        <v>4.99</v>
      </c>
      <c r="M15" s="268">
        <f t="shared" si="17"/>
        <v>11.0498866356447</v>
      </c>
      <c r="N15" s="288">
        <f t="shared" si="18"/>
        <v>0.334905941554366</v>
      </c>
      <c r="O15" s="289"/>
      <c r="P15" s="290">
        <v>0.05</v>
      </c>
      <c r="Q15" s="268"/>
      <c r="R15" s="268"/>
      <c r="S15" s="268">
        <f t="shared" si="19"/>
        <v>11.0498866356447</v>
      </c>
      <c r="T15" s="288">
        <f t="shared" si="20"/>
        <v>0.334905941554366</v>
      </c>
      <c r="U15" s="300"/>
      <c r="V15" s="301">
        <f t="shared" si="21"/>
        <v>0.328660483905644</v>
      </c>
      <c r="W15" s="302">
        <f t="shared" si="22"/>
        <v>0.0351939552152651</v>
      </c>
      <c r="X15" s="302">
        <f t="shared" si="23"/>
        <v>0.151239619324726</v>
      </c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5"/>
      <c r="BD15" s="305"/>
      <c r="BE15" s="305"/>
      <c r="BF15" s="305"/>
      <c r="BG15" s="305"/>
      <c r="BH15" s="305"/>
      <c r="BI15" s="305"/>
      <c r="BJ15" s="305"/>
      <c r="BK15" s="305"/>
      <c r="BL15" s="305"/>
      <c r="BM15" s="305"/>
      <c r="BN15" s="305"/>
      <c r="BO15" s="305"/>
      <c r="BP15" s="305"/>
      <c r="BQ15" s="305"/>
      <c r="BR15" s="305"/>
      <c r="BS15" s="305"/>
      <c r="BT15" s="305"/>
      <c r="BU15" s="305"/>
      <c r="BV15" s="305"/>
      <c r="BW15" s="305"/>
      <c r="BX15" s="305"/>
      <c r="BY15" s="305"/>
    </row>
    <row r="16" ht="14.4" spans="1:77">
      <c r="A16" s="270" t="s">
        <v>17</v>
      </c>
      <c r="B16" s="265"/>
      <c r="C16" s="266">
        <v>46.74</v>
      </c>
      <c r="D16" s="267">
        <v>7.1</v>
      </c>
      <c r="E16" s="267">
        <f t="shared" si="11"/>
        <v>76.9911504424779</v>
      </c>
      <c r="F16" s="268">
        <f t="shared" si="12"/>
        <v>10.8438240059828</v>
      </c>
      <c r="G16" s="269">
        <f t="shared" si="13"/>
        <v>8.24444444444444</v>
      </c>
      <c r="H16" s="268">
        <f t="shared" si="14"/>
        <v>1.16118935837246</v>
      </c>
      <c r="I16" s="268">
        <f t="shared" si="15"/>
        <v>12.0050133643553</v>
      </c>
      <c r="J16" s="267">
        <v>0.15</v>
      </c>
      <c r="K16" s="268">
        <f t="shared" si="16"/>
        <v>7.011</v>
      </c>
      <c r="L16" s="268">
        <v>4.99</v>
      </c>
      <c r="M16" s="268">
        <f t="shared" si="17"/>
        <v>22.7339866356447</v>
      </c>
      <c r="N16" s="288">
        <f t="shared" si="18"/>
        <v>0.486392525366811</v>
      </c>
      <c r="O16" s="289"/>
      <c r="P16" s="290">
        <v>0.05</v>
      </c>
      <c r="Q16" s="268"/>
      <c r="R16" s="268"/>
      <c r="S16" s="268">
        <f t="shared" si="19"/>
        <v>22.7339866356447</v>
      </c>
      <c r="T16" s="288">
        <f t="shared" si="20"/>
        <v>0.486392525366811</v>
      </c>
      <c r="U16" s="300"/>
      <c r="V16" s="301">
        <f t="shared" si="21"/>
        <v>0.232003081000916</v>
      </c>
      <c r="W16" s="302">
        <f t="shared" si="22"/>
        <v>0.0248435891821236</v>
      </c>
      <c r="X16" s="302">
        <f t="shared" si="23"/>
        <v>0.10676080445015</v>
      </c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  <c r="AX16" s="305"/>
      <c r="AY16" s="305"/>
      <c r="AZ16" s="305"/>
      <c r="BA16" s="305"/>
      <c r="BB16" s="305"/>
      <c r="BC16" s="305"/>
      <c r="BD16" s="305"/>
      <c r="BE16" s="305"/>
      <c r="BF16" s="305"/>
      <c r="BG16" s="305"/>
      <c r="BH16" s="305"/>
      <c r="BI16" s="305"/>
      <c r="BJ16" s="305"/>
      <c r="BK16" s="305"/>
      <c r="BL16" s="305"/>
      <c r="BM16" s="305"/>
      <c r="BN16" s="305"/>
      <c r="BO16" s="305"/>
      <c r="BP16" s="305"/>
      <c r="BQ16" s="305"/>
      <c r="BR16" s="305"/>
      <c r="BS16" s="305"/>
      <c r="BT16" s="305"/>
      <c r="BU16" s="305"/>
      <c r="BV16" s="305"/>
      <c r="BW16" s="305"/>
      <c r="BX16" s="305"/>
      <c r="BY16" s="305"/>
    </row>
    <row r="17" ht="14.4" spans="1:77">
      <c r="A17" s="271" t="s">
        <v>17</v>
      </c>
      <c r="B17" s="272"/>
      <c r="C17" s="273">
        <v>69.99</v>
      </c>
      <c r="D17" s="274">
        <v>7.1</v>
      </c>
      <c r="E17" s="274">
        <f t="shared" si="11"/>
        <v>76.9911504424779</v>
      </c>
      <c r="F17" s="275">
        <f t="shared" si="12"/>
        <v>10.8438240059828</v>
      </c>
      <c r="G17" s="276">
        <f t="shared" si="13"/>
        <v>8.24444444444444</v>
      </c>
      <c r="H17" s="275">
        <f t="shared" si="14"/>
        <v>1.16118935837246</v>
      </c>
      <c r="I17" s="275">
        <f t="shared" si="15"/>
        <v>12.0050133643553</v>
      </c>
      <c r="J17" s="274">
        <v>0.15</v>
      </c>
      <c r="K17" s="275">
        <f t="shared" si="16"/>
        <v>10.4985</v>
      </c>
      <c r="L17" s="275">
        <v>4.99</v>
      </c>
      <c r="M17" s="275">
        <f t="shared" si="17"/>
        <v>42.4964866356447</v>
      </c>
      <c r="N17" s="291">
        <f t="shared" si="18"/>
        <v>0.607179406138659</v>
      </c>
      <c r="O17" s="292"/>
      <c r="P17" s="293">
        <v>0.05</v>
      </c>
      <c r="Q17" s="275"/>
      <c r="R17" s="275"/>
      <c r="S17" s="275">
        <f t="shared" si="19"/>
        <v>42.4964866356447</v>
      </c>
      <c r="T17" s="291">
        <f t="shared" si="20"/>
        <v>0.607179406138659</v>
      </c>
      <c r="U17" s="272"/>
      <c r="V17" s="303">
        <f t="shared" si="21"/>
        <v>0.15493390492903</v>
      </c>
      <c r="W17" s="304">
        <f t="shared" si="22"/>
        <v>0.0165907895181091</v>
      </c>
      <c r="X17" s="304">
        <f t="shared" si="23"/>
        <v>0.071295899414202</v>
      </c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6"/>
      <c r="BL17" s="306"/>
      <c r="BM17" s="306"/>
      <c r="BN17" s="306"/>
      <c r="BO17" s="306"/>
      <c r="BP17" s="306"/>
      <c r="BQ17" s="306"/>
      <c r="BR17" s="306"/>
      <c r="BS17" s="306"/>
      <c r="BT17" s="306"/>
      <c r="BU17" s="306"/>
      <c r="BV17" s="306"/>
      <c r="BW17" s="306"/>
      <c r="BX17" s="306"/>
      <c r="BY17" s="306"/>
    </row>
    <row r="18" ht="14.4" spans="1:77">
      <c r="A18" s="271" t="s">
        <v>17</v>
      </c>
      <c r="B18" s="277"/>
      <c r="C18" s="273">
        <f>69.99*0.6</f>
        <v>41.994</v>
      </c>
      <c r="D18" s="274">
        <v>7.1</v>
      </c>
      <c r="E18" s="274">
        <f t="shared" si="11"/>
        <v>76.9911504424779</v>
      </c>
      <c r="F18" s="275">
        <f t="shared" si="12"/>
        <v>10.8438240059828</v>
      </c>
      <c r="G18" s="276">
        <f t="shared" si="13"/>
        <v>8.24444444444444</v>
      </c>
      <c r="H18" s="275">
        <f t="shared" si="14"/>
        <v>1.16118935837246</v>
      </c>
      <c r="I18" s="275">
        <f t="shared" si="15"/>
        <v>12.0050133643553</v>
      </c>
      <c r="J18" s="274">
        <v>0.15</v>
      </c>
      <c r="K18" s="275">
        <f t="shared" si="16"/>
        <v>6.2991</v>
      </c>
      <c r="L18" s="275">
        <v>4.99</v>
      </c>
      <c r="M18" s="275">
        <f t="shared" si="17"/>
        <v>18.6998866356447</v>
      </c>
      <c r="N18" s="291">
        <f t="shared" si="18"/>
        <v>0.445299010231098</v>
      </c>
      <c r="O18" s="292"/>
      <c r="P18" s="293">
        <v>0.05</v>
      </c>
      <c r="Q18" s="275"/>
      <c r="R18" s="275"/>
      <c r="S18" s="275">
        <f t="shared" si="19"/>
        <v>18.6998866356447</v>
      </c>
      <c r="T18" s="291">
        <f t="shared" si="20"/>
        <v>0.445299010231098</v>
      </c>
      <c r="U18" s="272"/>
      <c r="V18" s="303">
        <f t="shared" si="21"/>
        <v>0.258223174881717</v>
      </c>
      <c r="W18" s="304">
        <f t="shared" si="22"/>
        <v>0.0276513158635152</v>
      </c>
      <c r="X18" s="304">
        <f t="shared" si="23"/>
        <v>0.11882649902367</v>
      </c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6"/>
      <c r="BI18" s="306"/>
      <c r="BJ18" s="306"/>
      <c r="BK18" s="306"/>
      <c r="BL18" s="306"/>
      <c r="BM18" s="306"/>
      <c r="BN18" s="306"/>
      <c r="BO18" s="306"/>
      <c r="BP18" s="306"/>
      <c r="BQ18" s="306"/>
      <c r="BR18" s="306"/>
      <c r="BS18" s="306"/>
      <c r="BT18" s="306"/>
      <c r="BU18" s="306"/>
      <c r="BV18" s="306"/>
      <c r="BW18" s="306"/>
      <c r="BX18" s="306"/>
      <c r="BY18" s="306"/>
    </row>
    <row r="19" ht="14.4" spans="1:77">
      <c r="A19" s="271" t="s">
        <v>17</v>
      </c>
      <c r="B19" s="272"/>
      <c r="C19" s="273">
        <f>41.99*0.7</f>
        <v>29.393</v>
      </c>
      <c r="D19" s="274">
        <v>7.1</v>
      </c>
      <c r="E19" s="274">
        <f t="shared" si="11"/>
        <v>76.9911504424779</v>
      </c>
      <c r="F19" s="275">
        <f t="shared" si="12"/>
        <v>10.8438240059828</v>
      </c>
      <c r="G19" s="276">
        <f t="shared" si="13"/>
        <v>8.24444444444444</v>
      </c>
      <c r="H19" s="275">
        <f t="shared" si="14"/>
        <v>1.16118935837246</v>
      </c>
      <c r="I19" s="275">
        <f t="shared" si="15"/>
        <v>12.0050133643553</v>
      </c>
      <c r="J19" s="274">
        <v>0.15</v>
      </c>
      <c r="K19" s="275">
        <f t="shared" si="16"/>
        <v>4.40895</v>
      </c>
      <c r="L19" s="275">
        <v>4.99</v>
      </c>
      <c r="M19" s="275">
        <f t="shared" si="17"/>
        <v>7.98903663564474</v>
      </c>
      <c r="N19" s="291">
        <f t="shared" si="18"/>
        <v>0.271800654429447</v>
      </c>
      <c r="O19" s="292"/>
      <c r="P19" s="293">
        <v>0.05</v>
      </c>
      <c r="Q19" s="275"/>
      <c r="R19" s="275"/>
      <c r="S19" s="275">
        <f t="shared" si="19"/>
        <v>7.98903663564474</v>
      </c>
      <c r="T19" s="291">
        <f t="shared" si="20"/>
        <v>0.271800654429447</v>
      </c>
      <c r="U19" s="272"/>
      <c r="V19" s="303">
        <f t="shared" si="21"/>
        <v>0.36892539060262</v>
      </c>
      <c r="W19" s="304">
        <f t="shared" si="22"/>
        <v>0.0395056427847602</v>
      </c>
      <c r="X19" s="304">
        <f t="shared" si="23"/>
        <v>0.169768312183173</v>
      </c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</row>
    <row r="20" ht="14.4" spans="1:77">
      <c r="A20" s="256"/>
      <c r="B20" s="255"/>
      <c r="C20" s="252"/>
      <c r="D20" s="251">
        <v>7.1</v>
      </c>
      <c r="E20" s="251"/>
      <c r="F20" s="250">
        <f t="shared" si="12"/>
        <v>0</v>
      </c>
      <c r="G20" s="254"/>
      <c r="H20" s="250">
        <f t="shared" si="14"/>
        <v>0</v>
      </c>
      <c r="I20" s="250">
        <f t="shared" si="15"/>
        <v>0</v>
      </c>
      <c r="J20" s="251">
        <v>0.15</v>
      </c>
      <c r="K20" s="250">
        <f t="shared" si="16"/>
        <v>0</v>
      </c>
      <c r="L20" s="249"/>
      <c r="M20" s="250">
        <f t="shared" si="17"/>
        <v>0</v>
      </c>
      <c r="N20" s="283" t="e">
        <f t="shared" si="18"/>
        <v>#DIV/0!</v>
      </c>
      <c r="O20" s="249"/>
      <c r="P20" s="250"/>
      <c r="Q20" s="250"/>
      <c r="R20" s="250"/>
      <c r="S20" s="252"/>
      <c r="T20" s="252"/>
      <c r="U20" s="252"/>
      <c r="V20" s="298" t="e">
        <f t="shared" si="21"/>
        <v>#DIV/0!</v>
      </c>
      <c r="W20" s="299" t="e">
        <f t="shared" si="22"/>
        <v>#DIV/0!</v>
      </c>
      <c r="X20" s="299" t="e">
        <f t="shared" si="23"/>
        <v>#DIV/0!</v>
      </c>
      <c r="Y20" s="279"/>
      <c r="Z20" s="279"/>
      <c r="AA20" s="279"/>
      <c r="AB20" s="279"/>
      <c r="AC20" s="279"/>
      <c r="AD20" s="279"/>
      <c r="AE20" s="279"/>
      <c r="AF20" s="279"/>
      <c r="AG20" s="279"/>
      <c r="AH20" s="279"/>
      <c r="AI20" s="279"/>
      <c r="AJ20" s="279"/>
      <c r="AK20" s="279"/>
      <c r="AL20" s="279"/>
      <c r="AM20" s="279"/>
      <c r="AN20" s="279"/>
      <c r="AO20" s="279"/>
      <c r="AP20" s="279"/>
      <c r="AQ20" s="279"/>
      <c r="AR20" s="279"/>
      <c r="AS20" s="279"/>
      <c r="AT20" s="279"/>
      <c r="AU20" s="279"/>
      <c r="AV20" s="279"/>
      <c r="AW20" s="279"/>
      <c r="AX20" s="279"/>
      <c r="AY20" s="279"/>
      <c r="AZ20" s="279"/>
      <c r="BA20" s="279"/>
      <c r="BB20" s="279"/>
      <c r="BC20" s="279"/>
      <c r="BD20" s="279"/>
      <c r="BE20" s="279"/>
      <c r="BF20" s="279"/>
      <c r="BG20" s="279"/>
      <c r="BH20" s="279"/>
      <c r="BI20" s="279"/>
      <c r="BJ20" s="279"/>
      <c r="BK20" s="279"/>
      <c r="BL20" s="279"/>
      <c r="BM20" s="279"/>
      <c r="BN20" s="279"/>
      <c r="BO20" s="279"/>
      <c r="BP20" s="279"/>
      <c r="BQ20" s="279"/>
      <c r="BR20" s="279"/>
      <c r="BS20" s="279"/>
      <c r="BT20" s="279"/>
      <c r="BU20" s="279"/>
      <c r="BV20" s="279"/>
      <c r="BW20" s="279"/>
      <c r="BX20" s="279"/>
      <c r="BY20" s="279"/>
    </row>
    <row r="21" ht="14.4" spans="1:77">
      <c r="A21" s="256"/>
      <c r="B21" s="252"/>
      <c r="C21" s="255">
        <v>19.99</v>
      </c>
      <c r="D21" s="251">
        <v>7.1</v>
      </c>
      <c r="E21" s="251">
        <v>40</v>
      </c>
      <c r="F21" s="250">
        <f t="shared" si="12"/>
        <v>5.63380281690141</v>
      </c>
      <c r="G21" s="254"/>
      <c r="H21" s="250">
        <f t="shared" si="14"/>
        <v>0</v>
      </c>
      <c r="I21" s="250">
        <f t="shared" si="15"/>
        <v>5.63380281690141</v>
      </c>
      <c r="J21" s="251">
        <v>0.15</v>
      </c>
      <c r="K21" s="250">
        <f t="shared" si="16"/>
        <v>2.9985</v>
      </c>
      <c r="L21" s="250">
        <v>3.99</v>
      </c>
      <c r="M21" s="250">
        <f t="shared" si="17"/>
        <v>7.36769718309859</v>
      </c>
      <c r="N21" s="283">
        <f t="shared" si="18"/>
        <v>0.368569143726793</v>
      </c>
      <c r="O21" s="249"/>
      <c r="P21" s="250"/>
      <c r="Q21" s="250"/>
      <c r="R21" s="250"/>
      <c r="S21" s="252"/>
      <c r="T21" s="252"/>
      <c r="U21" s="252"/>
      <c r="V21" s="298">
        <f t="shared" si="21"/>
        <v>0.281831056373257</v>
      </c>
      <c r="W21" s="299">
        <f t="shared" si="22"/>
        <v>0</v>
      </c>
      <c r="X21" s="299">
        <f t="shared" si="23"/>
        <v>0.19959979989995</v>
      </c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  <c r="AO21" s="279"/>
      <c r="AP21" s="279"/>
      <c r="AQ21" s="279"/>
      <c r="AR21" s="279"/>
      <c r="AS21" s="279"/>
      <c r="AT21" s="279"/>
      <c r="AU21" s="279"/>
      <c r="AV21" s="279"/>
      <c r="AW21" s="279"/>
      <c r="AX21" s="279"/>
      <c r="AY21" s="279"/>
      <c r="AZ21" s="279"/>
      <c r="BA21" s="279"/>
      <c r="BB21" s="279"/>
      <c r="BC21" s="279"/>
      <c r="BD21" s="279"/>
      <c r="BE21" s="279"/>
      <c r="BF21" s="279"/>
      <c r="BG21" s="279"/>
      <c r="BH21" s="279"/>
      <c r="BI21" s="279"/>
      <c r="BJ21" s="279"/>
      <c r="BK21" s="279"/>
      <c r="BL21" s="279"/>
      <c r="BM21" s="279"/>
      <c r="BN21" s="279"/>
      <c r="BO21" s="279"/>
      <c r="BP21" s="279"/>
      <c r="BQ21" s="279"/>
      <c r="BR21" s="279"/>
      <c r="BS21" s="279"/>
      <c r="BT21" s="279"/>
      <c r="BU21" s="279"/>
      <c r="BV21" s="279"/>
      <c r="BW21" s="279"/>
      <c r="BX21" s="279"/>
      <c r="BY21" s="279"/>
    </row>
    <row r="22" ht="14.4" spans="1:77">
      <c r="A22" s="256"/>
      <c r="B22" s="255"/>
      <c r="C22" s="255">
        <v>119.99</v>
      </c>
      <c r="D22" s="251">
        <v>7.1</v>
      </c>
      <c r="E22" s="251">
        <f>270/1.13</f>
        <v>238.938053097345</v>
      </c>
      <c r="F22" s="250">
        <f t="shared" si="12"/>
        <v>33.653246915119</v>
      </c>
      <c r="G22" s="254">
        <v>40</v>
      </c>
      <c r="H22" s="250">
        <f t="shared" si="14"/>
        <v>5.63380281690141</v>
      </c>
      <c r="I22" s="250">
        <f t="shared" si="15"/>
        <v>39.2870497320204</v>
      </c>
      <c r="J22" s="251">
        <v>0.15</v>
      </c>
      <c r="K22" s="250">
        <f t="shared" si="16"/>
        <v>17.9985</v>
      </c>
      <c r="L22" s="294">
        <v>9.81</v>
      </c>
      <c r="M22" s="250">
        <f t="shared" si="17"/>
        <v>52.8944502679796</v>
      </c>
      <c r="N22" s="283">
        <f t="shared" si="18"/>
        <v>0.440823820884903</v>
      </c>
      <c r="O22" s="249"/>
      <c r="P22" s="250"/>
      <c r="Q22" s="250"/>
      <c r="R22" s="250"/>
      <c r="S22" s="252"/>
      <c r="T22" s="252"/>
      <c r="U22" s="252"/>
      <c r="V22" s="298">
        <f t="shared" si="21"/>
        <v>0.280467096550705</v>
      </c>
      <c r="W22" s="299">
        <f t="shared" si="22"/>
        <v>0.0469522694966365</v>
      </c>
      <c r="X22" s="299">
        <f t="shared" si="23"/>
        <v>0.0817568130677557</v>
      </c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  <c r="AX22" s="279"/>
      <c r="AY22" s="279"/>
      <c r="AZ22" s="279"/>
      <c r="BA22" s="279"/>
      <c r="BB22" s="279"/>
      <c r="BC22" s="279"/>
      <c r="BD22" s="279"/>
      <c r="BE22" s="279"/>
      <c r="BF22" s="279"/>
      <c r="BG22" s="279"/>
      <c r="BH22" s="279"/>
      <c r="BI22" s="279"/>
      <c r="BJ22" s="279"/>
      <c r="BK22" s="279"/>
      <c r="BL22" s="279"/>
      <c r="BM22" s="279"/>
      <c r="BN22" s="279"/>
      <c r="BO22" s="279"/>
      <c r="BP22" s="279"/>
      <c r="BQ22" s="279"/>
      <c r="BR22" s="279"/>
      <c r="BS22" s="279"/>
      <c r="BT22" s="279"/>
      <c r="BU22" s="279"/>
      <c r="BV22" s="279"/>
      <c r="BW22" s="279"/>
      <c r="BX22" s="279"/>
      <c r="BY22" s="279"/>
    </row>
    <row r="23" ht="14.4" spans="1:77">
      <c r="A23" s="256"/>
      <c r="B23" s="255"/>
      <c r="C23" s="255">
        <f>C22*0.7</f>
        <v>83.993</v>
      </c>
      <c r="D23" s="251">
        <v>7.1</v>
      </c>
      <c r="E23" s="251">
        <f>270/1.13</f>
        <v>238.938053097345</v>
      </c>
      <c r="F23" s="250">
        <f t="shared" si="12"/>
        <v>33.653246915119</v>
      </c>
      <c r="G23" s="254">
        <v>40</v>
      </c>
      <c r="H23" s="250">
        <f t="shared" si="14"/>
        <v>5.63380281690141</v>
      </c>
      <c r="I23" s="250">
        <f t="shared" si="15"/>
        <v>39.2870497320204</v>
      </c>
      <c r="J23" s="251">
        <v>0.15</v>
      </c>
      <c r="K23" s="250">
        <f t="shared" si="16"/>
        <v>12.59895</v>
      </c>
      <c r="L23" s="294">
        <v>9.81</v>
      </c>
      <c r="M23" s="250">
        <f t="shared" si="17"/>
        <v>22.2970002679796</v>
      </c>
      <c r="N23" s="283">
        <f t="shared" si="18"/>
        <v>0.265462601264148</v>
      </c>
      <c r="O23" s="249"/>
      <c r="P23" s="250"/>
      <c r="Q23" s="250"/>
      <c r="R23" s="250"/>
      <c r="S23" s="252"/>
      <c r="T23" s="252"/>
      <c r="U23" s="252"/>
      <c r="V23" s="298">
        <f t="shared" si="21"/>
        <v>0.400667280786721</v>
      </c>
      <c r="W23" s="299">
        <f t="shared" si="22"/>
        <v>0.0670746707094807</v>
      </c>
      <c r="X23" s="299">
        <f t="shared" si="23"/>
        <v>0.116795447239651</v>
      </c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79"/>
      <c r="AM23" s="279"/>
      <c r="AN23" s="279"/>
      <c r="AO23" s="279"/>
      <c r="AP23" s="279"/>
      <c r="AQ23" s="279"/>
      <c r="AR23" s="279"/>
      <c r="AS23" s="279"/>
      <c r="AT23" s="279"/>
      <c r="AU23" s="279"/>
      <c r="AV23" s="279"/>
      <c r="AW23" s="279"/>
      <c r="AX23" s="279"/>
      <c r="AY23" s="279"/>
      <c r="AZ23" s="279"/>
      <c r="BA23" s="279"/>
      <c r="BB23" s="279"/>
      <c r="BC23" s="279"/>
      <c r="BD23" s="279"/>
      <c r="BE23" s="279"/>
      <c r="BF23" s="279"/>
      <c r="BG23" s="279"/>
      <c r="BH23" s="279"/>
      <c r="BI23" s="279"/>
      <c r="BJ23" s="279"/>
      <c r="BK23" s="279"/>
      <c r="BL23" s="279"/>
      <c r="BM23" s="279"/>
      <c r="BN23" s="279"/>
      <c r="BO23" s="279"/>
      <c r="BP23" s="279"/>
      <c r="BQ23" s="279"/>
      <c r="BR23" s="279"/>
      <c r="BS23" s="279"/>
      <c r="BT23" s="279"/>
      <c r="BU23" s="279"/>
      <c r="BV23" s="279"/>
      <c r="BW23" s="279"/>
      <c r="BX23" s="279"/>
      <c r="BY23" s="279"/>
    </row>
    <row r="24" ht="14.4" spans="1:77">
      <c r="A24" s="256"/>
      <c r="B24" s="255"/>
      <c r="C24" s="255">
        <f>C23*0.8</f>
        <v>67.1944</v>
      </c>
      <c r="D24" s="251">
        <v>7.1</v>
      </c>
      <c r="E24" s="251">
        <f>270/1.13</f>
        <v>238.938053097345</v>
      </c>
      <c r="F24" s="250">
        <f t="shared" si="12"/>
        <v>33.653246915119</v>
      </c>
      <c r="G24" s="254">
        <v>40</v>
      </c>
      <c r="H24" s="250">
        <f t="shared" si="14"/>
        <v>5.63380281690141</v>
      </c>
      <c r="I24" s="250">
        <f t="shared" si="15"/>
        <v>39.2870497320204</v>
      </c>
      <c r="J24" s="251">
        <v>0.15</v>
      </c>
      <c r="K24" s="250">
        <f t="shared" si="16"/>
        <v>10.07916</v>
      </c>
      <c r="L24" s="294">
        <v>9.81</v>
      </c>
      <c r="M24" s="250">
        <f t="shared" si="17"/>
        <v>8.01819026797956</v>
      </c>
      <c r="N24" s="283">
        <f t="shared" si="18"/>
        <v>0.119328251580185</v>
      </c>
      <c r="O24" s="249"/>
      <c r="P24" s="250"/>
      <c r="Q24" s="250"/>
      <c r="R24" s="250"/>
      <c r="S24" s="252"/>
      <c r="T24" s="252"/>
      <c r="U24" s="252"/>
      <c r="V24" s="298">
        <f t="shared" si="21"/>
        <v>0.500834100983401</v>
      </c>
      <c r="W24" s="299">
        <f t="shared" si="22"/>
        <v>0.0838433383868508</v>
      </c>
      <c r="X24" s="299">
        <f t="shared" si="23"/>
        <v>0.145994309049564</v>
      </c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9"/>
      <c r="BK24" s="279"/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</row>
    <row r="25" ht="14.4" spans="1:77">
      <c r="A25" s="256"/>
      <c r="B25" s="255"/>
      <c r="C25" s="255">
        <v>89.99</v>
      </c>
      <c r="D25" s="251">
        <v>7.1</v>
      </c>
      <c r="E25" s="251">
        <f>270/1.13</f>
        <v>238.938053097345</v>
      </c>
      <c r="F25" s="250">
        <f t="shared" si="12"/>
        <v>33.653246915119</v>
      </c>
      <c r="G25" s="254">
        <v>40</v>
      </c>
      <c r="H25" s="250">
        <f t="shared" si="14"/>
        <v>5.63380281690141</v>
      </c>
      <c r="I25" s="250">
        <f t="shared" si="15"/>
        <v>39.2870497320204</v>
      </c>
      <c r="J25" s="251">
        <v>0.15</v>
      </c>
      <c r="K25" s="250">
        <f t="shared" si="16"/>
        <v>13.4985</v>
      </c>
      <c r="L25" s="294">
        <v>9.81</v>
      </c>
      <c r="M25" s="250">
        <f t="shared" si="17"/>
        <v>27.3944502679796</v>
      </c>
      <c r="N25" s="283">
        <f t="shared" si="18"/>
        <v>0.304416604822531</v>
      </c>
      <c r="O25" s="249"/>
      <c r="P25" s="250"/>
      <c r="Q25" s="250"/>
      <c r="R25" s="250"/>
      <c r="S25" s="252"/>
      <c r="T25" s="252"/>
      <c r="U25" s="252"/>
      <c r="V25" s="298">
        <f t="shared" si="21"/>
        <v>0.373966517558829</v>
      </c>
      <c r="W25" s="299">
        <f t="shared" si="22"/>
        <v>0.0626047651617003</v>
      </c>
      <c r="X25" s="299">
        <f t="shared" si="23"/>
        <v>0.10901211245694</v>
      </c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  <c r="AI25" s="279"/>
      <c r="AJ25" s="279"/>
      <c r="AK25" s="279"/>
      <c r="AL25" s="279"/>
      <c r="AM25" s="279"/>
      <c r="AN25" s="279"/>
      <c r="AO25" s="279"/>
      <c r="AP25" s="279"/>
      <c r="AQ25" s="279"/>
      <c r="AR25" s="279"/>
      <c r="AS25" s="279"/>
      <c r="AT25" s="279"/>
      <c r="AU25" s="279"/>
      <c r="AV25" s="279"/>
      <c r="AW25" s="279"/>
      <c r="AX25" s="279"/>
      <c r="AY25" s="279"/>
      <c r="AZ25" s="279"/>
      <c r="BA25" s="279"/>
      <c r="BB25" s="279"/>
      <c r="BC25" s="279"/>
      <c r="BD25" s="279"/>
      <c r="BE25" s="279"/>
      <c r="BF25" s="279"/>
      <c r="BG25" s="279"/>
      <c r="BH25" s="279"/>
      <c r="BI25" s="279"/>
      <c r="BJ25" s="279"/>
      <c r="BK25" s="279"/>
      <c r="BL25" s="279"/>
      <c r="BM25" s="279"/>
      <c r="BN25" s="279"/>
      <c r="BO25" s="279"/>
      <c r="BP25" s="279"/>
      <c r="BQ25" s="279"/>
      <c r="BR25" s="279"/>
      <c r="BS25" s="279"/>
      <c r="BT25" s="279"/>
      <c r="BU25" s="279"/>
      <c r="BV25" s="279"/>
      <c r="BW25" s="279"/>
      <c r="BX25" s="279"/>
      <c r="BY25" s="279"/>
    </row>
    <row r="26" ht="14.4" spans="1:77">
      <c r="A26" s="248" t="s">
        <v>17</v>
      </c>
      <c r="B26" s="258"/>
      <c r="C26" s="278">
        <v>59.99</v>
      </c>
      <c r="D26" s="251">
        <v>7.1</v>
      </c>
      <c r="E26" s="251">
        <f>93/1.13</f>
        <v>82.3008849557522</v>
      </c>
      <c r="F26" s="250">
        <f t="shared" si="12"/>
        <v>11.5916739374299</v>
      </c>
      <c r="G26" s="254">
        <v>20</v>
      </c>
      <c r="H26" s="250">
        <f t="shared" si="14"/>
        <v>2.8169014084507</v>
      </c>
      <c r="I26" s="250">
        <f t="shared" si="15"/>
        <v>14.4085753458806</v>
      </c>
      <c r="J26" s="251">
        <v>0.15</v>
      </c>
      <c r="K26" s="250">
        <f t="shared" si="16"/>
        <v>8.9985</v>
      </c>
      <c r="L26" s="255">
        <v>7.32</v>
      </c>
      <c r="M26" s="250">
        <f t="shared" si="17"/>
        <v>29.2629246541194</v>
      </c>
      <c r="N26" s="283">
        <f t="shared" si="18"/>
        <v>0.487796710353716</v>
      </c>
      <c r="O26" s="252"/>
      <c r="P26" s="250"/>
      <c r="Q26" s="250"/>
      <c r="R26" s="250"/>
      <c r="S26" s="252"/>
      <c r="T26" s="252"/>
      <c r="U26" s="255" t="s">
        <v>43</v>
      </c>
      <c r="V26" s="298">
        <f t="shared" si="21"/>
        <v>0.193226770085512</v>
      </c>
      <c r="W26" s="299">
        <f t="shared" si="22"/>
        <v>0.0469561828379847</v>
      </c>
      <c r="X26" s="299">
        <f t="shared" si="23"/>
        <v>0.122020336722787</v>
      </c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  <c r="AO26" s="279"/>
      <c r="AP26" s="279"/>
      <c r="AQ26" s="279"/>
      <c r="AR26" s="279"/>
      <c r="AS26" s="279"/>
      <c r="AT26" s="279"/>
      <c r="AU26" s="279"/>
      <c r="AV26" s="279"/>
      <c r="AW26" s="279"/>
      <c r="AX26" s="279"/>
      <c r="AY26" s="279"/>
      <c r="AZ26" s="279"/>
      <c r="BA26" s="279"/>
      <c r="BB26" s="279"/>
      <c r="BC26" s="279"/>
      <c r="BD26" s="279"/>
      <c r="BE26" s="279"/>
      <c r="BF26" s="279"/>
      <c r="BG26" s="279"/>
      <c r="BH26" s="279"/>
      <c r="BI26" s="279"/>
      <c r="BJ26" s="279"/>
      <c r="BK26" s="279"/>
      <c r="BL26" s="279"/>
      <c r="BM26" s="279"/>
      <c r="BN26" s="279"/>
      <c r="BO26" s="279"/>
      <c r="BP26" s="279"/>
      <c r="BQ26" s="279"/>
      <c r="BR26" s="279"/>
      <c r="BS26" s="279"/>
      <c r="BT26" s="279"/>
      <c r="BU26" s="279"/>
      <c r="BV26" s="279"/>
      <c r="BW26" s="279"/>
      <c r="BX26" s="279"/>
      <c r="BY26" s="279"/>
    </row>
    <row r="27" ht="14.4" spans="1:77">
      <c r="A27" s="248" t="s">
        <v>17</v>
      </c>
      <c r="B27" s="258"/>
      <c r="C27" s="278">
        <f>C26*0.8</f>
        <v>47.992</v>
      </c>
      <c r="D27" s="251">
        <v>7.1</v>
      </c>
      <c r="E27" s="251">
        <f>93/1.13</f>
        <v>82.3008849557522</v>
      </c>
      <c r="F27" s="250">
        <f t="shared" si="12"/>
        <v>11.5916739374299</v>
      </c>
      <c r="G27" s="254">
        <v>20</v>
      </c>
      <c r="H27" s="250">
        <f t="shared" si="14"/>
        <v>2.8169014084507</v>
      </c>
      <c r="I27" s="250">
        <f t="shared" si="15"/>
        <v>14.4085753458806</v>
      </c>
      <c r="J27" s="251">
        <v>0.15</v>
      </c>
      <c r="K27" s="250">
        <f t="shared" si="16"/>
        <v>7.1988</v>
      </c>
      <c r="L27" s="252">
        <v>7.32</v>
      </c>
      <c r="M27" s="250">
        <f t="shared" si="17"/>
        <v>19.0646246541194</v>
      </c>
      <c r="N27" s="283">
        <f t="shared" si="18"/>
        <v>0.397245887942145</v>
      </c>
      <c r="O27" s="252"/>
      <c r="P27" s="250"/>
      <c r="Q27" s="250"/>
      <c r="R27" s="250"/>
      <c r="S27" s="252"/>
      <c r="T27" s="252"/>
      <c r="U27" s="252" t="s">
        <v>43</v>
      </c>
      <c r="V27" s="298">
        <f t="shared" si="21"/>
        <v>0.241533462606891</v>
      </c>
      <c r="W27" s="299">
        <f t="shared" si="22"/>
        <v>0.0586952285474809</v>
      </c>
      <c r="X27" s="299">
        <f t="shared" si="23"/>
        <v>0.152525420903484</v>
      </c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9"/>
      <c r="BK27" s="279"/>
      <c r="BL27" s="279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</row>
    <row r="28" ht="14.4" spans="1:77">
      <c r="A28" s="248" t="s">
        <v>17</v>
      </c>
      <c r="B28" s="258"/>
      <c r="C28" s="278">
        <f>C26*0.7</f>
        <v>41.993</v>
      </c>
      <c r="D28" s="251">
        <v>7.1</v>
      </c>
      <c r="E28" s="251">
        <f>93/1.13</f>
        <v>82.3008849557522</v>
      </c>
      <c r="F28" s="250">
        <f t="shared" si="12"/>
        <v>11.5916739374299</v>
      </c>
      <c r="G28" s="254">
        <v>20</v>
      </c>
      <c r="H28" s="250">
        <f t="shared" si="14"/>
        <v>2.8169014084507</v>
      </c>
      <c r="I28" s="250">
        <f t="shared" si="15"/>
        <v>14.4085753458806</v>
      </c>
      <c r="J28" s="251">
        <v>0.15</v>
      </c>
      <c r="K28" s="250">
        <f t="shared" si="16"/>
        <v>6.29895</v>
      </c>
      <c r="L28" s="252">
        <v>7.32</v>
      </c>
      <c r="M28" s="250">
        <f t="shared" si="17"/>
        <v>13.9654746541194</v>
      </c>
      <c r="N28" s="283">
        <f t="shared" si="18"/>
        <v>0.332566729076737</v>
      </c>
      <c r="O28" s="252"/>
      <c r="P28" s="250"/>
      <c r="Q28" s="250"/>
      <c r="R28" s="250"/>
      <c r="S28" s="252"/>
      <c r="T28" s="252"/>
      <c r="U28" s="252" t="s">
        <v>43</v>
      </c>
      <c r="V28" s="298">
        <f t="shared" si="21"/>
        <v>0.276038242979304</v>
      </c>
      <c r="W28" s="299">
        <f t="shared" si="22"/>
        <v>0.0670802611971211</v>
      </c>
      <c r="X28" s="299">
        <f t="shared" si="23"/>
        <v>0.174314766746839</v>
      </c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79"/>
      <c r="AM28" s="279"/>
      <c r="AN28" s="279"/>
      <c r="AO28" s="279"/>
      <c r="AP28" s="279"/>
      <c r="AQ28" s="279"/>
      <c r="AR28" s="279"/>
      <c r="AS28" s="279"/>
      <c r="AT28" s="279"/>
      <c r="AU28" s="279"/>
      <c r="AV28" s="279"/>
      <c r="AW28" s="279"/>
      <c r="AX28" s="279"/>
      <c r="AY28" s="279"/>
      <c r="AZ28" s="279"/>
      <c r="BA28" s="279"/>
      <c r="BB28" s="279"/>
      <c r="BC28" s="279"/>
      <c r="BD28" s="279"/>
      <c r="BE28" s="279"/>
      <c r="BF28" s="279"/>
      <c r="BG28" s="279"/>
      <c r="BH28" s="279"/>
      <c r="BI28" s="279"/>
      <c r="BJ28" s="279"/>
      <c r="BK28" s="279"/>
      <c r="BL28" s="279"/>
      <c r="BM28" s="279"/>
      <c r="BN28" s="279"/>
      <c r="BO28" s="279"/>
      <c r="BP28" s="279"/>
      <c r="BQ28" s="279"/>
      <c r="BR28" s="279"/>
      <c r="BS28" s="279"/>
      <c r="BT28" s="279"/>
      <c r="BU28" s="279"/>
      <c r="BV28" s="279"/>
      <c r="BW28" s="279"/>
      <c r="BX28" s="279"/>
      <c r="BY28" s="279"/>
    </row>
    <row r="29" ht="14.4" spans="1:77">
      <c r="A29" s="248" t="s">
        <v>17</v>
      </c>
      <c r="B29" s="258"/>
      <c r="C29" s="278">
        <v>18.99</v>
      </c>
      <c r="D29" s="251">
        <v>7.1</v>
      </c>
      <c r="E29" s="251">
        <f>15.5/1.13</f>
        <v>13.716814159292</v>
      </c>
      <c r="F29" s="250">
        <f t="shared" si="12"/>
        <v>1.93194565623832</v>
      </c>
      <c r="G29" s="254">
        <v>6</v>
      </c>
      <c r="H29" s="250">
        <f t="shared" si="14"/>
        <v>0.845070422535211</v>
      </c>
      <c r="I29" s="250">
        <f t="shared" si="15"/>
        <v>2.77701607877353</v>
      </c>
      <c r="J29" s="251">
        <v>0.15</v>
      </c>
      <c r="K29" s="250">
        <f t="shared" si="16"/>
        <v>2.8485</v>
      </c>
      <c r="L29" s="255">
        <v>5.37</v>
      </c>
      <c r="M29" s="250">
        <f t="shared" si="17"/>
        <v>7.99448392122647</v>
      </c>
      <c r="N29" s="283">
        <f t="shared" si="18"/>
        <v>0.420983882107766</v>
      </c>
      <c r="O29" s="252"/>
      <c r="P29" s="250"/>
      <c r="Q29" s="250"/>
      <c r="R29" s="250"/>
      <c r="S29" s="252"/>
      <c r="T29" s="252"/>
      <c r="U29" s="255" t="s">
        <v>43</v>
      </c>
      <c r="V29" s="298">
        <f t="shared" si="21"/>
        <v>0.101734895009917</v>
      </c>
      <c r="W29" s="299">
        <f t="shared" si="22"/>
        <v>0.0445008121398216</v>
      </c>
      <c r="X29" s="299">
        <f t="shared" si="23"/>
        <v>0.282780410742496</v>
      </c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279"/>
      <c r="AK29" s="279"/>
      <c r="AL29" s="279"/>
      <c r="AM29" s="279"/>
      <c r="AN29" s="279"/>
      <c r="AO29" s="279"/>
      <c r="AP29" s="279"/>
      <c r="AQ29" s="279"/>
      <c r="AR29" s="279"/>
      <c r="AS29" s="279"/>
      <c r="AT29" s="279"/>
      <c r="AU29" s="279"/>
      <c r="AV29" s="279"/>
      <c r="AW29" s="279"/>
      <c r="AX29" s="279"/>
      <c r="AY29" s="279"/>
      <c r="AZ29" s="279"/>
      <c r="BA29" s="279"/>
      <c r="BB29" s="279"/>
      <c r="BC29" s="279"/>
      <c r="BD29" s="279"/>
      <c r="BE29" s="279"/>
      <c r="BF29" s="279"/>
      <c r="BG29" s="279"/>
      <c r="BH29" s="279"/>
      <c r="BI29" s="279"/>
      <c r="BJ29" s="279"/>
      <c r="BK29" s="279"/>
      <c r="BL29" s="279"/>
      <c r="BM29" s="279"/>
      <c r="BN29" s="279"/>
      <c r="BO29" s="279"/>
      <c r="BP29" s="279"/>
      <c r="BQ29" s="279"/>
      <c r="BR29" s="279"/>
      <c r="BS29" s="279"/>
      <c r="BT29" s="279"/>
      <c r="BU29" s="279"/>
      <c r="BV29" s="279"/>
      <c r="BW29" s="279"/>
      <c r="BX29" s="279"/>
      <c r="BY29" s="279"/>
    </row>
    <row r="30" ht="14.4" spans="1:77">
      <c r="A30" s="248" t="s">
        <v>17</v>
      </c>
      <c r="B30" s="258"/>
      <c r="C30" s="278">
        <f>C29*0.8</f>
        <v>15.192</v>
      </c>
      <c r="D30" s="251">
        <v>7.1</v>
      </c>
      <c r="E30" s="251">
        <f>15.5/1.13</f>
        <v>13.716814159292</v>
      </c>
      <c r="F30" s="250">
        <f t="shared" si="12"/>
        <v>1.93194565623832</v>
      </c>
      <c r="G30" s="254">
        <v>6</v>
      </c>
      <c r="H30" s="250">
        <f t="shared" si="14"/>
        <v>0.845070422535211</v>
      </c>
      <c r="I30" s="250">
        <f t="shared" si="15"/>
        <v>2.77701607877353</v>
      </c>
      <c r="J30" s="251">
        <v>0.15</v>
      </c>
      <c r="K30" s="250">
        <f t="shared" si="16"/>
        <v>2.2788</v>
      </c>
      <c r="L30" s="252">
        <v>5.37</v>
      </c>
      <c r="M30" s="250">
        <f t="shared" si="17"/>
        <v>4.76618392122647</v>
      </c>
      <c r="N30" s="283">
        <f t="shared" si="18"/>
        <v>0.313729852634707</v>
      </c>
      <c r="O30" s="252"/>
      <c r="P30" s="250"/>
      <c r="Q30" s="250"/>
      <c r="R30" s="250"/>
      <c r="S30" s="252"/>
      <c r="T30" s="252"/>
      <c r="U30" s="252" t="s">
        <v>43</v>
      </c>
      <c r="V30" s="298">
        <f t="shared" si="21"/>
        <v>0.127168618762396</v>
      </c>
      <c r="W30" s="299">
        <f t="shared" si="22"/>
        <v>0.0556260151747769</v>
      </c>
      <c r="X30" s="299">
        <f t="shared" si="23"/>
        <v>0.35347551342812</v>
      </c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  <c r="AO30" s="279"/>
      <c r="AP30" s="279"/>
      <c r="AQ30" s="279"/>
      <c r="AR30" s="279"/>
      <c r="AS30" s="279"/>
      <c r="AT30" s="279"/>
      <c r="AU30" s="279"/>
      <c r="AV30" s="279"/>
      <c r="AW30" s="279"/>
      <c r="AX30" s="279"/>
      <c r="AY30" s="279"/>
      <c r="AZ30" s="279"/>
      <c r="BA30" s="279"/>
      <c r="BB30" s="279"/>
      <c r="BC30" s="279"/>
      <c r="BD30" s="279"/>
      <c r="BE30" s="279"/>
      <c r="BF30" s="279"/>
      <c r="BG30" s="279"/>
      <c r="BH30" s="279"/>
      <c r="BI30" s="279"/>
      <c r="BJ30" s="279"/>
      <c r="BK30" s="279"/>
      <c r="BL30" s="279"/>
      <c r="BM30" s="279"/>
      <c r="BN30" s="279"/>
      <c r="BO30" s="279"/>
      <c r="BP30" s="279"/>
      <c r="BQ30" s="279"/>
      <c r="BR30" s="279"/>
      <c r="BS30" s="279"/>
      <c r="BT30" s="279"/>
      <c r="BU30" s="279"/>
      <c r="BV30" s="279"/>
      <c r="BW30" s="279"/>
      <c r="BX30" s="279"/>
      <c r="BY30" s="279"/>
    </row>
    <row r="31" ht="14.4" spans="1:77">
      <c r="A31" s="248" t="s">
        <v>17</v>
      </c>
      <c r="B31" s="258"/>
      <c r="C31" s="278">
        <f>C29*0.7</f>
        <v>13.293</v>
      </c>
      <c r="D31" s="251">
        <v>7.1</v>
      </c>
      <c r="E31" s="251">
        <f>15.5/1.13</f>
        <v>13.716814159292</v>
      </c>
      <c r="F31" s="250">
        <f t="shared" si="12"/>
        <v>1.93194565623832</v>
      </c>
      <c r="G31" s="254">
        <v>6</v>
      </c>
      <c r="H31" s="250">
        <f t="shared" si="14"/>
        <v>0.845070422535211</v>
      </c>
      <c r="I31" s="250">
        <f t="shared" si="15"/>
        <v>2.77701607877353</v>
      </c>
      <c r="J31" s="251">
        <v>0.15</v>
      </c>
      <c r="K31" s="250">
        <f t="shared" si="16"/>
        <v>1.99395</v>
      </c>
      <c r="L31" s="252">
        <v>5.37</v>
      </c>
      <c r="M31" s="250">
        <f t="shared" si="17"/>
        <v>3.15203392122647</v>
      </c>
      <c r="N31" s="283">
        <f t="shared" si="18"/>
        <v>0.237119831582523</v>
      </c>
      <c r="O31" s="252"/>
      <c r="P31" s="250"/>
      <c r="Q31" s="250"/>
      <c r="R31" s="250"/>
      <c r="S31" s="252"/>
      <c r="T31" s="252"/>
      <c r="U31" s="252" t="s">
        <v>43</v>
      </c>
      <c r="V31" s="298">
        <f t="shared" si="21"/>
        <v>0.145335564299881</v>
      </c>
      <c r="W31" s="299">
        <f t="shared" si="22"/>
        <v>0.0635725887711737</v>
      </c>
      <c r="X31" s="299">
        <f t="shared" si="23"/>
        <v>0.403972015346423</v>
      </c>
      <c r="Y31" s="279"/>
      <c r="Z31" s="279"/>
      <c r="AA31" s="279"/>
      <c r="AB31" s="279"/>
      <c r="AC31" s="279"/>
      <c r="AD31" s="279"/>
      <c r="AE31" s="279"/>
      <c r="AF31" s="279"/>
      <c r="AG31" s="279"/>
      <c r="AH31" s="279"/>
      <c r="AI31" s="279"/>
      <c r="AJ31" s="279"/>
      <c r="AK31" s="279"/>
      <c r="AL31" s="279"/>
      <c r="AM31" s="279"/>
      <c r="AN31" s="279"/>
      <c r="AO31" s="279"/>
      <c r="AP31" s="279"/>
      <c r="AQ31" s="279"/>
      <c r="AR31" s="279"/>
      <c r="AS31" s="279"/>
      <c r="AT31" s="279"/>
      <c r="AU31" s="279"/>
      <c r="AV31" s="279"/>
      <c r="AW31" s="279"/>
      <c r="AX31" s="279"/>
      <c r="AY31" s="279"/>
      <c r="AZ31" s="279"/>
      <c r="BA31" s="279"/>
      <c r="BB31" s="279"/>
      <c r="BC31" s="279"/>
      <c r="BD31" s="279"/>
      <c r="BE31" s="279"/>
      <c r="BF31" s="279"/>
      <c r="BG31" s="279"/>
      <c r="BH31" s="279"/>
      <c r="BI31" s="279"/>
      <c r="BJ31" s="279"/>
      <c r="BK31" s="279"/>
      <c r="BL31" s="279"/>
      <c r="BM31" s="279"/>
      <c r="BN31" s="279"/>
      <c r="BO31" s="279"/>
      <c r="BP31" s="279"/>
      <c r="BQ31" s="279"/>
      <c r="BR31" s="279"/>
      <c r="BS31" s="279"/>
      <c r="BT31" s="279"/>
      <c r="BU31" s="279"/>
      <c r="BV31" s="279"/>
      <c r="BW31" s="279"/>
      <c r="BX31" s="279"/>
      <c r="BY31" s="279"/>
    </row>
    <row r="32" ht="14.4" spans="1:77">
      <c r="A32" s="248" t="s">
        <v>17</v>
      </c>
      <c r="B32" s="258"/>
      <c r="C32" s="255">
        <v>49.99</v>
      </c>
      <c r="D32" s="251">
        <v>7.1</v>
      </c>
      <c r="E32" s="251">
        <f>147/1.13</f>
        <v>130.088495575221</v>
      </c>
      <c r="F32" s="250">
        <f t="shared" si="12"/>
        <v>18.3223233204537</v>
      </c>
      <c r="G32" s="254">
        <v>10</v>
      </c>
      <c r="H32" s="250">
        <f t="shared" si="14"/>
        <v>1.40845070422535</v>
      </c>
      <c r="I32" s="250">
        <f t="shared" si="15"/>
        <v>19.7307740246791</v>
      </c>
      <c r="J32" s="251">
        <v>0.15</v>
      </c>
      <c r="K32" s="250">
        <f t="shared" si="16"/>
        <v>7.4985</v>
      </c>
      <c r="L32" s="255">
        <v>5.29</v>
      </c>
      <c r="M32" s="250">
        <f t="shared" si="17"/>
        <v>17.470725975321</v>
      </c>
      <c r="N32" s="283">
        <f t="shared" si="18"/>
        <v>0.349484416389697</v>
      </c>
      <c r="O32" s="252"/>
      <c r="P32" s="250"/>
      <c r="Q32" s="250"/>
      <c r="R32" s="250"/>
      <c r="S32" s="252"/>
      <c r="T32" s="252"/>
      <c r="U32" s="252"/>
      <c r="V32" s="298">
        <f t="shared" si="21"/>
        <v>0.366519770363147</v>
      </c>
      <c r="W32" s="299">
        <f t="shared" si="22"/>
        <v>0.0281746490143099</v>
      </c>
      <c r="X32" s="299">
        <f t="shared" si="23"/>
        <v>0.105821164232847</v>
      </c>
      <c r="Y32" s="279"/>
      <c r="Z32" s="279"/>
      <c r="AA32" s="279"/>
      <c r="AB32" s="279"/>
      <c r="AC32" s="279"/>
      <c r="AD32" s="279"/>
      <c r="AE32" s="279"/>
      <c r="AF32" s="279"/>
      <c r="AG32" s="279"/>
      <c r="AH32" s="279"/>
      <c r="AI32" s="279"/>
      <c r="AJ32" s="279"/>
      <c r="AK32" s="279"/>
      <c r="AL32" s="279"/>
      <c r="AM32" s="279"/>
      <c r="AN32" s="279"/>
      <c r="AO32" s="279"/>
      <c r="AP32" s="279"/>
      <c r="AQ32" s="279"/>
      <c r="AR32" s="279"/>
      <c r="AS32" s="279"/>
      <c r="AT32" s="279"/>
      <c r="AU32" s="279"/>
      <c r="AV32" s="279"/>
      <c r="AW32" s="279"/>
      <c r="AX32" s="279"/>
      <c r="AY32" s="279"/>
      <c r="AZ32" s="279"/>
      <c r="BA32" s="279"/>
      <c r="BB32" s="279"/>
      <c r="BC32" s="279"/>
      <c r="BD32" s="279"/>
      <c r="BE32" s="279"/>
      <c r="BF32" s="279"/>
      <c r="BG32" s="279"/>
      <c r="BH32" s="279"/>
      <c r="BI32" s="279"/>
      <c r="BJ32" s="279"/>
      <c r="BK32" s="279"/>
      <c r="BL32" s="279"/>
      <c r="BM32" s="279"/>
      <c r="BN32" s="279"/>
      <c r="BO32" s="279"/>
      <c r="BP32" s="279"/>
      <c r="BQ32" s="279"/>
      <c r="BR32" s="279"/>
      <c r="BS32" s="279"/>
      <c r="BT32" s="279"/>
      <c r="BU32" s="279"/>
      <c r="BV32" s="279"/>
      <c r="BW32" s="279"/>
      <c r="BX32" s="279"/>
      <c r="BY32" s="279"/>
    </row>
    <row r="33" ht="14.4" spans="1:77">
      <c r="A33" s="248" t="s">
        <v>17</v>
      </c>
      <c r="B33" s="258"/>
      <c r="C33" s="253">
        <v>39.99</v>
      </c>
      <c r="D33" s="251">
        <v>7.1</v>
      </c>
      <c r="E33" s="251">
        <v>71</v>
      </c>
      <c r="F33" s="250">
        <f t="shared" si="12"/>
        <v>10</v>
      </c>
      <c r="G33" s="254">
        <v>18</v>
      </c>
      <c r="H33" s="250">
        <f t="shared" si="14"/>
        <v>2.53521126760563</v>
      </c>
      <c r="I33" s="250">
        <f t="shared" si="15"/>
        <v>12.5352112676056</v>
      </c>
      <c r="J33" s="251">
        <v>0.15</v>
      </c>
      <c r="K33" s="250">
        <f t="shared" si="16"/>
        <v>5.9985</v>
      </c>
      <c r="L33" s="250">
        <v>6</v>
      </c>
      <c r="M33" s="250">
        <f t="shared" si="17"/>
        <v>15.4562887323944</v>
      </c>
      <c r="N33" s="283">
        <f t="shared" si="18"/>
        <v>0.386503844270927</v>
      </c>
      <c r="O33" s="249"/>
      <c r="P33" s="250"/>
      <c r="Q33" s="250"/>
      <c r="R33" s="250"/>
      <c r="S33" s="279"/>
      <c r="T33" s="279"/>
      <c r="U33" s="279"/>
      <c r="V33" s="279"/>
      <c r="W33" s="299"/>
      <c r="X33" s="299"/>
      <c r="Y33" s="279"/>
      <c r="Z33" s="279"/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9"/>
      <c r="BK33" s="279"/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</row>
    <row r="34" ht="13.8" spans="1:77">
      <c r="A34" s="279"/>
      <c r="B34" s="279"/>
      <c r="C34" s="279"/>
      <c r="D34" s="280"/>
      <c r="E34" s="280"/>
      <c r="F34" s="279"/>
      <c r="G34" s="280"/>
      <c r="H34" s="279"/>
      <c r="I34" s="279"/>
      <c r="J34" s="280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99"/>
      <c r="X34" s="29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79"/>
      <c r="AM34" s="279"/>
      <c r="AN34" s="279"/>
      <c r="AO34" s="279"/>
      <c r="AP34" s="279"/>
      <c r="AQ34" s="279"/>
      <c r="AR34" s="279"/>
      <c r="AS34" s="279"/>
      <c r="AT34" s="279"/>
      <c r="AU34" s="279"/>
      <c r="AV34" s="279"/>
      <c r="AW34" s="279"/>
      <c r="AX34" s="279"/>
      <c r="AY34" s="279"/>
      <c r="AZ34" s="279"/>
      <c r="BA34" s="279"/>
      <c r="BB34" s="279"/>
      <c r="BC34" s="279"/>
      <c r="BD34" s="279"/>
      <c r="BE34" s="279"/>
      <c r="BF34" s="279"/>
      <c r="BG34" s="279"/>
      <c r="BH34" s="279"/>
      <c r="BI34" s="279"/>
      <c r="BJ34" s="279"/>
      <c r="BK34" s="279"/>
      <c r="BL34" s="279"/>
      <c r="BM34" s="279"/>
      <c r="BN34" s="279"/>
      <c r="BO34" s="279"/>
      <c r="BP34" s="279"/>
      <c r="BQ34" s="279"/>
      <c r="BR34" s="279"/>
      <c r="BS34" s="279"/>
      <c r="BT34" s="279"/>
      <c r="BU34" s="279"/>
      <c r="BV34" s="279"/>
      <c r="BW34" s="279"/>
      <c r="BX34" s="279"/>
      <c r="BY34" s="279"/>
    </row>
    <row r="35" ht="13.8" spans="1:77">
      <c r="A35" s="279"/>
      <c r="B35" s="279"/>
      <c r="C35" s="64"/>
      <c r="D35" s="280"/>
      <c r="E35" s="7"/>
      <c r="F35" s="279"/>
      <c r="G35" s="280"/>
      <c r="H35" s="279"/>
      <c r="I35" s="279"/>
      <c r="J35" s="280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99"/>
      <c r="X35" s="29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  <c r="AO35" s="279"/>
      <c r="AP35" s="279"/>
      <c r="AQ35" s="279"/>
      <c r="AR35" s="279"/>
      <c r="AS35" s="279"/>
      <c r="AT35" s="279"/>
      <c r="AU35" s="279"/>
      <c r="AV35" s="279"/>
      <c r="AW35" s="279"/>
      <c r="AX35" s="279"/>
      <c r="AY35" s="279"/>
      <c r="AZ35" s="279"/>
      <c r="BA35" s="279"/>
      <c r="BB35" s="279"/>
      <c r="BC35" s="279"/>
      <c r="BD35" s="279"/>
      <c r="BE35" s="279"/>
      <c r="BF35" s="279"/>
      <c r="BG35" s="279"/>
      <c r="BH35" s="279"/>
      <c r="BI35" s="279"/>
      <c r="BJ35" s="279"/>
      <c r="BK35" s="279"/>
      <c r="BL35" s="279"/>
      <c r="BM35" s="279"/>
      <c r="BN35" s="279"/>
      <c r="BO35" s="279"/>
      <c r="BP35" s="279"/>
      <c r="BQ35" s="279"/>
      <c r="BR35" s="279"/>
      <c r="BS35" s="279"/>
      <c r="BT35" s="279"/>
      <c r="BU35" s="279"/>
      <c r="BV35" s="279"/>
      <c r="BW35" s="279"/>
      <c r="BX35" s="279"/>
      <c r="BY35" s="279"/>
    </row>
    <row r="36" ht="13.8" spans="1:77">
      <c r="A36" s="279"/>
      <c r="B36" s="279"/>
      <c r="C36" s="279"/>
      <c r="D36" s="280"/>
      <c r="E36" s="280"/>
      <c r="F36" s="279"/>
      <c r="G36" s="280"/>
      <c r="H36" s="279"/>
      <c r="I36" s="279"/>
      <c r="J36" s="280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99"/>
      <c r="X36" s="299"/>
      <c r="Y36" s="279"/>
      <c r="Z36" s="279"/>
      <c r="AA36" s="279"/>
      <c r="AB36" s="279"/>
      <c r="AC36" s="279"/>
      <c r="AD36" s="279"/>
      <c r="AE36" s="279"/>
      <c r="AF36" s="279"/>
      <c r="AG36" s="279"/>
      <c r="AH36" s="279"/>
      <c r="AI36" s="279"/>
      <c r="AJ36" s="279"/>
      <c r="AK36" s="279"/>
      <c r="AL36" s="279"/>
      <c r="AM36" s="279"/>
      <c r="AN36" s="279"/>
      <c r="AO36" s="279"/>
      <c r="AP36" s="279"/>
      <c r="AQ36" s="279"/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79"/>
      <c r="BK36" s="279"/>
      <c r="BL36" s="279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</row>
    <row r="37" ht="13.8" spans="1:77">
      <c r="A37" s="279"/>
      <c r="B37" s="279"/>
      <c r="C37" s="279"/>
      <c r="D37" s="280"/>
      <c r="E37" s="280"/>
      <c r="F37" s="279"/>
      <c r="G37" s="280"/>
      <c r="H37" s="279"/>
      <c r="I37" s="279"/>
      <c r="J37" s="280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99"/>
      <c r="X37" s="299"/>
      <c r="Y37" s="279"/>
      <c r="Z37" s="279"/>
      <c r="AA37" s="279"/>
      <c r="AB37" s="279"/>
      <c r="AC37" s="279"/>
      <c r="AD37" s="279"/>
      <c r="AE37" s="279"/>
      <c r="AF37" s="279"/>
      <c r="AG37" s="279"/>
      <c r="AH37" s="279"/>
      <c r="AI37" s="279"/>
      <c r="AJ37" s="279"/>
      <c r="AK37" s="279"/>
      <c r="AL37" s="279"/>
      <c r="AM37" s="279"/>
      <c r="AN37" s="279"/>
      <c r="AO37" s="279"/>
      <c r="AP37" s="279"/>
      <c r="AQ37" s="279"/>
      <c r="AR37" s="279"/>
      <c r="AS37" s="279"/>
      <c r="AT37" s="279"/>
      <c r="AU37" s="279"/>
      <c r="AV37" s="279"/>
      <c r="AW37" s="279"/>
      <c r="AX37" s="279"/>
      <c r="AY37" s="279"/>
      <c r="AZ37" s="279"/>
      <c r="BA37" s="279"/>
      <c r="BB37" s="279"/>
      <c r="BC37" s="279"/>
      <c r="BD37" s="279"/>
      <c r="BE37" s="279"/>
      <c r="BF37" s="279"/>
      <c r="BG37" s="279"/>
      <c r="BH37" s="279"/>
      <c r="BI37" s="279"/>
      <c r="BJ37" s="279"/>
      <c r="BK37" s="279"/>
      <c r="BL37" s="279"/>
      <c r="BM37" s="279"/>
      <c r="BN37" s="279"/>
      <c r="BO37" s="279"/>
      <c r="BP37" s="279"/>
      <c r="BQ37" s="279"/>
      <c r="BR37" s="279"/>
      <c r="BS37" s="279"/>
      <c r="BT37" s="279"/>
      <c r="BU37" s="279"/>
      <c r="BV37" s="279"/>
      <c r="BW37" s="279"/>
      <c r="BX37" s="279"/>
      <c r="BY37" s="279"/>
    </row>
    <row r="38" ht="13.8" spans="1:77">
      <c r="A38" s="279"/>
      <c r="B38" s="279"/>
      <c r="C38" s="279"/>
      <c r="D38" s="280"/>
      <c r="E38" s="280"/>
      <c r="F38" s="279"/>
      <c r="G38" s="280"/>
      <c r="H38" s="279"/>
      <c r="I38" s="279"/>
      <c r="J38" s="280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99"/>
      <c r="X38" s="299"/>
      <c r="Y38" s="279"/>
      <c r="Z38" s="279"/>
      <c r="AA38" s="279"/>
      <c r="AB38" s="279"/>
      <c r="AC38" s="279"/>
      <c r="AD38" s="279"/>
      <c r="AE38" s="279"/>
      <c r="AF38" s="279"/>
      <c r="AG38" s="279"/>
      <c r="AH38" s="279"/>
      <c r="AI38" s="279"/>
      <c r="AJ38" s="279"/>
      <c r="AK38" s="279"/>
      <c r="AL38" s="279"/>
      <c r="AM38" s="279"/>
      <c r="AN38" s="279"/>
      <c r="AO38" s="279"/>
      <c r="AP38" s="279"/>
      <c r="AQ38" s="279"/>
      <c r="AR38" s="279"/>
      <c r="AS38" s="279"/>
      <c r="AT38" s="279"/>
      <c r="AU38" s="279"/>
      <c r="AV38" s="279"/>
      <c r="AW38" s="279"/>
      <c r="AX38" s="279"/>
      <c r="AY38" s="279"/>
      <c r="AZ38" s="279"/>
      <c r="BA38" s="279"/>
      <c r="BB38" s="279"/>
      <c r="BC38" s="279"/>
      <c r="BD38" s="279"/>
      <c r="BE38" s="279"/>
      <c r="BF38" s="279"/>
      <c r="BG38" s="279"/>
      <c r="BH38" s="279"/>
      <c r="BI38" s="279"/>
      <c r="BJ38" s="279"/>
      <c r="BK38" s="279"/>
      <c r="BL38" s="279"/>
      <c r="BM38" s="279"/>
      <c r="BN38" s="279"/>
      <c r="BO38" s="279"/>
      <c r="BP38" s="279"/>
      <c r="BQ38" s="279"/>
      <c r="BR38" s="279"/>
      <c r="BS38" s="279"/>
      <c r="BT38" s="279"/>
      <c r="BU38" s="279"/>
      <c r="BV38" s="279"/>
      <c r="BW38" s="279"/>
      <c r="BX38" s="279"/>
      <c r="BY38" s="279"/>
    </row>
    <row r="39" ht="13.8" spans="1:77">
      <c r="A39" s="279"/>
      <c r="B39" s="279"/>
      <c r="C39" s="279"/>
      <c r="D39" s="280"/>
      <c r="E39" s="280"/>
      <c r="F39" s="279"/>
      <c r="G39" s="64"/>
      <c r="H39" s="279"/>
      <c r="I39" s="279"/>
      <c r="J39" s="280"/>
      <c r="K39" s="279"/>
      <c r="L39" s="279"/>
      <c r="M39" s="279"/>
      <c r="N39" s="279"/>
      <c r="O39" s="279"/>
      <c r="P39" s="295"/>
      <c r="Q39" s="279"/>
      <c r="R39" s="279"/>
      <c r="S39" s="279"/>
      <c r="T39" s="279"/>
      <c r="U39" s="279"/>
      <c r="V39" s="279"/>
      <c r="W39" s="299"/>
      <c r="X39" s="29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79"/>
      <c r="BA39" s="279"/>
      <c r="BB39" s="279"/>
      <c r="BC39" s="279"/>
      <c r="BD39" s="279"/>
      <c r="BE39" s="279"/>
      <c r="BF39" s="279"/>
      <c r="BG39" s="279"/>
      <c r="BH39" s="279"/>
      <c r="BI39" s="279"/>
      <c r="BJ39" s="279"/>
      <c r="BK39" s="279"/>
      <c r="BL39" s="279"/>
      <c r="BM39" s="279"/>
      <c r="BN39" s="279"/>
      <c r="BO39" s="279"/>
      <c r="BP39" s="279"/>
      <c r="BQ39" s="279"/>
      <c r="BR39" s="279"/>
      <c r="BS39" s="279"/>
      <c r="BT39" s="279"/>
      <c r="BU39" s="279"/>
      <c r="BV39" s="279"/>
      <c r="BW39" s="279"/>
      <c r="BX39" s="279"/>
      <c r="BY39" s="279"/>
    </row>
    <row r="40" ht="13.8" spans="1:77">
      <c r="A40" s="279"/>
      <c r="B40" s="279"/>
      <c r="C40" s="279"/>
      <c r="D40" s="280"/>
      <c r="E40" s="280"/>
      <c r="F40" s="279"/>
      <c r="G40" s="280"/>
      <c r="H40" s="279"/>
      <c r="I40" s="279"/>
      <c r="J40" s="280"/>
      <c r="K40" s="279"/>
      <c r="L40" s="279"/>
      <c r="M40" s="279"/>
      <c r="N40" s="279"/>
      <c r="O40" s="279"/>
      <c r="P40" s="295"/>
      <c r="Q40" s="279"/>
      <c r="R40" s="279"/>
      <c r="S40" s="279"/>
      <c r="T40" s="279"/>
      <c r="U40" s="279"/>
      <c r="V40" s="279"/>
      <c r="W40" s="299"/>
      <c r="X40" s="299"/>
      <c r="Y40" s="279"/>
      <c r="Z40" s="279"/>
      <c r="AA40" s="279"/>
      <c r="AB40" s="279"/>
      <c r="AC40" s="279"/>
      <c r="AD40" s="279"/>
      <c r="AE40" s="279"/>
      <c r="AF40" s="279"/>
      <c r="AG40" s="279"/>
      <c r="AH40" s="279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279"/>
      <c r="BD40" s="279"/>
      <c r="BE40" s="279"/>
      <c r="BF40" s="279"/>
      <c r="BG40" s="279"/>
      <c r="BH40" s="279"/>
      <c r="BI40" s="279"/>
      <c r="BJ40" s="27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</row>
    <row r="41" ht="13.8" spans="1:77">
      <c r="A41" s="279"/>
      <c r="B41" s="279"/>
      <c r="C41" s="279"/>
      <c r="D41" s="280"/>
      <c r="E41" s="280"/>
      <c r="F41" s="279"/>
      <c r="G41" s="7"/>
      <c r="H41" s="279"/>
      <c r="I41" s="279"/>
      <c r="J41" s="280"/>
      <c r="K41" s="279"/>
      <c r="L41" s="279"/>
      <c r="M41" s="279"/>
      <c r="N41" s="279"/>
      <c r="O41" s="279"/>
      <c r="P41" s="295"/>
      <c r="Q41" s="279"/>
      <c r="R41" s="279"/>
      <c r="S41" s="279"/>
      <c r="T41" s="279"/>
      <c r="U41" s="279"/>
      <c r="V41" s="279"/>
      <c r="W41" s="299"/>
      <c r="X41" s="299"/>
      <c r="Y41" s="279"/>
      <c r="Z41" s="279"/>
      <c r="AA41" s="279"/>
      <c r="AB41" s="279"/>
      <c r="AC41" s="279"/>
      <c r="AD41" s="279"/>
      <c r="AE41" s="279"/>
      <c r="AF41" s="279"/>
      <c r="AG41" s="27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7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</row>
    <row r="42" ht="13.8" spans="1:77">
      <c r="A42" s="279"/>
      <c r="B42" s="279"/>
      <c r="C42" s="279"/>
      <c r="D42" s="280"/>
      <c r="E42" s="280"/>
      <c r="F42" s="279"/>
      <c r="G42" s="280"/>
      <c r="H42" s="279"/>
      <c r="I42" s="279"/>
      <c r="J42" s="280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99"/>
      <c r="X42" s="299"/>
      <c r="Y42" s="279"/>
      <c r="Z42" s="279"/>
      <c r="AA42" s="279"/>
      <c r="AB42" s="279"/>
      <c r="AC42" s="279"/>
      <c r="AD42" s="279"/>
      <c r="AE42" s="279"/>
      <c r="AF42" s="279"/>
      <c r="AG42" s="279"/>
      <c r="AH42" s="279"/>
      <c r="AI42" s="279"/>
      <c r="AJ42" s="279"/>
      <c r="AK42" s="279"/>
      <c r="AL42" s="279"/>
      <c r="AM42" s="279"/>
      <c r="AN42" s="279"/>
      <c r="AO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7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</row>
    <row r="43" ht="13.8" spans="1:77">
      <c r="A43" s="279"/>
      <c r="B43" s="279"/>
      <c r="C43" s="279"/>
      <c r="D43" s="280"/>
      <c r="E43" s="280"/>
      <c r="F43" s="279"/>
      <c r="G43" s="280"/>
      <c r="H43" s="279"/>
      <c r="I43" s="279"/>
      <c r="J43" s="280"/>
      <c r="K43" s="279"/>
      <c r="L43" s="279"/>
      <c r="M43" s="279"/>
      <c r="N43" s="279"/>
      <c r="O43" s="279"/>
      <c r="P43" s="295"/>
      <c r="Q43" s="279"/>
      <c r="R43" s="279"/>
      <c r="S43" s="279"/>
      <c r="T43" s="279"/>
      <c r="U43" s="279"/>
      <c r="V43" s="279"/>
      <c r="W43" s="299"/>
      <c r="X43" s="299"/>
      <c r="Y43" s="279"/>
      <c r="Z43" s="279"/>
      <c r="AA43" s="279"/>
      <c r="AB43" s="279"/>
      <c r="AC43" s="279"/>
      <c r="AD43" s="279"/>
      <c r="AE43" s="279"/>
      <c r="AF43" s="279"/>
      <c r="AG43" s="27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7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</row>
    <row r="44" ht="13.8" spans="1:77">
      <c r="A44" s="279"/>
      <c r="B44" s="279"/>
      <c r="C44" s="279"/>
      <c r="D44" s="280"/>
      <c r="E44" s="280"/>
      <c r="F44" s="279"/>
      <c r="G44" s="280"/>
      <c r="H44" s="279"/>
      <c r="I44" s="279"/>
      <c r="J44" s="280"/>
      <c r="K44" s="279"/>
      <c r="L44" s="279"/>
      <c r="M44" s="279"/>
      <c r="N44" s="279"/>
      <c r="O44" s="279"/>
      <c r="P44" s="295"/>
      <c r="Q44" s="279"/>
      <c r="R44" s="279"/>
      <c r="S44" s="279"/>
      <c r="T44" s="279"/>
      <c r="U44" s="279"/>
      <c r="V44" s="279"/>
      <c r="W44" s="299"/>
      <c r="X44" s="299"/>
      <c r="Y44" s="279"/>
      <c r="Z44" s="279"/>
      <c r="AA44" s="279"/>
      <c r="AB44" s="279"/>
      <c r="AC44" s="279"/>
      <c r="AD44" s="279"/>
      <c r="AE44" s="279"/>
      <c r="AF44" s="279"/>
      <c r="AG44" s="279"/>
      <c r="AH44" s="279"/>
      <c r="AI44" s="279"/>
      <c r="AJ44" s="279"/>
      <c r="AK44" s="279"/>
      <c r="AL44" s="279"/>
      <c r="AM44" s="279"/>
      <c r="AN44" s="279"/>
      <c r="AO44" s="279"/>
      <c r="AP44" s="279"/>
      <c r="AQ44" s="279"/>
      <c r="AR44" s="279"/>
      <c r="AS44" s="279"/>
      <c r="AT44" s="279"/>
      <c r="AU44" s="279"/>
      <c r="AV44" s="279"/>
      <c r="AW44" s="279"/>
      <c r="AX44" s="279"/>
      <c r="AY44" s="279"/>
      <c r="AZ44" s="279"/>
      <c r="BA44" s="279"/>
      <c r="BB44" s="279"/>
      <c r="BC44" s="279"/>
      <c r="BD44" s="279"/>
      <c r="BE44" s="279"/>
      <c r="BF44" s="279"/>
      <c r="BG44" s="279"/>
      <c r="BH44" s="279"/>
      <c r="BI44" s="279"/>
      <c r="BJ44" s="279"/>
      <c r="BK44" s="279"/>
      <c r="BL44" s="279"/>
      <c r="BM44" s="279"/>
      <c r="BN44" s="279"/>
      <c r="BO44" s="279"/>
      <c r="BP44" s="279"/>
      <c r="BQ44" s="279"/>
      <c r="BR44" s="279"/>
      <c r="BS44" s="279"/>
      <c r="BT44" s="279"/>
      <c r="BU44" s="279"/>
      <c r="BV44" s="279"/>
      <c r="BW44" s="279"/>
      <c r="BX44" s="279"/>
      <c r="BY44" s="279"/>
    </row>
    <row r="45" ht="13.8" spans="1:77">
      <c r="A45" s="279"/>
      <c r="B45" s="279"/>
      <c r="C45" s="279"/>
      <c r="D45" s="280"/>
      <c r="E45" s="280"/>
      <c r="F45" s="279"/>
      <c r="G45" s="280"/>
      <c r="H45" s="279"/>
      <c r="I45" s="279"/>
      <c r="J45" s="280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99"/>
      <c r="X45" s="29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79"/>
      <c r="AL45" s="279"/>
      <c r="AM45" s="279"/>
      <c r="AN45" s="279"/>
      <c r="AO45" s="279"/>
      <c r="AP45" s="279"/>
      <c r="AQ45" s="279"/>
      <c r="AR45" s="279"/>
      <c r="AS45" s="279"/>
      <c r="AT45" s="279"/>
      <c r="AU45" s="279"/>
      <c r="AV45" s="279"/>
      <c r="AW45" s="279"/>
      <c r="AX45" s="279"/>
      <c r="AY45" s="279"/>
      <c r="AZ45" s="279"/>
      <c r="BA45" s="279"/>
      <c r="BB45" s="279"/>
      <c r="BC45" s="279"/>
      <c r="BD45" s="279"/>
      <c r="BE45" s="279"/>
      <c r="BF45" s="279"/>
      <c r="BG45" s="279"/>
      <c r="BH45" s="279"/>
      <c r="BI45" s="279"/>
      <c r="BJ45" s="279"/>
      <c r="BK45" s="279"/>
      <c r="BL45" s="279"/>
      <c r="BM45" s="279"/>
      <c r="BN45" s="279"/>
      <c r="BO45" s="279"/>
      <c r="BP45" s="279"/>
      <c r="BQ45" s="279"/>
      <c r="BR45" s="279"/>
      <c r="BS45" s="279"/>
      <c r="BT45" s="279"/>
      <c r="BU45" s="279"/>
      <c r="BV45" s="279"/>
      <c r="BW45" s="279"/>
      <c r="BX45" s="279"/>
      <c r="BY45" s="279"/>
    </row>
    <row r="46" ht="13.8" spans="1:77">
      <c r="A46" s="279"/>
      <c r="B46" s="279"/>
      <c r="C46" s="279"/>
      <c r="D46" s="280"/>
      <c r="E46" s="280"/>
      <c r="F46" s="279"/>
      <c r="G46" s="280"/>
      <c r="H46" s="279"/>
      <c r="I46" s="279"/>
      <c r="J46" s="280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99"/>
      <c r="X46" s="299"/>
      <c r="Y46" s="279"/>
      <c r="Z46" s="279"/>
      <c r="AA46" s="279"/>
      <c r="AB46" s="279"/>
      <c r="AC46" s="279"/>
      <c r="AD46" s="279"/>
      <c r="AE46" s="279"/>
      <c r="AF46" s="279"/>
      <c r="AG46" s="279"/>
      <c r="AH46" s="279"/>
      <c r="AI46" s="279"/>
      <c r="AJ46" s="279"/>
      <c r="AK46" s="279"/>
      <c r="AL46" s="279"/>
      <c r="AM46" s="279"/>
      <c r="AN46" s="279"/>
      <c r="AO46" s="279"/>
      <c r="AP46" s="279"/>
      <c r="AQ46" s="279"/>
      <c r="AR46" s="279"/>
      <c r="AS46" s="279"/>
      <c r="AT46" s="279"/>
      <c r="AU46" s="279"/>
      <c r="AV46" s="279"/>
      <c r="AW46" s="279"/>
      <c r="AX46" s="279"/>
      <c r="AY46" s="279"/>
      <c r="AZ46" s="279"/>
      <c r="BA46" s="279"/>
      <c r="BB46" s="279"/>
      <c r="BC46" s="279"/>
      <c r="BD46" s="279"/>
      <c r="BE46" s="279"/>
      <c r="BF46" s="279"/>
      <c r="BG46" s="279"/>
      <c r="BH46" s="279"/>
      <c r="BI46" s="279"/>
      <c r="BJ46" s="279"/>
      <c r="BK46" s="279"/>
      <c r="BL46" s="279"/>
      <c r="BM46" s="279"/>
      <c r="BN46" s="279"/>
      <c r="BO46" s="279"/>
      <c r="BP46" s="279"/>
      <c r="BQ46" s="279"/>
      <c r="BR46" s="279"/>
      <c r="BS46" s="279"/>
      <c r="BT46" s="279"/>
      <c r="BU46" s="279"/>
      <c r="BV46" s="279"/>
      <c r="BW46" s="279"/>
      <c r="BX46" s="279"/>
      <c r="BY46" s="279"/>
    </row>
    <row r="47" ht="13.8" spans="1:77">
      <c r="A47" s="279"/>
      <c r="B47" s="279"/>
      <c r="C47" s="279"/>
      <c r="D47" s="280"/>
      <c r="E47" s="280"/>
      <c r="F47" s="279"/>
      <c r="G47" s="280"/>
      <c r="H47" s="279"/>
      <c r="I47" s="279"/>
      <c r="J47" s="280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99"/>
      <c r="X47" s="299"/>
      <c r="Y47" s="279"/>
      <c r="Z47" s="279"/>
      <c r="AA47" s="279"/>
      <c r="AB47" s="279"/>
      <c r="AC47" s="279"/>
      <c r="AD47" s="279"/>
      <c r="AE47" s="279"/>
      <c r="AF47" s="279"/>
      <c r="AG47" s="279"/>
      <c r="AH47" s="279"/>
      <c r="AI47" s="279"/>
      <c r="AJ47" s="279"/>
      <c r="AK47" s="279"/>
      <c r="AL47" s="279"/>
      <c r="AM47" s="279"/>
      <c r="AN47" s="279"/>
      <c r="AO47" s="279"/>
      <c r="AP47" s="279"/>
      <c r="AQ47" s="279"/>
      <c r="AR47" s="279"/>
      <c r="AS47" s="279"/>
      <c r="AT47" s="279"/>
      <c r="AU47" s="279"/>
      <c r="AV47" s="279"/>
      <c r="AW47" s="279"/>
      <c r="AX47" s="279"/>
      <c r="AY47" s="279"/>
      <c r="AZ47" s="279"/>
      <c r="BA47" s="279"/>
      <c r="BB47" s="279"/>
      <c r="BC47" s="279"/>
      <c r="BD47" s="279"/>
      <c r="BE47" s="279"/>
      <c r="BF47" s="279"/>
      <c r="BG47" s="279"/>
      <c r="BH47" s="279"/>
      <c r="BI47" s="279"/>
      <c r="BJ47" s="279"/>
      <c r="BK47" s="279"/>
      <c r="BL47" s="279"/>
      <c r="BM47" s="279"/>
      <c r="BN47" s="279"/>
      <c r="BO47" s="279"/>
      <c r="BP47" s="279"/>
      <c r="BQ47" s="279"/>
      <c r="BR47" s="279"/>
      <c r="BS47" s="279"/>
      <c r="BT47" s="279"/>
      <c r="BU47" s="279"/>
      <c r="BV47" s="279"/>
      <c r="BW47" s="279"/>
      <c r="BX47" s="279"/>
      <c r="BY47" s="279"/>
    </row>
    <row r="48" ht="13.8" spans="1:77">
      <c r="A48" s="279"/>
      <c r="B48" s="279"/>
      <c r="C48" s="279"/>
      <c r="D48" s="280"/>
      <c r="E48" s="280"/>
      <c r="F48" s="279"/>
      <c r="G48" s="280"/>
      <c r="H48" s="279"/>
      <c r="I48" s="279"/>
      <c r="J48" s="280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99"/>
      <c r="X48" s="299"/>
      <c r="Y48" s="279"/>
      <c r="Z48" s="279"/>
      <c r="AA48" s="279"/>
      <c r="AB48" s="279"/>
      <c r="AC48" s="279"/>
      <c r="AD48" s="279"/>
      <c r="AE48" s="279"/>
      <c r="AF48" s="279"/>
      <c r="AG48" s="279"/>
      <c r="AH48" s="279"/>
      <c r="AI48" s="279"/>
      <c r="AJ48" s="279"/>
      <c r="AK48" s="279"/>
      <c r="AL48" s="279"/>
      <c r="AM48" s="279"/>
      <c r="AN48" s="279"/>
      <c r="AO48" s="279"/>
      <c r="AP48" s="279"/>
      <c r="AQ48" s="279"/>
      <c r="AR48" s="279"/>
      <c r="AS48" s="279"/>
      <c r="AT48" s="279"/>
      <c r="AU48" s="279"/>
      <c r="AV48" s="279"/>
      <c r="AW48" s="279"/>
      <c r="AX48" s="279"/>
      <c r="AY48" s="279"/>
      <c r="AZ48" s="279"/>
      <c r="BA48" s="279"/>
      <c r="BB48" s="279"/>
      <c r="BC48" s="279"/>
      <c r="BD48" s="279"/>
      <c r="BE48" s="279"/>
      <c r="BF48" s="279"/>
      <c r="BG48" s="279"/>
      <c r="BH48" s="279"/>
      <c r="BI48" s="279"/>
      <c r="BJ48" s="279"/>
      <c r="BK48" s="279"/>
      <c r="BL48" s="279"/>
      <c r="BM48" s="279"/>
      <c r="BN48" s="279"/>
      <c r="BO48" s="279"/>
      <c r="BP48" s="279"/>
      <c r="BQ48" s="279"/>
      <c r="BR48" s="279"/>
      <c r="BS48" s="279"/>
      <c r="BT48" s="279"/>
      <c r="BU48" s="279"/>
      <c r="BV48" s="279"/>
      <c r="BW48" s="279"/>
      <c r="BX48" s="279"/>
      <c r="BY48" s="279"/>
    </row>
    <row r="49" ht="13.8" spans="1:77">
      <c r="A49" s="279"/>
      <c r="B49" s="279"/>
      <c r="C49" s="279"/>
      <c r="D49" s="280"/>
      <c r="E49" s="280"/>
      <c r="F49" s="279"/>
      <c r="G49" s="280"/>
      <c r="H49" s="279"/>
      <c r="I49" s="279"/>
      <c r="J49" s="280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99"/>
      <c r="X49" s="29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79"/>
      <c r="AR49" s="279"/>
      <c r="AS49" s="279"/>
      <c r="AT49" s="279"/>
      <c r="AU49" s="279"/>
      <c r="AV49" s="279"/>
      <c r="AW49" s="279"/>
      <c r="AX49" s="279"/>
      <c r="AY49" s="279"/>
      <c r="AZ49" s="279"/>
      <c r="BA49" s="279"/>
      <c r="BB49" s="279"/>
      <c r="BC49" s="279"/>
      <c r="BD49" s="279"/>
      <c r="BE49" s="279"/>
      <c r="BF49" s="279"/>
      <c r="BG49" s="279"/>
      <c r="BH49" s="279"/>
      <c r="BI49" s="279"/>
      <c r="BJ49" s="279"/>
      <c r="BK49" s="279"/>
      <c r="BL49" s="279"/>
      <c r="BM49" s="279"/>
      <c r="BN49" s="279"/>
      <c r="BO49" s="279"/>
      <c r="BP49" s="279"/>
      <c r="BQ49" s="279"/>
      <c r="BR49" s="279"/>
      <c r="BS49" s="279"/>
      <c r="BT49" s="279"/>
      <c r="BU49" s="279"/>
      <c r="BV49" s="279"/>
      <c r="BW49" s="279"/>
      <c r="BX49" s="279"/>
      <c r="BY49" s="279"/>
    </row>
    <row r="50" ht="13.8" spans="1:77">
      <c r="A50" s="279"/>
      <c r="B50" s="279"/>
      <c r="C50" s="279"/>
      <c r="D50" s="280"/>
      <c r="E50" s="280"/>
      <c r="F50" s="279"/>
      <c r="G50" s="280"/>
      <c r="H50" s="279"/>
      <c r="I50" s="279"/>
      <c r="J50" s="280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99"/>
      <c r="X50" s="299"/>
      <c r="Y50" s="279"/>
      <c r="Z50" s="279"/>
      <c r="AA50" s="279"/>
      <c r="AB50" s="279"/>
      <c r="AC50" s="279"/>
      <c r="AD50" s="279"/>
      <c r="AE50" s="279"/>
      <c r="AF50" s="279"/>
      <c r="AG50" s="279"/>
      <c r="AH50" s="279"/>
      <c r="AI50" s="279"/>
      <c r="AJ50" s="279"/>
      <c r="AK50" s="279"/>
      <c r="AL50" s="279"/>
      <c r="AM50" s="279"/>
      <c r="AN50" s="279"/>
      <c r="AO50" s="279"/>
      <c r="AP50" s="279"/>
      <c r="AQ50" s="279"/>
      <c r="AR50" s="279"/>
      <c r="AS50" s="279"/>
      <c r="AT50" s="279"/>
      <c r="AU50" s="279"/>
      <c r="AV50" s="279"/>
      <c r="AW50" s="279"/>
      <c r="AX50" s="279"/>
      <c r="AY50" s="279"/>
      <c r="AZ50" s="279"/>
      <c r="BA50" s="279"/>
      <c r="BB50" s="279"/>
      <c r="BC50" s="279"/>
      <c r="BD50" s="279"/>
      <c r="BE50" s="279"/>
      <c r="BF50" s="279"/>
      <c r="BG50" s="279"/>
      <c r="BH50" s="279"/>
      <c r="BI50" s="279"/>
      <c r="BJ50" s="279"/>
      <c r="BK50" s="279"/>
      <c r="BL50" s="279"/>
      <c r="BM50" s="279"/>
      <c r="BN50" s="279"/>
      <c r="BO50" s="279"/>
      <c r="BP50" s="279"/>
      <c r="BQ50" s="279"/>
      <c r="BR50" s="279"/>
      <c r="BS50" s="279"/>
      <c r="BT50" s="279"/>
      <c r="BU50" s="279"/>
      <c r="BV50" s="279"/>
      <c r="BW50" s="279"/>
      <c r="BX50" s="279"/>
      <c r="BY50" s="279"/>
    </row>
    <row r="51" ht="13.8" spans="1:77">
      <c r="A51" s="279"/>
      <c r="B51" s="279"/>
      <c r="C51" s="279"/>
      <c r="D51" s="280"/>
      <c r="E51" s="280"/>
      <c r="F51" s="279"/>
      <c r="G51" s="280"/>
      <c r="H51" s="279"/>
      <c r="I51" s="279"/>
      <c r="J51" s="280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99"/>
      <c r="X51" s="299"/>
      <c r="Y51" s="279"/>
      <c r="Z51" s="279"/>
      <c r="AA51" s="279"/>
      <c r="AB51" s="279"/>
      <c r="AC51" s="279"/>
      <c r="AD51" s="279"/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79"/>
      <c r="AT51" s="279"/>
      <c r="AU51" s="279"/>
      <c r="AV51" s="279"/>
      <c r="AW51" s="279"/>
      <c r="AX51" s="279"/>
      <c r="AY51" s="279"/>
      <c r="AZ51" s="279"/>
      <c r="BA51" s="279"/>
      <c r="BB51" s="279"/>
      <c r="BC51" s="279"/>
      <c r="BD51" s="279"/>
      <c r="BE51" s="279"/>
      <c r="BF51" s="279"/>
      <c r="BG51" s="279"/>
      <c r="BH51" s="279"/>
      <c r="BI51" s="279"/>
      <c r="BJ51" s="279"/>
      <c r="BK51" s="279"/>
      <c r="BL51" s="279"/>
      <c r="BM51" s="279"/>
      <c r="BN51" s="279"/>
      <c r="BO51" s="279"/>
      <c r="BP51" s="279"/>
      <c r="BQ51" s="279"/>
      <c r="BR51" s="279"/>
      <c r="BS51" s="279"/>
      <c r="BT51" s="279"/>
      <c r="BU51" s="279"/>
      <c r="BV51" s="279"/>
      <c r="BW51" s="279"/>
      <c r="BX51" s="279"/>
      <c r="BY51" s="279"/>
    </row>
    <row r="52" ht="13.8" spans="1:77">
      <c r="A52" s="279"/>
      <c r="B52" s="279"/>
      <c r="C52" s="279"/>
      <c r="D52" s="280"/>
      <c r="E52" s="280"/>
      <c r="F52" s="279"/>
      <c r="G52" s="280"/>
      <c r="H52" s="279"/>
      <c r="I52" s="279"/>
      <c r="J52" s="280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99"/>
      <c r="X52" s="299"/>
      <c r="Y52" s="279"/>
      <c r="Z52" s="279"/>
      <c r="AA52" s="279"/>
      <c r="AB52" s="279"/>
      <c r="AC52" s="279"/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79"/>
      <c r="AO52" s="279"/>
      <c r="AP52" s="279"/>
      <c r="AQ52" s="279"/>
      <c r="AR52" s="279"/>
      <c r="AS52" s="279"/>
      <c r="AT52" s="279"/>
      <c r="AU52" s="279"/>
      <c r="AV52" s="279"/>
      <c r="AW52" s="279"/>
      <c r="AX52" s="279"/>
      <c r="AY52" s="279"/>
      <c r="AZ52" s="279"/>
      <c r="BA52" s="279"/>
      <c r="BB52" s="279"/>
      <c r="BC52" s="279"/>
      <c r="BD52" s="279"/>
      <c r="BE52" s="279"/>
      <c r="BF52" s="279"/>
      <c r="BG52" s="279"/>
      <c r="BH52" s="279"/>
      <c r="BI52" s="279"/>
      <c r="BJ52" s="279"/>
      <c r="BK52" s="279"/>
      <c r="BL52" s="279"/>
      <c r="BM52" s="279"/>
      <c r="BN52" s="279"/>
      <c r="BO52" s="279"/>
      <c r="BP52" s="279"/>
      <c r="BQ52" s="279"/>
      <c r="BR52" s="279"/>
      <c r="BS52" s="279"/>
      <c r="BT52" s="279"/>
      <c r="BU52" s="279"/>
      <c r="BV52" s="279"/>
      <c r="BW52" s="279"/>
      <c r="BX52" s="279"/>
      <c r="BY52" s="279"/>
    </row>
    <row r="53" ht="13.8" spans="1:77">
      <c r="A53" s="279"/>
      <c r="B53" s="279"/>
      <c r="C53" s="279"/>
      <c r="D53" s="280"/>
      <c r="E53" s="280"/>
      <c r="F53" s="279"/>
      <c r="G53" s="280"/>
      <c r="H53" s="279"/>
      <c r="I53" s="279"/>
      <c r="J53" s="280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99"/>
      <c r="X53" s="299"/>
      <c r="Y53" s="279"/>
      <c r="Z53" s="279"/>
      <c r="AA53" s="279"/>
      <c r="AB53" s="279"/>
      <c r="AC53" s="279"/>
      <c r="AD53" s="279"/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  <c r="AY53" s="279"/>
      <c r="AZ53" s="279"/>
      <c r="BA53" s="279"/>
      <c r="BB53" s="279"/>
      <c r="BC53" s="279"/>
      <c r="BD53" s="279"/>
      <c r="BE53" s="279"/>
      <c r="BF53" s="279"/>
      <c r="BG53" s="279"/>
      <c r="BH53" s="279"/>
      <c r="BI53" s="279"/>
      <c r="BJ53" s="279"/>
      <c r="BK53" s="279"/>
      <c r="BL53" s="279"/>
      <c r="BM53" s="279"/>
      <c r="BN53" s="279"/>
      <c r="BO53" s="279"/>
      <c r="BP53" s="279"/>
      <c r="BQ53" s="279"/>
      <c r="BR53" s="279"/>
      <c r="BS53" s="279"/>
      <c r="BT53" s="279"/>
      <c r="BU53" s="279"/>
      <c r="BV53" s="279"/>
      <c r="BW53" s="279"/>
      <c r="BX53" s="279"/>
      <c r="BY53" s="279"/>
    </row>
    <row r="54" ht="13.8" spans="1:77">
      <c r="A54" s="279"/>
      <c r="B54" s="279"/>
      <c r="C54" s="279"/>
      <c r="D54" s="280"/>
      <c r="E54" s="280"/>
      <c r="F54" s="279"/>
      <c r="G54" s="280"/>
      <c r="H54" s="279"/>
      <c r="I54" s="279"/>
      <c r="J54" s="280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99"/>
      <c r="X54" s="29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  <c r="AY54" s="279"/>
      <c r="AZ54" s="279"/>
      <c r="BA54" s="279"/>
      <c r="BB54" s="279"/>
      <c r="BC54" s="279"/>
      <c r="BD54" s="279"/>
      <c r="BE54" s="279"/>
      <c r="BF54" s="279"/>
      <c r="BG54" s="279"/>
      <c r="BH54" s="279"/>
      <c r="BI54" s="279"/>
      <c r="BJ54" s="279"/>
      <c r="BK54" s="279"/>
      <c r="BL54" s="279"/>
      <c r="BM54" s="279"/>
      <c r="BN54" s="279"/>
      <c r="BO54" s="279"/>
      <c r="BP54" s="279"/>
      <c r="BQ54" s="279"/>
      <c r="BR54" s="279"/>
      <c r="BS54" s="279"/>
      <c r="BT54" s="279"/>
      <c r="BU54" s="279"/>
      <c r="BV54" s="279"/>
      <c r="BW54" s="279"/>
      <c r="BX54" s="279"/>
      <c r="BY54" s="279"/>
    </row>
    <row r="55" ht="13.8" spans="1:77">
      <c r="A55" s="279"/>
      <c r="B55" s="279"/>
      <c r="C55" s="279"/>
      <c r="D55" s="280"/>
      <c r="E55" s="280"/>
      <c r="F55" s="279"/>
      <c r="G55" s="280"/>
      <c r="H55" s="279"/>
      <c r="I55" s="279"/>
      <c r="J55" s="280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99"/>
      <c r="X55" s="29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  <c r="AY55" s="279"/>
      <c r="AZ55" s="279"/>
      <c r="BA55" s="279"/>
      <c r="BB55" s="279"/>
      <c r="BC55" s="279"/>
      <c r="BD55" s="279"/>
      <c r="BE55" s="279"/>
      <c r="BF55" s="279"/>
      <c r="BG55" s="279"/>
      <c r="BH55" s="279"/>
      <c r="BI55" s="279"/>
      <c r="BJ55" s="279"/>
      <c r="BK55" s="279"/>
      <c r="BL55" s="279"/>
      <c r="BM55" s="279"/>
      <c r="BN55" s="279"/>
      <c r="BO55" s="279"/>
      <c r="BP55" s="279"/>
      <c r="BQ55" s="279"/>
      <c r="BR55" s="279"/>
      <c r="BS55" s="279"/>
      <c r="BT55" s="279"/>
      <c r="BU55" s="279"/>
      <c r="BV55" s="279"/>
      <c r="BW55" s="279"/>
      <c r="BX55" s="279"/>
      <c r="BY55" s="279"/>
    </row>
    <row r="56" ht="13.8" spans="1:77">
      <c r="A56" s="279"/>
      <c r="B56" s="279"/>
      <c r="C56" s="279"/>
      <c r="D56" s="280"/>
      <c r="E56" s="280"/>
      <c r="F56" s="279"/>
      <c r="G56" s="280"/>
      <c r="H56" s="279"/>
      <c r="I56" s="279"/>
      <c r="J56" s="280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99"/>
      <c r="X56" s="299"/>
      <c r="Y56" s="279"/>
      <c r="Z56" s="279"/>
      <c r="AA56" s="279"/>
      <c r="AB56" s="279"/>
      <c r="AC56" s="279"/>
      <c r="AD56" s="279"/>
      <c r="AE56" s="279"/>
      <c r="AF56" s="279"/>
      <c r="AG56" s="279"/>
      <c r="AH56" s="279"/>
      <c r="AI56" s="279"/>
      <c r="AJ56" s="279"/>
      <c r="AK56" s="279"/>
      <c r="AL56" s="279"/>
      <c r="AM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  <c r="AY56" s="279"/>
      <c r="AZ56" s="279"/>
      <c r="BA56" s="279"/>
      <c r="BB56" s="279"/>
      <c r="BC56" s="279"/>
      <c r="BD56" s="279"/>
      <c r="BE56" s="279"/>
      <c r="BF56" s="279"/>
      <c r="BG56" s="279"/>
      <c r="BH56" s="279"/>
      <c r="BI56" s="279"/>
      <c r="BJ56" s="279"/>
      <c r="BK56" s="279"/>
      <c r="BL56" s="279"/>
      <c r="BM56" s="279"/>
      <c r="BN56" s="279"/>
      <c r="BO56" s="279"/>
      <c r="BP56" s="279"/>
      <c r="BQ56" s="279"/>
      <c r="BR56" s="279"/>
      <c r="BS56" s="279"/>
      <c r="BT56" s="279"/>
      <c r="BU56" s="279"/>
      <c r="BV56" s="279"/>
      <c r="BW56" s="279"/>
      <c r="BX56" s="279"/>
      <c r="BY56" s="279"/>
    </row>
    <row r="57" ht="13.8" spans="1:77">
      <c r="A57" s="279"/>
      <c r="B57" s="279"/>
      <c r="C57" s="279"/>
      <c r="D57" s="280"/>
      <c r="E57" s="280"/>
      <c r="F57" s="279"/>
      <c r="G57" s="280"/>
      <c r="H57" s="279"/>
      <c r="I57" s="279"/>
      <c r="J57" s="280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99"/>
      <c r="X57" s="299"/>
      <c r="Y57" s="279"/>
      <c r="Z57" s="279"/>
      <c r="AA57" s="279"/>
      <c r="AB57" s="279"/>
      <c r="AC57" s="279"/>
      <c r="AD57" s="279"/>
      <c r="AE57" s="279"/>
      <c r="AF57" s="279"/>
      <c r="AG57" s="279"/>
      <c r="AH57" s="279"/>
      <c r="AI57" s="279"/>
      <c r="AJ57" s="279"/>
      <c r="AK57" s="279"/>
      <c r="AL57" s="279"/>
      <c r="AM57" s="279"/>
      <c r="AN57" s="279"/>
      <c r="AO57" s="279"/>
      <c r="AP57" s="279"/>
      <c r="AQ57" s="279"/>
      <c r="AR57" s="279"/>
      <c r="AS57" s="279"/>
      <c r="AT57" s="279"/>
      <c r="AU57" s="279"/>
      <c r="AV57" s="279"/>
      <c r="AW57" s="279"/>
      <c r="AX57" s="279"/>
      <c r="AY57" s="279"/>
      <c r="AZ57" s="279"/>
      <c r="BA57" s="279"/>
      <c r="BB57" s="279"/>
      <c r="BC57" s="279"/>
      <c r="BD57" s="279"/>
      <c r="BE57" s="279"/>
      <c r="BF57" s="279"/>
      <c r="BG57" s="279"/>
      <c r="BH57" s="279"/>
      <c r="BI57" s="279"/>
      <c r="BJ57" s="279"/>
      <c r="BK57" s="279"/>
      <c r="BL57" s="279"/>
      <c r="BM57" s="279"/>
      <c r="BN57" s="279"/>
      <c r="BO57" s="279"/>
      <c r="BP57" s="279"/>
      <c r="BQ57" s="279"/>
      <c r="BR57" s="279"/>
      <c r="BS57" s="279"/>
      <c r="BT57" s="279"/>
      <c r="BU57" s="279"/>
      <c r="BV57" s="279"/>
      <c r="BW57" s="279"/>
      <c r="BX57" s="279"/>
      <c r="BY57" s="279"/>
    </row>
    <row r="58" ht="13.8" spans="1:77">
      <c r="A58" s="279"/>
      <c r="B58" s="279"/>
      <c r="C58" s="279"/>
      <c r="D58" s="280"/>
      <c r="E58" s="280"/>
      <c r="F58" s="279"/>
      <c r="G58" s="280"/>
      <c r="H58" s="279"/>
      <c r="I58" s="279"/>
      <c r="J58" s="280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99"/>
      <c r="X58" s="299"/>
      <c r="Y58" s="279"/>
      <c r="Z58" s="279"/>
      <c r="AA58" s="279"/>
      <c r="AB58" s="279"/>
      <c r="AC58" s="279"/>
      <c r="AD58" s="279"/>
      <c r="AE58" s="279"/>
      <c r="AF58" s="279"/>
      <c r="AG58" s="279"/>
      <c r="AH58" s="279"/>
      <c r="AI58" s="279"/>
      <c r="AJ58" s="279"/>
      <c r="AK58" s="279"/>
      <c r="AL58" s="279"/>
      <c r="AM58" s="279"/>
      <c r="AN58" s="279"/>
      <c r="AO58" s="279"/>
      <c r="AP58" s="279"/>
      <c r="AQ58" s="279"/>
      <c r="AR58" s="279"/>
      <c r="AS58" s="279"/>
      <c r="AT58" s="279"/>
      <c r="AU58" s="279"/>
      <c r="AV58" s="279"/>
      <c r="AW58" s="279"/>
      <c r="AX58" s="279"/>
      <c r="AY58" s="279"/>
      <c r="AZ58" s="279"/>
      <c r="BA58" s="279"/>
      <c r="BB58" s="279"/>
      <c r="BC58" s="279"/>
      <c r="BD58" s="279"/>
      <c r="BE58" s="279"/>
      <c r="BF58" s="279"/>
      <c r="BG58" s="279"/>
      <c r="BH58" s="279"/>
      <c r="BI58" s="279"/>
      <c r="BJ58" s="279"/>
      <c r="BK58" s="279"/>
      <c r="BL58" s="279"/>
      <c r="BM58" s="279"/>
      <c r="BN58" s="279"/>
      <c r="BO58" s="279"/>
      <c r="BP58" s="279"/>
      <c r="BQ58" s="279"/>
      <c r="BR58" s="279"/>
      <c r="BS58" s="279"/>
      <c r="BT58" s="279"/>
      <c r="BU58" s="279"/>
      <c r="BV58" s="279"/>
      <c r="BW58" s="279"/>
      <c r="BX58" s="279"/>
      <c r="BY58" s="279"/>
    </row>
    <row r="59" ht="13.8" spans="1:77">
      <c r="A59" s="279"/>
      <c r="B59" s="279"/>
      <c r="C59" s="279"/>
      <c r="D59" s="280"/>
      <c r="E59" s="280"/>
      <c r="F59" s="279"/>
      <c r="G59" s="280"/>
      <c r="H59" s="279"/>
      <c r="I59" s="279"/>
      <c r="J59" s="280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99"/>
      <c r="X59" s="299"/>
      <c r="Y59" s="279"/>
      <c r="Z59" s="279"/>
      <c r="AA59" s="279"/>
      <c r="AB59" s="279"/>
      <c r="AC59" s="279"/>
      <c r="AD59" s="279"/>
      <c r="AE59" s="279"/>
      <c r="AF59" s="279"/>
      <c r="AG59" s="279"/>
      <c r="AH59" s="279"/>
      <c r="AI59" s="279"/>
      <c r="AJ59" s="279"/>
      <c r="AK59" s="279"/>
      <c r="AL59" s="279"/>
      <c r="AM59" s="279"/>
      <c r="AN59" s="279"/>
      <c r="AO59" s="279"/>
      <c r="AP59" s="279"/>
      <c r="AQ59" s="279"/>
      <c r="AR59" s="279"/>
      <c r="AS59" s="279"/>
      <c r="AT59" s="279"/>
      <c r="AU59" s="279"/>
      <c r="AV59" s="279"/>
      <c r="AW59" s="279"/>
      <c r="AX59" s="279"/>
      <c r="AY59" s="279"/>
      <c r="AZ59" s="279"/>
      <c r="BA59" s="279"/>
      <c r="BB59" s="279"/>
      <c r="BC59" s="279"/>
      <c r="BD59" s="279"/>
      <c r="BE59" s="279"/>
      <c r="BF59" s="279"/>
      <c r="BG59" s="279"/>
      <c r="BH59" s="279"/>
      <c r="BI59" s="279"/>
      <c r="BJ59" s="279"/>
      <c r="BK59" s="279"/>
      <c r="BL59" s="279"/>
      <c r="BM59" s="279"/>
      <c r="BN59" s="279"/>
      <c r="BO59" s="279"/>
      <c r="BP59" s="279"/>
      <c r="BQ59" s="279"/>
      <c r="BR59" s="279"/>
      <c r="BS59" s="279"/>
      <c r="BT59" s="279"/>
      <c r="BU59" s="279"/>
      <c r="BV59" s="279"/>
      <c r="BW59" s="279"/>
      <c r="BX59" s="279"/>
      <c r="BY59" s="279"/>
    </row>
    <row r="60" ht="13.8" spans="1:77">
      <c r="A60" s="279"/>
      <c r="B60" s="279"/>
      <c r="C60" s="279"/>
      <c r="D60" s="280"/>
      <c r="E60" s="280"/>
      <c r="F60" s="279"/>
      <c r="G60" s="280"/>
      <c r="H60" s="279"/>
      <c r="I60" s="279"/>
      <c r="J60" s="280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99"/>
      <c r="X60" s="299"/>
      <c r="Y60" s="279"/>
      <c r="Z60" s="279"/>
      <c r="AA60" s="279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  <c r="AX60" s="279"/>
      <c r="AY60" s="279"/>
      <c r="AZ60" s="279"/>
      <c r="BA60" s="279"/>
      <c r="BB60" s="279"/>
      <c r="BC60" s="279"/>
      <c r="BD60" s="279"/>
      <c r="BE60" s="279"/>
      <c r="BF60" s="279"/>
      <c r="BG60" s="279"/>
      <c r="BH60" s="279"/>
      <c r="BI60" s="279"/>
      <c r="BJ60" s="279"/>
      <c r="BK60" s="279"/>
      <c r="BL60" s="279"/>
      <c r="BM60" s="279"/>
      <c r="BN60" s="279"/>
      <c r="BO60" s="279"/>
      <c r="BP60" s="279"/>
      <c r="BQ60" s="279"/>
      <c r="BR60" s="279"/>
      <c r="BS60" s="279"/>
      <c r="BT60" s="279"/>
      <c r="BU60" s="279"/>
      <c r="BV60" s="279"/>
      <c r="BW60" s="279"/>
      <c r="BX60" s="279"/>
      <c r="BY60" s="279"/>
    </row>
    <row r="61" ht="13.8" spans="1:77">
      <c r="A61" s="279"/>
      <c r="B61" s="279"/>
      <c r="C61" s="279"/>
      <c r="D61" s="280"/>
      <c r="E61" s="280"/>
      <c r="F61" s="279"/>
      <c r="G61" s="280"/>
      <c r="H61" s="279"/>
      <c r="I61" s="279"/>
      <c r="J61" s="280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99"/>
      <c r="X61" s="299"/>
      <c r="Y61" s="279"/>
      <c r="Z61" s="279"/>
      <c r="AA61" s="279"/>
      <c r="AB61" s="279"/>
      <c r="AC61" s="279"/>
      <c r="AD61" s="279"/>
      <c r="AE61" s="279"/>
      <c r="AF61" s="279"/>
      <c r="AG61" s="279"/>
      <c r="AH61" s="279"/>
      <c r="AI61" s="279"/>
      <c r="AJ61" s="279"/>
      <c r="AK61" s="279"/>
      <c r="AL61" s="279"/>
      <c r="AM61" s="279"/>
      <c r="AN61" s="279"/>
      <c r="AO61" s="279"/>
      <c r="AP61" s="279"/>
      <c r="AQ61" s="279"/>
      <c r="AR61" s="279"/>
      <c r="AS61" s="279"/>
      <c r="AT61" s="279"/>
      <c r="AU61" s="279"/>
      <c r="AV61" s="279"/>
      <c r="AW61" s="279"/>
      <c r="AX61" s="279"/>
      <c r="AY61" s="279"/>
      <c r="AZ61" s="279"/>
      <c r="BA61" s="279"/>
      <c r="BB61" s="279"/>
      <c r="BC61" s="279"/>
      <c r="BD61" s="279"/>
      <c r="BE61" s="279"/>
      <c r="BF61" s="279"/>
      <c r="BG61" s="279"/>
      <c r="BH61" s="279"/>
      <c r="BI61" s="279"/>
      <c r="BJ61" s="279"/>
      <c r="BK61" s="279"/>
      <c r="BL61" s="279"/>
      <c r="BM61" s="279"/>
      <c r="BN61" s="279"/>
      <c r="BO61" s="279"/>
      <c r="BP61" s="279"/>
      <c r="BQ61" s="279"/>
      <c r="BR61" s="279"/>
      <c r="BS61" s="279"/>
      <c r="BT61" s="279"/>
      <c r="BU61" s="279"/>
      <c r="BV61" s="279"/>
      <c r="BW61" s="279"/>
      <c r="BX61" s="279"/>
      <c r="BY61" s="279"/>
    </row>
    <row r="62" ht="13.8" spans="1:77">
      <c r="A62" s="279"/>
      <c r="B62" s="279"/>
      <c r="C62" s="279"/>
      <c r="D62" s="280"/>
      <c r="E62" s="280"/>
      <c r="F62" s="279"/>
      <c r="G62" s="280"/>
      <c r="H62" s="279"/>
      <c r="I62" s="279"/>
      <c r="J62" s="280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99"/>
      <c r="X62" s="299"/>
      <c r="Y62" s="279"/>
      <c r="Z62" s="279"/>
      <c r="AA62" s="279"/>
      <c r="AB62" s="279"/>
      <c r="AC62" s="279"/>
      <c r="AD62" s="279"/>
      <c r="AE62" s="279"/>
      <c r="AF62" s="279"/>
      <c r="AG62" s="279"/>
      <c r="AH62" s="279"/>
      <c r="AI62" s="279"/>
      <c r="AJ62" s="279"/>
      <c r="AK62" s="279"/>
      <c r="AL62" s="279"/>
      <c r="AM62" s="279"/>
      <c r="AN62" s="279"/>
      <c r="AO62" s="279"/>
      <c r="AP62" s="279"/>
      <c r="AQ62" s="279"/>
      <c r="AR62" s="279"/>
      <c r="AS62" s="279"/>
      <c r="AT62" s="279"/>
      <c r="AU62" s="279"/>
      <c r="AV62" s="279"/>
      <c r="AW62" s="279"/>
      <c r="AX62" s="279"/>
      <c r="AY62" s="279"/>
      <c r="AZ62" s="279"/>
      <c r="BA62" s="279"/>
      <c r="BB62" s="279"/>
      <c r="BC62" s="279"/>
      <c r="BD62" s="279"/>
      <c r="BE62" s="279"/>
      <c r="BF62" s="279"/>
      <c r="BG62" s="279"/>
      <c r="BH62" s="279"/>
      <c r="BI62" s="279"/>
      <c r="BJ62" s="279"/>
      <c r="BK62" s="279"/>
      <c r="BL62" s="279"/>
      <c r="BM62" s="279"/>
      <c r="BN62" s="279"/>
      <c r="BO62" s="279"/>
      <c r="BP62" s="279"/>
      <c r="BQ62" s="279"/>
      <c r="BR62" s="279"/>
      <c r="BS62" s="279"/>
      <c r="BT62" s="279"/>
      <c r="BU62" s="279"/>
      <c r="BV62" s="279"/>
      <c r="BW62" s="279"/>
      <c r="BX62" s="279"/>
      <c r="BY62" s="279"/>
    </row>
    <row r="63" ht="13.8" spans="1:77">
      <c r="A63" s="279"/>
      <c r="B63" s="279"/>
      <c r="C63" s="279"/>
      <c r="D63" s="280"/>
      <c r="E63" s="280"/>
      <c r="F63" s="279"/>
      <c r="G63" s="280"/>
      <c r="H63" s="279"/>
      <c r="I63" s="279"/>
      <c r="J63" s="280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99"/>
      <c r="X63" s="299"/>
      <c r="Y63" s="279"/>
      <c r="Z63" s="279"/>
      <c r="AA63" s="279"/>
      <c r="AB63" s="279"/>
      <c r="AC63" s="279"/>
      <c r="AD63" s="279"/>
      <c r="AE63" s="279"/>
      <c r="AF63" s="279"/>
      <c r="AG63" s="279"/>
      <c r="AH63" s="279"/>
      <c r="AI63" s="279"/>
      <c r="AJ63" s="279"/>
      <c r="AK63" s="279"/>
      <c r="AL63" s="279"/>
      <c r="AM63" s="279"/>
      <c r="AN63" s="279"/>
      <c r="AO63" s="279"/>
      <c r="AP63" s="279"/>
      <c r="AQ63" s="279"/>
      <c r="AR63" s="279"/>
      <c r="AS63" s="279"/>
      <c r="AT63" s="279"/>
      <c r="AU63" s="279"/>
      <c r="AV63" s="279"/>
      <c r="AW63" s="279"/>
      <c r="AX63" s="279"/>
      <c r="AY63" s="279"/>
      <c r="AZ63" s="279"/>
      <c r="BA63" s="279"/>
      <c r="BB63" s="279"/>
      <c r="BC63" s="279"/>
      <c r="BD63" s="279"/>
      <c r="BE63" s="279"/>
      <c r="BF63" s="279"/>
      <c r="BG63" s="279"/>
      <c r="BH63" s="279"/>
      <c r="BI63" s="279"/>
      <c r="BJ63" s="279"/>
      <c r="BK63" s="279"/>
      <c r="BL63" s="279"/>
      <c r="BM63" s="279"/>
      <c r="BN63" s="279"/>
      <c r="BO63" s="279"/>
      <c r="BP63" s="279"/>
      <c r="BQ63" s="279"/>
      <c r="BR63" s="279"/>
      <c r="BS63" s="279"/>
      <c r="BT63" s="279"/>
      <c r="BU63" s="279"/>
      <c r="BV63" s="279"/>
      <c r="BW63" s="279"/>
      <c r="BX63" s="279"/>
      <c r="BY63" s="279"/>
    </row>
    <row r="64" ht="13.8" spans="1:77">
      <c r="A64" s="279"/>
      <c r="B64" s="279"/>
      <c r="C64" s="279"/>
      <c r="D64" s="280"/>
      <c r="E64" s="280"/>
      <c r="F64" s="279"/>
      <c r="G64" s="280"/>
      <c r="H64" s="279"/>
      <c r="I64" s="279"/>
      <c r="J64" s="280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99"/>
      <c r="X64" s="299"/>
      <c r="Y64" s="279"/>
      <c r="Z64" s="279"/>
      <c r="AA64" s="279"/>
      <c r="AB64" s="279"/>
      <c r="AC64" s="279"/>
      <c r="AD64" s="279"/>
      <c r="AE64" s="279"/>
      <c r="AF64" s="279"/>
      <c r="AG64" s="279"/>
      <c r="AH64" s="279"/>
      <c r="AI64" s="279"/>
      <c r="AJ64" s="279"/>
      <c r="AK64" s="279"/>
      <c r="AL64" s="279"/>
      <c r="AM64" s="279"/>
      <c r="AN64" s="279"/>
      <c r="AO64" s="279"/>
      <c r="AP64" s="279"/>
      <c r="AQ64" s="279"/>
      <c r="AR64" s="279"/>
      <c r="AS64" s="279"/>
      <c r="AT64" s="279"/>
      <c r="AU64" s="279"/>
      <c r="AV64" s="279"/>
      <c r="AW64" s="279"/>
      <c r="AX64" s="279"/>
      <c r="AY64" s="279"/>
      <c r="AZ64" s="279"/>
      <c r="BA64" s="279"/>
      <c r="BB64" s="279"/>
      <c r="BC64" s="279"/>
      <c r="BD64" s="279"/>
      <c r="BE64" s="279"/>
      <c r="BF64" s="279"/>
      <c r="BG64" s="279"/>
      <c r="BH64" s="279"/>
      <c r="BI64" s="279"/>
      <c r="BJ64" s="279"/>
      <c r="BK64" s="279"/>
      <c r="BL64" s="279"/>
      <c r="BM64" s="279"/>
      <c r="BN64" s="279"/>
      <c r="BO64" s="279"/>
      <c r="BP64" s="279"/>
      <c r="BQ64" s="279"/>
      <c r="BR64" s="279"/>
      <c r="BS64" s="279"/>
      <c r="BT64" s="279"/>
      <c r="BU64" s="279"/>
      <c r="BV64" s="279"/>
      <c r="BW64" s="279"/>
      <c r="BX64" s="279"/>
      <c r="BY64" s="279"/>
    </row>
    <row r="65" ht="13.8" spans="1:77">
      <c r="A65" s="279"/>
      <c r="B65" s="279"/>
      <c r="C65" s="279"/>
      <c r="D65" s="280"/>
      <c r="E65" s="280"/>
      <c r="F65" s="279"/>
      <c r="G65" s="280"/>
      <c r="H65" s="279"/>
      <c r="I65" s="279"/>
      <c r="J65" s="280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99"/>
      <c r="X65" s="299"/>
      <c r="Y65" s="279"/>
      <c r="Z65" s="279"/>
      <c r="AA65" s="279"/>
      <c r="AB65" s="279"/>
      <c r="AC65" s="279"/>
      <c r="AD65" s="279"/>
      <c r="AE65" s="279"/>
      <c r="AF65" s="279"/>
      <c r="AG65" s="279"/>
      <c r="AH65" s="279"/>
      <c r="AI65" s="279"/>
      <c r="AJ65" s="279"/>
      <c r="AK65" s="279"/>
      <c r="AL65" s="279"/>
      <c r="AM65" s="279"/>
      <c r="AN65" s="279"/>
      <c r="AO65" s="279"/>
      <c r="AP65" s="279"/>
      <c r="AQ65" s="279"/>
      <c r="AR65" s="279"/>
      <c r="AS65" s="279"/>
      <c r="AT65" s="279"/>
      <c r="AU65" s="279"/>
      <c r="AV65" s="279"/>
      <c r="AW65" s="279"/>
      <c r="AX65" s="279"/>
      <c r="AY65" s="279"/>
      <c r="AZ65" s="279"/>
      <c r="BA65" s="279"/>
      <c r="BB65" s="279"/>
      <c r="BC65" s="279"/>
      <c r="BD65" s="279"/>
      <c r="BE65" s="279"/>
      <c r="BF65" s="279"/>
      <c r="BG65" s="279"/>
      <c r="BH65" s="279"/>
      <c r="BI65" s="279"/>
      <c r="BJ65" s="279"/>
      <c r="BK65" s="279"/>
      <c r="BL65" s="279"/>
      <c r="BM65" s="279"/>
      <c r="BN65" s="279"/>
      <c r="BO65" s="279"/>
      <c r="BP65" s="279"/>
      <c r="BQ65" s="279"/>
      <c r="BR65" s="279"/>
      <c r="BS65" s="279"/>
      <c r="BT65" s="279"/>
      <c r="BU65" s="279"/>
      <c r="BV65" s="279"/>
      <c r="BW65" s="279"/>
      <c r="BX65" s="279"/>
      <c r="BY65" s="279"/>
    </row>
    <row r="66" ht="13.8" spans="1:77">
      <c r="A66" s="279"/>
      <c r="B66" s="279"/>
      <c r="C66" s="279"/>
      <c r="D66" s="280"/>
      <c r="E66" s="280"/>
      <c r="F66" s="279"/>
      <c r="G66" s="280"/>
      <c r="H66" s="279"/>
      <c r="I66" s="279"/>
      <c r="J66" s="280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99"/>
      <c r="X66" s="299"/>
      <c r="Y66" s="279"/>
      <c r="Z66" s="279"/>
      <c r="AA66" s="279"/>
      <c r="AB66" s="279"/>
      <c r="AC66" s="279"/>
      <c r="AD66" s="279"/>
      <c r="AE66" s="279"/>
      <c r="AF66" s="279"/>
      <c r="AG66" s="279"/>
      <c r="AH66" s="279"/>
      <c r="AI66" s="279"/>
      <c r="AJ66" s="279"/>
      <c r="AK66" s="279"/>
      <c r="AL66" s="279"/>
      <c r="AM66" s="279"/>
      <c r="AN66" s="279"/>
      <c r="AO66" s="279"/>
      <c r="AP66" s="279"/>
      <c r="AQ66" s="279"/>
      <c r="AR66" s="279"/>
      <c r="AS66" s="279"/>
      <c r="AT66" s="279"/>
      <c r="AU66" s="279"/>
      <c r="AV66" s="279"/>
      <c r="AW66" s="279"/>
      <c r="AX66" s="279"/>
      <c r="AY66" s="279"/>
      <c r="AZ66" s="279"/>
      <c r="BA66" s="279"/>
      <c r="BB66" s="279"/>
      <c r="BC66" s="279"/>
      <c r="BD66" s="279"/>
      <c r="BE66" s="279"/>
      <c r="BF66" s="279"/>
      <c r="BG66" s="279"/>
      <c r="BH66" s="279"/>
      <c r="BI66" s="279"/>
      <c r="BJ66" s="279"/>
      <c r="BK66" s="279"/>
      <c r="BL66" s="279"/>
      <c r="BM66" s="279"/>
      <c r="BN66" s="279"/>
      <c r="BO66" s="279"/>
      <c r="BP66" s="279"/>
      <c r="BQ66" s="279"/>
      <c r="BR66" s="279"/>
      <c r="BS66" s="279"/>
      <c r="BT66" s="279"/>
      <c r="BU66" s="279"/>
      <c r="BV66" s="279"/>
      <c r="BW66" s="279"/>
      <c r="BX66" s="279"/>
      <c r="BY66" s="279"/>
    </row>
    <row r="67" ht="13.8" spans="1:77">
      <c r="A67" s="279"/>
      <c r="B67" s="279"/>
      <c r="C67" s="279"/>
      <c r="D67" s="280"/>
      <c r="E67" s="280"/>
      <c r="F67" s="279"/>
      <c r="G67" s="280"/>
      <c r="H67" s="279"/>
      <c r="I67" s="279"/>
      <c r="J67" s="280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99"/>
      <c r="X67" s="299"/>
      <c r="Y67" s="279"/>
      <c r="Z67" s="279"/>
      <c r="AA67" s="279"/>
      <c r="AB67" s="279"/>
      <c r="AC67" s="279"/>
      <c r="AD67" s="279"/>
      <c r="AE67" s="279"/>
      <c r="AF67" s="279"/>
      <c r="AG67" s="279"/>
      <c r="AH67" s="279"/>
      <c r="AI67" s="279"/>
      <c r="AJ67" s="279"/>
      <c r="AK67" s="279"/>
      <c r="AL67" s="279"/>
      <c r="AM67" s="279"/>
      <c r="AN67" s="279"/>
      <c r="AO67" s="279"/>
      <c r="AP67" s="279"/>
      <c r="AQ67" s="279"/>
      <c r="AR67" s="279"/>
      <c r="AS67" s="279"/>
      <c r="AT67" s="279"/>
      <c r="AU67" s="279"/>
      <c r="AV67" s="279"/>
      <c r="AW67" s="279"/>
      <c r="AX67" s="279"/>
      <c r="AY67" s="279"/>
      <c r="AZ67" s="279"/>
      <c r="BA67" s="279"/>
      <c r="BB67" s="279"/>
      <c r="BC67" s="279"/>
      <c r="BD67" s="279"/>
      <c r="BE67" s="279"/>
      <c r="BF67" s="279"/>
      <c r="BG67" s="279"/>
      <c r="BH67" s="279"/>
      <c r="BI67" s="279"/>
      <c r="BJ67" s="279"/>
      <c r="BK67" s="279"/>
      <c r="BL67" s="279"/>
      <c r="BM67" s="279"/>
      <c r="BN67" s="279"/>
      <c r="BO67" s="279"/>
      <c r="BP67" s="279"/>
      <c r="BQ67" s="279"/>
      <c r="BR67" s="279"/>
      <c r="BS67" s="279"/>
      <c r="BT67" s="279"/>
      <c r="BU67" s="279"/>
      <c r="BV67" s="279"/>
      <c r="BW67" s="279"/>
      <c r="BX67" s="279"/>
      <c r="BY67" s="279"/>
    </row>
    <row r="68" ht="13.8" spans="1:77">
      <c r="A68" s="279"/>
      <c r="B68" s="279"/>
      <c r="C68" s="279"/>
      <c r="D68" s="280"/>
      <c r="E68" s="280"/>
      <c r="F68" s="279"/>
      <c r="G68" s="280"/>
      <c r="H68" s="279"/>
      <c r="I68" s="279"/>
      <c r="J68" s="280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99"/>
      <c r="X68" s="29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  <c r="AR68" s="279"/>
      <c r="AS68" s="279"/>
      <c r="AT68" s="279"/>
      <c r="AU68" s="279"/>
      <c r="AV68" s="279"/>
      <c r="AW68" s="279"/>
      <c r="AX68" s="279"/>
      <c r="AY68" s="279"/>
      <c r="AZ68" s="279"/>
      <c r="BA68" s="279"/>
      <c r="BB68" s="279"/>
      <c r="BC68" s="279"/>
      <c r="BD68" s="279"/>
      <c r="BE68" s="279"/>
      <c r="BF68" s="279"/>
      <c r="BG68" s="279"/>
      <c r="BH68" s="279"/>
      <c r="BI68" s="279"/>
      <c r="BJ68" s="279"/>
      <c r="BK68" s="279"/>
      <c r="BL68" s="279"/>
      <c r="BM68" s="279"/>
      <c r="BN68" s="279"/>
      <c r="BO68" s="279"/>
      <c r="BP68" s="279"/>
      <c r="BQ68" s="279"/>
      <c r="BR68" s="279"/>
      <c r="BS68" s="279"/>
      <c r="BT68" s="279"/>
      <c r="BU68" s="279"/>
      <c r="BV68" s="279"/>
      <c r="BW68" s="279"/>
      <c r="BX68" s="279"/>
      <c r="BY68" s="279"/>
    </row>
    <row r="69" ht="13.8" spans="1:77">
      <c r="A69" s="279"/>
      <c r="B69" s="279"/>
      <c r="C69" s="279"/>
      <c r="D69" s="280"/>
      <c r="E69" s="280"/>
      <c r="F69" s="279"/>
      <c r="G69" s="280"/>
      <c r="H69" s="279"/>
      <c r="I69" s="279"/>
      <c r="J69" s="280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99"/>
      <c r="X69" s="299"/>
      <c r="Y69" s="279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79"/>
      <c r="AQ69" s="279"/>
      <c r="AR69" s="279"/>
      <c r="AS69" s="279"/>
      <c r="AT69" s="279"/>
      <c r="AU69" s="279"/>
      <c r="AV69" s="279"/>
      <c r="AW69" s="279"/>
      <c r="AX69" s="279"/>
      <c r="AY69" s="279"/>
      <c r="AZ69" s="279"/>
      <c r="BA69" s="279"/>
      <c r="BB69" s="279"/>
      <c r="BC69" s="279"/>
      <c r="BD69" s="279"/>
      <c r="BE69" s="279"/>
      <c r="BF69" s="279"/>
      <c r="BG69" s="279"/>
      <c r="BH69" s="279"/>
      <c r="BI69" s="279"/>
      <c r="BJ69" s="279"/>
      <c r="BK69" s="279"/>
      <c r="BL69" s="279"/>
      <c r="BM69" s="279"/>
      <c r="BN69" s="279"/>
      <c r="BO69" s="279"/>
      <c r="BP69" s="279"/>
      <c r="BQ69" s="279"/>
      <c r="BR69" s="279"/>
      <c r="BS69" s="279"/>
      <c r="BT69" s="279"/>
      <c r="BU69" s="279"/>
      <c r="BV69" s="279"/>
      <c r="BW69" s="279"/>
      <c r="BX69" s="279"/>
      <c r="BY69" s="279"/>
    </row>
    <row r="70" ht="13.8" spans="1:77">
      <c r="A70" s="279"/>
      <c r="B70" s="279"/>
      <c r="C70" s="279"/>
      <c r="D70" s="280"/>
      <c r="E70" s="280"/>
      <c r="F70" s="279"/>
      <c r="G70" s="280"/>
      <c r="H70" s="279"/>
      <c r="I70" s="279"/>
      <c r="J70" s="280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99"/>
      <c r="X70" s="299"/>
      <c r="Y70" s="279"/>
      <c r="Z70" s="279"/>
      <c r="AA70" s="279"/>
      <c r="AB70" s="279"/>
      <c r="AC70" s="279"/>
      <c r="AD70" s="279"/>
      <c r="AE70" s="279"/>
      <c r="AF70" s="279"/>
      <c r="AG70" s="279"/>
      <c r="AH70" s="279"/>
      <c r="AI70" s="279"/>
      <c r="AJ70" s="279"/>
      <c r="AK70" s="279"/>
      <c r="AL70" s="279"/>
      <c r="AM70" s="279"/>
      <c r="AN70" s="279"/>
      <c r="AO70" s="279"/>
      <c r="AP70" s="279"/>
      <c r="AQ70" s="279"/>
      <c r="AR70" s="279"/>
      <c r="AS70" s="279"/>
      <c r="AT70" s="279"/>
      <c r="AU70" s="279"/>
      <c r="AV70" s="279"/>
      <c r="AW70" s="279"/>
      <c r="AX70" s="279"/>
      <c r="AY70" s="279"/>
      <c r="AZ70" s="279"/>
      <c r="BA70" s="279"/>
      <c r="BB70" s="279"/>
      <c r="BC70" s="279"/>
      <c r="BD70" s="279"/>
      <c r="BE70" s="279"/>
      <c r="BF70" s="279"/>
      <c r="BG70" s="279"/>
      <c r="BH70" s="279"/>
      <c r="BI70" s="279"/>
      <c r="BJ70" s="279"/>
      <c r="BK70" s="279"/>
      <c r="BL70" s="279"/>
      <c r="BM70" s="279"/>
      <c r="BN70" s="279"/>
      <c r="BO70" s="279"/>
      <c r="BP70" s="279"/>
      <c r="BQ70" s="279"/>
      <c r="BR70" s="279"/>
      <c r="BS70" s="279"/>
      <c r="BT70" s="279"/>
      <c r="BU70" s="279"/>
      <c r="BV70" s="279"/>
      <c r="BW70" s="279"/>
      <c r="BX70" s="279"/>
      <c r="BY70" s="279"/>
    </row>
    <row r="71" ht="13.8" spans="1:77">
      <c r="A71" s="279"/>
      <c r="B71" s="279"/>
      <c r="C71" s="279"/>
      <c r="D71" s="280"/>
      <c r="E71" s="280"/>
      <c r="F71" s="279"/>
      <c r="G71" s="280"/>
      <c r="H71" s="279"/>
      <c r="I71" s="279"/>
      <c r="J71" s="280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99"/>
      <c r="X71" s="299"/>
      <c r="Y71" s="279"/>
      <c r="Z71" s="279"/>
      <c r="AA71" s="279"/>
      <c r="AB71" s="279"/>
      <c r="AC71" s="279"/>
      <c r="AD71" s="279"/>
      <c r="AE71" s="279"/>
      <c r="AF71" s="279"/>
      <c r="AG71" s="279"/>
      <c r="AH71" s="279"/>
      <c r="AI71" s="279"/>
      <c r="AJ71" s="279"/>
      <c r="AK71" s="279"/>
      <c r="AL71" s="279"/>
      <c r="AM71" s="279"/>
      <c r="AN71" s="279"/>
      <c r="AO71" s="279"/>
      <c r="AP71" s="279"/>
      <c r="AQ71" s="279"/>
      <c r="AR71" s="279"/>
      <c r="AS71" s="279"/>
      <c r="AT71" s="279"/>
      <c r="AU71" s="279"/>
      <c r="AV71" s="279"/>
      <c r="AW71" s="279"/>
      <c r="AX71" s="279"/>
      <c r="AY71" s="279"/>
      <c r="AZ71" s="279"/>
      <c r="BA71" s="279"/>
      <c r="BB71" s="279"/>
      <c r="BC71" s="279"/>
      <c r="BD71" s="279"/>
      <c r="BE71" s="279"/>
      <c r="BF71" s="279"/>
      <c r="BG71" s="279"/>
      <c r="BH71" s="279"/>
      <c r="BI71" s="279"/>
      <c r="BJ71" s="279"/>
      <c r="BK71" s="279"/>
      <c r="BL71" s="279"/>
      <c r="BM71" s="279"/>
      <c r="BN71" s="279"/>
      <c r="BO71" s="279"/>
      <c r="BP71" s="279"/>
      <c r="BQ71" s="279"/>
      <c r="BR71" s="279"/>
      <c r="BS71" s="279"/>
      <c r="BT71" s="279"/>
      <c r="BU71" s="279"/>
      <c r="BV71" s="279"/>
      <c r="BW71" s="279"/>
      <c r="BX71" s="279"/>
      <c r="BY71" s="279"/>
    </row>
    <row r="72" ht="13.8" spans="1:77">
      <c r="A72" s="279"/>
      <c r="B72" s="279"/>
      <c r="C72" s="279"/>
      <c r="D72" s="280"/>
      <c r="E72" s="280"/>
      <c r="F72" s="279"/>
      <c r="G72" s="280"/>
      <c r="H72" s="279"/>
      <c r="I72" s="279"/>
      <c r="J72" s="280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99"/>
      <c r="X72" s="299"/>
      <c r="Y72" s="279"/>
      <c r="Z72" s="279"/>
      <c r="AA72" s="279"/>
      <c r="AB72" s="279"/>
      <c r="AC72" s="279"/>
      <c r="AD72" s="279"/>
      <c r="AE72" s="279"/>
      <c r="AF72" s="279"/>
      <c r="AG72" s="279"/>
      <c r="AH72" s="279"/>
      <c r="AI72" s="279"/>
      <c r="AJ72" s="279"/>
      <c r="AK72" s="279"/>
      <c r="AL72" s="279"/>
      <c r="AM72" s="279"/>
      <c r="AN72" s="279"/>
      <c r="AO72" s="279"/>
      <c r="AP72" s="279"/>
      <c r="AQ72" s="279"/>
      <c r="AR72" s="279"/>
      <c r="AS72" s="279"/>
      <c r="AT72" s="279"/>
      <c r="AU72" s="279"/>
      <c r="AV72" s="279"/>
      <c r="AW72" s="279"/>
      <c r="AX72" s="279"/>
      <c r="AY72" s="279"/>
      <c r="AZ72" s="279"/>
      <c r="BA72" s="279"/>
      <c r="BB72" s="279"/>
      <c r="BC72" s="279"/>
      <c r="BD72" s="279"/>
      <c r="BE72" s="279"/>
      <c r="BF72" s="279"/>
      <c r="BG72" s="279"/>
      <c r="BH72" s="279"/>
      <c r="BI72" s="279"/>
      <c r="BJ72" s="279"/>
      <c r="BK72" s="279"/>
      <c r="BL72" s="279"/>
      <c r="BM72" s="279"/>
      <c r="BN72" s="279"/>
      <c r="BO72" s="279"/>
      <c r="BP72" s="279"/>
      <c r="BQ72" s="279"/>
      <c r="BR72" s="279"/>
      <c r="BS72" s="279"/>
      <c r="BT72" s="279"/>
      <c r="BU72" s="279"/>
      <c r="BV72" s="279"/>
      <c r="BW72" s="279"/>
      <c r="BX72" s="279"/>
      <c r="BY72" s="279"/>
    </row>
    <row r="73" ht="13.8" spans="1:77">
      <c r="A73" s="279"/>
      <c r="B73" s="279"/>
      <c r="C73" s="279"/>
      <c r="D73" s="280"/>
      <c r="E73" s="280"/>
      <c r="F73" s="279"/>
      <c r="G73" s="280"/>
      <c r="H73" s="279"/>
      <c r="I73" s="279"/>
      <c r="J73" s="280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99"/>
      <c r="X73" s="299"/>
      <c r="Y73" s="279"/>
      <c r="Z73" s="279"/>
      <c r="AA73" s="279"/>
      <c r="AB73" s="279"/>
      <c r="AC73" s="279"/>
      <c r="AD73" s="279"/>
      <c r="AE73" s="279"/>
      <c r="AF73" s="279"/>
      <c r="AG73" s="279"/>
      <c r="AH73" s="279"/>
      <c r="AI73" s="279"/>
      <c r="AJ73" s="279"/>
      <c r="AK73" s="279"/>
      <c r="AL73" s="279"/>
      <c r="AM73" s="279"/>
      <c r="AN73" s="279"/>
      <c r="AO73" s="279"/>
      <c r="AP73" s="279"/>
      <c r="AQ73" s="279"/>
      <c r="AR73" s="279"/>
      <c r="AS73" s="279"/>
      <c r="AT73" s="279"/>
      <c r="AU73" s="279"/>
      <c r="AV73" s="279"/>
      <c r="AW73" s="279"/>
      <c r="AX73" s="279"/>
      <c r="AY73" s="279"/>
      <c r="AZ73" s="279"/>
      <c r="BA73" s="279"/>
      <c r="BB73" s="279"/>
      <c r="BC73" s="279"/>
      <c r="BD73" s="279"/>
      <c r="BE73" s="279"/>
      <c r="BF73" s="279"/>
      <c r="BG73" s="279"/>
      <c r="BH73" s="279"/>
      <c r="BI73" s="279"/>
      <c r="BJ73" s="279"/>
      <c r="BK73" s="279"/>
      <c r="BL73" s="279"/>
      <c r="BM73" s="279"/>
      <c r="BN73" s="279"/>
      <c r="BO73" s="279"/>
      <c r="BP73" s="279"/>
      <c r="BQ73" s="279"/>
      <c r="BR73" s="279"/>
      <c r="BS73" s="279"/>
      <c r="BT73" s="279"/>
      <c r="BU73" s="279"/>
      <c r="BV73" s="279"/>
      <c r="BW73" s="279"/>
      <c r="BX73" s="279"/>
      <c r="BY73" s="279"/>
    </row>
    <row r="74" ht="13.8" spans="1:77">
      <c r="A74" s="279"/>
      <c r="B74" s="279"/>
      <c r="C74" s="279"/>
      <c r="D74" s="280"/>
      <c r="E74" s="280"/>
      <c r="F74" s="279"/>
      <c r="G74" s="280"/>
      <c r="H74" s="279"/>
      <c r="I74" s="279"/>
      <c r="J74" s="280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99"/>
      <c r="X74" s="299"/>
      <c r="Y74" s="279"/>
      <c r="Z74" s="279"/>
      <c r="AA74" s="279"/>
      <c r="AB74" s="279"/>
      <c r="AC74" s="279"/>
      <c r="AD74" s="279"/>
      <c r="AE74" s="279"/>
      <c r="AF74" s="279"/>
      <c r="AG74" s="279"/>
      <c r="AH74" s="279"/>
      <c r="AI74" s="279"/>
      <c r="AJ74" s="279"/>
      <c r="AK74" s="279"/>
      <c r="AL74" s="279"/>
      <c r="AM74" s="279"/>
      <c r="AN74" s="279"/>
      <c r="AO74" s="279"/>
      <c r="AP74" s="279"/>
      <c r="AQ74" s="279"/>
      <c r="AR74" s="279"/>
      <c r="AS74" s="279"/>
      <c r="AT74" s="279"/>
      <c r="AU74" s="279"/>
      <c r="AV74" s="279"/>
      <c r="AW74" s="279"/>
      <c r="AX74" s="279"/>
      <c r="AY74" s="279"/>
      <c r="AZ74" s="279"/>
      <c r="BA74" s="279"/>
      <c r="BB74" s="279"/>
      <c r="BC74" s="279"/>
      <c r="BD74" s="279"/>
      <c r="BE74" s="279"/>
      <c r="BF74" s="279"/>
      <c r="BG74" s="279"/>
      <c r="BH74" s="279"/>
      <c r="BI74" s="279"/>
      <c r="BJ74" s="279"/>
      <c r="BK74" s="279"/>
      <c r="BL74" s="279"/>
      <c r="BM74" s="279"/>
      <c r="BN74" s="279"/>
      <c r="BO74" s="279"/>
      <c r="BP74" s="279"/>
      <c r="BQ74" s="279"/>
      <c r="BR74" s="279"/>
      <c r="BS74" s="279"/>
      <c r="BT74" s="279"/>
      <c r="BU74" s="279"/>
      <c r="BV74" s="279"/>
      <c r="BW74" s="279"/>
      <c r="BX74" s="279"/>
      <c r="BY74" s="279"/>
    </row>
    <row r="75" ht="13.8" spans="1:77">
      <c r="A75" s="279"/>
      <c r="B75" s="279"/>
      <c r="C75" s="279"/>
      <c r="D75" s="280"/>
      <c r="E75" s="280"/>
      <c r="F75" s="279"/>
      <c r="G75" s="280"/>
      <c r="H75" s="279"/>
      <c r="I75" s="279"/>
      <c r="J75" s="280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99"/>
      <c r="X75" s="299"/>
      <c r="Y75" s="279"/>
      <c r="Z75" s="279"/>
      <c r="AA75" s="279"/>
      <c r="AB75" s="279"/>
      <c r="AC75" s="279"/>
      <c r="AD75" s="279"/>
      <c r="AE75" s="279"/>
      <c r="AF75" s="279"/>
      <c r="AG75" s="279"/>
      <c r="AH75" s="279"/>
      <c r="AI75" s="279"/>
      <c r="AJ75" s="279"/>
      <c r="AK75" s="279"/>
      <c r="AL75" s="279"/>
      <c r="AM75" s="279"/>
      <c r="AN75" s="279"/>
      <c r="AO75" s="279"/>
      <c r="AP75" s="279"/>
      <c r="AQ75" s="279"/>
      <c r="AR75" s="279"/>
      <c r="AS75" s="279"/>
      <c r="AT75" s="279"/>
      <c r="AU75" s="279"/>
      <c r="AV75" s="279"/>
      <c r="AW75" s="279"/>
      <c r="AX75" s="279"/>
      <c r="AY75" s="279"/>
      <c r="AZ75" s="279"/>
      <c r="BA75" s="279"/>
      <c r="BB75" s="279"/>
      <c r="BC75" s="279"/>
      <c r="BD75" s="279"/>
      <c r="BE75" s="279"/>
      <c r="BF75" s="279"/>
      <c r="BG75" s="279"/>
      <c r="BH75" s="279"/>
      <c r="BI75" s="279"/>
      <c r="BJ75" s="279"/>
      <c r="BK75" s="279"/>
      <c r="BL75" s="279"/>
      <c r="BM75" s="279"/>
      <c r="BN75" s="279"/>
      <c r="BO75" s="279"/>
      <c r="BP75" s="279"/>
      <c r="BQ75" s="279"/>
      <c r="BR75" s="279"/>
      <c r="BS75" s="279"/>
      <c r="BT75" s="279"/>
      <c r="BU75" s="279"/>
      <c r="BV75" s="279"/>
      <c r="BW75" s="279"/>
      <c r="BX75" s="279"/>
      <c r="BY75" s="279"/>
    </row>
    <row r="76" ht="13.8" spans="1:77">
      <c r="A76" s="279"/>
      <c r="B76" s="279"/>
      <c r="C76" s="279"/>
      <c r="D76" s="280"/>
      <c r="E76" s="280"/>
      <c r="F76" s="279"/>
      <c r="G76" s="280"/>
      <c r="H76" s="279"/>
      <c r="I76" s="279"/>
      <c r="J76" s="280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99"/>
      <c r="X76" s="299"/>
      <c r="Y76" s="279"/>
      <c r="Z76" s="279"/>
      <c r="AA76" s="279"/>
      <c r="AB76" s="279"/>
      <c r="AC76" s="279"/>
      <c r="AD76" s="279"/>
      <c r="AE76" s="279"/>
      <c r="AF76" s="279"/>
      <c r="AG76" s="279"/>
      <c r="AH76" s="279"/>
      <c r="AI76" s="279"/>
      <c r="AJ76" s="279"/>
      <c r="AK76" s="279"/>
      <c r="AL76" s="279"/>
      <c r="AM76" s="279"/>
      <c r="AN76" s="279"/>
      <c r="AO76" s="279"/>
      <c r="AP76" s="279"/>
      <c r="AQ76" s="279"/>
      <c r="AR76" s="279"/>
      <c r="AS76" s="279"/>
      <c r="AT76" s="279"/>
      <c r="AU76" s="279"/>
      <c r="AV76" s="279"/>
      <c r="AW76" s="279"/>
      <c r="AX76" s="279"/>
      <c r="AY76" s="279"/>
      <c r="AZ76" s="279"/>
      <c r="BA76" s="279"/>
      <c r="BB76" s="279"/>
      <c r="BC76" s="279"/>
      <c r="BD76" s="279"/>
      <c r="BE76" s="279"/>
      <c r="BF76" s="279"/>
      <c r="BG76" s="279"/>
      <c r="BH76" s="279"/>
      <c r="BI76" s="279"/>
      <c r="BJ76" s="279"/>
      <c r="BK76" s="279"/>
      <c r="BL76" s="279"/>
      <c r="BM76" s="279"/>
      <c r="BN76" s="279"/>
      <c r="BO76" s="279"/>
      <c r="BP76" s="279"/>
      <c r="BQ76" s="279"/>
      <c r="BR76" s="279"/>
      <c r="BS76" s="279"/>
      <c r="BT76" s="279"/>
      <c r="BU76" s="279"/>
      <c r="BV76" s="279"/>
      <c r="BW76" s="279"/>
      <c r="BX76" s="279"/>
      <c r="BY76" s="279"/>
    </row>
    <row r="77" ht="13.8" spans="1:77">
      <c r="A77" s="279"/>
      <c r="B77" s="279"/>
      <c r="C77" s="279"/>
      <c r="D77" s="280"/>
      <c r="E77" s="280"/>
      <c r="F77" s="279"/>
      <c r="G77" s="280"/>
      <c r="H77" s="279"/>
      <c r="I77" s="279"/>
      <c r="J77" s="280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99"/>
      <c r="X77" s="299"/>
      <c r="Y77" s="279"/>
      <c r="Z77" s="279"/>
      <c r="AA77" s="279"/>
      <c r="AB77" s="279"/>
      <c r="AC77" s="279"/>
      <c r="AD77" s="279"/>
      <c r="AE77" s="279"/>
      <c r="AF77" s="279"/>
      <c r="AG77" s="279"/>
      <c r="AH77" s="279"/>
      <c r="AI77" s="279"/>
      <c r="AJ77" s="279"/>
      <c r="AK77" s="279"/>
      <c r="AL77" s="279"/>
      <c r="AM77" s="279"/>
      <c r="AN77" s="279"/>
      <c r="AO77" s="279"/>
      <c r="AP77" s="279"/>
      <c r="AQ77" s="279"/>
      <c r="AR77" s="279"/>
      <c r="AS77" s="279"/>
      <c r="AT77" s="279"/>
      <c r="AU77" s="279"/>
      <c r="AV77" s="279"/>
      <c r="AW77" s="279"/>
      <c r="AX77" s="279"/>
      <c r="AY77" s="279"/>
      <c r="AZ77" s="279"/>
      <c r="BA77" s="279"/>
      <c r="BB77" s="279"/>
      <c r="BC77" s="279"/>
      <c r="BD77" s="279"/>
      <c r="BE77" s="279"/>
      <c r="BF77" s="279"/>
      <c r="BG77" s="279"/>
      <c r="BH77" s="279"/>
      <c r="BI77" s="279"/>
      <c r="BJ77" s="279"/>
      <c r="BK77" s="279"/>
      <c r="BL77" s="279"/>
      <c r="BM77" s="279"/>
      <c r="BN77" s="279"/>
      <c r="BO77" s="279"/>
      <c r="BP77" s="279"/>
      <c r="BQ77" s="279"/>
      <c r="BR77" s="279"/>
      <c r="BS77" s="279"/>
      <c r="BT77" s="279"/>
      <c r="BU77" s="279"/>
      <c r="BV77" s="279"/>
      <c r="BW77" s="279"/>
      <c r="BX77" s="279"/>
      <c r="BY77" s="279"/>
    </row>
    <row r="78" ht="13.8" spans="1:77">
      <c r="A78" s="279"/>
      <c r="B78" s="279"/>
      <c r="C78" s="279"/>
      <c r="D78" s="280"/>
      <c r="E78" s="280"/>
      <c r="F78" s="279"/>
      <c r="G78" s="280"/>
      <c r="H78" s="279"/>
      <c r="I78" s="279"/>
      <c r="J78" s="280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99"/>
      <c r="X78" s="299"/>
      <c r="Y78" s="279"/>
      <c r="Z78" s="279"/>
      <c r="AA78" s="279"/>
      <c r="AB78" s="279"/>
      <c r="AC78" s="279"/>
      <c r="AD78" s="279"/>
      <c r="AE78" s="279"/>
      <c r="AF78" s="279"/>
      <c r="AG78" s="279"/>
      <c r="AH78" s="279"/>
      <c r="AI78" s="279"/>
      <c r="AJ78" s="279"/>
      <c r="AK78" s="279"/>
      <c r="AL78" s="279"/>
      <c r="AM78" s="279"/>
      <c r="AN78" s="279"/>
      <c r="AO78" s="279"/>
      <c r="AP78" s="279"/>
      <c r="AQ78" s="279"/>
      <c r="AR78" s="279"/>
      <c r="AS78" s="279"/>
      <c r="AT78" s="279"/>
      <c r="AU78" s="279"/>
      <c r="AV78" s="279"/>
      <c r="AW78" s="279"/>
      <c r="AX78" s="279"/>
      <c r="AY78" s="279"/>
      <c r="AZ78" s="279"/>
      <c r="BA78" s="279"/>
      <c r="BB78" s="279"/>
      <c r="BC78" s="279"/>
      <c r="BD78" s="279"/>
      <c r="BE78" s="279"/>
      <c r="BF78" s="279"/>
      <c r="BG78" s="279"/>
      <c r="BH78" s="279"/>
      <c r="BI78" s="279"/>
      <c r="BJ78" s="279"/>
      <c r="BK78" s="279"/>
      <c r="BL78" s="279"/>
      <c r="BM78" s="279"/>
      <c r="BN78" s="279"/>
      <c r="BO78" s="279"/>
      <c r="BP78" s="279"/>
      <c r="BQ78" s="279"/>
      <c r="BR78" s="279"/>
      <c r="BS78" s="279"/>
      <c r="BT78" s="279"/>
      <c r="BU78" s="279"/>
      <c r="BV78" s="279"/>
      <c r="BW78" s="279"/>
      <c r="BX78" s="279"/>
      <c r="BY78" s="279"/>
    </row>
    <row r="79" ht="13.8" spans="1:77">
      <c r="A79" s="279"/>
      <c r="B79" s="279"/>
      <c r="C79" s="279"/>
      <c r="D79" s="280"/>
      <c r="E79" s="280"/>
      <c r="F79" s="279"/>
      <c r="G79" s="280"/>
      <c r="H79" s="279"/>
      <c r="I79" s="279"/>
      <c r="J79" s="280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99"/>
      <c r="X79" s="29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  <c r="AY79" s="279"/>
      <c r="AZ79" s="279"/>
      <c r="BA79" s="279"/>
      <c r="BB79" s="279"/>
      <c r="BC79" s="279"/>
      <c r="BD79" s="279"/>
      <c r="BE79" s="279"/>
      <c r="BF79" s="279"/>
      <c r="BG79" s="279"/>
      <c r="BH79" s="279"/>
      <c r="BI79" s="279"/>
      <c r="BJ79" s="279"/>
      <c r="BK79" s="279"/>
      <c r="BL79" s="279"/>
      <c r="BM79" s="279"/>
      <c r="BN79" s="279"/>
      <c r="BO79" s="279"/>
      <c r="BP79" s="279"/>
      <c r="BQ79" s="279"/>
      <c r="BR79" s="279"/>
      <c r="BS79" s="279"/>
      <c r="BT79" s="279"/>
      <c r="BU79" s="279"/>
      <c r="BV79" s="279"/>
      <c r="BW79" s="279"/>
      <c r="BX79" s="279"/>
      <c r="BY79" s="279"/>
    </row>
    <row r="80" ht="13.8" spans="1:77">
      <c r="A80" s="279"/>
      <c r="B80" s="279"/>
      <c r="C80" s="279"/>
      <c r="D80" s="280"/>
      <c r="E80" s="280"/>
      <c r="F80" s="279"/>
      <c r="G80" s="280"/>
      <c r="H80" s="279"/>
      <c r="I80" s="279"/>
      <c r="J80" s="280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99"/>
      <c r="X80" s="299"/>
      <c r="Y80" s="279"/>
      <c r="Z80" s="279"/>
      <c r="AA80" s="279"/>
      <c r="AB80" s="279"/>
      <c r="AC80" s="279"/>
      <c r="AD80" s="279"/>
      <c r="AE80" s="279"/>
      <c r="AF80" s="279"/>
      <c r="AG80" s="279"/>
      <c r="AH80" s="279"/>
      <c r="AI80" s="279"/>
      <c r="AJ80" s="279"/>
      <c r="AK80" s="279"/>
      <c r="AL80" s="279"/>
      <c r="AM80" s="279"/>
      <c r="AN80" s="279"/>
      <c r="AO80" s="279"/>
      <c r="AP80" s="279"/>
      <c r="AQ80" s="279"/>
      <c r="AR80" s="279"/>
      <c r="AS80" s="279"/>
      <c r="AT80" s="279"/>
      <c r="AU80" s="279"/>
      <c r="AV80" s="279"/>
      <c r="AW80" s="279"/>
      <c r="AX80" s="279"/>
      <c r="AY80" s="279"/>
      <c r="AZ80" s="279"/>
      <c r="BA80" s="279"/>
      <c r="BB80" s="279"/>
      <c r="BC80" s="279"/>
      <c r="BD80" s="279"/>
      <c r="BE80" s="279"/>
      <c r="BF80" s="279"/>
      <c r="BG80" s="279"/>
      <c r="BH80" s="279"/>
      <c r="BI80" s="279"/>
      <c r="BJ80" s="279"/>
      <c r="BK80" s="279"/>
      <c r="BL80" s="279"/>
      <c r="BM80" s="279"/>
      <c r="BN80" s="279"/>
      <c r="BO80" s="279"/>
      <c r="BP80" s="279"/>
      <c r="BQ80" s="279"/>
      <c r="BR80" s="279"/>
      <c r="BS80" s="279"/>
      <c r="BT80" s="279"/>
      <c r="BU80" s="279"/>
      <c r="BV80" s="279"/>
      <c r="BW80" s="279"/>
      <c r="BX80" s="279"/>
      <c r="BY80" s="279"/>
    </row>
    <row r="81" ht="13.8" spans="1:77">
      <c r="A81" s="279"/>
      <c r="B81" s="279"/>
      <c r="C81" s="279"/>
      <c r="D81" s="280"/>
      <c r="E81" s="280"/>
      <c r="F81" s="279"/>
      <c r="G81" s="280"/>
      <c r="H81" s="279"/>
      <c r="I81" s="279"/>
      <c r="J81" s="280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99"/>
      <c r="X81" s="299"/>
      <c r="Y81" s="279"/>
      <c r="Z81" s="279"/>
      <c r="AA81" s="279"/>
      <c r="AB81" s="279"/>
      <c r="AC81" s="279"/>
      <c r="AD81" s="279"/>
      <c r="AE81" s="279"/>
      <c r="AF81" s="279"/>
      <c r="AG81" s="279"/>
      <c r="AH81" s="279"/>
      <c r="AI81" s="279"/>
      <c r="AJ81" s="279"/>
      <c r="AK81" s="279"/>
      <c r="AL81" s="279"/>
      <c r="AM81" s="279"/>
      <c r="AN81" s="279"/>
      <c r="AO81" s="279"/>
      <c r="AP81" s="279"/>
      <c r="AQ81" s="279"/>
      <c r="AR81" s="279"/>
      <c r="AS81" s="279"/>
      <c r="AT81" s="279"/>
      <c r="AU81" s="279"/>
      <c r="AV81" s="279"/>
      <c r="AW81" s="279"/>
      <c r="AX81" s="279"/>
      <c r="AY81" s="279"/>
      <c r="AZ81" s="279"/>
      <c r="BA81" s="279"/>
      <c r="BB81" s="279"/>
      <c r="BC81" s="279"/>
      <c r="BD81" s="279"/>
      <c r="BE81" s="279"/>
      <c r="BF81" s="279"/>
      <c r="BG81" s="279"/>
      <c r="BH81" s="279"/>
      <c r="BI81" s="279"/>
      <c r="BJ81" s="279"/>
      <c r="BK81" s="279"/>
      <c r="BL81" s="279"/>
      <c r="BM81" s="279"/>
      <c r="BN81" s="279"/>
      <c r="BO81" s="279"/>
      <c r="BP81" s="279"/>
      <c r="BQ81" s="279"/>
      <c r="BR81" s="279"/>
      <c r="BS81" s="279"/>
      <c r="BT81" s="279"/>
      <c r="BU81" s="279"/>
      <c r="BV81" s="279"/>
      <c r="BW81" s="279"/>
      <c r="BX81" s="279"/>
      <c r="BY81" s="279"/>
    </row>
    <row r="82" ht="13.8" spans="1:77">
      <c r="A82" s="279"/>
      <c r="B82" s="279"/>
      <c r="C82" s="279"/>
      <c r="D82" s="280"/>
      <c r="E82" s="280"/>
      <c r="F82" s="279"/>
      <c r="G82" s="280"/>
      <c r="H82" s="279"/>
      <c r="I82" s="279"/>
      <c r="J82" s="280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99"/>
      <c r="X82" s="299"/>
      <c r="Y82" s="279"/>
      <c r="Z82" s="279"/>
      <c r="AA82" s="279"/>
      <c r="AB82" s="279"/>
      <c r="AC82" s="279"/>
      <c r="AD82" s="279"/>
      <c r="AE82" s="279"/>
      <c r="AF82" s="279"/>
      <c r="AG82" s="279"/>
      <c r="AH82" s="279"/>
      <c r="AI82" s="279"/>
      <c r="AJ82" s="279"/>
      <c r="AK82" s="279"/>
      <c r="AL82" s="279"/>
      <c r="AM82" s="279"/>
      <c r="AN82" s="279"/>
      <c r="AO82" s="279"/>
      <c r="AP82" s="279"/>
      <c r="AQ82" s="279"/>
      <c r="AR82" s="279"/>
      <c r="AS82" s="279"/>
      <c r="AT82" s="279"/>
      <c r="AU82" s="279"/>
      <c r="AV82" s="279"/>
      <c r="AW82" s="279"/>
      <c r="AX82" s="279"/>
      <c r="AY82" s="279"/>
      <c r="AZ82" s="279"/>
      <c r="BA82" s="279"/>
      <c r="BB82" s="279"/>
      <c r="BC82" s="279"/>
      <c r="BD82" s="279"/>
      <c r="BE82" s="279"/>
      <c r="BF82" s="279"/>
      <c r="BG82" s="279"/>
      <c r="BH82" s="279"/>
      <c r="BI82" s="279"/>
      <c r="BJ82" s="279"/>
      <c r="BK82" s="279"/>
      <c r="BL82" s="279"/>
      <c r="BM82" s="279"/>
      <c r="BN82" s="279"/>
      <c r="BO82" s="279"/>
      <c r="BP82" s="279"/>
      <c r="BQ82" s="279"/>
      <c r="BR82" s="279"/>
      <c r="BS82" s="279"/>
      <c r="BT82" s="279"/>
      <c r="BU82" s="279"/>
      <c r="BV82" s="279"/>
      <c r="BW82" s="279"/>
      <c r="BX82" s="279"/>
      <c r="BY82" s="279"/>
    </row>
    <row r="83" ht="13.8" spans="1:77">
      <c r="A83" s="279"/>
      <c r="B83" s="279"/>
      <c r="C83" s="279"/>
      <c r="D83" s="280"/>
      <c r="E83" s="280"/>
      <c r="F83" s="279"/>
      <c r="G83" s="280"/>
      <c r="H83" s="279"/>
      <c r="I83" s="279"/>
      <c r="J83" s="280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99"/>
      <c r="X83" s="299"/>
      <c r="Y83" s="279"/>
      <c r="Z83" s="279"/>
      <c r="AA83" s="279"/>
      <c r="AB83" s="279"/>
      <c r="AC83" s="279"/>
      <c r="AD83" s="279"/>
      <c r="AE83" s="279"/>
      <c r="AF83" s="279"/>
      <c r="AG83" s="279"/>
      <c r="AH83" s="279"/>
      <c r="AI83" s="279"/>
      <c r="AJ83" s="279"/>
      <c r="AK83" s="279"/>
      <c r="AL83" s="279"/>
      <c r="AM83" s="279"/>
      <c r="AN83" s="279"/>
      <c r="AO83" s="279"/>
      <c r="AP83" s="279"/>
      <c r="AQ83" s="279"/>
      <c r="AR83" s="279"/>
      <c r="AS83" s="279"/>
      <c r="AT83" s="279"/>
      <c r="AU83" s="279"/>
      <c r="AV83" s="279"/>
      <c r="AW83" s="279"/>
      <c r="AX83" s="279"/>
      <c r="AY83" s="279"/>
      <c r="AZ83" s="279"/>
      <c r="BA83" s="279"/>
      <c r="BB83" s="279"/>
      <c r="BC83" s="279"/>
      <c r="BD83" s="279"/>
      <c r="BE83" s="279"/>
      <c r="BF83" s="279"/>
      <c r="BG83" s="279"/>
      <c r="BH83" s="279"/>
      <c r="BI83" s="279"/>
      <c r="BJ83" s="279"/>
      <c r="BK83" s="279"/>
      <c r="BL83" s="279"/>
      <c r="BM83" s="279"/>
      <c r="BN83" s="279"/>
      <c r="BO83" s="279"/>
      <c r="BP83" s="279"/>
      <c r="BQ83" s="279"/>
      <c r="BR83" s="279"/>
      <c r="BS83" s="279"/>
      <c r="BT83" s="279"/>
      <c r="BU83" s="279"/>
      <c r="BV83" s="279"/>
      <c r="BW83" s="279"/>
      <c r="BX83" s="279"/>
      <c r="BY83" s="279"/>
    </row>
    <row r="84" ht="13.8" spans="1:77">
      <c r="A84" s="279"/>
      <c r="B84" s="279"/>
      <c r="C84" s="279"/>
      <c r="D84" s="280"/>
      <c r="E84" s="280"/>
      <c r="F84" s="279"/>
      <c r="G84" s="280"/>
      <c r="H84" s="279"/>
      <c r="I84" s="279"/>
      <c r="J84" s="280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99"/>
      <c r="X84" s="29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/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  <c r="AY84" s="279"/>
      <c r="AZ84" s="279"/>
      <c r="BA84" s="279"/>
      <c r="BB84" s="279"/>
      <c r="BC84" s="279"/>
      <c r="BD84" s="279"/>
      <c r="BE84" s="279"/>
      <c r="BF84" s="279"/>
      <c r="BG84" s="279"/>
      <c r="BH84" s="279"/>
      <c r="BI84" s="279"/>
      <c r="BJ84" s="279"/>
      <c r="BK84" s="279"/>
      <c r="BL84" s="279"/>
      <c r="BM84" s="279"/>
      <c r="BN84" s="279"/>
      <c r="BO84" s="279"/>
      <c r="BP84" s="279"/>
      <c r="BQ84" s="279"/>
      <c r="BR84" s="279"/>
      <c r="BS84" s="279"/>
      <c r="BT84" s="279"/>
      <c r="BU84" s="279"/>
      <c r="BV84" s="279"/>
      <c r="BW84" s="279"/>
      <c r="BX84" s="279"/>
      <c r="BY84" s="279"/>
    </row>
    <row r="85" ht="13.8" spans="1:77">
      <c r="A85" s="279"/>
      <c r="B85" s="279"/>
      <c r="C85" s="279"/>
      <c r="D85" s="280"/>
      <c r="E85" s="280"/>
      <c r="F85" s="279"/>
      <c r="G85" s="280"/>
      <c r="H85" s="279"/>
      <c r="I85" s="279"/>
      <c r="J85" s="280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99"/>
      <c r="X85" s="29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  <c r="AY85" s="279"/>
      <c r="AZ85" s="279"/>
      <c r="BA85" s="279"/>
      <c r="BB85" s="279"/>
      <c r="BC85" s="279"/>
      <c r="BD85" s="279"/>
      <c r="BE85" s="279"/>
      <c r="BF85" s="279"/>
      <c r="BG85" s="279"/>
      <c r="BH85" s="279"/>
      <c r="BI85" s="279"/>
      <c r="BJ85" s="279"/>
      <c r="BK85" s="279"/>
      <c r="BL85" s="279"/>
      <c r="BM85" s="279"/>
      <c r="BN85" s="279"/>
      <c r="BO85" s="279"/>
      <c r="BP85" s="279"/>
      <c r="BQ85" s="279"/>
      <c r="BR85" s="279"/>
      <c r="BS85" s="279"/>
      <c r="BT85" s="279"/>
      <c r="BU85" s="279"/>
      <c r="BV85" s="279"/>
      <c r="BW85" s="279"/>
      <c r="BX85" s="279"/>
      <c r="BY85" s="279"/>
    </row>
    <row r="86" ht="13.8" spans="1:77">
      <c r="A86" s="279"/>
      <c r="B86" s="279"/>
      <c r="C86" s="279"/>
      <c r="D86" s="280"/>
      <c r="E86" s="280"/>
      <c r="F86" s="279"/>
      <c r="G86" s="280"/>
      <c r="H86" s="279"/>
      <c r="I86" s="279"/>
      <c r="J86" s="280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99"/>
      <c r="X86" s="299"/>
      <c r="Y86" s="279"/>
      <c r="Z86" s="279"/>
      <c r="AA86" s="279"/>
      <c r="AB86" s="279"/>
      <c r="AC86" s="279"/>
      <c r="AD86" s="279"/>
      <c r="AE86" s="279"/>
      <c r="AF86" s="279"/>
      <c r="AG86" s="279"/>
      <c r="AH86" s="279"/>
      <c r="AI86" s="279"/>
      <c r="AJ86" s="279"/>
      <c r="AK86" s="279"/>
      <c r="AL86" s="279"/>
      <c r="AM86" s="279"/>
      <c r="AN86" s="279"/>
      <c r="AO86" s="279"/>
      <c r="AP86" s="279"/>
      <c r="AQ86" s="279"/>
      <c r="AR86" s="279"/>
      <c r="AS86" s="279"/>
      <c r="AT86" s="279"/>
      <c r="AU86" s="279"/>
      <c r="AV86" s="279"/>
      <c r="AW86" s="279"/>
      <c r="AX86" s="279"/>
      <c r="AY86" s="279"/>
      <c r="AZ86" s="279"/>
      <c r="BA86" s="279"/>
      <c r="BB86" s="279"/>
      <c r="BC86" s="279"/>
      <c r="BD86" s="279"/>
      <c r="BE86" s="279"/>
      <c r="BF86" s="279"/>
      <c r="BG86" s="279"/>
      <c r="BH86" s="279"/>
      <c r="BI86" s="279"/>
      <c r="BJ86" s="279"/>
      <c r="BK86" s="279"/>
      <c r="BL86" s="279"/>
      <c r="BM86" s="279"/>
      <c r="BN86" s="279"/>
      <c r="BO86" s="279"/>
      <c r="BP86" s="279"/>
      <c r="BQ86" s="279"/>
      <c r="BR86" s="279"/>
      <c r="BS86" s="279"/>
      <c r="BT86" s="279"/>
      <c r="BU86" s="279"/>
      <c r="BV86" s="279"/>
      <c r="BW86" s="279"/>
      <c r="BX86" s="279"/>
      <c r="BY86" s="279"/>
    </row>
    <row r="87" ht="13.8" spans="1:77">
      <c r="A87" s="279"/>
      <c r="B87" s="279"/>
      <c r="C87" s="279"/>
      <c r="D87" s="280"/>
      <c r="E87" s="280"/>
      <c r="F87" s="279"/>
      <c r="G87" s="280"/>
      <c r="H87" s="279"/>
      <c r="I87" s="279"/>
      <c r="J87" s="280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99"/>
      <c r="X87" s="299"/>
      <c r="Y87" s="279"/>
      <c r="Z87" s="279"/>
      <c r="AA87" s="279"/>
      <c r="AB87" s="279"/>
      <c r="AC87" s="279"/>
      <c r="AD87" s="279"/>
      <c r="AE87" s="279"/>
      <c r="AF87" s="279"/>
      <c r="AG87" s="279"/>
      <c r="AH87" s="279"/>
      <c r="AI87" s="279"/>
      <c r="AJ87" s="279"/>
      <c r="AK87" s="279"/>
      <c r="AL87" s="279"/>
      <c r="AM87" s="279"/>
      <c r="AN87" s="279"/>
      <c r="AO87" s="279"/>
      <c r="AP87" s="279"/>
      <c r="AQ87" s="279"/>
      <c r="AR87" s="279"/>
      <c r="AS87" s="279"/>
      <c r="AT87" s="279"/>
      <c r="AU87" s="279"/>
      <c r="AV87" s="279"/>
      <c r="AW87" s="279"/>
      <c r="AX87" s="279"/>
      <c r="AY87" s="279"/>
      <c r="AZ87" s="279"/>
      <c r="BA87" s="279"/>
      <c r="BB87" s="279"/>
      <c r="BC87" s="279"/>
      <c r="BD87" s="279"/>
      <c r="BE87" s="279"/>
      <c r="BF87" s="279"/>
      <c r="BG87" s="279"/>
      <c r="BH87" s="279"/>
      <c r="BI87" s="279"/>
      <c r="BJ87" s="279"/>
      <c r="BK87" s="279"/>
      <c r="BL87" s="279"/>
      <c r="BM87" s="279"/>
      <c r="BN87" s="279"/>
      <c r="BO87" s="279"/>
      <c r="BP87" s="279"/>
      <c r="BQ87" s="279"/>
      <c r="BR87" s="279"/>
      <c r="BS87" s="279"/>
      <c r="BT87" s="279"/>
      <c r="BU87" s="279"/>
      <c r="BV87" s="279"/>
      <c r="BW87" s="279"/>
      <c r="BX87" s="279"/>
      <c r="BY87" s="279"/>
    </row>
    <row r="88" ht="13.8" spans="1:77">
      <c r="A88" s="279"/>
      <c r="B88" s="279"/>
      <c r="C88" s="279"/>
      <c r="D88" s="280"/>
      <c r="E88" s="280"/>
      <c r="F88" s="279"/>
      <c r="G88" s="280"/>
      <c r="H88" s="279"/>
      <c r="I88" s="279"/>
      <c r="J88" s="280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99"/>
      <c r="X88" s="299"/>
      <c r="Y88" s="279"/>
      <c r="Z88" s="279"/>
      <c r="AA88" s="279"/>
      <c r="AB88" s="279"/>
      <c r="AC88" s="279"/>
      <c r="AD88" s="279"/>
      <c r="AE88" s="279"/>
      <c r="AF88" s="279"/>
      <c r="AG88" s="279"/>
      <c r="AH88" s="279"/>
      <c r="AI88" s="279"/>
      <c r="AJ88" s="279"/>
      <c r="AK88" s="279"/>
      <c r="AL88" s="279"/>
      <c r="AM88" s="279"/>
      <c r="AN88" s="279"/>
      <c r="AO88" s="279"/>
      <c r="AP88" s="279"/>
      <c r="AQ88" s="279"/>
      <c r="AR88" s="279"/>
      <c r="AS88" s="279"/>
      <c r="AT88" s="279"/>
      <c r="AU88" s="279"/>
      <c r="AV88" s="279"/>
      <c r="AW88" s="279"/>
      <c r="AX88" s="279"/>
      <c r="AY88" s="279"/>
      <c r="AZ88" s="279"/>
      <c r="BA88" s="279"/>
      <c r="BB88" s="279"/>
      <c r="BC88" s="279"/>
      <c r="BD88" s="279"/>
      <c r="BE88" s="279"/>
      <c r="BF88" s="279"/>
      <c r="BG88" s="279"/>
      <c r="BH88" s="279"/>
      <c r="BI88" s="279"/>
      <c r="BJ88" s="279"/>
      <c r="BK88" s="279"/>
      <c r="BL88" s="279"/>
      <c r="BM88" s="279"/>
      <c r="BN88" s="279"/>
      <c r="BO88" s="279"/>
      <c r="BP88" s="279"/>
      <c r="BQ88" s="279"/>
      <c r="BR88" s="279"/>
      <c r="BS88" s="279"/>
      <c r="BT88" s="279"/>
      <c r="BU88" s="279"/>
      <c r="BV88" s="279"/>
      <c r="BW88" s="279"/>
      <c r="BX88" s="279"/>
      <c r="BY88" s="279"/>
    </row>
    <row r="89" ht="13.8" spans="1:77">
      <c r="A89" s="279"/>
      <c r="B89" s="279"/>
      <c r="C89" s="279"/>
      <c r="D89" s="280"/>
      <c r="E89" s="280"/>
      <c r="F89" s="279"/>
      <c r="G89" s="280"/>
      <c r="H89" s="279"/>
      <c r="I89" s="279"/>
      <c r="J89" s="280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99"/>
      <c r="X89" s="299"/>
      <c r="Y89" s="279"/>
      <c r="Z89" s="279"/>
      <c r="AA89" s="279"/>
      <c r="AB89" s="279"/>
      <c r="AC89" s="279"/>
      <c r="AD89" s="279"/>
      <c r="AE89" s="279"/>
      <c r="AF89" s="279"/>
      <c r="AG89" s="279"/>
      <c r="AH89" s="279"/>
      <c r="AI89" s="279"/>
      <c r="AJ89" s="279"/>
      <c r="AK89" s="279"/>
      <c r="AL89" s="279"/>
      <c r="AM89" s="279"/>
      <c r="AN89" s="279"/>
      <c r="AO89" s="279"/>
      <c r="AP89" s="279"/>
      <c r="AQ89" s="279"/>
      <c r="AR89" s="279"/>
      <c r="AS89" s="279"/>
      <c r="AT89" s="279"/>
      <c r="AU89" s="279"/>
      <c r="AV89" s="279"/>
      <c r="AW89" s="279"/>
      <c r="AX89" s="279"/>
      <c r="AY89" s="279"/>
      <c r="AZ89" s="279"/>
      <c r="BA89" s="279"/>
      <c r="BB89" s="279"/>
      <c r="BC89" s="279"/>
      <c r="BD89" s="279"/>
      <c r="BE89" s="279"/>
      <c r="BF89" s="279"/>
      <c r="BG89" s="279"/>
      <c r="BH89" s="279"/>
      <c r="BI89" s="279"/>
      <c r="BJ89" s="279"/>
      <c r="BK89" s="279"/>
      <c r="BL89" s="279"/>
      <c r="BM89" s="279"/>
      <c r="BN89" s="279"/>
      <c r="BO89" s="279"/>
      <c r="BP89" s="279"/>
      <c r="BQ89" s="279"/>
      <c r="BR89" s="279"/>
      <c r="BS89" s="279"/>
      <c r="BT89" s="279"/>
      <c r="BU89" s="279"/>
      <c r="BV89" s="279"/>
      <c r="BW89" s="279"/>
      <c r="BX89" s="279"/>
      <c r="BY89" s="279"/>
    </row>
    <row r="90" ht="13.8" spans="1:77">
      <c r="A90" s="279"/>
      <c r="B90" s="279"/>
      <c r="C90" s="279"/>
      <c r="D90" s="280"/>
      <c r="E90" s="280"/>
      <c r="F90" s="279"/>
      <c r="G90" s="280"/>
      <c r="H90" s="279"/>
      <c r="I90" s="279"/>
      <c r="J90" s="280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99"/>
      <c r="X90" s="299"/>
      <c r="Y90" s="279"/>
      <c r="Z90" s="279"/>
      <c r="AA90" s="279"/>
      <c r="AB90" s="279"/>
      <c r="AC90" s="279"/>
      <c r="AD90" s="279"/>
      <c r="AE90" s="279"/>
      <c r="AF90" s="279"/>
      <c r="AG90" s="279"/>
      <c r="AH90" s="279"/>
      <c r="AI90" s="279"/>
      <c r="AJ90" s="279"/>
      <c r="AK90" s="279"/>
      <c r="AL90" s="279"/>
      <c r="AM90" s="279"/>
      <c r="AN90" s="279"/>
      <c r="AO90" s="279"/>
      <c r="AP90" s="279"/>
      <c r="AQ90" s="279"/>
      <c r="AR90" s="279"/>
      <c r="AS90" s="279"/>
      <c r="AT90" s="279"/>
      <c r="AU90" s="279"/>
      <c r="AV90" s="279"/>
      <c r="AW90" s="279"/>
      <c r="AX90" s="279"/>
      <c r="AY90" s="279"/>
      <c r="AZ90" s="279"/>
      <c r="BA90" s="279"/>
      <c r="BB90" s="279"/>
      <c r="BC90" s="279"/>
      <c r="BD90" s="279"/>
      <c r="BE90" s="279"/>
      <c r="BF90" s="279"/>
      <c r="BG90" s="279"/>
      <c r="BH90" s="279"/>
      <c r="BI90" s="279"/>
      <c r="BJ90" s="279"/>
      <c r="BK90" s="279"/>
      <c r="BL90" s="279"/>
      <c r="BM90" s="279"/>
      <c r="BN90" s="279"/>
      <c r="BO90" s="279"/>
      <c r="BP90" s="279"/>
      <c r="BQ90" s="279"/>
      <c r="BR90" s="279"/>
      <c r="BS90" s="279"/>
      <c r="BT90" s="279"/>
      <c r="BU90" s="279"/>
      <c r="BV90" s="279"/>
      <c r="BW90" s="279"/>
      <c r="BX90" s="279"/>
      <c r="BY90" s="279"/>
    </row>
    <row r="91" ht="13.8" spans="1:77">
      <c r="A91" s="279"/>
      <c r="B91" s="279"/>
      <c r="C91" s="279"/>
      <c r="D91" s="280"/>
      <c r="E91" s="280"/>
      <c r="F91" s="279"/>
      <c r="G91" s="280"/>
      <c r="H91" s="279"/>
      <c r="I91" s="279"/>
      <c r="J91" s="280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99"/>
      <c r="X91" s="299"/>
      <c r="Y91" s="279"/>
      <c r="Z91" s="279"/>
      <c r="AA91" s="279"/>
      <c r="AB91" s="279"/>
      <c r="AC91" s="279"/>
      <c r="AD91" s="279"/>
      <c r="AE91" s="279"/>
      <c r="AF91" s="279"/>
      <c r="AG91" s="279"/>
      <c r="AH91" s="279"/>
      <c r="AI91" s="279"/>
      <c r="AJ91" s="279"/>
      <c r="AK91" s="279"/>
      <c r="AL91" s="279"/>
      <c r="AM91" s="279"/>
      <c r="AN91" s="279"/>
      <c r="AO91" s="279"/>
      <c r="AP91" s="279"/>
      <c r="AQ91" s="279"/>
      <c r="AR91" s="279"/>
      <c r="AS91" s="279"/>
      <c r="AT91" s="279"/>
      <c r="AU91" s="279"/>
      <c r="AV91" s="279"/>
      <c r="AW91" s="279"/>
      <c r="AX91" s="279"/>
      <c r="AY91" s="279"/>
      <c r="AZ91" s="279"/>
      <c r="BA91" s="279"/>
      <c r="BB91" s="279"/>
      <c r="BC91" s="279"/>
      <c r="BD91" s="279"/>
      <c r="BE91" s="279"/>
      <c r="BF91" s="279"/>
      <c r="BG91" s="279"/>
      <c r="BH91" s="279"/>
      <c r="BI91" s="279"/>
      <c r="BJ91" s="279"/>
      <c r="BK91" s="279"/>
      <c r="BL91" s="279"/>
      <c r="BM91" s="279"/>
      <c r="BN91" s="279"/>
      <c r="BO91" s="279"/>
      <c r="BP91" s="279"/>
      <c r="BQ91" s="279"/>
      <c r="BR91" s="279"/>
      <c r="BS91" s="279"/>
      <c r="BT91" s="279"/>
      <c r="BU91" s="279"/>
      <c r="BV91" s="279"/>
      <c r="BW91" s="279"/>
      <c r="BX91" s="279"/>
      <c r="BY91" s="279"/>
    </row>
    <row r="92" ht="13.8" spans="1:77">
      <c r="A92" s="279"/>
      <c r="B92" s="279"/>
      <c r="C92" s="279"/>
      <c r="D92" s="280"/>
      <c r="E92" s="280"/>
      <c r="F92" s="279"/>
      <c r="G92" s="280"/>
      <c r="H92" s="279"/>
      <c r="I92" s="279"/>
      <c r="J92" s="280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99"/>
      <c r="X92" s="299"/>
      <c r="Y92" s="279"/>
      <c r="Z92" s="279"/>
      <c r="AA92" s="279"/>
      <c r="AB92" s="279"/>
      <c r="AC92" s="279"/>
      <c r="AD92" s="279"/>
      <c r="AE92" s="279"/>
      <c r="AF92" s="279"/>
      <c r="AG92" s="279"/>
      <c r="AH92" s="279"/>
      <c r="AI92" s="279"/>
      <c r="AJ92" s="279"/>
      <c r="AK92" s="279"/>
      <c r="AL92" s="279"/>
      <c r="AM92" s="279"/>
      <c r="AN92" s="279"/>
      <c r="AO92" s="279"/>
      <c r="AP92" s="279"/>
      <c r="AQ92" s="279"/>
      <c r="AR92" s="279"/>
      <c r="AS92" s="279"/>
      <c r="AT92" s="279"/>
      <c r="AU92" s="279"/>
      <c r="AV92" s="279"/>
      <c r="AW92" s="279"/>
      <c r="AX92" s="279"/>
      <c r="AY92" s="279"/>
      <c r="AZ92" s="279"/>
      <c r="BA92" s="279"/>
      <c r="BB92" s="279"/>
      <c r="BC92" s="279"/>
      <c r="BD92" s="279"/>
      <c r="BE92" s="279"/>
      <c r="BF92" s="279"/>
      <c r="BG92" s="279"/>
      <c r="BH92" s="279"/>
      <c r="BI92" s="279"/>
      <c r="BJ92" s="279"/>
      <c r="BK92" s="279"/>
      <c r="BL92" s="279"/>
      <c r="BM92" s="279"/>
      <c r="BN92" s="279"/>
      <c r="BO92" s="279"/>
      <c r="BP92" s="279"/>
      <c r="BQ92" s="279"/>
      <c r="BR92" s="279"/>
      <c r="BS92" s="279"/>
      <c r="BT92" s="279"/>
      <c r="BU92" s="279"/>
      <c r="BV92" s="279"/>
      <c r="BW92" s="279"/>
      <c r="BX92" s="279"/>
      <c r="BY92" s="279"/>
    </row>
    <row r="93" ht="13.8" spans="1:77">
      <c r="A93" s="279"/>
      <c r="B93" s="279"/>
      <c r="C93" s="279"/>
      <c r="D93" s="280"/>
      <c r="E93" s="280"/>
      <c r="F93" s="279"/>
      <c r="G93" s="280"/>
      <c r="H93" s="279"/>
      <c r="I93" s="279"/>
      <c r="J93" s="280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99"/>
      <c r="X93" s="29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9"/>
      <c r="AL93" s="279"/>
      <c r="AM93" s="279"/>
      <c r="AN93" s="279"/>
      <c r="AO93" s="279"/>
      <c r="AP93" s="279"/>
      <c r="AQ93" s="279"/>
      <c r="AR93" s="279"/>
      <c r="AS93" s="279"/>
      <c r="AT93" s="279"/>
      <c r="AU93" s="279"/>
      <c r="AV93" s="279"/>
      <c r="AW93" s="279"/>
      <c r="AX93" s="279"/>
      <c r="AY93" s="279"/>
      <c r="AZ93" s="279"/>
      <c r="BA93" s="279"/>
      <c r="BB93" s="279"/>
      <c r="BC93" s="279"/>
      <c r="BD93" s="279"/>
      <c r="BE93" s="279"/>
      <c r="BF93" s="279"/>
      <c r="BG93" s="279"/>
      <c r="BH93" s="279"/>
      <c r="BI93" s="279"/>
      <c r="BJ93" s="279"/>
      <c r="BK93" s="279"/>
      <c r="BL93" s="279"/>
      <c r="BM93" s="279"/>
      <c r="BN93" s="279"/>
      <c r="BO93" s="279"/>
      <c r="BP93" s="279"/>
      <c r="BQ93" s="279"/>
      <c r="BR93" s="279"/>
      <c r="BS93" s="279"/>
      <c r="BT93" s="279"/>
      <c r="BU93" s="279"/>
      <c r="BV93" s="279"/>
      <c r="BW93" s="279"/>
      <c r="BX93" s="279"/>
      <c r="BY93" s="279"/>
    </row>
    <row r="94" ht="13.8" spans="1:77">
      <c r="A94" s="279"/>
      <c r="B94" s="279"/>
      <c r="C94" s="279"/>
      <c r="D94" s="280"/>
      <c r="E94" s="280"/>
      <c r="F94" s="279"/>
      <c r="G94" s="280"/>
      <c r="H94" s="279"/>
      <c r="I94" s="279"/>
      <c r="J94" s="280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99"/>
      <c r="X94" s="29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</row>
    <row r="95" ht="13.8" spans="1:77">
      <c r="A95" s="279"/>
      <c r="B95" s="279"/>
      <c r="C95" s="279"/>
      <c r="D95" s="280"/>
      <c r="E95" s="280"/>
      <c r="F95" s="279"/>
      <c r="G95" s="280"/>
      <c r="H95" s="279"/>
      <c r="I95" s="279"/>
      <c r="J95" s="280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99"/>
      <c r="X95" s="299"/>
      <c r="Y95" s="279"/>
      <c r="Z95" s="279"/>
      <c r="AA95" s="279"/>
      <c r="AB95" s="279"/>
      <c r="AC95" s="279"/>
      <c r="AD95" s="279"/>
      <c r="AE95" s="279"/>
      <c r="AF95" s="279"/>
      <c r="AG95" s="279"/>
      <c r="AH95" s="279"/>
      <c r="AI95" s="279"/>
      <c r="AJ95" s="279"/>
      <c r="AK95" s="279"/>
      <c r="AL95" s="279"/>
      <c r="AM95" s="279"/>
      <c r="AN95" s="279"/>
      <c r="AO95" s="279"/>
      <c r="AP95" s="279"/>
      <c r="AQ95" s="279"/>
      <c r="AR95" s="279"/>
      <c r="AS95" s="279"/>
      <c r="AT95" s="279"/>
      <c r="AU95" s="279"/>
      <c r="AV95" s="279"/>
      <c r="AW95" s="279"/>
      <c r="AX95" s="279"/>
      <c r="AY95" s="279"/>
      <c r="AZ95" s="279"/>
      <c r="BA95" s="279"/>
      <c r="BB95" s="279"/>
      <c r="BC95" s="279"/>
      <c r="BD95" s="279"/>
      <c r="BE95" s="279"/>
      <c r="BF95" s="279"/>
      <c r="BG95" s="279"/>
      <c r="BH95" s="279"/>
      <c r="BI95" s="279"/>
      <c r="BJ95" s="279"/>
      <c r="BK95" s="279"/>
      <c r="BL95" s="279"/>
      <c r="BM95" s="279"/>
      <c r="BN95" s="279"/>
      <c r="BO95" s="279"/>
      <c r="BP95" s="279"/>
      <c r="BQ95" s="279"/>
      <c r="BR95" s="279"/>
      <c r="BS95" s="279"/>
      <c r="BT95" s="279"/>
      <c r="BU95" s="279"/>
      <c r="BV95" s="279"/>
      <c r="BW95" s="279"/>
      <c r="BX95" s="279"/>
      <c r="BY95" s="279"/>
    </row>
    <row r="96" ht="13.8" spans="1:77">
      <c r="A96" s="279"/>
      <c r="B96" s="279"/>
      <c r="C96" s="279"/>
      <c r="D96" s="280"/>
      <c r="E96" s="280"/>
      <c r="F96" s="279"/>
      <c r="G96" s="280"/>
      <c r="H96" s="279"/>
      <c r="I96" s="279"/>
      <c r="J96" s="280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99"/>
      <c r="X96" s="299"/>
      <c r="Y96" s="279"/>
      <c r="Z96" s="279"/>
      <c r="AA96" s="279"/>
      <c r="AB96" s="279"/>
      <c r="AC96" s="279"/>
      <c r="AD96" s="279"/>
      <c r="AE96" s="279"/>
      <c r="AF96" s="279"/>
      <c r="AG96" s="279"/>
      <c r="AH96" s="279"/>
      <c r="AI96" s="279"/>
      <c r="AJ96" s="279"/>
      <c r="AK96" s="279"/>
      <c r="AL96" s="279"/>
      <c r="AM96" s="279"/>
      <c r="AN96" s="279"/>
      <c r="AO96" s="279"/>
      <c r="AP96" s="279"/>
      <c r="AQ96" s="279"/>
      <c r="AR96" s="279"/>
      <c r="AS96" s="279"/>
      <c r="AT96" s="279"/>
      <c r="AU96" s="279"/>
      <c r="AV96" s="279"/>
      <c r="AW96" s="279"/>
      <c r="AX96" s="279"/>
      <c r="AY96" s="279"/>
      <c r="AZ96" s="279"/>
      <c r="BA96" s="279"/>
      <c r="BB96" s="279"/>
      <c r="BC96" s="279"/>
      <c r="BD96" s="279"/>
      <c r="BE96" s="279"/>
      <c r="BF96" s="279"/>
      <c r="BG96" s="279"/>
      <c r="BH96" s="279"/>
      <c r="BI96" s="279"/>
      <c r="BJ96" s="279"/>
      <c r="BK96" s="279"/>
      <c r="BL96" s="279"/>
      <c r="BM96" s="279"/>
      <c r="BN96" s="279"/>
      <c r="BO96" s="279"/>
      <c r="BP96" s="279"/>
      <c r="BQ96" s="279"/>
      <c r="BR96" s="279"/>
      <c r="BS96" s="279"/>
      <c r="BT96" s="279"/>
      <c r="BU96" s="279"/>
      <c r="BV96" s="279"/>
      <c r="BW96" s="279"/>
      <c r="BX96" s="279"/>
      <c r="BY96" s="279"/>
    </row>
    <row r="97" ht="13.8" spans="1:77">
      <c r="A97" s="279"/>
      <c r="B97" s="279"/>
      <c r="C97" s="279"/>
      <c r="D97" s="280"/>
      <c r="E97" s="280"/>
      <c r="F97" s="279"/>
      <c r="G97" s="280"/>
      <c r="H97" s="279"/>
      <c r="I97" s="279"/>
      <c r="J97" s="280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99"/>
      <c r="X97" s="299"/>
      <c r="Y97" s="279"/>
      <c r="Z97" s="279"/>
      <c r="AA97" s="279"/>
      <c r="AB97" s="279"/>
      <c r="AC97" s="279"/>
      <c r="AD97" s="279"/>
      <c r="AE97" s="279"/>
      <c r="AF97" s="279"/>
      <c r="AG97" s="279"/>
      <c r="AH97" s="279"/>
      <c r="AI97" s="279"/>
      <c r="AJ97" s="279"/>
      <c r="AK97" s="279"/>
      <c r="AL97" s="279"/>
      <c r="AM97" s="279"/>
      <c r="AN97" s="279"/>
      <c r="AO97" s="279"/>
      <c r="AP97" s="279"/>
      <c r="AQ97" s="279"/>
      <c r="AR97" s="279"/>
      <c r="AS97" s="279"/>
      <c r="AT97" s="279"/>
      <c r="AU97" s="279"/>
      <c r="AV97" s="279"/>
      <c r="AW97" s="279"/>
      <c r="AX97" s="279"/>
      <c r="AY97" s="279"/>
      <c r="AZ97" s="279"/>
      <c r="BA97" s="279"/>
      <c r="BB97" s="279"/>
      <c r="BC97" s="279"/>
      <c r="BD97" s="279"/>
      <c r="BE97" s="279"/>
      <c r="BF97" s="279"/>
      <c r="BG97" s="279"/>
      <c r="BH97" s="279"/>
      <c r="BI97" s="279"/>
      <c r="BJ97" s="279"/>
      <c r="BK97" s="279"/>
      <c r="BL97" s="279"/>
      <c r="BM97" s="279"/>
      <c r="BN97" s="279"/>
      <c r="BO97" s="279"/>
      <c r="BP97" s="279"/>
      <c r="BQ97" s="279"/>
      <c r="BR97" s="279"/>
      <c r="BS97" s="279"/>
      <c r="BT97" s="279"/>
      <c r="BU97" s="279"/>
      <c r="BV97" s="279"/>
      <c r="BW97" s="279"/>
      <c r="BX97" s="279"/>
      <c r="BY97" s="279"/>
    </row>
    <row r="98" ht="13.8" spans="1:77">
      <c r="A98" s="279"/>
      <c r="B98" s="279"/>
      <c r="C98" s="279"/>
      <c r="D98" s="280"/>
      <c r="E98" s="280"/>
      <c r="F98" s="279"/>
      <c r="G98" s="280"/>
      <c r="H98" s="279"/>
      <c r="I98" s="279"/>
      <c r="J98" s="280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99"/>
      <c r="X98" s="299"/>
      <c r="Y98" s="279"/>
      <c r="Z98" s="279"/>
      <c r="AA98" s="279"/>
      <c r="AB98" s="279"/>
      <c r="AC98" s="279"/>
      <c r="AD98" s="279"/>
      <c r="AE98" s="279"/>
      <c r="AF98" s="279"/>
      <c r="AG98" s="279"/>
      <c r="AH98" s="279"/>
      <c r="AI98" s="279"/>
      <c r="AJ98" s="279"/>
      <c r="AK98" s="279"/>
      <c r="AL98" s="279"/>
      <c r="AM98" s="279"/>
      <c r="AN98" s="279"/>
      <c r="AO98" s="279"/>
      <c r="AP98" s="279"/>
      <c r="AQ98" s="279"/>
      <c r="AR98" s="279"/>
      <c r="AS98" s="279"/>
      <c r="AT98" s="279"/>
      <c r="AU98" s="279"/>
      <c r="AV98" s="279"/>
      <c r="AW98" s="279"/>
      <c r="AX98" s="279"/>
      <c r="AY98" s="279"/>
      <c r="AZ98" s="279"/>
      <c r="BA98" s="279"/>
      <c r="BB98" s="279"/>
      <c r="BC98" s="279"/>
      <c r="BD98" s="279"/>
      <c r="BE98" s="279"/>
      <c r="BF98" s="279"/>
      <c r="BG98" s="279"/>
      <c r="BH98" s="279"/>
      <c r="BI98" s="279"/>
      <c r="BJ98" s="279"/>
      <c r="BK98" s="279"/>
      <c r="BL98" s="279"/>
      <c r="BM98" s="279"/>
      <c r="BN98" s="279"/>
      <c r="BO98" s="279"/>
      <c r="BP98" s="279"/>
      <c r="BQ98" s="279"/>
      <c r="BR98" s="279"/>
      <c r="BS98" s="279"/>
      <c r="BT98" s="279"/>
      <c r="BU98" s="279"/>
      <c r="BV98" s="279"/>
      <c r="BW98" s="279"/>
      <c r="BX98" s="279"/>
      <c r="BY98" s="279"/>
    </row>
    <row r="99" ht="13.8" spans="1:77">
      <c r="A99" s="279"/>
      <c r="B99" s="279"/>
      <c r="C99" s="279"/>
      <c r="D99" s="280"/>
      <c r="E99" s="280"/>
      <c r="F99" s="279"/>
      <c r="G99" s="280"/>
      <c r="H99" s="279"/>
      <c r="I99" s="279"/>
      <c r="J99" s="280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99"/>
      <c r="X99" s="299"/>
      <c r="Y99" s="279"/>
      <c r="Z99" s="279"/>
      <c r="AA99" s="279"/>
      <c r="AB99" s="279"/>
      <c r="AC99" s="279"/>
      <c r="AD99" s="279"/>
      <c r="AE99" s="279"/>
      <c r="AF99" s="279"/>
      <c r="AG99" s="279"/>
      <c r="AH99" s="279"/>
      <c r="AI99" s="279"/>
      <c r="AJ99" s="279"/>
      <c r="AK99" s="279"/>
      <c r="AL99" s="279"/>
      <c r="AM99" s="279"/>
      <c r="AN99" s="279"/>
      <c r="AO99" s="279"/>
      <c r="AP99" s="279"/>
      <c r="AQ99" s="279"/>
      <c r="AR99" s="279"/>
      <c r="AS99" s="279"/>
      <c r="AT99" s="279"/>
      <c r="AU99" s="279"/>
      <c r="AV99" s="279"/>
      <c r="AW99" s="279"/>
      <c r="AX99" s="279"/>
      <c r="AY99" s="279"/>
      <c r="AZ99" s="279"/>
      <c r="BA99" s="279"/>
      <c r="BB99" s="279"/>
      <c r="BC99" s="279"/>
      <c r="BD99" s="279"/>
      <c r="BE99" s="279"/>
      <c r="BF99" s="279"/>
      <c r="BG99" s="279"/>
      <c r="BH99" s="279"/>
      <c r="BI99" s="279"/>
      <c r="BJ99" s="279"/>
      <c r="BK99" s="279"/>
      <c r="BL99" s="279"/>
      <c r="BM99" s="279"/>
      <c r="BN99" s="279"/>
      <c r="BO99" s="279"/>
      <c r="BP99" s="279"/>
      <c r="BQ99" s="279"/>
      <c r="BR99" s="279"/>
      <c r="BS99" s="279"/>
      <c r="BT99" s="279"/>
      <c r="BU99" s="279"/>
      <c r="BV99" s="279"/>
      <c r="BW99" s="279"/>
      <c r="BX99" s="279"/>
      <c r="BY99" s="279"/>
    </row>
    <row r="100" ht="13.8" spans="1:77">
      <c r="A100" s="279"/>
      <c r="B100" s="279"/>
      <c r="C100" s="279"/>
      <c r="D100" s="280"/>
      <c r="E100" s="280"/>
      <c r="F100" s="279"/>
      <c r="G100" s="280"/>
      <c r="H100" s="279"/>
      <c r="I100" s="279"/>
      <c r="J100" s="280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99"/>
      <c r="X100" s="299"/>
      <c r="Y100" s="279"/>
      <c r="Z100" s="279"/>
      <c r="AA100" s="279"/>
      <c r="AB100" s="279"/>
      <c r="AC100" s="279"/>
      <c r="AD100" s="279"/>
      <c r="AE100" s="279"/>
      <c r="AF100" s="279"/>
      <c r="AG100" s="279"/>
      <c r="AH100" s="279"/>
      <c r="AI100" s="279"/>
      <c r="AJ100" s="279"/>
      <c r="AK100" s="279"/>
      <c r="AL100" s="279"/>
      <c r="AM100" s="279"/>
      <c r="AN100" s="279"/>
      <c r="AO100" s="279"/>
      <c r="AP100" s="279"/>
      <c r="AQ100" s="279"/>
      <c r="AR100" s="279"/>
      <c r="AS100" s="279"/>
      <c r="AT100" s="279"/>
      <c r="AU100" s="279"/>
      <c r="AV100" s="279"/>
      <c r="AW100" s="279"/>
      <c r="AX100" s="279"/>
      <c r="AY100" s="279"/>
      <c r="AZ100" s="279"/>
      <c r="BA100" s="279"/>
      <c r="BB100" s="279"/>
      <c r="BC100" s="279"/>
      <c r="BD100" s="279"/>
      <c r="BE100" s="279"/>
      <c r="BF100" s="279"/>
      <c r="BG100" s="279"/>
      <c r="BH100" s="279"/>
      <c r="BI100" s="279"/>
      <c r="BJ100" s="279"/>
      <c r="BK100" s="279"/>
      <c r="BL100" s="279"/>
      <c r="BM100" s="279"/>
      <c r="BN100" s="279"/>
      <c r="BO100" s="279"/>
      <c r="BP100" s="279"/>
      <c r="BQ100" s="279"/>
      <c r="BR100" s="279"/>
      <c r="BS100" s="279"/>
      <c r="BT100" s="279"/>
      <c r="BU100" s="279"/>
      <c r="BV100" s="279"/>
      <c r="BW100" s="279"/>
      <c r="BX100" s="279"/>
      <c r="BY100" s="279"/>
    </row>
    <row r="101" ht="13.8" spans="1:77">
      <c r="A101" s="279"/>
      <c r="B101" s="279"/>
      <c r="C101" s="279"/>
      <c r="D101" s="280"/>
      <c r="E101" s="280"/>
      <c r="F101" s="279"/>
      <c r="G101" s="280"/>
      <c r="H101" s="279"/>
      <c r="I101" s="279"/>
      <c r="J101" s="280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99"/>
      <c r="X101" s="299"/>
      <c r="Y101" s="279"/>
      <c r="Z101" s="279"/>
      <c r="AA101" s="279"/>
      <c r="AB101" s="279"/>
      <c r="AC101" s="279"/>
      <c r="AD101" s="279"/>
      <c r="AE101" s="279"/>
      <c r="AF101" s="279"/>
      <c r="AG101" s="279"/>
      <c r="AH101" s="279"/>
      <c r="AI101" s="279"/>
      <c r="AJ101" s="279"/>
      <c r="AK101" s="279"/>
      <c r="AL101" s="279"/>
      <c r="AM101" s="279"/>
      <c r="AN101" s="279"/>
      <c r="AO101" s="279"/>
      <c r="AP101" s="279"/>
      <c r="AQ101" s="279"/>
      <c r="AR101" s="279"/>
      <c r="AS101" s="279"/>
      <c r="AT101" s="279"/>
      <c r="AU101" s="279"/>
      <c r="AV101" s="279"/>
      <c r="AW101" s="279"/>
      <c r="AX101" s="279"/>
      <c r="AY101" s="279"/>
      <c r="AZ101" s="279"/>
      <c r="BA101" s="279"/>
      <c r="BB101" s="279"/>
      <c r="BC101" s="279"/>
      <c r="BD101" s="279"/>
      <c r="BE101" s="279"/>
      <c r="BF101" s="279"/>
      <c r="BG101" s="279"/>
      <c r="BH101" s="279"/>
      <c r="BI101" s="279"/>
      <c r="BJ101" s="279"/>
      <c r="BK101" s="279"/>
      <c r="BL101" s="279"/>
      <c r="BM101" s="279"/>
      <c r="BN101" s="279"/>
      <c r="BO101" s="279"/>
      <c r="BP101" s="279"/>
      <c r="BQ101" s="279"/>
      <c r="BR101" s="279"/>
      <c r="BS101" s="279"/>
      <c r="BT101" s="279"/>
      <c r="BU101" s="279"/>
      <c r="BV101" s="279"/>
      <c r="BW101" s="279"/>
      <c r="BX101" s="279"/>
      <c r="BY101" s="279"/>
    </row>
    <row r="102" ht="13.8" spans="1:77">
      <c r="A102" s="279"/>
      <c r="B102" s="279"/>
      <c r="C102" s="279"/>
      <c r="D102" s="280"/>
      <c r="E102" s="280"/>
      <c r="F102" s="279"/>
      <c r="G102" s="280"/>
      <c r="H102" s="279"/>
      <c r="I102" s="279"/>
      <c r="J102" s="280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99"/>
      <c r="X102" s="299"/>
      <c r="Y102" s="279"/>
      <c r="Z102" s="279"/>
      <c r="AA102" s="279"/>
      <c r="AB102" s="279"/>
      <c r="AC102" s="279"/>
      <c r="AD102" s="279"/>
      <c r="AE102" s="279"/>
      <c r="AF102" s="279"/>
      <c r="AG102" s="279"/>
      <c r="AH102" s="279"/>
      <c r="AI102" s="279"/>
      <c r="AJ102" s="279"/>
      <c r="AK102" s="279"/>
      <c r="AL102" s="279"/>
      <c r="AM102" s="279"/>
      <c r="AN102" s="279"/>
      <c r="AO102" s="279"/>
      <c r="AP102" s="279"/>
      <c r="AQ102" s="279"/>
      <c r="AR102" s="279"/>
      <c r="AS102" s="279"/>
      <c r="AT102" s="279"/>
      <c r="AU102" s="279"/>
      <c r="AV102" s="279"/>
      <c r="AW102" s="279"/>
      <c r="AX102" s="279"/>
      <c r="AY102" s="279"/>
      <c r="AZ102" s="279"/>
      <c r="BA102" s="279"/>
      <c r="BB102" s="279"/>
      <c r="BC102" s="279"/>
      <c r="BD102" s="279"/>
      <c r="BE102" s="279"/>
      <c r="BF102" s="279"/>
      <c r="BG102" s="279"/>
      <c r="BH102" s="279"/>
      <c r="BI102" s="279"/>
      <c r="BJ102" s="279"/>
      <c r="BK102" s="279"/>
      <c r="BL102" s="279"/>
      <c r="BM102" s="279"/>
      <c r="BN102" s="279"/>
      <c r="BO102" s="279"/>
      <c r="BP102" s="279"/>
      <c r="BQ102" s="279"/>
      <c r="BR102" s="279"/>
      <c r="BS102" s="279"/>
      <c r="BT102" s="279"/>
      <c r="BU102" s="279"/>
      <c r="BV102" s="279"/>
      <c r="BW102" s="279"/>
      <c r="BX102" s="279"/>
      <c r="BY102" s="279"/>
    </row>
    <row r="103" ht="13.8" spans="1:77">
      <c r="A103" s="279"/>
      <c r="B103" s="279"/>
      <c r="C103" s="279"/>
      <c r="D103" s="280"/>
      <c r="E103" s="280"/>
      <c r="F103" s="279"/>
      <c r="G103" s="280"/>
      <c r="H103" s="279"/>
      <c r="I103" s="279"/>
      <c r="J103" s="280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99"/>
      <c r="X103" s="299"/>
      <c r="Y103" s="279"/>
      <c r="Z103" s="279"/>
      <c r="AA103" s="279"/>
      <c r="AB103" s="279"/>
      <c r="AC103" s="279"/>
      <c r="AD103" s="279"/>
      <c r="AE103" s="279"/>
      <c r="AF103" s="279"/>
      <c r="AG103" s="279"/>
      <c r="AH103" s="279"/>
      <c r="AI103" s="279"/>
      <c r="AJ103" s="279"/>
      <c r="AK103" s="279"/>
      <c r="AL103" s="279"/>
      <c r="AM103" s="279"/>
      <c r="AN103" s="279"/>
      <c r="AO103" s="279"/>
      <c r="AP103" s="279"/>
      <c r="AQ103" s="279"/>
      <c r="AR103" s="279"/>
      <c r="AS103" s="279"/>
      <c r="AT103" s="279"/>
      <c r="AU103" s="279"/>
      <c r="AV103" s="279"/>
      <c r="AW103" s="279"/>
      <c r="AX103" s="279"/>
      <c r="AY103" s="279"/>
      <c r="AZ103" s="279"/>
      <c r="BA103" s="279"/>
      <c r="BB103" s="279"/>
      <c r="BC103" s="279"/>
      <c r="BD103" s="279"/>
      <c r="BE103" s="279"/>
      <c r="BF103" s="279"/>
      <c r="BG103" s="279"/>
      <c r="BH103" s="279"/>
      <c r="BI103" s="279"/>
      <c r="BJ103" s="279"/>
      <c r="BK103" s="279"/>
      <c r="BL103" s="279"/>
      <c r="BM103" s="279"/>
      <c r="BN103" s="279"/>
      <c r="BO103" s="279"/>
      <c r="BP103" s="279"/>
      <c r="BQ103" s="279"/>
      <c r="BR103" s="279"/>
      <c r="BS103" s="279"/>
      <c r="BT103" s="279"/>
      <c r="BU103" s="279"/>
      <c r="BV103" s="279"/>
      <c r="BW103" s="279"/>
      <c r="BX103" s="279"/>
      <c r="BY103" s="279"/>
    </row>
    <row r="104" ht="13.8" spans="1:77">
      <c r="A104" s="279"/>
      <c r="B104" s="279"/>
      <c r="C104" s="279"/>
      <c r="D104" s="280"/>
      <c r="E104" s="280"/>
      <c r="F104" s="279"/>
      <c r="G104" s="280"/>
      <c r="H104" s="279"/>
      <c r="I104" s="279"/>
      <c r="J104" s="280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99"/>
      <c r="X104" s="299"/>
      <c r="Y104" s="279"/>
      <c r="Z104" s="279"/>
      <c r="AA104" s="279"/>
      <c r="AB104" s="279"/>
      <c r="AC104" s="279"/>
      <c r="AD104" s="279"/>
      <c r="AE104" s="279"/>
      <c r="AF104" s="279"/>
      <c r="AG104" s="279"/>
      <c r="AH104" s="279"/>
      <c r="AI104" s="279"/>
      <c r="AJ104" s="279"/>
      <c r="AK104" s="279"/>
      <c r="AL104" s="279"/>
      <c r="AM104" s="279"/>
      <c r="AN104" s="279"/>
      <c r="AO104" s="279"/>
      <c r="AP104" s="279"/>
      <c r="AQ104" s="279"/>
      <c r="AR104" s="279"/>
      <c r="AS104" s="279"/>
      <c r="AT104" s="279"/>
      <c r="AU104" s="279"/>
      <c r="AV104" s="279"/>
      <c r="AW104" s="279"/>
      <c r="AX104" s="279"/>
      <c r="AY104" s="279"/>
      <c r="AZ104" s="279"/>
      <c r="BA104" s="279"/>
      <c r="BB104" s="279"/>
      <c r="BC104" s="279"/>
      <c r="BD104" s="279"/>
      <c r="BE104" s="279"/>
      <c r="BF104" s="279"/>
      <c r="BG104" s="279"/>
      <c r="BH104" s="279"/>
      <c r="BI104" s="279"/>
      <c r="BJ104" s="279"/>
      <c r="BK104" s="279"/>
      <c r="BL104" s="279"/>
      <c r="BM104" s="279"/>
      <c r="BN104" s="279"/>
      <c r="BO104" s="279"/>
      <c r="BP104" s="279"/>
      <c r="BQ104" s="279"/>
      <c r="BR104" s="279"/>
      <c r="BS104" s="279"/>
      <c r="BT104" s="279"/>
      <c r="BU104" s="279"/>
      <c r="BV104" s="279"/>
      <c r="BW104" s="279"/>
      <c r="BX104" s="279"/>
      <c r="BY104" s="279"/>
    </row>
    <row r="105" ht="13.8" spans="1:77">
      <c r="A105" s="279"/>
      <c r="B105" s="279"/>
      <c r="C105" s="279"/>
      <c r="D105" s="280"/>
      <c r="E105" s="280"/>
      <c r="F105" s="279"/>
      <c r="G105" s="280"/>
      <c r="H105" s="279"/>
      <c r="I105" s="279"/>
      <c r="J105" s="280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99"/>
      <c r="X105" s="299"/>
      <c r="Y105" s="279"/>
      <c r="Z105" s="279"/>
      <c r="AA105" s="279"/>
      <c r="AB105" s="279"/>
      <c r="AC105" s="279"/>
      <c r="AD105" s="279"/>
      <c r="AE105" s="279"/>
      <c r="AF105" s="279"/>
      <c r="AG105" s="279"/>
      <c r="AH105" s="279"/>
      <c r="AI105" s="279"/>
      <c r="AJ105" s="279"/>
      <c r="AK105" s="279"/>
      <c r="AL105" s="279"/>
      <c r="AM105" s="279"/>
      <c r="AN105" s="279"/>
      <c r="AO105" s="279"/>
      <c r="AP105" s="279"/>
      <c r="AQ105" s="279"/>
      <c r="AR105" s="279"/>
      <c r="AS105" s="279"/>
      <c r="AT105" s="279"/>
      <c r="AU105" s="279"/>
      <c r="AV105" s="279"/>
      <c r="AW105" s="279"/>
      <c r="AX105" s="279"/>
      <c r="AY105" s="279"/>
      <c r="AZ105" s="279"/>
      <c r="BA105" s="279"/>
      <c r="BB105" s="279"/>
      <c r="BC105" s="279"/>
      <c r="BD105" s="279"/>
      <c r="BE105" s="279"/>
      <c r="BF105" s="279"/>
      <c r="BG105" s="279"/>
      <c r="BH105" s="279"/>
      <c r="BI105" s="279"/>
      <c r="BJ105" s="279"/>
      <c r="BK105" s="279"/>
      <c r="BL105" s="279"/>
      <c r="BM105" s="279"/>
      <c r="BN105" s="279"/>
      <c r="BO105" s="279"/>
      <c r="BP105" s="279"/>
      <c r="BQ105" s="279"/>
      <c r="BR105" s="279"/>
      <c r="BS105" s="279"/>
      <c r="BT105" s="279"/>
      <c r="BU105" s="279"/>
      <c r="BV105" s="279"/>
      <c r="BW105" s="279"/>
      <c r="BX105" s="279"/>
      <c r="BY105" s="279"/>
    </row>
    <row r="106" ht="13.8" spans="1:77">
      <c r="A106" s="279"/>
      <c r="B106" s="279"/>
      <c r="C106" s="279"/>
      <c r="D106" s="280"/>
      <c r="E106" s="280"/>
      <c r="F106" s="279"/>
      <c r="G106" s="280"/>
      <c r="H106" s="279"/>
      <c r="I106" s="279"/>
      <c r="J106" s="280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99"/>
      <c r="X106" s="299"/>
      <c r="Y106" s="279"/>
      <c r="Z106" s="279"/>
      <c r="AA106" s="279"/>
      <c r="AB106" s="279"/>
      <c r="AC106" s="279"/>
      <c r="AD106" s="279"/>
      <c r="AE106" s="279"/>
      <c r="AF106" s="279"/>
      <c r="AG106" s="279"/>
      <c r="AH106" s="279"/>
      <c r="AI106" s="279"/>
      <c r="AJ106" s="279"/>
      <c r="AK106" s="279"/>
      <c r="AL106" s="279"/>
      <c r="AM106" s="279"/>
      <c r="AN106" s="279"/>
      <c r="AO106" s="279"/>
      <c r="AP106" s="279"/>
      <c r="AQ106" s="279"/>
      <c r="AR106" s="279"/>
      <c r="AS106" s="279"/>
      <c r="AT106" s="279"/>
      <c r="AU106" s="279"/>
      <c r="AV106" s="279"/>
      <c r="AW106" s="279"/>
      <c r="AX106" s="279"/>
      <c r="AY106" s="279"/>
      <c r="AZ106" s="279"/>
      <c r="BA106" s="279"/>
      <c r="BB106" s="279"/>
      <c r="BC106" s="279"/>
      <c r="BD106" s="279"/>
      <c r="BE106" s="279"/>
      <c r="BF106" s="279"/>
      <c r="BG106" s="279"/>
      <c r="BH106" s="279"/>
      <c r="BI106" s="279"/>
      <c r="BJ106" s="279"/>
      <c r="BK106" s="279"/>
      <c r="BL106" s="279"/>
      <c r="BM106" s="279"/>
      <c r="BN106" s="279"/>
      <c r="BO106" s="279"/>
      <c r="BP106" s="279"/>
      <c r="BQ106" s="279"/>
      <c r="BR106" s="279"/>
      <c r="BS106" s="279"/>
      <c r="BT106" s="279"/>
      <c r="BU106" s="279"/>
      <c r="BV106" s="279"/>
      <c r="BW106" s="279"/>
      <c r="BX106" s="279"/>
      <c r="BY106" s="279"/>
    </row>
    <row r="107" ht="13.8" spans="1:77">
      <c r="A107" s="279"/>
      <c r="B107" s="279"/>
      <c r="C107" s="279"/>
      <c r="D107" s="280"/>
      <c r="E107" s="280"/>
      <c r="F107" s="279"/>
      <c r="G107" s="280"/>
      <c r="H107" s="279"/>
      <c r="I107" s="279"/>
      <c r="J107" s="280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99"/>
      <c r="X107" s="299"/>
      <c r="Y107" s="279"/>
      <c r="Z107" s="279"/>
      <c r="AA107" s="279"/>
      <c r="AB107" s="279"/>
      <c r="AC107" s="279"/>
      <c r="AD107" s="279"/>
      <c r="AE107" s="279"/>
      <c r="AF107" s="279"/>
      <c r="AG107" s="279"/>
      <c r="AH107" s="279"/>
      <c r="AI107" s="279"/>
      <c r="AJ107" s="279"/>
      <c r="AK107" s="279"/>
      <c r="AL107" s="279"/>
      <c r="AM107" s="279"/>
      <c r="AN107" s="279"/>
      <c r="AO107" s="279"/>
      <c r="AP107" s="279"/>
      <c r="AQ107" s="279"/>
      <c r="AR107" s="279"/>
      <c r="AS107" s="279"/>
      <c r="AT107" s="279"/>
      <c r="AU107" s="279"/>
      <c r="AV107" s="279"/>
      <c r="AW107" s="279"/>
      <c r="AX107" s="279"/>
      <c r="AY107" s="279"/>
      <c r="AZ107" s="279"/>
      <c r="BA107" s="279"/>
      <c r="BB107" s="279"/>
      <c r="BC107" s="279"/>
      <c r="BD107" s="279"/>
      <c r="BE107" s="279"/>
      <c r="BF107" s="279"/>
      <c r="BG107" s="279"/>
      <c r="BH107" s="279"/>
      <c r="BI107" s="279"/>
      <c r="BJ107" s="279"/>
      <c r="BK107" s="279"/>
      <c r="BL107" s="279"/>
      <c r="BM107" s="279"/>
      <c r="BN107" s="279"/>
      <c r="BO107" s="279"/>
      <c r="BP107" s="279"/>
      <c r="BQ107" s="279"/>
      <c r="BR107" s="279"/>
      <c r="BS107" s="279"/>
      <c r="BT107" s="279"/>
      <c r="BU107" s="279"/>
      <c r="BV107" s="279"/>
      <c r="BW107" s="279"/>
      <c r="BX107" s="279"/>
      <c r="BY107" s="279"/>
    </row>
    <row r="108" ht="13.8" spans="1:77">
      <c r="A108" s="279"/>
      <c r="B108" s="279"/>
      <c r="C108" s="279"/>
      <c r="D108" s="280"/>
      <c r="E108" s="280"/>
      <c r="F108" s="279"/>
      <c r="G108" s="280"/>
      <c r="H108" s="279"/>
      <c r="I108" s="279"/>
      <c r="J108" s="280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99"/>
      <c r="X108" s="299"/>
      <c r="Y108" s="279"/>
      <c r="Z108" s="279"/>
      <c r="AA108" s="279"/>
      <c r="AB108" s="279"/>
      <c r="AC108" s="279"/>
      <c r="AD108" s="279"/>
      <c r="AE108" s="279"/>
      <c r="AF108" s="279"/>
      <c r="AG108" s="279"/>
      <c r="AH108" s="279"/>
      <c r="AI108" s="279"/>
      <c r="AJ108" s="279"/>
      <c r="AK108" s="279"/>
      <c r="AL108" s="279"/>
      <c r="AM108" s="279"/>
      <c r="AN108" s="279"/>
      <c r="AO108" s="279"/>
      <c r="AP108" s="279"/>
      <c r="AQ108" s="279"/>
      <c r="AR108" s="279"/>
      <c r="AS108" s="279"/>
      <c r="AT108" s="279"/>
      <c r="AU108" s="279"/>
      <c r="AV108" s="279"/>
      <c r="AW108" s="279"/>
      <c r="AX108" s="279"/>
      <c r="AY108" s="279"/>
      <c r="AZ108" s="279"/>
      <c r="BA108" s="279"/>
      <c r="BB108" s="279"/>
      <c r="BC108" s="279"/>
      <c r="BD108" s="279"/>
      <c r="BE108" s="279"/>
      <c r="BF108" s="279"/>
      <c r="BG108" s="279"/>
      <c r="BH108" s="279"/>
      <c r="BI108" s="279"/>
      <c r="BJ108" s="279"/>
      <c r="BK108" s="279"/>
      <c r="BL108" s="279"/>
      <c r="BM108" s="279"/>
      <c r="BN108" s="279"/>
      <c r="BO108" s="279"/>
      <c r="BP108" s="279"/>
      <c r="BQ108" s="279"/>
      <c r="BR108" s="279"/>
      <c r="BS108" s="279"/>
      <c r="BT108" s="279"/>
      <c r="BU108" s="279"/>
      <c r="BV108" s="279"/>
      <c r="BW108" s="279"/>
      <c r="BX108" s="279"/>
      <c r="BY108" s="279"/>
    </row>
    <row r="109" ht="13.8" spans="1:77">
      <c r="A109" s="279"/>
      <c r="B109" s="279"/>
      <c r="C109" s="279"/>
      <c r="D109" s="280"/>
      <c r="E109" s="280"/>
      <c r="F109" s="279"/>
      <c r="G109" s="280"/>
      <c r="H109" s="279"/>
      <c r="I109" s="279"/>
      <c r="J109" s="280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99"/>
      <c r="X109" s="299"/>
      <c r="Y109" s="279"/>
      <c r="Z109" s="279"/>
      <c r="AA109" s="279"/>
      <c r="AB109" s="279"/>
      <c r="AC109" s="279"/>
      <c r="AD109" s="279"/>
      <c r="AE109" s="279"/>
      <c r="AF109" s="279"/>
      <c r="AG109" s="279"/>
      <c r="AH109" s="279"/>
      <c r="AI109" s="279"/>
      <c r="AJ109" s="279"/>
      <c r="AK109" s="279"/>
      <c r="AL109" s="279"/>
      <c r="AM109" s="279"/>
      <c r="AN109" s="279"/>
      <c r="AO109" s="279"/>
      <c r="AP109" s="279"/>
      <c r="AQ109" s="279"/>
      <c r="AR109" s="279"/>
      <c r="AS109" s="279"/>
      <c r="AT109" s="279"/>
      <c r="AU109" s="279"/>
      <c r="AV109" s="279"/>
      <c r="AW109" s="279"/>
      <c r="AX109" s="279"/>
      <c r="AY109" s="279"/>
      <c r="AZ109" s="279"/>
      <c r="BA109" s="279"/>
      <c r="BB109" s="279"/>
      <c r="BC109" s="279"/>
      <c r="BD109" s="279"/>
      <c r="BE109" s="279"/>
      <c r="BF109" s="279"/>
      <c r="BG109" s="279"/>
      <c r="BH109" s="279"/>
      <c r="BI109" s="279"/>
      <c r="BJ109" s="279"/>
      <c r="BK109" s="279"/>
      <c r="BL109" s="279"/>
      <c r="BM109" s="279"/>
      <c r="BN109" s="279"/>
      <c r="BO109" s="279"/>
      <c r="BP109" s="279"/>
      <c r="BQ109" s="279"/>
      <c r="BR109" s="279"/>
      <c r="BS109" s="279"/>
      <c r="BT109" s="279"/>
      <c r="BU109" s="279"/>
      <c r="BV109" s="279"/>
      <c r="BW109" s="279"/>
      <c r="BX109" s="279"/>
      <c r="BY109" s="279"/>
    </row>
    <row r="110" ht="13.8" spans="1:77">
      <c r="A110" s="279"/>
      <c r="B110" s="279"/>
      <c r="C110" s="279"/>
      <c r="D110" s="280"/>
      <c r="E110" s="280"/>
      <c r="F110" s="279"/>
      <c r="G110" s="280"/>
      <c r="H110" s="279"/>
      <c r="I110" s="279"/>
      <c r="J110" s="280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99"/>
      <c r="X110" s="299"/>
      <c r="Y110" s="279"/>
      <c r="Z110" s="279"/>
      <c r="AA110" s="279"/>
      <c r="AB110" s="279"/>
      <c r="AC110" s="279"/>
      <c r="AD110" s="279"/>
      <c r="AE110" s="279"/>
      <c r="AF110" s="279"/>
      <c r="AG110" s="279"/>
      <c r="AH110" s="279"/>
      <c r="AI110" s="279"/>
      <c r="AJ110" s="279"/>
      <c r="AK110" s="279"/>
      <c r="AL110" s="279"/>
      <c r="AM110" s="279"/>
      <c r="AN110" s="279"/>
      <c r="AO110" s="279"/>
      <c r="AP110" s="279"/>
      <c r="AQ110" s="279"/>
      <c r="AR110" s="279"/>
      <c r="AS110" s="279"/>
      <c r="AT110" s="279"/>
      <c r="AU110" s="279"/>
      <c r="AV110" s="279"/>
      <c r="AW110" s="279"/>
      <c r="AX110" s="279"/>
      <c r="AY110" s="279"/>
      <c r="AZ110" s="279"/>
      <c r="BA110" s="279"/>
      <c r="BB110" s="279"/>
      <c r="BC110" s="279"/>
      <c r="BD110" s="279"/>
      <c r="BE110" s="279"/>
      <c r="BF110" s="279"/>
      <c r="BG110" s="279"/>
      <c r="BH110" s="279"/>
      <c r="BI110" s="279"/>
      <c r="BJ110" s="279"/>
      <c r="BK110" s="279"/>
      <c r="BL110" s="279"/>
      <c r="BM110" s="279"/>
      <c r="BN110" s="279"/>
      <c r="BO110" s="279"/>
      <c r="BP110" s="279"/>
      <c r="BQ110" s="279"/>
      <c r="BR110" s="279"/>
      <c r="BS110" s="279"/>
      <c r="BT110" s="279"/>
      <c r="BU110" s="279"/>
      <c r="BV110" s="279"/>
      <c r="BW110" s="279"/>
      <c r="BX110" s="279"/>
      <c r="BY110" s="279"/>
    </row>
    <row r="111" ht="13.8" spans="1:77">
      <c r="A111" s="279"/>
      <c r="B111" s="279"/>
      <c r="C111" s="279"/>
      <c r="D111" s="280"/>
      <c r="E111" s="280"/>
      <c r="F111" s="279"/>
      <c r="G111" s="280"/>
      <c r="H111" s="279"/>
      <c r="I111" s="279"/>
      <c r="J111" s="280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99"/>
      <c r="X111" s="299"/>
      <c r="Y111" s="279"/>
      <c r="Z111" s="279"/>
      <c r="AA111" s="279"/>
      <c r="AB111" s="279"/>
      <c r="AC111" s="279"/>
      <c r="AD111" s="279"/>
      <c r="AE111" s="279"/>
      <c r="AF111" s="279"/>
      <c r="AG111" s="279"/>
      <c r="AH111" s="279"/>
      <c r="AI111" s="279"/>
      <c r="AJ111" s="279"/>
      <c r="AK111" s="279"/>
      <c r="AL111" s="279"/>
      <c r="AM111" s="279"/>
      <c r="AN111" s="279"/>
      <c r="AO111" s="279"/>
      <c r="AP111" s="279"/>
      <c r="AQ111" s="279"/>
      <c r="AR111" s="279"/>
      <c r="AS111" s="279"/>
      <c r="AT111" s="279"/>
      <c r="AU111" s="279"/>
      <c r="AV111" s="279"/>
      <c r="AW111" s="279"/>
      <c r="AX111" s="279"/>
      <c r="AY111" s="279"/>
      <c r="AZ111" s="279"/>
      <c r="BA111" s="279"/>
      <c r="BB111" s="279"/>
      <c r="BC111" s="279"/>
      <c r="BD111" s="279"/>
      <c r="BE111" s="279"/>
      <c r="BF111" s="279"/>
      <c r="BG111" s="279"/>
      <c r="BH111" s="279"/>
      <c r="BI111" s="279"/>
      <c r="BJ111" s="279"/>
      <c r="BK111" s="279"/>
      <c r="BL111" s="279"/>
      <c r="BM111" s="279"/>
      <c r="BN111" s="279"/>
      <c r="BO111" s="279"/>
      <c r="BP111" s="279"/>
      <c r="BQ111" s="279"/>
      <c r="BR111" s="279"/>
      <c r="BS111" s="279"/>
      <c r="BT111" s="279"/>
      <c r="BU111" s="279"/>
      <c r="BV111" s="279"/>
      <c r="BW111" s="279"/>
      <c r="BX111" s="279"/>
      <c r="BY111" s="279"/>
    </row>
    <row r="112" ht="13.8" spans="1:77">
      <c r="A112" s="279"/>
      <c r="B112" s="279"/>
      <c r="C112" s="279"/>
      <c r="D112" s="280"/>
      <c r="E112" s="280"/>
      <c r="F112" s="279"/>
      <c r="G112" s="280"/>
      <c r="H112" s="279"/>
      <c r="I112" s="279"/>
      <c r="J112" s="280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99"/>
      <c r="X112" s="299"/>
      <c r="Y112" s="279"/>
      <c r="Z112" s="279"/>
      <c r="AA112" s="279"/>
      <c r="AB112" s="279"/>
      <c r="AC112" s="279"/>
      <c r="AD112" s="279"/>
      <c r="AE112" s="279"/>
      <c r="AF112" s="279"/>
      <c r="AG112" s="279"/>
      <c r="AH112" s="279"/>
      <c r="AI112" s="279"/>
      <c r="AJ112" s="279"/>
      <c r="AK112" s="279"/>
      <c r="AL112" s="279"/>
      <c r="AM112" s="279"/>
      <c r="AN112" s="279"/>
      <c r="AO112" s="279"/>
      <c r="AP112" s="279"/>
      <c r="AQ112" s="279"/>
      <c r="AR112" s="279"/>
      <c r="AS112" s="279"/>
      <c r="AT112" s="279"/>
      <c r="AU112" s="279"/>
      <c r="AV112" s="279"/>
      <c r="AW112" s="279"/>
      <c r="AX112" s="279"/>
      <c r="AY112" s="279"/>
      <c r="AZ112" s="279"/>
      <c r="BA112" s="279"/>
      <c r="BB112" s="279"/>
      <c r="BC112" s="279"/>
      <c r="BD112" s="279"/>
      <c r="BE112" s="279"/>
      <c r="BF112" s="279"/>
      <c r="BG112" s="279"/>
      <c r="BH112" s="279"/>
      <c r="BI112" s="279"/>
      <c r="BJ112" s="279"/>
      <c r="BK112" s="279"/>
      <c r="BL112" s="279"/>
      <c r="BM112" s="279"/>
      <c r="BN112" s="279"/>
      <c r="BO112" s="279"/>
      <c r="BP112" s="279"/>
      <c r="BQ112" s="279"/>
      <c r="BR112" s="279"/>
      <c r="BS112" s="279"/>
      <c r="BT112" s="279"/>
      <c r="BU112" s="279"/>
      <c r="BV112" s="279"/>
      <c r="BW112" s="279"/>
      <c r="BX112" s="279"/>
      <c r="BY112" s="279"/>
    </row>
    <row r="113" ht="13.8" spans="1:77">
      <c r="A113" s="279"/>
      <c r="B113" s="279"/>
      <c r="C113" s="279"/>
      <c r="D113" s="280"/>
      <c r="E113" s="280"/>
      <c r="F113" s="279"/>
      <c r="G113" s="280"/>
      <c r="H113" s="279"/>
      <c r="I113" s="279"/>
      <c r="J113" s="280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99"/>
      <c r="X113" s="299"/>
      <c r="Y113" s="279"/>
      <c r="Z113" s="279"/>
      <c r="AA113" s="279"/>
      <c r="AB113" s="279"/>
      <c r="AC113" s="279"/>
      <c r="AD113" s="279"/>
      <c r="AE113" s="279"/>
      <c r="AF113" s="279"/>
      <c r="AG113" s="279"/>
      <c r="AH113" s="279"/>
      <c r="AI113" s="279"/>
      <c r="AJ113" s="279"/>
      <c r="AK113" s="279"/>
      <c r="AL113" s="279"/>
      <c r="AM113" s="279"/>
      <c r="AN113" s="279"/>
      <c r="AO113" s="279"/>
      <c r="AP113" s="279"/>
      <c r="AQ113" s="279"/>
      <c r="AR113" s="279"/>
      <c r="AS113" s="279"/>
      <c r="AT113" s="279"/>
      <c r="AU113" s="279"/>
      <c r="AV113" s="279"/>
      <c r="AW113" s="279"/>
      <c r="AX113" s="279"/>
      <c r="AY113" s="279"/>
      <c r="AZ113" s="279"/>
      <c r="BA113" s="279"/>
      <c r="BB113" s="279"/>
      <c r="BC113" s="279"/>
      <c r="BD113" s="279"/>
      <c r="BE113" s="279"/>
      <c r="BF113" s="279"/>
      <c r="BG113" s="279"/>
      <c r="BH113" s="279"/>
      <c r="BI113" s="279"/>
      <c r="BJ113" s="279"/>
      <c r="BK113" s="279"/>
      <c r="BL113" s="279"/>
      <c r="BM113" s="279"/>
      <c r="BN113" s="279"/>
      <c r="BO113" s="279"/>
      <c r="BP113" s="279"/>
      <c r="BQ113" s="279"/>
      <c r="BR113" s="279"/>
      <c r="BS113" s="279"/>
      <c r="BT113" s="279"/>
      <c r="BU113" s="279"/>
      <c r="BV113" s="279"/>
      <c r="BW113" s="279"/>
      <c r="BX113" s="279"/>
      <c r="BY113" s="279"/>
    </row>
    <row r="114" ht="13.8" spans="1:77">
      <c r="A114" s="279"/>
      <c r="B114" s="279"/>
      <c r="C114" s="279"/>
      <c r="D114" s="280"/>
      <c r="E114" s="280"/>
      <c r="F114" s="279"/>
      <c r="G114" s="280"/>
      <c r="H114" s="279"/>
      <c r="I114" s="279"/>
      <c r="J114" s="280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99"/>
      <c r="X114" s="299"/>
      <c r="Y114" s="279"/>
      <c r="Z114" s="279"/>
      <c r="AA114" s="279"/>
      <c r="AB114" s="279"/>
      <c r="AC114" s="279"/>
      <c r="AD114" s="279"/>
      <c r="AE114" s="279"/>
      <c r="AF114" s="279"/>
      <c r="AG114" s="279"/>
      <c r="AH114" s="279"/>
      <c r="AI114" s="279"/>
      <c r="AJ114" s="279"/>
      <c r="AK114" s="279"/>
      <c r="AL114" s="279"/>
      <c r="AM114" s="279"/>
      <c r="AN114" s="279"/>
      <c r="AO114" s="279"/>
      <c r="AP114" s="279"/>
      <c r="AQ114" s="279"/>
      <c r="AR114" s="279"/>
      <c r="AS114" s="279"/>
      <c r="AT114" s="279"/>
      <c r="AU114" s="279"/>
      <c r="AV114" s="279"/>
      <c r="AW114" s="279"/>
      <c r="AX114" s="279"/>
      <c r="AY114" s="279"/>
      <c r="AZ114" s="279"/>
      <c r="BA114" s="279"/>
      <c r="BB114" s="279"/>
      <c r="BC114" s="279"/>
      <c r="BD114" s="279"/>
      <c r="BE114" s="279"/>
      <c r="BF114" s="279"/>
      <c r="BG114" s="279"/>
      <c r="BH114" s="279"/>
      <c r="BI114" s="279"/>
      <c r="BJ114" s="279"/>
      <c r="BK114" s="279"/>
      <c r="BL114" s="279"/>
      <c r="BM114" s="279"/>
      <c r="BN114" s="279"/>
      <c r="BO114" s="279"/>
      <c r="BP114" s="279"/>
      <c r="BQ114" s="279"/>
      <c r="BR114" s="279"/>
      <c r="BS114" s="279"/>
      <c r="BT114" s="279"/>
      <c r="BU114" s="279"/>
      <c r="BV114" s="279"/>
      <c r="BW114" s="279"/>
      <c r="BX114" s="279"/>
      <c r="BY114" s="279"/>
    </row>
    <row r="115" ht="13.8" spans="1:77">
      <c r="A115" s="279"/>
      <c r="B115" s="279"/>
      <c r="C115" s="279"/>
      <c r="D115" s="280"/>
      <c r="E115" s="280"/>
      <c r="F115" s="279"/>
      <c r="G115" s="280"/>
      <c r="H115" s="279"/>
      <c r="I115" s="279"/>
      <c r="J115" s="280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99"/>
      <c r="X115" s="299"/>
      <c r="Y115" s="279"/>
      <c r="Z115" s="279"/>
      <c r="AA115" s="279"/>
      <c r="AB115" s="279"/>
      <c r="AC115" s="279"/>
      <c r="AD115" s="279"/>
      <c r="AE115" s="279"/>
      <c r="AF115" s="279"/>
      <c r="AG115" s="279"/>
      <c r="AH115" s="279"/>
      <c r="AI115" s="279"/>
      <c r="AJ115" s="279"/>
      <c r="AK115" s="279"/>
      <c r="AL115" s="279"/>
      <c r="AM115" s="279"/>
      <c r="AN115" s="279"/>
      <c r="AO115" s="279"/>
      <c r="AP115" s="279"/>
      <c r="AQ115" s="279"/>
      <c r="AR115" s="279"/>
      <c r="AS115" s="279"/>
      <c r="AT115" s="279"/>
      <c r="AU115" s="279"/>
      <c r="AV115" s="279"/>
      <c r="AW115" s="279"/>
      <c r="AX115" s="279"/>
      <c r="AY115" s="279"/>
      <c r="AZ115" s="279"/>
      <c r="BA115" s="279"/>
      <c r="BB115" s="279"/>
      <c r="BC115" s="279"/>
      <c r="BD115" s="279"/>
      <c r="BE115" s="279"/>
      <c r="BF115" s="279"/>
      <c r="BG115" s="279"/>
      <c r="BH115" s="279"/>
      <c r="BI115" s="279"/>
      <c r="BJ115" s="279"/>
      <c r="BK115" s="279"/>
      <c r="BL115" s="279"/>
      <c r="BM115" s="279"/>
      <c r="BN115" s="279"/>
      <c r="BO115" s="279"/>
      <c r="BP115" s="279"/>
      <c r="BQ115" s="279"/>
      <c r="BR115" s="279"/>
      <c r="BS115" s="279"/>
      <c r="BT115" s="279"/>
      <c r="BU115" s="279"/>
      <c r="BV115" s="279"/>
      <c r="BW115" s="279"/>
      <c r="BX115" s="279"/>
      <c r="BY115" s="279"/>
    </row>
    <row r="116" ht="13.8" spans="1:77">
      <c r="A116" s="279"/>
      <c r="B116" s="279"/>
      <c r="C116" s="279"/>
      <c r="D116" s="280"/>
      <c r="E116" s="280"/>
      <c r="F116" s="279"/>
      <c r="G116" s="280"/>
      <c r="H116" s="279"/>
      <c r="I116" s="279"/>
      <c r="J116" s="280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99"/>
      <c r="X116" s="299"/>
      <c r="Y116" s="279"/>
      <c r="Z116" s="279"/>
      <c r="AA116" s="279"/>
      <c r="AB116" s="279"/>
      <c r="AC116" s="279"/>
      <c r="AD116" s="279"/>
      <c r="AE116" s="279"/>
      <c r="AF116" s="279"/>
      <c r="AG116" s="279"/>
      <c r="AH116" s="279"/>
      <c r="AI116" s="279"/>
      <c r="AJ116" s="279"/>
      <c r="AK116" s="279"/>
      <c r="AL116" s="279"/>
      <c r="AM116" s="279"/>
      <c r="AN116" s="279"/>
      <c r="AO116" s="279"/>
      <c r="AP116" s="279"/>
      <c r="AQ116" s="279"/>
      <c r="AR116" s="279"/>
      <c r="AS116" s="279"/>
      <c r="AT116" s="279"/>
      <c r="AU116" s="279"/>
      <c r="AV116" s="279"/>
      <c r="AW116" s="279"/>
      <c r="AX116" s="279"/>
      <c r="AY116" s="279"/>
      <c r="AZ116" s="279"/>
      <c r="BA116" s="279"/>
      <c r="BB116" s="279"/>
      <c r="BC116" s="279"/>
      <c r="BD116" s="279"/>
      <c r="BE116" s="279"/>
      <c r="BF116" s="279"/>
      <c r="BG116" s="279"/>
      <c r="BH116" s="279"/>
      <c r="BI116" s="279"/>
      <c r="BJ116" s="279"/>
      <c r="BK116" s="279"/>
      <c r="BL116" s="279"/>
      <c r="BM116" s="279"/>
      <c r="BN116" s="279"/>
      <c r="BO116" s="279"/>
      <c r="BP116" s="279"/>
      <c r="BQ116" s="279"/>
      <c r="BR116" s="279"/>
      <c r="BS116" s="279"/>
      <c r="BT116" s="279"/>
      <c r="BU116" s="279"/>
      <c r="BV116" s="279"/>
      <c r="BW116" s="279"/>
      <c r="BX116" s="279"/>
      <c r="BY116" s="279"/>
    </row>
    <row r="117" ht="13.8" spans="1:77">
      <c r="A117" s="279"/>
      <c r="B117" s="279"/>
      <c r="C117" s="279"/>
      <c r="D117" s="280"/>
      <c r="E117" s="280"/>
      <c r="F117" s="279"/>
      <c r="G117" s="280"/>
      <c r="H117" s="279"/>
      <c r="I117" s="279"/>
      <c r="J117" s="280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99"/>
      <c r="X117" s="299"/>
      <c r="Y117" s="279"/>
      <c r="Z117" s="279"/>
      <c r="AA117" s="279"/>
      <c r="AB117" s="279"/>
      <c r="AC117" s="279"/>
      <c r="AD117" s="279"/>
      <c r="AE117" s="279"/>
      <c r="AF117" s="279"/>
      <c r="AG117" s="279"/>
      <c r="AH117" s="279"/>
      <c r="AI117" s="279"/>
      <c r="AJ117" s="279"/>
      <c r="AK117" s="279"/>
      <c r="AL117" s="279"/>
      <c r="AM117" s="279"/>
      <c r="AN117" s="279"/>
      <c r="AO117" s="279"/>
      <c r="AP117" s="279"/>
      <c r="AQ117" s="279"/>
      <c r="AR117" s="279"/>
      <c r="AS117" s="279"/>
      <c r="AT117" s="279"/>
      <c r="AU117" s="279"/>
      <c r="AV117" s="279"/>
      <c r="AW117" s="279"/>
      <c r="AX117" s="279"/>
      <c r="AY117" s="279"/>
      <c r="AZ117" s="279"/>
      <c r="BA117" s="279"/>
      <c r="BB117" s="279"/>
      <c r="BC117" s="279"/>
      <c r="BD117" s="279"/>
      <c r="BE117" s="279"/>
      <c r="BF117" s="279"/>
      <c r="BG117" s="279"/>
      <c r="BH117" s="279"/>
      <c r="BI117" s="279"/>
      <c r="BJ117" s="279"/>
      <c r="BK117" s="279"/>
      <c r="BL117" s="279"/>
      <c r="BM117" s="279"/>
      <c r="BN117" s="279"/>
      <c r="BO117" s="279"/>
      <c r="BP117" s="279"/>
      <c r="BQ117" s="279"/>
      <c r="BR117" s="279"/>
      <c r="BS117" s="279"/>
      <c r="BT117" s="279"/>
      <c r="BU117" s="279"/>
      <c r="BV117" s="279"/>
      <c r="BW117" s="279"/>
      <c r="BX117" s="279"/>
      <c r="BY117" s="279"/>
    </row>
    <row r="118" ht="13.8" spans="1:77">
      <c r="A118" s="279"/>
      <c r="B118" s="279"/>
      <c r="C118" s="279"/>
      <c r="D118" s="280"/>
      <c r="E118" s="280"/>
      <c r="F118" s="279"/>
      <c r="G118" s="280"/>
      <c r="H118" s="279"/>
      <c r="I118" s="279"/>
      <c r="J118" s="280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99"/>
      <c r="X118" s="299"/>
      <c r="Y118" s="279"/>
      <c r="Z118" s="279"/>
      <c r="AA118" s="279"/>
      <c r="AB118" s="279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279"/>
      <c r="AN118" s="279"/>
      <c r="AO118" s="279"/>
      <c r="AP118" s="279"/>
      <c r="AQ118" s="279"/>
      <c r="AR118" s="279"/>
      <c r="AS118" s="279"/>
      <c r="AT118" s="279"/>
      <c r="AU118" s="279"/>
      <c r="AV118" s="279"/>
      <c r="AW118" s="279"/>
      <c r="AX118" s="279"/>
      <c r="AY118" s="279"/>
      <c r="AZ118" s="279"/>
      <c r="BA118" s="279"/>
      <c r="BB118" s="279"/>
      <c r="BC118" s="279"/>
      <c r="BD118" s="279"/>
      <c r="BE118" s="279"/>
      <c r="BF118" s="279"/>
      <c r="BG118" s="279"/>
      <c r="BH118" s="279"/>
      <c r="BI118" s="279"/>
      <c r="BJ118" s="279"/>
      <c r="BK118" s="279"/>
      <c r="BL118" s="279"/>
      <c r="BM118" s="279"/>
      <c r="BN118" s="279"/>
      <c r="BO118" s="279"/>
      <c r="BP118" s="279"/>
      <c r="BQ118" s="279"/>
      <c r="BR118" s="279"/>
      <c r="BS118" s="279"/>
      <c r="BT118" s="279"/>
      <c r="BU118" s="279"/>
      <c r="BV118" s="279"/>
      <c r="BW118" s="279"/>
      <c r="BX118" s="279"/>
      <c r="BY118" s="279"/>
    </row>
    <row r="119" ht="13.8" spans="1:77">
      <c r="A119" s="279"/>
      <c r="B119" s="279"/>
      <c r="C119" s="279"/>
      <c r="D119" s="280"/>
      <c r="E119" s="280"/>
      <c r="F119" s="279"/>
      <c r="G119" s="280"/>
      <c r="H119" s="279"/>
      <c r="I119" s="279"/>
      <c r="J119" s="280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99"/>
      <c r="X119" s="299"/>
      <c r="Y119" s="279"/>
      <c r="Z119" s="279"/>
      <c r="AA119" s="279"/>
      <c r="AB119" s="279"/>
      <c r="AC119" s="279"/>
      <c r="AD119" s="279"/>
      <c r="AE119" s="279"/>
      <c r="AF119" s="279"/>
      <c r="AG119" s="279"/>
      <c r="AH119" s="279"/>
      <c r="AI119" s="279"/>
      <c r="AJ119" s="279"/>
      <c r="AK119" s="279"/>
      <c r="AL119" s="279"/>
      <c r="AM119" s="279"/>
      <c r="AN119" s="279"/>
      <c r="AO119" s="279"/>
      <c r="AP119" s="279"/>
      <c r="AQ119" s="279"/>
      <c r="AR119" s="279"/>
      <c r="AS119" s="279"/>
      <c r="AT119" s="279"/>
      <c r="AU119" s="279"/>
      <c r="AV119" s="279"/>
      <c r="AW119" s="279"/>
      <c r="AX119" s="279"/>
      <c r="AY119" s="279"/>
      <c r="AZ119" s="279"/>
      <c r="BA119" s="279"/>
      <c r="BB119" s="279"/>
      <c r="BC119" s="279"/>
      <c r="BD119" s="279"/>
      <c r="BE119" s="279"/>
      <c r="BF119" s="279"/>
      <c r="BG119" s="279"/>
      <c r="BH119" s="279"/>
      <c r="BI119" s="279"/>
      <c r="BJ119" s="279"/>
      <c r="BK119" s="279"/>
      <c r="BL119" s="279"/>
      <c r="BM119" s="279"/>
      <c r="BN119" s="279"/>
      <c r="BO119" s="279"/>
      <c r="BP119" s="279"/>
      <c r="BQ119" s="279"/>
      <c r="BR119" s="279"/>
      <c r="BS119" s="279"/>
      <c r="BT119" s="279"/>
      <c r="BU119" s="279"/>
      <c r="BV119" s="279"/>
      <c r="BW119" s="279"/>
      <c r="BX119" s="279"/>
      <c r="BY119" s="279"/>
    </row>
    <row r="120" ht="13.8" spans="1:77">
      <c r="A120" s="279"/>
      <c r="B120" s="279"/>
      <c r="C120" s="279"/>
      <c r="D120" s="280"/>
      <c r="E120" s="280"/>
      <c r="F120" s="279"/>
      <c r="G120" s="280"/>
      <c r="H120" s="279"/>
      <c r="I120" s="279"/>
      <c r="J120" s="280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99"/>
      <c r="X120" s="299"/>
      <c r="Y120" s="279"/>
      <c r="Z120" s="279"/>
      <c r="AA120" s="279"/>
      <c r="AB120" s="279"/>
      <c r="AC120" s="279"/>
      <c r="AD120" s="279"/>
      <c r="AE120" s="279"/>
      <c r="AF120" s="279"/>
      <c r="AG120" s="279"/>
      <c r="AH120" s="279"/>
      <c r="AI120" s="279"/>
      <c r="AJ120" s="279"/>
      <c r="AK120" s="279"/>
      <c r="AL120" s="279"/>
      <c r="AM120" s="279"/>
      <c r="AN120" s="279"/>
      <c r="AO120" s="279"/>
      <c r="AP120" s="279"/>
      <c r="AQ120" s="279"/>
      <c r="AR120" s="279"/>
      <c r="AS120" s="279"/>
      <c r="AT120" s="279"/>
      <c r="AU120" s="279"/>
      <c r="AV120" s="279"/>
      <c r="AW120" s="279"/>
      <c r="AX120" s="279"/>
      <c r="AY120" s="279"/>
      <c r="AZ120" s="279"/>
      <c r="BA120" s="279"/>
      <c r="BB120" s="279"/>
      <c r="BC120" s="279"/>
      <c r="BD120" s="279"/>
      <c r="BE120" s="279"/>
      <c r="BF120" s="279"/>
      <c r="BG120" s="279"/>
      <c r="BH120" s="279"/>
      <c r="BI120" s="279"/>
      <c r="BJ120" s="279"/>
      <c r="BK120" s="279"/>
      <c r="BL120" s="279"/>
      <c r="BM120" s="279"/>
      <c r="BN120" s="279"/>
      <c r="BO120" s="279"/>
      <c r="BP120" s="279"/>
      <c r="BQ120" s="279"/>
      <c r="BR120" s="279"/>
      <c r="BS120" s="279"/>
      <c r="BT120" s="279"/>
      <c r="BU120" s="279"/>
      <c r="BV120" s="279"/>
      <c r="BW120" s="279"/>
      <c r="BX120" s="279"/>
      <c r="BY120" s="279"/>
    </row>
    <row r="121" ht="13.8" spans="1:77">
      <c r="A121" s="279"/>
      <c r="B121" s="279"/>
      <c r="C121" s="279"/>
      <c r="D121" s="280"/>
      <c r="E121" s="280"/>
      <c r="F121" s="279"/>
      <c r="G121" s="280"/>
      <c r="H121" s="279"/>
      <c r="I121" s="279"/>
      <c r="J121" s="280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99"/>
      <c r="X121" s="299"/>
      <c r="Y121" s="279"/>
      <c r="Z121" s="279"/>
      <c r="AA121" s="279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79"/>
      <c r="AL121" s="279"/>
      <c r="AM121" s="279"/>
      <c r="AN121" s="279"/>
      <c r="AO121" s="279"/>
      <c r="AP121" s="279"/>
      <c r="AQ121" s="279"/>
      <c r="AR121" s="279"/>
      <c r="AS121" s="279"/>
      <c r="AT121" s="279"/>
      <c r="AU121" s="279"/>
      <c r="AV121" s="279"/>
      <c r="AW121" s="279"/>
      <c r="AX121" s="279"/>
      <c r="AY121" s="279"/>
      <c r="AZ121" s="279"/>
      <c r="BA121" s="279"/>
      <c r="BB121" s="279"/>
      <c r="BC121" s="279"/>
      <c r="BD121" s="279"/>
      <c r="BE121" s="279"/>
      <c r="BF121" s="279"/>
      <c r="BG121" s="279"/>
      <c r="BH121" s="279"/>
      <c r="BI121" s="279"/>
      <c r="BJ121" s="279"/>
      <c r="BK121" s="279"/>
      <c r="BL121" s="279"/>
      <c r="BM121" s="279"/>
      <c r="BN121" s="279"/>
      <c r="BO121" s="279"/>
      <c r="BP121" s="279"/>
      <c r="BQ121" s="279"/>
      <c r="BR121" s="279"/>
      <c r="BS121" s="279"/>
      <c r="BT121" s="279"/>
      <c r="BU121" s="279"/>
      <c r="BV121" s="279"/>
      <c r="BW121" s="279"/>
      <c r="BX121" s="279"/>
      <c r="BY121" s="279"/>
    </row>
    <row r="122" ht="13.8" spans="1:77">
      <c r="A122" s="279"/>
      <c r="B122" s="279"/>
      <c r="C122" s="279"/>
      <c r="D122" s="280"/>
      <c r="E122" s="280"/>
      <c r="F122" s="279"/>
      <c r="G122" s="280"/>
      <c r="H122" s="279"/>
      <c r="I122" s="279"/>
      <c r="J122" s="280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99"/>
      <c r="X122" s="299"/>
      <c r="Y122" s="279"/>
      <c r="Z122" s="279"/>
      <c r="AA122" s="279"/>
      <c r="AB122" s="279"/>
      <c r="AC122" s="279"/>
      <c r="AD122" s="279"/>
      <c r="AE122" s="279"/>
      <c r="AF122" s="279"/>
      <c r="AG122" s="279"/>
      <c r="AH122" s="279"/>
      <c r="AI122" s="279"/>
      <c r="AJ122" s="279"/>
      <c r="AK122" s="279"/>
      <c r="AL122" s="279"/>
      <c r="AM122" s="279"/>
      <c r="AN122" s="279"/>
      <c r="AO122" s="279"/>
      <c r="AP122" s="279"/>
      <c r="AQ122" s="279"/>
      <c r="AR122" s="279"/>
      <c r="AS122" s="279"/>
      <c r="AT122" s="279"/>
      <c r="AU122" s="279"/>
      <c r="AV122" s="279"/>
      <c r="AW122" s="279"/>
      <c r="AX122" s="279"/>
      <c r="AY122" s="279"/>
      <c r="AZ122" s="279"/>
      <c r="BA122" s="279"/>
      <c r="BB122" s="279"/>
      <c r="BC122" s="279"/>
      <c r="BD122" s="279"/>
      <c r="BE122" s="279"/>
      <c r="BF122" s="279"/>
      <c r="BG122" s="279"/>
      <c r="BH122" s="279"/>
      <c r="BI122" s="279"/>
      <c r="BJ122" s="279"/>
      <c r="BK122" s="279"/>
      <c r="BL122" s="279"/>
      <c r="BM122" s="279"/>
      <c r="BN122" s="279"/>
      <c r="BO122" s="279"/>
      <c r="BP122" s="279"/>
      <c r="BQ122" s="279"/>
      <c r="BR122" s="279"/>
      <c r="BS122" s="279"/>
      <c r="BT122" s="279"/>
      <c r="BU122" s="279"/>
      <c r="BV122" s="279"/>
      <c r="BW122" s="279"/>
      <c r="BX122" s="279"/>
      <c r="BY122" s="279"/>
    </row>
    <row r="123" ht="13.8" spans="1:77">
      <c r="A123" s="279"/>
      <c r="B123" s="279"/>
      <c r="C123" s="279"/>
      <c r="D123" s="280"/>
      <c r="E123" s="280"/>
      <c r="F123" s="279"/>
      <c r="G123" s="280"/>
      <c r="H123" s="279"/>
      <c r="I123" s="279"/>
      <c r="J123" s="280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99"/>
      <c r="X123" s="299"/>
      <c r="Y123" s="279"/>
      <c r="Z123" s="279"/>
      <c r="AA123" s="279"/>
      <c r="AB123" s="279"/>
      <c r="AC123" s="279"/>
      <c r="AD123" s="279"/>
      <c r="AE123" s="279"/>
      <c r="AF123" s="279"/>
      <c r="AG123" s="279"/>
      <c r="AH123" s="279"/>
      <c r="AI123" s="279"/>
      <c r="AJ123" s="279"/>
      <c r="AK123" s="279"/>
      <c r="AL123" s="279"/>
      <c r="AM123" s="279"/>
      <c r="AN123" s="279"/>
      <c r="AO123" s="279"/>
      <c r="AP123" s="279"/>
      <c r="AQ123" s="279"/>
      <c r="AR123" s="279"/>
      <c r="AS123" s="279"/>
      <c r="AT123" s="279"/>
      <c r="AU123" s="279"/>
      <c r="AV123" s="279"/>
      <c r="AW123" s="279"/>
      <c r="AX123" s="279"/>
      <c r="AY123" s="279"/>
      <c r="AZ123" s="279"/>
      <c r="BA123" s="279"/>
      <c r="BB123" s="279"/>
      <c r="BC123" s="279"/>
      <c r="BD123" s="279"/>
      <c r="BE123" s="279"/>
      <c r="BF123" s="279"/>
      <c r="BG123" s="279"/>
      <c r="BH123" s="279"/>
      <c r="BI123" s="279"/>
      <c r="BJ123" s="279"/>
      <c r="BK123" s="279"/>
      <c r="BL123" s="279"/>
      <c r="BM123" s="279"/>
      <c r="BN123" s="279"/>
      <c r="BO123" s="279"/>
      <c r="BP123" s="279"/>
      <c r="BQ123" s="279"/>
      <c r="BR123" s="279"/>
      <c r="BS123" s="279"/>
      <c r="BT123" s="279"/>
      <c r="BU123" s="279"/>
      <c r="BV123" s="279"/>
      <c r="BW123" s="279"/>
      <c r="BX123" s="279"/>
      <c r="BY123" s="279"/>
    </row>
    <row r="124" ht="13.8" spans="1:77">
      <c r="A124" s="279"/>
      <c r="B124" s="279"/>
      <c r="C124" s="279"/>
      <c r="D124" s="280"/>
      <c r="E124" s="280"/>
      <c r="F124" s="279"/>
      <c r="G124" s="280"/>
      <c r="H124" s="279"/>
      <c r="I124" s="279"/>
      <c r="J124" s="280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99"/>
      <c r="X124" s="299"/>
      <c r="Y124" s="279"/>
      <c r="Z124" s="279"/>
      <c r="AA124" s="279"/>
      <c r="AB124" s="279"/>
      <c r="AC124" s="279"/>
      <c r="AD124" s="279"/>
      <c r="AE124" s="279"/>
      <c r="AF124" s="279"/>
      <c r="AG124" s="279"/>
      <c r="AH124" s="279"/>
      <c r="AI124" s="279"/>
      <c r="AJ124" s="279"/>
      <c r="AK124" s="279"/>
      <c r="AL124" s="279"/>
      <c r="AM124" s="279"/>
      <c r="AN124" s="279"/>
      <c r="AO124" s="279"/>
      <c r="AP124" s="279"/>
      <c r="AQ124" s="279"/>
      <c r="AR124" s="279"/>
      <c r="AS124" s="279"/>
      <c r="AT124" s="279"/>
      <c r="AU124" s="279"/>
      <c r="AV124" s="279"/>
      <c r="AW124" s="279"/>
      <c r="AX124" s="279"/>
      <c r="AY124" s="279"/>
      <c r="AZ124" s="279"/>
      <c r="BA124" s="279"/>
      <c r="BB124" s="279"/>
      <c r="BC124" s="279"/>
      <c r="BD124" s="279"/>
      <c r="BE124" s="279"/>
      <c r="BF124" s="279"/>
      <c r="BG124" s="279"/>
      <c r="BH124" s="279"/>
      <c r="BI124" s="279"/>
      <c r="BJ124" s="279"/>
      <c r="BK124" s="279"/>
      <c r="BL124" s="279"/>
      <c r="BM124" s="279"/>
      <c r="BN124" s="279"/>
      <c r="BO124" s="279"/>
      <c r="BP124" s="279"/>
      <c r="BQ124" s="279"/>
      <c r="BR124" s="279"/>
      <c r="BS124" s="279"/>
      <c r="BT124" s="279"/>
      <c r="BU124" s="279"/>
      <c r="BV124" s="279"/>
      <c r="BW124" s="279"/>
      <c r="BX124" s="279"/>
      <c r="BY124" s="279"/>
    </row>
    <row r="125" ht="13.8" spans="1:77">
      <c r="A125" s="279"/>
      <c r="B125" s="279"/>
      <c r="C125" s="279"/>
      <c r="D125" s="280"/>
      <c r="E125" s="280"/>
      <c r="F125" s="279"/>
      <c r="G125" s="280"/>
      <c r="H125" s="279"/>
      <c r="I125" s="279"/>
      <c r="J125" s="280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99"/>
      <c r="X125" s="299"/>
      <c r="Y125" s="279"/>
      <c r="Z125" s="279"/>
      <c r="AA125" s="279"/>
      <c r="AB125" s="279"/>
      <c r="AC125" s="279"/>
      <c r="AD125" s="279"/>
      <c r="AE125" s="279"/>
      <c r="AF125" s="279"/>
      <c r="AG125" s="279"/>
      <c r="AH125" s="279"/>
      <c r="AI125" s="279"/>
      <c r="AJ125" s="279"/>
      <c r="AK125" s="279"/>
      <c r="AL125" s="279"/>
      <c r="AM125" s="279"/>
      <c r="AN125" s="279"/>
      <c r="AO125" s="279"/>
      <c r="AP125" s="279"/>
      <c r="AQ125" s="279"/>
      <c r="AR125" s="279"/>
      <c r="AS125" s="279"/>
      <c r="AT125" s="279"/>
      <c r="AU125" s="279"/>
      <c r="AV125" s="279"/>
      <c r="AW125" s="279"/>
      <c r="AX125" s="279"/>
      <c r="AY125" s="279"/>
      <c r="AZ125" s="279"/>
      <c r="BA125" s="279"/>
      <c r="BB125" s="279"/>
      <c r="BC125" s="279"/>
      <c r="BD125" s="279"/>
      <c r="BE125" s="279"/>
      <c r="BF125" s="279"/>
      <c r="BG125" s="279"/>
      <c r="BH125" s="279"/>
      <c r="BI125" s="279"/>
      <c r="BJ125" s="279"/>
      <c r="BK125" s="279"/>
      <c r="BL125" s="279"/>
      <c r="BM125" s="279"/>
      <c r="BN125" s="279"/>
      <c r="BO125" s="279"/>
      <c r="BP125" s="279"/>
      <c r="BQ125" s="279"/>
      <c r="BR125" s="279"/>
      <c r="BS125" s="279"/>
      <c r="BT125" s="279"/>
      <c r="BU125" s="279"/>
      <c r="BV125" s="279"/>
      <c r="BW125" s="279"/>
      <c r="BX125" s="279"/>
      <c r="BY125" s="279"/>
    </row>
    <row r="126" ht="13.8" spans="1:77">
      <c r="A126" s="279"/>
      <c r="B126" s="279"/>
      <c r="C126" s="279"/>
      <c r="D126" s="280"/>
      <c r="E126" s="280"/>
      <c r="F126" s="279"/>
      <c r="G126" s="280"/>
      <c r="H126" s="279"/>
      <c r="I126" s="279"/>
      <c r="J126" s="280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99"/>
      <c r="X126" s="299"/>
      <c r="Y126" s="279"/>
      <c r="Z126" s="279"/>
      <c r="AA126" s="279"/>
      <c r="AB126" s="279"/>
      <c r="AC126" s="279"/>
      <c r="AD126" s="279"/>
      <c r="AE126" s="279"/>
      <c r="AF126" s="279"/>
      <c r="AG126" s="279"/>
      <c r="AH126" s="279"/>
      <c r="AI126" s="279"/>
      <c r="AJ126" s="279"/>
      <c r="AK126" s="279"/>
      <c r="AL126" s="279"/>
      <c r="AM126" s="279"/>
      <c r="AN126" s="279"/>
      <c r="AO126" s="279"/>
      <c r="AP126" s="279"/>
      <c r="AQ126" s="279"/>
      <c r="AR126" s="279"/>
      <c r="AS126" s="279"/>
      <c r="AT126" s="279"/>
      <c r="AU126" s="279"/>
      <c r="AV126" s="279"/>
      <c r="AW126" s="279"/>
      <c r="AX126" s="279"/>
      <c r="AY126" s="279"/>
      <c r="AZ126" s="279"/>
      <c r="BA126" s="279"/>
      <c r="BB126" s="279"/>
      <c r="BC126" s="279"/>
      <c r="BD126" s="279"/>
      <c r="BE126" s="279"/>
      <c r="BF126" s="279"/>
      <c r="BG126" s="279"/>
      <c r="BH126" s="279"/>
      <c r="BI126" s="279"/>
      <c r="BJ126" s="279"/>
      <c r="BK126" s="279"/>
      <c r="BL126" s="279"/>
      <c r="BM126" s="279"/>
      <c r="BN126" s="279"/>
      <c r="BO126" s="279"/>
      <c r="BP126" s="279"/>
      <c r="BQ126" s="279"/>
      <c r="BR126" s="279"/>
      <c r="BS126" s="279"/>
      <c r="BT126" s="279"/>
      <c r="BU126" s="279"/>
      <c r="BV126" s="279"/>
      <c r="BW126" s="279"/>
      <c r="BX126" s="279"/>
      <c r="BY126" s="279"/>
    </row>
    <row r="127" ht="13.8" spans="1:77">
      <c r="A127" s="279"/>
      <c r="B127" s="279"/>
      <c r="C127" s="279"/>
      <c r="D127" s="280"/>
      <c r="E127" s="280"/>
      <c r="F127" s="279"/>
      <c r="G127" s="280"/>
      <c r="H127" s="279"/>
      <c r="I127" s="279"/>
      <c r="J127" s="280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99"/>
      <c r="X127" s="299"/>
      <c r="Y127" s="279"/>
      <c r="Z127" s="279"/>
      <c r="AA127" s="279"/>
      <c r="AB127" s="279"/>
      <c r="AC127" s="279"/>
      <c r="AD127" s="279"/>
      <c r="AE127" s="279"/>
      <c r="AF127" s="279"/>
      <c r="AG127" s="279"/>
      <c r="AH127" s="279"/>
      <c r="AI127" s="279"/>
      <c r="AJ127" s="279"/>
      <c r="AK127" s="279"/>
      <c r="AL127" s="279"/>
      <c r="AM127" s="279"/>
      <c r="AN127" s="279"/>
      <c r="AO127" s="279"/>
      <c r="AP127" s="279"/>
      <c r="AQ127" s="279"/>
      <c r="AR127" s="279"/>
      <c r="AS127" s="279"/>
      <c r="AT127" s="279"/>
      <c r="AU127" s="279"/>
      <c r="AV127" s="279"/>
      <c r="AW127" s="279"/>
      <c r="AX127" s="279"/>
      <c r="AY127" s="279"/>
      <c r="AZ127" s="279"/>
      <c r="BA127" s="279"/>
      <c r="BB127" s="279"/>
      <c r="BC127" s="279"/>
      <c r="BD127" s="279"/>
      <c r="BE127" s="279"/>
      <c r="BF127" s="279"/>
      <c r="BG127" s="279"/>
      <c r="BH127" s="279"/>
      <c r="BI127" s="279"/>
      <c r="BJ127" s="279"/>
      <c r="BK127" s="279"/>
      <c r="BL127" s="279"/>
      <c r="BM127" s="279"/>
      <c r="BN127" s="279"/>
      <c r="BO127" s="279"/>
      <c r="BP127" s="279"/>
      <c r="BQ127" s="279"/>
      <c r="BR127" s="279"/>
      <c r="BS127" s="279"/>
      <c r="BT127" s="279"/>
      <c r="BU127" s="279"/>
      <c r="BV127" s="279"/>
      <c r="BW127" s="279"/>
      <c r="BX127" s="279"/>
      <c r="BY127" s="279"/>
    </row>
    <row r="128" ht="13.8" spans="1:77">
      <c r="A128" s="279"/>
      <c r="B128" s="279"/>
      <c r="C128" s="279"/>
      <c r="D128" s="280"/>
      <c r="E128" s="280"/>
      <c r="F128" s="279"/>
      <c r="G128" s="280"/>
      <c r="H128" s="279"/>
      <c r="I128" s="279"/>
      <c r="J128" s="280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99"/>
      <c r="X128" s="299"/>
      <c r="Y128" s="279"/>
      <c r="Z128" s="279"/>
      <c r="AA128" s="279"/>
      <c r="AB128" s="279"/>
      <c r="AC128" s="279"/>
      <c r="AD128" s="279"/>
      <c r="AE128" s="279"/>
      <c r="AF128" s="279"/>
      <c r="AG128" s="279"/>
      <c r="AH128" s="279"/>
      <c r="AI128" s="279"/>
      <c r="AJ128" s="279"/>
      <c r="AK128" s="279"/>
      <c r="AL128" s="279"/>
      <c r="AM128" s="279"/>
      <c r="AN128" s="279"/>
      <c r="AO128" s="279"/>
      <c r="AP128" s="279"/>
      <c r="AQ128" s="279"/>
      <c r="AR128" s="279"/>
      <c r="AS128" s="279"/>
      <c r="AT128" s="279"/>
      <c r="AU128" s="279"/>
      <c r="AV128" s="279"/>
      <c r="AW128" s="279"/>
      <c r="AX128" s="279"/>
      <c r="AY128" s="279"/>
      <c r="AZ128" s="279"/>
      <c r="BA128" s="279"/>
      <c r="BB128" s="279"/>
      <c r="BC128" s="279"/>
      <c r="BD128" s="279"/>
      <c r="BE128" s="279"/>
      <c r="BF128" s="279"/>
      <c r="BG128" s="279"/>
      <c r="BH128" s="279"/>
      <c r="BI128" s="279"/>
      <c r="BJ128" s="279"/>
      <c r="BK128" s="279"/>
      <c r="BL128" s="279"/>
      <c r="BM128" s="279"/>
      <c r="BN128" s="279"/>
      <c r="BO128" s="279"/>
      <c r="BP128" s="279"/>
      <c r="BQ128" s="279"/>
      <c r="BR128" s="279"/>
      <c r="BS128" s="279"/>
      <c r="BT128" s="279"/>
      <c r="BU128" s="279"/>
      <c r="BV128" s="279"/>
      <c r="BW128" s="279"/>
      <c r="BX128" s="279"/>
      <c r="BY128" s="279"/>
    </row>
    <row r="129" ht="13.8" spans="1:77">
      <c r="A129" s="279"/>
      <c r="B129" s="279"/>
      <c r="C129" s="279"/>
      <c r="D129" s="280"/>
      <c r="E129" s="280"/>
      <c r="F129" s="279"/>
      <c r="G129" s="280"/>
      <c r="H129" s="279"/>
      <c r="I129" s="279"/>
      <c r="J129" s="280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99"/>
      <c r="X129" s="299"/>
      <c r="Y129" s="279"/>
      <c r="Z129" s="279"/>
      <c r="AA129" s="279"/>
      <c r="AB129" s="279"/>
      <c r="AC129" s="279"/>
      <c r="AD129" s="279"/>
      <c r="AE129" s="279"/>
      <c r="AF129" s="279"/>
      <c r="AG129" s="279"/>
      <c r="AH129" s="279"/>
      <c r="AI129" s="279"/>
      <c r="AJ129" s="279"/>
      <c r="AK129" s="279"/>
      <c r="AL129" s="279"/>
      <c r="AM129" s="279"/>
      <c r="AN129" s="279"/>
      <c r="AO129" s="279"/>
      <c r="AP129" s="279"/>
      <c r="AQ129" s="279"/>
      <c r="AR129" s="279"/>
      <c r="AS129" s="279"/>
      <c r="AT129" s="279"/>
      <c r="AU129" s="279"/>
      <c r="AV129" s="279"/>
      <c r="AW129" s="279"/>
      <c r="AX129" s="279"/>
      <c r="AY129" s="279"/>
      <c r="AZ129" s="279"/>
      <c r="BA129" s="279"/>
      <c r="BB129" s="279"/>
      <c r="BC129" s="279"/>
      <c r="BD129" s="279"/>
      <c r="BE129" s="279"/>
      <c r="BF129" s="279"/>
      <c r="BG129" s="279"/>
      <c r="BH129" s="279"/>
      <c r="BI129" s="279"/>
      <c r="BJ129" s="279"/>
      <c r="BK129" s="279"/>
      <c r="BL129" s="279"/>
      <c r="BM129" s="279"/>
      <c r="BN129" s="279"/>
      <c r="BO129" s="279"/>
      <c r="BP129" s="279"/>
      <c r="BQ129" s="279"/>
      <c r="BR129" s="279"/>
      <c r="BS129" s="279"/>
      <c r="BT129" s="279"/>
      <c r="BU129" s="279"/>
      <c r="BV129" s="279"/>
      <c r="BW129" s="279"/>
      <c r="BX129" s="279"/>
      <c r="BY129" s="279"/>
    </row>
    <row r="130" ht="13.8" spans="1:77">
      <c r="A130" s="279"/>
      <c r="B130" s="279"/>
      <c r="C130" s="279"/>
      <c r="D130" s="280"/>
      <c r="E130" s="280"/>
      <c r="F130" s="279"/>
      <c r="G130" s="280"/>
      <c r="H130" s="279"/>
      <c r="I130" s="279"/>
      <c r="J130" s="280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99"/>
      <c r="X130" s="299"/>
      <c r="Y130" s="279"/>
      <c r="Z130" s="279"/>
      <c r="AA130" s="279"/>
      <c r="AB130" s="279"/>
      <c r="AC130" s="279"/>
      <c r="AD130" s="279"/>
      <c r="AE130" s="279"/>
      <c r="AF130" s="279"/>
      <c r="AG130" s="279"/>
      <c r="AH130" s="279"/>
      <c r="AI130" s="279"/>
      <c r="AJ130" s="279"/>
      <c r="AK130" s="279"/>
      <c r="AL130" s="279"/>
      <c r="AM130" s="279"/>
      <c r="AN130" s="279"/>
      <c r="AO130" s="279"/>
      <c r="AP130" s="279"/>
      <c r="AQ130" s="279"/>
      <c r="AR130" s="279"/>
      <c r="AS130" s="279"/>
      <c r="AT130" s="279"/>
      <c r="AU130" s="279"/>
      <c r="AV130" s="279"/>
      <c r="AW130" s="279"/>
      <c r="AX130" s="279"/>
      <c r="AY130" s="279"/>
      <c r="AZ130" s="279"/>
      <c r="BA130" s="279"/>
      <c r="BB130" s="279"/>
      <c r="BC130" s="279"/>
      <c r="BD130" s="279"/>
      <c r="BE130" s="279"/>
      <c r="BF130" s="279"/>
      <c r="BG130" s="279"/>
      <c r="BH130" s="279"/>
      <c r="BI130" s="279"/>
      <c r="BJ130" s="279"/>
      <c r="BK130" s="279"/>
      <c r="BL130" s="279"/>
      <c r="BM130" s="279"/>
      <c r="BN130" s="279"/>
      <c r="BO130" s="279"/>
      <c r="BP130" s="279"/>
      <c r="BQ130" s="279"/>
      <c r="BR130" s="279"/>
      <c r="BS130" s="279"/>
      <c r="BT130" s="279"/>
      <c r="BU130" s="279"/>
      <c r="BV130" s="279"/>
      <c r="BW130" s="279"/>
      <c r="BX130" s="279"/>
      <c r="BY130" s="279"/>
    </row>
    <row r="131" ht="13.8" spans="1:77">
      <c r="A131" s="279"/>
      <c r="B131" s="279"/>
      <c r="C131" s="279"/>
      <c r="D131" s="280"/>
      <c r="E131" s="280"/>
      <c r="F131" s="279"/>
      <c r="G131" s="280"/>
      <c r="H131" s="279"/>
      <c r="I131" s="279"/>
      <c r="J131" s="280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99"/>
      <c r="X131" s="299"/>
      <c r="Y131" s="279"/>
      <c r="Z131" s="279"/>
      <c r="AA131" s="279"/>
      <c r="AB131" s="279"/>
      <c r="AC131" s="279"/>
      <c r="AD131" s="279"/>
      <c r="AE131" s="279"/>
      <c r="AF131" s="279"/>
      <c r="AG131" s="279"/>
      <c r="AH131" s="279"/>
      <c r="AI131" s="279"/>
      <c r="AJ131" s="279"/>
      <c r="AK131" s="279"/>
      <c r="AL131" s="279"/>
      <c r="AM131" s="279"/>
      <c r="AN131" s="279"/>
      <c r="AO131" s="279"/>
      <c r="AP131" s="279"/>
      <c r="AQ131" s="279"/>
      <c r="AR131" s="279"/>
      <c r="AS131" s="279"/>
      <c r="AT131" s="279"/>
      <c r="AU131" s="279"/>
      <c r="AV131" s="279"/>
      <c r="AW131" s="279"/>
      <c r="AX131" s="279"/>
      <c r="AY131" s="279"/>
      <c r="AZ131" s="279"/>
      <c r="BA131" s="279"/>
      <c r="BB131" s="279"/>
      <c r="BC131" s="279"/>
      <c r="BD131" s="279"/>
      <c r="BE131" s="279"/>
      <c r="BF131" s="279"/>
      <c r="BG131" s="279"/>
      <c r="BH131" s="279"/>
      <c r="BI131" s="279"/>
      <c r="BJ131" s="279"/>
      <c r="BK131" s="279"/>
      <c r="BL131" s="279"/>
      <c r="BM131" s="279"/>
      <c r="BN131" s="279"/>
      <c r="BO131" s="279"/>
      <c r="BP131" s="279"/>
      <c r="BQ131" s="279"/>
      <c r="BR131" s="279"/>
      <c r="BS131" s="279"/>
      <c r="BT131" s="279"/>
      <c r="BU131" s="279"/>
      <c r="BV131" s="279"/>
      <c r="BW131" s="279"/>
      <c r="BX131" s="279"/>
      <c r="BY131" s="279"/>
    </row>
    <row r="132" ht="13.8" spans="1:77">
      <c r="A132" s="279"/>
      <c r="B132" s="279"/>
      <c r="C132" s="279"/>
      <c r="D132" s="280"/>
      <c r="E132" s="280"/>
      <c r="F132" s="279"/>
      <c r="G132" s="280"/>
      <c r="H132" s="279"/>
      <c r="I132" s="279"/>
      <c r="J132" s="280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99"/>
      <c r="X132" s="299"/>
      <c r="Y132" s="279"/>
      <c r="Z132" s="279"/>
      <c r="AA132" s="279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79"/>
      <c r="AL132" s="279"/>
      <c r="AM132" s="279"/>
      <c r="AN132" s="279"/>
      <c r="AO132" s="279"/>
      <c r="AP132" s="279"/>
      <c r="AQ132" s="279"/>
      <c r="AR132" s="279"/>
      <c r="AS132" s="279"/>
      <c r="AT132" s="279"/>
      <c r="AU132" s="279"/>
      <c r="AV132" s="279"/>
      <c r="AW132" s="279"/>
      <c r="AX132" s="279"/>
      <c r="AY132" s="279"/>
      <c r="AZ132" s="279"/>
      <c r="BA132" s="279"/>
      <c r="BB132" s="279"/>
      <c r="BC132" s="279"/>
      <c r="BD132" s="279"/>
      <c r="BE132" s="279"/>
      <c r="BF132" s="279"/>
      <c r="BG132" s="279"/>
      <c r="BH132" s="279"/>
      <c r="BI132" s="279"/>
      <c r="BJ132" s="279"/>
      <c r="BK132" s="279"/>
      <c r="BL132" s="279"/>
      <c r="BM132" s="279"/>
      <c r="BN132" s="279"/>
      <c r="BO132" s="279"/>
      <c r="BP132" s="279"/>
      <c r="BQ132" s="279"/>
      <c r="BR132" s="279"/>
      <c r="BS132" s="279"/>
      <c r="BT132" s="279"/>
      <c r="BU132" s="279"/>
      <c r="BV132" s="279"/>
      <c r="BW132" s="279"/>
      <c r="BX132" s="279"/>
      <c r="BY132" s="279"/>
    </row>
    <row r="133" ht="13.8" spans="1:77">
      <c r="A133" s="279"/>
      <c r="B133" s="279"/>
      <c r="C133" s="279"/>
      <c r="D133" s="280"/>
      <c r="E133" s="280"/>
      <c r="F133" s="279"/>
      <c r="G133" s="280"/>
      <c r="H133" s="279"/>
      <c r="I133" s="279"/>
      <c r="J133" s="280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99"/>
      <c r="X133" s="299"/>
      <c r="Y133" s="279"/>
      <c r="Z133" s="279"/>
      <c r="AA133" s="279"/>
      <c r="AB133" s="279"/>
      <c r="AC133" s="279"/>
      <c r="AD133" s="279"/>
      <c r="AE133" s="279"/>
      <c r="AF133" s="279"/>
      <c r="AG133" s="279"/>
      <c r="AH133" s="279"/>
      <c r="AI133" s="279"/>
      <c r="AJ133" s="279"/>
      <c r="AK133" s="279"/>
      <c r="AL133" s="279"/>
      <c r="AM133" s="279"/>
      <c r="AN133" s="279"/>
      <c r="AO133" s="279"/>
      <c r="AP133" s="279"/>
      <c r="AQ133" s="279"/>
      <c r="AR133" s="279"/>
      <c r="AS133" s="279"/>
      <c r="AT133" s="279"/>
      <c r="AU133" s="279"/>
      <c r="AV133" s="279"/>
      <c r="AW133" s="279"/>
      <c r="AX133" s="279"/>
      <c r="AY133" s="279"/>
      <c r="AZ133" s="279"/>
      <c r="BA133" s="279"/>
      <c r="BB133" s="279"/>
      <c r="BC133" s="279"/>
      <c r="BD133" s="279"/>
      <c r="BE133" s="279"/>
      <c r="BF133" s="279"/>
      <c r="BG133" s="279"/>
      <c r="BH133" s="279"/>
      <c r="BI133" s="279"/>
      <c r="BJ133" s="279"/>
      <c r="BK133" s="279"/>
      <c r="BL133" s="279"/>
      <c r="BM133" s="279"/>
      <c r="BN133" s="279"/>
      <c r="BO133" s="279"/>
      <c r="BP133" s="279"/>
      <c r="BQ133" s="279"/>
      <c r="BR133" s="279"/>
      <c r="BS133" s="279"/>
      <c r="BT133" s="279"/>
      <c r="BU133" s="279"/>
      <c r="BV133" s="279"/>
      <c r="BW133" s="279"/>
      <c r="BX133" s="279"/>
      <c r="BY133" s="279"/>
    </row>
    <row r="134" ht="13.8" spans="1:77">
      <c r="A134" s="279"/>
      <c r="B134" s="279"/>
      <c r="C134" s="279"/>
      <c r="D134" s="280"/>
      <c r="E134" s="280"/>
      <c r="F134" s="279"/>
      <c r="G134" s="280"/>
      <c r="H134" s="279"/>
      <c r="I134" s="279"/>
      <c r="J134" s="280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99"/>
      <c r="X134" s="299"/>
      <c r="Y134" s="279"/>
      <c r="Z134" s="279"/>
      <c r="AA134" s="279"/>
      <c r="AB134" s="279"/>
      <c r="AC134" s="279"/>
      <c r="AD134" s="279"/>
      <c r="AE134" s="279"/>
      <c r="AF134" s="279"/>
      <c r="AG134" s="279"/>
      <c r="AH134" s="279"/>
      <c r="AI134" s="279"/>
      <c r="AJ134" s="279"/>
      <c r="AK134" s="279"/>
      <c r="AL134" s="279"/>
      <c r="AM134" s="279"/>
      <c r="AN134" s="279"/>
      <c r="AO134" s="279"/>
      <c r="AP134" s="279"/>
      <c r="AQ134" s="279"/>
      <c r="AR134" s="279"/>
      <c r="AS134" s="279"/>
      <c r="AT134" s="279"/>
      <c r="AU134" s="279"/>
      <c r="AV134" s="279"/>
      <c r="AW134" s="279"/>
      <c r="AX134" s="279"/>
      <c r="AY134" s="279"/>
      <c r="AZ134" s="279"/>
      <c r="BA134" s="279"/>
      <c r="BB134" s="279"/>
      <c r="BC134" s="279"/>
      <c r="BD134" s="279"/>
      <c r="BE134" s="279"/>
      <c r="BF134" s="279"/>
      <c r="BG134" s="279"/>
      <c r="BH134" s="279"/>
      <c r="BI134" s="279"/>
      <c r="BJ134" s="279"/>
      <c r="BK134" s="279"/>
      <c r="BL134" s="279"/>
      <c r="BM134" s="279"/>
      <c r="BN134" s="279"/>
      <c r="BO134" s="279"/>
      <c r="BP134" s="279"/>
      <c r="BQ134" s="279"/>
      <c r="BR134" s="279"/>
      <c r="BS134" s="279"/>
      <c r="BT134" s="279"/>
      <c r="BU134" s="279"/>
      <c r="BV134" s="279"/>
      <c r="BW134" s="279"/>
      <c r="BX134" s="279"/>
      <c r="BY134" s="279"/>
    </row>
    <row r="135" ht="13.8" spans="1:77">
      <c r="A135" s="279"/>
      <c r="B135" s="279"/>
      <c r="C135" s="279"/>
      <c r="D135" s="280"/>
      <c r="E135" s="280"/>
      <c r="F135" s="279"/>
      <c r="G135" s="280"/>
      <c r="H135" s="279"/>
      <c r="I135" s="279"/>
      <c r="J135" s="280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99"/>
      <c r="X135" s="299"/>
      <c r="Y135" s="279"/>
      <c r="Z135" s="279"/>
      <c r="AA135" s="279"/>
      <c r="AB135" s="279"/>
      <c r="AC135" s="279"/>
      <c r="AD135" s="279"/>
      <c r="AE135" s="279"/>
      <c r="AF135" s="279"/>
      <c r="AG135" s="279"/>
      <c r="AH135" s="279"/>
      <c r="AI135" s="279"/>
      <c r="AJ135" s="279"/>
      <c r="AK135" s="279"/>
      <c r="AL135" s="279"/>
      <c r="AM135" s="279"/>
      <c r="AN135" s="279"/>
      <c r="AO135" s="279"/>
      <c r="AP135" s="279"/>
      <c r="AQ135" s="279"/>
      <c r="AR135" s="279"/>
      <c r="AS135" s="279"/>
      <c r="AT135" s="279"/>
      <c r="AU135" s="279"/>
      <c r="AV135" s="279"/>
      <c r="AW135" s="279"/>
      <c r="AX135" s="279"/>
      <c r="AY135" s="279"/>
      <c r="AZ135" s="279"/>
      <c r="BA135" s="279"/>
      <c r="BB135" s="279"/>
      <c r="BC135" s="279"/>
      <c r="BD135" s="279"/>
      <c r="BE135" s="279"/>
      <c r="BF135" s="279"/>
      <c r="BG135" s="279"/>
      <c r="BH135" s="279"/>
      <c r="BI135" s="279"/>
      <c r="BJ135" s="279"/>
      <c r="BK135" s="279"/>
      <c r="BL135" s="279"/>
      <c r="BM135" s="279"/>
      <c r="BN135" s="279"/>
      <c r="BO135" s="279"/>
      <c r="BP135" s="279"/>
      <c r="BQ135" s="279"/>
      <c r="BR135" s="279"/>
      <c r="BS135" s="279"/>
      <c r="BT135" s="279"/>
      <c r="BU135" s="279"/>
      <c r="BV135" s="279"/>
      <c r="BW135" s="279"/>
      <c r="BX135" s="279"/>
      <c r="BY135" s="279"/>
    </row>
    <row r="136" ht="13.8" spans="1:77">
      <c r="A136" s="279"/>
      <c r="B136" s="279"/>
      <c r="C136" s="279"/>
      <c r="D136" s="280"/>
      <c r="E136" s="280"/>
      <c r="F136" s="279"/>
      <c r="G136" s="280"/>
      <c r="H136" s="279"/>
      <c r="I136" s="279"/>
      <c r="J136" s="280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99"/>
      <c r="X136" s="299"/>
      <c r="Y136" s="279"/>
      <c r="Z136" s="279"/>
      <c r="AA136" s="279"/>
      <c r="AB136" s="279"/>
      <c r="AC136" s="279"/>
      <c r="AD136" s="279"/>
      <c r="AE136" s="279"/>
      <c r="AF136" s="279"/>
      <c r="AG136" s="279"/>
      <c r="AH136" s="279"/>
      <c r="AI136" s="279"/>
      <c r="AJ136" s="279"/>
      <c r="AK136" s="279"/>
      <c r="AL136" s="279"/>
      <c r="AM136" s="279"/>
      <c r="AN136" s="279"/>
      <c r="AO136" s="279"/>
      <c r="AP136" s="279"/>
      <c r="AQ136" s="279"/>
      <c r="AR136" s="279"/>
      <c r="AS136" s="279"/>
      <c r="AT136" s="279"/>
      <c r="AU136" s="279"/>
      <c r="AV136" s="279"/>
      <c r="AW136" s="279"/>
      <c r="AX136" s="279"/>
      <c r="AY136" s="279"/>
      <c r="AZ136" s="279"/>
      <c r="BA136" s="279"/>
      <c r="BB136" s="279"/>
      <c r="BC136" s="279"/>
      <c r="BD136" s="279"/>
      <c r="BE136" s="279"/>
      <c r="BF136" s="279"/>
      <c r="BG136" s="279"/>
      <c r="BH136" s="279"/>
      <c r="BI136" s="279"/>
      <c r="BJ136" s="279"/>
      <c r="BK136" s="279"/>
      <c r="BL136" s="279"/>
      <c r="BM136" s="279"/>
      <c r="BN136" s="279"/>
      <c r="BO136" s="279"/>
      <c r="BP136" s="279"/>
      <c r="BQ136" s="279"/>
      <c r="BR136" s="279"/>
      <c r="BS136" s="279"/>
      <c r="BT136" s="279"/>
      <c r="BU136" s="279"/>
      <c r="BV136" s="279"/>
      <c r="BW136" s="279"/>
      <c r="BX136" s="279"/>
      <c r="BY136" s="279"/>
    </row>
    <row r="137" ht="13.8" spans="1:77">
      <c r="A137" s="279"/>
      <c r="B137" s="279"/>
      <c r="C137" s="279"/>
      <c r="D137" s="280"/>
      <c r="E137" s="280"/>
      <c r="F137" s="279"/>
      <c r="G137" s="280"/>
      <c r="H137" s="279"/>
      <c r="I137" s="279"/>
      <c r="J137" s="280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99"/>
      <c r="X137" s="299"/>
      <c r="Y137" s="279"/>
      <c r="Z137" s="279"/>
      <c r="AA137" s="279"/>
      <c r="AB137" s="279"/>
      <c r="AC137" s="279"/>
      <c r="AD137" s="279"/>
      <c r="AE137" s="279"/>
      <c r="AF137" s="279"/>
      <c r="AG137" s="279"/>
      <c r="AH137" s="279"/>
      <c r="AI137" s="279"/>
      <c r="AJ137" s="279"/>
      <c r="AK137" s="279"/>
      <c r="AL137" s="279"/>
      <c r="AM137" s="279"/>
      <c r="AN137" s="279"/>
      <c r="AO137" s="279"/>
      <c r="AP137" s="279"/>
      <c r="AQ137" s="279"/>
      <c r="AR137" s="279"/>
      <c r="AS137" s="279"/>
      <c r="AT137" s="279"/>
      <c r="AU137" s="279"/>
      <c r="AV137" s="279"/>
      <c r="AW137" s="279"/>
      <c r="AX137" s="279"/>
      <c r="AY137" s="279"/>
      <c r="AZ137" s="279"/>
      <c r="BA137" s="279"/>
      <c r="BB137" s="279"/>
      <c r="BC137" s="279"/>
      <c r="BD137" s="279"/>
      <c r="BE137" s="279"/>
      <c r="BF137" s="279"/>
      <c r="BG137" s="279"/>
      <c r="BH137" s="279"/>
      <c r="BI137" s="279"/>
      <c r="BJ137" s="279"/>
      <c r="BK137" s="279"/>
      <c r="BL137" s="279"/>
      <c r="BM137" s="279"/>
      <c r="BN137" s="279"/>
      <c r="BO137" s="279"/>
      <c r="BP137" s="279"/>
      <c r="BQ137" s="279"/>
      <c r="BR137" s="279"/>
      <c r="BS137" s="279"/>
      <c r="BT137" s="279"/>
      <c r="BU137" s="279"/>
      <c r="BV137" s="279"/>
      <c r="BW137" s="279"/>
      <c r="BX137" s="279"/>
      <c r="BY137" s="279"/>
    </row>
    <row r="138" ht="13.8" spans="1:77">
      <c r="A138" s="279"/>
      <c r="B138" s="279"/>
      <c r="C138" s="279"/>
      <c r="D138" s="280"/>
      <c r="E138" s="280"/>
      <c r="F138" s="279"/>
      <c r="G138" s="280"/>
      <c r="H138" s="279"/>
      <c r="I138" s="279"/>
      <c r="J138" s="280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99"/>
      <c r="X138" s="299"/>
      <c r="Y138" s="279"/>
      <c r="Z138" s="279"/>
      <c r="AA138" s="279"/>
      <c r="AB138" s="279"/>
      <c r="AC138" s="279"/>
      <c r="AD138" s="279"/>
      <c r="AE138" s="279"/>
      <c r="AF138" s="279"/>
      <c r="AG138" s="279"/>
      <c r="AH138" s="279"/>
      <c r="AI138" s="279"/>
      <c r="AJ138" s="279"/>
      <c r="AK138" s="279"/>
      <c r="AL138" s="279"/>
      <c r="AM138" s="279"/>
      <c r="AN138" s="279"/>
      <c r="AO138" s="279"/>
      <c r="AP138" s="279"/>
      <c r="AQ138" s="279"/>
      <c r="AR138" s="279"/>
      <c r="AS138" s="279"/>
      <c r="AT138" s="279"/>
      <c r="AU138" s="279"/>
      <c r="AV138" s="279"/>
      <c r="AW138" s="279"/>
      <c r="AX138" s="279"/>
      <c r="AY138" s="279"/>
      <c r="AZ138" s="279"/>
      <c r="BA138" s="279"/>
      <c r="BB138" s="279"/>
      <c r="BC138" s="279"/>
      <c r="BD138" s="279"/>
      <c r="BE138" s="279"/>
      <c r="BF138" s="279"/>
      <c r="BG138" s="279"/>
      <c r="BH138" s="279"/>
      <c r="BI138" s="279"/>
      <c r="BJ138" s="279"/>
      <c r="BK138" s="279"/>
      <c r="BL138" s="279"/>
      <c r="BM138" s="279"/>
      <c r="BN138" s="279"/>
      <c r="BO138" s="279"/>
      <c r="BP138" s="279"/>
      <c r="BQ138" s="279"/>
      <c r="BR138" s="279"/>
      <c r="BS138" s="279"/>
      <c r="BT138" s="279"/>
      <c r="BU138" s="279"/>
      <c r="BV138" s="279"/>
      <c r="BW138" s="279"/>
      <c r="BX138" s="279"/>
      <c r="BY138" s="279"/>
    </row>
    <row r="139" ht="13.8" spans="1:77">
      <c r="A139" s="279"/>
      <c r="B139" s="279"/>
      <c r="C139" s="279"/>
      <c r="D139" s="280"/>
      <c r="E139" s="280"/>
      <c r="F139" s="279"/>
      <c r="G139" s="280"/>
      <c r="H139" s="279"/>
      <c r="I139" s="279"/>
      <c r="J139" s="280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99"/>
      <c r="X139" s="299"/>
      <c r="Y139" s="279"/>
      <c r="Z139" s="279"/>
      <c r="AA139" s="279"/>
      <c r="AB139" s="279"/>
      <c r="AC139" s="279"/>
      <c r="AD139" s="279"/>
      <c r="AE139" s="279"/>
      <c r="AF139" s="279"/>
      <c r="AG139" s="279"/>
      <c r="AH139" s="279"/>
      <c r="AI139" s="279"/>
      <c r="AJ139" s="279"/>
      <c r="AK139" s="279"/>
      <c r="AL139" s="279"/>
      <c r="AM139" s="279"/>
      <c r="AN139" s="279"/>
      <c r="AO139" s="279"/>
      <c r="AP139" s="279"/>
      <c r="AQ139" s="279"/>
      <c r="AR139" s="279"/>
      <c r="AS139" s="279"/>
      <c r="AT139" s="279"/>
      <c r="AU139" s="279"/>
      <c r="AV139" s="279"/>
      <c r="AW139" s="279"/>
      <c r="AX139" s="279"/>
      <c r="AY139" s="279"/>
      <c r="AZ139" s="279"/>
      <c r="BA139" s="279"/>
      <c r="BB139" s="279"/>
      <c r="BC139" s="279"/>
      <c r="BD139" s="279"/>
      <c r="BE139" s="279"/>
      <c r="BF139" s="279"/>
      <c r="BG139" s="279"/>
      <c r="BH139" s="279"/>
      <c r="BI139" s="279"/>
      <c r="BJ139" s="279"/>
      <c r="BK139" s="279"/>
      <c r="BL139" s="279"/>
      <c r="BM139" s="279"/>
      <c r="BN139" s="279"/>
      <c r="BO139" s="279"/>
      <c r="BP139" s="279"/>
      <c r="BQ139" s="279"/>
      <c r="BR139" s="279"/>
      <c r="BS139" s="279"/>
      <c r="BT139" s="279"/>
      <c r="BU139" s="279"/>
      <c r="BV139" s="279"/>
      <c r="BW139" s="279"/>
      <c r="BX139" s="279"/>
      <c r="BY139" s="279"/>
    </row>
    <row r="140" ht="13.8" spans="1:77">
      <c r="A140" s="279"/>
      <c r="B140" s="279"/>
      <c r="C140" s="279"/>
      <c r="D140" s="280"/>
      <c r="E140" s="280"/>
      <c r="F140" s="279"/>
      <c r="G140" s="280"/>
      <c r="H140" s="279"/>
      <c r="I140" s="279"/>
      <c r="J140" s="280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99"/>
      <c r="X140" s="299"/>
      <c r="Y140" s="279"/>
      <c r="Z140" s="279"/>
      <c r="AA140" s="279"/>
      <c r="AB140" s="279"/>
      <c r="AC140" s="279"/>
      <c r="AD140" s="279"/>
      <c r="AE140" s="279"/>
      <c r="AF140" s="279"/>
      <c r="AG140" s="279"/>
      <c r="AH140" s="279"/>
      <c r="AI140" s="279"/>
      <c r="AJ140" s="279"/>
      <c r="AK140" s="279"/>
      <c r="AL140" s="279"/>
      <c r="AM140" s="279"/>
      <c r="AN140" s="279"/>
      <c r="AO140" s="279"/>
      <c r="AP140" s="279"/>
      <c r="AQ140" s="279"/>
      <c r="AR140" s="279"/>
      <c r="AS140" s="279"/>
      <c r="AT140" s="279"/>
      <c r="AU140" s="279"/>
      <c r="AV140" s="279"/>
      <c r="AW140" s="279"/>
      <c r="AX140" s="279"/>
      <c r="AY140" s="279"/>
      <c r="AZ140" s="279"/>
      <c r="BA140" s="279"/>
      <c r="BB140" s="279"/>
      <c r="BC140" s="279"/>
      <c r="BD140" s="279"/>
      <c r="BE140" s="279"/>
      <c r="BF140" s="279"/>
      <c r="BG140" s="279"/>
      <c r="BH140" s="279"/>
      <c r="BI140" s="279"/>
      <c r="BJ140" s="279"/>
      <c r="BK140" s="279"/>
      <c r="BL140" s="279"/>
      <c r="BM140" s="279"/>
      <c r="BN140" s="279"/>
      <c r="BO140" s="279"/>
      <c r="BP140" s="279"/>
      <c r="BQ140" s="279"/>
      <c r="BR140" s="279"/>
      <c r="BS140" s="279"/>
      <c r="BT140" s="279"/>
      <c r="BU140" s="279"/>
      <c r="BV140" s="279"/>
      <c r="BW140" s="279"/>
      <c r="BX140" s="279"/>
      <c r="BY140" s="279"/>
    </row>
    <row r="141" ht="13.8" spans="1:77">
      <c r="A141" s="279"/>
      <c r="B141" s="279"/>
      <c r="C141" s="279"/>
      <c r="D141" s="280"/>
      <c r="E141" s="280"/>
      <c r="F141" s="279"/>
      <c r="G141" s="280"/>
      <c r="H141" s="279"/>
      <c r="I141" s="279"/>
      <c r="J141" s="280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99"/>
      <c r="X141" s="299"/>
      <c r="Y141" s="279"/>
      <c r="Z141" s="279"/>
      <c r="AA141" s="279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279"/>
      <c r="AN141" s="279"/>
      <c r="AO141" s="279"/>
      <c r="AP141" s="279"/>
      <c r="AQ141" s="279"/>
      <c r="AR141" s="279"/>
      <c r="AS141" s="279"/>
      <c r="AT141" s="279"/>
      <c r="AU141" s="279"/>
      <c r="AV141" s="279"/>
      <c r="AW141" s="279"/>
      <c r="AX141" s="279"/>
      <c r="AY141" s="279"/>
      <c r="AZ141" s="279"/>
      <c r="BA141" s="279"/>
      <c r="BB141" s="279"/>
      <c r="BC141" s="279"/>
      <c r="BD141" s="279"/>
      <c r="BE141" s="279"/>
      <c r="BF141" s="279"/>
      <c r="BG141" s="279"/>
      <c r="BH141" s="279"/>
      <c r="BI141" s="279"/>
      <c r="BJ141" s="279"/>
      <c r="BK141" s="279"/>
      <c r="BL141" s="279"/>
      <c r="BM141" s="279"/>
      <c r="BN141" s="279"/>
      <c r="BO141" s="279"/>
      <c r="BP141" s="279"/>
      <c r="BQ141" s="279"/>
      <c r="BR141" s="279"/>
      <c r="BS141" s="279"/>
      <c r="BT141" s="279"/>
      <c r="BU141" s="279"/>
      <c r="BV141" s="279"/>
      <c r="BW141" s="279"/>
      <c r="BX141" s="279"/>
      <c r="BY141" s="279"/>
    </row>
    <row r="142" ht="13.8" spans="1:77">
      <c r="A142" s="279"/>
      <c r="B142" s="279"/>
      <c r="C142" s="279"/>
      <c r="D142" s="280"/>
      <c r="E142" s="280"/>
      <c r="F142" s="279"/>
      <c r="G142" s="280"/>
      <c r="H142" s="279"/>
      <c r="I142" s="279"/>
      <c r="J142" s="280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99"/>
      <c r="X142" s="299"/>
      <c r="Y142" s="279"/>
      <c r="Z142" s="279"/>
      <c r="AA142" s="279"/>
      <c r="AB142" s="279"/>
      <c r="AC142" s="279"/>
      <c r="AD142" s="279"/>
      <c r="AE142" s="279"/>
      <c r="AF142" s="279"/>
      <c r="AG142" s="279"/>
      <c r="AH142" s="279"/>
      <c r="AI142" s="279"/>
      <c r="AJ142" s="279"/>
      <c r="AK142" s="279"/>
      <c r="AL142" s="279"/>
      <c r="AM142" s="279"/>
      <c r="AN142" s="279"/>
      <c r="AO142" s="279"/>
      <c r="AP142" s="279"/>
      <c r="AQ142" s="279"/>
      <c r="AR142" s="279"/>
      <c r="AS142" s="279"/>
      <c r="AT142" s="279"/>
      <c r="AU142" s="279"/>
      <c r="AV142" s="279"/>
      <c r="AW142" s="279"/>
      <c r="AX142" s="279"/>
      <c r="AY142" s="279"/>
      <c r="AZ142" s="279"/>
      <c r="BA142" s="279"/>
      <c r="BB142" s="279"/>
      <c r="BC142" s="279"/>
      <c r="BD142" s="279"/>
      <c r="BE142" s="279"/>
      <c r="BF142" s="279"/>
      <c r="BG142" s="279"/>
      <c r="BH142" s="279"/>
      <c r="BI142" s="279"/>
      <c r="BJ142" s="279"/>
      <c r="BK142" s="279"/>
      <c r="BL142" s="279"/>
      <c r="BM142" s="279"/>
      <c r="BN142" s="279"/>
      <c r="BO142" s="279"/>
      <c r="BP142" s="279"/>
      <c r="BQ142" s="279"/>
      <c r="BR142" s="279"/>
      <c r="BS142" s="279"/>
      <c r="BT142" s="279"/>
      <c r="BU142" s="279"/>
      <c r="BV142" s="279"/>
      <c r="BW142" s="279"/>
      <c r="BX142" s="279"/>
      <c r="BY142" s="279"/>
    </row>
    <row r="143" ht="13.8" spans="1:77">
      <c r="A143" s="279"/>
      <c r="B143" s="279"/>
      <c r="C143" s="279"/>
      <c r="D143" s="280"/>
      <c r="E143" s="280"/>
      <c r="F143" s="279"/>
      <c r="G143" s="280"/>
      <c r="H143" s="279"/>
      <c r="I143" s="279"/>
      <c r="J143" s="280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99"/>
      <c r="X143" s="299"/>
      <c r="Y143" s="279"/>
      <c r="Z143" s="279"/>
      <c r="AA143" s="279"/>
      <c r="AB143" s="279"/>
      <c r="AC143" s="279"/>
      <c r="AD143" s="279"/>
      <c r="AE143" s="279"/>
      <c r="AF143" s="279"/>
      <c r="AG143" s="279"/>
      <c r="AH143" s="279"/>
      <c r="AI143" s="279"/>
      <c r="AJ143" s="279"/>
      <c r="AK143" s="279"/>
      <c r="AL143" s="279"/>
      <c r="AM143" s="279"/>
      <c r="AN143" s="279"/>
      <c r="AO143" s="279"/>
      <c r="AP143" s="279"/>
      <c r="AQ143" s="279"/>
      <c r="AR143" s="279"/>
      <c r="AS143" s="279"/>
      <c r="AT143" s="279"/>
      <c r="AU143" s="279"/>
      <c r="AV143" s="279"/>
      <c r="AW143" s="279"/>
      <c r="AX143" s="279"/>
      <c r="AY143" s="279"/>
      <c r="AZ143" s="279"/>
      <c r="BA143" s="279"/>
      <c r="BB143" s="279"/>
      <c r="BC143" s="279"/>
      <c r="BD143" s="279"/>
      <c r="BE143" s="279"/>
      <c r="BF143" s="279"/>
      <c r="BG143" s="279"/>
      <c r="BH143" s="279"/>
      <c r="BI143" s="279"/>
      <c r="BJ143" s="279"/>
      <c r="BK143" s="279"/>
      <c r="BL143" s="279"/>
      <c r="BM143" s="279"/>
      <c r="BN143" s="279"/>
      <c r="BO143" s="279"/>
      <c r="BP143" s="279"/>
      <c r="BQ143" s="279"/>
      <c r="BR143" s="279"/>
      <c r="BS143" s="279"/>
      <c r="BT143" s="279"/>
      <c r="BU143" s="279"/>
      <c r="BV143" s="279"/>
      <c r="BW143" s="279"/>
      <c r="BX143" s="279"/>
      <c r="BY143" s="279"/>
    </row>
    <row r="144" ht="13.8" spans="1:77">
      <c r="A144" s="279"/>
      <c r="B144" s="279"/>
      <c r="C144" s="279"/>
      <c r="D144" s="280"/>
      <c r="E144" s="280"/>
      <c r="F144" s="279"/>
      <c r="G144" s="280"/>
      <c r="H144" s="279"/>
      <c r="I144" s="279"/>
      <c r="J144" s="280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99"/>
      <c r="X144" s="299"/>
      <c r="Y144" s="279"/>
      <c r="Z144" s="279"/>
      <c r="AA144" s="279"/>
      <c r="AB144" s="279"/>
      <c r="AC144" s="279"/>
      <c r="AD144" s="279"/>
      <c r="AE144" s="279"/>
      <c r="AF144" s="279"/>
      <c r="AG144" s="279"/>
      <c r="AH144" s="279"/>
      <c r="AI144" s="279"/>
      <c r="AJ144" s="279"/>
      <c r="AK144" s="279"/>
      <c r="AL144" s="279"/>
      <c r="AM144" s="279"/>
      <c r="AN144" s="279"/>
      <c r="AO144" s="279"/>
      <c r="AP144" s="279"/>
      <c r="AQ144" s="279"/>
      <c r="AR144" s="279"/>
      <c r="AS144" s="279"/>
      <c r="AT144" s="279"/>
      <c r="AU144" s="279"/>
      <c r="AV144" s="279"/>
      <c r="AW144" s="279"/>
      <c r="AX144" s="279"/>
      <c r="AY144" s="279"/>
      <c r="AZ144" s="279"/>
      <c r="BA144" s="279"/>
      <c r="BB144" s="279"/>
      <c r="BC144" s="279"/>
      <c r="BD144" s="279"/>
      <c r="BE144" s="279"/>
      <c r="BF144" s="279"/>
      <c r="BG144" s="279"/>
      <c r="BH144" s="279"/>
      <c r="BI144" s="279"/>
      <c r="BJ144" s="279"/>
      <c r="BK144" s="279"/>
      <c r="BL144" s="279"/>
      <c r="BM144" s="279"/>
      <c r="BN144" s="279"/>
      <c r="BO144" s="279"/>
      <c r="BP144" s="279"/>
      <c r="BQ144" s="279"/>
      <c r="BR144" s="279"/>
      <c r="BS144" s="279"/>
      <c r="BT144" s="279"/>
      <c r="BU144" s="279"/>
      <c r="BV144" s="279"/>
      <c r="BW144" s="279"/>
      <c r="BX144" s="279"/>
      <c r="BY144" s="279"/>
    </row>
    <row r="145" ht="13.8" spans="1:77">
      <c r="A145" s="279"/>
      <c r="B145" s="279"/>
      <c r="C145" s="279"/>
      <c r="D145" s="280"/>
      <c r="E145" s="280"/>
      <c r="F145" s="279"/>
      <c r="G145" s="280"/>
      <c r="H145" s="279"/>
      <c r="I145" s="279"/>
      <c r="J145" s="280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99"/>
      <c r="X145" s="299"/>
      <c r="Y145" s="279"/>
      <c r="Z145" s="279"/>
      <c r="AA145" s="279"/>
      <c r="AB145" s="279"/>
      <c r="AC145" s="279"/>
      <c r="AD145" s="279"/>
      <c r="AE145" s="279"/>
      <c r="AF145" s="279"/>
      <c r="AG145" s="279"/>
      <c r="AH145" s="279"/>
      <c r="AI145" s="279"/>
      <c r="AJ145" s="279"/>
      <c r="AK145" s="279"/>
      <c r="AL145" s="279"/>
      <c r="AM145" s="279"/>
      <c r="AN145" s="279"/>
      <c r="AO145" s="279"/>
      <c r="AP145" s="279"/>
      <c r="AQ145" s="279"/>
      <c r="AR145" s="279"/>
      <c r="AS145" s="279"/>
      <c r="AT145" s="279"/>
      <c r="AU145" s="279"/>
      <c r="AV145" s="279"/>
      <c r="AW145" s="279"/>
      <c r="AX145" s="279"/>
      <c r="AY145" s="279"/>
      <c r="AZ145" s="279"/>
      <c r="BA145" s="279"/>
      <c r="BB145" s="279"/>
      <c r="BC145" s="279"/>
      <c r="BD145" s="279"/>
      <c r="BE145" s="279"/>
      <c r="BF145" s="279"/>
      <c r="BG145" s="279"/>
      <c r="BH145" s="279"/>
      <c r="BI145" s="279"/>
      <c r="BJ145" s="279"/>
      <c r="BK145" s="279"/>
      <c r="BL145" s="279"/>
      <c r="BM145" s="279"/>
      <c r="BN145" s="279"/>
      <c r="BO145" s="279"/>
      <c r="BP145" s="279"/>
      <c r="BQ145" s="279"/>
      <c r="BR145" s="279"/>
      <c r="BS145" s="279"/>
      <c r="BT145" s="279"/>
      <c r="BU145" s="279"/>
      <c r="BV145" s="279"/>
      <c r="BW145" s="279"/>
      <c r="BX145" s="279"/>
      <c r="BY145" s="279"/>
    </row>
    <row r="146" ht="13.8" spans="1:77">
      <c r="A146" s="279"/>
      <c r="B146" s="279"/>
      <c r="C146" s="279"/>
      <c r="D146" s="280"/>
      <c r="E146" s="280"/>
      <c r="F146" s="279"/>
      <c r="G146" s="280"/>
      <c r="H146" s="279"/>
      <c r="I146" s="279"/>
      <c r="J146" s="280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99"/>
      <c r="X146" s="299"/>
      <c r="Y146" s="279"/>
      <c r="Z146" s="279"/>
      <c r="AA146" s="279"/>
      <c r="AB146" s="279"/>
      <c r="AC146" s="279"/>
      <c r="AD146" s="279"/>
      <c r="AE146" s="279"/>
      <c r="AF146" s="279"/>
      <c r="AG146" s="279"/>
      <c r="AH146" s="279"/>
      <c r="AI146" s="279"/>
      <c r="AJ146" s="279"/>
      <c r="AK146" s="279"/>
      <c r="AL146" s="279"/>
      <c r="AM146" s="279"/>
      <c r="AN146" s="279"/>
      <c r="AO146" s="279"/>
      <c r="AP146" s="279"/>
      <c r="AQ146" s="279"/>
      <c r="AR146" s="279"/>
      <c r="AS146" s="279"/>
      <c r="AT146" s="279"/>
      <c r="AU146" s="279"/>
      <c r="AV146" s="279"/>
      <c r="AW146" s="279"/>
      <c r="AX146" s="279"/>
      <c r="AY146" s="279"/>
      <c r="AZ146" s="279"/>
      <c r="BA146" s="279"/>
      <c r="BB146" s="279"/>
      <c r="BC146" s="279"/>
      <c r="BD146" s="279"/>
      <c r="BE146" s="279"/>
      <c r="BF146" s="279"/>
      <c r="BG146" s="279"/>
      <c r="BH146" s="279"/>
      <c r="BI146" s="279"/>
      <c r="BJ146" s="279"/>
      <c r="BK146" s="279"/>
      <c r="BL146" s="279"/>
      <c r="BM146" s="279"/>
      <c r="BN146" s="279"/>
      <c r="BO146" s="279"/>
      <c r="BP146" s="279"/>
      <c r="BQ146" s="279"/>
      <c r="BR146" s="279"/>
      <c r="BS146" s="279"/>
      <c r="BT146" s="279"/>
      <c r="BU146" s="279"/>
      <c r="BV146" s="279"/>
      <c r="BW146" s="279"/>
      <c r="BX146" s="279"/>
      <c r="BY146" s="279"/>
    </row>
    <row r="147" ht="13.8" spans="1:77">
      <c r="A147" s="279"/>
      <c r="B147" s="279"/>
      <c r="C147" s="279"/>
      <c r="D147" s="280"/>
      <c r="E147" s="280"/>
      <c r="F147" s="279"/>
      <c r="G147" s="280"/>
      <c r="H147" s="279"/>
      <c r="I147" s="279"/>
      <c r="J147" s="280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99"/>
      <c r="X147" s="299"/>
      <c r="Y147" s="279"/>
      <c r="Z147" s="279"/>
      <c r="AA147" s="279"/>
      <c r="AB147" s="279"/>
      <c r="AC147" s="279"/>
      <c r="AD147" s="279"/>
      <c r="AE147" s="279"/>
      <c r="AF147" s="279"/>
      <c r="AG147" s="279"/>
      <c r="AH147" s="279"/>
      <c r="AI147" s="279"/>
      <c r="AJ147" s="279"/>
      <c r="AK147" s="279"/>
      <c r="AL147" s="279"/>
      <c r="AM147" s="279"/>
      <c r="AN147" s="279"/>
      <c r="AO147" s="279"/>
      <c r="AP147" s="279"/>
      <c r="AQ147" s="279"/>
      <c r="AR147" s="279"/>
      <c r="AS147" s="279"/>
      <c r="AT147" s="279"/>
      <c r="AU147" s="279"/>
      <c r="AV147" s="279"/>
      <c r="AW147" s="279"/>
      <c r="AX147" s="279"/>
      <c r="AY147" s="279"/>
      <c r="AZ147" s="279"/>
      <c r="BA147" s="279"/>
      <c r="BB147" s="279"/>
      <c r="BC147" s="279"/>
      <c r="BD147" s="279"/>
      <c r="BE147" s="279"/>
      <c r="BF147" s="279"/>
      <c r="BG147" s="279"/>
      <c r="BH147" s="279"/>
      <c r="BI147" s="279"/>
      <c r="BJ147" s="279"/>
      <c r="BK147" s="279"/>
      <c r="BL147" s="279"/>
      <c r="BM147" s="279"/>
      <c r="BN147" s="279"/>
      <c r="BO147" s="279"/>
      <c r="BP147" s="279"/>
      <c r="BQ147" s="279"/>
      <c r="BR147" s="279"/>
      <c r="BS147" s="279"/>
      <c r="BT147" s="279"/>
      <c r="BU147" s="279"/>
      <c r="BV147" s="279"/>
      <c r="BW147" s="279"/>
      <c r="BX147" s="279"/>
      <c r="BY147" s="279"/>
    </row>
    <row r="148" ht="13.8" spans="1:77">
      <c r="A148" s="279"/>
      <c r="B148" s="279"/>
      <c r="C148" s="279"/>
      <c r="D148" s="280"/>
      <c r="E148" s="280"/>
      <c r="F148" s="279"/>
      <c r="G148" s="280"/>
      <c r="H148" s="279"/>
      <c r="I148" s="279"/>
      <c r="J148" s="280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99"/>
      <c r="X148" s="299"/>
      <c r="Y148" s="279"/>
      <c r="Z148" s="279"/>
      <c r="AA148" s="279"/>
      <c r="AB148" s="279"/>
      <c r="AC148" s="279"/>
      <c r="AD148" s="279"/>
      <c r="AE148" s="279"/>
      <c r="AF148" s="279"/>
      <c r="AG148" s="279"/>
      <c r="AH148" s="279"/>
      <c r="AI148" s="279"/>
      <c r="AJ148" s="279"/>
      <c r="AK148" s="279"/>
      <c r="AL148" s="279"/>
      <c r="AM148" s="279"/>
      <c r="AN148" s="279"/>
      <c r="AO148" s="279"/>
      <c r="AP148" s="279"/>
      <c r="AQ148" s="279"/>
      <c r="AR148" s="279"/>
      <c r="AS148" s="279"/>
      <c r="AT148" s="279"/>
      <c r="AU148" s="279"/>
      <c r="AV148" s="279"/>
      <c r="AW148" s="279"/>
      <c r="AX148" s="279"/>
      <c r="AY148" s="279"/>
      <c r="AZ148" s="279"/>
      <c r="BA148" s="279"/>
      <c r="BB148" s="279"/>
      <c r="BC148" s="279"/>
      <c r="BD148" s="279"/>
      <c r="BE148" s="279"/>
      <c r="BF148" s="279"/>
      <c r="BG148" s="279"/>
      <c r="BH148" s="279"/>
      <c r="BI148" s="279"/>
      <c r="BJ148" s="279"/>
      <c r="BK148" s="279"/>
      <c r="BL148" s="279"/>
      <c r="BM148" s="279"/>
      <c r="BN148" s="279"/>
      <c r="BO148" s="279"/>
      <c r="BP148" s="279"/>
      <c r="BQ148" s="279"/>
      <c r="BR148" s="279"/>
      <c r="BS148" s="279"/>
      <c r="BT148" s="279"/>
      <c r="BU148" s="279"/>
      <c r="BV148" s="279"/>
      <c r="BW148" s="279"/>
      <c r="BX148" s="279"/>
      <c r="BY148" s="279"/>
    </row>
    <row r="149" ht="13.8" spans="1:77">
      <c r="A149" s="279"/>
      <c r="B149" s="279"/>
      <c r="C149" s="279"/>
      <c r="D149" s="280"/>
      <c r="E149" s="280"/>
      <c r="F149" s="279"/>
      <c r="G149" s="280"/>
      <c r="H149" s="279"/>
      <c r="I149" s="279"/>
      <c r="J149" s="280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99"/>
      <c r="X149" s="299"/>
      <c r="Y149" s="279"/>
      <c r="Z149" s="279"/>
      <c r="AA149" s="279"/>
      <c r="AB149" s="279"/>
      <c r="AC149" s="279"/>
      <c r="AD149" s="279"/>
      <c r="AE149" s="279"/>
      <c r="AF149" s="279"/>
      <c r="AG149" s="279"/>
      <c r="AH149" s="279"/>
      <c r="AI149" s="279"/>
      <c r="AJ149" s="279"/>
      <c r="AK149" s="279"/>
      <c r="AL149" s="279"/>
      <c r="AM149" s="279"/>
      <c r="AN149" s="279"/>
      <c r="AO149" s="279"/>
      <c r="AP149" s="279"/>
      <c r="AQ149" s="279"/>
      <c r="AR149" s="279"/>
      <c r="AS149" s="279"/>
      <c r="AT149" s="279"/>
      <c r="AU149" s="279"/>
      <c r="AV149" s="279"/>
      <c r="AW149" s="279"/>
      <c r="AX149" s="279"/>
      <c r="AY149" s="279"/>
      <c r="AZ149" s="279"/>
      <c r="BA149" s="279"/>
      <c r="BB149" s="279"/>
      <c r="BC149" s="279"/>
      <c r="BD149" s="279"/>
      <c r="BE149" s="279"/>
      <c r="BF149" s="279"/>
      <c r="BG149" s="279"/>
      <c r="BH149" s="279"/>
      <c r="BI149" s="279"/>
      <c r="BJ149" s="279"/>
      <c r="BK149" s="279"/>
      <c r="BL149" s="279"/>
      <c r="BM149" s="279"/>
      <c r="BN149" s="279"/>
      <c r="BO149" s="279"/>
      <c r="BP149" s="279"/>
      <c r="BQ149" s="279"/>
      <c r="BR149" s="279"/>
      <c r="BS149" s="279"/>
      <c r="BT149" s="279"/>
      <c r="BU149" s="279"/>
      <c r="BV149" s="279"/>
      <c r="BW149" s="279"/>
      <c r="BX149" s="279"/>
      <c r="BY149" s="279"/>
    </row>
    <row r="150" ht="13.8" spans="1:77">
      <c r="A150" s="279"/>
      <c r="B150" s="279"/>
      <c r="C150" s="279"/>
      <c r="D150" s="280"/>
      <c r="E150" s="280"/>
      <c r="F150" s="279"/>
      <c r="G150" s="280"/>
      <c r="H150" s="279"/>
      <c r="I150" s="279"/>
      <c r="J150" s="280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99"/>
      <c r="X150" s="299"/>
      <c r="Y150" s="279"/>
      <c r="Z150" s="279"/>
      <c r="AA150" s="279"/>
      <c r="AB150" s="279"/>
      <c r="AC150" s="279"/>
      <c r="AD150" s="279"/>
      <c r="AE150" s="279"/>
      <c r="AF150" s="279"/>
      <c r="AG150" s="279"/>
      <c r="AH150" s="279"/>
      <c r="AI150" s="279"/>
      <c r="AJ150" s="279"/>
      <c r="AK150" s="279"/>
      <c r="AL150" s="279"/>
      <c r="AM150" s="279"/>
      <c r="AN150" s="279"/>
      <c r="AO150" s="279"/>
      <c r="AP150" s="279"/>
      <c r="AQ150" s="279"/>
      <c r="AR150" s="279"/>
      <c r="AS150" s="279"/>
      <c r="AT150" s="279"/>
      <c r="AU150" s="279"/>
      <c r="AV150" s="279"/>
      <c r="AW150" s="279"/>
      <c r="AX150" s="279"/>
      <c r="AY150" s="279"/>
      <c r="AZ150" s="279"/>
      <c r="BA150" s="279"/>
      <c r="BB150" s="279"/>
      <c r="BC150" s="279"/>
      <c r="BD150" s="279"/>
      <c r="BE150" s="279"/>
      <c r="BF150" s="279"/>
      <c r="BG150" s="279"/>
      <c r="BH150" s="279"/>
      <c r="BI150" s="279"/>
      <c r="BJ150" s="279"/>
      <c r="BK150" s="279"/>
      <c r="BL150" s="279"/>
      <c r="BM150" s="279"/>
      <c r="BN150" s="279"/>
      <c r="BO150" s="279"/>
      <c r="BP150" s="279"/>
      <c r="BQ150" s="279"/>
      <c r="BR150" s="279"/>
      <c r="BS150" s="279"/>
      <c r="BT150" s="279"/>
      <c r="BU150" s="279"/>
      <c r="BV150" s="279"/>
      <c r="BW150" s="279"/>
      <c r="BX150" s="279"/>
      <c r="BY150" s="279"/>
    </row>
    <row r="151" ht="13.8" spans="1:77">
      <c r="A151" s="279"/>
      <c r="B151" s="279"/>
      <c r="C151" s="279"/>
      <c r="D151" s="280"/>
      <c r="E151" s="280"/>
      <c r="F151" s="279"/>
      <c r="G151" s="280"/>
      <c r="H151" s="279"/>
      <c r="I151" s="279"/>
      <c r="J151" s="280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99"/>
      <c r="X151" s="299"/>
      <c r="Y151" s="279"/>
      <c r="Z151" s="279"/>
      <c r="AA151" s="279"/>
      <c r="AB151" s="279"/>
      <c r="AC151" s="279"/>
      <c r="AD151" s="279"/>
      <c r="AE151" s="279"/>
      <c r="AF151" s="279"/>
      <c r="AG151" s="279"/>
      <c r="AH151" s="279"/>
      <c r="AI151" s="279"/>
      <c r="AJ151" s="279"/>
      <c r="AK151" s="279"/>
      <c r="AL151" s="279"/>
      <c r="AM151" s="279"/>
      <c r="AN151" s="279"/>
      <c r="AO151" s="279"/>
      <c r="AP151" s="279"/>
      <c r="AQ151" s="279"/>
      <c r="AR151" s="279"/>
      <c r="AS151" s="279"/>
      <c r="AT151" s="279"/>
      <c r="AU151" s="279"/>
      <c r="AV151" s="279"/>
      <c r="AW151" s="279"/>
      <c r="AX151" s="279"/>
      <c r="AY151" s="279"/>
      <c r="AZ151" s="279"/>
      <c r="BA151" s="279"/>
      <c r="BB151" s="279"/>
      <c r="BC151" s="279"/>
      <c r="BD151" s="279"/>
      <c r="BE151" s="279"/>
      <c r="BF151" s="279"/>
      <c r="BG151" s="279"/>
      <c r="BH151" s="279"/>
      <c r="BI151" s="279"/>
      <c r="BJ151" s="279"/>
      <c r="BK151" s="279"/>
      <c r="BL151" s="279"/>
      <c r="BM151" s="279"/>
      <c r="BN151" s="279"/>
      <c r="BO151" s="279"/>
      <c r="BP151" s="279"/>
      <c r="BQ151" s="279"/>
      <c r="BR151" s="279"/>
      <c r="BS151" s="279"/>
      <c r="BT151" s="279"/>
      <c r="BU151" s="279"/>
      <c r="BV151" s="279"/>
      <c r="BW151" s="279"/>
      <c r="BX151" s="279"/>
      <c r="BY151" s="279"/>
    </row>
    <row r="152" ht="13.8" spans="1:77">
      <c r="A152" s="279"/>
      <c r="B152" s="279"/>
      <c r="C152" s="279"/>
      <c r="D152" s="280"/>
      <c r="E152" s="280"/>
      <c r="F152" s="279"/>
      <c r="G152" s="280"/>
      <c r="H152" s="279"/>
      <c r="I152" s="279"/>
      <c r="J152" s="280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99"/>
      <c r="X152" s="299"/>
      <c r="Y152" s="279"/>
      <c r="Z152" s="279"/>
      <c r="AA152" s="279"/>
      <c r="AB152" s="279"/>
      <c r="AC152" s="279"/>
      <c r="AD152" s="279"/>
      <c r="AE152" s="279"/>
      <c r="AF152" s="279"/>
      <c r="AG152" s="279"/>
      <c r="AH152" s="279"/>
      <c r="AI152" s="279"/>
      <c r="AJ152" s="279"/>
      <c r="AK152" s="279"/>
      <c r="AL152" s="279"/>
      <c r="AM152" s="279"/>
      <c r="AN152" s="279"/>
      <c r="AO152" s="279"/>
      <c r="AP152" s="279"/>
      <c r="AQ152" s="279"/>
      <c r="AR152" s="279"/>
      <c r="AS152" s="279"/>
      <c r="AT152" s="279"/>
      <c r="AU152" s="279"/>
      <c r="AV152" s="279"/>
      <c r="AW152" s="279"/>
      <c r="AX152" s="279"/>
      <c r="AY152" s="279"/>
      <c r="AZ152" s="279"/>
      <c r="BA152" s="279"/>
      <c r="BB152" s="279"/>
      <c r="BC152" s="279"/>
      <c r="BD152" s="279"/>
      <c r="BE152" s="279"/>
      <c r="BF152" s="279"/>
      <c r="BG152" s="279"/>
      <c r="BH152" s="279"/>
      <c r="BI152" s="279"/>
      <c r="BJ152" s="279"/>
      <c r="BK152" s="279"/>
      <c r="BL152" s="279"/>
      <c r="BM152" s="279"/>
      <c r="BN152" s="279"/>
      <c r="BO152" s="279"/>
      <c r="BP152" s="279"/>
      <c r="BQ152" s="279"/>
      <c r="BR152" s="279"/>
      <c r="BS152" s="279"/>
      <c r="BT152" s="279"/>
      <c r="BU152" s="279"/>
      <c r="BV152" s="279"/>
      <c r="BW152" s="279"/>
      <c r="BX152" s="279"/>
      <c r="BY152" s="279"/>
    </row>
    <row r="153" ht="13.8" spans="1:77">
      <c r="A153" s="279"/>
      <c r="B153" s="279"/>
      <c r="C153" s="279"/>
      <c r="D153" s="280"/>
      <c r="E153" s="280"/>
      <c r="F153" s="279"/>
      <c r="G153" s="280"/>
      <c r="H153" s="279"/>
      <c r="I153" s="279"/>
      <c r="J153" s="280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99"/>
      <c r="X153" s="299"/>
      <c r="Y153" s="279"/>
      <c r="Z153" s="279"/>
      <c r="AA153" s="279"/>
      <c r="AB153" s="279"/>
      <c r="AC153" s="279"/>
      <c r="AD153" s="279"/>
      <c r="AE153" s="279"/>
      <c r="AF153" s="279"/>
      <c r="AG153" s="279"/>
      <c r="AH153" s="279"/>
      <c r="AI153" s="279"/>
      <c r="AJ153" s="279"/>
      <c r="AK153" s="279"/>
      <c r="AL153" s="279"/>
      <c r="AM153" s="279"/>
      <c r="AN153" s="279"/>
      <c r="AO153" s="279"/>
      <c r="AP153" s="279"/>
      <c r="AQ153" s="279"/>
      <c r="AR153" s="279"/>
      <c r="AS153" s="279"/>
      <c r="AT153" s="279"/>
      <c r="AU153" s="279"/>
      <c r="AV153" s="279"/>
      <c r="AW153" s="279"/>
      <c r="AX153" s="279"/>
      <c r="AY153" s="279"/>
      <c r="AZ153" s="279"/>
      <c r="BA153" s="279"/>
      <c r="BB153" s="279"/>
      <c r="BC153" s="279"/>
      <c r="BD153" s="279"/>
      <c r="BE153" s="279"/>
      <c r="BF153" s="279"/>
      <c r="BG153" s="279"/>
      <c r="BH153" s="279"/>
      <c r="BI153" s="279"/>
      <c r="BJ153" s="279"/>
      <c r="BK153" s="279"/>
      <c r="BL153" s="279"/>
      <c r="BM153" s="279"/>
      <c r="BN153" s="279"/>
      <c r="BO153" s="279"/>
      <c r="BP153" s="279"/>
      <c r="BQ153" s="279"/>
      <c r="BR153" s="279"/>
      <c r="BS153" s="279"/>
      <c r="BT153" s="279"/>
      <c r="BU153" s="279"/>
      <c r="BV153" s="279"/>
      <c r="BW153" s="279"/>
      <c r="BX153" s="279"/>
      <c r="BY153" s="279"/>
    </row>
    <row r="154" ht="13.8" spans="1:77">
      <c r="A154" s="279"/>
      <c r="B154" s="279"/>
      <c r="C154" s="279"/>
      <c r="D154" s="280"/>
      <c r="E154" s="280"/>
      <c r="F154" s="279"/>
      <c r="G154" s="280"/>
      <c r="H154" s="279"/>
      <c r="I154" s="279"/>
      <c r="J154" s="280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99"/>
      <c r="X154" s="299"/>
      <c r="Y154" s="279"/>
      <c r="Z154" s="279"/>
      <c r="AA154" s="279"/>
      <c r="AB154" s="279"/>
      <c r="AC154" s="279"/>
      <c r="AD154" s="279"/>
      <c r="AE154" s="279"/>
      <c r="AF154" s="279"/>
      <c r="AG154" s="279"/>
      <c r="AH154" s="279"/>
      <c r="AI154" s="279"/>
      <c r="AJ154" s="279"/>
      <c r="AK154" s="279"/>
      <c r="AL154" s="279"/>
      <c r="AM154" s="279"/>
      <c r="AN154" s="279"/>
      <c r="AO154" s="279"/>
      <c r="AP154" s="279"/>
      <c r="AQ154" s="279"/>
      <c r="AR154" s="279"/>
      <c r="AS154" s="279"/>
      <c r="AT154" s="279"/>
      <c r="AU154" s="279"/>
      <c r="AV154" s="279"/>
      <c r="AW154" s="279"/>
      <c r="AX154" s="279"/>
      <c r="AY154" s="279"/>
      <c r="AZ154" s="279"/>
      <c r="BA154" s="279"/>
      <c r="BB154" s="279"/>
      <c r="BC154" s="279"/>
      <c r="BD154" s="279"/>
      <c r="BE154" s="279"/>
      <c r="BF154" s="279"/>
      <c r="BG154" s="279"/>
      <c r="BH154" s="279"/>
      <c r="BI154" s="279"/>
      <c r="BJ154" s="279"/>
      <c r="BK154" s="279"/>
      <c r="BL154" s="279"/>
      <c r="BM154" s="279"/>
      <c r="BN154" s="279"/>
      <c r="BO154" s="279"/>
      <c r="BP154" s="279"/>
      <c r="BQ154" s="279"/>
      <c r="BR154" s="279"/>
      <c r="BS154" s="279"/>
      <c r="BT154" s="279"/>
      <c r="BU154" s="279"/>
      <c r="BV154" s="279"/>
      <c r="BW154" s="279"/>
      <c r="BX154" s="279"/>
      <c r="BY154" s="279"/>
    </row>
    <row r="155" ht="13.8" spans="1:77">
      <c r="A155" s="279"/>
      <c r="B155" s="279"/>
      <c r="C155" s="279"/>
      <c r="D155" s="280"/>
      <c r="E155" s="280"/>
      <c r="F155" s="279"/>
      <c r="G155" s="280"/>
      <c r="H155" s="279"/>
      <c r="I155" s="279"/>
      <c r="J155" s="280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99"/>
      <c r="X155" s="299"/>
      <c r="Y155" s="279"/>
      <c r="Z155" s="279"/>
      <c r="AA155" s="279"/>
      <c r="AB155" s="279"/>
      <c r="AC155" s="279"/>
      <c r="AD155" s="279"/>
      <c r="AE155" s="279"/>
      <c r="AF155" s="279"/>
      <c r="AG155" s="279"/>
      <c r="AH155" s="279"/>
      <c r="AI155" s="279"/>
      <c r="AJ155" s="279"/>
      <c r="AK155" s="279"/>
      <c r="AL155" s="279"/>
      <c r="AM155" s="279"/>
      <c r="AN155" s="279"/>
      <c r="AO155" s="279"/>
      <c r="AP155" s="279"/>
      <c r="AQ155" s="279"/>
      <c r="AR155" s="279"/>
      <c r="AS155" s="279"/>
      <c r="AT155" s="279"/>
      <c r="AU155" s="279"/>
      <c r="AV155" s="279"/>
      <c r="AW155" s="279"/>
      <c r="AX155" s="279"/>
      <c r="AY155" s="279"/>
      <c r="AZ155" s="279"/>
      <c r="BA155" s="279"/>
      <c r="BB155" s="279"/>
      <c r="BC155" s="279"/>
      <c r="BD155" s="279"/>
      <c r="BE155" s="279"/>
      <c r="BF155" s="279"/>
      <c r="BG155" s="279"/>
      <c r="BH155" s="279"/>
      <c r="BI155" s="279"/>
      <c r="BJ155" s="279"/>
      <c r="BK155" s="279"/>
      <c r="BL155" s="279"/>
      <c r="BM155" s="279"/>
      <c r="BN155" s="279"/>
      <c r="BO155" s="279"/>
      <c r="BP155" s="279"/>
      <c r="BQ155" s="279"/>
      <c r="BR155" s="279"/>
      <c r="BS155" s="279"/>
      <c r="BT155" s="279"/>
      <c r="BU155" s="279"/>
      <c r="BV155" s="279"/>
      <c r="BW155" s="279"/>
      <c r="BX155" s="279"/>
      <c r="BY155" s="279"/>
    </row>
    <row r="156" ht="13.8" spans="1:77">
      <c r="A156" s="279"/>
      <c r="B156" s="279"/>
      <c r="C156" s="279"/>
      <c r="D156" s="280"/>
      <c r="E156" s="280"/>
      <c r="F156" s="279"/>
      <c r="G156" s="280"/>
      <c r="H156" s="279"/>
      <c r="I156" s="279"/>
      <c r="J156" s="280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99"/>
      <c r="X156" s="299"/>
      <c r="Y156" s="279"/>
      <c r="Z156" s="279"/>
      <c r="AA156" s="279"/>
      <c r="AB156" s="279"/>
      <c r="AC156" s="279"/>
      <c r="AD156" s="279"/>
      <c r="AE156" s="279"/>
      <c r="AF156" s="279"/>
      <c r="AG156" s="279"/>
      <c r="AH156" s="279"/>
      <c r="AI156" s="279"/>
      <c r="AJ156" s="279"/>
      <c r="AK156" s="279"/>
      <c r="AL156" s="279"/>
      <c r="AM156" s="279"/>
      <c r="AN156" s="279"/>
      <c r="AO156" s="279"/>
      <c r="AP156" s="279"/>
      <c r="AQ156" s="279"/>
      <c r="AR156" s="279"/>
      <c r="AS156" s="279"/>
      <c r="AT156" s="279"/>
      <c r="AU156" s="279"/>
      <c r="AV156" s="279"/>
      <c r="AW156" s="279"/>
      <c r="AX156" s="279"/>
      <c r="AY156" s="279"/>
      <c r="AZ156" s="279"/>
      <c r="BA156" s="279"/>
      <c r="BB156" s="279"/>
      <c r="BC156" s="279"/>
      <c r="BD156" s="279"/>
      <c r="BE156" s="279"/>
      <c r="BF156" s="279"/>
      <c r="BG156" s="279"/>
      <c r="BH156" s="279"/>
      <c r="BI156" s="279"/>
      <c r="BJ156" s="279"/>
      <c r="BK156" s="279"/>
      <c r="BL156" s="279"/>
      <c r="BM156" s="279"/>
      <c r="BN156" s="279"/>
      <c r="BO156" s="279"/>
      <c r="BP156" s="279"/>
      <c r="BQ156" s="279"/>
      <c r="BR156" s="279"/>
      <c r="BS156" s="279"/>
      <c r="BT156" s="279"/>
      <c r="BU156" s="279"/>
      <c r="BV156" s="279"/>
      <c r="BW156" s="279"/>
      <c r="BX156" s="279"/>
      <c r="BY156" s="279"/>
    </row>
    <row r="157" ht="13.8" spans="1:77">
      <c r="A157" s="279"/>
      <c r="B157" s="279"/>
      <c r="C157" s="279"/>
      <c r="D157" s="280"/>
      <c r="E157" s="280"/>
      <c r="F157" s="279"/>
      <c r="G157" s="280"/>
      <c r="H157" s="279"/>
      <c r="I157" s="279"/>
      <c r="J157" s="280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99"/>
      <c r="X157" s="299"/>
      <c r="Y157" s="279"/>
      <c r="Z157" s="279"/>
      <c r="AA157" s="279"/>
      <c r="AB157" s="279"/>
      <c r="AC157" s="279"/>
      <c r="AD157" s="279"/>
      <c r="AE157" s="279"/>
      <c r="AF157" s="279"/>
      <c r="AG157" s="279"/>
      <c r="AH157" s="279"/>
      <c r="AI157" s="279"/>
      <c r="AJ157" s="279"/>
      <c r="AK157" s="279"/>
      <c r="AL157" s="279"/>
      <c r="AM157" s="279"/>
      <c r="AN157" s="279"/>
      <c r="AO157" s="279"/>
      <c r="AP157" s="279"/>
      <c r="AQ157" s="279"/>
      <c r="AR157" s="279"/>
      <c r="AS157" s="279"/>
      <c r="AT157" s="279"/>
      <c r="AU157" s="279"/>
      <c r="AV157" s="279"/>
      <c r="AW157" s="279"/>
      <c r="AX157" s="279"/>
      <c r="AY157" s="279"/>
      <c r="AZ157" s="279"/>
      <c r="BA157" s="279"/>
      <c r="BB157" s="279"/>
      <c r="BC157" s="279"/>
      <c r="BD157" s="279"/>
      <c r="BE157" s="279"/>
      <c r="BF157" s="279"/>
      <c r="BG157" s="279"/>
      <c r="BH157" s="279"/>
      <c r="BI157" s="279"/>
      <c r="BJ157" s="279"/>
      <c r="BK157" s="279"/>
      <c r="BL157" s="279"/>
      <c r="BM157" s="279"/>
      <c r="BN157" s="279"/>
      <c r="BO157" s="279"/>
      <c r="BP157" s="279"/>
      <c r="BQ157" s="279"/>
      <c r="BR157" s="279"/>
      <c r="BS157" s="279"/>
      <c r="BT157" s="279"/>
      <c r="BU157" s="279"/>
      <c r="BV157" s="279"/>
      <c r="BW157" s="279"/>
      <c r="BX157" s="279"/>
      <c r="BY157" s="279"/>
    </row>
    <row r="158" ht="13.8" spans="1:77">
      <c r="A158" s="279"/>
      <c r="B158" s="279"/>
      <c r="C158" s="279"/>
      <c r="D158" s="280"/>
      <c r="E158" s="280"/>
      <c r="F158" s="279"/>
      <c r="G158" s="280"/>
      <c r="H158" s="279"/>
      <c r="I158" s="279"/>
      <c r="J158" s="280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99"/>
      <c r="X158" s="299"/>
      <c r="Y158" s="279"/>
      <c r="Z158" s="279"/>
      <c r="AA158" s="279"/>
      <c r="AB158" s="279"/>
      <c r="AC158" s="279"/>
      <c r="AD158" s="279"/>
      <c r="AE158" s="279"/>
      <c r="AF158" s="279"/>
      <c r="AG158" s="279"/>
      <c r="AH158" s="279"/>
      <c r="AI158" s="279"/>
      <c r="AJ158" s="279"/>
      <c r="AK158" s="279"/>
      <c r="AL158" s="279"/>
      <c r="AM158" s="279"/>
      <c r="AN158" s="279"/>
      <c r="AO158" s="279"/>
      <c r="AP158" s="279"/>
      <c r="AQ158" s="279"/>
      <c r="AR158" s="279"/>
      <c r="AS158" s="279"/>
      <c r="AT158" s="279"/>
      <c r="AU158" s="279"/>
      <c r="AV158" s="279"/>
      <c r="AW158" s="279"/>
      <c r="AX158" s="279"/>
      <c r="AY158" s="279"/>
      <c r="AZ158" s="279"/>
      <c r="BA158" s="279"/>
      <c r="BB158" s="279"/>
      <c r="BC158" s="279"/>
      <c r="BD158" s="279"/>
      <c r="BE158" s="279"/>
      <c r="BF158" s="279"/>
      <c r="BG158" s="279"/>
      <c r="BH158" s="279"/>
      <c r="BI158" s="279"/>
      <c r="BJ158" s="279"/>
      <c r="BK158" s="279"/>
      <c r="BL158" s="279"/>
      <c r="BM158" s="279"/>
      <c r="BN158" s="279"/>
      <c r="BO158" s="279"/>
      <c r="BP158" s="279"/>
      <c r="BQ158" s="279"/>
      <c r="BR158" s="279"/>
      <c r="BS158" s="279"/>
      <c r="BT158" s="279"/>
      <c r="BU158" s="279"/>
      <c r="BV158" s="279"/>
      <c r="BW158" s="279"/>
      <c r="BX158" s="279"/>
      <c r="BY158" s="279"/>
    </row>
    <row r="159" ht="13.8" spans="1:77">
      <c r="A159" s="279"/>
      <c r="B159" s="279"/>
      <c r="C159" s="279"/>
      <c r="D159" s="280"/>
      <c r="E159" s="280"/>
      <c r="F159" s="279"/>
      <c r="G159" s="280"/>
      <c r="H159" s="279"/>
      <c r="I159" s="279"/>
      <c r="J159" s="280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99"/>
      <c r="X159" s="299"/>
      <c r="Y159" s="279"/>
      <c r="Z159" s="279"/>
      <c r="AA159" s="279"/>
      <c r="AB159" s="279"/>
      <c r="AC159" s="279"/>
      <c r="AD159" s="279"/>
      <c r="AE159" s="279"/>
      <c r="AF159" s="279"/>
      <c r="AG159" s="279"/>
      <c r="AH159" s="279"/>
      <c r="AI159" s="279"/>
      <c r="AJ159" s="279"/>
      <c r="AK159" s="279"/>
      <c r="AL159" s="279"/>
      <c r="AM159" s="279"/>
      <c r="AN159" s="279"/>
      <c r="AO159" s="279"/>
      <c r="AP159" s="279"/>
      <c r="AQ159" s="279"/>
      <c r="AR159" s="279"/>
      <c r="AS159" s="279"/>
      <c r="AT159" s="279"/>
      <c r="AU159" s="279"/>
      <c r="AV159" s="279"/>
      <c r="AW159" s="279"/>
      <c r="AX159" s="279"/>
      <c r="AY159" s="279"/>
      <c r="AZ159" s="279"/>
      <c r="BA159" s="279"/>
      <c r="BB159" s="279"/>
      <c r="BC159" s="279"/>
      <c r="BD159" s="279"/>
      <c r="BE159" s="279"/>
      <c r="BF159" s="279"/>
      <c r="BG159" s="279"/>
      <c r="BH159" s="279"/>
      <c r="BI159" s="279"/>
      <c r="BJ159" s="279"/>
      <c r="BK159" s="279"/>
      <c r="BL159" s="279"/>
      <c r="BM159" s="279"/>
      <c r="BN159" s="279"/>
      <c r="BO159" s="279"/>
      <c r="BP159" s="279"/>
      <c r="BQ159" s="279"/>
      <c r="BR159" s="279"/>
      <c r="BS159" s="279"/>
      <c r="BT159" s="279"/>
      <c r="BU159" s="279"/>
      <c r="BV159" s="279"/>
      <c r="BW159" s="279"/>
      <c r="BX159" s="279"/>
      <c r="BY159" s="279"/>
    </row>
    <row r="160" ht="13.8" spans="1:77">
      <c r="A160" s="279"/>
      <c r="B160" s="279"/>
      <c r="C160" s="279"/>
      <c r="D160" s="280"/>
      <c r="E160" s="280"/>
      <c r="F160" s="279"/>
      <c r="G160" s="280"/>
      <c r="H160" s="279"/>
      <c r="I160" s="279"/>
      <c r="J160" s="280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99"/>
      <c r="X160" s="299"/>
      <c r="Y160" s="279"/>
      <c r="Z160" s="279"/>
      <c r="AA160" s="279"/>
      <c r="AB160" s="279"/>
      <c r="AC160" s="279"/>
      <c r="AD160" s="279"/>
      <c r="AE160" s="279"/>
      <c r="AF160" s="279"/>
      <c r="AG160" s="279"/>
      <c r="AH160" s="279"/>
      <c r="AI160" s="279"/>
      <c r="AJ160" s="279"/>
      <c r="AK160" s="279"/>
      <c r="AL160" s="279"/>
      <c r="AM160" s="279"/>
      <c r="AN160" s="279"/>
      <c r="AO160" s="279"/>
      <c r="AP160" s="279"/>
      <c r="AQ160" s="279"/>
      <c r="AR160" s="279"/>
      <c r="AS160" s="279"/>
      <c r="AT160" s="279"/>
      <c r="AU160" s="279"/>
      <c r="AV160" s="279"/>
      <c r="AW160" s="279"/>
      <c r="AX160" s="279"/>
      <c r="AY160" s="279"/>
      <c r="AZ160" s="279"/>
      <c r="BA160" s="279"/>
      <c r="BB160" s="279"/>
      <c r="BC160" s="279"/>
      <c r="BD160" s="279"/>
      <c r="BE160" s="279"/>
      <c r="BF160" s="279"/>
      <c r="BG160" s="279"/>
      <c r="BH160" s="279"/>
      <c r="BI160" s="279"/>
      <c r="BJ160" s="279"/>
      <c r="BK160" s="279"/>
      <c r="BL160" s="279"/>
      <c r="BM160" s="279"/>
      <c r="BN160" s="279"/>
      <c r="BO160" s="279"/>
      <c r="BP160" s="279"/>
      <c r="BQ160" s="279"/>
      <c r="BR160" s="279"/>
      <c r="BS160" s="279"/>
      <c r="BT160" s="279"/>
      <c r="BU160" s="279"/>
      <c r="BV160" s="279"/>
      <c r="BW160" s="279"/>
      <c r="BX160" s="279"/>
      <c r="BY160" s="279"/>
    </row>
    <row r="161" ht="13.8" spans="1:77">
      <c r="A161" s="279"/>
      <c r="B161" s="279"/>
      <c r="C161" s="279"/>
      <c r="D161" s="280"/>
      <c r="E161" s="280"/>
      <c r="F161" s="279"/>
      <c r="G161" s="280"/>
      <c r="H161" s="279"/>
      <c r="I161" s="279"/>
      <c r="J161" s="280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99"/>
      <c r="X161" s="299"/>
      <c r="Y161" s="279"/>
      <c r="Z161" s="279"/>
      <c r="AA161" s="279"/>
      <c r="AB161" s="279"/>
      <c r="AC161" s="279"/>
      <c r="AD161" s="279"/>
      <c r="AE161" s="279"/>
      <c r="AF161" s="279"/>
      <c r="AG161" s="279"/>
      <c r="AH161" s="279"/>
      <c r="AI161" s="279"/>
      <c r="AJ161" s="279"/>
      <c r="AK161" s="279"/>
      <c r="AL161" s="279"/>
      <c r="AM161" s="279"/>
      <c r="AN161" s="279"/>
      <c r="AO161" s="279"/>
      <c r="AP161" s="279"/>
      <c r="AQ161" s="279"/>
      <c r="AR161" s="279"/>
      <c r="AS161" s="279"/>
      <c r="AT161" s="279"/>
      <c r="AU161" s="279"/>
      <c r="AV161" s="279"/>
      <c r="AW161" s="279"/>
      <c r="AX161" s="279"/>
      <c r="AY161" s="279"/>
      <c r="AZ161" s="279"/>
      <c r="BA161" s="279"/>
      <c r="BB161" s="279"/>
      <c r="BC161" s="279"/>
      <c r="BD161" s="279"/>
      <c r="BE161" s="279"/>
      <c r="BF161" s="279"/>
      <c r="BG161" s="279"/>
      <c r="BH161" s="279"/>
      <c r="BI161" s="279"/>
      <c r="BJ161" s="279"/>
      <c r="BK161" s="279"/>
      <c r="BL161" s="279"/>
      <c r="BM161" s="279"/>
      <c r="BN161" s="279"/>
      <c r="BO161" s="279"/>
      <c r="BP161" s="279"/>
      <c r="BQ161" s="279"/>
      <c r="BR161" s="279"/>
      <c r="BS161" s="279"/>
      <c r="BT161" s="279"/>
      <c r="BU161" s="279"/>
      <c r="BV161" s="279"/>
      <c r="BW161" s="279"/>
      <c r="BX161" s="279"/>
      <c r="BY161" s="279"/>
    </row>
    <row r="162" ht="13.8" spans="1:77">
      <c r="A162" s="279"/>
      <c r="B162" s="279"/>
      <c r="C162" s="279"/>
      <c r="D162" s="280"/>
      <c r="E162" s="280"/>
      <c r="F162" s="279"/>
      <c r="G162" s="280"/>
      <c r="H162" s="279"/>
      <c r="I162" s="279"/>
      <c r="J162" s="280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99"/>
      <c r="X162" s="299"/>
      <c r="Y162" s="279"/>
      <c r="Z162" s="279"/>
      <c r="AA162" s="279"/>
      <c r="AB162" s="279"/>
      <c r="AC162" s="279"/>
      <c r="AD162" s="279"/>
      <c r="AE162" s="279"/>
      <c r="AF162" s="279"/>
      <c r="AG162" s="279"/>
      <c r="AH162" s="279"/>
      <c r="AI162" s="279"/>
      <c r="AJ162" s="279"/>
      <c r="AK162" s="279"/>
      <c r="AL162" s="279"/>
      <c r="AM162" s="279"/>
      <c r="AN162" s="279"/>
      <c r="AO162" s="279"/>
      <c r="AP162" s="279"/>
      <c r="AQ162" s="279"/>
      <c r="AR162" s="279"/>
      <c r="AS162" s="279"/>
      <c r="AT162" s="279"/>
      <c r="AU162" s="279"/>
      <c r="AV162" s="279"/>
      <c r="AW162" s="279"/>
      <c r="AX162" s="279"/>
      <c r="AY162" s="279"/>
      <c r="AZ162" s="279"/>
      <c r="BA162" s="279"/>
      <c r="BB162" s="279"/>
      <c r="BC162" s="279"/>
      <c r="BD162" s="279"/>
      <c r="BE162" s="279"/>
      <c r="BF162" s="279"/>
      <c r="BG162" s="279"/>
      <c r="BH162" s="279"/>
      <c r="BI162" s="279"/>
      <c r="BJ162" s="279"/>
      <c r="BK162" s="279"/>
      <c r="BL162" s="279"/>
      <c r="BM162" s="279"/>
      <c r="BN162" s="279"/>
      <c r="BO162" s="279"/>
      <c r="BP162" s="279"/>
      <c r="BQ162" s="279"/>
      <c r="BR162" s="279"/>
      <c r="BS162" s="279"/>
      <c r="BT162" s="279"/>
      <c r="BU162" s="279"/>
      <c r="BV162" s="279"/>
      <c r="BW162" s="279"/>
      <c r="BX162" s="279"/>
      <c r="BY162" s="279"/>
    </row>
    <row r="163" ht="13.8" spans="1:77">
      <c r="A163" s="279"/>
      <c r="B163" s="279"/>
      <c r="C163" s="279"/>
      <c r="D163" s="280"/>
      <c r="E163" s="280"/>
      <c r="F163" s="279"/>
      <c r="G163" s="280"/>
      <c r="H163" s="279"/>
      <c r="I163" s="279"/>
      <c r="J163" s="280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99"/>
      <c r="X163" s="299"/>
      <c r="Y163" s="279"/>
      <c r="Z163" s="279"/>
      <c r="AA163" s="279"/>
      <c r="AB163" s="279"/>
      <c r="AC163" s="279"/>
      <c r="AD163" s="279"/>
      <c r="AE163" s="279"/>
      <c r="AF163" s="279"/>
      <c r="AG163" s="279"/>
      <c r="AH163" s="279"/>
      <c r="AI163" s="279"/>
      <c r="AJ163" s="279"/>
      <c r="AK163" s="279"/>
      <c r="AL163" s="279"/>
      <c r="AM163" s="279"/>
      <c r="AN163" s="279"/>
      <c r="AO163" s="279"/>
      <c r="AP163" s="279"/>
      <c r="AQ163" s="279"/>
      <c r="AR163" s="279"/>
      <c r="AS163" s="279"/>
      <c r="AT163" s="279"/>
      <c r="AU163" s="279"/>
      <c r="AV163" s="279"/>
      <c r="AW163" s="279"/>
      <c r="AX163" s="279"/>
      <c r="AY163" s="279"/>
      <c r="AZ163" s="279"/>
      <c r="BA163" s="279"/>
      <c r="BB163" s="279"/>
      <c r="BC163" s="279"/>
      <c r="BD163" s="279"/>
      <c r="BE163" s="279"/>
      <c r="BF163" s="279"/>
      <c r="BG163" s="279"/>
      <c r="BH163" s="279"/>
      <c r="BI163" s="279"/>
      <c r="BJ163" s="279"/>
      <c r="BK163" s="279"/>
      <c r="BL163" s="279"/>
      <c r="BM163" s="279"/>
      <c r="BN163" s="279"/>
      <c r="BO163" s="279"/>
      <c r="BP163" s="279"/>
      <c r="BQ163" s="279"/>
      <c r="BR163" s="279"/>
      <c r="BS163" s="279"/>
      <c r="BT163" s="279"/>
      <c r="BU163" s="279"/>
      <c r="BV163" s="279"/>
      <c r="BW163" s="279"/>
      <c r="BX163" s="279"/>
      <c r="BY163" s="279"/>
    </row>
    <row r="164" ht="13.8" spans="1:77">
      <c r="A164" s="279"/>
      <c r="B164" s="279"/>
      <c r="C164" s="279"/>
      <c r="D164" s="280"/>
      <c r="E164" s="280"/>
      <c r="F164" s="279"/>
      <c r="G164" s="280"/>
      <c r="H164" s="279"/>
      <c r="I164" s="279"/>
      <c r="J164" s="280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99"/>
      <c r="X164" s="299"/>
      <c r="Y164" s="279"/>
      <c r="Z164" s="279"/>
      <c r="AA164" s="279"/>
      <c r="AB164" s="279"/>
      <c r="AC164" s="279"/>
      <c r="AD164" s="279"/>
      <c r="AE164" s="279"/>
      <c r="AF164" s="279"/>
      <c r="AG164" s="279"/>
      <c r="AH164" s="279"/>
      <c r="AI164" s="279"/>
      <c r="AJ164" s="279"/>
      <c r="AK164" s="279"/>
      <c r="AL164" s="279"/>
      <c r="AM164" s="279"/>
      <c r="AN164" s="279"/>
      <c r="AO164" s="279"/>
      <c r="AP164" s="279"/>
      <c r="AQ164" s="279"/>
      <c r="AR164" s="279"/>
      <c r="AS164" s="279"/>
      <c r="AT164" s="279"/>
      <c r="AU164" s="279"/>
      <c r="AV164" s="279"/>
      <c r="AW164" s="279"/>
      <c r="AX164" s="279"/>
      <c r="AY164" s="279"/>
      <c r="AZ164" s="279"/>
      <c r="BA164" s="279"/>
      <c r="BB164" s="279"/>
      <c r="BC164" s="279"/>
      <c r="BD164" s="279"/>
      <c r="BE164" s="279"/>
      <c r="BF164" s="279"/>
      <c r="BG164" s="279"/>
      <c r="BH164" s="279"/>
      <c r="BI164" s="279"/>
      <c r="BJ164" s="279"/>
      <c r="BK164" s="279"/>
      <c r="BL164" s="279"/>
      <c r="BM164" s="279"/>
      <c r="BN164" s="279"/>
      <c r="BO164" s="279"/>
      <c r="BP164" s="279"/>
      <c r="BQ164" s="279"/>
      <c r="BR164" s="279"/>
      <c r="BS164" s="279"/>
      <c r="BT164" s="279"/>
      <c r="BU164" s="279"/>
      <c r="BV164" s="279"/>
      <c r="BW164" s="279"/>
      <c r="BX164" s="279"/>
      <c r="BY164" s="279"/>
    </row>
    <row r="165" ht="13.8" spans="1:77">
      <c r="A165" s="279"/>
      <c r="B165" s="279"/>
      <c r="C165" s="279"/>
      <c r="D165" s="280"/>
      <c r="E165" s="280"/>
      <c r="F165" s="279"/>
      <c r="G165" s="280"/>
      <c r="H165" s="279"/>
      <c r="I165" s="279"/>
      <c r="J165" s="280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99"/>
      <c r="X165" s="299"/>
      <c r="Y165" s="279"/>
      <c r="Z165" s="279"/>
      <c r="AA165" s="279"/>
      <c r="AB165" s="279"/>
      <c r="AC165" s="279"/>
      <c r="AD165" s="279"/>
      <c r="AE165" s="279"/>
      <c r="AF165" s="279"/>
      <c r="AG165" s="279"/>
      <c r="AH165" s="279"/>
      <c r="AI165" s="279"/>
      <c r="AJ165" s="279"/>
      <c r="AK165" s="279"/>
      <c r="AL165" s="279"/>
      <c r="AM165" s="279"/>
      <c r="AN165" s="279"/>
      <c r="AO165" s="279"/>
      <c r="AP165" s="279"/>
      <c r="AQ165" s="279"/>
      <c r="AR165" s="279"/>
      <c r="AS165" s="279"/>
      <c r="AT165" s="279"/>
      <c r="AU165" s="279"/>
      <c r="AV165" s="279"/>
      <c r="AW165" s="279"/>
      <c r="AX165" s="279"/>
      <c r="AY165" s="279"/>
      <c r="AZ165" s="279"/>
      <c r="BA165" s="279"/>
      <c r="BB165" s="279"/>
      <c r="BC165" s="279"/>
      <c r="BD165" s="279"/>
      <c r="BE165" s="279"/>
      <c r="BF165" s="279"/>
      <c r="BG165" s="279"/>
      <c r="BH165" s="279"/>
      <c r="BI165" s="279"/>
      <c r="BJ165" s="279"/>
      <c r="BK165" s="279"/>
      <c r="BL165" s="279"/>
      <c r="BM165" s="279"/>
      <c r="BN165" s="279"/>
      <c r="BO165" s="279"/>
      <c r="BP165" s="279"/>
      <c r="BQ165" s="279"/>
      <c r="BR165" s="279"/>
      <c r="BS165" s="279"/>
      <c r="BT165" s="279"/>
      <c r="BU165" s="279"/>
      <c r="BV165" s="279"/>
      <c r="BW165" s="279"/>
      <c r="BX165" s="279"/>
      <c r="BY165" s="279"/>
    </row>
    <row r="166" ht="13.8" spans="1:77">
      <c r="A166" s="279"/>
      <c r="B166" s="279"/>
      <c r="C166" s="279"/>
      <c r="D166" s="280"/>
      <c r="E166" s="280"/>
      <c r="F166" s="279"/>
      <c r="G166" s="280"/>
      <c r="H166" s="279"/>
      <c r="I166" s="279"/>
      <c r="J166" s="280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99"/>
      <c r="X166" s="299"/>
      <c r="Y166" s="279"/>
      <c r="Z166" s="279"/>
      <c r="AA166" s="279"/>
      <c r="AB166" s="279"/>
      <c r="AC166" s="279"/>
      <c r="AD166" s="279"/>
      <c r="AE166" s="279"/>
      <c r="AF166" s="279"/>
      <c r="AG166" s="279"/>
      <c r="AH166" s="279"/>
      <c r="AI166" s="279"/>
      <c r="AJ166" s="279"/>
      <c r="AK166" s="279"/>
      <c r="AL166" s="279"/>
      <c r="AM166" s="279"/>
      <c r="AN166" s="279"/>
      <c r="AO166" s="279"/>
      <c r="AP166" s="279"/>
      <c r="AQ166" s="279"/>
      <c r="AR166" s="279"/>
      <c r="AS166" s="279"/>
      <c r="AT166" s="279"/>
      <c r="AU166" s="279"/>
      <c r="AV166" s="279"/>
      <c r="AW166" s="279"/>
      <c r="AX166" s="279"/>
      <c r="AY166" s="279"/>
      <c r="AZ166" s="279"/>
      <c r="BA166" s="279"/>
      <c r="BB166" s="279"/>
      <c r="BC166" s="279"/>
      <c r="BD166" s="279"/>
      <c r="BE166" s="279"/>
      <c r="BF166" s="279"/>
      <c r="BG166" s="279"/>
      <c r="BH166" s="279"/>
      <c r="BI166" s="279"/>
      <c r="BJ166" s="279"/>
      <c r="BK166" s="279"/>
      <c r="BL166" s="279"/>
      <c r="BM166" s="279"/>
      <c r="BN166" s="279"/>
      <c r="BO166" s="279"/>
      <c r="BP166" s="279"/>
      <c r="BQ166" s="279"/>
      <c r="BR166" s="279"/>
      <c r="BS166" s="279"/>
      <c r="BT166" s="279"/>
      <c r="BU166" s="279"/>
      <c r="BV166" s="279"/>
      <c r="BW166" s="279"/>
      <c r="BX166" s="279"/>
      <c r="BY166" s="279"/>
    </row>
    <row r="167" ht="13.8" spans="1:77">
      <c r="A167" s="279"/>
      <c r="B167" s="279"/>
      <c r="C167" s="279"/>
      <c r="D167" s="280"/>
      <c r="E167" s="280"/>
      <c r="F167" s="279"/>
      <c r="G167" s="280"/>
      <c r="H167" s="279"/>
      <c r="I167" s="279"/>
      <c r="J167" s="280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99"/>
      <c r="X167" s="299"/>
      <c r="Y167" s="279"/>
      <c r="Z167" s="279"/>
      <c r="AA167" s="279"/>
      <c r="AB167" s="279"/>
      <c r="AC167" s="279"/>
      <c r="AD167" s="279"/>
      <c r="AE167" s="279"/>
      <c r="AF167" s="279"/>
      <c r="AG167" s="279"/>
      <c r="AH167" s="279"/>
      <c r="AI167" s="279"/>
      <c r="AJ167" s="279"/>
      <c r="AK167" s="279"/>
      <c r="AL167" s="279"/>
      <c r="AM167" s="279"/>
      <c r="AN167" s="279"/>
      <c r="AO167" s="279"/>
      <c r="AP167" s="279"/>
      <c r="AQ167" s="279"/>
      <c r="AR167" s="279"/>
      <c r="AS167" s="279"/>
      <c r="AT167" s="279"/>
      <c r="AU167" s="279"/>
      <c r="AV167" s="279"/>
      <c r="AW167" s="279"/>
      <c r="AX167" s="279"/>
      <c r="AY167" s="279"/>
      <c r="AZ167" s="279"/>
      <c r="BA167" s="279"/>
      <c r="BB167" s="279"/>
      <c r="BC167" s="279"/>
      <c r="BD167" s="279"/>
      <c r="BE167" s="279"/>
      <c r="BF167" s="279"/>
      <c r="BG167" s="279"/>
      <c r="BH167" s="279"/>
      <c r="BI167" s="279"/>
      <c r="BJ167" s="279"/>
      <c r="BK167" s="279"/>
      <c r="BL167" s="279"/>
      <c r="BM167" s="279"/>
      <c r="BN167" s="279"/>
      <c r="BO167" s="279"/>
      <c r="BP167" s="279"/>
      <c r="BQ167" s="279"/>
      <c r="BR167" s="279"/>
      <c r="BS167" s="279"/>
      <c r="BT167" s="279"/>
      <c r="BU167" s="279"/>
      <c r="BV167" s="279"/>
      <c r="BW167" s="279"/>
      <c r="BX167" s="279"/>
      <c r="BY167" s="279"/>
    </row>
    <row r="168" ht="13.8" spans="1:77">
      <c r="A168" s="279"/>
      <c r="B168" s="279"/>
      <c r="C168" s="279"/>
      <c r="D168" s="280"/>
      <c r="E168" s="280"/>
      <c r="F168" s="279"/>
      <c r="G168" s="280"/>
      <c r="H168" s="279"/>
      <c r="I168" s="279"/>
      <c r="J168" s="280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99"/>
      <c r="X168" s="299"/>
      <c r="Y168" s="279"/>
      <c r="Z168" s="279"/>
      <c r="AA168" s="279"/>
      <c r="AB168" s="279"/>
      <c r="AC168" s="279"/>
      <c r="AD168" s="279"/>
      <c r="AE168" s="279"/>
      <c r="AF168" s="279"/>
      <c r="AG168" s="279"/>
      <c r="AH168" s="279"/>
      <c r="AI168" s="279"/>
      <c r="AJ168" s="279"/>
      <c r="AK168" s="279"/>
      <c r="AL168" s="279"/>
      <c r="AM168" s="279"/>
      <c r="AN168" s="279"/>
      <c r="AO168" s="279"/>
      <c r="AP168" s="279"/>
      <c r="AQ168" s="279"/>
      <c r="AR168" s="279"/>
      <c r="AS168" s="279"/>
      <c r="AT168" s="279"/>
      <c r="AU168" s="279"/>
      <c r="AV168" s="279"/>
      <c r="AW168" s="279"/>
      <c r="AX168" s="279"/>
      <c r="AY168" s="279"/>
      <c r="AZ168" s="279"/>
      <c r="BA168" s="279"/>
      <c r="BB168" s="279"/>
      <c r="BC168" s="279"/>
      <c r="BD168" s="279"/>
      <c r="BE168" s="279"/>
      <c r="BF168" s="279"/>
      <c r="BG168" s="279"/>
      <c r="BH168" s="279"/>
      <c r="BI168" s="279"/>
      <c r="BJ168" s="279"/>
      <c r="BK168" s="279"/>
      <c r="BL168" s="279"/>
      <c r="BM168" s="279"/>
      <c r="BN168" s="279"/>
      <c r="BO168" s="279"/>
      <c r="BP168" s="279"/>
      <c r="BQ168" s="279"/>
      <c r="BR168" s="279"/>
      <c r="BS168" s="279"/>
      <c r="BT168" s="279"/>
      <c r="BU168" s="279"/>
      <c r="BV168" s="279"/>
      <c r="BW168" s="279"/>
      <c r="BX168" s="279"/>
      <c r="BY168" s="279"/>
    </row>
    <row r="169" ht="13.8" spans="1:77">
      <c r="A169" s="279"/>
      <c r="B169" s="279"/>
      <c r="C169" s="279"/>
      <c r="D169" s="280"/>
      <c r="E169" s="280"/>
      <c r="F169" s="279"/>
      <c r="G169" s="280"/>
      <c r="H169" s="279"/>
      <c r="I169" s="279"/>
      <c r="J169" s="280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99"/>
      <c r="X169" s="299"/>
      <c r="Y169" s="279"/>
      <c r="Z169" s="279"/>
      <c r="AA169" s="279"/>
      <c r="AB169" s="279"/>
      <c r="AC169" s="279"/>
      <c r="AD169" s="279"/>
      <c r="AE169" s="279"/>
      <c r="AF169" s="279"/>
      <c r="AG169" s="279"/>
      <c r="AH169" s="279"/>
      <c r="AI169" s="279"/>
      <c r="AJ169" s="279"/>
      <c r="AK169" s="279"/>
      <c r="AL169" s="279"/>
      <c r="AM169" s="279"/>
      <c r="AN169" s="279"/>
      <c r="AO169" s="279"/>
      <c r="AP169" s="279"/>
      <c r="AQ169" s="279"/>
      <c r="AR169" s="279"/>
      <c r="AS169" s="279"/>
      <c r="AT169" s="279"/>
      <c r="AU169" s="279"/>
      <c r="AV169" s="279"/>
      <c r="AW169" s="279"/>
      <c r="AX169" s="279"/>
      <c r="AY169" s="279"/>
      <c r="AZ169" s="279"/>
      <c r="BA169" s="279"/>
      <c r="BB169" s="279"/>
      <c r="BC169" s="279"/>
      <c r="BD169" s="279"/>
      <c r="BE169" s="279"/>
      <c r="BF169" s="279"/>
      <c r="BG169" s="279"/>
      <c r="BH169" s="279"/>
      <c r="BI169" s="279"/>
      <c r="BJ169" s="279"/>
      <c r="BK169" s="279"/>
      <c r="BL169" s="279"/>
      <c r="BM169" s="279"/>
      <c r="BN169" s="279"/>
      <c r="BO169" s="279"/>
      <c r="BP169" s="279"/>
      <c r="BQ169" s="279"/>
      <c r="BR169" s="279"/>
      <c r="BS169" s="279"/>
      <c r="BT169" s="279"/>
      <c r="BU169" s="279"/>
      <c r="BV169" s="279"/>
      <c r="BW169" s="279"/>
      <c r="BX169" s="279"/>
      <c r="BY169" s="279"/>
    </row>
    <row r="170" ht="13.8" spans="1:77">
      <c r="A170" s="279"/>
      <c r="B170" s="279"/>
      <c r="C170" s="279"/>
      <c r="D170" s="280"/>
      <c r="E170" s="280"/>
      <c r="F170" s="279"/>
      <c r="G170" s="280"/>
      <c r="H170" s="279"/>
      <c r="I170" s="279"/>
      <c r="J170" s="280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99"/>
      <c r="X170" s="299"/>
      <c r="Y170" s="279"/>
      <c r="Z170" s="279"/>
      <c r="AA170" s="279"/>
      <c r="AB170" s="279"/>
      <c r="AC170" s="279"/>
      <c r="AD170" s="279"/>
      <c r="AE170" s="279"/>
      <c r="AF170" s="279"/>
      <c r="AG170" s="279"/>
      <c r="AH170" s="279"/>
      <c r="AI170" s="279"/>
      <c r="AJ170" s="279"/>
      <c r="AK170" s="279"/>
      <c r="AL170" s="279"/>
      <c r="AM170" s="279"/>
      <c r="AN170" s="279"/>
      <c r="AO170" s="279"/>
      <c r="AP170" s="279"/>
      <c r="AQ170" s="279"/>
      <c r="AR170" s="279"/>
      <c r="AS170" s="279"/>
      <c r="AT170" s="279"/>
      <c r="AU170" s="279"/>
      <c r="AV170" s="279"/>
      <c r="AW170" s="279"/>
      <c r="AX170" s="279"/>
      <c r="AY170" s="279"/>
      <c r="AZ170" s="279"/>
      <c r="BA170" s="279"/>
      <c r="BB170" s="279"/>
      <c r="BC170" s="279"/>
      <c r="BD170" s="279"/>
      <c r="BE170" s="279"/>
      <c r="BF170" s="279"/>
      <c r="BG170" s="279"/>
      <c r="BH170" s="279"/>
      <c r="BI170" s="279"/>
      <c r="BJ170" s="279"/>
      <c r="BK170" s="279"/>
      <c r="BL170" s="279"/>
      <c r="BM170" s="279"/>
      <c r="BN170" s="279"/>
      <c r="BO170" s="279"/>
      <c r="BP170" s="279"/>
      <c r="BQ170" s="279"/>
      <c r="BR170" s="279"/>
      <c r="BS170" s="279"/>
      <c r="BT170" s="279"/>
      <c r="BU170" s="279"/>
      <c r="BV170" s="279"/>
      <c r="BW170" s="279"/>
      <c r="BX170" s="279"/>
      <c r="BY170" s="279"/>
    </row>
    <row r="171" ht="13.8" spans="1:77">
      <c r="A171" s="279"/>
      <c r="B171" s="279"/>
      <c r="C171" s="279"/>
      <c r="D171" s="280"/>
      <c r="E171" s="280"/>
      <c r="F171" s="279"/>
      <c r="G171" s="280"/>
      <c r="H171" s="279"/>
      <c r="I171" s="279"/>
      <c r="J171" s="280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99"/>
      <c r="X171" s="299"/>
      <c r="Y171" s="279"/>
      <c r="Z171" s="279"/>
      <c r="AA171" s="279"/>
      <c r="AB171" s="279"/>
      <c r="AC171" s="279"/>
      <c r="AD171" s="279"/>
      <c r="AE171" s="279"/>
      <c r="AF171" s="279"/>
      <c r="AG171" s="279"/>
      <c r="AH171" s="279"/>
      <c r="AI171" s="279"/>
      <c r="AJ171" s="279"/>
      <c r="AK171" s="279"/>
      <c r="AL171" s="279"/>
      <c r="AM171" s="279"/>
      <c r="AN171" s="279"/>
      <c r="AO171" s="279"/>
      <c r="AP171" s="279"/>
      <c r="AQ171" s="279"/>
      <c r="AR171" s="279"/>
      <c r="AS171" s="279"/>
      <c r="AT171" s="279"/>
      <c r="AU171" s="279"/>
      <c r="AV171" s="279"/>
      <c r="AW171" s="279"/>
      <c r="AX171" s="279"/>
      <c r="AY171" s="279"/>
      <c r="AZ171" s="279"/>
      <c r="BA171" s="279"/>
      <c r="BB171" s="279"/>
      <c r="BC171" s="279"/>
      <c r="BD171" s="279"/>
      <c r="BE171" s="279"/>
      <c r="BF171" s="279"/>
      <c r="BG171" s="279"/>
      <c r="BH171" s="279"/>
      <c r="BI171" s="279"/>
      <c r="BJ171" s="279"/>
      <c r="BK171" s="279"/>
      <c r="BL171" s="279"/>
      <c r="BM171" s="279"/>
      <c r="BN171" s="279"/>
      <c r="BO171" s="279"/>
      <c r="BP171" s="279"/>
      <c r="BQ171" s="279"/>
      <c r="BR171" s="279"/>
      <c r="BS171" s="279"/>
      <c r="BT171" s="279"/>
      <c r="BU171" s="279"/>
      <c r="BV171" s="279"/>
      <c r="BW171" s="279"/>
      <c r="BX171" s="279"/>
      <c r="BY171" s="279"/>
    </row>
    <row r="172" ht="13.8" spans="1:77">
      <c r="A172" s="279"/>
      <c r="B172" s="279"/>
      <c r="C172" s="279"/>
      <c r="D172" s="280"/>
      <c r="E172" s="280"/>
      <c r="F172" s="279"/>
      <c r="G172" s="280"/>
      <c r="H172" s="279"/>
      <c r="I172" s="279"/>
      <c r="J172" s="280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99"/>
      <c r="X172" s="299"/>
      <c r="Y172" s="279"/>
      <c r="Z172" s="279"/>
      <c r="AA172" s="279"/>
      <c r="AB172" s="279"/>
      <c r="AC172" s="279"/>
      <c r="AD172" s="279"/>
      <c r="AE172" s="279"/>
      <c r="AF172" s="279"/>
      <c r="AG172" s="279"/>
      <c r="AH172" s="279"/>
      <c r="AI172" s="279"/>
      <c r="AJ172" s="279"/>
      <c r="AK172" s="279"/>
      <c r="AL172" s="279"/>
      <c r="AM172" s="279"/>
      <c r="AN172" s="279"/>
      <c r="AO172" s="279"/>
      <c r="AP172" s="279"/>
      <c r="AQ172" s="279"/>
      <c r="AR172" s="279"/>
      <c r="AS172" s="279"/>
      <c r="AT172" s="279"/>
      <c r="AU172" s="279"/>
      <c r="AV172" s="279"/>
      <c r="AW172" s="279"/>
      <c r="AX172" s="279"/>
      <c r="AY172" s="279"/>
      <c r="AZ172" s="279"/>
      <c r="BA172" s="279"/>
      <c r="BB172" s="279"/>
      <c r="BC172" s="279"/>
      <c r="BD172" s="279"/>
      <c r="BE172" s="279"/>
      <c r="BF172" s="279"/>
      <c r="BG172" s="279"/>
      <c r="BH172" s="279"/>
      <c r="BI172" s="279"/>
      <c r="BJ172" s="279"/>
      <c r="BK172" s="279"/>
      <c r="BL172" s="279"/>
      <c r="BM172" s="279"/>
      <c r="BN172" s="279"/>
      <c r="BO172" s="279"/>
      <c r="BP172" s="279"/>
      <c r="BQ172" s="279"/>
      <c r="BR172" s="279"/>
      <c r="BS172" s="279"/>
      <c r="BT172" s="279"/>
      <c r="BU172" s="279"/>
      <c r="BV172" s="279"/>
      <c r="BW172" s="279"/>
      <c r="BX172" s="279"/>
      <c r="BY172" s="279"/>
    </row>
    <row r="173" ht="13.8" spans="1:77">
      <c r="A173" s="279"/>
      <c r="B173" s="279"/>
      <c r="C173" s="279"/>
      <c r="D173" s="280"/>
      <c r="E173" s="280"/>
      <c r="F173" s="279"/>
      <c r="G173" s="280"/>
      <c r="H173" s="279"/>
      <c r="I173" s="279"/>
      <c r="J173" s="280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99"/>
      <c r="X173" s="299"/>
      <c r="Y173" s="279"/>
      <c r="Z173" s="279"/>
      <c r="AA173" s="279"/>
      <c r="AB173" s="279"/>
      <c r="AC173" s="279"/>
      <c r="AD173" s="279"/>
      <c r="AE173" s="279"/>
      <c r="AF173" s="279"/>
      <c r="AG173" s="279"/>
      <c r="AH173" s="279"/>
      <c r="AI173" s="279"/>
      <c r="AJ173" s="279"/>
      <c r="AK173" s="279"/>
      <c r="AL173" s="279"/>
      <c r="AM173" s="279"/>
      <c r="AN173" s="279"/>
      <c r="AO173" s="279"/>
      <c r="AP173" s="279"/>
      <c r="AQ173" s="279"/>
      <c r="AR173" s="279"/>
      <c r="AS173" s="279"/>
      <c r="AT173" s="279"/>
      <c r="AU173" s="279"/>
      <c r="AV173" s="279"/>
      <c r="AW173" s="279"/>
      <c r="AX173" s="279"/>
      <c r="AY173" s="279"/>
      <c r="AZ173" s="279"/>
      <c r="BA173" s="279"/>
      <c r="BB173" s="279"/>
      <c r="BC173" s="279"/>
      <c r="BD173" s="279"/>
      <c r="BE173" s="279"/>
      <c r="BF173" s="279"/>
      <c r="BG173" s="279"/>
      <c r="BH173" s="279"/>
      <c r="BI173" s="279"/>
      <c r="BJ173" s="279"/>
      <c r="BK173" s="279"/>
      <c r="BL173" s="279"/>
      <c r="BM173" s="279"/>
      <c r="BN173" s="279"/>
      <c r="BO173" s="279"/>
      <c r="BP173" s="279"/>
      <c r="BQ173" s="279"/>
      <c r="BR173" s="279"/>
      <c r="BS173" s="279"/>
      <c r="BT173" s="279"/>
      <c r="BU173" s="279"/>
      <c r="BV173" s="279"/>
      <c r="BW173" s="279"/>
      <c r="BX173" s="279"/>
      <c r="BY173" s="279"/>
    </row>
    <row r="174" ht="13.8" spans="1:77">
      <c r="A174" s="279"/>
      <c r="B174" s="279"/>
      <c r="C174" s="279"/>
      <c r="D174" s="280"/>
      <c r="E174" s="280"/>
      <c r="F174" s="279"/>
      <c r="G174" s="280"/>
      <c r="H174" s="279"/>
      <c r="I174" s="279"/>
      <c r="J174" s="280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99"/>
      <c r="X174" s="299"/>
      <c r="Y174" s="279"/>
      <c r="Z174" s="279"/>
      <c r="AA174" s="279"/>
      <c r="AB174" s="279"/>
      <c r="AC174" s="279"/>
      <c r="AD174" s="279"/>
      <c r="AE174" s="279"/>
      <c r="AF174" s="279"/>
      <c r="AG174" s="279"/>
      <c r="AH174" s="279"/>
      <c r="AI174" s="279"/>
      <c r="AJ174" s="279"/>
      <c r="AK174" s="279"/>
      <c r="AL174" s="279"/>
      <c r="AM174" s="279"/>
      <c r="AN174" s="279"/>
      <c r="AO174" s="279"/>
      <c r="AP174" s="279"/>
      <c r="AQ174" s="279"/>
      <c r="AR174" s="279"/>
      <c r="AS174" s="279"/>
      <c r="AT174" s="279"/>
      <c r="AU174" s="279"/>
      <c r="AV174" s="279"/>
      <c r="AW174" s="279"/>
      <c r="AX174" s="279"/>
      <c r="AY174" s="279"/>
      <c r="AZ174" s="279"/>
      <c r="BA174" s="279"/>
      <c r="BB174" s="279"/>
      <c r="BC174" s="279"/>
      <c r="BD174" s="279"/>
      <c r="BE174" s="279"/>
      <c r="BF174" s="279"/>
      <c r="BG174" s="279"/>
      <c r="BH174" s="279"/>
      <c r="BI174" s="279"/>
      <c r="BJ174" s="279"/>
      <c r="BK174" s="279"/>
      <c r="BL174" s="279"/>
      <c r="BM174" s="279"/>
      <c r="BN174" s="279"/>
      <c r="BO174" s="279"/>
      <c r="BP174" s="279"/>
      <c r="BQ174" s="279"/>
      <c r="BR174" s="279"/>
      <c r="BS174" s="279"/>
      <c r="BT174" s="279"/>
      <c r="BU174" s="279"/>
      <c r="BV174" s="279"/>
      <c r="BW174" s="279"/>
      <c r="BX174" s="279"/>
      <c r="BY174" s="279"/>
    </row>
    <row r="175" ht="13.8" spans="1:77">
      <c r="A175" s="279"/>
      <c r="B175" s="279"/>
      <c r="C175" s="279"/>
      <c r="D175" s="280"/>
      <c r="E175" s="280"/>
      <c r="F175" s="279"/>
      <c r="G175" s="280"/>
      <c r="H175" s="279"/>
      <c r="I175" s="279"/>
      <c r="J175" s="280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99"/>
      <c r="X175" s="299"/>
      <c r="Y175" s="279"/>
      <c r="Z175" s="279"/>
      <c r="AA175" s="279"/>
      <c r="AB175" s="279"/>
      <c r="AC175" s="279"/>
      <c r="AD175" s="279"/>
      <c r="AE175" s="279"/>
      <c r="AF175" s="279"/>
      <c r="AG175" s="279"/>
      <c r="AH175" s="279"/>
      <c r="AI175" s="279"/>
      <c r="AJ175" s="279"/>
      <c r="AK175" s="279"/>
      <c r="AL175" s="279"/>
      <c r="AM175" s="279"/>
      <c r="AN175" s="279"/>
      <c r="AO175" s="279"/>
      <c r="AP175" s="279"/>
      <c r="AQ175" s="279"/>
      <c r="AR175" s="279"/>
      <c r="AS175" s="279"/>
      <c r="AT175" s="279"/>
      <c r="AU175" s="279"/>
      <c r="AV175" s="279"/>
      <c r="AW175" s="279"/>
      <c r="AX175" s="279"/>
      <c r="AY175" s="279"/>
      <c r="AZ175" s="279"/>
      <c r="BA175" s="279"/>
      <c r="BB175" s="279"/>
      <c r="BC175" s="279"/>
      <c r="BD175" s="279"/>
      <c r="BE175" s="279"/>
      <c r="BF175" s="279"/>
      <c r="BG175" s="279"/>
      <c r="BH175" s="279"/>
      <c r="BI175" s="279"/>
      <c r="BJ175" s="279"/>
      <c r="BK175" s="279"/>
      <c r="BL175" s="279"/>
      <c r="BM175" s="279"/>
      <c r="BN175" s="279"/>
      <c r="BO175" s="279"/>
      <c r="BP175" s="279"/>
      <c r="BQ175" s="279"/>
      <c r="BR175" s="279"/>
      <c r="BS175" s="279"/>
      <c r="BT175" s="279"/>
      <c r="BU175" s="279"/>
      <c r="BV175" s="279"/>
      <c r="BW175" s="279"/>
      <c r="BX175" s="279"/>
      <c r="BY175" s="279"/>
    </row>
    <row r="176" ht="13.8" spans="1:77">
      <c r="A176" s="279"/>
      <c r="B176" s="279"/>
      <c r="C176" s="279"/>
      <c r="D176" s="280"/>
      <c r="E176" s="280"/>
      <c r="F176" s="279"/>
      <c r="G176" s="280"/>
      <c r="H176" s="279"/>
      <c r="I176" s="279"/>
      <c r="J176" s="280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99"/>
      <c r="X176" s="299"/>
      <c r="Y176" s="279"/>
      <c r="Z176" s="279"/>
      <c r="AA176" s="279"/>
      <c r="AB176" s="279"/>
      <c r="AC176" s="279"/>
      <c r="AD176" s="279"/>
      <c r="AE176" s="279"/>
      <c r="AF176" s="279"/>
      <c r="AG176" s="279"/>
      <c r="AH176" s="279"/>
      <c r="AI176" s="279"/>
      <c r="AJ176" s="279"/>
      <c r="AK176" s="279"/>
      <c r="AL176" s="279"/>
      <c r="AM176" s="279"/>
      <c r="AN176" s="279"/>
      <c r="AO176" s="279"/>
      <c r="AP176" s="279"/>
      <c r="AQ176" s="279"/>
      <c r="AR176" s="279"/>
      <c r="AS176" s="279"/>
      <c r="AT176" s="279"/>
      <c r="AU176" s="279"/>
      <c r="AV176" s="279"/>
      <c r="AW176" s="279"/>
      <c r="AX176" s="279"/>
      <c r="AY176" s="279"/>
      <c r="AZ176" s="279"/>
      <c r="BA176" s="279"/>
      <c r="BB176" s="279"/>
      <c r="BC176" s="279"/>
      <c r="BD176" s="279"/>
      <c r="BE176" s="279"/>
      <c r="BF176" s="279"/>
      <c r="BG176" s="279"/>
      <c r="BH176" s="279"/>
      <c r="BI176" s="279"/>
      <c r="BJ176" s="279"/>
      <c r="BK176" s="279"/>
      <c r="BL176" s="279"/>
      <c r="BM176" s="279"/>
      <c r="BN176" s="279"/>
      <c r="BO176" s="279"/>
      <c r="BP176" s="279"/>
      <c r="BQ176" s="279"/>
      <c r="BR176" s="279"/>
      <c r="BS176" s="279"/>
      <c r="BT176" s="279"/>
      <c r="BU176" s="279"/>
      <c r="BV176" s="279"/>
      <c r="BW176" s="279"/>
      <c r="BX176" s="279"/>
      <c r="BY176" s="279"/>
    </row>
    <row r="177" ht="13.8" spans="1:77">
      <c r="A177" s="279"/>
      <c r="B177" s="279"/>
      <c r="C177" s="279"/>
      <c r="D177" s="280"/>
      <c r="E177" s="280"/>
      <c r="F177" s="279"/>
      <c r="G177" s="280"/>
      <c r="H177" s="279"/>
      <c r="I177" s="279"/>
      <c r="J177" s="280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99"/>
      <c r="X177" s="299"/>
      <c r="Y177" s="279"/>
      <c r="Z177" s="279"/>
      <c r="AA177" s="279"/>
      <c r="AB177" s="279"/>
      <c r="AC177" s="279"/>
      <c r="AD177" s="279"/>
      <c r="AE177" s="279"/>
      <c r="AF177" s="279"/>
      <c r="AG177" s="279"/>
      <c r="AH177" s="279"/>
      <c r="AI177" s="279"/>
      <c r="AJ177" s="279"/>
      <c r="AK177" s="279"/>
      <c r="AL177" s="279"/>
      <c r="AM177" s="279"/>
      <c r="AN177" s="279"/>
      <c r="AO177" s="279"/>
      <c r="AP177" s="279"/>
      <c r="AQ177" s="279"/>
      <c r="AR177" s="279"/>
      <c r="AS177" s="279"/>
      <c r="AT177" s="279"/>
      <c r="AU177" s="279"/>
      <c r="AV177" s="279"/>
      <c r="AW177" s="279"/>
      <c r="AX177" s="279"/>
      <c r="AY177" s="279"/>
      <c r="AZ177" s="279"/>
      <c r="BA177" s="279"/>
      <c r="BB177" s="279"/>
      <c r="BC177" s="279"/>
      <c r="BD177" s="279"/>
      <c r="BE177" s="279"/>
      <c r="BF177" s="279"/>
      <c r="BG177" s="279"/>
      <c r="BH177" s="279"/>
      <c r="BI177" s="279"/>
      <c r="BJ177" s="279"/>
      <c r="BK177" s="279"/>
      <c r="BL177" s="279"/>
      <c r="BM177" s="279"/>
      <c r="BN177" s="279"/>
      <c r="BO177" s="279"/>
      <c r="BP177" s="279"/>
      <c r="BQ177" s="279"/>
      <c r="BR177" s="279"/>
      <c r="BS177" s="279"/>
      <c r="BT177" s="279"/>
      <c r="BU177" s="279"/>
      <c r="BV177" s="279"/>
      <c r="BW177" s="279"/>
      <c r="BX177" s="279"/>
      <c r="BY177" s="279"/>
    </row>
    <row r="178" ht="13.8" spans="1:77">
      <c r="A178" s="279"/>
      <c r="B178" s="279"/>
      <c r="C178" s="279"/>
      <c r="D178" s="280"/>
      <c r="E178" s="280"/>
      <c r="F178" s="279"/>
      <c r="G178" s="280"/>
      <c r="H178" s="279"/>
      <c r="I178" s="279"/>
      <c r="J178" s="280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99"/>
      <c r="X178" s="299"/>
      <c r="Y178" s="279"/>
      <c r="Z178" s="279"/>
      <c r="AA178" s="279"/>
      <c r="AB178" s="279"/>
      <c r="AC178" s="279"/>
      <c r="AD178" s="279"/>
      <c r="AE178" s="279"/>
      <c r="AF178" s="279"/>
      <c r="AG178" s="279"/>
      <c r="AH178" s="279"/>
      <c r="AI178" s="279"/>
      <c r="AJ178" s="279"/>
      <c r="AK178" s="279"/>
      <c r="AL178" s="279"/>
      <c r="AM178" s="279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79"/>
      <c r="BJ178" s="279"/>
      <c r="BK178" s="279"/>
      <c r="BL178" s="279"/>
      <c r="BM178" s="279"/>
      <c r="BN178" s="279"/>
      <c r="BO178" s="279"/>
      <c r="BP178" s="279"/>
      <c r="BQ178" s="279"/>
      <c r="BR178" s="279"/>
      <c r="BS178" s="279"/>
      <c r="BT178" s="279"/>
      <c r="BU178" s="279"/>
      <c r="BV178" s="279"/>
      <c r="BW178" s="279"/>
      <c r="BX178" s="279"/>
      <c r="BY178" s="279"/>
    </row>
    <row r="179" ht="13.8" spans="1:77">
      <c r="A179" s="279"/>
      <c r="B179" s="279"/>
      <c r="C179" s="279"/>
      <c r="D179" s="280"/>
      <c r="E179" s="280"/>
      <c r="F179" s="279"/>
      <c r="G179" s="280"/>
      <c r="H179" s="279"/>
      <c r="I179" s="279"/>
      <c r="J179" s="280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99"/>
      <c r="X179" s="299"/>
      <c r="Y179" s="279"/>
      <c r="Z179" s="279"/>
      <c r="AA179" s="279"/>
      <c r="AB179" s="279"/>
      <c r="AC179" s="279"/>
      <c r="AD179" s="279"/>
      <c r="AE179" s="279"/>
      <c r="AF179" s="279"/>
      <c r="AG179" s="279"/>
      <c r="AH179" s="279"/>
      <c r="AI179" s="279"/>
      <c r="AJ179" s="279"/>
      <c r="AK179" s="279"/>
      <c r="AL179" s="279"/>
      <c r="AM179" s="279"/>
      <c r="AN179" s="279"/>
      <c r="AO179" s="279"/>
      <c r="AP179" s="279"/>
      <c r="AQ179" s="279"/>
      <c r="AR179" s="279"/>
      <c r="AS179" s="279"/>
      <c r="AT179" s="279"/>
      <c r="AU179" s="279"/>
      <c r="AV179" s="279"/>
      <c r="AW179" s="279"/>
      <c r="AX179" s="279"/>
      <c r="AY179" s="279"/>
      <c r="AZ179" s="279"/>
      <c r="BA179" s="279"/>
      <c r="BB179" s="279"/>
      <c r="BC179" s="279"/>
      <c r="BD179" s="279"/>
      <c r="BE179" s="279"/>
      <c r="BF179" s="279"/>
      <c r="BG179" s="279"/>
      <c r="BH179" s="279"/>
      <c r="BI179" s="279"/>
      <c r="BJ179" s="279"/>
      <c r="BK179" s="279"/>
      <c r="BL179" s="279"/>
      <c r="BM179" s="279"/>
      <c r="BN179" s="279"/>
      <c r="BO179" s="279"/>
      <c r="BP179" s="279"/>
      <c r="BQ179" s="279"/>
      <c r="BR179" s="279"/>
      <c r="BS179" s="279"/>
      <c r="BT179" s="279"/>
      <c r="BU179" s="279"/>
      <c r="BV179" s="279"/>
      <c r="BW179" s="279"/>
      <c r="BX179" s="279"/>
      <c r="BY179" s="279"/>
    </row>
    <row r="180" ht="13.8" spans="1:77">
      <c r="A180" s="279"/>
      <c r="B180" s="279"/>
      <c r="C180" s="279"/>
      <c r="D180" s="280"/>
      <c r="E180" s="280"/>
      <c r="F180" s="279"/>
      <c r="G180" s="280"/>
      <c r="H180" s="279"/>
      <c r="I180" s="279"/>
      <c r="J180" s="280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99"/>
      <c r="X180" s="299"/>
      <c r="Y180" s="279"/>
      <c r="Z180" s="279"/>
      <c r="AA180" s="279"/>
      <c r="AB180" s="279"/>
      <c r="AC180" s="279"/>
      <c r="AD180" s="279"/>
      <c r="AE180" s="279"/>
      <c r="AF180" s="279"/>
      <c r="AG180" s="279"/>
      <c r="AH180" s="279"/>
      <c r="AI180" s="279"/>
      <c r="AJ180" s="279"/>
      <c r="AK180" s="279"/>
      <c r="AL180" s="279"/>
      <c r="AM180" s="279"/>
      <c r="AN180" s="279"/>
      <c r="AO180" s="279"/>
      <c r="AP180" s="279"/>
      <c r="AQ180" s="279"/>
      <c r="AR180" s="279"/>
      <c r="AS180" s="279"/>
      <c r="AT180" s="279"/>
      <c r="AU180" s="279"/>
      <c r="AV180" s="279"/>
      <c r="AW180" s="279"/>
      <c r="AX180" s="279"/>
      <c r="AY180" s="279"/>
      <c r="AZ180" s="279"/>
      <c r="BA180" s="279"/>
      <c r="BB180" s="279"/>
      <c r="BC180" s="279"/>
      <c r="BD180" s="279"/>
      <c r="BE180" s="279"/>
      <c r="BF180" s="279"/>
      <c r="BG180" s="279"/>
      <c r="BH180" s="279"/>
      <c r="BI180" s="279"/>
      <c r="BJ180" s="279"/>
      <c r="BK180" s="279"/>
      <c r="BL180" s="279"/>
      <c r="BM180" s="279"/>
      <c r="BN180" s="279"/>
      <c r="BO180" s="279"/>
      <c r="BP180" s="279"/>
      <c r="BQ180" s="279"/>
      <c r="BR180" s="279"/>
      <c r="BS180" s="279"/>
      <c r="BT180" s="279"/>
      <c r="BU180" s="279"/>
      <c r="BV180" s="279"/>
      <c r="BW180" s="279"/>
      <c r="BX180" s="279"/>
      <c r="BY180" s="279"/>
    </row>
    <row r="181" ht="13.8" spans="1:77">
      <c r="A181" s="279"/>
      <c r="B181" s="279"/>
      <c r="C181" s="279"/>
      <c r="D181" s="280"/>
      <c r="E181" s="280"/>
      <c r="F181" s="279"/>
      <c r="G181" s="280"/>
      <c r="H181" s="279"/>
      <c r="I181" s="279"/>
      <c r="J181" s="280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99"/>
      <c r="X181" s="299"/>
      <c r="Y181" s="279"/>
      <c r="Z181" s="279"/>
      <c r="AA181" s="279"/>
      <c r="AB181" s="279"/>
      <c r="AC181" s="279"/>
      <c r="AD181" s="279"/>
      <c r="AE181" s="279"/>
      <c r="AF181" s="279"/>
      <c r="AG181" s="279"/>
      <c r="AH181" s="279"/>
      <c r="AI181" s="279"/>
      <c r="AJ181" s="279"/>
      <c r="AK181" s="279"/>
      <c r="AL181" s="279"/>
      <c r="AM181" s="279"/>
      <c r="AN181" s="279"/>
      <c r="AO181" s="279"/>
      <c r="AP181" s="279"/>
      <c r="AQ181" s="279"/>
      <c r="AR181" s="279"/>
      <c r="AS181" s="279"/>
      <c r="AT181" s="279"/>
      <c r="AU181" s="279"/>
      <c r="AV181" s="279"/>
      <c r="AW181" s="279"/>
      <c r="AX181" s="279"/>
      <c r="AY181" s="279"/>
      <c r="AZ181" s="279"/>
      <c r="BA181" s="279"/>
      <c r="BB181" s="279"/>
      <c r="BC181" s="279"/>
      <c r="BD181" s="279"/>
      <c r="BE181" s="279"/>
      <c r="BF181" s="279"/>
      <c r="BG181" s="279"/>
      <c r="BH181" s="279"/>
      <c r="BI181" s="279"/>
      <c r="BJ181" s="279"/>
      <c r="BK181" s="279"/>
      <c r="BL181" s="279"/>
      <c r="BM181" s="279"/>
      <c r="BN181" s="279"/>
      <c r="BO181" s="279"/>
      <c r="BP181" s="279"/>
      <c r="BQ181" s="279"/>
      <c r="BR181" s="279"/>
      <c r="BS181" s="279"/>
      <c r="BT181" s="279"/>
      <c r="BU181" s="279"/>
      <c r="BV181" s="279"/>
      <c r="BW181" s="279"/>
      <c r="BX181" s="279"/>
      <c r="BY181" s="279"/>
    </row>
    <row r="182" ht="13.8" spans="1:77">
      <c r="A182" s="279"/>
      <c r="B182" s="279"/>
      <c r="C182" s="279"/>
      <c r="D182" s="280"/>
      <c r="E182" s="280"/>
      <c r="F182" s="279"/>
      <c r="G182" s="280"/>
      <c r="H182" s="279"/>
      <c r="I182" s="279"/>
      <c r="J182" s="280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99"/>
      <c r="X182" s="299"/>
      <c r="Y182" s="279"/>
      <c r="Z182" s="279"/>
      <c r="AA182" s="279"/>
      <c r="AB182" s="279"/>
      <c r="AC182" s="279"/>
      <c r="AD182" s="279"/>
      <c r="AE182" s="279"/>
      <c r="AF182" s="279"/>
      <c r="AG182" s="279"/>
      <c r="AH182" s="279"/>
      <c r="AI182" s="279"/>
      <c r="AJ182" s="279"/>
      <c r="AK182" s="279"/>
      <c r="AL182" s="279"/>
      <c r="AM182" s="279"/>
      <c r="AN182" s="279"/>
      <c r="AO182" s="279"/>
      <c r="AP182" s="279"/>
      <c r="AQ182" s="279"/>
      <c r="AR182" s="279"/>
      <c r="AS182" s="279"/>
      <c r="AT182" s="279"/>
      <c r="AU182" s="279"/>
      <c r="AV182" s="279"/>
      <c r="AW182" s="279"/>
      <c r="AX182" s="279"/>
      <c r="AY182" s="279"/>
      <c r="AZ182" s="279"/>
      <c r="BA182" s="279"/>
      <c r="BB182" s="279"/>
      <c r="BC182" s="279"/>
      <c r="BD182" s="279"/>
      <c r="BE182" s="279"/>
      <c r="BF182" s="279"/>
      <c r="BG182" s="279"/>
      <c r="BH182" s="279"/>
      <c r="BI182" s="279"/>
      <c r="BJ182" s="279"/>
      <c r="BK182" s="279"/>
      <c r="BL182" s="279"/>
      <c r="BM182" s="279"/>
      <c r="BN182" s="279"/>
      <c r="BO182" s="279"/>
      <c r="BP182" s="279"/>
      <c r="BQ182" s="279"/>
      <c r="BR182" s="279"/>
      <c r="BS182" s="279"/>
      <c r="BT182" s="279"/>
      <c r="BU182" s="279"/>
      <c r="BV182" s="279"/>
      <c r="BW182" s="279"/>
      <c r="BX182" s="279"/>
      <c r="BY182" s="279"/>
    </row>
    <row r="183" ht="13.8" spans="1:77">
      <c r="A183" s="279"/>
      <c r="B183" s="279"/>
      <c r="C183" s="279"/>
      <c r="D183" s="280"/>
      <c r="E183" s="280"/>
      <c r="F183" s="279"/>
      <c r="G183" s="280"/>
      <c r="H183" s="279"/>
      <c r="I183" s="279"/>
      <c r="J183" s="280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99"/>
      <c r="X183" s="299"/>
      <c r="Y183" s="279"/>
      <c r="Z183" s="279"/>
      <c r="AA183" s="279"/>
      <c r="AB183" s="279"/>
      <c r="AC183" s="279"/>
      <c r="AD183" s="279"/>
      <c r="AE183" s="279"/>
      <c r="AF183" s="279"/>
      <c r="AG183" s="279"/>
      <c r="AH183" s="279"/>
      <c r="AI183" s="279"/>
      <c r="AJ183" s="279"/>
      <c r="AK183" s="279"/>
      <c r="AL183" s="279"/>
      <c r="AM183" s="279"/>
      <c r="AN183" s="279"/>
      <c r="AO183" s="279"/>
      <c r="AP183" s="279"/>
      <c r="AQ183" s="279"/>
      <c r="AR183" s="279"/>
      <c r="AS183" s="279"/>
      <c r="AT183" s="279"/>
      <c r="AU183" s="279"/>
      <c r="AV183" s="279"/>
      <c r="AW183" s="279"/>
      <c r="AX183" s="279"/>
      <c r="AY183" s="279"/>
      <c r="AZ183" s="279"/>
      <c r="BA183" s="279"/>
      <c r="BB183" s="279"/>
      <c r="BC183" s="279"/>
      <c r="BD183" s="279"/>
      <c r="BE183" s="279"/>
      <c r="BF183" s="279"/>
      <c r="BG183" s="279"/>
      <c r="BH183" s="279"/>
      <c r="BI183" s="279"/>
      <c r="BJ183" s="279"/>
      <c r="BK183" s="279"/>
      <c r="BL183" s="279"/>
      <c r="BM183" s="279"/>
      <c r="BN183" s="279"/>
      <c r="BO183" s="279"/>
      <c r="BP183" s="279"/>
      <c r="BQ183" s="279"/>
      <c r="BR183" s="279"/>
      <c r="BS183" s="279"/>
      <c r="BT183" s="279"/>
      <c r="BU183" s="279"/>
      <c r="BV183" s="279"/>
      <c r="BW183" s="279"/>
      <c r="BX183" s="279"/>
      <c r="BY183" s="279"/>
    </row>
    <row r="184" ht="13.8" spans="1:77">
      <c r="A184" s="279"/>
      <c r="B184" s="279"/>
      <c r="C184" s="279"/>
      <c r="D184" s="280"/>
      <c r="E184" s="280"/>
      <c r="F184" s="279"/>
      <c r="G184" s="280"/>
      <c r="H184" s="279"/>
      <c r="I184" s="279"/>
      <c r="J184" s="280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99"/>
      <c r="X184" s="299"/>
      <c r="Y184" s="279"/>
      <c r="Z184" s="279"/>
      <c r="AA184" s="279"/>
      <c r="AB184" s="279"/>
      <c r="AC184" s="279"/>
      <c r="AD184" s="279"/>
      <c r="AE184" s="279"/>
      <c r="AF184" s="279"/>
      <c r="AG184" s="279"/>
      <c r="AH184" s="279"/>
      <c r="AI184" s="279"/>
      <c r="AJ184" s="279"/>
      <c r="AK184" s="279"/>
      <c r="AL184" s="279"/>
      <c r="AM184" s="279"/>
      <c r="AN184" s="279"/>
      <c r="AO184" s="279"/>
      <c r="AP184" s="279"/>
      <c r="AQ184" s="279"/>
      <c r="AR184" s="279"/>
      <c r="AS184" s="279"/>
      <c r="AT184" s="279"/>
      <c r="AU184" s="279"/>
      <c r="AV184" s="279"/>
      <c r="AW184" s="279"/>
      <c r="AX184" s="279"/>
      <c r="AY184" s="279"/>
      <c r="AZ184" s="279"/>
      <c r="BA184" s="279"/>
      <c r="BB184" s="279"/>
      <c r="BC184" s="279"/>
      <c r="BD184" s="279"/>
      <c r="BE184" s="279"/>
      <c r="BF184" s="279"/>
      <c r="BG184" s="279"/>
      <c r="BH184" s="279"/>
      <c r="BI184" s="279"/>
      <c r="BJ184" s="279"/>
      <c r="BK184" s="279"/>
      <c r="BL184" s="279"/>
      <c r="BM184" s="279"/>
      <c r="BN184" s="279"/>
      <c r="BO184" s="279"/>
      <c r="BP184" s="279"/>
      <c r="BQ184" s="279"/>
      <c r="BR184" s="279"/>
      <c r="BS184" s="279"/>
      <c r="BT184" s="279"/>
      <c r="BU184" s="279"/>
      <c r="BV184" s="279"/>
      <c r="BW184" s="279"/>
      <c r="BX184" s="279"/>
      <c r="BY184" s="279"/>
    </row>
    <row r="185" ht="13.8" spans="1:77">
      <c r="A185" s="279"/>
      <c r="B185" s="279"/>
      <c r="C185" s="279"/>
      <c r="D185" s="280"/>
      <c r="E185" s="280"/>
      <c r="F185" s="279"/>
      <c r="G185" s="280"/>
      <c r="H185" s="279"/>
      <c r="I185" s="279"/>
      <c r="J185" s="280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99"/>
      <c r="X185" s="299"/>
      <c r="Y185" s="279"/>
      <c r="Z185" s="279"/>
      <c r="AA185" s="279"/>
      <c r="AB185" s="279"/>
      <c r="AC185" s="279"/>
      <c r="AD185" s="279"/>
      <c r="AE185" s="279"/>
      <c r="AF185" s="279"/>
      <c r="AG185" s="279"/>
      <c r="AH185" s="279"/>
      <c r="AI185" s="279"/>
      <c r="AJ185" s="279"/>
      <c r="AK185" s="279"/>
      <c r="AL185" s="279"/>
      <c r="AM185" s="279"/>
      <c r="AN185" s="279"/>
      <c r="AO185" s="279"/>
      <c r="AP185" s="279"/>
      <c r="AQ185" s="279"/>
      <c r="AR185" s="279"/>
      <c r="AS185" s="279"/>
      <c r="AT185" s="279"/>
      <c r="AU185" s="279"/>
      <c r="AV185" s="279"/>
      <c r="AW185" s="279"/>
      <c r="AX185" s="279"/>
      <c r="AY185" s="279"/>
      <c r="AZ185" s="279"/>
      <c r="BA185" s="279"/>
      <c r="BB185" s="279"/>
      <c r="BC185" s="279"/>
      <c r="BD185" s="279"/>
      <c r="BE185" s="279"/>
      <c r="BF185" s="279"/>
      <c r="BG185" s="279"/>
      <c r="BH185" s="279"/>
      <c r="BI185" s="279"/>
      <c r="BJ185" s="279"/>
      <c r="BK185" s="279"/>
      <c r="BL185" s="279"/>
      <c r="BM185" s="279"/>
      <c r="BN185" s="279"/>
      <c r="BO185" s="279"/>
      <c r="BP185" s="279"/>
      <c r="BQ185" s="279"/>
      <c r="BR185" s="279"/>
      <c r="BS185" s="279"/>
      <c r="BT185" s="279"/>
      <c r="BU185" s="279"/>
      <c r="BV185" s="279"/>
      <c r="BW185" s="279"/>
      <c r="BX185" s="279"/>
      <c r="BY185" s="279"/>
    </row>
    <row r="186" ht="13.8" spans="1:77">
      <c r="A186" s="279"/>
      <c r="B186" s="279"/>
      <c r="C186" s="279"/>
      <c r="D186" s="280"/>
      <c r="E186" s="280"/>
      <c r="F186" s="279"/>
      <c r="G186" s="280"/>
      <c r="H186" s="279"/>
      <c r="I186" s="279"/>
      <c r="J186" s="280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99"/>
      <c r="X186" s="299"/>
      <c r="Y186" s="279"/>
      <c r="Z186" s="279"/>
      <c r="AA186" s="279"/>
      <c r="AB186" s="279"/>
      <c r="AC186" s="279"/>
      <c r="AD186" s="279"/>
      <c r="AE186" s="279"/>
      <c r="AF186" s="279"/>
      <c r="AG186" s="279"/>
      <c r="AH186" s="279"/>
      <c r="AI186" s="279"/>
      <c r="AJ186" s="279"/>
      <c r="AK186" s="279"/>
      <c r="AL186" s="279"/>
      <c r="AM186" s="279"/>
      <c r="AN186" s="279"/>
      <c r="AO186" s="279"/>
      <c r="AP186" s="279"/>
      <c r="AQ186" s="279"/>
      <c r="AR186" s="279"/>
      <c r="AS186" s="279"/>
      <c r="AT186" s="279"/>
      <c r="AU186" s="279"/>
      <c r="AV186" s="279"/>
      <c r="AW186" s="279"/>
      <c r="AX186" s="279"/>
      <c r="AY186" s="279"/>
      <c r="AZ186" s="279"/>
      <c r="BA186" s="279"/>
      <c r="BB186" s="279"/>
      <c r="BC186" s="279"/>
      <c r="BD186" s="279"/>
      <c r="BE186" s="279"/>
      <c r="BF186" s="279"/>
      <c r="BG186" s="279"/>
      <c r="BH186" s="279"/>
      <c r="BI186" s="279"/>
      <c r="BJ186" s="279"/>
      <c r="BK186" s="279"/>
      <c r="BL186" s="279"/>
      <c r="BM186" s="279"/>
      <c r="BN186" s="279"/>
      <c r="BO186" s="279"/>
      <c r="BP186" s="279"/>
      <c r="BQ186" s="279"/>
      <c r="BR186" s="279"/>
      <c r="BS186" s="279"/>
      <c r="BT186" s="279"/>
      <c r="BU186" s="279"/>
      <c r="BV186" s="279"/>
      <c r="BW186" s="279"/>
      <c r="BX186" s="279"/>
      <c r="BY186" s="279"/>
    </row>
    <row r="187" ht="13.8" spans="1:77">
      <c r="A187" s="279"/>
      <c r="B187" s="279"/>
      <c r="C187" s="279"/>
      <c r="D187" s="280"/>
      <c r="E187" s="280"/>
      <c r="F187" s="279"/>
      <c r="G187" s="280"/>
      <c r="H187" s="279"/>
      <c r="I187" s="279"/>
      <c r="J187" s="280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99"/>
      <c r="X187" s="299"/>
      <c r="Y187" s="279"/>
      <c r="Z187" s="279"/>
      <c r="AA187" s="279"/>
      <c r="AB187" s="279"/>
      <c r="AC187" s="279"/>
      <c r="AD187" s="279"/>
      <c r="AE187" s="279"/>
      <c r="AF187" s="279"/>
      <c r="AG187" s="279"/>
      <c r="AH187" s="279"/>
      <c r="AI187" s="279"/>
      <c r="AJ187" s="279"/>
      <c r="AK187" s="279"/>
      <c r="AL187" s="279"/>
      <c r="AM187" s="279"/>
      <c r="AN187" s="279"/>
      <c r="AO187" s="279"/>
      <c r="AP187" s="279"/>
      <c r="AQ187" s="279"/>
      <c r="AR187" s="279"/>
      <c r="AS187" s="279"/>
      <c r="AT187" s="279"/>
      <c r="AU187" s="279"/>
      <c r="AV187" s="279"/>
      <c r="AW187" s="279"/>
      <c r="AX187" s="279"/>
      <c r="AY187" s="279"/>
      <c r="AZ187" s="279"/>
      <c r="BA187" s="279"/>
      <c r="BB187" s="279"/>
      <c r="BC187" s="279"/>
      <c r="BD187" s="279"/>
      <c r="BE187" s="279"/>
      <c r="BF187" s="279"/>
      <c r="BG187" s="279"/>
      <c r="BH187" s="279"/>
      <c r="BI187" s="279"/>
      <c r="BJ187" s="279"/>
      <c r="BK187" s="279"/>
      <c r="BL187" s="279"/>
      <c r="BM187" s="279"/>
      <c r="BN187" s="279"/>
      <c r="BO187" s="279"/>
      <c r="BP187" s="279"/>
      <c r="BQ187" s="279"/>
      <c r="BR187" s="279"/>
      <c r="BS187" s="279"/>
      <c r="BT187" s="279"/>
      <c r="BU187" s="279"/>
      <c r="BV187" s="279"/>
      <c r="BW187" s="279"/>
      <c r="BX187" s="279"/>
      <c r="BY187" s="279"/>
    </row>
    <row r="188" ht="13.8" spans="1:77">
      <c r="A188" s="279"/>
      <c r="B188" s="279"/>
      <c r="C188" s="279"/>
      <c r="D188" s="280"/>
      <c r="E188" s="280"/>
      <c r="F188" s="279"/>
      <c r="G188" s="280"/>
      <c r="H188" s="279"/>
      <c r="I188" s="279"/>
      <c r="J188" s="280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99"/>
      <c r="X188" s="299"/>
      <c r="Y188" s="279"/>
      <c r="Z188" s="279"/>
      <c r="AA188" s="279"/>
      <c r="AB188" s="279"/>
      <c r="AC188" s="279"/>
      <c r="AD188" s="279"/>
      <c r="AE188" s="279"/>
      <c r="AF188" s="279"/>
      <c r="AG188" s="279"/>
      <c r="AH188" s="279"/>
      <c r="AI188" s="279"/>
      <c r="AJ188" s="279"/>
      <c r="AK188" s="279"/>
      <c r="AL188" s="279"/>
      <c r="AM188" s="279"/>
      <c r="AN188" s="279"/>
      <c r="AO188" s="279"/>
      <c r="AP188" s="279"/>
      <c r="AQ188" s="279"/>
      <c r="AR188" s="279"/>
      <c r="AS188" s="279"/>
      <c r="AT188" s="279"/>
      <c r="AU188" s="279"/>
      <c r="AV188" s="279"/>
      <c r="AW188" s="279"/>
      <c r="AX188" s="279"/>
      <c r="AY188" s="279"/>
      <c r="AZ188" s="279"/>
      <c r="BA188" s="279"/>
      <c r="BB188" s="279"/>
      <c r="BC188" s="279"/>
      <c r="BD188" s="279"/>
      <c r="BE188" s="279"/>
      <c r="BF188" s="279"/>
      <c r="BG188" s="279"/>
      <c r="BH188" s="279"/>
      <c r="BI188" s="279"/>
      <c r="BJ188" s="279"/>
      <c r="BK188" s="279"/>
      <c r="BL188" s="279"/>
      <c r="BM188" s="279"/>
      <c r="BN188" s="279"/>
      <c r="BO188" s="279"/>
      <c r="BP188" s="279"/>
      <c r="BQ188" s="279"/>
      <c r="BR188" s="279"/>
      <c r="BS188" s="279"/>
      <c r="BT188" s="279"/>
      <c r="BU188" s="279"/>
      <c r="BV188" s="279"/>
      <c r="BW188" s="279"/>
      <c r="BX188" s="279"/>
      <c r="BY188" s="279"/>
    </row>
    <row r="189" ht="13.8" spans="1:77">
      <c r="A189" s="279"/>
      <c r="B189" s="279"/>
      <c r="C189" s="279"/>
      <c r="D189" s="280"/>
      <c r="E189" s="280"/>
      <c r="F189" s="279"/>
      <c r="G189" s="280"/>
      <c r="H189" s="279"/>
      <c r="I189" s="279"/>
      <c r="J189" s="280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99"/>
      <c r="X189" s="299"/>
      <c r="Y189" s="279"/>
      <c r="Z189" s="279"/>
      <c r="AA189" s="279"/>
      <c r="AB189" s="279"/>
      <c r="AC189" s="279"/>
      <c r="AD189" s="279"/>
      <c r="AE189" s="279"/>
      <c r="AF189" s="279"/>
      <c r="AG189" s="279"/>
      <c r="AH189" s="279"/>
      <c r="AI189" s="279"/>
      <c r="AJ189" s="279"/>
      <c r="AK189" s="279"/>
      <c r="AL189" s="279"/>
      <c r="AM189" s="279"/>
      <c r="AN189" s="279"/>
      <c r="AO189" s="279"/>
      <c r="AP189" s="279"/>
      <c r="AQ189" s="279"/>
      <c r="AR189" s="279"/>
      <c r="AS189" s="279"/>
      <c r="AT189" s="279"/>
      <c r="AU189" s="279"/>
      <c r="AV189" s="279"/>
      <c r="AW189" s="279"/>
      <c r="AX189" s="279"/>
      <c r="AY189" s="279"/>
      <c r="AZ189" s="279"/>
      <c r="BA189" s="279"/>
      <c r="BB189" s="279"/>
      <c r="BC189" s="279"/>
      <c r="BD189" s="279"/>
      <c r="BE189" s="279"/>
      <c r="BF189" s="279"/>
      <c r="BG189" s="279"/>
      <c r="BH189" s="279"/>
      <c r="BI189" s="279"/>
      <c r="BJ189" s="279"/>
      <c r="BK189" s="279"/>
      <c r="BL189" s="279"/>
      <c r="BM189" s="279"/>
      <c r="BN189" s="279"/>
      <c r="BO189" s="279"/>
      <c r="BP189" s="279"/>
      <c r="BQ189" s="279"/>
      <c r="BR189" s="279"/>
      <c r="BS189" s="279"/>
      <c r="BT189" s="279"/>
      <c r="BU189" s="279"/>
      <c r="BV189" s="279"/>
      <c r="BW189" s="279"/>
      <c r="BX189" s="279"/>
      <c r="BY189" s="279"/>
    </row>
    <row r="190" ht="13.8" spans="1:77">
      <c r="A190" s="279"/>
      <c r="B190" s="279"/>
      <c r="C190" s="279"/>
      <c r="D190" s="280"/>
      <c r="E190" s="280"/>
      <c r="F190" s="279"/>
      <c r="G190" s="280"/>
      <c r="H190" s="279"/>
      <c r="I190" s="279"/>
      <c r="J190" s="280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99"/>
      <c r="X190" s="299"/>
      <c r="Y190" s="279"/>
      <c r="Z190" s="279"/>
      <c r="AA190" s="279"/>
      <c r="AB190" s="279"/>
      <c r="AC190" s="279"/>
      <c r="AD190" s="279"/>
      <c r="AE190" s="279"/>
      <c r="AF190" s="279"/>
      <c r="AG190" s="279"/>
      <c r="AH190" s="279"/>
      <c r="AI190" s="279"/>
      <c r="AJ190" s="279"/>
      <c r="AK190" s="279"/>
      <c r="AL190" s="279"/>
      <c r="AM190" s="279"/>
      <c r="AN190" s="279"/>
      <c r="AO190" s="279"/>
      <c r="AP190" s="279"/>
      <c r="AQ190" s="279"/>
      <c r="AR190" s="279"/>
      <c r="AS190" s="279"/>
      <c r="AT190" s="279"/>
      <c r="AU190" s="279"/>
      <c r="AV190" s="279"/>
      <c r="AW190" s="279"/>
      <c r="AX190" s="279"/>
      <c r="AY190" s="279"/>
      <c r="AZ190" s="279"/>
      <c r="BA190" s="279"/>
      <c r="BB190" s="279"/>
      <c r="BC190" s="279"/>
      <c r="BD190" s="279"/>
      <c r="BE190" s="279"/>
      <c r="BF190" s="279"/>
      <c r="BG190" s="279"/>
      <c r="BH190" s="279"/>
      <c r="BI190" s="279"/>
      <c r="BJ190" s="279"/>
      <c r="BK190" s="279"/>
      <c r="BL190" s="279"/>
      <c r="BM190" s="279"/>
      <c r="BN190" s="279"/>
      <c r="BO190" s="279"/>
      <c r="BP190" s="279"/>
      <c r="BQ190" s="279"/>
      <c r="BR190" s="279"/>
      <c r="BS190" s="279"/>
      <c r="BT190" s="279"/>
      <c r="BU190" s="279"/>
      <c r="BV190" s="279"/>
      <c r="BW190" s="279"/>
      <c r="BX190" s="279"/>
      <c r="BY190" s="279"/>
    </row>
    <row r="191" ht="13.8" spans="1:77">
      <c r="A191" s="279"/>
      <c r="B191" s="279"/>
      <c r="C191" s="279"/>
      <c r="D191" s="280"/>
      <c r="E191" s="280"/>
      <c r="F191" s="279"/>
      <c r="G191" s="280"/>
      <c r="H191" s="279"/>
      <c r="I191" s="279"/>
      <c r="J191" s="280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99"/>
      <c r="X191" s="299"/>
      <c r="Y191" s="279"/>
      <c r="Z191" s="279"/>
      <c r="AA191" s="279"/>
      <c r="AB191" s="279"/>
      <c r="AC191" s="279"/>
      <c r="AD191" s="279"/>
      <c r="AE191" s="279"/>
      <c r="AF191" s="279"/>
      <c r="AG191" s="279"/>
      <c r="AH191" s="279"/>
      <c r="AI191" s="279"/>
      <c r="AJ191" s="279"/>
      <c r="AK191" s="279"/>
      <c r="AL191" s="279"/>
      <c r="AM191" s="279"/>
      <c r="AN191" s="279"/>
      <c r="AO191" s="279"/>
      <c r="AP191" s="279"/>
      <c r="AQ191" s="279"/>
      <c r="AR191" s="279"/>
      <c r="AS191" s="279"/>
      <c r="AT191" s="279"/>
      <c r="AU191" s="279"/>
      <c r="AV191" s="279"/>
      <c r="AW191" s="279"/>
      <c r="AX191" s="279"/>
      <c r="AY191" s="279"/>
      <c r="AZ191" s="279"/>
      <c r="BA191" s="279"/>
      <c r="BB191" s="279"/>
      <c r="BC191" s="279"/>
      <c r="BD191" s="279"/>
      <c r="BE191" s="279"/>
      <c r="BF191" s="279"/>
      <c r="BG191" s="279"/>
      <c r="BH191" s="279"/>
      <c r="BI191" s="279"/>
      <c r="BJ191" s="279"/>
      <c r="BK191" s="279"/>
      <c r="BL191" s="279"/>
      <c r="BM191" s="279"/>
      <c r="BN191" s="279"/>
      <c r="BO191" s="279"/>
      <c r="BP191" s="279"/>
      <c r="BQ191" s="279"/>
      <c r="BR191" s="279"/>
      <c r="BS191" s="279"/>
      <c r="BT191" s="279"/>
      <c r="BU191" s="279"/>
      <c r="BV191" s="279"/>
      <c r="BW191" s="279"/>
      <c r="BX191" s="279"/>
      <c r="BY191" s="279"/>
    </row>
    <row r="192" ht="13.8" spans="1:77">
      <c r="A192" s="279"/>
      <c r="B192" s="279"/>
      <c r="C192" s="279"/>
      <c r="D192" s="280"/>
      <c r="E192" s="280"/>
      <c r="F192" s="279"/>
      <c r="G192" s="280"/>
      <c r="H192" s="279"/>
      <c r="I192" s="279"/>
      <c r="J192" s="280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99"/>
      <c r="X192" s="299"/>
      <c r="Y192" s="279"/>
      <c r="Z192" s="279"/>
      <c r="AA192" s="279"/>
      <c r="AB192" s="279"/>
      <c r="AC192" s="279"/>
      <c r="AD192" s="279"/>
      <c r="AE192" s="279"/>
      <c r="AF192" s="279"/>
      <c r="AG192" s="279"/>
      <c r="AH192" s="279"/>
      <c r="AI192" s="279"/>
      <c r="AJ192" s="279"/>
      <c r="AK192" s="279"/>
      <c r="AL192" s="279"/>
      <c r="AM192" s="279"/>
      <c r="AN192" s="279"/>
      <c r="AO192" s="279"/>
      <c r="AP192" s="279"/>
      <c r="AQ192" s="279"/>
      <c r="AR192" s="279"/>
      <c r="AS192" s="279"/>
      <c r="AT192" s="279"/>
      <c r="AU192" s="279"/>
      <c r="AV192" s="279"/>
      <c r="AW192" s="279"/>
      <c r="AX192" s="279"/>
      <c r="AY192" s="279"/>
      <c r="AZ192" s="279"/>
      <c r="BA192" s="279"/>
      <c r="BB192" s="279"/>
      <c r="BC192" s="279"/>
      <c r="BD192" s="279"/>
      <c r="BE192" s="279"/>
      <c r="BF192" s="279"/>
      <c r="BG192" s="279"/>
      <c r="BH192" s="279"/>
      <c r="BI192" s="279"/>
      <c r="BJ192" s="279"/>
      <c r="BK192" s="279"/>
      <c r="BL192" s="279"/>
      <c r="BM192" s="279"/>
      <c r="BN192" s="279"/>
      <c r="BO192" s="279"/>
      <c r="BP192" s="279"/>
      <c r="BQ192" s="279"/>
      <c r="BR192" s="279"/>
      <c r="BS192" s="279"/>
      <c r="BT192" s="279"/>
      <c r="BU192" s="279"/>
      <c r="BV192" s="279"/>
      <c r="BW192" s="279"/>
      <c r="BX192" s="279"/>
      <c r="BY192" s="279"/>
    </row>
    <row r="193" ht="13.8" spans="1:77">
      <c r="A193" s="279"/>
      <c r="B193" s="279"/>
      <c r="C193" s="279"/>
      <c r="D193" s="280"/>
      <c r="E193" s="280"/>
      <c r="F193" s="279"/>
      <c r="G193" s="280"/>
      <c r="H193" s="279"/>
      <c r="I193" s="279"/>
      <c r="J193" s="280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99"/>
      <c r="X193" s="299"/>
      <c r="Y193" s="279"/>
      <c r="Z193" s="279"/>
      <c r="AA193" s="279"/>
      <c r="AB193" s="279"/>
      <c r="AC193" s="279"/>
      <c r="AD193" s="279"/>
      <c r="AE193" s="279"/>
      <c r="AF193" s="279"/>
      <c r="AG193" s="279"/>
      <c r="AH193" s="279"/>
      <c r="AI193" s="279"/>
      <c r="AJ193" s="279"/>
      <c r="AK193" s="279"/>
      <c r="AL193" s="279"/>
      <c r="AM193" s="279"/>
      <c r="AN193" s="279"/>
      <c r="AO193" s="279"/>
      <c r="AP193" s="279"/>
      <c r="AQ193" s="279"/>
      <c r="AR193" s="279"/>
      <c r="AS193" s="279"/>
      <c r="AT193" s="279"/>
      <c r="AU193" s="279"/>
      <c r="AV193" s="279"/>
      <c r="AW193" s="279"/>
      <c r="AX193" s="279"/>
      <c r="AY193" s="279"/>
      <c r="AZ193" s="279"/>
      <c r="BA193" s="279"/>
      <c r="BB193" s="279"/>
      <c r="BC193" s="279"/>
      <c r="BD193" s="279"/>
      <c r="BE193" s="279"/>
      <c r="BF193" s="279"/>
      <c r="BG193" s="279"/>
      <c r="BH193" s="279"/>
      <c r="BI193" s="279"/>
      <c r="BJ193" s="279"/>
      <c r="BK193" s="279"/>
      <c r="BL193" s="279"/>
      <c r="BM193" s="279"/>
      <c r="BN193" s="279"/>
      <c r="BO193" s="279"/>
      <c r="BP193" s="279"/>
      <c r="BQ193" s="279"/>
      <c r="BR193" s="279"/>
      <c r="BS193" s="279"/>
      <c r="BT193" s="279"/>
      <c r="BU193" s="279"/>
      <c r="BV193" s="279"/>
      <c r="BW193" s="279"/>
      <c r="BX193" s="279"/>
      <c r="BY193" s="279"/>
    </row>
    <row r="194" ht="13.8" spans="1:77">
      <c r="A194" s="279"/>
      <c r="B194" s="279"/>
      <c r="C194" s="279"/>
      <c r="D194" s="280"/>
      <c r="E194" s="280"/>
      <c r="F194" s="279"/>
      <c r="G194" s="280"/>
      <c r="H194" s="279"/>
      <c r="I194" s="279"/>
      <c r="J194" s="280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99"/>
      <c r="X194" s="299"/>
      <c r="Y194" s="279"/>
      <c r="Z194" s="279"/>
      <c r="AA194" s="279"/>
      <c r="AB194" s="279"/>
      <c r="AC194" s="279"/>
      <c r="AD194" s="279"/>
      <c r="AE194" s="279"/>
      <c r="AF194" s="279"/>
      <c r="AG194" s="279"/>
      <c r="AH194" s="279"/>
      <c r="AI194" s="279"/>
      <c r="AJ194" s="279"/>
      <c r="AK194" s="279"/>
      <c r="AL194" s="279"/>
      <c r="AM194" s="279"/>
      <c r="AN194" s="279"/>
      <c r="AO194" s="279"/>
      <c r="AP194" s="279"/>
      <c r="AQ194" s="279"/>
      <c r="AR194" s="279"/>
      <c r="AS194" s="279"/>
      <c r="AT194" s="279"/>
      <c r="AU194" s="279"/>
      <c r="AV194" s="279"/>
      <c r="AW194" s="279"/>
      <c r="AX194" s="279"/>
      <c r="AY194" s="279"/>
      <c r="AZ194" s="279"/>
      <c r="BA194" s="279"/>
      <c r="BB194" s="279"/>
      <c r="BC194" s="279"/>
      <c r="BD194" s="279"/>
      <c r="BE194" s="279"/>
      <c r="BF194" s="279"/>
      <c r="BG194" s="279"/>
      <c r="BH194" s="279"/>
      <c r="BI194" s="279"/>
      <c r="BJ194" s="279"/>
      <c r="BK194" s="279"/>
      <c r="BL194" s="279"/>
      <c r="BM194" s="279"/>
      <c r="BN194" s="279"/>
      <c r="BO194" s="279"/>
      <c r="BP194" s="279"/>
      <c r="BQ194" s="279"/>
      <c r="BR194" s="279"/>
      <c r="BS194" s="279"/>
      <c r="BT194" s="279"/>
      <c r="BU194" s="279"/>
      <c r="BV194" s="279"/>
      <c r="BW194" s="279"/>
      <c r="BX194" s="279"/>
      <c r="BY194" s="279"/>
    </row>
    <row r="195" ht="13.8" spans="1:77">
      <c r="A195" s="279"/>
      <c r="B195" s="279"/>
      <c r="C195" s="279"/>
      <c r="D195" s="280"/>
      <c r="E195" s="280"/>
      <c r="F195" s="279"/>
      <c r="G195" s="280"/>
      <c r="H195" s="279"/>
      <c r="I195" s="279"/>
      <c r="J195" s="280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99"/>
      <c r="X195" s="299"/>
      <c r="Y195" s="279"/>
      <c r="Z195" s="279"/>
      <c r="AA195" s="279"/>
      <c r="AB195" s="279"/>
      <c r="AC195" s="279"/>
      <c r="AD195" s="279"/>
      <c r="AE195" s="279"/>
      <c r="AF195" s="279"/>
      <c r="AG195" s="279"/>
      <c r="AH195" s="279"/>
      <c r="AI195" s="279"/>
      <c r="AJ195" s="279"/>
      <c r="AK195" s="279"/>
      <c r="AL195" s="279"/>
      <c r="AM195" s="279"/>
      <c r="AN195" s="279"/>
      <c r="AO195" s="279"/>
      <c r="AP195" s="279"/>
      <c r="AQ195" s="279"/>
      <c r="AR195" s="279"/>
      <c r="AS195" s="279"/>
      <c r="AT195" s="279"/>
      <c r="AU195" s="279"/>
      <c r="AV195" s="279"/>
      <c r="AW195" s="279"/>
      <c r="AX195" s="279"/>
      <c r="AY195" s="279"/>
      <c r="AZ195" s="279"/>
      <c r="BA195" s="279"/>
      <c r="BB195" s="279"/>
      <c r="BC195" s="279"/>
      <c r="BD195" s="279"/>
      <c r="BE195" s="279"/>
      <c r="BF195" s="279"/>
      <c r="BG195" s="279"/>
      <c r="BH195" s="279"/>
      <c r="BI195" s="279"/>
      <c r="BJ195" s="279"/>
      <c r="BK195" s="279"/>
      <c r="BL195" s="279"/>
      <c r="BM195" s="279"/>
      <c r="BN195" s="279"/>
      <c r="BO195" s="279"/>
      <c r="BP195" s="279"/>
      <c r="BQ195" s="279"/>
      <c r="BR195" s="279"/>
      <c r="BS195" s="279"/>
      <c r="BT195" s="279"/>
      <c r="BU195" s="279"/>
      <c r="BV195" s="279"/>
      <c r="BW195" s="279"/>
      <c r="BX195" s="279"/>
      <c r="BY195" s="279"/>
    </row>
    <row r="196" ht="13.8" spans="1:77">
      <c r="A196" s="279"/>
      <c r="B196" s="279"/>
      <c r="C196" s="279"/>
      <c r="D196" s="280"/>
      <c r="E196" s="280"/>
      <c r="F196" s="279"/>
      <c r="G196" s="280"/>
      <c r="H196" s="279"/>
      <c r="I196" s="279"/>
      <c r="J196" s="280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99"/>
      <c r="X196" s="299"/>
      <c r="Y196" s="279"/>
      <c r="Z196" s="279"/>
      <c r="AA196" s="279"/>
      <c r="AB196" s="279"/>
      <c r="AC196" s="279"/>
      <c r="AD196" s="279"/>
      <c r="AE196" s="279"/>
      <c r="AF196" s="279"/>
      <c r="AG196" s="279"/>
      <c r="AH196" s="279"/>
      <c r="AI196" s="279"/>
      <c r="AJ196" s="279"/>
      <c r="AK196" s="279"/>
      <c r="AL196" s="279"/>
      <c r="AM196" s="279"/>
      <c r="AN196" s="279"/>
      <c r="AO196" s="279"/>
      <c r="AP196" s="279"/>
      <c r="AQ196" s="279"/>
      <c r="AR196" s="279"/>
      <c r="AS196" s="279"/>
      <c r="AT196" s="279"/>
      <c r="AU196" s="279"/>
      <c r="AV196" s="279"/>
      <c r="AW196" s="279"/>
      <c r="AX196" s="279"/>
      <c r="AY196" s="279"/>
      <c r="AZ196" s="279"/>
      <c r="BA196" s="279"/>
      <c r="BB196" s="279"/>
      <c r="BC196" s="279"/>
      <c r="BD196" s="279"/>
      <c r="BE196" s="279"/>
      <c r="BF196" s="279"/>
      <c r="BG196" s="279"/>
      <c r="BH196" s="279"/>
      <c r="BI196" s="279"/>
      <c r="BJ196" s="279"/>
      <c r="BK196" s="279"/>
      <c r="BL196" s="279"/>
      <c r="BM196" s="279"/>
      <c r="BN196" s="279"/>
      <c r="BO196" s="279"/>
      <c r="BP196" s="279"/>
      <c r="BQ196" s="279"/>
      <c r="BR196" s="279"/>
      <c r="BS196" s="279"/>
      <c r="BT196" s="279"/>
      <c r="BU196" s="279"/>
      <c r="BV196" s="279"/>
      <c r="BW196" s="279"/>
      <c r="BX196" s="279"/>
      <c r="BY196" s="279"/>
    </row>
    <row r="197" ht="13.8" spans="1:77">
      <c r="A197" s="279"/>
      <c r="B197" s="279"/>
      <c r="C197" s="279"/>
      <c r="D197" s="280"/>
      <c r="E197" s="280"/>
      <c r="F197" s="279"/>
      <c r="G197" s="280"/>
      <c r="H197" s="279"/>
      <c r="I197" s="279"/>
      <c r="J197" s="280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99"/>
      <c r="X197" s="299"/>
      <c r="Y197" s="279"/>
      <c r="Z197" s="279"/>
      <c r="AA197" s="279"/>
      <c r="AB197" s="279"/>
      <c r="AC197" s="279"/>
      <c r="AD197" s="279"/>
      <c r="AE197" s="279"/>
      <c r="AF197" s="279"/>
      <c r="AG197" s="279"/>
      <c r="AH197" s="279"/>
      <c r="AI197" s="279"/>
      <c r="AJ197" s="279"/>
      <c r="AK197" s="279"/>
      <c r="AL197" s="279"/>
      <c r="AM197" s="279"/>
      <c r="AN197" s="279"/>
      <c r="AO197" s="279"/>
      <c r="AP197" s="279"/>
      <c r="AQ197" s="279"/>
      <c r="AR197" s="279"/>
      <c r="AS197" s="279"/>
      <c r="AT197" s="279"/>
      <c r="AU197" s="279"/>
      <c r="AV197" s="279"/>
      <c r="AW197" s="279"/>
      <c r="AX197" s="279"/>
      <c r="AY197" s="279"/>
      <c r="AZ197" s="279"/>
      <c r="BA197" s="279"/>
      <c r="BB197" s="279"/>
      <c r="BC197" s="279"/>
      <c r="BD197" s="279"/>
      <c r="BE197" s="279"/>
      <c r="BF197" s="279"/>
      <c r="BG197" s="279"/>
      <c r="BH197" s="279"/>
      <c r="BI197" s="279"/>
      <c r="BJ197" s="279"/>
      <c r="BK197" s="279"/>
      <c r="BL197" s="279"/>
      <c r="BM197" s="279"/>
      <c r="BN197" s="279"/>
      <c r="BO197" s="279"/>
      <c r="BP197" s="279"/>
      <c r="BQ197" s="279"/>
      <c r="BR197" s="279"/>
      <c r="BS197" s="279"/>
      <c r="BT197" s="279"/>
      <c r="BU197" s="279"/>
      <c r="BV197" s="279"/>
      <c r="BW197" s="279"/>
      <c r="BX197" s="279"/>
      <c r="BY197" s="279"/>
    </row>
    <row r="198" ht="13.8" spans="1:77">
      <c r="A198" s="279"/>
      <c r="B198" s="279"/>
      <c r="C198" s="279"/>
      <c r="D198" s="280"/>
      <c r="E198" s="280"/>
      <c r="F198" s="279"/>
      <c r="G198" s="280"/>
      <c r="H198" s="279"/>
      <c r="I198" s="279"/>
      <c r="J198" s="280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99"/>
      <c r="X198" s="299"/>
      <c r="Y198" s="279"/>
      <c r="Z198" s="279"/>
      <c r="AA198" s="279"/>
      <c r="AB198" s="279"/>
      <c r="AC198" s="279"/>
      <c r="AD198" s="279"/>
      <c r="AE198" s="279"/>
      <c r="AF198" s="279"/>
      <c r="AG198" s="279"/>
      <c r="AH198" s="279"/>
      <c r="AI198" s="279"/>
      <c r="AJ198" s="279"/>
      <c r="AK198" s="279"/>
      <c r="AL198" s="279"/>
      <c r="AM198" s="279"/>
      <c r="AN198" s="279"/>
      <c r="AO198" s="279"/>
      <c r="AP198" s="279"/>
      <c r="AQ198" s="279"/>
      <c r="AR198" s="279"/>
      <c r="AS198" s="279"/>
      <c r="AT198" s="279"/>
      <c r="AU198" s="279"/>
      <c r="AV198" s="279"/>
      <c r="AW198" s="279"/>
      <c r="AX198" s="279"/>
      <c r="AY198" s="279"/>
      <c r="AZ198" s="279"/>
      <c r="BA198" s="279"/>
      <c r="BB198" s="279"/>
      <c r="BC198" s="279"/>
      <c r="BD198" s="279"/>
      <c r="BE198" s="279"/>
      <c r="BF198" s="279"/>
      <c r="BG198" s="279"/>
      <c r="BH198" s="279"/>
      <c r="BI198" s="279"/>
      <c r="BJ198" s="279"/>
      <c r="BK198" s="279"/>
      <c r="BL198" s="279"/>
      <c r="BM198" s="279"/>
      <c r="BN198" s="279"/>
      <c r="BO198" s="279"/>
      <c r="BP198" s="279"/>
      <c r="BQ198" s="279"/>
      <c r="BR198" s="279"/>
      <c r="BS198" s="279"/>
      <c r="BT198" s="279"/>
      <c r="BU198" s="279"/>
      <c r="BV198" s="279"/>
      <c r="BW198" s="279"/>
      <c r="BX198" s="279"/>
      <c r="BY198" s="279"/>
    </row>
    <row r="199" ht="13.8" spans="1:77">
      <c r="A199" s="279"/>
      <c r="B199" s="279"/>
      <c r="C199" s="279"/>
      <c r="D199" s="280"/>
      <c r="E199" s="280"/>
      <c r="F199" s="279"/>
      <c r="G199" s="280"/>
      <c r="H199" s="279"/>
      <c r="I199" s="279"/>
      <c r="J199" s="280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99"/>
      <c r="X199" s="299"/>
      <c r="Y199" s="279"/>
      <c r="Z199" s="279"/>
      <c r="AA199" s="279"/>
      <c r="AB199" s="279"/>
      <c r="AC199" s="279"/>
      <c r="AD199" s="279"/>
      <c r="AE199" s="279"/>
      <c r="AF199" s="279"/>
      <c r="AG199" s="279"/>
      <c r="AH199" s="279"/>
      <c r="AI199" s="279"/>
      <c r="AJ199" s="279"/>
      <c r="AK199" s="279"/>
      <c r="AL199" s="279"/>
      <c r="AM199" s="279"/>
      <c r="AN199" s="279"/>
      <c r="AO199" s="279"/>
      <c r="AP199" s="279"/>
      <c r="AQ199" s="279"/>
      <c r="AR199" s="279"/>
      <c r="AS199" s="279"/>
      <c r="AT199" s="279"/>
      <c r="AU199" s="279"/>
      <c r="AV199" s="279"/>
      <c r="AW199" s="279"/>
      <c r="AX199" s="279"/>
      <c r="AY199" s="279"/>
      <c r="AZ199" s="279"/>
      <c r="BA199" s="279"/>
      <c r="BB199" s="279"/>
      <c r="BC199" s="279"/>
      <c r="BD199" s="279"/>
      <c r="BE199" s="279"/>
      <c r="BF199" s="279"/>
      <c r="BG199" s="279"/>
      <c r="BH199" s="279"/>
      <c r="BI199" s="279"/>
      <c r="BJ199" s="279"/>
      <c r="BK199" s="279"/>
      <c r="BL199" s="279"/>
      <c r="BM199" s="279"/>
      <c r="BN199" s="279"/>
      <c r="BO199" s="279"/>
      <c r="BP199" s="279"/>
      <c r="BQ199" s="279"/>
      <c r="BR199" s="279"/>
      <c r="BS199" s="279"/>
      <c r="BT199" s="279"/>
      <c r="BU199" s="279"/>
      <c r="BV199" s="279"/>
      <c r="BW199" s="279"/>
      <c r="BX199" s="279"/>
      <c r="BY199" s="279"/>
    </row>
    <row r="200" ht="13.8" spans="1:77">
      <c r="A200" s="279"/>
      <c r="B200" s="279"/>
      <c r="C200" s="279"/>
      <c r="D200" s="280"/>
      <c r="E200" s="280"/>
      <c r="F200" s="279"/>
      <c r="G200" s="280"/>
      <c r="H200" s="279"/>
      <c r="I200" s="279"/>
      <c r="J200" s="280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99"/>
      <c r="X200" s="299"/>
      <c r="Y200" s="279"/>
      <c r="Z200" s="279"/>
      <c r="AA200" s="279"/>
      <c r="AB200" s="279"/>
      <c r="AC200" s="279"/>
      <c r="AD200" s="279"/>
      <c r="AE200" s="279"/>
      <c r="AF200" s="279"/>
      <c r="AG200" s="279"/>
      <c r="AH200" s="279"/>
      <c r="AI200" s="279"/>
      <c r="AJ200" s="279"/>
      <c r="AK200" s="279"/>
      <c r="AL200" s="279"/>
      <c r="AM200" s="279"/>
      <c r="AN200" s="279"/>
      <c r="AO200" s="279"/>
      <c r="AP200" s="279"/>
      <c r="AQ200" s="279"/>
      <c r="AR200" s="279"/>
      <c r="AS200" s="279"/>
      <c r="AT200" s="279"/>
      <c r="AU200" s="279"/>
      <c r="AV200" s="279"/>
      <c r="AW200" s="279"/>
      <c r="AX200" s="279"/>
      <c r="AY200" s="279"/>
      <c r="AZ200" s="279"/>
      <c r="BA200" s="279"/>
      <c r="BB200" s="279"/>
      <c r="BC200" s="279"/>
      <c r="BD200" s="279"/>
      <c r="BE200" s="279"/>
      <c r="BF200" s="279"/>
      <c r="BG200" s="279"/>
      <c r="BH200" s="279"/>
      <c r="BI200" s="279"/>
      <c r="BJ200" s="279"/>
      <c r="BK200" s="279"/>
      <c r="BL200" s="279"/>
      <c r="BM200" s="279"/>
      <c r="BN200" s="279"/>
      <c r="BO200" s="279"/>
      <c r="BP200" s="279"/>
      <c r="BQ200" s="279"/>
      <c r="BR200" s="279"/>
      <c r="BS200" s="279"/>
      <c r="BT200" s="279"/>
      <c r="BU200" s="279"/>
      <c r="BV200" s="279"/>
      <c r="BW200" s="279"/>
      <c r="BX200" s="279"/>
      <c r="BY200" s="279"/>
    </row>
    <row r="201" ht="13.8" spans="1:77">
      <c r="A201" s="279"/>
      <c r="B201" s="279"/>
      <c r="C201" s="279"/>
      <c r="D201" s="280"/>
      <c r="E201" s="280"/>
      <c r="F201" s="279"/>
      <c r="G201" s="280"/>
      <c r="H201" s="279"/>
      <c r="I201" s="279"/>
      <c r="J201" s="280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99"/>
      <c r="X201" s="299"/>
      <c r="Y201" s="279"/>
      <c r="Z201" s="279"/>
      <c r="AA201" s="279"/>
      <c r="AB201" s="279"/>
      <c r="AC201" s="279"/>
      <c r="AD201" s="279"/>
      <c r="AE201" s="279"/>
      <c r="AF201" s="279"/>
      <c r="AG201" s="279"/>
      <c r="AH201" s="279"/>
      <c r="AI201" s="279"/>
      <c r="AJ201" s="279"/>
      <c r="AK201" s="279"/>
      <c r="AL201" s="279"/>
      <c r="AM201" s="279"/>
      <c r="AN201" s="279"/>
      <c r="AO201" s="279"/>
      <c r="AP201" s="279"/>
      <c r="AQ201" s="279"/>
      <c r="AR201" s="279"/>
      <c r="AS201" s="279"/>
      <c r="AT201" s="279"/>
      <c r="AU201" s="279"/>
      <c r="AV201" s="279"/>
      <c r="AW201" s="279"/>
      <c r="AX201" s="279"/>
      <c r="AY201" s="279"/>
      <c r="AZ201" s="279"/>
      <c r="BA201" s="279"/>
      <c r="BB201" s="279"/>
      <c r="BC201" s="279"/>
      <c r="BD201" s="279"/>
      <c r="BE201" s="279"/>
      <c r="BF201" s="279"/>
      <c r="BG201" s="279"/>
      <c r="BH201" s="279"/>
      <c r="BI201" s="279"/>
      <c r="BJ201" s="279"/>
      <c r="BK201" s="279"/>
      <c r="BL201" s="279"/>
      <c r="BM201" s="279"/>
      <c r="BN201" s="279"/>
      <c r="BO201" s="279"/>
      <c r="BP201" s="279"/>
      <c r="BQ201" s="279"/>
      <c r="BR201" s="279"/>
      <c r="BS201" s="279"/>
      <c r="BT201" s="279"/>
      <c r="BU201" s="279"/>
      <c r="BV201" s="279"/>
      <c r="BW201" s="279"/>
      <c r="BX201" s="279"/>
      <c r="BY201" s="279"/>
    </row>
    <row r="202" ht="13.8" spans="1:77">
      <c r="A202" s="279"/>
      <c r="B202" s="279"/>
      <c r="C202" s="279"/>
      <c r="D202" s="280"/>
      <c r="E202" s="280"/>
      <c r="F202" s="279"/>
      <c r="G202" s="280"/>
      <c r="H202" s="279"/>
      <c r="I202" s="279"/>
      <c r="J202" s="280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99"/>
      <c r="X202" s="299"/>
      <c r="Y202" s="279"/>
      <c r="Z202" s="279"/>
      <c r="AA202" s="279"/>
      <c r="AB202" s="279"/>
      <c r="AC202" s="279"/>
      <c r="AD202" s="279"/>
      <c r="AE202" s="279"/>
      <c r="AF202" s="279"/>
      <c r="AG202" s="279"/>
      <c r="AH202" s="279"/>
      <c r="AI202" s="279"/>
      <c r="AJ202" s="279"/>
      <c r="AK202" s="279"/>
      <c r="AL202" s="279"/>
      <c r="AM202" s="279"/>
      <c r="AN202" s="279"/>
      <c r="AO202" s="279"/>
      <c r="AP202" s="279"/>
      <c r="AQ202" s="279"/>
      <c r="AR202" s="279"/>
      <c r="AS202" s="279"/>
      <c r="AT202" s="279"/>
      <c r="AU202" s="279"/>
      <c r="AV202" s="279"/>
      <c r="AW202" s="279"/>
      <c r="AX202" s="279"/>
      <c r="AY202" s="279"/>
      <c r="AZ202" s="279"/>
      <c r="BA202" s="279"/>
      <c r="BB202" s="279"/>
      <c r="BC202" s="279"/>
      <c r="BD202" s="279"/>
      <c r="BE202" s="279"/>
      <c r="BF202" s="279"/>
      <c r="BG202" s="279"/>
      <c r="BH202" s="279"/>
      <c r="BI202" s="279"/>
      <c r="BJ202" s="279"/>
      <c r="BK202" s="279"/>
      <c r="BL202" s="279"/>
      <c r="BM202" s="279"/>
      <c r="BN202" s="279"/>
      <c r="BO202" s="279"/>
      <c r="BP202" s="279"/>
      <c r="BQ202" s="279"/>
      <c r="BR202" s="279"/>
      <c r="BS202" s="279"/>
      <c r="BT202" s="279"/>
      <c r="BU202" s="279"/>
      <c r="BV202" s="279"/>
      <c r="BW202" s="279"/>
      <c r="BX202" s="279"/>
      <c r="BY202" s="279"/>
    </row>
    <row r="203" ht="13.8" spans="1:77">
      <c r="A203" s="279"/>
      <c r="B203" s="279"/>
      <c r="C203" s="279"/>
      <c r="D203" s="280"/>
      <c r="E203" s="280"/>
      <c r="F203" s="279"/>
      <c r="G203" s="280"/>
      <c r="H203" s="279"/>
      <c r="I203" s="279"/>
      <c r="J203" s="280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99"/>
      <c r="X203" s="299"/>
      <c r="Y203" s="279"/>
      <c r="Z203" s="279"/>
      <c r="AA203" s="279"/>
      <c r="AB203" s="279"/>
      <c r="AC203" s="279"/>
      <c r="AD203" s="279"/>
      <c r="AE203" s="279"/>
      <c r="AF203" s="279"/>
      <c r="AG203" s="279"/>
      <c r="AH203" s="279"/>
      <c r="AI203" s="279"/>
      <c r="AJ203" s="279"/>
      <c r="AK203" s="279"/>
      <c r="AL203" s="279"/>
      <c r="AM203" s="279"/>
      <c r="AN203" s="279"/>
      <c r="AO203" s="279"/>
      <c r="AP203" s="279"/>
      <c r="AQ203" s="279"/>
      <c r="AR203" s="279"/>
      <c r="AS203" s="279"/>
      <c r="AT203" s="279"/>
      <c r="AU203" s="279"/>
      <c r="AV203" s="279"/>
      <c r="AW203" s="279"/>
      <c r="AX203" s="279"/>
      <c r="AY203" s="279"/>
      <c r="AZ203" s="279"/>
      <c r="BA203" s="279"/>
      <c r="BB203" s="279"/>
      <c r="BC203" s="279"/>
      <c r="BD203" s="279"/>
      <c r="BE203" s="279"/>
      <c r="BF203" s="279"/>
      <c r="BG203" s="279"/>
      <c r="BH203" s="279"/>
      <c r="BI203" s="279"/>
      <c r="BJ203" s="279"/>
      <c r="BK203" s="279"/>
      <c r="BL203" s="279"/>
      <c r="BM203" s="279"/>
      <c r="BN203" s="279"/>
      <c r="BO203" s="279"/>
      <c r="BP203" s="279"/>
      <c r="BQ203" s="279"/>
      <c r="BR203" s="279"/>
      <c r="BS203" s="279"/>
      <c r="BT203" s="279"/>
      <c r="BU203" s="279"/>
      <c r="BV203" s="279"/>
      <c r="BW203" s="279"/>
      <c r="BX203" s="279"/>
      <c r="BY203" s="279"/>
    </row>
    <row r="204" ht="13.8" spans="1:77">
      <c r="A204" s="279"/>
      <c r="B204" s="279"/>
      <c r="C204" s="279"/>
      <c r="D204" s="280"/>
      <c r="E204" s="280"/>
      <c r="F204" s="279"/>
      <c r="G204" s="280"/>
      <c r="H204" s="279"/>
      <c r="I204" s="279"/>
      <c r="J204" s="280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99"/>
      <c r="X204" s="299"/>
      <c r="Y204" s="279"/>
      <c r="Z204" s="279"/>
      <c r="AA204" s="279"/>
      <c r="AB204" s="279"/>
      <c r="AC204" s="279"/>
      <c r="AD204" s="279"/>
      <c r="AE204" s="279"/>
      <c r="AF204" s="279"/>
      <c r="AG204" s="279"/>
      <c r="AH204" s="279"/>
      <c r="AI204" s="279"/>
      <c r="AJ204" s="279"/>
      <c r="AK204" s="279"/>
      <c r="AL204" s="279"/>
      <c r="AM204" s="279"/>
      <c r="AN204" s="279"/>
      <c r="AO204" s="279"/>
      <c r="AP204" s="279"/>
      <c r="AQ204" s="279"/>
      <c r="AR204" s="279"/>
      <c r="AS204" s="279"/>
      <c r="AT204" s="279"/>
      <c r="AU204" s="279"/>
      <c r="AV204" s="279"/>
      <c r="AW204" s="279"/>
      <c r="AX204" s="279"/>
      <c r="AY204" s="279"/>
      <c r="AZ204" s="279"/>
      <c r="BA204" s="279"/>
      <c r="BB204" s="279"/>
      <c r="BC204" s="279"/>
      <c r="BD204" s="279"/>
      <c r="BE204" s="279"/>
      <c r="BF204" s="279"/>
      <c r="BG204" s="279"/>
      <c r="BH204" s="279"/>
      <c r="BI204" s="279"/>
      <c r="BJ204" s="279"/>
      <c r="BK204" s="279"/>
      <c r="BL204" s="279"/>
      <c r="BM204" s="279"/>
      <c r="BN204" s="279"/>
      <c r="BO204" s="279"/>
      <c r="BP204" s="279"/>
      <c r="BQ204" s="279"/>
      <c r="BR204" s="279"/>
      <c r="BS204" s="279"/>
      <c r="BT204" s="279"/>
      <c r="BU204" s="279"/>
      <c r="BV204" s="279"/>
      <c r="BW204" s="279"/>
      <c r="BX204" s="279"/>
      <c r="BY204" s="279"/>
    </row>
    <row r="205" ht="13.8" spans="1:77">
      <c r="A205" s="279"/>
      <c r="B205" s="279"/>
      <c r="C205" s="279"/>
      <c r="D205" s="280"/>
      <c r="E205" s="280"/>
      <c r="F205" s="279"/>
      <c r="G205" s="280"/>
      <c r="H205" s="279"/>
      <c r="I205" s="279"/>
      <c r="J205" s="280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99"/>
      <c r="X205" s="299"/>
      <c r="Y205" s="279"/>
      <c r="Z205" s="279"/>
      <c r="AA205" s="279"/>
      <c r="AB205" s="279"/>
      <c r="AC205" s="279"/>
      <c r="AD205" s="279"/>
      <c r="AE205" s="279"/>
      <c r="AF205" s="279"/>
      <c r="AG205" s="279"/>
      <c r="AH205" s="279"/>
      <c r="AI205" s="279"/>
      <c r="AJ205" s="279"/>
      <c r="AK205" s="279"/>
      <c r="AL205" s="279"/>
      <c r="AM205" s="279"/>
      <c r="AN205" s="279"/>
      <c r="AO205" s="279"/>
      <c r="AP205" s="279"/>
      <c r="AQ205" s="279"/>
      <c r="AR205" s="279"/>
      <c r="AS205" s="279"/>
      <c r="AT205" s="279"/>
      <c r="AU205" s="279"/>
      <c r="AV205" s="279"/>
      <c r="AW205" s="279"/>
      <c r="AX205" s="279"/>
      <c r="AY205" s="279"/>
      <c r="AZ205" s="279"/>
      <c r="BA205" s="279"/>
      <c r="BB205" s="279"/>
      <c r="BC205" s="279"/>
      <c r="BD205" s="279"/>
      <c r="BE205" s="279"/>
      <c r="BF205" s="279"/>
      <c r="BG205" s="279"/>
      <c r="BH205" s="279"/>
      <c r="BI205" s="279"/>
      <c r="BJ205" s="279"/>
      <c r="BK205" s="279"/>
      <c r="BL205" s="279"/>
      <c r="BM205" s="279"/>
      <c r="BN205" s="279"/>
      <c r="BO205" s="279"/>
      <c r="BP205" s="279"/>
      <c r="BQ205" s="279"/>
      <c r="BR205" s="279"/>
      <c r="BS205" s="279"/>
      <c r="BT205" s="279"/>
      <c r="BU205" s="279"/>
      <c r="BV205" s="279"/>
      <c r="BW205" s="279"/>
      <c r="BX205" s="279"/>
      <c r="BY205" s="279"/>
    </row>
    <row r="206" ht="13.8" spans="1:77">
      <c r="A206" s="279"/>
      <c r="B206" s="279"/>
      <c r="C206" s="279"/>
      <c r="D206" s="280"/>
      <c r="E206" s="280"/>
      <c r="F206" s="279"/>
      <c r="G206" s="280"/>
      <c r="H206" s="279"/>
      <c r="I206" s="279"/>
      <c r="J206" s="280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99"/>
      <c r="X206" s="299"/>
      <c r="Y206" s="279"/>
      <c r="Z206" s="279"/>
      <c r="AA206" s="279"/>
      <c r="AB206" s="279"/>
      <c r="AC206" s="279"/>
      <c r="AD206" s="279"/>
      <c r="AE206" s="279"/>
      <c r="AF206" s="279"/>
      <c r="AG206" s="279"/>
      <c r="AH206" s="279"/>
      <c r="AI206" s="279"/>
      <c r="AJ206" s="279"/>
      <c r="AK206" s="279"/>
      <c r="AL206" s="279"/>
      <c r="AM206" s="279"/>
      <c r="AN206" s="279"/>
      <c r="AO206" s="279"/>
      <c r="AP206" s="279"/>
      <c r="AQ206" s="279"/>
      <c r="AR206" s="279"/>
      <c r="AS206" s="279"/>
      <c r="AT206" s="279"/>
      <c r="AU206" s="279"/>
      <c r="AV206" s="279"/>
      <c r="AW206" s="279"/>
      <c r="AX206" s="279"/>
      <c r="AY206" s="279"/>
      <c r="AZ206" s="279"/>
      <c r="BA206" s="279"/>
      <c r="BB206" s="279"/>
      <c r="BC206" s="279"/>
      <c r="BD206" s="279"/>
      <c r="BE206" s="279"/>
      <c r="BF206" s="279"/>
      <c r="BG206" s="279"/>
      <c r="BH206" s="279"/>
      <c r="BI206" s="279"/>
      <c r="BJ206" s="279"/>
      <c r="BK206" s="279"/>
      <c r="BL206" s="279"/>
      <c r="BM206" s="279"/>
      <c r="BN206" s="279"/>
      <c r="BO206" s="279"/>
      <c r="BP206" s="279"/>
      <c r="BQ206" s="279"/>
      <c r="BR206" s="279"/>
      <c r="BS206" s="279"/>
      <c r="BT206" s="279"/>
      <c r="BU206" s="279"/>
      <c r="BV206" s="279"/>
      <c r="BW206" s="279"/>
      <c r="BX206" s="279"/>
      <c r="BY206" s="279"/>
    </row>
    <row r="207" ht="13.8" spans="1:77">
      <c r="A207" s="279"/>
      <c r="B207" s="279"/>
      <c r="C207" s="279"/>
      <c r="D207" s="280"/>
      <c r="E207" s="280"/>
      <c r="F207" s="279"/>
      <c r="G207" s="280"/>
      <c r="H207" s="279"/>
      <c r="I207" s="279"/>
      <c r="J207" s="280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99"/>
      <c r="X207" s="299"/>
      <c r="Y207" s="279"/>
      <c r="Z207" s="279"/>
      <c r="AA207" s="279"/>
      <c r="AB207" s="279"/>
      <c r="AC207" s="279"/>
      <c r="AD207" s="279"/>
      <c r="AE207" s="279"/>
      <c r="AF207" s="279"/>
      <c r="AG207" s="279"/>
      <c r="AH207" s="279"/>
      <c r="AI207" s="279"/>
      <c r="AJ207" s="279"/>
      <c r="AK207" s="279"/>
      <c r="AL207" s="279"/>
      <c r="AM207" s="279"/>
      <c r="AN207" s="279"/>
      <c r="AO207" s="279"/>
      <c r="AP207" s="279"/>
      <c r="AQ207" s="279"/>
      <c r="AR207" s="279"/>
      <c r="AS207" s="279"/>
      <c r="AT207" s="279"/>
      <c r="AU207" s="279"/>
      <c r="AV207" s="279"/>
      <c r="AW207" s="279"/>
      <c r="AX207" s="279"/>
      <c r="AY207" s="279"/>
      <c r="AZ207" s="279"/>
      <c r="BA207" s="279"/>
      <c r="BB207" s="279"/>
      <c r="BC207" s="279"/>
      <c r="BD207" s="279"/>
      <c r="BE207" s="279"/>
      <c r="BF207" s="279"/>
      <c r="BG207" s="279"/>
      <c r="BH207" s="279"/>
      <c r="BI207" s="279"/>
      <c r="BJ207" s="279"/>
      <c r="BK207" s="279"/>
      <c r="BL207" s="279"/>
      <c r="BM207" s="279"/>
      <c r="BN207" s="279"/>
      <c r="BO207" s="279"/>
      <c r="BP207" s="279"/>
      <c r="BQ207" s="279"/>
      <c r="BR207" s="279"/>
      <c r="BS207" s="279"/>
      <c r="BT207" s="279"/>
      <c r="BU207" s="279"/>
      <c r="BV207" s="279"/>
      <c r="BW207" s="279"/>
      <c r="BX207" s="279"/>
      <c r="BY207" s="279"/>
    </row>
    <row r="208" ht="13.8" spans="1:77">
      <c r="A208" s="279"/>
      <c r="B208" s="279"/>
      <c r="C208" s="279"/>
      <c r="D208" s="280"/>
      <c r="E208" s="280"/>
      <c r="F208" s="279"/>
      <c r="G208" s="280"/>
      <c r="H208" s="279"/>
      <c r="I208" s="279"/>
      <c r="J208" s="280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99"/>
      <c r="X208" s="299"/>
      <c r="Y208" s="279"/>
      <c r="Z208" s="279"/>
      <c r="AA208" s="279"/>
      <c r="AB208" s="279"/>
      <c r="AC208" s="279"/>
      <c r="AD208" s="279"/>
      <c r="AE208" s="279"/>
      <c r="AF208" s="279"/>
      <c r="AG208" s="279"/>
      <c r="AH208" s="279"/>
      <c r="AI208" s="279"/>
      <c r="AJ208" s="279"/>
      <c r="AK208" s="279"/>
      <c r="AL208" s="279"/>
      <c r="AM208" s="279"/>
      <c r="AN208" s="279"/>
      <c r="AO208" s="279"/>
      <c r="AP208" s="279"/>
      <c r="AQ208" s="279"/>
      <c r="AR208" s="279"/>
      <c r="AS208" s="279"/>
      <c r="AT208" s="279"/>
      <c r="AU208" s="279"/>
      <c r="AV208" s="279"/>
      <c r="AW208" s="279"/>
      <c r="AX208" s="279"/>
      <c r="AY208" s="279"/>
      <c r="AZ208" s="279"/>
      <c r="BA208" s="279"/>
      <c r="BB208" s="279"/>
      <c r="BC208" s="279"/>
      <c r="BD208" s="279"/>
      <c r="BE208" s="279"/>
      <c r="BF208" s="279"/>
      <c r="BG208" s="279"/>
      <c r="BH208" s="279"/>
      <c r="BI208" s="279"/>
      <c r="BJ208" s="279"/>
      <c r="BK208" s="279"/>
      <c r="BL208" s="279"/>
      <c r="BM208" s="279"/>
      <c r="BN208" s="279"/>
      <c r="BO208" s="279"/>
      <c r="BP208" s="279"/>
      <c r="BQ208" s="279"/>
      <c r="BR208" s="279"/>
      <c r="BS208" s="279"/>
      <c r="BT208" s="279"/>
      <c r="BU208" s="279"/>
      <c r="BV208" s="279"/>
      <c r="BW208" s="279"/>
      <c r="BX208" s="279"/>
      <c r="BY208" s="279"/>
    </row>
    <row r="209" ht="13.8" spans="1:77">
      <c r="A209" s="279"/>
      <c r="B209" s="279"/>
      <c r="C209" s="279"/>
      <c r="D209" s="280"/>
      <c r="E209" s="280"/>
      <c r="F209" s="279"/>
      <c r="G209" s="280"/>
      <c r="H209" s="279"/>
      <c r="I209" s="279"/>
      <c r="J209" s="280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99"/>
      <c r="X209" s="299"/>
      <c r="Y209" s="279"/>
      <c r="Z209" s="279"/>
      <c r="AA209" s="279"/>
      <c r="AB209" s="279"/>
      <c r="AC209" s="279"/>
      <c r="AD209" s="279"/>
      <c r="AE209" s="279"/>
      <c r="AF209" s="279"/>
      <c r="AG209" s="279"/>
      <c r="AH209" s="279"/>
      <c r="AI209" s="279"/>
      <c r="AJ209" s="279"/>
      <c r="AK209" s="279"/>
      <c r="AL209" s="279"/>
      <c r="AM209" s="279"/>
      <c r="AN209" s="279"/>
      <c r="AO209" s="279"/>
      <c r="AP209" s="279"/>
      <c r="AQ209" s="279"/>
      <c r="AR209" s="279"/>
      <c r="AS209" s="279"/>
      <c r="AT209" s="279"/>
      <c r="AU209" s="279"/>
      <c r="AV209" s="279"/>
      <c r="AW209" s="279"/>
      <c r="AX209" s="279"/>
      <c r="AY209" s="279"/>
      <c r="AZ209" s="279"/>
      <c r="BA209" s="279"/>
      <c r="BB209" s="279"/>
      <c r="BC209" s="279"/>
      <c r="BD209" s="279"/>
      <c r="BE209" s="279"/>
      <c r="BF209" s="279"/>
      <c r="BG209" s="279"/>
      <c r="BH209" s="279"/>
      <c r="BI209" s="279"/>
      <c r="BJ209" s="279"/>
      <c r="BK209" s="279"/>
      <c r="BL209" s="279"/>
      <c r="BM209" s="279"/>
      <c r="BN209" s="279"/>
      <c r="BO209" s="279"/>
      <c r="BP209" s="279"/>
      <c r="BQ209" s="279"/>
      <c r="BR209" s="279"/>
      <c r="BS209" s="279"/>
      <c r="BT209" s="279"/>
      <c r="BU209" s="279"/>
      <c r="BV209" s="279"/>
      <c r="BW209" s="279"/>
      <c r="BX209" s="279"/>
      <c r="BY209" s="27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91"/>
  <sheetViews>
    <sheetView workbookViewId="0">
      <selection activeCell="G13" sqref="G13"/>
    </sheetView>
  </sheetViews>
  <sheetFormatPr defaultColWidth="17" defaultRowHeight="11.4"/>
  <cols>
    <col min="1" max="1" width="8.20833333333333" customWidth="1"/>
    <col min="2" max="2" width="16.9375" customWidth="1"/>
    <col min="3" max="3" width="9.60416666666667" customWidth="1"/>
    <col min="4" max="4" width="11.1666666666667" customWidth="1"/>
    <col min="5" max="5" width="26.375" customWidth="1"/>
    <col min="6" max="6" width="12.3958333333333" customWidth="1"/>
    <col min="7" max="7" width="13.1041666666667" customWidth="1"/>
    <col min="8" max="8" width="14.6666666666667" customWidth="1"/>
    <col min="9" max="9" width="16.0625" customWidth="1"/>
    <col min="10" max="11" width="10.125" customWidth="1"/>
    <col min="12" max="12" width="16.59375" customWidth="1"/>
    <col min="13" max="13" width="11.5208333333333" customWidth="1"/>
    <col min="14" max="16" width="12.21875" customWidth="1"/>
    <col min="17" max="18" width="8.20833333333333" customWidth="1"/>
    <col min="19" max="24" width="6.11458333333333" customWidth="1"/>
    <col min="25" max="28" width="7.33333333333333" customWidth="1"/>
    <col min="29" max="33" width="12.5729166666667" customWidth="1"/>
    <col min="34" max="67" width="16.59375" customWidth="1"/>
  </cols>
  <sheetData>
    <row r="1" ht="39" customHeight="1" spans="1:67">
      <c r="A1" s="218" t="s">
        <v>44</v>
      </c>
      <c r="B1" s="218" t="s">
        <v>45</v>
      </c>
      <c r="C1" s="218" t="s">
        <v>46</v>
      </c>
      <c r="D1" s="218" t="s">
        <v>47</v>
      </c>
      <c r="E1" s="218" t="s">
        <v>48</v>
      </c>
      <c r="F1" s="218" t="s">
        <v>49</v>
      </c>
      <c r="G1" s="219" t="s">
        <v>50</v>
      </c>
      <c r="H1" s="220" t="s">
        <v>51</v>
      </c>
      <c r="I1" s="226" t="s">
        <v>52</v>
      </c>
      <c r="J1" s="227" t="s">
        <v>53</v>
      </c>
      <c r="K1" s="228" t="s">
        <v>33</v>
      </c>
      <c r="L1" s="229" t="s">
        <v>54</v>
      </c>
      <c r="M1" s="230" t="s">
        <v>55</v>
      </c>
      <c r="N1" s="227" t="s">
        <v>56</v>
      </c>
      <c r="O1" s="230" t="s">
        <v>57</v>
      </c>
      <c r="P1" s="230" t="s">
        <v>58</v>
      </c>
      <c r="Q1" s="219" t="s">
        <v>5</v>
      </c>
      <c r="R1" s="235" t="s">
        <v>23</v>
      </c>
      <c r="S1" s="236" t="s">
        <v>59</v>
      </c>
      <c r="T1" s="236" t="s">
        <v>60</v>
      </c>
      <c r="U1" s="236" t="s">
        <v>61</v>
      </c>
      <c r="V1" s="237" t="s">
        <v>62</v>
      </c>
      <c r="W1" s="237" t="s">
        <v>41</v>
      </c>
      <c r="X1" s="237" t="s">
        <v>63</v>
      </c>
      <c r="Y1" s="237" t="s">
        <v>64</v>
      </c>
      <c r="Z1" s="239" t="s">
        <v>65</v>
      </c>
      <c r="AA1" s="237" t="s">
        <v>66</v>
      </c>
      <c r="AB1" s="237" t="s">
        <v>67</v>
      </c>
      <c r="AC1" s="240" t="s">
        <v>68</v>
      </c>
      <c r="AD1" s="241" t="s">
        <v>69</v>
      </c>
      <c r="AE1" s="235" t="s">
        <v>70</v>
      </c>
      <c r="AF1" s="237" t="s">
        <v>71</v>
      </c>
      <c r="AG1" s="237" t="s">
        <v>40</v>
      </c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</row>
    <row r="2" ht="13.2" spans="1:67">
      <c r="A2" s="221" t="s">
        <v>72</v>
      </c>
      <c r="B2" s="222"/>
      <c r="C2" s="222"/>
      <c r="D2" s="222"/>
      <c r="E2" s="223"/>
      <c r="F2" s="222"/>
      <c r="G2" s="224"/>
      <c r="H2" s="225">
        <v>55</v>
      </c>
      <c r="I2" s="224">
        <v>64.99</v>
      </c>
      <c r="J2" s="225">
        <f t="shared" ref="J2:J7" si="0">H2-O2/R2-P2-Y2-Z2-AA2-AB2</f>
        <v>0.786219974715573</v>
      </c>
      <c r="K2" s="231">
        <f t="shared" ref="K2:K7" si="1">J2/H2</f>
        <v>0.0142949086311922</v>
      </c>
      <c r="L2" s="232">
        <f t="shared" ref="L2:L7" si="2">(I2-H2)/I2</f>
        <v>0.153715956300969</v>
      </c>
      <c r="M2" s="231">
        <f t="shared" ref="M2:M7" si="3">(I2-H2+AB2-Z2)/(I2-Z2)</f>
        <v>0.209856337515912</v>
      </c>
      <c r="N2" s="225">
        <f t="shared" ref="N2:N7" si="4">I2-H2</f>
        <v>9.98999999999999</v>
      </c>
      <c r="O2" s="233">
        <f t="shared" ref="O2:O7" si="5">AD2+AE2</f>
        <v>175.796460176991</v>
      </c>
      <c r="P2" s="224">
        <v>1.5</v>
      </c>
      <c r="Q2" s="222">
        <v>4</v>
      </c>
      <c r="R2" s="222">
        <v>7</v>
      </c>
      <c r="S2" s="238">
        <v>0.1</v>
      </c>
      <c r="T2" s="238">
        <f t="shared" ref="T2:T7" si="6">Z2/H2</f>
        <v>0.181818181818182</v>
      </c>
      <c r="U2" s="238">
        <v>0.01</v>
      </c>
      <c r="V2" s="231">
        <f t="shared" ref="V2:V7" si="7">O2/(H2*R2)</f>
        <v>0.456614182277899</v>
      </c>
      <c r="W2" s="238">
        <f t="shared" ref="W2:W7" si="8">P2/H2</f>
        <v>0.0272727272727273</v>
      </c>
      <c r="X2" s="231">
        <f t="shared" ref="X2:X7" si="9">IF(G2="J671X",0,0.21)</f>
        <v>0.21</v>
      </c>
      <c r="Y2" s="242">
        <f t="shared" ref="Y2:Y7" si="10">H2*S2</f>
        <v>5.5</v>
      </c>
      <c r="Z2" s="242">
        <v>10</v>
      </c>
      <c r="AA2" s="242">
        <f t="shared" ref="AA2:AA7" si="11">H2*U2</f>
        <v>0.55</v>
      </c>
      <c r="AB2" s="243">
        <f t="shared" ref="AB2:AB7" si="12">H2*X2</f>
        <v>11.55</v>
      </c>
      <c r="AC2" s="244">
        <v>136.5</v>
      </c>
      <c r="AD2" s="244">
        <f t="shared" ref="AD2:AD7" si="13">AC2/1.13</f>
        <v>120.796460176991</v>
      </c>
      <c r="AE2" s="233">
        <v>55</v>
      </c>
      <c r="AF2" s="238">
        <f t="shared" ref="AF2:AF7" si="14">AD2/(H2*R2)</f>
        <v>0.313757039420756</v>
      </c>
      <c r="AG2" s="238">
        <f t="shared" ref="AG2:AG7" si="15">AE2/R2/H2</f>
        <v>0.142857142857143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ht="13.2" spans="1:67">
      <c r="A3" s="221" t="s">
        <v>73</v>
      </c>
      <c r="B3" s="222"/>
      <c r="C3" s="222"/>
      <c r="D3" s="222"/>
      <c r="E3" s="223"/>
      <c r="F3" s="222"/>
      <c r="G3" s="224"/>
      <c r="H3" s="225">
        <v>48</v>
      </c>
      <c r="I3" s="224">
        <v>89.99</v>
      </c>
      <c r="J3" s="225">
        <f t="shared" si="0"/>
        <v>3.94336283185842</v>
      </c>
      <c r="K3" s="231">
        <f t="shared" si="1"/>
        <v>0.0821533923303838</v>
      </c>
      <c r="L3" s="232">
        <f t="shared" si="2"/>
        <v>0.466607400822314</v>
      </c>
      <c r="M3" s="231">
        <f t="shared" si="3"/>
        <v>0.525940742592824</v>
      </c>
      <c r="N3" s="225">
        <f t="shared" si="4"/>
        <v>41.99</v>
      </c>
      <c r="O3" s="233">
        <f t="shared" si="5"/>
        <v>120.796460176991</v>
      </c>
      <c r="P3" s="224">
        <v>0</v>
      </c>
      <c r="Q3" s="222">
        <v>4</v>
      </c>
      <c r="R3" s="222">
        <v>7</v>
      </c>
      <c r="S3" s="238">
        <v>0.13</v>
      </c>
      <c r="T3" s="238">
        <f t="shared" si="6"/>
        <v>0.208333333333333</v>
      </c>
      <c r="U3" s="238">
        <v>0.01</v>
      </c>
      <c r="V3" s="231">
        <f t="shared" si="7"/>
        <v>0.359513274336283</v>
      </c>
      <c r="W3" s="238">
        <f t="shared" si="8"/>
        <v>0</v>
      </c>
      <c r="X3" s="231">
        <f t="shared" si="9"/>
        <v>0.21</v>
      </c>
      <c r="Y3" s="242">
        <f t="shared" si="10"/>
        <v>6.24</v>
      </c>
      <c r="Z3" s="242">
        <v>10</v>
      </c>
      <c r="AA3" s="242">
        <f t="shared" si="11"/>
        <v>0.48</v>
      </c>
      <c r="AB3" s="243">
        <f t="shared" si="12"/>
        <v>10.08</v>
      </c>
      <c r="AC3" s="244">
        <v>136.5</v>
      </c>
      <c r="AD3" s="244">
        <f t="shared" si="13"/>
        <v>120.796460176991</v>
      </c>
      <c r="AE3" s="233">
        <v>0</v>
      </c>
      <c r="AF3" s="238">
        <f t="shared" si="14"/>
        <v>0.359513274336283</v>
      </c>
      <c r="AG3" s="238">
        <f t="shared" si="15"/>
        <v>0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</row>
    <row r="4" ht="13.2" spans="1:67">
      <c r="A4" s="222" t="s">
        <v>72</v>
      </c>
      <c r="B4" s="222"/>
      <c r="C4" s="222"/>
      <c r="D4" s="222"/>
      <c r="E4" s="223"/>
      <c r="F4" s="222"/>
      <c r="G4" s="224"/>
      <c r="H4" s="225">
        <v>22</v>
      </c>
      <c r="I4" s="224">
        <v>29.99</v>
      </c>
      <c r="J4" s="225">
        <f t="shared" si="0"/>
        <v>2.12886219974716</v>
      </c>
      <c r="K4" s="234">
        <f t="shared" si="1"/>
        <v>0.0967664636248707</v>
      </c>
      <c r="L4" s="232">
        <f t="shared" si="2"/>
        <v>0.266422140713571</v>
      </c>
      <c r="M4" s="231">
        <f t="shared" si="3"/>
        <v>0.340667678300455</v>
      </c>
      <c r="N4" s="225">
        <f t="shared" si="4"/>
        <v>7.99</v>
      </c>
      <c r="O4" s="233">
        <f t="shared" si="5"/>
        <v>49.7079646017699</v>
      </c>
      <c r="P4" s="224">
        <v>1</v>
      </c>
      <c r="Q4" s="222">
        <v>54</v>
      </c>
      <c r="R4" s="222">
        <v>7</v>
      </c>
      <c r="S4" s="238">
        <v>0.15</v>
      </c>
      <c r="T4" s="238">
        <f t="shared" si="6"/>
        <v>0.165</v>
      </c>
      <c r="U4" s="238">
        <v>0.01</v>
      </c>
      <c r="V4" s="231">
        <f t="shared" si="7"/>
        <v>0.322778990920584</v>
      </c>
      <c r="W4" s="238">
        <f t="shared" si="8"/>
        <v>0.0454545454545455</v>
      </c>
      <c r="X4" s="231">
        <f t="shared" si="9"/>
        <v>0.21</v>
      </c>
      <c r="Y4" s="242">
        <f t="shared" si="10"/>
        <v>3.3</v>
      </c>
      <c r="Z4" s="245">
        <v>3.63</v>
      </c>
      <c r="AA4" s="242">
        <f t="shared" si="11"/>
        <v>0.22</v>
      </c>
      <c r="AB4" s="243">
        <f t="shared" si="12"/>
        <v>4.62</v>
      </c>
      <c r="AC4" s="244">
        <v>46</v>
      </c>
      <c r="AD4" s="244">
        <f t="shared" si="13"/>
        <v>40.7079646017699</v>
      </c>
      <c r="AE4" s="233">
        <v>9</v>
      </c>
      <c r="AF4" s="238">
        <f t="shared" si="14"/>
        <v>0.264337432479025</v>
      </c>
      <c r="AG4" s="238">
        <f t="shared" si="15"/>
        <v>0.0584415584415584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 ht="13.2" spans="1:67">
      <c r="A5" s="222" t="s">
        <v>72</v>
      </c>
      <c r="B5" s="222"/>
      <c r="C5" s="222"/>
      <c r="D5" s="222"/>
      <c r="E5" s="223"/>
      <c r="F5" s="222"/>
      <c r="G5" s="224"/>
      <c r="H5" s="225">
        <v>21</v>
      </c>
      <c r="I5" s="224">
        <v>27.99</v>
      </c>
      <c r="J5" s="225">
        <f t="shared" si="0"/>
        <v>2.33886219974716</v>
      </c>
      <c r="K5" s="234">
        <f t="shared" si="1"/>
        <v>0.11137439046415</v>
      </c>
      <c r="L5" s="232">
        <f t="shared" si="2"/>
        <v>0.2497320471597</v>
      </c>
      <c r="M5" s="231">
        <f t="shared" si="3"/>
        <v>0.341666666666667</v>
      </c>
      <c r="N5" s="225">
        <f t="shared" si="4"/>
        <v>6.99</v>
      </c>
      <c r="O5" s="233">
        <f t="shared" si="5"/>
        <v>49.7079646017699</v>
      </c>
      <c r="P5" s="224">
        <v>1</v>
      </c>
      <c r="Q5" s="222">
        <v>54</v>
      </c>
      <c r="R5" s="222">
        <v>7</v>
      </c>
      <c r="S5" s="238">
        <v>0.15</v>
      </c>
      <c r="T5" s="238">
        <f t="shared" si="6"/>
        <v>0.132857142857143</v>
      </c>
      <c r="U5" s="238">
        <v>0.01</v>
      </c>
      <c r="V5" s="231">
        <f t="shared" si="7"/>
        <v>0.338149419059659</v>
      </c>
      <c r="W5" s="238">
        <f t="shared" si="8"/>
        <v>0.0476190476190476</v>
      </c>
      <c r="X5" s="231">
        <f t="shared" si="9"/>
        <v>0.21</v>
      </c>
      <c r="Y5" s="242">
        <f t="shared" si="10"/>
        <v>3.15</v>
      </c>
      <c r="Z5" s="245">
        <v>2.79</v>
      </c>
      <c r="AA5" s="242">
        <f t="shared" si="11"/>
        <v>0.21</v>
      </c>
      <c r="AB5" s="243">
        <f t="shared" si="12"/>
        <v>4.41</v>
      </c>
      <c r="AC5" s="244">
        <v>46</v>
      </c>
      <c r="AD5" s="244">
        <f t="shared" si="13"/>
        <v>40.7079646017699</v>
      </c>
      <c r="AE5" s="233">
        <v>9</v>
      </c>
      <c r="AF5" s="238">
        <f t="shared" si="14"/>
        <v>0.276924929263741</v>
      </c>
      <c r="AG5" s="238">
        <f t="shared" si="15"/>
        <v>0.0612244897959184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</row>
    <row r="6" ht="13.2" spans="1:67">
      <c r="A6" s="222" t="s">
        <v>72</v>
      </c>
      <c r="B6" s="222"/>
      <c r="C6" s="222"/>
      <c r="D6" s="222"/>
      <c r="E6" s="223"/>
      <c r="F6" s="222"/>
      <c r="G6" s="224"/>
      <c r="H6" s="225">
        <v>21</v>
      </c>
      <c r="I6" s="224">
        <v>27.99</v>
      </c>
      <c r="J6" s="225">
        <f t="shared" si="0"/>
        <v>0.828862199747157</v>
      </c>
      <c r="K6" s="234">
        <f t="shared" si="1"/>
        <v>0.0394696285593884</v>
      </c>
      <c r="L6" s="232">
        <f t="shared" si="2"/>
        <v>0.2497320471597</v>
      </c>
      <c r="M6" s="231">
        <f t="shared" si="3"/>
        <v>0.299704516673702</v>
      </c>
      <c r="N6" s="225">
        <f t="shared" si="4"/>
        <v>6.99</v>
      </c>
      <c r="O6" s="233">
        <f t="shared" si="5"/>
        <v>49.7079646017699</v>
      </c>
      <c r="P6" s="224">
        <v>1</v>
      </c>
      <c r="Q6" s="222">
        <v>54</v>
      </c>
      <c r="R6" s="222">
        <v>7</v>
      </c>
      <c r="S6" s="238">
        <v>0.15</v>
      </c>
      <c r="T6" s="238">
        <f t="shared" si="6"/>
        <v>0.204761904761905</v>
      </c>
      <c r="U6" s="238">
        <v>0.01</v>
      </c>
      <c r="V6" s="231">
        <f t="shared" si="7"/>
        <v>0.338149419059659</v>
      </c>
      <c r="W6" s="238">
        <f t="shared" si="8"/>
        <v>0.0476190476190476</v>
      </c>
      <c r="X6" s="231">
        <f t="shared" si="9"/>
        <v>0.21</v>
      </c>
      <c r="Y6" s="242">
        <f t="shared" si="10"/>
        <v>3.15</v>
      </c>
      <c r="Z6" s="245">
        <v>4.3</v>
      </c>
      <c r="AA6" s="242">
        <f t="shared" si="11"/>
        <v>0.21</v>
      </c>
      <c r="AB6" s="243">
        <f t="shared" si="12"/>
        <v>4.41</v>
      </c>
      <c r="AC6" s="244">
        <v>46</v>
      </c>
      <c r="AD6" s="244">
        <f t="shared" si="13"/>
        <v>40.7079646017699</v>
      </c>
      <c r="AE6" s="233">
        <v>9</v>
      </c>
      <c r="AF6" s="238">
        <f t="shared" si="14"/>
        <v>0.276924929263741</v>
      </c>
      <c r="AG6" s="238">
        <f t="shared" si="15"/>
        <v>0.0612244897959184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</row>
    <row r="7" ht="13.2" spans="1:67">
      <c r="A7" s="222" t="s">
        <v>73</v>
      </c>
      <c r="B7" s="222"/>
      <c r="C7" s="222"/>
      <c r="D7" s="222"/>
      <c r="E7" s="223"/>
      <c r="F7" s="222"/>
      <c r="G7" s="224"/>
      <c r="H7" s="225">
        <v>19</v>
      </c>
      <c r="I7" s="224">
        <v>34.99</v>
      </c>
      <c r="J7" s="225">
        <f t="shared" si="0"/>
        <v>3.53457648546144</v>
      </c>
      <c r="K7" s="231">
        <f t="shared" si="1"/>
        <v>0.186030341340076</v>
      </c>
      <c r="L7" s="232">
        <f t="shared" si="2"/>
        <v>0.456987710774507</v>
      </c>
      <c r="M7" s="231">
        <f t="shared" si="3"/>
        <v>0.530790872147546</v>
      </c>
      <c r="N7" s="225">
        <f t="shared" si="4"/>
        <v>15.99</v>
      </c>
      <c r="O7" s="233">
        <f t="shared" si="5"/>
        <v>40.7079646017699</v>
      </c>
      <c r="P7" s="224">
        <v>0</v>
      </c>
      <c r="Q7" s="222">
        <v>54</v>
      </c>
      <c r="R7" s="222">
        <v>7</v>
      </c>
      <c r="S7" s="238">
        <v>0.13</v>
      </c>
      <c r="T7" s="238">
        <f t="shared" si="6"/>
        <v>0.157894736842105</v>
      </c>
      <c r="U7" s="238">
        <v>0.01</v>
      </c>
      <c r="V7" s="231">
        <f t="shared" si="7"/>
        <v>0.306074921817819</v>
      </c>
      <c r="W7" s="238">
        <f t="shared" si="8"/>
        <v>0</v>
      </c>
      <c r="X7" s="231">
        <f t="shared" si="9"/>
        <v>0.21</v>
      </c>
      <c r="Y7" s="242">
        <f t="shared" si="10"/>
        <v>2.47</v>
      </c>
      <c r="Z7" s="242">
        <v>3</v>
      </c>
      <c r="AA7" s="242">
        <f t="shared" si="11"/>
        <v>0.19</v>
      </c>
      <c r="AB7" s="243">
        <f t="shared" si="12"/>
        <v>3.99</v>
      </c>
      <c r="AC7" s="244">
        <v>46</v>
      </c>
      <c r="AD7" s="244">
        <f t="shared" si="13"/>
        <v>40.7079646017699</v>
      </c>
      <c r="AE7" s="233">
        <v>0</v>
      </c>
      <c r="AF7" s="238">
        <f t="shared" si="14"/>
        <v>0.306074921817819</v>
      </c>
      <c r="AG7" s="238">
        <f t="shared" si="15"/>
        <v>0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 spans="1:1">
      <c r="A8" s="7"/>
    </row>
    <row r="9" spans="1:1">
      <c r="A9" s="7"/>
    </row>
    <row r="10" ht="20.6" customHeight="1" spans="1:5">
      <c r="A10" s="7"/>
      <c r="E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</sheetData>
  <conditionalFormatting sqref="D1">
    <cfRule type="duplicateValues" dxfId="0" priority="1"/>
  </conditionalFormatting>
  <pageMargins left="0.7" right="0.7" top="0.75" bottom="0.75" header="0.3" footer="0.3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84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H128" sqref="AH128:AJ132"/>
    </sheetView>
  </sheetViews>
  <sheetFormatPr defaultColWidth="17" defaultRowHeight="11.4"/>
  <cols>
    <col min="1" max="1" width="28.5" customWidth="1"/>
    <col min="2" max="2" width="3" customWidth="1"/>
    <col min="3" max="3" width="4.70833333333333" customWidth="1"/>
    <col min="4" max="4" width="6.45833333333333" customWidth="1"/>
    <col min="5" max="5" width="11.3541666666667" customWidth="1"/>
    <col min="6" max="6" width="15.0208333333333" customWidth="1"/>
    <col min="7" max="7" width="16.59375" customWidth="1"/>
    <col min="8" max="8" width="10.3020833333333" customWidth="1"/>
    <col min="9" max="9" width="11.6979166666667" customWidth="1"/>
    <col min="10" max="10" width="11.1666666666667" customWidth="1"/>
    <col min="11" max="11" width="9.08333333333333" customWidth="1"/>
    <col min="12" max="12" width="10.8333333333333" customWidth="1"/>
    <col min="13" max="13" width="11.6979166666667" customWidth="1"/>
    <col min="14" max="14" width="12.3958333333333" customWidth="1"/>
    <col min="15" max="15" width="13.2708333333333" customWidth="1"/>
    <col min="16" max="16" width="12.0520833333333" customWidth="1"/>
    <col min="17" max="17" width="12.3958333333333" customWidth="1"/>
    <col min="18" max="23" width="10.3020833333333" customWidth="1"/>
    <col min="24" max="24" width="11.875" customWidth="1"/>
    <col min="25" max="25" width="8.5625" customWidth="1"/>
    <col min="26" max="27" width="9.78125" customWidth="1"/>
    <col min="28" max="28" width="11.3541666666667" customWidth="1"/>
    <col min="29" max="29" width="16.59375" customWidth="1"/>
    <col min="30" max="30" width="19.5625" customWidth="1"/>
    <col min="31" max="31" width="12.21875" customWidth="1"/>
    <col min="32" max="75" width="16.59375" customWidth="1"/>
  </cols>
  <sheetData>
    <row r="1" ht="26.4" spans="1:75">
      <c r="A1" s="181" t="s">
        <v>74</v>
      </c>
      <c r="B1" s="182" t="s">
        <v>23</v>
      </c>
      <c r="C1" s="182" t="s">
        <v>75</v>
      </c>
      <c r="D1" s="182" t="s">
        <v>76</v>
      </c>
      <c r="E1" s="182" t="s">
        <v>77</v>
      </c>
      <c r="F1" s="183" t="s">
        <v>78</v>
      </c>
      <c r="G1" s="183" t="s">
        <v>79</v>
      </c>
      <c r="H1" s="182" t="s">
        <v>80</v>
      </c>
      <c r="I1" s="183" t="s">
        <v>81</v>
      </c>
      <c r="J1" s="182" t="s">
        <v>82</v>
      </c>
      <c r="K1" s="182" t="s">
        <v>83</v>
      </c>
      <c r="L1" s="182" t="s">
        <v>84</v>
      </c>
      <c r="M1" s="182" t="s">
        <v>85</v>
      </c>
      <c r="N1" s="182" t="s">
        <v>86</v>
      </c>
      <c r="O1" s="191" t="s">
        <v>87</v>
      </c>
      <c r="P1" s="182" t="s">
        <v>88</v>
      </c>
      <c r="Q1" s="194" t="s">
        <v>89</v>
      </c>
      <c r="R1" s="182" t="s">
        <v>90</v>
      </c>
      <c r="S1" s="182" t="s">
        <v>91</v>
      </c>
      <c r="T1" s="182" t="s">
        <v>92</v>
      </c>
      <c r="U1" s="182" t="s">
        <v>93</v>
      </c>
      <c r="V1" s="183" t="s">
        <v>10</v>
      </c>
      <c r="W1" s="183" t="s">
        <v>94</v>
      </c>
      <c r="X1" s="182" t="s">
        <v>95</v>
      </c>
      <c r="Y1" s="195" t="s">
        <v>96</v>
      </c>
      <c r="Z1" s="196" t="s">
        <v>97</v>
      </c>
      <c r="AA1" s="183" t="s">
        <v>98</v>
      </c>
      <c r="AB1" s="197" t="s">
        <v>99</v>
      </c>
      <c r="AC1" s="198" t="s">
        <v>100</v>
      </c>
      <c r="AD1" s="199" t="s">
        <v>101</v>
      </c>
      <c r="AE1" s="182" t="s">
        <v>102</v>
      </c>
      <c r="AF1" s="182" t="s">
        <v>103</v>
      </c>
      <c r="AG1" s="182" t="s">
        <v>63</v>
      </c>
      <c r="AH1" s="182" t="s">
        <v>59</v>
      </c>
      <c r="AI1" s="182" t="s">
        <v>104</v>
      </c>
      <c r="AJ1" s="182" t="s">
        <v>85</v>
      </c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</row>
    <row r="2" spans="1:36">
      <c r="A2" s="7" t="s">
        <v>105</v>
      </c>
      <c r="B2" s="8">
        <v>7.5</v>
      </c>
      <c r="C2" s="8" t="s">
        <v>106</v>
      </c>
      <c r="D2" s="8" t="s">
        <v>107</v>
      </c>
      <c r="E2" s="8" t="s">
        <v>108</v>
      </c>
      <c r="F2" s="184">
        <f>IF(E2="有",(I2/B2+J2+Z2/B2)/(0.99999-K2-L2-M2-N2),(I2/B2+J2+Z2/B2)/(0.99999-K2-M2-N2))</f>
        <v>59.1357829995672</v>
      </c>
      <c r="G2" s="184">
        <f>IF(E2="有",(I2/B2+J2+Z2/B2)/(0.8-K2-L2-M2-N2-O2-P2),(I2/B2+J2+Z2/B2)/(0.8-K2-M2-N2-O2-P2))</f>
        <v>113.299616855794</v>
      </c>
      <c r="H2" s="47">
        <v>129.99</v>
      </c>
      <c r="I2" s="184">
        <f>138.5/1.13</f>
        <v>122.566371681416</v>
      </c>
      <c r="J2" s="8">
        <v>5.69</v>
      </c>
      <c r="K2" s="192">
        <v>0.15</v>
      </c>
      <c r="L2" s="192">
        <v>0.16</v>
      </c>
      <c r="M2" s="192">
        <v>0.07</v>
      </c>
      <c r="N2" s="192">
        <v>0.15</v>
      </c>
      <c r="O2" s="193">
        <f>0.61/H2</f>
        <v>0.00469266866682052</v>
      </c>
      <c r="P2" s="192">
        <v>0.02</v>
      </c>
      <c r="Q2" s="192"/>
      <c r="R2" s="8">
        <v>33.5</v>
      </c>
      <c r="S2" s="8">
        <v>26.5</v>
      </c>
      <c r="T2" s="8">
        <v>25</v>
      </c>
      <c r="U2" s="8">
        <v>2.3</v>
      </c>
      <c r="V2" s="184">
        <f>R2*S2*T2/6000</f>
        <v>3.69895833333333</v>
      </c>
      <c r="W2" s="184">
        <f>MAX(U2:V2)</f>
        <v>3.69895833333333</v>
      </c>
      <c r="X2" s="8" t="s">
        <v>16</v>
      </c>
      <c r="Y2" s="200">
        <v>11.68108</v>
      </c>
      <c r="Z2" s="201">
        <f>W2*Y2</f>
        <v>43.2078282083333</v>
      </c>
      <c r="AA2" s="184">
        <f>H2-SUM(K2:P2)*H2-J2-I2/B2-Z2/B2</f>
        <v>30.0922733480334</v>
      </c>
      <c r="AB2" s="202">
        <f>AA2/H2</f>
        <v>0.231496833202811</v>
      </c>
      <c r="AC2" s="8"/>
      <c r="AD2" s="203">
        <f>J2/H2</f>
        <v>0.0437725978921455</v>
      </c>
      <c r="AE2" s="192">
        <f>I2/7.4/H2</f>
        <v>0.127417672130097</v>
      </c>
      <c r="AF2" s="192">
        <f>Z2/7.4/H2</f>
        <v>0.0449180375708041</v>
      </c>
      <c r="AG2" s="192">
        <v>0.15</v>
      </c>
      <c r="AH2" s="192">
        <v>0.15</v>
      </c>
      <c r="AI2" s="192">
        <v>0.02</v>
      </c>
      <c r="AJ2" s="192">
        <f>M2</f>
        <v>0.07</v>
      </c>
    </row>
    <row r="3" spans="1:36">
      <c r="A3" s="7" t="s">
        <v>109</v>
      </c>
      <c r="B3" s="8">
        <v>7.5</v>
      </c>
      <c r="C3" s="9" t="s">
        <v>106</v>
      </c>
      <c r="D3" s="9" t="s">
        <v>107</v>
      </c>
      <c r="E3" s="9" t="s">
        <v>108</v>
      </c>
      <c r="F3" s="184">
        <f>IF(E3="有",(I3/B3+J3+Z3/B3)/(0.99999-K3-L3-M3-N3),(I3/B3+J3+Z3/B3)/(0.99999-K3-M3-N3))</f>
        <v>59.1357829995672</v>
      </c>
      <c r="G3" s="184">
        <f>IF(E3="有",(I3/B3+J3+Z3/B3)/(0.8-K3-L3-M3-N3-O3-P3),(I3/B3+J3+Z3/B3)/(0.8-K3-M3-N3-O3-P3))</f>
        <v>113.386385939757</v>
      </c>
      <c r="H3" s="47">
        <v>124.99</v>
      </c>
      <c r="I3" s="184">
        <f>138.5/1.13</f>
        <v>122.566371681416</v>
      </c>
      <c r="J3" s="9">
        <v>5.69</v>
      </c>
      <c r="K3" s="192">
        <v>0.15</v>
      </c>
      <c r="L3" s="192">
        <v>0.16</v>
      </c>
      <c r="M3" s="192">
        <v>0.07</v>
      </c>
      <c r="N3" s="192">
        <v>0.15</v>
      </c>
      <c r="O3" s="193">
        <f>0.61/H3</f>
        <v>0.0048803904312345</v>
      </c>
      <c r="P3" s="192">
        <v>0.02</v>
      </c>
      <c r="Q3" s="192"/>
      <c r="R3" s="8">
        <v>33.5</v>
      </c>
      <c r="S3" s="8">
        <v>26.5</v>
      </c>
      <c r="T3" s="8">
        <v>25</v>
      </c>
      <c r="U3" s="8">
        <v>2.3</v>
      </c>
      <c r="V3" s="184">
        <f>R3*S3*T3/6000</f>
        <v>3.69895833333333</v>
      </c>
      <c r="W3" s="184">
        <f>MAX(U3:V3)</f>
        <v>3.69895833333333</v>
      </c>
      <c r="X3" s="9" t="s">
        <v>16</v>
      </c>
      <c r="Y3" s="200">
        <v>11.68108</v>
      </c>
      <c r="Z3" s="201">
        <f>W3*Y3</f>
        <v>43.2078282083333</v>
      </c>
      <c r="AA3" s="184">
        <f>H3-SUM(K3:P3)*H3-J3-I3/B3-Z3/B3</f>
        <v>27.8422733480334</v>
      </c>
      <c r="AB3" s="202">
        <f>AA3/H3</f>
        <v>0.222756007264849</v>
      </c>
      <c r="AC3" s="8"/>
      <c r="AD3" s="203">
        <f>J3/H3</f>
        <v>0.0455236418913513</v>
      </c>
      <c r="AE3" s="192">
        <f>I3/7.4/H3</f>
        <v>0.132514786784474</v>
      </c>
      <c r="AF3" s="192">
        <f>Z3/7.4/H3</f>
        <v>0.0467149028228565</v>
      </c>
      <c r="AG3" s="192">
        <v>0.15</v>
      </c>
      <c r="AH3" s="192">
        <v>0.15</v>
      </c>
      <c r="AI3" s="192">
        <v>0.02</v>
      </c>
      <c r="AJ3" s="192">
        <f>M3</f>
        <v>0.07</v>
      </c>
    </row>
    <row r="4" spans="1:36">
      <c r="A4" s="7" t="s">
        <v>110</v>
      </c>
      <c r="B4" s="8">
        <v>7.5</v>
      </c>
      <c r="C4" s="9" t="s">
        <v>106</v>
      </c>
      <c r="D4" s="9" t="s">
        <v>107</v>
      </c>
      <c r="E4" s="9" t="s">
        <v>108</v>
      </c>
      <c r="F4" s="184">
        <f>IF(E4="有",(I4/B4+J4+Z4/B4)/(0.99999-K4-L4-M4-N4),(I4/B4+J4+Z4/B4)/(0.99999-K4-M4-N4))</f>
        <v>59.1357829995672</v>
      </c>
      <c r="G4" s="184">
        <f>IF(E4="有",(I4/B4+J4+Z4/B4)/(0.8-K4-L4-M4-N4-O4-P4),(I4/B4+J4+Z4/B4)/(0.8-K4-M4-N4-O4-P4))</f>
        <v>113.480536485563</v>
      </c>
      <c r="H4" s="47">
        <v>119.99</v>
      </c>
      <c r="I4" s="184">
        <f>138.5/1.13</f>
        <v>122.566371681416</v>
      </c>
      <c r="J4" s="9">
        <v>5.69</v>
      </c>
      <c r="K4" s="192">
        <v>0.15</v>
      </c>
      <c r="L4" s="192">
        <v>0.16</v>
      </c>
      <c r="M4" s="192">
        <v>0.07</v>
      </c>
      <c r="N4" s="192">
        <v>0.15</v>
      </c>
      <c r="O4" s="193">
        <f>0.61/H4</f>
        <v>0.00508375697974831</v>
      </c>
      <c r="P4" s="192">
        <v>0.02</v>
      </c>
      <c r="Q4" s="192"/>
      <c r="R4" s="8">
        <v>33.5</v>
      </c>
      <c r="S4" s="8">
        <v>26.5</v>
      </c>
      <c r="T4" s="8">
        <v>25</v>
      </c>
      <c r="U4" s="8">
        <v>2.3</v>
      </c>
      <c r="V4" s="184">
        <f>R4*S4*T4/6000</f>
        <v>3.69895833333333</v>
      </c>
      <c r="W4" s="184">
        <f>MAX(U4:V4)</f>
        <v>3.69895833333333</v>
      </c>
      <c r="X4" s="9" t="s">
        <v>16</v>
      </c>
      <c r="Y4" s="200">
        <v>11.68108</v>
      </c>
      <c r="Z4" s="201">
        <f>W4*Y4</f>
        <v>43.2078282083333</v>
      </c>
      <c r="AA4" s="184">
        <f>H4-SUM(K4:P4)*H4-J4-I4/B4-Z4/B4</f>
        <v>25.5922733480334</v>
      </c>
      <c r="AB4" s="202">
        <f>AA4/H4</f>
        <v>0.21328671846015</v>
      </c>
      <c r="AC4" s="8"/>
      <c r="AD4" s="203">
        <f>J4/H4</f>
        <v>0.0474206183848654</v>
      </c>
      <c r="AE4" s="192">
        <f>I4/7.4/H4</f>
        <v>0.138036696392961</v>
      </c>
      <c r="AF4" s="192">
        <f>Z4/7.4/H4</f>
        <v>0.048661519325184</v>
      </c>
      <c r="AG4" s="192">
        <v>0.15</v>
      </c>
      <c r="AH4" s="192">
        <v>0.15</v>
      </c>
      <c r="AI4" s="192">
        <v>0.02</v>
      </c>
      <c r="AJ4" s="192">
        <f>M4</f>
        <v>0.07</v>
      </c>
    </row>
    <row r="5" spans="1:75">
      <c r="A5" s="7"/>
      <c r="B5" s="9"/>
      <c r="C5" s="9"/>
      <c r="D5" s="9"/>
      <c r="E5" s="9"/>
      <c r="F5" s="184"/>
      <c r="G5" s="184"/>
      <c r="H5" s="9"/>
      <c r="I5" s="184"/>
      <c r="J5" s="9"/>
      <c r="K5" s="192"/>
      <c r="L5" s="192"/>
      <c r="M5" s="192"/>
      <c r="N5" s="192"/>
      <c r="O5" s="193"/>
      <c r="P5" s="192"/>
      <c r="Q5" s="192"/>
      <c r="R5" s="8"/>
      <c r="S5" s="8"/>
      <c r="T5" s="8"/>
      <c r="U5" s="8"/>
      <c r="V5" s="184"/>
      <c r="W5" s="184"/>
      <c r="X5" s="9"/>
      <c r="Y5" s="200"/>
      <c r="Z5" s="201"/>
      <c r="AA5" s="184"/>
      <c r="AB5" s="202"/>
      <c r="AC5" s="8"/>
      <c r="AD5" s="203"/>
      <c r="AE5" s="192"/>
      <c r="AF5" s="192"/>
      <c r="AG5" s="192"/>
      <c r="AH5" s="192"/>
      <c r="AI5" s="192"/>
      <c r="AJ5" s="192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spans="1:75">
      <c r="A6" s="7" t="s">
        <v>111</v>
      </c>
      <c r="B6" s="9">
        <v>7.4</v>
      </c>
      <c r="C6" s="9" t="s">
        <v>106</v>
      </c>
      <c r="D6" s="9" t="s">
        <v>107</v>
      </c>
      <c r="E6" s="9" t="s">
        <v>108</v>
      </c>
      <c r="F6" s="184">
        <f>IF(E6="有",(I6/B6+J6+Z6/B6)/(0.99999-K6-L6-M6-N6),(I6/B6+J6+Z6/B6)/(0.99999-K6-M6-N6))</f>
        <v>66.8204555837059</v>
      </c>
      <c r="G6" s="184">
        <f>IF(E6="有",(I6/B6+J6+Z6/B6)/(0.8-K6-L6-M6-N6-O6-P6),(I6/B6+J6+Z6/B6)/(0.8-K6-M6-N6-O6-P6))</f>
        <v>128.227289184691</v>
      </c>
      <c r="H6" s="9">
        <v>119.99</v>
      </c>
      <c r="I6" s="184">
        <f>138.5/1.13</f>
        <v>122.566371681416</v>
      </c>
      <c r="J6" s="9">
        <v>5.69</v>
      </c>
      <c r="K6" s="192">
        <v>0.15</v>
      </c>
      <c r="L6" s="192">
        <v>0.16</v>
      </c>
      <c r="M6" s="192">
        <v>0.07</v>
      </c>
      <c r="N6" s="192">
        <v>0.15</v>
      </c>
      <c r="O6" s="193">
        <f>0.61/H6</f>
        <v>0.00508375697974831</v>
      </c>
      <c r="P6" s="192">
        <v>0.02</v>
      </c>
      <c r="Q6" s="192"/>
      <c r="R6" s="8">
        <v>33.5</v>
      </c>
      <c r="S6" s="8">
        <v>26.5</v>
      </c>
      <c r="T6" s="8">
        <v>25</v>
      </c>
      <c r="U6" s="8">
        <v>2.3</v>
      </c>
      <c r="V6" s="184">
        <f>R6*S6*T6/6000</f>
        <v>3.69895833333333</v>
      </c>
      <c r="W6" s="184">
        <f>MAX(U6:V6)</f>
        <v>3.69895833333333</v>
      </c>
      <c r="X6" s="8" t="s">
        <v>112</v>
      </c>
      <c r="Y6" s="200">
        <v>18.309</v>
      </c>
      <c r="Z6" s="201">
        <f>W6*Y6</f>
        <v>67.724228125</v>
      </c>
      <c r="AA6" s="184">
        <f>H6-SUM(K6:P6)*H6-J6-I6/B6-Z6/B6</f>
        <v>21.9805540802141</v>
      </c>
      <c r="AB6" s="202">
        <f>AA6/H6</f>
        <v>0.183186549547579</v>
      </c>
      <c r="AC6" s="8"/>
      <c r="AD6" s="203">
        <f>J6/H6</f>
        <v>0.0474206183848654</v>
      </c>
      <c r="AE6" s="192">
        <f>I6/7.4/H6</f>
        <v>0.138036696392961</v>
      </c>
      <c r="AF6" s="192">
        <f>Z6/7.4/H6</f>
        <v>0.0762723786948462</v>
      </c>
      <c r="AG6" s="192">
        <v>0.15</v>
      </c>
      <c r="AH6" s="192">
        <v>0.15</v>
      </c>
      <c r="AI6" s="192">
        <v>0.02</v>
      </c>
      <c r="AJ6" s="192">
        <f>M6</f>
        <v>0.07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75">
      <c r="A7" s="7" t="s">
        <v>113</v>
      </c>
      <c r="B7" s="9">
        <v>7.4</v>
      </c>
      <c r="C7" s="9" t="s">
        <v>106</v>
      </c>
      <c r="D7" s="9" t="s">
        <v>107</v>
      </c>
      <c r="E7" s="9" t="s">
        <v>108</v>
      </c>
      <c r="F7" s="184">
        <f>IF(E7="有",(I7/B7+J7+Z7/B7)/(0.99999-K7-L7-M7-N7),(I7/B7+J7+Z7/B7)/(0.99999-K7-M7-N7))</f>
        <v>66.8204555837059</v>
      </c>
      <c r="G7" s="184">
        <f>IF(E7="有",(I7/B7+J7+Z7/B7)/(0.8-K7-L7-M7-N7-O7-P7),(I7/B7+J7+Z7/B7)/(0.8-K7-M7-N7-O7-P7))</f>
        <v>128.469735070842</v>
      </c>
      <c r="H7" s="8">
        <v>109.99</v>
      </c>
      <c r="I7" s="184">
        <f>138.5/1.13</f>
        <v>122.566371681416</v>
      </c>
      <c r="J7" s="9">
        <v>5.69</v>
      </c>
      <c r="K7" s="192">
        <v>0.15</v>
      </c>
      <c r="L7" s="192">
        <v>0.16</v>
      </c>
      <c r="M7" s="192">
        <v>0.07</v>
      </c>
      <c r="N7" s="192">
        <v>0.15</v>
      </c>
      <c r="O7" s="193">
        <f>0.61/H7</f>
        <v>0.00554595872352032</v>
      </c>
      <c r="P7" s="192">
        <v>0.02</v>
      </c>
      <c r="Q7" s="192"/>
      <c r="R7" s="8">
        <v>33.5</v>
      </c>
      <c r="S7" s="8">
        <v>26.5</v>
      </c>
      <c r="T7" s="8">
        <v>25</v>
      </c>
      <c r="U7" s="8">
        <v>2.3</v>
      </c>
      <c r="V7" s="184">
        <f>R7*S7*T7/6000</f>
        <v>3.69895833333333</v>
      </c>
      <c r="W7" s="184">
        <f>MAX(U7:V7)</f>
        <v>3.69895833333333</v>
      </c>
      <c r="X7" s="9" t="s">
        <v>112</v>
      </c>
      <c r="Y7" s="200">
        <v>18.309</v>
      </c>
      <c r="Z7" s="201">
        <f>W7*Y7</f>
        <v>67.724228125</v>
      </c>
      <c r="AA7" s="184">
        <f>H7-SUM(K7:P7)*H7-J7-I7/B7-Z7/B7</f>
        <v>17.4805540802141</v>
      </c>
      <c r="AB7" s="202">
        <f>AA7/H7</f>
        <v>0.158928576054315</v>
      </c>
      <c r="AC7" s="8"/>
      <c r="AD7" s="203">
        <f>J7/H7</f>
        <v>0.0517319756341486</v>
      </c>
      <c r="AE7" s="192">
        <f>I7/7.4/H7</f>
        <v>0.150586627877001</v>
      </c>
      <c r="AF7" s="192">
        <f>Z7/7.4/H7</f>
        <v>0.0832068617110155</v>
      </c>
      <c r="AG7" s="192">
        <v>0.15</v>
      </c>
      <c r="AH7" s="192">
        <v>0.15</v>
      </c>
      <c r="AI7" s="192">
        <v>0.02</v>
      </c>
      <c r="AJ7" s="192">
        <f>M7</f>
        <v>0.07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spans="1:75">
      <c r="A8" s="7" t="s">
        <v>114</v>
      </c>
      <c r="B8" s="9">
        <v>7.4</v>
      </c>
      <c r="C8" s="9" t="s">
        <v>106</v>
      </c>
      <c r="D8" s="9" t="s">
        <v>107</v>
      </c>
      <c r="E8" s="9" t="s">
        <v>108</v>
      </c>
      <c r="F8" s="184">
        <f>IF(E8="有",(I8/B8+J8+Z8/B8)/(0.99999-K8-L8-M8-N8),(I8/B8+J8+Z8/B8)/(0.99999-K8-M8-N8))</f>
        <v>66.8204555837059</v>
      </c>
      <c r="G8" s="184">
        <f>IF(E8="有",(I8/B8+J8+Z8/B8)/(0.8-K8-L8-M8-N8-O8-P8),(I8/B8+J8+Z8/B8)/(0.8-K8-M8-N8-O8-P8))</f>
        <v>128.76188795569</v>
      </c>
      <c r="H8" s="8">
        <v>99.99</v>
      </c>
      <c r="I8" s="184">
        <f>138.5/1.13</f>
        <v>122.566371681416</v>
      </c>
      <c r="J8" s="9">
        <v>5.69</v>
      </c>
      <c r="K8" s="192">
        <v>0.15</v>
      </c>
      <c r="L8" s="192">
        <v>0.16</v>
      </c>
      <c r="M8" s="192">
        <v>0.07</v>
      </c>
      <c r="N8" s="192">
        <v>0.15</v>
      </c>
      <c r="O8" s="193">
        <f>0.61/H8</f>
        <v>0.0061006100610061</v>
      </c>
      <c r="P8" s="192">
        <v>0.02</v>
      </c>
      <c r="Q8" s="192"/>
      <c r="R8" s="8">
        <v>33.5</v>
      </c>
      <c r="S8" s="8">
        <v>26.5</v>
      </c>
      <c r="T8" s="8">
        <v>25</v>
      </c>
      <c r="U8" s="8">
        <v>2.3</v>
      </c>
      <c r="V8" s="184">
        <f>R8*S8*T8/6000</f>
        <v>3.69895833333333</v>
      </c>
      <c r="W8" s="184">
        <f>MAX(U8:V8)</f>
        <v>3.69895833333333</v>
      </c>
      <c r="X8" s="9" t="s">
        <v>112</v>
      </c>
      <c r="Y8" s="200">
        <v>18.309</v>
      </c>
      <c r="Z8" s="201">
        <f>W8*Y8</f>
        <v>67.724228125</v>
      </c>
      <c r="AA8" s="184">
        <f>H8-SUM(K8:P8)*H8-J8-I8/B8-Z8/B8</f>
        <v>12.9805540802141</v>
      </c>
      <c r="AB8" s="202">
        <f>AA8/H8</f>
        <v>0.129818522654406</v>
      </c>
      <c r="AC8" s="8"/>
      <c r="AD8" s="203">
        <f>J8/H8</f>
        <v>0.0569056905690569</v>
      </c>
      <c r="AE8" s="192">
        <f>I8/7.4/H8</f>
        <v>0.165646796681582</v>
      </c>
      <c r="AF8" s="192">
        <f>Z8/7.4/H8</f>
        <v>0.0915283800339493</v>
      </c>
      <c r="AG8" s="192">
        <v>0.15</v>
      </c>
      <c r="AH8" s="192">
        <v>0.15</v>
      </c>
      <c r="AI8" s="192">
        <v>0.02</v>
      </c>
      <c r="AJ8" s="192">
        <f>M8</f>
        <v>0.07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spans="1:75">
      <c r="A9" s="7"/>
      <c r="B9" s="9"/>
      <c r="C9" s="9"/>
      <c r="D9" s="9"/>
      <c r="E9" s="9"/>
      <c r="F9" s="184"/>
      <c r="G9" s="184"/>
      <c r="H9" s="9"/>
      <c r="I9" s="184"/>
      <c r="J9" s="9"/>
      <c r="K9" s="192"/>
      <c r="L9" s="192"/>
      <c r="M9" s="192"/>
      <c r="N9" s="192"/>
      <c r="O9" s="193"/>
      <c r="P9" s="192"/>
      <c r="Q9" s="192"/>
      <c r="R9" s="8"/>
      <c r="S9" s="8"/>
      <c r="T9" s="8"/>
      <c r="U9" s="8"/>
      <c r="V9" s="184"/>
      <c r="W9" s="184"/>
      <c r="X9" s="9"/>
      <c r="Y9" s="200"/>
      <c r="Z9" s="201"/>
      <c r="AA9" s="184"/>
      <c r="AB9" s="202"/>
      <c r="AC9" s="8"/>
      <c r="AD9" s="203"/>
      <c r="AE9" s="192"/>
      <c r="AF9" s="192"/>
      <c r="AG9" s="192"/>
      <c r="AH9" s="192"/>
      <c r="AI9" s="192"/>
      <c r="AJ9" s="192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spans="1:75">
      <c r="A10" s="185" t="s">
        <v>115</v>
      </c>
      <c r="B10" s="9">
        <v>8</v>
      </c>
      <c r="C10" s="9" t="s">
        <v>106</v>
      </c>
      <c r="D10" s="9" t="s">
        <v>107</v>
      </c>
      <c r="E10" s="9" t="s">
        <v>108</v>
      </c>
      <c r="F10" s="184">
        <f>IF(E10="有",(I10/B10+J10+Z10/B10)/(0.99999-K10-L10-M10-N10),(I10/B10+J10+Z10/B10)/(0.99999-K10-M10-N10))</f>
        <v>47.8854963330265</v>
      </c>
      <c r="G10" s="184">
        <f>IF(E10="有",(I10/B10+J10+Z10/B10)/(0.8-K10-L10-M10-N10-O10-P10),(I10/B10+J10+Z10/B10)/(0.8-K10-M10-N10-O10-P10))</f>
        <v>86.6849206080938</v>
      </c>
      <c r="H10" s="186">
        <v>89.99</v>
      </c>
      <c r="I10" s="184">
        <f>138.5/1.13</f>
        <v>122.566371681416</v>
      </c>
      <c r="J10" s="9">
        <v>5.69</v>
      </c>
      <c r="K10" s="192">
        <v>0.15</v>
      </c>
      <c r="L10" s="192">
        <v>0.16</v>
      </c>
      <c r="M10" s="192">
        <v>0.05</v>
      </c>
      <c r="N10" s="192">
        <f>Q10/H10</f>
        <v>0.133348149794422</v>
      </c>
      <c r="O10" s="193">
        <f>0.61/H10</f>
        <v>0.0067785309478831</v>
      </c>
      <c r="P10" s="192">
        <v>0.02</v>
      </c>
      <c r="Q10" s="184">
        <v>12</v>
      </c>
      <c r="R10" s="8">
        <v>33.5</v>
      </c>
      <c r="S10" s="8">
        <v>26.5</v>
      </c>
      <c r="T10" s="8">
        <v>25</v>
      </c>
      <c r="U10" s="8">
        <v>2.3</v>
      </c>
      <c r="V10" s="184">
        <f>R10*S10*T10/6000</f>
        <v>3.69895833333333</v>
      </c>
      <c r="W10" s="184">
        <f>MAX(U10:V10)</f>
        <v>3.69895833333333</v>
      </c>
      <c r="X10" s="8" t="s">
        <v>17</v>
      </c>
      <c r="Y10" s="200">
        <v>5.55136</v>
      </c>
      <c r="Z10" s="201">
        <v>26</v>
      </c>
      <c r="AA10" s="184">
        <f>H10-SUM(K10:P10)*H10-J10-I10/B10-Z10/B10</f>
        <v>18.923003539823</v>
      </c>
      <c r="AB10" s="202">
        <f>AA10/H10</f>
        <v>0.210278959215724</v>
      </c>
      <c r="AC10" s="8"/>
      <c r="AD10" s="203">
        <f>J10/H10</f>
        <v>0.0632292476941883</v>
      </c>
      <c r="AE10" s="192">
        <f>I10/7.4/H10</f>
        <v>0.1840540415623</v>
      </c>
      <c r="AF10" s="192">
        <f>Z10/7.4/H10</f>
        <v>0.0390433771920604</v>
      </c>
      <c r="AG10" s="192">
        <v>0.15</v>
      </c>
      <c r="AH10" s="192">
        <v>0.15</v>
      </c>
      <c r="AI10" s="192">
        <v>0.02</v>
      </c>
      <c r="AJ10" s="192">
        <f>M10</f>
        <v>0.05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spans="1:75">
      <c r="A11" s="187" t="s">
        <v>116</v>
      </c>
      <c r="B11" s="9">
        <v>8</v>
      </c>
      <c r="C11" s="9" t="s">
        <v>106</v>
      </c>
      <c r="D11" s="9" t="s">
        <v>107</v>
      </c>
      <c r="E11" s="9" t="s">
        <v>108</v>
      </c>
      <c r="F11" s="184">
        <f>IF(E11="有",(I11/B11+J11+Z11/B11)/(0.99999-K11-L11-M11-N11),(I11/B11+J11+Z11/B11)/(0.99999-K11-M11-N11))</f>
        <v>48.4164636096238</v>
      </c>
      <c r="G11" s="184">
        <f>IF(E11="有",(I11/B11+J11+Z11/B11)/(0.8-K11-L11-M11-N11-O11-P11),(I11/B11+J11+Z11/B11)/(0.8-K11-M11-N11-O11-P11))</f>
        <v>88.990436404859</v>
      </c>
      <c r="H11" s="186">
        <f>H10*0.8</f>
        <v>71.992</v>
      </c>
      <c r="I11" s="184">
        <f>138.5/1.13</f>
        <v>122.566371681416</v>
      </c>
      <c r="J11" s="9">
        <v>5.69</v>
      </c>
      <c r="K11" s="192">
        <v>0.15</v>
      </c>
      <c r="L11" s="192">
        <v>0.16</v>
      </c>
      <c r="M11" s="192">
        <v>0.05</v>
      </c>
      <c r="N11" s="192">
        <f>Q11/H11</f>
        <v>0.138904322702522</v>
      </c>
      <c r="O11" s="193">
        <f>0.61/H11</f>
        <v>0.00847316368485387</v>
      </c>
      <c r="P11" s="192">
        <v>0.02</v>
      </c>
      <c r="Q11" s="184">
        <v>10</v>
      </c>
      <c r="R11" s="8">
        <v>33.5</v>
      </c>
      <c r="S11" s="8">
        <v>26.5</v>
      </c>
      <c r="T11" s="8">
        <v>25</v>
      </c>
      <c r="U11" s="8">
        <v>2.3</v>
      </c>
      <c r="V11" s="184">
        <f>R11*S11*T11/6000</f>
        <v>3.69895833333333</v>
      </c>
      <c r="W11" s="184">
        <f>MAX(U11:V11)</f>
        <v>3.69895833333333</v>
      </c>
      <c r="X11" s="9" t="s">
        <v>17</v>
      </c>
      <c r="Y11" s="200">
        <v>5.55136</v>
      </c>
      <c r="Z11" s="201">
        <v>26</v>
      </c>
      <c r="AA11" s="184">
        <f>H11-SUM(K11:P11)*H11-J11-I11/B11-Z11/B11</f>
        <v>9.76424353982301</v>
      </c>
      <c r="AB11" s="202">
        <f>AA11/H11</f>
        <v>0.13562956356016</v>
      </c>
      <c r="AC11" s="8"/>
      <c r="AD11" s="203">
        <f>J11/H11</f>
        <v>0.0790365596177353</v>
      </c>
      <c r="AE11" s="192">
        <f>I11/B11/H11</f>
        <v>0.212812485556409</v>
      </c>
      <c r="AF11" s="192">
        <f>Z11/B11/H11</f>
        <v>0.0451439048783198</v>
      </c>
      <c r="AG11" s="192">
        <f>K11</f>
        <v>0.15</v>
      </c>
      <c r="AH11" s="192">
        <f>N11</f>
        <v>0.138904322702522</v>
      </c>
      <c r="AI11" s="192">
        <v>0.02</v>
      </c>
      <c r="AJ11" s="192">
        <f>M11</f>
        <v>0.05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spans="1:75">
      <c r="A12" s="187" t="s">
        <v>117</v>
      </c>
      <c r="B12" s="9">
        <v>8</v>
      </c>
      <c r="C12" s="9" t="s">
        <v>106</v>
      </c>
      <c r="D12" s="9" t="s">
        <v>107</v>
      </c>
      <c r="E12" s="9" t="s">
        <v>108</v>
      </c>
      <c r="F12" s="184">
        <f>IF(E12="有",(I12/B12+J12+Z12/B12)/(0.99999-K12-L12-M12-N12),(I12/B12+J12+Z12/B12)/(0.99999-K12-M12-N12))</f>
        <v>48.4164636096238</v>
      </c>
      <c r="G12" s="184">
        <f>IF(E12="有",(I12/B12+J12+Z12/B12)/(0.8-K12-L12-M12-N12-O12-P12),(I12/B12+J12+Z12/B12)/(0.8-K12-M12-N12-O12-P12))</f>
        <v>89.6873114171441</v>
      </c>
      <c r="H12" s="186">
        <f>H11*0.8</f>
        <v>57.5936</v>
      </c>
      <c r="I12" s="184">
        <f>138.5/1.13</f>
        <v>122.566371681416</v>
      </c>
      <c r="J12" s="9">
        <v>5.69</v>
      </c>
      <c r="K12" s="192">
        <v>0.15</v>
      </c>
      <c r="L12" s="192">
        <v>0.16</v>
      </c>
      <c r="M12" s="192">
        <v>0.05</v>
      </c>
      <c r="N12" s="192">
        <f>Q12/H12</f>
        <v>0.138904322702522</v>
      </c>
      <c r="O12" s="193">
        <f>0.61/H12</f>
        <v>0.0105914546060673</v>
      </c>
      <c r="P12" s="192">
        <v>0.02</v>
      </c>
      <c r="Q12" s="184">
        <v>8</v>
      </c>
      <c r="R12" s="8">
        <v>33.5</v>
      </c>
      <c r="S12" s="8">
        <v>26.5</v>
      </c>
      <c r="T12" s="8">
        <v>25</v>
      </c>
      <c r="U12" s="8">
        <v>2.3</v>
      </c>
      <c r="V12" s="184">
        <f>R12*S12*T12/6000</f>
        <v>3.69895833333333</v>
      </c>
      <c r="W12" s="184">
        <f>MAX(U12:V12)</f>
        <v>3.69895833333333</v>
      </c>
      <c r="X12" s="9" t="s">
        <v>17</v>
      </c>
      <c r="Y12" s="200">
        <v>5.55136</v>
      </c>
      <c r="Z12" s="201">
        <v>26</v>
      </c>
      <c r="AA12" s="184">
        <f>H12-SUM(K12:P12)*H12-J12-I12/B12-Z12/B12</f>
        <v>2.83723553982301</v>
      </c>
      <c r="AB12" s="202">
        <f>AA12/H12</f>
        <v>0.0492630351258301</v>
      </c>
      <c r="AC12" s="8"/>
      <c r="AD12" s="203">
        <f>J12/H12</f>
        <v>0.0987956995221691</v>
      </c>
      <c r="AE12" s="192">
        <f>I12/7.4/H12</f>
        <v>0.287584439941093</v>
      </c>
      <c r="AF12" s="192">
        <f>Z12/7.4/H12</f>
        <v>0.0610052768625943</v>
      </c>
      <c r="AG12" s="192">
        <v>0.15</v>
      </c>
      <c r="AH12" s="192">
        <v>0.15</v>
      </c>
      <c r="AI12" s="192">
        <v>0.02</v>
      </c>
      <c r="AJ12" s="192">
        <f>M12</f>
        <v>0.05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spans="2:36">
      <c r="B13" s="8"/>
      <c r="C13" s="8"/>
      <c r="D13" s="8"/>
      <c r="E13" s="8"/>
      <c r="F13" s="184"/>
      <c r="G13" s="184"/>
      <c r="H13" s="188"/>
      <c r="I13" s="184"/>
      <c r="J13" s="9"/>
      <c r="K13" s="192"/>
      <c r="L13" s="192"/>
      <c r="M13" s="192"/>
      <c r="N13" s="192"/>
      <c r="O13" s="193"/>
      <c r="P13" s="192"/>
      <c r="Q13" s="184"/>
      <c r="R13" s="8"/>
      <c r="S13" s="8"/>
      <c r="T13" s="8"/>
      <c r="U13" s="8"/>
      <c r="V13" s="184"/>
      <c r="W13" s="184"/>
      <c r="X13" s="9"/>
      <c r="Y13" s="200"/>
      <c r="Z13" s="201"/>
      <c r="AA13" s="184"/>
      <c r="AB13" s="202"/>
      <c r="AC13" s="8"/>
      <c r="AD13" s="203"/>
      <c r="AE13" s="192"/>
      <c r="AF13" s="192"/>
      <c r="AG13" s="192"/>
      <c r="AH13" s="192"/>
      <c r="AI13" s="192"/>
      <c r="AJ13" s="192"/>
    </row>
    <row r="14" spans="1:75">
      <c r="A14" s="185" t="s">
        <v>115</v>
      </c>
      <c r="B14" s="9">
        <v>8</v>
      </c>
      <c r="C14" s="8" t="s">
        <v>118</v>
      </c>
      <c r="D14" s="8" t="s">
        <v>119</v>
      </c>
      <c r="E14" s="9" t="s">
        <v>108</v>
      </c>
      <c r="F14" s="184">
        <f>IF(E14="有",(I14/B14+J14+Z14/B14)/(0.99999-K14-L14-M14-N14),(I14/B14+J14+Z14/B14)/(0.99999-K14-M14-N14))</f>
        <v>55.7411442594366</v>
      </c>
      <c r="G14" s="184">
        <f>IF(E14="有",(I14/B14+J14+Z14/B14)/(0.8-K14-L14-M14-N14-O14-P14),(I14/B14+J14+Z14/B14)/(0.8-K14-M14-N14-O14-P14))</f>
        <v>100.905640219939</v>
      </c>
      <c r="H14" s="186">
        <v>89.99</v>
      </c>
      <c r="I14" s="184">
        <f>138.5/1.13</f>
        <v>122.566371681416</v>
      </c>
      <c r="J14" s="8">
        <v>9.67</v>
      </c>
      <c r="K14" s="192">
        <v>0.15</v>
      </c>
      <c r="L14" s="192">
        <v>0.16</v>
      </c>
      <c r="M14" s="192">
        <v>0.05</v>
      </c>
      <c r="N14" s="192">
        <f>Q14/H14</f>
        <v>0.133348149794422</v>
      </c>
      <c r="O14" s="193">
        <f>0.61/H14</f>
        <v>0.0067785309478831</v>
      </c>
      <c r="P14" s="192">
        <v>0.02</v>
      </c>
      <c r="Q14" s="184">
        <v>12</v>
      </c>
      <c r="R14" s="8">
        <v>33.5</v>
      </c>
      <c r="S14" s="8">
        <v>26.5</v>
      </c>
      <c r="T14" s="8">
        <v>25</v>
      </c>
      <c r="U14" s="8">
        <v>2.3</v>
      </c>
      <c r="V14" s="184">
        <f>R14*S14*T14/6000</f>
        <v>3.69895833333333</v>
      </c>
      <c r="W14" s="184">
        <f>MAX(U14:V14)</f>
        <v>3.69895833333333</v>
      </c>
      <c r="X14" s="8" t="s">
        <v>17</v>
      </c>
      <c r="Y14" s="200">
        <v>5.55136</v>
      </c>
      <c r="Z14" s="201">
        <v>26</v>
      </c>
      <c r="AA14" s="184">
        <f>H14-SUM(K14:P14)*H14-J14-I14/B14-Z14/B14</f>
        <v>14.943003539823</v>
      </c>
      <c r="AB14" s="202">
        <f>AA14/H14</f>
        <v>0.166051822867241</v>
      </c>
      <c r="AC14" s="8"/>
      <c r="AD14" s="203">
        <f>J14/H14</f>
        <v>0.107456384042671</v>
      </c>
      <c r="AE14" s="192">
        <f>I14/7.4/H14</f>
        <v>0.1840540415623</v>
      </c>
      <c r="AF14" s="192">
        <f>Z14/7.4/H14</f>
        <v>0.0390433771920604</v>
      </c>
      <c r="AG14" s="192">
        <v>0.15</v>
      </c>
      <c r="AH14" s="192">
        <v>0.15</v>
      </c>
      <c r="AI14" s="192">
        <v>0.02</v>
      </c>
      <c r="AJ14" s="192">
        <f>M14</f>
        <v>0.05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spans="1:75">
      <c r="A15" s="187" t="s">
        <v>116</v>
      </c>
      <c r="B15" s="9">
        <v>8</v>
      </c>
      <c r="C15" s="9" t="s">
        <v>118</v>
      </c>
      <c r="D15" s="9" t="s">
        <v>119</v>
      </c>
      <c r="E15" s="9" t="s">
        <v>108</v>
      </c>
      <c r="F15" s="184">
        <f>IF(E15="有",(I15/B15+J15+Z15/B15)/(0.99999-K15-L15-M15-N15),(I15/B15+J15+Z15/B15)/(0.99999-K15-M15-N15))</f>
        <v>56.3592170753893</v>
      </c>
      <c r="G15" s="184">
        <f>IF(E15="有",(I15/B15+J15+Z15/B15)/(0.8-K15-L15-M15-N15-O15-P15),(I15/B15+J15+Z15/B15)/(0.8-K15-M15-N15-O15-P15))</f>
        <v>103.589377436029</v>
      </c>
      <c r="H15" s="186">
        <f>H14*0.8</f>
        <v>71.992</v>
      </c>
      <c r="I15" s="184">
        <f>138.5/1.13</f>
        <v>122.566371681416</v>
      </c>
      <c r="J15" s="9">
        <v>9.67</v>
      </c>
      <c r="K15" s="192">
        <v>0.15</v>
      </c>
      <c r="L15" s="192">
        <v>0.16</v>
      </c>
      <c r="M15" s="192">
        <v>0.05</v>
      </c>
      <c r="N15" s="192">
        <f>Q15/H15</f>
        <v>0.138904322702522</v>
      </c>
      <c r="O15" s="193">
        <f>0.61/H15</f>
        <v>0.00847316368485387</v>
      </c>
      <c r="P15" s="192">
        <v>0.02</v>
      </c>
      <c r="Q15" s="184">
        <v>10</v>
      </c>
      <c r="R15" s="8">
        <v>33.5</v>
      </c>
      <c r="S15" s="8">
        <v>26.5</v>
      </c>
      <c r="T15" s="8">
        <v>25</v>
      </c>
      <c r="U15" s="8">
        <v>2.3</v>
      </c>
      <c r="V15" s="184">
        <f>R15*S15*T15/6000</f>
        <v>3.69895833333333</v>
      </c>
      <c r="W15" s="184">
        <f>MAX(U15:V15)</f>
        <v>3.69895833333333</v>
      </c>
      <c r="X15" s="9" t="s">
        <v>17</v>
      </c>
      <c r="Y15" s="200">
        <v>5.55136</v>
      </c>
      <c r="Z15" s="201">
        <v>26</v>
      </c>
      <c r="AA15" s="184">
        <f>H15-SUM(K15:P15)*H15-J15-I15/B15-Z15/B15</f>
        <v>5.78424353982301</v>
      </c>
      <c r="AB15" s="202">
        <f>AA15/H15</f>
        <v>0.0803456431245556</v>
      </c>
      <c r="AC15" s="8"/>
      <c r="AD15" s="203">
        <f>J15/H15</f>
        <v>0.134320480053339</v>
      </c>
      <c r="AE15" s="192">
        <f>I15/7.4/H15</f>
        <v>0.230067551952875</v>
      </c>
      <c r="AF15" s="192">
        <f>Z15/7.4/H15</f>
        <v>0.0488042214900755</v>
      </c>
      <c r="AG15" s="192">
        <v>0.15</v>
      </c>
      <c r="AH15" s="192">
        <v>0.15</v>
      </c>
      <c r="AI15" s="192">
        <v>0.02</v>
      </c>
      <c r="AJ15" s="192">
        <f>M15</f>
        <v>0.05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spans="1:75">
      <c r="A16" s="187" t="s">
        <v>117</v>
      </c>
      <c r="B16" s="9">
        <v>8</v>
      </c>
      <c r="C16" s="9" t="s">
        <v>118</v>
      </c>
      <c r="D16" s="9" t="s">
        <v>119</v>
      </c>
      <c r="E16" s="9" t="s">
        <v>108</v>
      </c>
      <c r="F16" s="184">
        <f>IF(E16="有",(I16/B16+J16+Z16/B16)/(0.99999-K16-L16-M16-N16),(I16/B16+J16+Z16/B16)/(0.99999-K16-M16-N16))</f>
        <v>56.3592170753893</v>
      </c>
      <c r="G16" s="184">
        <f>IF(E16="有",(I16/B16+J16+Z16/B16)/(0.8-K16-L16-M16-N16-O16-P16),(I16/B16+J16+Z16/B16)/(0.8-K16-M16-N16-O16-P16))</f>
        <v>104.400575263455</v>
      </c>
      <c r="H16" s="186">
        <f>H15*0.8</f>
        <v>57.5936</v>
      </c>
      <c r="I16" s="184">
        <f>138.5/1.13</f>
        <v>122.566371681416</v>
      </c>
      <c r="J16" s="9">
        <v>9.67</v>
      </c>
      <c r="K16" s="192">
        <v>0.15</v>
      </c>
      <c r="L16" s="192">
        <v>0.16</v>
      </c>
      <c r="M16" s="192">
        <v>0.05</v>
      </c>
      <c r="N16" s="192">
        <f>Q16/H16</f>
        <v>0.138904322702522</v>
      </c>
      <c r="O16" s="193">
        <f>0.61/H16</f>
        <v>0.0105914546060673</v>
      </c>
      <c r="P16" s="192">
        <v>0.02</v>
      </c>
      <c r="Q16" s="184">
        <v>8</v>
      </c>
      <c r="R16" s="8">
        <v>33.5</v>
      </c>
      <c r="S16" s="8">
        <v>26.5</v>
      </c>
      <c r="T16" s="8">
        <v>25</v>
      </c>
      <c r="U16" s="8">
        <v>2.3</v>
      </c>
      <c r="V16" s="184">
        <f>R16*S16*T16/6000</f>
        <v>3.69895833333333</v>
      </c>
      <c r="W16" s="184">
        <f>MAX(U16:V16)</f>
        <v>3.69895833333333</v>
      </c>
      <c r="X16" s="9" t="s">
        <v>17</v>
      </c>
      <c r="Y16" s="200">
        <v>5.55136</v>
      </c>
      <c r="Z16" s="201">
        <v>26</v>
      </c>
      <c r="AA16" s="184">
        <f>H16-SUM(K16:P16)*H16-J16-I16/B16-Z16/B16</f>
        <v>-1.14276446017699</v>
      </c>
      <c r="AB16" s="202">
        <f>AA16/H16</f>
        <v>-0.0198418654186748</v>
      </c>
      <c r="AC16" s="8"/>
      <c r="AD16" s="203">
        <f>J16/H16</f>
        <v>0.167900600066674</v>
      </c>
      <c r="AE16" s="192">
        <f>I16/7.4/H16</f>
        <v>0.287584439941093</v>
      </c>
      <c r="AF16" s="192">
        <f>Z16/7.4/H16</f>
        <v>0.0610052768625943</v>
      </c>
      <c r="AG16" s="192">
        <v>0.15</v>
      </c>
      <c r="AH16" s="192">
        <v>0.15</v>
      </c>
      <c r="AI16" s="192">
        <v>0.02</v>
      </c>
      <c r="AJ16" s="192">
        <f>M16</f>
        <v>0.05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spans="2:36">
      <c r="B17" s="8"/>
      <c r="C17" s="8"/>
      <c r="D17" s="8"/>
      <c r="E17" s="8"/>
      <c r="F17" s="184"/>
      <c r="G17" s="184"/>
      <c r="H17" s="188"/>
      <c r="I17" s="184"/>
      <c r="J17" s="9"/>
      <c r="K17" s="192"/>
      <c r="L17" s="192"/>
      <c r="M17" s="192"/>
      <c r="N17" s="192"/>
      <c r="O17" s="193"/>
      <c r="P17" s="192"/>
      <c r="Q17" s="192"/>
      <c r="R17" s="8"/>
      <c r="S17" s="8"/>
      <c r="T17" s="8"/>
      <c r="U17" s="8"/>
      <c r="V17" s="184"/>
      <c r="W17" s="184"/>
      <c r="X17" s="9"/>
      <c r="Y17" s="200"/>
      <c r="Z17" s="201"/>
      <c r="AA17" s="184"/>
      <c r="AB17" s="202"/>
      <c r="AC17" s="8"/>
      <c r="AD17" s="203"/>
      <c r="AE17" s="192"/>
      <c r="AF17" s="192"/>
      <c r="AG17" s="192"/>
      <c r="AH17" s="192"/>
      <c r="AI17" s="192"/>
      <c r="AJ17" s="192"/>
    </row>
    <row r="18" spans="1:75">
      <c r="A18" s="185" t="s">
        <v>115</v>
      </c>
      <c r="B18" s="9">
        <v>8</v>
      </c>
      <c r="C18" s="8" t="s">
        <v>120</v>
      </c>
      <c r="D18" s="8" t="s">
        <v>121</v>
      </c>
      <c r="E18" s="9" t="s">
        <v>108</v>
      </c>
      <c r="F18" s="184">
        <f>IF(E18="有",(I18/B18+J18+Z18/B18)/(0.99999-K18-L18-M18-N18),(I18/B18+J18+Z18/B18)/(0.99999-K18-M18-N18))</f>
        <v>50.9645945152375</v>
      </c>
      <c r="G18" s="184">
        <f>IF(E18="有",(I18/B18+J18+Z18/B18)/(0.8-K18-L18-M18-N18-O18-P18),(I18/B18+J18+Z18/B18)/(0.8-K18-M18-N18-O18-P18))</f>
        <v>92.2588710087163</v>
      </c>
      <c r="H18" s="186">
        <v>89.99</v>
      </c>
      <c r="I18" s="184">
        <f>138.5/1.13</f>
        <v>122.566371681416</v>
      </c>
      <c r="J18" s="8">
        <v>7.25</v>
      </c>
      <c r="K18" s="192">
        <v>0.15</v>
      </c>
      <c r="L18" s="192">
        <v>0.16</v>
      </c>
      <c r="M18" s="192">
        <v>0.05</v>
      </c>
      <c r="N18" s="192">
        <f>Q18/H18</f>
        <v>0.133348149794422</v>
      </c>
      <c r="O18" s="193">
        <f>0.61/H18</f>
        <v>0.0067785309478831</v>
      </c>
      <c r="P18" s="192">
        <v>0.02</v>
      </c>
      <c r="Q18" s="184">
        <v>12</v>
      </c>
      <c r="R18" s="8">
        <v>33.5</v>
      </c>
      <c r="S18" s="8">
        <v>26.5</v>
      </c>
      <c r="T18" s="8">
        <v>25</v>
      </c>
      <c r="U18" s="8">
        <v>2.3</v>
      </c>
      <c r="V18" s="184">
        <f>R18*S18*T18/6000</f>
        <v>3.69895833333333</v>
      </c>
      <c r="W18" s="184">
        <f>MAX(U18:V18)</f>
        <v>3.69895833333333</v>
      </c>
      <c r="X18" s="8" t="s">
        <v>17</v>
      </c>
      <c r="Y18" s="200">
        <v>5.55136</v>
      </c>
      <c r="Z18" s="201">
        <v>26</v>
      </c>
      <c r="AA18" s="184">
        <f>H18-SUM(K18:P18)*H18-J18-I18/B18-Z18/B18</f>
        <v>17.363003539823</v>
      </c>
      <c r="AB18" s="202">
        <f>AA18/H18</f>
        <v>0.192943699742449</v>
      </c>
      <c r="AC18" s="8"/>
      <c r="AD18" s="203">
        <f>J18/H18</f>
        <v>0.0805645071674631</v>
      </c>
      <c r="AE18" s="192">
        <f>I18/7.4/H18</f>
        <v>0.1840540415623</v>
      </c>
      <c r="AF18" s="192">
        <f>Z18/7.4/H18</f>
        <v>0.0390433771920604</v>
      </c>
      <c r="AG18" s="192">
        <v>0.15</v>
      </c>
      <c r="AH18" s="192">
        <v>0.15</v>
      </c>
      <c r="AI18" s="192">
        <v>0.02</v>
      </c>
      <c r="AJ18" s="192">
        <f>M18</f>
        <v>0.05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spans="1:75">
      <c r="A19" s="185" t="s">
        <v>116</v>
      </c>
      <c r="B19" s="9">
        <v>8</v>
      </c>
      <c r="C19" s="9" t="s">
        <v>120</v>
      </c>
      <c r="D19" s="9" t="s">
        <v>121</v>
      </c>
      <c r="E19" s="9" t="s">
        <v>108</v>
      </c>
      <c r="F19" s="184">
        <f>IF(E19="有",(I19/B19+J19+Z19/B19)/(0.99999-K19-L19-M19-N19),(I19/B19+J19+Z19/B19)/(0.99999-K19-M19-N19))</f>
        <v>51.5297036615319</v>
      </c>
      <c r="G19" s="184">
        <f>IF(E19="有",(I19/B19+J19+Z19/B19)/(0.8-K19-L19-M19-N19-O19-P19),(I19/B19+J19+Z19/B19)/(0.8-K19-M19-N19-O19-P19))</f>
        <v>94.7126343969758</v>
      </c>
      <c r="H19" s="186">
        <f>H18*0.8</f>
        <v>71.992</v>
      </c>
      <c r="I19" s="184">
        <f>138.5/1.13</f>
        <v>122.566371681416</v>
      </c>
      <c r="J19" s="9">
        <v>7.25</v>
      </c>
      <c r="K19" s="192">
        <v>0.15</v>
      </c>
      <c r="L19" s="192">
        <v>0.16</v>
      </c>
      <c r="M19" s="192">
        <v>0.05</v>
      </c>
      <c r="N19" s="192">
        <f>Q19/H19</f>
        <v>0.138904322702522</v>
      </c>
      <c r="O19" s="193">
        <f>0.61/H19</f>
        <v>0.00847316368485387</v>
      </c>
      <c r="P19" s="192">
        <v>0.02</v>
      </c>
      <c r="Q19" s="184">
        <v>10</v>
      </c>
      <c r="R19" s="8">
        <v>33.5</v>
      </c>
      <c r="S19" s="8">
        <v>26.5</v>
      </c>
      <c r="T19" s="8">
        <v>25</v>
      </c>
      <c r="U19" s="8">
        <v>2.3</v>
      </c>
      <c r="V19" s="184">
        <f>R19*S19*T19/6000</f>
        <v>3.69895833333333</v>
      </c>
      <c r="W19" s="184">
        <f>MAX(U19:V19)</f>
        <v>3.69895833333333</v>
      </c>
      <c r="X19" s="9" t="s">
        <v>17</v>
      </c>
      <c r="Y19" s="200">
        <v>5.55136</v>
      </c>
      <c r="Z19" s="201">
        <v>26</v>
      </c>
      <c r="AA19" s="184">
        <f>H19-SUM(K19:P19)*H19-J19-I19/B19-Z19/B19</f>
        <v>8.20424353982301</v>
      </c>
      <c r="AB19" s="202">
        <f>AA19/H19</f>
        <v>0.113960489218566</v>
      </c>
      <c r="AC19" s="8"/>
      <c r="AD19" s="203">
        <f>J19/H19</f>
        <v>0.100705633959329</v>
      </c>
      <c r="AE19" s="192">
        <f>I19/7.4/H19</f>
        <v>0.230067551952875</v>
      </c>
      <c r="AF19" s="192">
        <f>Z19/7.4/H19</f>
        <v>0.0488042214900755</v>
      </c>
      <c r="AG19" s="192">
        <v>0.15</v>
      </c>
      <c r="AH19" s="192">
        <v>0.15</v>
      </c>
      <c r="AI19" s="192">
        <v>0.02</v>
      </c>
      <c r="AJ19" s="192">
        <f>M19</f>
        <v>0.05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spans="1:75">
      <c r="A20" s="187" t="s">
        <v>117</v>
      </c>
      <c r="B20" s="9">
        <v>8</v>
      </c>
      <c r="C20" s="9" t="s">
        <v>120</v>
      </c>
      <c r="D20" s="9" t="s">
        <v>121</v>
      </c>
      <c r="E20" s="9" t="s">
        <v>108</v>
      </c>
      <c r="F20" s="184">
        <f>IF(E20="有",(I20/B20+J20+Z20/B20)/(0.99999-K20-L20-M20-N20),(I20/B20+J20+Z20/B20)/(0.99999-K20-M20-N20))</f>
        <v>51.5297036615319</v>
      </c>
      <c r="G20" s="184">
        <f>IF(E20="有",(I20/B20+J20+Z20/B20)/(0.8-K20-L20-M20-N20-O20-P20),(I20/B20+J20+Z20/B20)/(0.8-K20-M20-N20-O20-P20))</f>
        <v>95.4543193569042</v>
      </c>
      <c r="H20" s="186">
        <f>H19*0.8</f>
        <v>57.5936</v>
      </c>
      <c r="I20" s="184">
        <f>138.5/1.13</f>
        <v>122.566371681416</v>
      </c>
      <c r="J20" s="9">
        <v>7.25</v>
      </c>
      <c r="K20" s="192">
        <v>0.15</v>
      </c>
      <c r="L20" s="192">
        <v>0.16</v>
      </c>
      <c r="M20" s="192">
        <v>0.05</v>
      </c>
      <c r="N20" s="192">
        <f>Q20/H20</f>
        <v>0.138904322702522</v>
      </c>
      <c r="O20" s="193">
        <f>0.61/H20</f>
        <v>0.0105914546060673</v>
      </c>
      <c r="P20" s="192">
        <v>0.02</v>
      </c>
      <c r="Q20" s="184">
        <v>8</v>
      </c>
      <c r="R20" s="8">
        <v>33.5</v>
      </c>
      <c r="S20" s="8">
        <v>26.5</v>
      </c>
      <c r="T20" s="8">
        <v>25</v>
      </c>
      <c r="U20" s="8">
        <v>2.3</v>
      </c>
      <c r="V20" s="184">
        <f>R20*S20*T20/6000</f>
        <v>3.69895833333333</v>
      </c>
      <c r="W20" s="184">
        <f>MAX(U20:V20)</f>
        <v>3.69895833333333</v>
      </c>
      <c r="X20" s="9" t="s">
        <v>17</v>
      </c>
      <c r="Y20" s="200">
        <v>5.55136</v>
      </c>
      <c r="Z20" s="201">
        <v>26</v>
      </c>
      <c r="AA20" s="184">
        <f>H20-SUM(K20:P20)*H20-J20-I20/B20-Z20/B20</f>
        <v>1.27723553982301</v>
      </c>
      <c r="AB20" s="202">
        <f>AA20/H20</f>
        <v>0.0221766921988382</v>
      </c>
      <c r="AC20" s="8"/>
      <c r="AD20" s="203">
        <f>J20/H20</f>
        <v>0.125882042449161</v>
      </c>
      <c r="AE20" s="192">
        <f>I20/7.4/H20</f>
        <v>0.287584439941093</v>
      </c>
      <c r="AF20" s="192">
        <f>Z20/7.4/H20</f>
        <v>0.0610052768625943</v>
      </c>
      <c r="AG20" s="192">
        <v>0.15</v>
      </c>
      <c r="AH20" s="192">
        <v>0.15</v>
      </c>
      <c r="AI20" s="192">
        <v>0.02</v>
      </c>
      <c r="AJ20" s="192">
        <f>M20</f>
        <v>0.05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spans="1:75">
      <c r="A21" s="187" t="s">
        <v>122</v>
      </c>
      <c r="B21" s="9">
        <v>8</v>
      </c>
      <c r="C21" s="9" t="s">
        <v>120</v>
      </c>
      <c r="D21" s="9" t="s">
        <v>121</v>
      </c>
      <c r="E21" s="9" t="s">
        <v>108</v>
      </c>
      <c r="F21" s="184">
        <f>IF(E21="有",(I21/B21+J21+Z21/B21)/(0.99999-K21-L21-M21-N21),(I21/B21+J21+Z21/B21)/(0.99999-K21-M21-N21))</f>
        <v>52.3844519095617</v>
      </c>
      <c r="G21" s="184">
        <f>IF(E21="有",(I21/B21+J21+Z21/B21)/(0.8-K21-L21-M21-N21-O21-P21),(I21/B21+J21+Z21/B21)/(0.8-K21-M21-N21-O21-P21))</f>
        <v>97.8254494827444</v>
      </c>
      <c r="H21" s="186">
        <v>67.99</v>
      </c>
      <c r="I21" s="184">
        <f>138.5/1.13</f>
        <v>122.566371681416</v>
      </c>
      <c r="J21" s="9">
        <v>7.25</v>
      </c>
      <c r="K21" s="192">
        <v>0.15</v>
      </c>
      <c r="L21" s="192">
        <v>0.16</v>
      </c>
      <c r="M21" s="192">
        <v>0.05</v>
      </c>
      <c r="N21" s="192">
        <f>Q21/H21</f>
        <v>0.147080453007795</v>
      </c>
      <c r="O21" s="193">
        <f>0.61/H21</f>
        <v>0.00897190763347551</v>
      </c>
      <c r="P21" s="192">
        <v>0.02</v>
      </c>
      <c r="Q21" s="184">
        <v>10</v>
      </c>
      <c r="R21" s="8">
        <v>33.5</v>
      </c>
      <c r="S21" s="8">
        <v>26.5</v>
      </c>
      <c r="T21" s="8">
        <v>25</v>
      </c>
      <c r="U21" s="8">
        <v>2.3</v>
      </c>
      <c r="V21" s="184">
        <f>R21*S21*T21/6000</f>
        <v>3.69895833333333</v>
      </c>
      <c r="W21" s="184">
        <f>MAX(U21:V21)</f>
        <v>3.69895833333333</v>
      </c>
      <c r="X21" s="9" t="s">
        <v>17</v>
      </c>
      <c r="Y21" s="200">
        <v>5.55136</v>
      </c>
      <c r="Z21" s="201">
        <v>26</v>
      </c>
      <c r="AA21" s="184">
        <f>H21-SUM(K21:P21)*H21-J21-I21/B21-Z21/B21</f>
        <v>5.723003539823</v>
      </c>
      <c r="AB21" s="202">
        <f>AA21/H21</f>
        <v>0.0841741953202383</v>
      </c>
      <c r="AC21" s="8"/>
      <c r="AD21" s="203">
        <f>J21/H21</f>
        <v>0.106633328430652</v>
      </c>
      <c r="AE21" s="192">
        <f>I21/7.4/H21</f>
        <v>0.243609695546277</v>
      </c>
      <c r="AF21" s="192">
        <f>Z21/7.4/H21</f>
        <v>0.0516769159216578</v>
      </c>
      <c r="AG21" s="192">
        <v>0.15</v>
      </c>
      <c r="AH21" s="192">
        <v>0.15</v>
      </c>
      <c r="AI21" s="192">
        <v>0.02</v>
      </c>
      <c r="AJ21" s="192">
        <f>M21</f>
        <v>0.05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spans="2:36">
      <c r="B22" s="8"/>
      <c r="C22" s="8"/>
      <c r="D22" s="8"/>
      <c r="E22" s="8"/>
      <c r="F22" s="184"/>
      <c r="G22" s="184"/>
      <c r="H22" s="188"/>
      <c r="I22" s="184"/>
      <c r="J22" s="9"/>
      <c r="K22" s="192"/>
      <c r="L22" s="192"/>
      <c r="M22" s="192"/>
      <c r="N22" s="192"/>
      <c r="O22" s="193"/>
      <c r="P22" s="192"/>
      <c r="Q22" s="192"/>
      <c r="R22" s="8"/>
      <c r="S22" s="8"/>
      <c r="T22" s="8"/>
      <c r="U22" s="8"/>
      <c r="V22" s="184"/>
      <c r="W22" s="184"/>
      <c r="X22" s="9"/>
      <c r="Y22" s="200"/>
      <c r="Z22" s="201"/>
      <c r="AA22" s="184"/>
      <c r="AB22" s="202"/>
      <c r="AC22" s="8"/>
      <c r="AD22" s="203"/>
      <c r="AE22" s="192"/>
      <c r="AF22" s="192"/>
      <c r="AG22" s="192"/>
      <c r="AH22" s="192"/>
      <c r="AI22" s="192"/>
      <c r="AJ22" s="192"/>
    </row>
    <row r="23" spans="1:75">
      <c r="A23" s="185" t="s">
        <v>115</v>
      </c>
      <c r="B23" s="9">
        <v>8</v>
      </c>
      <c r="C23" s="8" t="s">
        <v>123</v>
      </c>
      <c r="D23" s="8" t="s">
        <v>124</v>
      </c>
      <c r="E23" s="9" t="s">
        <v>108</v>
      </c>
      <c r="F23" s="184">
        <f>IF(E23="有",(I23/B23+J23+Z23/B23)/(0.99999-K23-L23-M23-N23),(I23/B23+J23+Z23/B23)/(0.99999-K23-M23-N23))</f>
        <v>50.51062491145</v>
      </c>
      <c r="G23" s="184">
        <f>IF(E23="有",(I23/B23+J23+Z23/B23)/(0.8-K23-L23-M23-N23-O23-P23),(I23/B23+J23+Z23/B23)/(0.8-K23-M23-N23-O23-P23))</f>
        <v>91.4370706291374</v>
      </c>
      <c r="H23" s="186">
        <v>89.99</v>
      </c>
      <c r="I23" s="184">
        <f>138.5/1.13</f>
        <v>122.566371681416</v>
      </c>
      <c r="J23" s="8">
        <v>7.02</v>
      </c>
      <c r="K23" s="192">
        <v>0.15</v>
      </c>
      <c r="L23" s="192">
        <v>0.16</v>
      </c>
      <c r="M23" s="192">
        <v>0.05</v>
      </c>
      <c r="N23" s="192">
        <f>Q23/H23</f>
        <v>0.133348149794422</v>
      </c>
      <c r="O23" s="193">
        <f>0.61/H23</f>
        <v>0.0067785309478831</v>
      </c>
      <c r="P23" s="192">
        <v>0.02</v>
      </c>
      <c r="Q23" s="184">
        <v>12</v>
      </c>
      <c r="R23" s="8">
        <v>33.5</v>
      </c>
      <c r="S23" s="8">
        <v>26.5</v>
      </c>
      <c r="T23" s="8">
        <v>25</v>
      </c>
      <c r="U23" s="8">
        <v>2.3</v>
      </c>
      <c r="V23" s="184">
        <f>R23*S23*T23/6000</f>
        <v>3.69895833333333</v>
      </c>
      <c r="W23" s="184">
        <f>MAX(U23:V23)</f>
        <v>3.69895833333333</v>
      </c>
      <c r="X23" s="8" t="s">
        <v>17</v>
      </c>
      <c r="Y23" s="200">
        <v>5.55136</v>
      </c>
      <c r="Z23" s="201">
        <v>26</v>
      </c>
      <c r="AA23" s="184">
        <f>H23-SUM(K23:P23)*H23-J23-I23/B23-Z23/B23</f>
        <v>17.593003539823</v>
      </c>
      <c r="AB23" s="202">
        <f>AA23/H23</f>
        <v>0.195499539280176</v>
      </c>
      <c r="AC23" s="8"/>
      <c r="AD23" s="203">
        <f>J23/H23</f>
        <v>0.0780086676297366</v>
      </c>
      <c r="AE23" s="192">
        <f>I23/7.4/H23</f>
        <v>0.1840540415623</v>
      </c>
      <c r="AF23" s="192">
        <f>Z23/7.4/H23</f>
        <v>0.0390433771920604</v>
      </c>
      <c r="AG23" s="192">
        <v>0.15</v>
      </c>
      <c r="AH23" s="192">
        <v>0.15</v>
      </c>
      <c r="AI23" s="192">
        <v>0.02</v>
      </c>
      <c r="AJ23" s="192">
        <f>M23</f>
        <v>0.05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spans="1:75">
      <c r="A24" s="185" t="s">
        <v>116</v>
      </c>
      <c r="B24" s="9">
        <v>8</v>
      </c>
      <c r="C24" s="9" t="s">
        <v>123</v>
      </c>
      <c r="D24" s="9" t="s">
        <v>124</v>
      </c>
      <c r="E24" s="9" t="s">
        <v>108</v>
      </c>
      <c r="F24" s="184">
        <f>IF(E24="有",(I24/B24+J24+Z24/B24)/(0.99999-K24-L24-M24-N24),(I24/B24+J24+Z24/B24)/(0.99999-K24-M24-N24))</f>
        <v>51.0707003205454</v>
      </c>
      <c r="G24" s="184">
        <f>IF(E24="有",(I24/B24+J24+Z24/B24)/(0.8-K24-L24-M24-N24-O24-P24),(I24/B24+J24+Z24/B24)/(0.8-K24-M24-N24-O24-P24))</f>
        <v>93.8689770007022</v>
      </c>
      <c r="H24" s="186">
        <f>H23*0.8</f>
        <v>71.992</v>
      </c>
      <c r="I24" s="184">
        <f>138.5/1.13</f>
        <v>122.566371681416</v>
      </c>
      <c r="J24" s="9">
        <v>7.02</v>
      </c>
      <c r="K24" s="192">
        <v>0.15</v>
      </c>
      <c r="L24" s="192">
        <v>0.16</v>
      </c>
      <c r="M24" s="192">
        <v>0.05</v>
      </c>
      <c r="N24" s="192">
        <f>Q24/H24</f>
        <v>0.138904322702522</v>
      </c>
      <c r="O24" s="193">
        <f>0.61/H24</f>
        <v>0.00847316368485387</v>
      </c>
      <c r="P24" s="192">
        <v>0.02</v>
      </c>
      <c r="Q24" s="184">
        <v>10</v>
      </c>
      <c r="R24" s="8">
        <v>33.5</v>
      </c>
      <c r="S24" s="8">
        <v>26.5</v>
      </c>
      <c r="T24" s="8">
        <v>25</v>
      </c>
      <c r="U24" s="8">
        <v>2.3</v>
      </c>
      <c r="V24" s="184">
        <f>R24*S24*T24/6000</f>
        <v>3.69895833333333</v>
      </c>
      <c r="W24" s="184">
        <f>MAX(U24:V24)</f>
        <v>3.69895833333333</v>
      </c>
      <c r="X24" s="9" t="s">
        <v>17</v>
      </c>
      <c r="Y24" s="200">
        <v>5.55136</v>
      </c>
      <c r="Z24" s="201">
        <v>26</v>
      </c>
      <c r="AA24" s="184">
        <f>H24-SUM(K24:P24)*H24-J24-I24/B24-Z24/B24</f>
        <v>8.43424353982301</v>
      </c>
      <c r="AB24" s="202">
        <f>AA24/H24</f>
        <v>0.117155288640724</v>
      </c>
      <c r="AC24" s="8"/>
      <c r="AD24" s="203">
        <f>J24/H24</f>
        <v>0.0975108345371708</v>
      </c>
      <c r="AE24" s="192">
        <f>I24/7.4/H24</f>
        <v>0.230067551952875</v>
      </c>
      <c r="AF24" s="192">
        <f>Z24/7.4/H24</f>
        <v>0.0488042214900755</v>
      </c>
      <c r="AG24" s="192">
        <v>0.15</v>
      </c>
      <c r="AH24" s="192">
        <v>0.15</v>
      </c>
      <c r="AI24" s="192">
        <v>0.02</v>
      </c>
      <c r="AJ24" s="192">
        <f>M24</f>
        <v>0.05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spans="1:75">
      <c r="A25" s="187" t="s">
        <v>117</v>
      </c>
      <c r="B25" s="8">
        <v>8</v>
      </c>
      <c r="C25" s="9" t="s">
        <v>123</v>
      </c>
      <c r="D25" s="9" t="s">
        <v>124</v>
      </c>
      <c r="E25" s="9" t="s">
        <v>108</v>
      </c>
      <c r="F25" s="184">
        <f>IF(E25="有",(I25/B25+J25+Z25/B25)/(0.99999-K25-L25-M25-N25),(I25/B25+J25+Z25/B25)/(0.99999-K25-M25-N25))</f>
        <v>51.0707003205454</v>
      </c>
      <c r="G25" s="184">
        <f>IF(E25="有",(I25/B25+J25+Z25/B25)/(0.8-K25-L25-M25-N25-O25-P25),(I25/B25+J25+Z25/B25)/(0.8-K25-M25-N25-O25-P25))</f>
        <v>94.6040553657857</v>
      </c>
      <c r="H25" s="186">
        <f>H24*0.8</f>
        <v>57.5936</v>
      </c>
      <c r="I25" s="184">
        <f>138.5/1.13</f>
        <v>122.566371681416</v>
      </c>
      <c r="J25" s="9">
        <v>7.02</v>
      </c>
      <c r="K25" s="192">
        <v>0.15</v>
      </c>
      <c r="L25" s="192">
        <v>0.16</v>
      </c>
      <c r="M25" s="192">
        <v>0.05</v>
      </c>
      <c r="N25" s="192">
        <f>Q25/H25</f>
        <v>0.138904322702522</v>
      </c>
      <c r="O25" s="193">
        <f>0.61/H25</f>
        <v>0.0105914546060673</v>
      </c>
      <c r="P25" s="192">
        <v>0.02</v>
      </c>
      <c r="Q25" s="184">
        <v>8</v>
      </c>
      <c r="R25" s="8">
        <v>33.5</v>
      </c>
      <c r="S25" s="8">
        <v>26.5</v>
      </c>
      <c r="T25" s="8">
        <v>25</v>
      </c>
      <c r="U25" s="8">
        <v>2.3</v>
      </c>
      <c r="V25" s="184">
        <f>R25*S25*T25/6000</f>
        <v>3.69895833333333</v>
      </c>
      <c r="W25" s="184">
        <f>MAX(U25:V25)</f>
        <v>3.69895833333333</v>
      </c>
      <c r="X25" s="9" t="s">
        <v>17</v>
      </c>
      <c r="Y25" s="200">
        <v>5.55136</v>
      </c>
      <c r="Z25" s="201">
        <v>26</v>
      </c>
      <c r="AA25" s="184">
        <f>H25-SUM(K25:P25)*H25-J25-I25/B25-Z25/B25</f>
        <v>1.50723553982301</v>
      </c>
      <c r="AB25" s="202">
        <f>AA25/H25</f>
        <v>0.0261701914765358</v>
      </c>
      <c r="AC25" s="8"/>
      <c r="AD25" s="203">
        <f>J25/H25</f>
        <v>0.121888543171463</v>
      </c>
      <c r="AE25" s="192">
        <f>I25/7.4/H25</f>
        <v>0.287584439941093</v>
      </c>
      <c r="AF25" s="192">
        <f>Z25/7.4/H25</f>
        <v>0.0610052768625943</v>
      </c>
      <c r="AG25" s="192">
        <v>0.15</v>
      </c>
      <c r="AH25" s="192">
        <v>0.15</v>
      </c>
      <c r="AI25" s="192">
        <v>0.02</v>
      </c>
      <c r="AJ25" s="192">
        <f>M25</f>
        <v>0.05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spans="2:36">
      <c r="B26" s="8"/>
      <c r="C26" s="8"/>
      <c r="D26" s="8"/>
      <c r="E26" s="8"/>
      <c r="F26" s="184"/>
      <c r="G26" s="184"/>
      <c r="H26" s="188"/>
      <c r="I26" s="184"/>
      <c r="J26" s="9"/>
      <c r="K26" s="192"/>
      <c r="L26" s="192"/>
      <c r="M26" s="192"/>
      <c r="N26" s="192"/>
      <c r="O26" s="193"/>
      <c r="P26" s="192"/>
      <c r="Q26" s="192"/>
      <c r="R26" s="8"/>
      <c r="S26" s="8"/>
      <c r="T26" s="8"/>
      <c r="U26" s="8"/>
      <c r="V26" s="184"/>
      <c r="W26" s="184"/>
      <c r="X26" s="9"/>
      <c r="Y26" s="200"/>
      <c r="Z26" s="201"/>
      <c r="AA26" s="184"/>
      <c r="AB26" s="202"/>
      <c r="AC26" s="8"/>
      <c r="AD26" s="203"/>
      <c r="AE26" s="192"/>
      <c r="AF26" s="192"/>
      <c r="AG26" s="192"/>
      <c r="AH26" s="192"/>
      <c r="AI26" s="192"/>
      <c r="AJ26" s="192"/>
    </row>
    <row r="27" hidden="1" spans="1:36">
      <c r="A27" s="187" t="s">
        <v>125</v>
      </c>
      <c r="B27" s="8">
        <v>9.5</v>
      </c>
      <c r="C27" s="8" t="s">
        <v>126</v>
      </c>
      <c r="D27" s="8" t="s">
        <v>127</v>
      </c>
      <c r="E27" s="8" t="s">
        <v>108</v>
      </c>
      <c r="F27" s="184">
        <f>IF(E27="有",(I27/B27+J27+Z27/B27)/(0.99999-K27-L27-M27-N27),(I27/B27+J27+Z27/B27)/(0.99999-K27-M27-N27))</f>
        <v>48.7690817567167</v>
      </c>
      <c r="G27" s="184">
        <f>IF(E27="有",(I27/B27+J27+Z27/B27)/(0.8-K27-L27-M27-N27-O27-P27),(I27/B27+J27+Z27/B27)/(0.8-K27-M27-N27-O27-P27))</f>
        <v>90.2034624133894</v>
      </c>
      <c r="H27" s="186">
        <v>119.99</v>
      </c>
      <c r="I27" s="184">
        <f>138.5/1.13</f>
        <v>122.566371681416</v>
      </c>
      <c r="J27" s="8">
        <v>5.19</v>
      </c>
      <c r="K27" s="192">
        <v>0.15</v>
      </c>
      <c r="L27" s="192">
        <v>0.16</v>
      </c>
      <c r="M27" s="192">
        <v>0.05</v>
      </c>
      <c r="N27" s="192">
        <v>0.15</v>
      </c>
      <c r="O27" s="193">
        <f>0.61/H27</f>
        <v>0.00508375697974831</v>
      </c>
      <c r="P27" s="192">
        <v>0.02</v>
      </c>
      <c r="Q27" s="192"/>
      <c r="R27" s="8">
        <v>33.5</v>
      </c>
      <c r="S27" s="8">
        <v>26.5</v>
      </c>
      <c r="T27" s="8">
        <v>25</v>
      </c>
      <c r="U27" s="8">
        <v>2.3</v>
      </c>
      <c r="V27" s="184">
        <f>R27*S27*T27/6000</f>
        <v>3.69895833333333</v>
      </c>
      <c r="W27" s="184">
        <f>MAX(U27:V27)</f>
        <v>3.69895833333333</v>
      </c>
      <c r="X27" s="9" t="s">
        <v>16</v>
      </c>
      <c r="Y27" s="200">
        <v>14.908</v>
      </c>
      <c r="Z27" s="201">
        <f>W27*Y27</f>
        <v>55.1440708333333</v>
      </c>
      <c r="AA27" s="184">
        <f>H27-SUM(K27:P27)*H27-J27-I27/B27-Z27/B27</f>
        <v>31.8889376300264</v>
      </c>
      <c r="AB27" s="202">
        <f>AA27/H27</f>
        <v>0.265763293858041</v>
      </c>
      <c r="AC27" s="8"/>
      <c r="AD27" s="203">
        <f>J27/H27</f>
        <v>0.0432536044670389</v>
      </c>
      <c r="AE27" s="192">
        <f>I27/7.4/H27</f>
        <v>0.138036696392961</v>
      </c>
      <c r="AF27" s="192">
        <f>Z27/7.4/H27</f>
        <v>0.0621043542292188</v>
      </c>
      <c r="AG27" s="192">
        <v>0.15</v>
      </c>
      <c r="AH27" s="192">
        <v>0.15</v>
      </c>
      <c r="AI27" s="192">
        <v>0.02</v>
      </c>
      <c r="AJ27" s="192">
        <f>M27</f>
        <v>0.05</v>
      </c>
    </row>
    <row r="28" hidden="1" spans="1:36">
      <c r="A28" s="187" t="s">
        <v>128</v>
      </c>
      <c r="B28" s="9">
        <v>9.5</v>
      </c>
      <c r="C28" s="9" t="s">
        <v>126</v>
      </c>
      <c r="D28" s="9" t="s">
        <v>127</v>
      </c>
      <c r="E28" s="9" t="s">
        <v>108</v>
      </c>
      <c r="F28" s="184">
        <f>IF(E28="有",(I28/B28+J28+Z28/B28)/(0.99999-K28-L28-M28-N28),(I28/B28+J28+Z28/B28)/(0.99999-K28-M28-N28))</f>
        <v>48.7690817567167</v>
      </c>
      <c r="G28" s="184">
        <f>IF(E28="有",(I28/B28+J28+Z28/B28)/(0.8-K28-L28-M28-N28-O28-P28),(I28/B28+J28+Z28/B28)/(0.8-K28-M28-N28-O28-P28))</f>
        <v>90.3611162628844</v>
      </c>
      <c r="H28" s="186">
        <v>109.99</v>
      </c>
      <c r="I28" s="184">
        <f>138.5/1.13</f>
        <v>122.566371681416</v>
      </c>
      <c r="J28" s="9">
        <v>5.19</v>
      </c>
      <c r="K28" s="192">
        <v>0.15</v>
      </c>
      <c r="L28" s="192">
        <v>0.16</v>
      </c>
      <c r="M28" s="192">
        <v>0.05</v>
      </c>
      <c r="N28" s="192">
        <v>0.15</v>
      </c>
      <c r="O28" s="193">
        <f>0.61/H28</f>
        <v>0.00554595872352032</v>
      </c>
      <c r="P28" s="192">
        <v>0.02</v>
      </c>
      <c r="Q28" s="192"/>
      <c r="R28" s="8">
        <v>33.5</v>
      </c>
      <c r="S28" s="8">
        <v>26.5</v>
      </c>
      <c r="T28" s="8">
        <v>25</v>
      </c>
      <c r="U28" s="8">
        <v>2.3</v>
      </c>
      <c r="V28" s="184">
        <f>R28*S28*T28/6000</f>
        <v>3.69895833333333</v>
      </c>
      <c r="W28" s="184">
        <f>MAX(U28:V28)</f>
        <v>3.69895833333333</v>
      </c>
      <c r="X28" s="9" t="s">
        <v>16</v>
      </c>
      <c r="Y28" s="200">
        <v>14.908</v>
      </c>
      <c r="Z28" s="201">
        <f>W28*Y28</f>
        <v>55.1440708333333</v>
      </c>
      <c r="AA28" s="184">
        <f>H28-SUM(K28:P28)*H28-J28-I28/B28-Z28/B28</f>
        <v>27.1889376300264</v>
      </c>
      <c r="AB28" s="202">
        <f>AA28/H28</f>
        <v>0.247194632512286</v>
      </c>
      <c r="AC28" s="8"/>
      <c r="AD28" s="203">
        <f>J28/H28</f>
        <v>0.0471861078279844</v>
      </c>
      <c r="AE28" s="192">
        <f>I28/7.4/H28</f>
        <v>0.150586627877001</v>
      </c>
      <c r="AF28" s="192">
        <f>Z28/7.4/H28</f>
        <v>0.0677507179194833</v>
      </c>
      <c r="AG28" s="192">
        <v>0.15</v>
      </c>
      <c r="AH28" s="192">
        <v>0.15</v>
      </c>
      <c r="AI28" s="192">
        <v>0.02</v>
      </c>
      <c r="AJ28" s="192">
        <f>M28</f>
        <v>0.05</v>
      </c>
    </row>
    <row r="29" hidden="1" spans="1:36">
      <c r="A29" s="187" t="s">
        <v>129</v>
      </c>
      <c r="B29" s="9">
        <v>9.5</v>
      </c>
      <c r="C29" s="9" t="s">
        <v>126</v>
      </c>
      <c r="D29" s="9" t="s">
        <v>127</v>
      </c>
      <c r="E29" s="9" t="s">
        <v>108</v>
      </c>
      <c r="F29" s="184">
        <f>IF(E29="有",(I29/B29+J29+Z29/B29)/(0.99999-K29-L29-M29-N29),(I29/B29+J29+Z29/B29)/(0.99999-K29-M29-N29))</f>
        <v>48.7690817567167</v>
      </c>
      <c r="G29" s="184">
        <f>IF(E29="有",(I29/B29+J29+Z29/B29)/(0.8-K29-L29-M29-N29-O29-P29),(I29/B29+J29+Z29/B29)/(0.8-K29-M29-N29-O29-P29))</f>
        <v>90.5510330110948</v>
      </c>
      <c r="H29" s="186">
        <v>99.99</v>
      </c>
      <c r="I29" s="184">
        <f>138.5/1.13</f>
        <v>122.566371681416</v>
      </c>
      <c r="J29" s="9">
        <v>5.19</v>
      </c>
      <c r="K29" s="192">
        <v>0.15</v>
      </c>
      <c r="L29" s="192">
        <v>0.16</v>
      </c>
      <c r="M29" s="192">
        <v>0.05</v>
      </c>
      <c r="N29" s="192">
        <v>0.15</v>
      </c>
      <c r="O29" s="193">
        <f>0.61/H29</f>
        <v>0.0061006100610061</v>
      </c>
      <c r="P29" s="192">
        <v>0.02</v>
      </c>
      <c r="Q29" s="192"/>
      <c r="R29" s="8">
        <v>33.5</v>
      </c>
      <c r="S29" s="8">
        <v>26.5</v>
      </c>
      <c r="T29" s="8">
        <v>25</v>
      </c>
      <c r="U29" s="8">
        <v>2.3</v>
      </c>
      <c r="V29" s="184">
        <f>R29*S29*T29/6000</f>
        <v>3.69895833333333</v>
      </c>
      <c r="W29" s="184">
        <f>MAX(U29:V29)</f>
        <v>3.69895833333333</v>
      </c>
      <c r="X29" s="9" t="s">
        <v>16</v>
      </c>
      <c r="Y29" s="200">
        <v>14.908</v>
      </c>
      <c r="Z29" s="201">
        <f>W29*Y29</f>
        <v>55.1440708333333</v>
      </c>
      <c r="AA29" s="184">
        <f>H29-SUM(K29:P29)*H29-J29-I29/B29-Z29/B29</f>
        <v>22.4889376300264</v>
      </c>
      <c r="AB29" s="202">
        <f>AA29/H29</f>
        <v>0.224911867487013</v>
      </c>
      <c r="AC29" s="8"/>
      <c r="AD29" s="203">
        <f>J29/H29</f>
        <v>0.0519051905190519</v>
      </c>
      <c r="AE29" s="192">
        <f>I29/7.4/H29</f>
        <v>0.165646796681582</v>
      </c>
      <c r="AF29" s="192">
        <f>Z29/7.4/H29</f>
        <v>0.0745264672863683</v>
      </c>
      <c r="AG29" s="192">
        <v>0.15</v>
      </c>
      <c r="AH29" s="192">
        <v>0.15</v>
      </c>
      <c r="AI29" s="192">
        <v>0.02</v>
      </c>
      <c r="AJ29" s="192">
        <f>M29</f>
        <v>0.05</v>
      </c>
    </row>
    <row r="30" hidden="1" spans="1:36">
      <c r="A30" s="7"/>
      <c r="B30" s="9"/>
      <c r="C30" s="9"/>
      <c r="D30" s="9"/>
      <c r="E30" s="9"/>
      <c r="F30" s="184"/>
      <c r="G30" s="184"/>
      <c r="H30" s="188"/>
      <c r="I30" s="184"/>
      <c r="J30" s="9"/>
      <c r="K30" s="192"/>
      <c r="L30" s="192"/>
      <c r="M30" s="192"/>
      <c r="N30" s="192"/>
      <c r="O30" s="193"/>
      <c r="P30" s="192"/>
      <c r="Q30" s="192"/>
      <c r="R30" s="8"/>
      <c r="S30" s="8"/>
      <c r="T30" s="8"/>
      <c r="U30" s="8"/>
      <c r="V30" s="184"/>
      <c r="W30" s="184"/>
      <c r="X30" s="9"/>
      <c r="Y30" s="200"/>
      <c r="Z30" s="201"/>
      <c r="AA30" s="184"/>
      <c r="AB30" s="202"/>
      <c r="AC30" s="8"/>
      <c r="AD30" s="203"/>
      <c r="AE30" s="192"/>
      <c r="AF30" s="192"/>
      <c r="AG30" s="192"/>
      <c r="AH30" s="192"/>
      <c r="AI30" s="192"/>
      <c r="AJ30" s="192"/>
    </row>
    <row r="31" hidden="1" spans="1:36">
      <c r="A31" s="7" t="s">
        <v>130</v>
      </c>
      <c r="B31" s="9">
        <v>8.5</v>
      </c>
      <c r="C31" s="9" t="s">
        <v>126</v>
      </c>
      <c r="D31" s="9" t="s">
        <v>127</v>
      </c>
      <c r="E31" s="9" t="s">
        <v>108</v>
      </c>
      <c r="F31" s="184">
        <f>IF(E31="有",(I31/B31+J31+Z31/B31)/(0.99999-K31-L31-M31-N31),(I31/B31+J31+Z31/B31)/(0.99999-K31-M31-N31))</f>
        <v>56.2810044878265</v>
      </c>
      <c r="G31" s="184">
        <f>IF(E31="有",(I31/B31+J31+Z31/B31)/(0.8-K31-L31-M31-N31-O31-P31),(I31/B31+J31+Z31/B31)/(0.8-K31-M31-N31-O31-P31))</f>
        <v>104.498647743616</v>
      </c>
      <c r="H31" s="188">
        <v>99.99</v>
      </c>
      <c r="I31" s="184">
        <f>138.5/1.13</f>
        <v>122.566371681416</v>
      </c>
      <c r="J31" s="9">
        <v>5.19</v>
      </c>
      <c r="K31" s="192">
        <v>0.15</v>
      </c>
      <c r="L31" s="192">
        <v>0.16</v>
      </c>
      <c r="M31" s="192">
        <v>0.05</v>
      </c>
      <c r="N31" s="192">
        <v>0.15</v>
      </c>
      <c r="O31" s="193">
        <f>0.61/H31</f>
        <v>0.0061006100610061</v>
      </c>
      <c r="P31" s="192">
        <v>0.02</v>
      </c>
      <c r="Q31" s="192"/>
      <c r="R31" s="8">
        <v>33.5</v>
      </c>
      <c r="S31" s="8">
        <v>26.5</v>
      </c>
      <c r="T31" s="8">
        <v>25</v>
      </c>
      <c r="U31" s="8">
        <v>2.3</v>
      </c>
      <c r="V31" s="184">
        <f>R31*S31*T31/6000</f>
        <v>3.69895833333333</v>
      </c>
      <c r="W31" s="184">
        <f>MAX(U31:V31)</f>
        <v>3.69895833333333</v>
      </c>
      <c r="X31" s="9" t="s">
        <v>17</v>
      </c>
      <c r="Y31" s="200">
        <v>18.309</v>
      </c>
      <c r="Z31" s="201">
        <f>W31*Y31</f>
        <v>67.724228125</v>
      </c>
      <c r="AA31" s="184">
        <f>H31-SUM(K31:P31)*H31-J31-I31/B31-Z31/B31</f>
        <v>18.8081706110099</v>
      </c>
      <c r="AB31" s="202">
        <f>AA31/H31</f>
        <v>0.188100516161715</v>
      </c>
      <c r="AC31" s="8"/>
      <c r="AD31" s="203">
        <f>J31/H31</f>
        <v>0.0519051905190519</v>
      </c>
      <c r="AE31" s="192">
        <f>I31/7.4/H31</f>
        <v>0.165646796681582</v>
      </c>
      <c r="AF31" s="192">
        <f>Z31/7.4/H31</f>
        <v>0.0915283800339493</v>
      </c>
      <c r="AG31" s="192">
        <v>0.15</v>
      </c>
      <c r="AH31" s="192">
        <v>0.15</v>
      </c>
      <c r="AI31" s="192">
        <v>0.02</v>
      </c>
      <c r="AJ31" s="192">
        <f>M31</f>
        <v>0.05</v>
      </c>
    </row>
    <row r="32" hidden="1" spans="1:36">
      <c r="A32" s="7" t="s">
        <v>131</v>
      </c>
      <c r="B32" s="9">
        <v>8.5</v>
      </c>
      <c r="C32" s="9" t="s">
        <v>126</v>
      </c>
      <c r="D32" s="9" t="s">
        <v>127</v>
      </c>
      <c r="E32" s="9" t="s">
        <v>108</v>
      </c>
      <c r="F32" s="184">
        <f>IF(E32="有",(I32/B32+J32+Z32/B32)/(0.99999-K32-L32-M32-N32),(I32/B32+J32+Z32/B32)/(0.99999-K32-M32-N32))</f>
        <v>56.2810044878265</v>
      </c>
      <c r="G32" s="184">
        <f>IF(E32="有",(I32/B32+J32+Z32/B32)/(0.8-K32-L32-M32-N32-O32-P32),(I32/B32+J32+Z32/B32)/(0.8-K32-M32-N32-O32-P32))</f>
        <v>104.498647743616</v>
      </c>
      <c r="H32" s="188">
        <v>99.99</v>
      </c>
      <c r="I32" s="184">
        <f>138.5/1.13</f>
        <v>122.566371681416</v>
      </c>
      <c r="J32" s="9">
        <v>5.19</v>
      </c>
      <c r="K32" s="192">
        <v>0.15</v>
      </c>
      <c r="L32" s="192">
        <v>0.16</v>
      </c>
      <c r="M32" s="192">
        <v>0.05</v>
      </c>
      <c r="N32" s="192">
        <v>0.15</v>
      </c>
      <c r="O32" s="193">
        <f>0.61/H32</f>
        <v>0.0061006100610061</v>
      </c>
      <c r="P32" s="192">
        <v>0.02</v>
      </c>
      <c r="Q32" s="192"/>
      <c r="R32" s="8">
        <v>33.5</v>
      </c>
      <c r="S32" s="8">
        <v>26.5</v>
      </c>
      <c r="T32" s="8">
        <v>25</v>
      </c>
      <c r="U32" s="8">
        <v>2.3</v>
      </c>
      <c r="V32" s="184">
        <f>R32*S32*T32/6000</f>
        <v>3.69895833333333</v>
      </c>
      <c r="W32" s="184">
        <f>MAX(U32:V32)</f>
        <v>3.69895833333333</v>
      </c>
      <c r="X32" s="9" t="s">
        <v>17</v>
      </c>
      <c r="Y32" s="200">
        <v>18.309</v>
      </c>
      <c r="Z32" s="201">
        <f>W32*Y32</f>
        <v>67.724228125</v>
      </c>
      <c r="AA32" s="184">
        <f>H32-SUM(K32:P32)*H32-J32-I32/B32-Z32/B32</f>
        <v>18.8081706110099</v>
      </c>
      <c r="AB32" s="202">
        <f>AA32/H32</f>
        <v>0.188100516161715</v>
      </c>
      <c r="AC32" s="8"/>
      <c r="AD32" s="203">
        <f>J32/H32</f>
        <v>0.0519051905190519</v>
      </c>
      <c r="AE32" s="192">
        <f>I32/7.4/H32</f>
        <v>0.165646796681582</v>
      </c>
      <c r="AF32" s="192">
        <f>Z32/7.4/H32</f>
        <v>0.0915283800339493</v>
      </c>
      <c r="AG32" s="192">
        <v>0.15</v>
      </c>
      <c r="AH32" s="192">
        <v>0.15</v>
      </c>
      <c r="AI32" s="192">
        <v>0.02</v>
      </c>
      <c r="AJ32" s="192">
        <f>M32</f>
        <v>0.05</v>
      </c>
    </row>
    <row r="33" hidden="1" spans="1:36">
      <c r="A33" s="7" t="s">
        <v>132</v>
      </c>
      <c r="B33" s="9">
        <v>8.5</v>
      </c>
      <c r="C33" s="9" t="s">
        <v>126</v>
      </c>
      <c r="D33" s="9" t="s">
        <v>127</v>
      </c>
      <c r="E33" s="9" t="s">
        <v>108</v>
      </c>
      <c r="F33" s="184">
        <f>IF(E33="有",(I33/B33+J33+Z33/B33)/(0.99999-K33-L33-M33-N33),(I33/B33+J33+Z33/B33)/(0.99999-K33-M33-N33))</f>
        <v>56.2810044878265</v>
      </c>
      <c r="G33" s="184">
        <f>IF(E33="有",(I33/B33+J33+Z33/B33)/(0.8-K33-L33-M33-N33-O33-P33),(I33/B33+J33+Z33/B33)/(0.8-K33-M33-N33-O33-P33))</f>
        <v>104.498647743616</v>
      </c>
      <c r="H33" s="188">
        <v>99.99</v>
      </c>
      <c r="I33" s="184">
        <f>138.5/1.13</f>
        <v>122.566371681416</v>
      </c>
      <c r="J33" s="9">
        <v>5.19</v>
      </c>
      <c r="K33" s="192">
        <v>0.15</v>
      </c>
      <c r="L33" s="192">
        <v>0.16</v>
      </c>
      <c r="M33" s="192">
        <v>0.05</v>
      </c>
      <c r="N33" s="192">
        <v>0.15</v>
      </c>
      <c r="O33" s="193">
        <f>0.61/H33</f>
        <v>0.0061006100610061</v>
      </c>
      <c r="P33" s="192">
        <v>0.02</v>
      </c>
      <c r="Q33" s="192"/>
      <c r="R33" s="8">
        <v>33.5</v>
      </c>
      <c r="S33" s="8">
        <v>26.5</v>
      </c>
      <c r="T33" s="8">
        <v>25</v>
      </c>
      <c r="U33" s="8">
        <v>2.3</v>
      </c>
      <c r="V33" s="184">
        <f>R33*S33*T33/6000</f>
        <v>3.69895833333333</v>
      </c>
      <c r="W33" s="184">
        <f>MAX(U33:V33)</f>
        <v>3.69895833333333</v>
      </c>
      <c r="X33" s="9" t="s">
        <v>17</v>
      </c>
      <c r="Y33" s="200">
        <v>18.309</v>
      </c>
      <c r="Z33" s="201">
        <f>W33*Y33</f>
        <v>67.724228125</v>
      </c>
      <c r="AA33" s="184">
        <f>H33-SUM(K33:P33)*H33-J33-I33/B33-Z33/B33</f>
        <v>18.8081706110099</v>
      </c>
      <c r="AB33" s="202">
        <f>AA33/H33</f>
        <v>0.188100516161715</v>
      </c>
      <c r="AC33" s="8"/>
      <c r="AD33" s="203">
        <f>J33/H33</f>
        <v>0.0519051905190519</v>
      </c>
      <c r="AE33" s="192">
        <f>I33/7.4/H33</f>
        <v>0.165646796681582</v>
      </c>
      <c r="AF33" s="192">
        <f>Z33/7.4/H33</f>
        <v>0.0915283800339493</v>
      </c>
      <c r="AG33" s="192">
        <v>0.15</v>
      </c>
      <c r="AH33" s="192">
        <v>0.15</v>
      </c>
      <c r="AI33" s="192">
        <v>0.02</v>
      </c>
      <c r="AJ33" s="192">
        <f>M33</f>
        <v>0.05</v>
      </c>
    </row>
    <row r="34" hidden="1" spans="1:36">
      <c r="A34" s="7"/>
      <c r="B34" s="9"/>
      <c r="C34" s="9"/>
      <c r="D34" s="9"/>
      <c r="E34" s="9"/>
      <c r="F34" s="184"/>
      <c r="G34" s="184"/>
      <c r="H34" s="188"/>
      <c r="I34" s="184"/>
      <c r="J34" s="9"/>
      <c r="K34" s="192"/>
      <c r="L34" s="192"/>
      <c r="M34" s="192"/>
      <c r="N34" s="192"/>
      <c r="O34" s="193"/>
      <c r="P34" s="192"/>
      <c r="Q34" s="192"/>
      <c r="R34" s="8"/>
      <c r="S34" s="8"/>
      <c r="T34" s="8"/>
      <c r="U34" s="8"/>
      <c r="V34" s="184"/>
      <c r="W34" s="184"/>
      <c r="X34" s="9"/>
      <c r="Y34" s="200"/>
      <c r="Z34" s="201"/>
      <c r="AA34" s="184"/>
      <c r="AB34" s="202"/>
      <c r="AC34" s="8"/>
      <c r="AD34" s="203"/>
      <c r="AE34" s="192"/>
      <c r="AF34" s="192"/>
      <c r="AG34" s="192"/>
      <c r="AH34" s="192"/>
      <c r="AI34" s="192"/>
      <c r="AJ34" s="192"/>
    </row>
    <row r="35" hidden="1" spans="1:36">
      <c r="A35" s="187" t="s">
        <v>115</v>
      </c>
      <c r="B35" s="8">
        <v>9</v>
      </c>
      <c r="C35" s="9" t="s">
        <v>126</v>
      </c>
      <c r="D35" s="9" t="s">
        <v>127</v>
      </c>
      <c r="E35" s="9" t="s">
        <v>108</v>
      </c>
      <c r="F35" s="184">
        <f>IF(E35="有",(I35/B35+J35+Z35/B35)/(0.99999-K35-L35-M35-N35),(I35/B35+J35+Z35/B35)/(0.99999-K35-M35-N35))</f>
        <v>41.7610935564936</v>
      </c>
      <c r="G35" s="184">
        <f>IF(E35="有",(I35/B35+J35+Z35/B35)/(0.8-K35-L35-M35-N35-O35-P35),(I35/B35+J35+Z35/B35)/(0.8-K35-M35-N35-O35-P35))</f>
        <v>72.0690735281557</v>
      </c>
      <c r="H35" s="186">
        <v>97.97</v>
      </c>
      <c r="I35" s="184">
        <f>138.5/1.13</f>
        <v>122.566371681416</v>
      </c>
      <c r="J35" s="9">
        <v>5.19</v>
      </c>
      <c r="K35" s="192">
        <v>0.15</v>
      </c>
      <c r="L35" s="192">
        <v>0.16</v>
      </c>
      <c r="M35" s="192">
        <v>0.05</v>
      </c>
      <c r="N35" s="192">
        <f>Q35/H35</f>
        <v>0.102072062876391</v>
      </c>
      <c r="O35" s="193">
        <f>0.61/H35</f>
        <v>0.00622639583545983</v>
      </c>
      <c r="P35" s="192">
        <v>0.02</v>
      </c>
      <c r="Q35" s="184">
        <v>10</v>
      </c>
      <c r="R35" s="8">
        <v>33.5</v>
      </c>
      <c r="S35" s="8">
        <v>26.5</v>
      </c>
      <c r="T35" s="8">
        <v>25</v>
      </c>
      <c r="U35" s="8">
        <v>2.3</v>
      </c>
      <c r="V35" s="184">
        <f>R35*S35*T35/6000</f>
        <v>3.69895833333333</v>
      </c>
      <c r="W35" s="184">
        <f>MAX(U35:V35)</f>
        <v>3.69895833333333</v>
      </c>
      <c r="X35" s="9" t="s">
        <v>17</v>
      </c>
      <c r="Y35" s="200">
        <v>6.084</v>
      </c>
      <c r="Z35" s="201">
        <v>32.9</v>
      </c>
      <c r="AA35" s="184">
        <f>H35-SUM(K35:P35)*H35-J35-I35/B35-Z35/B35</f>
        <v>27.6673587020649</v>
      </c>
      <c r="AB35" s="202">
        <f>AA35/H35</f>
        <v>0.282406437706083</v>
      </c>
      <c r="AC35" s="8"/>
      <c r="AD35" s="203">
        <f>J35/H35</f>
        <v>0.0529754006328468</v>
      </c>
      <c r="AE35" s="192">
        <f>I35/7.4/H35</f>
        <v>0.169062194551305</v>
      </c>
      <c r="AF35" s="192">
        <f>Z35/7.4/H35</f>
        <v>0.0453806874139629</v>
      </c>
      <c r="AG35" s="192">
        <v>0.15</v>
      </c>
      <c r="AH35" s="192">
        <v>0.15</v>
      </c>
      <c r="AI35" s="192">
        <v>0.02</v>
      </c>
      <c r="AJ35" s="192">
        <f>M35</f>
        <v>0.05</v>
      </c>
    </row>
    <row r="36" hidden="1" spans="1:36">
      <c r="A36" s="187" t="s">
        <v>116</v>
      </c>
      <c r="B36" s="8">
        <v>9</v>
      </c>
      <c r="C36" s="9" t="s">
        <v>126</v>
      </c>
      <c r="D36" s="9" t="s">
        <v>127</v>
      </c>
      <c r="E36" s="9" t="s">
        <v>108</v>
      </c>
      <c r="F36" s="184">
        <f>IF(E36="有",(I36/B36+J36+Z36/B36)/(0.99999-K36-L36-M36-N36),(I36/B36+J36+Z36/B36)/(0.99999-K36-M36-N36))</f>
        <v>43.207954887723</v>
      </c>
      <c r="G36" s="184">
        <f>IF(E36="有",(I36/B36+J36+Z36/B36)/(0.8-K36-L36-M36-N36-O36-P36),(I36/B36+J36+Z36/B36)/(0.8-K36-M36-N36-O36-P36))</f>
        <v>76.7765048995886</v>
      </c>
      <c r="H36" s="186">
        <f>H35*0.85</f>
        <v>83.2745</v>
      </c>
      <c r="I36" s="184">
        <f>138.5/1.13</f>
        <v>122.566371681416</v>
      </c>
      <c r="J36" s="9">
        <v>5.19</v>
      </c>
      <c r="K36" s="192">
        <v>0.15</v>
      </c>
      <c r="L36" s="192">
        <v>0.16</v>
      </c>
      <c r="M36" s="192">
        <v>0.05</v>
      </c>
      <c r="N36" s="192">
        <f>Q36/H36</f>
        <v>0.120084779854577</v>
      </c>
      <c r="O36" s="193">
        <f>0.61/H36</f>
        <v>0.00732517157112922</v>
      </c>
      <c r="P36" s="192">
        <v>0.02</v>
      </c>
      <c r="Q36" s="184">
        <v>10</v>
      </c>
      <c r="R36" s="8">
        <v>33.5</v>
      </c>
      <c r="S36" s="8">
        <v>26.5</v>
      </c>
      <c r="T36" s="8">
        <v>25</v>
      </c>
      <c r="U36" s="8">
        <v>2.3</v>
      </c>
      <c r="V36" s="184">
        <f>R36*S36*T36/6000</f>
        <v>3.69895833333333</v>
      </c>
      <c r="W36" s="184">
        <f>MAX(U36:V36)</f>
        <v>3.69895833333333</v>
      </c>
      <c r="X36" s="9" t="s">
        <v>17</v>
      </c>
      <c r="Y36" s="200">
        <v>6.084</v>
      </c>
      <c r="Z36" s="201">
        <v>32.9</v>
      </c>
      <c r="AA36" s="184">
        <f>H36-SUM(K36:P36)*H36-J36-I36/B36-Z36/B36</f>
        <v>18.5561487020649</v>
      </c>
      <c r="AB36" s="202">
        <f>AA36/H36</f>
        <v>0.222831103183626</v>
      </c>
      <c r="AC36" s="8"/>
      <c r="AD36" s="203">
        <f>J36/H36</f>
        <v>0.0623240007445256</v>
      </c>
      <c r="AE36" s="192">
        <f>I36/7.4/H36</f>
        <v>0.198896699472123</v>
      </c>
      <c r="AF36" s="192">
        <f>Z36/7.4/H36</f>
        <v>0.0533890440164269</v>
      </c>
      <c r="AG36" s="192">
        <v>0.15</v>
      </c>
      <c r="AH36" s="192">
        <v>0.15</v>
      </c>
      <c r="AI36" s="192">
        <v>0.02</v>
      </c>
      <c r="AJ36" s="192">
        <f>M36</f>
        <v>0.05</v>
      </c>
    </row>
    <row r="37" hidden="1" spans="1:75">
      <c r="A37" s="187" t="s">
        <v>117</v>
      </c>
      <c r="B37" s="8">
        <v>9</v>
      </c>
      <c r="C37" s="9" t="s">
        <v>126</v>
      </c>
      <c r="D37" s="9" t="s">
        <v>127</v>
      </c>
      <c r="E37" s="9" t="s">
        <v>108</v>
      </c>
      <c r="F37" s="184">
        <f>IF(E37="有",(I37/B37+J37+Z37/B37)/(0.99999-K37-L37-M37-N37),(I37/B37+J37+Z37/B37)/(0.99999-K37-M37-N37))</f>
        <v>43.8408367361965</v>
      </c>
      <c r="G37" s="184">
        <f>IF(E37="有",(I37/B37+J37+Z37/B37)/(0.8-K37-L37-M37-N37-O37-P37),(I37/B37+J37+Z37/B37)/(0.8-K37-M37-N37-O37-P37))</f>
        <v>78.9245120462581</v>
      </c>
      <c r="H37" s="186">
        <f>H35*0.8</f>
        <v>78.376</v>
      </c>
      <c r="I37" s="184">
        <f>138.5/1.13</f>
        <v>122.566371681416</v>
      </c>
      <c r="J37" s="9">
        <v>5.19</v>
      </c>
      <c r="K37" s="192">
        <v>0.15</v>
      </c>
      <c r="L37" s="192">
        <v>0.16</v>
      </c>
      <c r="M37" s="192">
        <v>0.05</v>
      </c>
      <c r="N37" s="192">
        <f>Q37/H37</f>
        <v>0.127590078595488</v>
      </c>
      <c r="O37" s="193">
        <f>0.61/H37</f>
        <v>0.00778299479432479</v>
      </c>
      <c r="P37" s="192">
        <v>0.02</v>
      </c>
      <c r="Q37" s="184">
        <v>10</v>
      </c>
      <c r="R37" s="8">
        <v>33.5</v>
      </c>
      <c r="S37" s="8">
        <v>26.5</v>
      </c>
      <c r="T37" s="8">
        <v>25</v>
      </c>
      <c r="U37" s="8">
        <v>2.3</v>
      </c>
      <c r="V37" s="184">
        <f>R37*S37*T37/6000</f>
        <v>3.69895833333333</v>
      </c>
      <c r="W37" s="184">
        <f>MAX(U37:V37)</f>
        <v>3.69895833333333</v>
      </c>
      <c r="X37" s="9" t="s">
        <v>17</v>
      </c>
      <c r="Y37" s="200">
        <v>6.084</v>
      </c>
      <c r="Z37" s="201">
        <v>32.9</v>
      </c>
      <c r="AA37" s="184">
        <f>H37-SUM(K37:P37)*H37-J37-I37/B37-Z37/B37</f>
        <v>15.5190787020649</v>
      </c>
      <c r="AB37" s="202">
        <f>AA37/H37</f>
        <v>0.198008047132603</v>
      </c>
      <c r="AC37" s="8"/>
      <c r="AD37" s="203">
        <f>J37/H37</f>
        <v>0.0662192507910585</v>
      </c>
      <c r="AE37" s="192">
        <f>I37/7.4/H37</f>
        <v>0.211327743189131</v>
      </c>
      <c r="AF37" s="192">
        <f>Z37/7.4/H37</f>
        <v>0.0567258592674536</v>
      </c>
      <c r="AG37" s="192">
        <v>0.15</v>
      </c>
      <c r="AH37" s="192">
        <v>0.15</v>
      </c>
      <c r="AI37" s="192">
        <v>0.02</v>
      </c>
      <c r="AJ37" s="192">
        <f>M37</f>
        <v>0.05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hidden="1" spans="2:36">
      <c r="B38" s="9"/>
      <c r="C38" s="9"/>
      <c r="D38" s="9"/>
      <c r="E38" s="9"/>
      <c r="F38" s="184"/>
      <c r="G38" s="184"/>
      <c r="H38" s="188"/>
      <c r="I38" s="184"/>
      <c r="J38" s="9"/>
      <c r="K38" s="192"/>
      <c r="L38" s="192"/>
      <c r="M38" s="192"/>
      <c r="N38" s="192"/>
      <c r="O38" s="193"/>
      <c r="P38" s="192"/>
      <c r="Q38" s="192"/>
      <c r="R38" s="8"/>
      <c r="S38" s="8"/>
      <c r="T38" s="8"/>
      <c r="U38" s="8"/>
      <c r="V38" s="184"/>
      <c r="W38" s="184"/>
      <c r="X38" s="9"/>
      <c r="Y38" s="200"/>
      <c r="Z38" s="184"/>
      <c r="AA38" s="184"/>
      <c r="AB38" s="202"/>
      <c r="AC38" s="8"/>
      <c r="AD38" s="203"/>
      <c r="AE38" s="192"/>
      <c r="AF38" s="192"/>
      <c r="AG38" s="192"/>
      <c r="AH38" s="192"/>
      <c r="AI38" s="192"/>
      <c r="AJ38" s="192"/>
    </row>
    <row r="39" spans="1:75">
      <c r="A39" s="189" t="s">
        <v>115</v>
      </c>
      <c r="B39" s="8">
        <v>9</v>
      </c>
      <c r="C39" s="9" t="s">
        <v>126</v>
      </c>
      <c r="D39" s="9" t="s">
        <v>127</v>
      </c>
      <c r="E39" s="9" t="s">
        <v>108</v>
      </c>
      <c r="F39" s="184">
        <f>IF(E39="有",(I39/B39+J39+Z39/B39)/(0.99999-K39-L39-M39-N39),(I39/B39+J39+Z39/B39)/(0.99999-K39-M39-N39))</f>
        <v>42.4758223877527</v>
      </c>
      <c r="G39" s="184">
        <f>IF(E39="有",(I39/B39+J39+Z39/B39)/(0.8-K39-L39-M39-N39-O39-P39),(I39/B39+J39+Z39/B39)/(0.8-K39-M39-N39-O39-P39))</f>
        <v>74.3601099250778</v>
      </c>
      <c r="H39" s="186">
        <v>89.99</v>
      </c>
      <c r="I39" s="184">
        <f>138.5/1.13</f>
        <v>122.566371681416</v>
      </c>
      <c r="J39" s="9">
        <v>5.19</v>
      </c>
      <c r="K39" s="192">
        <v>0.15</v>
      </c>
      <c r="L39" s="192">
        <v>0.16</v>
      </c>
      <c r="M39" s="192">
        <v>0.05</v>
      </c>
      <c r="N39" s="192">
        <f>Q39/H39</f>
        <v>0.111123458162018</v>
      </c>
      <c r="O39" s="193">
        <f>0.61/H39</f>
        <v>0.0067785309478831</v>
      </c>
      <c r="P39" s="192">
        <v>0.02</v>
      </c>
      <c r="Q39" s="184">
        <v>10</v>
      </c>
      <c r="R39" s="8">
        <v>33.5</v>
      </c>
      <c r="S39" s="8">
        <v>26.5</v>
      </c>
      <c r="T39" s="8">
        <v>25</v>
      </c>
      <c r="U39" s="8">
        <v>2.3</v>
      </c>
      <c r="V39" s="184">
        <f>R39*S39*T39/6000</f>
        <v>3.69895833333333</v>
      </c>
      <c r="W39" s="184">
        <f>MAX(U39:V39)</f>
        <v>3.69895833333333</v>
      </c>
      <c r="X39" s="9" t="s">
        <v>17</v>
      </c>
      <c r="Y39" s="200">
        <v>6.084</v>
      </c>
      <c r="Z39" s="201">
        <v>32.9</v>
      </c>
      <c r="AA39" s="184">
        <f>H39-SUM(K39:P39)*H39-J39-I39/B39-Z39/B39</f>
        <v>22.7197587020649</v>
      </c>
      <c r="AB39" s="202">
        <f>AA39/H39</f>
        <v>0.252469815558005</v>
      </c>
      <c r="AC39" s="8"/>
      <c r="AD39" s="203">
        <f>J39/H39</f>
        <v>0.0576730747860874</v>
      </c>
      <c r="AE39" s="192">
        <f>I39/7.4/H39</f>
        <v>0.1840540415623</v>
      </c>
      <c r="AF39" s="192">
        <f>Z39/7.4/H39</f>
        <v>0.0494048888314918</v>
      </c>
      <c r="AG39" s="192">
        <v>0.15</v>
      </c>
      <c r="AH39" s="192">
        <v>0.15</v>
      </c>
      <c r="AI39" s="192">
        <v>0.02</v>
      </c>
      <c r="AJ39" s="192">
        <f>M39</f>
        <v>0.05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spans="1:75">
      <c r="A40" s="189" t="s">
        <v>133</v>
      </c>
      <c r="B40" s="8">
        <v>9</v>
      </c>
      <c r="C40" s="9" t="s">
        <v>126</v>
      </c>
      <c r="D40" s="9" t="s">
        <v>127</v>
      </c>
      <c r="E40" s="9" t="s">
        <v>108</v>
      </c>
      <c r="F40" s="184">
        <f>IF(E40="有",(I40/B40+J40+Z40/B40)/(0.99999-K40-L40-M40-N40),(I40/B40+J40+Z40/B40)/(0.99999-K40-M40-N40))</f>
        <v>44.8307391643904</v>
      </c>
      <c r="G40" s="184">
        <f>IF(E40="有",(I40/B40+J40+Z40/B40)/(0.8-K40-L40-M40-N40-O40-P40),(I40/B40+J40+Z40/B40)/(0.8-K40-M40-N40-O40-P40))</f>
        <v>82.399802570432</v>
      </c>
      <c r="H40" s="186">
        <f>H39*0.8</f>
        <v>71.992</v>
      </c>
      <c r="I40" s="184">
        <f>138.5/1.13</f>
        <v>122.566371681416</v>
      </c>
      <c r="J40" s="9">
        <v>5.19</v>
      </c>
      <c r="K40" s="192">
        <v>0.15</v>
      </c>
      <c r="L40" s="192">
        <v>0.16</v>
      </c>
      <c r="M40" s="192">
        <v>0.05</v>
      </c>
      <c r="N40" s="192">
        <f>Q40/H40</f>
        <v>0.138904322702522</v>
      </c>
      <c r="O40" s="193">
        <f>0.61/H40</f>
        <v>0.00847316368485387</v>
      </c>
      <c r="P40" s="192">
        <v>0.02</v>
      </c>
      <c r="Q40" s="184">
        <v>10</v>
      </c>
      <c r="R40" s="8">
        <v>33.5</v>
      </c>
      <c r="S40" s="8">
        <v>26.5</v>
      </c>
      <c r="T40" s="8">
        <v>25</v>
      </c>
      <c r="U40" s="8">
        <v>2.3</v>
      </c>
      <c r="V40" s="184">
        <f>R40*S40*T40/6000</f>
        <v>3.69895833333333</v>
      </c>
      <c r="W40" s="184">
        <f>MAX(U40:V40)</f>
        <v>3.69895833333333</v>
      </c>
      <c r="X40" s="9" t="s">
        <v>17</v>
      </c>
      <c r="Y40" s="200">
        <v>6.084</v>
      </c>
      <c r="Z40" s="201">
        <v>32.9</v>
      </c>
      <c r="AA40" s="184">
        <f>H40-SUM(K40:P40)*H40-J40-I40/B40-Z40/B40</f>
        <v>11.5609987020649</v>
      </c>
      <c r="AB40" s="202">
        <f>AA40/H40</f>
        <v>0.160587269447507</v>
      </c>
      <c r="AC40" s="8"/>
      <c r="AD40" s="203">
        <f>J40/H40</f>
        <v>0.0720913434826092</v>
      </c>
      <c r="AE40" s="192">
        <f>I40/7.4/H40</f>
        <v>0.230067551952875</v>
      </c>
      <c r="AF40" s="192">
        <f>Z40/7.4/H40</f>
        <v>0.0617561110393647</v>
      </c>
      <c r="AG40" s="192">
        <v>0.15</v>
      </c>
      <c r="AH40" s="192">
        <v>0.15</v>
      </c>
      <c r="AI40" s="192">
        <v>0.02</v>
      </c>
      <c r="AJ40" s="192">
        <f>M40</f>
        <v>0.05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spans="1:75">
      <c r="A41" s="189" t="s">
        <v>117</v>
      </c>
      <c r="B41" s="8">
        <v>9</v>
      </c>
      <c r="C41" s="9" t="s">
        <v>126</v>
      </c>
      <c r="D41" s="9" t="s">
        <v>127</v>
      </c>
      <c r="E41" s="9" t="s">
        <v>108</v>
      </c>
      <c r="F41" s="184">
        <f>IF(E41="有",(I41/B41+J41+Z41/B41)/(0.99999-K41-L41-M41-N41),(I41/B41+J41+Z41/B41)/(0.99999-K41-M41-N41))</f>
        <v>48.1689268552789</v>
      </c>
      <c r="G41" s="184">
        <f>IF(E41="有",(I41/B41+J41+Z41/B41)/(0.8-K41-L41-M41-N41-O41-P41),(I41/B41+J41+Z41/B41)/(0.8-K41-M41-N41-O41-P41))</f>
        <v>95.2761825412624</v>
      </c>
      <c r="H41" s="186">
        <f>H40*0.8</f>
        <v>57.5936</v>
      </c>
      <c r="I41" s="184">
        <f>138.5/1.13</f>
        <v>122.566371681416</v>
      </c>
      <c r="J41" s="9">
        <v>5.19</v>
      </c>
      <c r="K41" s="192">
        <v>0.15</v>
      </c>
      <c r="L41" s="192">
        <v>0.16</v>
      </c>
      <c r="M41" s="192">
        <v>0.05</v>
      </c>
      <c r="N41" s="192">
        <f>Q41/H41</f>
        <v>0.173630403378153</v>
      </c>
      <c r="O41" s="193">
        <f>0.61/H41</f>
        <v>0.0105914546060673</v>
      </c>
      <c r="P41" s="192">
        <v>0.02</v>
      </c>
      <c r="Q41" s="184">
        <v>10</v>
      </c>
      <c r="R41" s="8">
        <v>33.5</v>
      </c>
      <c r="S41" s="8">
        <v>26.5</v>
      </c>
      <c r="T41" s="8">
        <v>25</v>
      </c>
      <c r="U41" s="8">
        <v>2.3</v>
      </c>
      <c r="V41" s="184">
        <f>R41*S41*T41/6000</f>
        <v>3.69895833333333</v>
      </c>
      <c r="W41" s="184">
        <f>MAX(U41:V41)</f>
        <v>3.69895833333333</v>
      </c>
      <c r="X41" s="9" t="s">
        <v>17</v>
      </c>
      <c r="Y41" s="200">
        <v>6.084</v>
      </c>
      <c r="Z41" s="201">
        <v>32.9</v>
      </c>
      <c r="AA41" s="184">
        <f>H41-SUM(K41:P41)*H41-J41-I41/B41-Z41/B41</f>
        <v>2.6339907020649</v>
      </c>
      <c r="AB41" s="202">
        <f>AA41/H41</f>
        <v>0.0457340868093833</v>
      </c>
      <c r="AC41" s="8"/>
      <c r="AD41" s="203">
        <f>J41/H41</f>
        <v>0.0901141793532615</v>
      </c>
      <c r="AE41" s="192">
        <f>I41/7.4/H41</f>
        <v>0.287584439941093</v>
      </c>
      <c r="AF41" s="192">
        <f>Z41/7.4/H41</f>
        <v>0.0771951387992059</v>
      </c>
      <c r="AG41" s="192">
        <v>0.15</v>
      </c>
      <c r="AH41" s="192">
        <v>0.15</v>
      </c>
      <c r="AI41" s="192">
        <v>0.02</v>
      </c>
      <c r="AJ41" s="192">
        <f>M41</f>
        <v>0.05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ht="21" customHeight="1" spans="5:36">
      <c r="E42" s="9"/>
      <c r="F42" s="184"/>
      <c r="G42" s="184"/>
      <c r="H42" s="9"/>
      <c r="I42" s="184"/>
      <c r="J42" s="9"/>
      <c r="K42" s="192"/>
      <c r="L42" s="192"/>
      <c r="M42" s="192"/>
      <c r="N42" s="192"/>
      <c r="O42" s="193"/>
      <c r="P42" s="192"/>
      <c r="Q42" s="192"/>
      <c r="R42" s="8"/>
      <c r="S42" s="8"/>
      <c r="T42" s="8"/>
      <c r="U42" s="8"/>
      <c r="V42" s="184"/>
      <c r="W42" s="184"/>
      <c r="X42" s="9"/>
      <c r="Y42" s="200"/>
      <c r="Z42" s="184"/>
      <c r="AA42" s="184"/>
      <c r="AB42" s="202"/>
      <c r="AC42" s="8"/>
      <c r="AD42" s="203"/>
      <c r="AE42" s="192"/>
      <c r="AF42" s="192"/>
      <c r="AG42" s="192"/>
      <c r="AH42" s="192"/>
      <c r="AI42" s="192"/>
      <c r="AJ42" s="192"/>
    </row>
    <row r="43" spans="1:36">
      <c r="A43" s="7" t="s">
        <v>134</v>
      </c>
      <c r="B43" s="7">
        <v>7.5</v>
      </c>
      <c r="C43" s="14" t="s">
        <v>106</v>
      </c>
      <c r="D43" s="14" t="s">
        <v>107</v>
      </c>
      <c r="E43" s="9" t="s">
        <v>108</v>
      </c>
      <c r="F43" s="184">
        <f>IF(E43="有",(I43/B43+J43+Z43/B43)/(0.99999-K43-L43-M43-N43),(I43/B43+J43+Z43/B43)/(0.99999-K43-M43-N43))</f>
        <v>19.2050313670908</v>
      </c>
      <c r="G43" s="184">
        <f>IF(E43="有",(I43/B43+J43+Z43/B43)/(0.8-K43-L43-M43-N43-O43-P43),(I43/B43+J43+Z43/B43)/(0.8-K43-M43-N43-O43-P43))</f>
        <v>33.8515488662814</v>
      </c>
      <c r="H43" s="46">
        <v>29.99</v>
      </c>
      <c r="I43" s="184">
        <f>46/1.13</f>
        <v>40.7079646017699</v>
      </c>
      <c r="J43" s="8">
        <v>2.78</v>
      </c>
      <c r="K43" s="192">
        <v>0.15</v>
      </c>
      <c r="L43" s="192">
        <v>0.16</v>
      </c>
      <c r="M43" s="192">
        <v>0.03</v>
      </c>
      <c r="N43" s="192">
        <v>0.15</v>
      </c>
      <c r="O43" s="193">
        <f>0.02/H43</f>
        <v>0.000666888962987663</v>
      </c>
      <c r="P43" s="192">
        <v>0.02</v>
      </c>
      <c r="Q43" s="192"/>
      <c r="R43" s="8">
        <v>20.2</v>
      </c>
      <c r="S43" s="8">
        <v>10.7</v>
      </c>
      <c r="T43" s="8">
        <v>3.6</v>
      </c>
      <c r="U43" s="8">
        <v>0.32</v>
      </c>
      <c r="V43" s="184">
        <f>R43*S43*T43/6000</f>
        <v>0.129684</v>
      </c>
      <c r="W43" s="184">
        <f>MAX(U43:V43)</f>
        <v>0.32</v>
      </c>
      <c r="X43" s="8" t="s">
        <v>14</v>
      </c>
      <c r="Y43" s="200">
        <v>37.187</v>
      </c>
      <c r="Z43" s="184">
        <f>W43*Y43</f>
        <v>11.89984</v>
      </c>
      <c r="AA43" s="184">
        <f>H43-SUM(K43:P43)*H43-J43-I43/B43-Z43/B43</f>
        <v>4.88072605309735</v>
      </c>
      <c r="AB43" s="202">
        <f>AA43/H43</f>
        <v>0.162745116808848</v>
      </c>
      <c r="AC43" s="8"/>
      <c r="AD43" s="203">
        <f>J43/H43</f>
        <v>0.0926975658552851</v>
      </c>
      <c r="AE43" s="192">
        <f>I43/7.4/H43</f>
        <v>0.183430353369006</v>
      </c>
      <c r="AF43" s="192">
        <f>Z43/7.4/H43</f>
        <v>0.0536207564683723</v>
      </c>
      <c r="AG43" s="192">
        <v>0.15</v>
      </c>
      <c r="AH43" s="192">
        <v>0.15</v>
      </c>
      <c r="AI43" s="192">
        <v>0.02</v>
      </c>
      <c r="AJ43" s="192">
        <f>M43</f>
        <v>0.03</v>
      </c>
    </row>
    <row r="44" spans="1:36">
      <c r="A44" s="7" t="s">
        <v>135</v>
      </c>
      <c r="B44" s="7">
        <v>7.5</v>
      </c>
      <c r="C44" s="14" t="s">
        <v>106</v>
      </c>
      <c r="D44" s="14" t="s">
        <v>107</v>
      </c>
      <c r="E44" s="9" t="s">
        <v>108</v>
      </c>
      <c r="F44" s="184">
        <f>IF(E44="有",(I44/B44+J44+Z44/B44)/(0.99999-K44-L44-M44-N44),(I44/B44+J44+Z44/B44)/(0.99999-K44-M44-N44))</f>
        <v>19.2050313670908</v>
      </c>
      <c r="G44" s="184">
        <f>IF(E44="有",(I44/B44+J44+Z44/B44)/(0.8-K44-L44-M44-N44-O44-P44),(I44/B44+J44+Z44/B44)/(0.8-K44-M44-N44-O44-P44))</f>
        <v>33.8671673192702</v>
      </c>
      <c r="H44" s="46">
        <v>24.99</v>
      </c>
      <c r="I44" s="184">
        <f>46/1.13</f>
        <v>40.7079646017699</v>
      </c>
      <c r="J44" s="9">
        <v>2.78</v>
      </c>
      <c r="K44" s="192">
        <v>0.15</v>
      </c>
      <c r="L44" s="192">
        <v>0.16</v>
      </c>
      <c r="M44" s="192">
        <v>0.03</v>
      </c>
      <c r="N44" s="192">
        <v>0.15</v>
      </c>
      <c r="O44" s="193">
        <f>0.02/H44</f>
        <v>0.000800320128051221</v>
      </c>
      <c r="P44" s="192">
        <v>0.02</v>
      </c>
      <c r="Q44" s="192"/>
      <c r="R44" s="8">
        <v>20.2</v>
      </c>
      <c r="S44" s="8">
        <v>10.7</v>
      </c>
      <c r="T44" s="8">
        <v>3.6</v>
      </c>
      <c r="U44" s="8">
        <v>0.32</v>
      </c>
      <c r="V44" s="184">
        <f>R44*S44*T44/6000</f>
        <v>0.129684</v>
      </c>
      <c r="W44" s="184">
        <f>MAX(U44:V44)</f>
        <v>0.32</v>
      </c>
      <c r="X44" s="9" t="s">
        <v>14</v>
      </c>
      <c r="Y44" s="200">
        <v>37.187</v>
      </c>
      <c r="Z44" s="184">
        <f>W44*Y44</f>
        <v>11.89984</v>
      </c>
      <c r="AA44" s="184">
        <f>H44-SUM(K44:P44)*H44-J44-I44/B44-Z44/B44</f>
        <v>2.43072605309734</v>
      </c>
      <c r="AB44" s="202">
        <f>AA44/H44</f>
        <v>0.0972679493036152</v>
      </c>
      <c r="AC44" s="8"/>
      <c r="AD44" s="203">
        <f>J44/H44</f>
        <v>0.11124449779912</v>
      </c>
      <c r="AE44" s="192">
        <f>I44/7.4/H44</f>
        <v>0.220131104343196</v>
      </c>
      <c r="AF44" s="192">
        <f>Z44/7.4/H44</f>
        <v>0.0643491991391151</v>
      </c>
      <c r="AG44" s="192">
        <v>0.15</v>
      </c>
      <c r="AH44" s="192">
        <v>0.15</v>
      </c>
      <c r="AI44" s="192">
        <v>0.02</v>
      </c>
      <c r="AJ44" s="192">
        <f>M44</f>
        <v>0.03</v>
      </c>
    </row>
    <row r="45" spans="1:36">
      <c r="A45" s="7" t="s">
        <v>136</v>
      </c>
      <c r="B45" s="7">
        <v>7.5</v>
      </c>
      <c r="C45" s="14" t="s">
        <v>106</v>
      </c>
      <c r="D45" s="14" t="s">
        <v>107</v>
      </c>
      <c r="E45" s="9" t="s">
        <v>108</v>
      </c>
      <c r="F45" s="184">
        <f>IF(E45="有",(I45/B45+J45+Z45/B45)/(0.99999-K45-L45-M45-N45),(I45/B45+J45+Z45/B45)/(0.99999-K45-M45-N45))</f>
        <v>19.2050313670908</v>
      </c>
      <c r="G45" s="184">
        <f>IF(E45="有",(I45/B45+J45+Z45/B45)/(0.8-K45-L45-M45-N45-O45-P45),(I45/B45+J45+Z45/B45)/(0.8-K45-M45-N45-O45-P45))</f>
        <v>33.8906259539534</v>
      </c>
      <c r="H45" s="46">
        <v>19.99</v>
      </c>
      <c r="I45" s="184">
        <f>46/1.13</f>
        <v>40.7079646017699</v>
      </c>
      <c r="J45" s="9">
        <v>2.78</v>
      </c>
      <c r="K45" s="192">
        <v>0.15</v>
      </c>
      <c r="L45" s="192">
        <v>0.16</v>
      </c>
      <c r="M45" s="192">
        <v>0.03</v>
      </c>
      <c r="N45" s="192">
        <v>0.15</v>
      </c>
      <c r="O45" s="193">
        <f>0.02/H45</f>
        <v>0.00100050025012506</v>
      </c>
      <c r="P45" s="192">
        <v>0.02</v>
      </c>
      <c r="Q45" s="192"/>
      <c r="R45" s="8">
        <v>20.2</v>
      </c>
      <c r="S45" s="8">
        <v>10.7</v>
      </c>
      <c r="T45" s="8">
        <v>3.6</v>
      </c>
      <c r="U45" s="8">
        <v>0.32</v>
      </c>
      <c r="V45" s="184">
        <f>R45*S45*T45/6000</f>
        <v>0.129684</v>
      </c>
      <c r="W45" s="184">
        <f>MAX(U45:V45)</f>
        <v>0.32</v>
      </c>
      <c r="X45" s="9" t="s">
        <v>14</v>
      </c>
      <c r="Y45" s="200">
        <v>37.187</v>
      </c>
      <c r="Z45" s="184">
        <f>W45*Y45</f>
        <v>11.89984</v>
      </c>
      <c r="AA45" s="184">
        <f>H45-SUM(K45:P45)*H45-J45-I45/B45-Z45/B45</f>
        <v>-0.019273946902655</v>
      </c>
      <c r="AB45" s="202">
        <f>AA45/H45</f>
        <v>-0.000964179434850178</v>
      </c>
      <c r="AC45" s="8"/>
      <c r="AD45" s="203">
        <f>J45/H45</f>
        <v>0.139069534767384</v>
      </c>
      <c r="AE45" s="192">
        <f>I45/7.4/H45</f>
        <v>0.275191410582115</v>
      </c>
      <c r="AF45" s="192">
        <f>Z45/7.4/H45</f>
        <v>0.0804445465976231</v>
      </c>
      <c r="AG45" s="192">
        <v>0.15</v>
      </c>
      <c r="AH45" s="192">
        <v>0.15</v>
      </c>
      <c r="AI45" s="192">
        <v>0.02</v>
      </c>
      <c r="AJ45" s="192">
        <f>M45</f>
        <v>0.03</v>
      </c>
    </row>
    <row r="46" spans="5:36">
      <c r="E46" s="9"/>
      <c r="F46" s="184"/>
      <c r="G46" s="184"/>
      <c r="H46" s="9"/>
      <c r="I46" s="184"/>
      <c r="J46" s="9"/>
      <c r="K46" s="192"/>
      <c r="L46" s="192"/>
      <c r="M46" s="192"/>
      <c r="N46" s="192"/>
      <c r="O46" s="193"/>
      <c r="P46" s="192"/>
      <c r="Q46" s="192"/>
      <c r="R46" s="8"/>
      <c r="S46" s="8"/>
      <c r="T46" s="8"/>
      <c r="U46" s="8"/>
      <c r="V46" s="184"/>
      <c r="W46" s="184"/>
      <c r="X46" s="9"/>
      <c r="Y46" s="200"/>
      <c r="Z46" s="184"/>
      <c r="AA46" s="184"/>
      <c r="AB46" s="202"/>
      <c r="AC46" s="8"/>
      <c r="AD46" s="203"/>
      <c r="AE46" s="192"/>
      <c r="AF46" s="192"/>
      <c r="AG46" s="192"/>
      <c r="AH46" s="192"/>
      <c r="AI46" s="192"/>
      <c r="AJ46" s="192"/>
    </row>
    <row r="47" spans="1:36">
      <c r="A47" s="7" t="s">
        <v>137</v>
      </c>
      <c r="B47" s="7">
        <v>7.5</v>
      </c>
      <c r="C47" s="7" t="s">
        <v>106</v>
      </c>
      <c r="D47" s="7" t="s">
        <v>107</v>
      </c>
      <c r="E47" s="9" t="s">
        <v>108</v>
      </c>
      <c r="F47" s="184">
        <f>IF(E47="有",(I47/B47+J47+Z47/B47)/(0.99999-K47-L47-M47-N47),(I47/B47+J47+Z47/B47)/(0.99999-K47-M47-N47))</f>
        <v>17.3226415163095</v>
      </c>
      <c r="G47" s="184">
        <f>IF(E47="有",(I47/B47+J47+Z47/B47)/(0.8-K47-L47-M47-N47-O47-P47),(I47/B47+J47+Z47/B47)/(0.8-K47-M47-N47-O47-P47))</f>
        <v>30.5335739668335</v>
      </c>
      <c r="H47" s="190">
        <v>29.99</v>
      </c>
      <c r="I47" s="184">
        <f>46/1.13</f>
        <v>40.7079646017699</v>
      </c>
      <c r="J47" s="9">
        <v>2.78</v>
      </c>
      <c r="K47" s="192">
        <v>0.15</v>
      </c>
      <c r="L47" s="192">
        <v>0.16</v>
      </c>
      <c r="M47" s="192">
        <v>0.03</v>
      </c>
      <c r="N47" s="192">
        <v>0.15</v>
      </c>
      <c r="O47" s="193">
        <f>0.02/H47</f>
        <v>0.000666888962987663</v>
      </c>
      <c r="P47" s="192">
        <v>0.02</v>
      </c>
      <c r="Q47" s="192"/>
      <c r="R47" s="8">
        <v>20.2</v>
      </c>
      <c r="S47" s="8">
        <v>10.7</v>
      </c>
      <c r="T47" s="8">
        <v>3.6</v>
      </c>
      <c r="U47" s="8">
        <v>0.32</v>
      </c>
      <c r="V47" s="184">
        <f>R47*S47*T47/6000</f>
        <v>0.129684</v>
      </c>
      <c r="W47" s="184">
        <f>MAX(U47:V47)</f>
        <v>0.32</v>
      </c>
      <c r="X47" s="8" t="s">
        <v>16</v>
      </c>
      <c r="Y47" s="200">
        <v>14.687</v>
      </c>
      <c r="Z47" s="184">
        <f>W47*Y47</f>
        <v>4.69984</v>
      </c>
      <c r="AA47" s="184">
        <f>H47-SUM(K47:P47)*H47-J47-I47/B47-Z47/B47</f>
        <v>5.84072605309735</v>
      </c>
      <c r="AB47" s="202">
        <f>AA47/H47</f>
        <v>0.194755787032256</v>
      </c>
      <c r="AC47" s="8"/>
      <c r="AD47" s="203">
        <f>J47/H47</f>
        <v>0.0926975658552851</v>
      </c>
      <c r="AE47" s="192">
        <f>I47/7.4/H47</f>
        <v>0.183430353369006</v>
      </c>
      <c r="AF47" s="192">
        <f>Z47/7.4/H47</f>
        <v>0.0211775096203239</v>
      </c>
      <c r="AG47" s="192">
        <v>0.15</v>
      </c>
      <c r="AH47" s="192">
        <v>0.15</v>
      </c>
      <c r="AI47" s="192">
        <v>0.02</v>
      </c>
      <c r="AJ47" s="192">
        <f>M47</f>
        <v>0.03</v>
      </c>
    </row>
    <row r="48" spans="1:36">
      <c r="A48" s="7" t="s">
        <v>138</v>
      </c>
      <c r="B48" s="7">
        <v>7.5</v>
      </c>
      <c r="C48" s="14" t="s">
        <v>106</v>
      </c>
      <c r="D48" s="14" t="s">
        <v>107</v>
      </c>
      <c r="E48" s="9" t="s">
        <v>108</v>
      </c>
      <c r="F48" s="184">
        <f>IF(E48="有",(I48/B48+J48+Z48/B48)/(0.99999-K48-L48-M48-N48),(I48/B48+J48+Z48/B48)/(0.99999-K48-M48-N48))</f>
        <v>17.3226415163095</v>
      </c>
      <c r="G48" s="184">
        <f>IF(E48="有",(I48/B48+J48+Z48/B48)/(0.8-K48-L48-M48-N48-O48-P48),(I48/B48+J48+Z48/B48)/(0.8-K48-M48-N48-O48-P48))</f>
        <v>30.5476615700762</v>
      </c>
      <c r="H48" s="46">
        <v>24.99</v>
      </c>
      <c r="I48" s="184">
        <f>46/1.13</f>
        <v>40.7079646017699</v>
      </c>
      <c r="J48" s="9">
        <v>2.78</v>
      </c>
      <c r="K48" s="192">
        <v>0.15</v>
      </c>
      <c r="L48" s="192">
        <v>0.16</v>
      </c>
      <c r="M48" s="192">
        <v>0.03</v>
      </c>
      <c r="N48" s="192">
        <v>0.15</v>
      </c>
      <c r="O48" s="193">
        <f>0.02/H48</f>
        <v>0.000800320128051221</v>
      </c>
      <c r="P48" s="192">
        <v>0.02</v>
      </c>
      <c r="Q48" s="192"/>
      <c r="R48" s="8">
        <v>20.2</v>
      </c>
      <c r="S48" s="8">
        <v>10.7</v>
      </c>
      <c r="T48" s="8">
        <v>3.6</v>
      </c>
      <c r="U48" s="8">
        <v>0.32</v>
      </c>
      <c r="V48" s="184">
        <f>R48*S48*T48/6000</f>
        <v>0.129684</v>
      </c>
      <c r="W48" s="184">
        <f>MAX(U48:V48)</f>
        <v>0.32</v>
      </c>
      <c r="X48" s="9" t="s">
        <v>16</v>
      </c>
      <c r="Y48" s="200">
        <v>14.687</v>
      </c>
      <c r="Z48" s="184">
        <f>W48*Y48</f>
        <v>4.69984</v>
      </c>
      <c r="AA48" s="184">
        <f>H48-SUM(K48:P48)*H48-J48-I48/B48-Z48/B48</f>
        <v>3.39072605309734</v>
      </c>
      <c r="AB48" s="202">
        <f>AA48/H48</f>
        <v>0.135683315450074</v>
      </c>
      <c r="AC48" s="8"/>
      <c r="AD48" s="203">
        <f>J48/H48</f>
        <v>0.11124449779912</v>
      </c>
      <c r="AE48" s="192">
        <f>I48/7.4/H48</f>
        <v>0.220131104343196</v>
      </c>
      <c r="AF48" s="192">
        <f>Z48/7.4/H48</f>
        <v>0.0254147064231098</v>
      </c>
      <c r="AG48" s="192">
        <v>0.15</v>
      </c>
      <c r="AH48" s="192">
        <v>0.15</v>
      </c>
      <c r="AI48" s="192">
        <v>0.02</v>
      </c>
      <c r="AJ48" s="192">
        <f>M48</f>
        <v>0.03</v>
      </c>
    </row>
    <row r="49" spans="1:36">
      <c r="A49" s="7" t="s">
        <v>139</v>
      </c>
      <c r="B49" s="7">
        <v>7.5</v>
      </c>
      <c r="C49" s="14" t="s">
        <v>106</v>
      </c>
      <c r="D49" s="14" t="s">
        <v>107</v>
      </c>
      <c r="E49" s="9" t="s">
        <v>108</v>
      </c>
      <c r="F49" s="184">
        <f>IF(E49="有",(I49/B49+J49+Z49/B49)/(0.99999-K49-L49-M49-N49),(I49/B49+J49+Z49/B49)/(0.99999-K49-M49-N49))</f>
        <v>17.3226415163095</v>
      </c>
      <c r="G49" s="184">
        <f>IF(E49="有",(I49/B49+J49+Z49/B49)/(0.8-K49-L49-M49-N49-O49-P49),(I49/B49+J49+Z49/B49)/(0.8-K49-M49-N49-O49-P49))</f>
        <v>30.5688208960524</v>
      </c>
      <c r="H49" s="46">
        <v>19.99</v>
      </c>
      <c r="I49" s="184">
        <f>46/1.13</f>
        <v>40.7079646017699</v>
      </c>
      <c r="J49" s="9">
        <v>2.78</v>
      </c>
      <c r="K49" s="192">
        <v>0.15</v>
      </c>
      <c r="L49" s="192">
        <v>0.16</v>
      </c>
      <c r="M49" s="192">
        <v>0.03</v>
      </c>
      <c r="N49" s="192">
        <v>0.15</v>
      </c>
      <c r="O49" s="193">
        <f>0.02/H49</f>
        <v>0.00100050025012506</v>
      </c>
      <c r="P49" s="192">
        <v>0.02</v>
      </c>
      <c r="Q49" s="192"/>
      <c r="R49" s="8">
        <v>20.2</v>
      </c>
      <c r="S49" s="8">
        <v>10.7</v>
      </c>
      <c r="T49" s="8">
        <v>3.6</v>
      </c>
      <c r="U49" s="8">
        <v>0.32</v>
      </c>
      <c r="V49" s="184">
        <f>R49*S49*T49/6000</f>
        <v>0.129684</v>
      </c>
      <c r="W49" s="184">
        <f>MAX(U49:V49)</f>
        <v>0.32</v>
      </c>
      <c r="X49" s="9" t="s">
        <v>16</v>
      </c>
      <c r="Y49" s="200">
        <v>14.687</v>
      </c>
      <c r="Z49" s="184">
        <f>W49*Y49</f>
        <v>4.69984</v>
      </c>
      <c r="AA49" s="184">
        <f>H49-SUM(K49:P49)*H49-J49-I49/B49-Z49/B49</f>
        <v>0.940726053097345</v>
      </c>
      <c r="AB49" s="202">
        <f>AA49/H49</f>
        <v>0.0470598325711528</v>
      </c>
      <c r="AC49" s="8"/>
      <c r="AD49" s="203">
        <f>J49/H49</f>
        <v>0.139069534767384</v>
      </c>
      <c r="AE49" s="192">
        <f>I49/7.4/H49</f>
        <v>0.275191410582115</v>
      </c>
      <c r="AF49" s="192">
        <f>Z49/7.4/H49</f>
        <v>0.0317715614564039</v>
      </c>
      <c r="AG49" s="192">
        <v>0.15</v>
      </c>
      <c r="AH49" s="192">
        <v>0.15</v>
      </c>
      <c r="AI49" s="192">
        <v>0.02</v>
      </c>
      <c r="AJ49" s="192">
        <f>M49</f>
        <v>0.03</v>
      </c>
    </row>
    <row r="50" spans="1:36">
      <c r="A50" s="7"/>
      <c r="B50" s="7"/>
      <c r="C50" s="14"/>
      <c r="D50" s="14"/>
      <c r="E50" s="9"/>
      <c r="F50" s="184"/>
      <c r="G50" s="184"/>
      <c r="H50" s="46"/>
      <c r="I50" s="184"/>
      <c r="J50" s="9"/>
      <c r="K50" s="192"/>
      <c r="L50" s="192"/>
      <c r="M50" s="192"/>
      <c r="N50" s="192"/>
      <c r="O50" s="193"/>
      <c r="P50" s="192"/>
      <c r="Q50" s="192"/>
      <c r="R50" s="8"/>
      <c r="S50" s="8"/>
      <c r="T50" s="8"/>
      <c r="U50" s="8"/>
      <c r="V50" s="184"/>
      <c r="W50" s="184"/>
      <c r="X50" s="9"/>
      <c r="Y50" s="200"/>
      <c r="Z50" s="184"/>
      <c r="AA50" s="184"/>
      <c r="AB50" s="202"/>
      <c r="AC50" s="8"/>
      <c r="AD50" s="203"/>
      <c r="AE50" s="192"/>
      <c r="AF50" s="192"/>
      <c r="AG50" s="192"/>
      <c r="AH50" s="192"/>
      <c r="AI50" s="192"/>
      <c r="AJ50" s="192"/>
    </row>
    <row r="51" spans="1:75">
      <c r="A51" s="7" t="s">
        <v>140</v>
      </c>
      <c r="B51" s="7">
        <v>7.5</v>
      </c>
      <c r="C51" s="7" t="s">
        <v>120</v>
      </c>
      <c r="D51" s="7" t="s">
        <v>121</v>
      </c>
      <c r="E51" s="9" t="s">
        <v>108</v>
      </c>
      <c r="F51" s="184">
        <f>IF(E51="有",(I51/B51+J51+Z51/B51)/(0.99999-K51-L51-M51-N51),(I51/B51+J51+Z51/B51)/(0.99999-K51-M51-N51))</f>
        <v>20.1593402751086</v>
      </c>
      <c r="G51" s="184">
        <f>IF(E51="有",(I51/B51+J51+Z51/B51)/(0.8-K51-L51-M51-N51-O51-P51),(I51/B51+J51+Z51/B51)/(0.8-K51-M51-N51-O51-P51))</f>
        <v>35.5336515411382</v>
      </c>
      <c r="H51" s="9">
        <v>29.99</v>
      </c>
      <c r="I51" s="184">
        <f>46/1.13</f>
        <v>40.7079646017699</v>
      </c>
      <c r="J51" s="8">
        <v>4.04</v>
      </c>
      <c r="K51" s="192">
        <v>0.15</v>
      </c>
      <c r="L51" s="192">
        <v>0.16</v>
      </c>
      <c r="M51" s="192">
        <v>0.03</v>
      </c>
      <c r="N51" s="192">
        <v>0.15</v>
      </c>
      <c r="O51" s="193">
        <f>0.02/H51</f>
        <v>0.000666888962987663</v>
      </c>
      <c r="P51" s="192">
        <v>0.02</v>
      </c>
      <c r="Q51" s="192"/>
      <c r="R51" s="8">
        <v>20.2</v>
      </c>
      <c r="S51" s="8">
        <v>10.7</v>
      </c>
      <c r="T51" s="8">
        <v>3.6</v>
      </c>
      <c r="U51" s="8">
        <v>0.32</v>
      </c>
      <c r="V51" s="184">
        <f>R51*S51*T51/6000</f>
        <v>0.129684</v>
      </c>
      <c r="W51" s="184">
        <f>MAX(U51:V51)</f>
        <v>0.32</v>
      </c>
      <c r="X51" s="8" t="s">
        <v>112</v>
      </c>
      <c r="Y51" s="200">
        <v>19.0625</v>
      </c>
      <c r="Z51" s="184">
        <f>W51*Y51</f>
        <v>6.1</v>
      </c>
      <c r="AA51" s="184">
        <f>H51-SUM(K51:P51)*H51-J51-I51/B51-Z51/B51</f>
        <v>4.39403805309735</v>
      </c>
      <c r="AB51" s="202">
        <f>AA51/H51</f>
        <v>0.146516774027921</v>
      </c>
      <c r="AC51" s="8"/>
      <c r="AD51" s="203">
        <f>J51/H51</f>
        <v>0.134711570523508</v>
      </c>
      <c r="AE51" s="192">
        <f>I51/7.4/H51</f>
        <v>0.183430353369006</v>
      </c>
      <c r="AF51" s="192">
        <f>Z51/7.4/H51</f>
        <v>0.0274866396907077</v>
      </c>
      <c r="AG51" s="192">
        <v>0.15</v>
      </c>
      <c r="AH51" s="192">
        <v>0.15</v>
      </c>
      <c r="AI51" s="192">
        <v>0.02</v>
      </c>
      <c r="AJ51" s="192">
        <f>M51</f>
        <v>0.03</v>
      </c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spans="1:75">
      <c r="A52" s="7" t="s">
        <v>141</v>
      </c>
      <c r="B52" s="7">
        <v>7.5</v>
      </c>
      <c r="C52" s="14" t="s">
        <v>120</v>
      </c>
      <c r="D52" s="14" t="s">
        <v>121</v>
      </c>
      <c r="E52" s="9" t="s">
        <v>108</v>
      </c>
      <c r="F52" s="184">
        <f>IF(E52="有",(I52/B52+J52+Z52/B52)/(0.99999-K52-L52-M52-N52),(I52/B52+J52+Z52/B52)/(0.99999-K52-M52-N52))</f>
        <v>20.1593402751086</v>
      </c>
      <c r="G52" s="184">
        <f>IF(E52="有",(I52/B52+J52+Z52/B52)/(0.8-K52-L52-M52-N52-O52-P52),(I52/B52+J52+Z52/B52)/(0.8-K52-M52-N52-O52-P52))</f>
        <v>35.5481164154785</v>
      </c>
      <c r="H52" s="8">
        <v>25.49</v>
      </c>
      <c r="I52" s="184">
        <f>46/1.13</f>
        <v>40.7079646017699</v>
      </c>
      <c r="J52" s="9">
        <v>4.04</v>
      </c>
      <c r="K52" s="192">
        <v>0.15</v>
      </c>
      <c r="L52" s="192">
        <v>0.16</v>
      </c>
      <c r="M52" s="192">
        <v>0.03</v>
      </c>
      <c r="N52" s="192">
        <v>0.15</v>
      </c>
      <c r="O52" s="193">
        <f>0.02/H52</f>
        <v>0.000784621420164771</v>
      </c>
      <c r="P52" s="192">
        <v>0.02</v>
      </c>
      <c r="Q52" s="192"/>
      <c r="R52" s="8">
        <v>20.2</v>
      </c>
      <c r="S52" s="8">
        <v>10.7</v>
      </c>
      <c r="T52" s="8">
        <v>3.6</v>
      </c>
      <c r="U52" s="8">
        <v>0.32</v>
      </c>
      <c r="V52" s="184">
        <f>R52*S52*T52/6000</f>
        <v>0.129684</v>
      </c>
      <c r="W52" s="184">
        <f>MAX(U52:V52)</f>
        <v>0.32</v>
      </c>
      <c r="X52" s="9" t="s">
        <v>112</v>
      </c>
      <c r="Y52" s="200">
        <v>19.0625</v>
      </c>
      <c r="Z52" s="184">
        <f>W52*Y52</f>
        <v>6.1</v>
      </c>
      <c r="AA52" s="184">
        <f>H52-SUM(K52:P52)*H52-J52-I52/B52-Z52/B52</f>
        <v>2.18903805309734</v>
      </c>
      <c r="AB52" s="202">
        <f>AA52/H52</f>
        <v>0.0858783073007981</v>
      </c>
      <c r="AC52" s="8"/>
      <c r="AD52" s="203">
        <f>J52/H52</f>
        <v>0.158493526873284</v>
      </c>
      <c r="AE52" s="192">
        <f>I52/7.4/H52</f>
        <v>0.215813114850391</v>
      </c>
      <c r="AF52" s="192">
        <f>Z52/7.4/H52</f>
        <v>0.0323391261013858</v>
      </c>
      <c r="AG52" s="192">
        <v>0.15</v>
      </c>
      <c r="AH52" s="192">
        <v>0.15</v>
      </c>
      <c r="AI52" s="192">
        <v>0.02</v>
      </c>
      <c r="AJ52" s="192">
        <f>M52</f>
        <v>0.03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spans="1:75">
      <c r="A53" s="7" t="s">
        <v>142</v>
      </c>
      <c r="B53" s="7">
        <v>7.5</v>
      </c>
      <c r="C53" s="14" t="s">
        <v>120</v>
      </c>
      <c r="D53" s="14" t="s">
        <v>121</v>
      </c>
      <c r="E53" s="9" t="s">
        <v>108</v>
      </c>
      <c r="F53" s="184">
        <f>IF(E53="有",(I53/B53+J53+Z53/B53)/(0.99999-K53-L53-M53-N53),(I53/B53+J53+Z53/B53)/(0.99999-K53-M53-N53))</f>
        <v>20.1593402751086</v>
      </c>
      <c r="G53" s="184">
        <f>IF(E53="有",(I53/B53+J53+Z53/B53)/(0.8-K53-L53-M53-N53-O53-P53),(I53/B53+J53+Z53/B53)/(0.8-K53-M53-N53-O53-P53))</f>
        <v>35.5585601171069</v>
      </c>
      <c r="H53" s="8">
        <v>23</v>
      </c>
      <c r="I53" s="184">
        <f>46/1.13</f>
        <v>40.7079646017699</v>
      </c>
      <c r="J53" s="9">
        <v>4.04</v>
      </c>
      <c r="K53" s="192">
        <v>0.15</v>
      </c>
      <c r="L53" s="192">
        <v>0.16</v>
      </c>
      <c r="M53" s="192">
        <v>0.03</v>
      </c>
      <c r="N53" s="192">
        <v>0.15</v>
      </c>
      <c r="O53" s="193">
        <f>0.02/H53</f>
        <v>0.000869565217391304</v>
      </c>
      <c r="P53" s="192">
        <v>0.02</v>
      </c>
      <c r="Q53" s="192"/>
      <c r="R53" s="8">
        <v>20.2</v>
      </c>
      <c r="S53" s="8">
        <v>10.7</v>
      </c>
      <c r="T53" s="8">
        <v>3.6</v>
      </c>
      <c r="U53" s="8">
        <v>0.32</v>
      </c>
      <c r="V53" s="184">
        <f>R53*S53*T53/6000</f>
        <v>0.129684</v>
      </c>
      <c r="W53" s="184">
        <f>MAX(U53:V53)</f>
        <v>0.32</v>
      </c>
      <c r="X53" s="9" t="s">
        <v>112</v>
      </c>
      <c r="Y53" s="200">
        <v>19.0625</v>
      </c>
      <c r="Z53" s="184">
        <f>W53*Y53</f>
        <v>6.1</v>
      </c>
      <c r="AA53" s="184">
        <f>H53-SUM(K53:P53)*H53-J53-I53/B53-Z53/B53</f>
        <v>0.968938053097346</v>
      </c>
      <c r="AB53" s="202">
        <f>AA53/H53</f>
        <v>0.042127741439015</v>
      </c>
      <c r="AC53" s="8"/>
      <c r="AD53" s="203">
        <f>J53/H53</f>
        <v>0.175652173913043</v>
      </c>
      <c r="AE53" s="192">
        <f>I53/7.4/H53</f>
        <v>0.239177230327673</v>
      </c>
      <c r="AF53" s="192">
        <f>Z53/7.4/H53</f>
        <v>0.0358401880141011</v>
      </c>
      <c r="AG53" s="192">
        <v>0.15</v>
      </c>
      <c r="AH53" s="192">
        <v>0.15</v>
      </c>
      <c r="AI53" s="192">
        <v>0.02</v>
      </c>
      <c r="AJ53" s="192">
        <f>M53</f>
        <v>0.03</v>
      </c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spans="1:75">
      <c r="A54" s="7" t="s">
        <v>142</v>
      </c>
      <c r="B54" s="7">
        <v>7.5</v>
      </c>
      <c r="C54" s="14" t="s">
        <v>120</v>
      </c>
      <c r="D54" s="14" t="s">
        <v>121</v>
      </c>
      <c r="E54" s="9" t="s">
        <v>108</v>
      </c>
      <c r="F54" s="184">
        <f>IF(E54="有",(I54/B54+J54+Z54/B54)/(0.99999-K54-L54-M54-N54),(I54/B54+J54+Z54/B54)/(0.99999-K54-M54-N54))</f>
        <v>20.1593402751086</v>
      </c>
      <c r="G54" s="184">
        <f>IF(E54="有",(I54/B54+J54+Z54/B54)/(0.8-K54-L54-M54-N54-O54-P54),(I54/B54+J54+Z54/B54)/(0.8-K54-M54-N54-O54-P54))</f>
        <v>35.5655457264951</v>
      </c>
      <c r="H54" s="8">
        <v>21.59</v>
      </c>
      <c r="I54" s="184">
        <f>46/1.13</f>
        <v>40.7079646017699</v>
      </c>
      <c r="J54" s="9">
        <v>4.04</v>
      </c>
      <c r="K54" s="192">
        <v>0.15</v>
      </c>
      <c r="L54" s="192">
        <v>0.16</v>
      </c>
      <c r="M54" s="192">
        <v>0.03</v>
      </c>
      <c r="N54" s="192">
        <v>0.15</v>
      </c>
      <c r="O54" s="193">
        <f>0.02/H54</f>
        <v>0.000926354793886058</v>
      </c>
      <c r="P54" s="192">
        <v>0.02</v>
      </c>
      <c r="Q54" s="192"/>
      <c r="R54" s="8">
        <v>20.2</v>
      </c>
      <c r="S54" s="8">
        <v>10.7</v>
      </c>
      <c r="T54" s="8">
        <v>3.6</v>
      </c>
      <c r="U54" s="8">
        <v>0.32</v>
      </c>
      <c r="V54" s="184">
        <f>R54*S54*T54/6000</f>
        <v>0.129684</v>
      </c>
      <c r="W54" s="184">
        <f>MAX(U54:V54)</f>
        <v>0.32</v>
      </c>
      <c r="X54" s="9" t="s">
        <v>112</v>
      </c>
      <c r="Y54" s="200">
        <v>19.0625</v>
      </c>
      <c r="Z54" s="184">
        <f>W54*Y54</f>
        <v>6.1</v>
      </c>
      <c r="AA54" s="184">
        <f>H54-SUM(K54:P54)*H54-J54-I54/B54-Z54/B54</f>
        <v>0.278038053097345</v>
      </c>
      <c r="AB54" s="202">
        <f>AA54/H54</f>
        <v>0.0128780941684736</v>
      </c>
      <c r="AC54" s="8"/>
      <c r="AD54" s="203">
        <f>J54/H54</f>
        <v>0.187123668364984</v>
      </c>
      <c r="AE54" s="192">
        <f>I54/7.4/H54</f>
        <v>0.254797419987794</v>
      </c>
      <c r="AF54" s="192">
        <f>Z54/7.4/H54</f>
        <v>0.0381808394777362</v>
      </c>
      <c r="AG54" s="192">
        <v>0.15</v>
      </c>
      <c r="AH54" s="192">
        <v>0.15</v>
      </c>
      <c r="AI54" s="192">
        <v>0.02</v>
      </c>
      <c r="AJ54" s="192">
        <f>M54</f>
        <v>0.03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spans="1:36">
      <c r="A55" s="7"/>
      <c r="B55" s="7"/>
      <c r="C55" s="14"/>
      <c r="D55" s="14"/>
      <c r="E55" s="9"/>
      <c r="F55" s="184"/>
      <c r="G55" s="184"/>
      <c r="H55" s="46"/>
      <c r="I55" s="184"/>
      <c r="J55" s="9"/>
      <c r="K55" s="192"/>
      <c r="L55" s="192"/>
      <c r="M55" s="192"/>
      <c r="N55" s="192"/>
      <c r="O55" s="193"/>
      <c r="P55" s="192"/>
      <c r="Q55" s="192"/>
      <c r="R55" s="8"/>
      <c r="S55" s="8"/>
      <c r="T55" s="8"/>
      <c r="U55" s="8"/>
      <c r="V55" s="184"/>
      <c r="W55" s="184"/>
      <c r="X55" s="9"/>
      <c r="Y55" s="200"/>
      <c r="Z55" s="184"/>
      <c r="AA55" s="184"/>
      <c r="AB55" s="202"/>
      <c r="AC55" s="8"/>
      <c r="AD55" s="203"/>
      <c r="AE55" s="192"/>
      <c r="AF55" s="192"/>
      <c r="AG55" s="192"/>
      <c r="AH55" s="192"/>
      <c r="AI55" s="192"/>
      <c r="AJ55" s="192"/>
    </row>
    <row r="56" spans="1:75">
      <c r="A56" s="7" t="s">
        <v>140</v>
      </c>
      <c r="B56" s="7">
        <v>7.5</v>
      </c>
      <c r="C56" s="7" t="s">
        <v>118</v>
      </c>
      <c r="D56" s="7" t="s">
        <v>119</v>
      </c>
      <c r="E56" s="9" t="s">
        <v>108</v>
      </c>
      <c r="F56" s="184">
        <f>IF(E56="有",(I56/B56+J56+Z56/B56)/(0.99999-K56-L56-M56-N56),(I56/B56+J56+Z56/B56)/(0.99999-K56-M56-N56))</f>
        <v>21.0417105176624</v>
      </c>
      <c r="G56" s="184">
        <f>IF(E56="有",(I56/B56+J56+Z56/B56)/(0.8-K56-L56-M56-N56-O56-P56),(I56/B56+J56+Z56/B56)/(0.8-K56-M56-N56-O56-P56))</f>
        <v>37.0889522752545</v>
      </c>
      <c r="H56" s="9">
        <v>29.99</v>
      </c>
      <c r="I56" s="184">
        <f>46/1.13</f>
        <v>40.7079646017699</v>
      </c>
      <c r="J56" s="8">
        <v>4.49</v>
      </c>
      <c r="K56" s="192">
        <v>0.15</v>
      </c>
      <c r="L56" s="192">
        <v>0.16</v>
      </c>
      <c r="M56" s="192">
        <v>0.03</v>
      </c>
      <c r="N56" s="192">
        <v>0.15</v>
      </c>
      <c r="O56" s="193">
        <f>0.02/H56</f>
        <v>0.000666888962987663</v>
      </c>
      <c r="P56" s="192">
        <v>0.02</v>
      </c>
      <c r="Q56" s="192"/>
      <c r="R56" s="8">
        <v>20.2</v>
      </c>
      <c r="S56" s="8">
        <v>10.7</v>
      </c>
      <c r="T56" s="8">
        <v>3.6</v>
      </c>
      <c r="U56" s="8">
        <v>0.32</v>
      </c>
      <c r="V56" s="184">
        <f>R56*S56*T56/6000</f>
        <v>0.129684</v>
      </c>
      <c r="W56" s="184">
        <f>MAX(U56:V56)</f>
        <v>0.32</v>
      </c>
      <c r="X56" s="8" t="s">
        <v>112</v>
      </c>
      <c r="Y56" s="200">
        <v>19.0625</v>
      </c>
      <c r="Z56" s="184">
        <f>W56*Y56</f>
        <v>6.1</v>
      </c>
      <c r="AA56" s="184">
        <f>H56-SUM(K56:P56)*H56-J56-I56/B56-Z56/B56</f>
        <v>3.94403805309734</v>
      </c>
      <c r="AB56" s="202">
        <f>AA56/H56</f>
        <v>0.131511772360698</v>
      </c>
      <c r="AC56" s="8"/>
      <c r="AD56" s="203">
        <f>J56/H56</f>
        <v>0.14971657219073</v>
      </c>
      <c r="AE56" s="192">
        <f>I56/7.4/H56</f>
        <v>0.183430353369006</v>
      </c>
      <c r="AF56" s="192">
        <f>Z56/7.4/H56</f>
        <v>0.0274866396907077</v>
      </c>
      <c r="AG56" s="192">
        <v>0.15</v>
      </c>
      <c r="AH56" s="192">
        <v>0.15</v>
      </c>
      <c r="AI56" s="192">
        <v>0.02</v>
      </c>
      <c r="AJ56" s="192">
        <f>M56</f>
        <v>0.03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spans="1:75">
      <c r="A57" s="7" t="s">
        <v>141</v>
      </c>
      <c r="B57" s="7">
        <v>7.5</v>
      </c>
      <c r="C57" s="14" t="s">
        <v>118</v>
      </c>
      <c r="D57" s="14" t="s">
        <v>119</v>
      </c>
      <c r="E57" s="9" t="s">
        <v>108</v>
      </c>
      <c r="F57" s="184">
        <f>IF(E57="有",(I57/B57+J57+Z57/B57)/(0.99999-K57-L57-M57-N57),(I57/B57+J57+Z57/B57)/(0.99999-K57-M57-N57))</f>
        <v>21.0417105176624</v>
      </c>
      <c r="G57" s="184">
        <f>IF(E57="有",(I57/B57+J57+Z57/B57)/(0.8-K57-L57-M57-N57-O57-P57),(I57/B57+J57+Z57/B57)/(0.8-K57-M57-N57-O57-P57))</f>
        <v>37.1060644038546</v>
      </c>
      <c r="H57" s="9">
        <v>24.99</v>
      </c>
      <c r="I57" s="184">
        <f>46/1.13</f>
        <v>40.7079646017699</v>
      </c>
      <c r="J57" s="9">
        <v>4.49</v>
      </c>
      <c r="K57" s="192">
        <v>0.15</v>
      </c>
      <c r="L57" s="192">
        <v>0.16</v>
      </c>
      <c r="M57" s="192">
        <v>0.03</v>
      </c>
      <c r="N57" s="192">
        <v>0.15</v>
      </c>
      <c r="O57" s="193">
        <f>0.02/H57</f>
        <v>0.000800320128051221</v>
      </c>
      <c r="P57" s="192">
        <v>0.02</v>
      </c>
      <c r="Q57" s="192"/>
      <c r="R57" s="8">
        <v>20.2</v>
      </c>
      <c r="S57" s="8">
        <v>10.7</v>
      </c>
      <c r="T57" s="8">
        <v>3.6</v>
      </c>
      <c r="U57" s="8">
        <v>0.32</v>
      </c>
      <c r="V57" s="184">
        <f>R57*S57*T57/6000</f>
        <v>0.129684</v>
      </c>
      <c r="W57" s="184">
        <f>MAX(U57:V57)</f>
        <v>0.32</v>
      </c>
      <c r="X57" s="9" t="s">
        <v>112</v>
      </c>
      <c r="Y57" s="200">
        <v>19.0625</v>
      </c>
      <c r="Z57" s="184">
        <f>W57*Y57</f>
        <v>6.1</v>
      </c>
      <c r="AA57" s="184">
        <f>H57-SUM(K57:P57)*H57-J57-I57/B57-Z57/B57</f>
        <v>1.49403805309734</v>
      </c>
      <c r="AB57" s="202">
        <f>AA57/H57</f>
        <v>0.0597854362984131</v>
      </c>
      <c r="AC57" s="8"/>
      <c r="AD57" s="203">
        <f>J57/H57</f>
        <v>0.179671868747499</v>
      </c>
      <c r="AE57" s="192">
        <f>I57/7.4/H57</f>
        <v>0.220131104343196</v>
      </c>
      <c r="AF57" s="192">
        <f>Z57/7.4/H57</f>
        <v>0.032986167439949</v>
      </c>
      <c r="AG57" s="192">
        <v>0.15</v>
      </c>
      <c r="AH57" s="192">
        <v>0.15</v>
      </c>
      <c r="AI57" s="192">
        <v>0.02</v>
      </c>
      <c r="AJ57" s="192">
        <f>M57</f>
        <v>0.03</v>
      </c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spans="1:75">
      <c r="A58" s="7" t="s">
        <v>142</v>
      </c>
      <c r="B58" s="7">
        <v>7.5</v>
      </c>
      <c r="C58" s="14" t="s">
        <v>118</v>
      </c>
      <c r="D58" s="14" t="s">
        <v>119</v>
      </c>
      <c r="E58" s="9" t="s">
        <v>108</v>
      </c>
      <c r="F58" s="184">
        <f>IF(E58="有",(I58/B58+J58+Z58/B58)/(0.99999-K58-L58-M58-N58),(I58/B58+J58+Z58/B58)/(0.99999-K58-M58-N58))</f>
        <v>21.0417105176624</v>
      </c>
      <c r="G58" s="184">
        <f>IF(E58="有",(I58/B58+J58+Z58/B58)/(0.8-K58-L58-M58-N58-O58-P58),(I58/B58+J58+Z58/B58)/(0.8-K58-M58-N58-O58-P58))</f>
        <v>37.1317665123651</v>
      </c>
      <c r="H58" s="9">
        <v>19.99</v>
      </c>
      <c r="I58" s="184">
        <f>46/1.13</f>
        <v>40.7079646017699</v>
      </c>
      <c r="J58" s="9">
        <v>4.49</v>
      </c>
      <c r="K58" s="192">
        <v>0.15</v>
      </c>
      <c r="L58" s="192">
        <v>0.16</v>
      </c>
      <c r="M58" s="192">
        <v>0.03</v>
      </c>
      <c r="N58" s="192">
        <v>0.15</v>
      </c>
      <c r="O58" s="193">
        <f>0.02/H58</f>
        <v>0.00100050025012506</v>
      </c>
      <c r="P58" s="192">
        <v>0.02</v>
      </c>
      <c r="Q58" s="192"/>
      <c r="R58" s="8">
        <v>20.2</v>
      </c>
      <c r="S58" s="8">
        <v>10.7</v>
      </c>
      <c r="T58" s="8">
        <v>3.6</v>
      </c>
      <c r="U58" s="8">
        <v>0.32</v>
      </c>
      <c r="V58" s="184">
        <f>R58*S58*T58/6000</f>
        <v>0.129684</v>
      </c>
      <c r="W58" s="184">
        <f>MAX(U58:V58)</f>
        <v>0.32</v>
      </c>
      <c r="X58" s="9" t="s">
        <v>112</v>
      </c>
      <c r="Y58" s="200">
        <v>19.0625</v>
      </c>
      <c r="Z58" s="184">
        <f>W58*Y58</f>
        <v>6.1</v>
      </c>
      <c r="AA58" s="184">
        <f>H58-SUM(K58:P58)*H58-J58-I58/B58-Z58/B58</f>
        <v>-0.955961946902656</v>
      </c>
      <c r="AB58" s="202">
        <f>AA58/H58</f>
        <v>-0.0478220083493075</v>
      </c>
      <c r="AC58" s="8"/>
      <c r="AD58" s="203">
        <f>J58/H58</f>
        <v>0.224612306153077</v>
      </c>
      <c r="AE58" s="192">
        <f>I58/7.4/H58</f>
        <v>0.275191410582115</v>
      </c>
      <c r="AF58" s="192">
        <f>Z58/7.4/H58</f>
        <v>0.041236834633533</v>
      </c>
      <c r="AG58" s="192">
        <v>0.15</v>
      </c>
      <c r="AH58" s="192">
        <v>0.15</v>
      </c>
      <c r="AI58" s="192">
        <v>0.02</v>
      </c>
      <c r="AJ58" s="192">
        <f>M58</f>
        <v>0.03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spans="1:36">
      <c r="A59" s="7"/>
      <c r="B59" s="7"/>
      <c r="C59" s="14"/>
      <c r="D59" s="14"/>
      <c r="E59" s="9"/>
      <c r="F59" s="184"/>
      <c r="G59" s="184"/>
      <c r="H59" s="9"/>
      <c r="I59" s="184"/>
      <c r="J59" s="9"/>
      <c r="K59" s="192"/>
      <c r="L59" s="192"/>
      <c r="M59" s="192"/>
      <c r="N59" s="192"/>
      <c r="O59" s="193"/>
      <c r="P59" s="192"/>
      <c r="Q59" s="192"/>
      <c r="R59" s="8"/>
      <c r="S59" s="8"/>
      <c r="T59" s="8"/>
      <c r="U59" s="8"/>
      <c r="V59" s="184"/>
      <c r="W59" s="184"/>
      <c r="X59" s="8"/>
      <c r="Y59" s="200"/>
      <c r="Z59" s="184"/>
      <c r="AA59" s="184"/>
      <c r="AB59" s="202"/>
      <c r="AC59" s="8"/>
      <c r="AD59" s="203"/>
      <c r="AE59" s="192"/>
      <c r="AF59" s="192"/>
      <c r="AG59" s="192"/>
      <c r="AH59" s="192"/>
      <c r="AI59" s="192"/>
      <c r="AJ59" s="192"/>
    </row>
    <row r="60" spans="1:75">
      <c r="A60" s="7" t="s">
        <v>140</v>
      </c>
      <c r="B60" s="7">
        <v>7.5</v>
      </c>
      <c r="C60" s="7" t="s">
        <v>123</v>
      </c>
      <c r="D60" s="7" t="s">
        <v>124</v>
      </c>
      <c r="E60" s="9" t="s">
        <v>108</v>
      </c>
      <c r="F60" s="184">
        <f>IF(E60="有",(I60/B60+J60+Z60/B60)/(0.99999-K60-L60-M60-N60),(I60/B60+J60+Z60/B60)/(0.99999-K60-M60-N60))</f>
        <v>20.1593402751086</v>
      </c>
      <c r="G60" s="184">
        <f>IF(E60="有",(I60/B60+J60+Z60/B60)/(0.8-K60-L60-M60-N60-O60-P60),(I60/B60+J60+Z60/B60)/(0.8-K60-M60-N60-O60-P60))</f>
        <v>35.5336515411382</v>
      </c>
      <c r="H60" s="9">
        <v>29.99</v>
      </c>
      <c r="I60" s="184">
        <f>46/1.13</f>
        <v>40.7079646017699</v>
      </c>
      <c r="J60" s="9">
        <v>4.04</v>
      </c>
      <c r="K60" s="192">
        <v>0.15</v>
      </c>
      <c r="L60" s="192">
        <v>0.16</v>
      </c>
      <c r="M60" s="192">
        <v>0.03</v>
      </c>
      <c r="N60" s="192">
        <v>0.15</v>
      </c>
      <c r="O60" s="193">
        <f>0.02/H60</f>
        <v>0.000666888962987663</v>
      </c>
      <c r="P60" s="192">
        <v>0.02</v>
      </c>
      <c r="Q60" s="192"/>
      <c r="R60" s="8">
        <v>20.2</v>
      </c>
      <c r="S60" s="8">
        <v>10.7</v>
      </c>
      <c r="T60" s="8">
        <v>3.6</v>
      </c>
      <c r="U60" s="8">
        <v>0.32</v>
      </c>
      <c r="V60" s="184">
        <f>R60*S60*T60/6000</f>
        <v>0.129684</v>
      </c>
      <c r="W60" s="184">
        <f>MAX(U60:V60)</f>
        <v>0.32</v>
      </c>
      <c r="X60" s="8" t="s">
        <v>112</v>
      </c>
      <c r="Y60" s="200">
        <v>19.0625</v>
      </c>
      <c r="Z60" s="184">
        <f>W60*Y60</f>
        <v>6.1</v>
      </c>
      <c r="AA60" s="184">
        <f>H60-SUM(K60:P60)*H60-J60-I60/B60-Z60/B60</f>
        <v>4.39403805309735</v>
      </c>
      <c r="AB60" s="202">
        <f>AA60/H60</f>
        <v>0.146516774027921</v>
      </c>
      <c r="AC60" s="8"/>
      <c r="AD60" s="203">
        <f>J60/H60</f>
        <v>0.134711570523508</v>
      </c>
      <c r="AE60" s="192">
        <f>I60/7.4/H60</f>
        <v>0.183430353369006</v>
      </c>
      <c r="AF60" s="192">
        <f>Z60/7.4/H60</f>
        <v>0.0274866396907077</v>
      </c>
      <c r="AG60" s="192">
        <v>0.15</v>
      </c>
      <c r="AH60" s="192">
        <v>0.15</v>
      </c>
      <c r="AI60" s="192">
        <v>0.02</v>
      </c>
      <c r="AJ60" s="192">
        <f>M60</f>
        <v>0.03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spans="1:75">
      <c r="A61" s="7" t="s">
        <v>141</v>
      </c>
      <c r="B61" s="7">
        <v>7.5</v>
      </c>
      <c r="C61" s="14" t="s">
        <v>123</v>
      </c>
      <c r="D61" s="14" t="s">
        <v>124</v>
      </c>
      <c r="E61" s="9" t="s">
        <v>108</v>
      </c>
      <c r="F61" s="184">
        <f>IF(E61="有",(I61/B61+J61+Z61/B61)/(0.99999-K61-L61-M61-N61),(I61/B61+J61+Z61/B61)/(0.99999-K61-M61-N61))</f>
        <v>20.1593402751086</v>
      </c>
      <c r="G61" s="184">
        <f>IF(E61="有",(I61/B61+J61+Z61/B61)/(0.8-K61-L61-M61-N61-O61-P61),(I61/B61+J61+Z61/B61)/(0.8-K61-M61-N61-O61-P61))</f>
        <v>35.5481164154785</v>
      </c>
      <c r="H61" s="9">
        <v>25.49</v>
      </c>
      <c r="I61" s="184">
        <f>46/1.13</f>
        <v>40.7079646017699</v>
      </c>
      <c r="J61" s="9">
        <v>4.04</v>
      </c>
      <c r="K61" s="192">
        <v>0.15</v>
      </c>
      <c r="L61" s="192">
        <v>0.16</v>
      </c>
      <c r="M61" s="192">
        <v>0.03</v>
      </c>
      <c r="N61" s="192">
        <v>0.15</v>
      </c>
      <c r="O61" s="193">
        <f>0.02/H61</f>
        <v>0.000784621420164771</v>
      </c>
      <c r="P61" s="192">
        <v>0.02</v>
      </c>
      <c r="Q61" s="192"/>
      <c r="R61" s="8">
        <v>20.2</v>
      </c>
      <c r="S61" s="8">
        <v>10.7</v>
      </c>
      <c r="T61" s="8">
        <v>3.6</v>
      </c>
      <c r="U61" s="8">
        <v>0.32</v>
      </c>
      <c r="V61" s="184">
        <f>R61*S61*T61/6000</f>
        <v>0.129684</v>
      </c>
      <c r="W61" s="184">
        <f>MAX(U61:V61)</f>
        <v>0.32</v>
      </c>
      <c r="X61" s="9" t="s">
        <v>112</v>
      </c>
      <c r="Y61" s="200">
        <v>19.0625</v>
      </c>
      <c r="Z61" s="184">
        <f>W61*Y61</f>
        <v>6.1</v>
      </c>
      <c r="AA61" s="184">
        <f>H61-SUM(K61:P61)*H61-J61-I61/B61-Z61/B61</f>
        <v>2.18903805309734</v>
      </c>
      <c r="AB61" s="202">
        <f>AA61/H61</f>
        <v>0.0858783073007981</v>
      </c>
      <c r="AC61" s="8"/>
      <c r="AD61" s="203">
        <f>J61/H61</f>
        <v>0.158493526873284</v>
      </c>
      <c r="AE61" s="192">
        <f>I61/7.4/H61</f>
        <v>0.215813114850391</v>
      </c>
      <c r="AF61" s="192">
        <f>Z61/7.4/H61</f>
        <v>0.0323391261013858</v>
      </c>
      <c r="AG61" s="192">
        <v>0.15</v>
      </c>
      <c r="AH61" s="192">
        <v>0.15</v>
      </c>
      <c r="AI61" s="192">
        <v>0.02</v>
      </c>
      <c r="AJ61" s="192">
        <f>M61</f>
        <v>0.03</v>
      </c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spans="1:75">
      <c r="A62" s="7" t="s">
        <v>142</v>
      </c>
      <c r="B62" s="7">
        <v>7.5</v>
      </c>
      <c r="C62" s="14" t="s">
        <v>123</v>
      </c>
      <c r="D62" s="14" t="s">
        <v>124</v>
      </c>
      <c r="E62" s="9" t="s">
        <v>108</v>
      </c>
      <c r="F62" s="184">
        <f>IF(E62="有",(I62/B62+J62+Z62/B62)/(0.99999-K62-L62-M62-N62),(I62/B62+J62+Z62/B62)/(0.99999-K62-M62-N62))</f>
        <v>20.1593402751086</v>
      </c>
      <c r="G62" s="184">
        <f>IF(E62="有",(I62/B62+J62+Z62/B62)/(0.8-K62-L62-M62-N62-O62-P62),(I62/B62+J62+Z62/B62)/(0.8-K62-M62-N62-O62-P62))</f>
        <v>35.5585601171069</v>
      </c>
      <c r="H62" s="8">
        <v>23</v>
      </c>
      <c r="I62" s="184">
        <f>46/1.13</f>
        <v>40.7079646017699</v>
      </c>
      <c r="J62" s="9">
        <v>4.04</v>
      </c>
      <c r="K62" s="192">
        <v>0.15</v>
      </c>
      <c r="L62" s="192">
        <v>0.16</v>
      </c>
      <c r="M62" s="192">
        <v>0.03</v>
      </c>
      <c r="N62" s="192">
        <v>0.15</v>
      </c>
      <c r="O62" s="193">
        <f>0.02/H62</f>
        <v>0.000869565217391304</v>
      </c>
      <c r="P62" s="192">
        <v>0.02</v>
      </c>
      <c r="Q62" s="192"/>
      <c r="R62" s="8">
        <v>20.2</v>
      </c>
      <c r="S62" s="8">
        <v>10.7</v>
      </c>
      <c r="T62" s="8">
        <v>3.6</v>
      </c>
      <c r="U62" s="8">
        <v>0.32</v>
      </c>
      <c r="V62" s="184">
        <f>R62*S62*T62/6000</f>
        <v>0.129684</v>
      </c>
      <c r="W62" s="184">
        <f>MAX(U62:V62)</f>
        <v>0.32</v>
      </c>
      <c r="X62" s="9" t="s">
        <v>112</v>
      </c>
      <c r="Y62" s="200">
        <v>19.0625</v>
      </c>
      <c r="Z62" s="184">
        <f>W62*Y62</f>
        <v>6.1</v>
      </c>
      <c r="AA62" s="184">
        <f>H62-SUM(K62:P62)*H62-J62-I62/B62-Z62/B62</f>
        <v>0.968938053097346</v>
      </c>
      <c r="AB62" s="202">
        <f>AA62/H62</f>
        <v>0.042127741439015</v>
      </c>
      <c r="AC62" s="8"/>
      <c r="AD62" s="203">
        <f>J62/H62</f>
        <v>0.175652173913043</v>
      </c>
      <c r="AE62" s="192">
        <f>I62/7.4/H62</f>
        <v>0.239177230327673</v>
      </c>
      <c r="AF62" s="192">
        <f>Z62/7.4/H62</f>
        <v>0.0358401880141011</v>
      </c>
      <c r="AG62" s="192">
        <v>0.15</v>
      </c>
      <c r="AH62" s="192">
        <v>0.15</v>
      </c>
      <c r="AI62" s="192">
        <v>0.02</v>
      </c>
      <c r="AJ62" s="192">
        <f>M62</f>
        <v>0.03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spans="1:75">
      <c r="A63" s="7" t="s">
        <v>142</v>
      </c>
      <c r="B63" s="7">
        <v>7.5</v>
      </c>
      <c r="C63" s="14" t="s">
        <v>123</v>
      </c>
      <c r="D63" s="14" t="s">
        <v>124</v>
      </c>
      <c r="E63" s="9" t="s">
        <v>108</v>
      </c>
      <c r="F63" s="184">
        <f>IF(E63="有",(I63/B63+J63+Z63/B63)/(0.99999-K63-L63-M63-N63),(I63/B63+J63+Z63/B63)/(0.99999-K63-M63-N63))</f>
        <v>20.1593402751086</v>
      </c>
      <c r="G63" s="184">
        <f>IF(E63="有",(I63/B63+J63+Z63/B63)/(0.8-K63-L63-M63-N63-O63-P63),(I63/B63+J63+Z63/B63)/(0.8-K63-M63-N63-O63-P63))</f>
        <v>35.5655457264951</v>
      </c>
      <c r="H63" s="9">
        <v>21.59</v>
      </c>
      <c r="I63" s="184">
        <f>46/1.13</f>
        <v>40.7079646017699</v>
      </c>
      <c r="J63" s="9">
        <v>4.04</v>
      </c>
      <c r="K63" s="192">
        <v>0.15</v>
      </c>
      <c r="L63" s="192">
        <v>0.16</v>
      </c>
      <c r="M63" s="192">
        <v>0.03</v>
      </c>
      <c r="N63" s="192">
        <v>0.15</v>
      </c>
      <c r="O63" s="193">
        <f>0.02/H63</f>
        <v>0.000926354793886058</v>
      </c>
      <c r="P63" s="192">
        <v>0.02</v>
      </c>
      <c r="Q63" s="192"/>
      <c r="R63" s="8">
        <v>20.2</v>
      </c>
      <c r="S63" s="8">
        <v>10.7</v>
      </c>
      <c r="T63" s="8">
        <v>3.6</v>
      </c>
      <c r="U63" s="8">
        <v>0.32</v>
      </c>
      <c r="V63" s="184">
        <f>R63*S63*T63/6000</f>
        <v>0.129684</v>
      </c>
      <c r="W63" s="184">
        <f>MAX(U63:V63)</f>
        <v>0.32</v>
      </c>
      <c r="X63" s="9" t="s">
        <v>112</v>
      </c>
      <c r="Y63" s="200">
        <v>19.0625</v>
      </c>
      <c r="Z63" s="184">
        <f>W63*Y63</f>
        <v>6.1</v>
      </c>
      <c r="AA63" s="184">
        <f>H63-SUM(K63:P63)*H63-J63-I63/B63-Z63/B63</f>
        <v>0.278038053097345</v>
      </c>
      <c r="AB63" s="202">
        <f>AA63/H63</f>
        <v>0.0128780941684736</v>
      </c>
      <c r="AC63" s="8"/>
      <c r="AD63" s="203">
        <f>J63/H63</f>
        <v>0.187123668364984</v>
      </c>
      <c r="AE63" s="192">
        <f>I63/7.4/H63</f>
        <v>0.254797419987794</v>
      </c>
      <c r="AF63" s="192">
        <f>Z63/7.4/H63</f>
        <v>0.0381808394777362</v>
      </c>
      <c r="AG63" s="192">
        <v>0.15</v>
      </c>
      <c r="AH63" s="192">
        <v>0.15</v>
      </c>
      <c r="AI63" s="192">
        <v>0.02</v>
      </c>
      <c r="AJ63" s="192">
        <f>M63</f>
        <v>0.03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spans="1:36">
      <c r="A64" s="7"/>
      <c r="B64" s="7"/>
      <c r="C64" s="14"/>
      <c r="D64" s="14"/>
      <c r="E64" s="9"/>
      <c r="F64" s="184"/>
      <c r="G64" s="184"/>
      <c r="H64" s="9"/>
      <c r="I64" s="184"/>
      <c r="J64" s="9"/>
      <c r="K64" s="192"/>
      <c r="L64" s="192"/>
      <c r="M64" s="192"/>
      <c r="N64" s="192"/>
      <c r="O64" s="193"/>
      <c r="P64" s="192"/>
      <c r="Q64" s="192"/>
      <c r="R64" s="8"/>
      <c r="S64" s="8"/>
      <c r="T64" s="8"/>
      <c r="U64" s="8"/>
      <c r="V64" s="184"/>
      <c r="W64" s="184"/>
      <c r="X64" s="9"/>
      <c r="Y64" s="200"/>
      <c r="Z64" s="184"/>
      <c r="AA64" s="184"/>
      <c r="AB64" s="202"/>
      <c r="AC64" s="8"/>
      <c r="AD64" s="203"/>
      <c r="AE64" s="192"/>
      <c r="AF64" s="192"/>
      <c r="AG64" s="192"/>
      <c r="AH64" s="192"/>
      <c r="AI64" s="192"/>
      <c r="AJ64" s="192"/>
    </row>
    <row r="65" spans="1:36">
      <c r="A65" s="7" t="s">
        <v>140</v>
      </c>
      <c r="B65" s="7">
        <v>7.5</v>
      </c>
      <c r="C65" s="14" t="s">
        <v>106</v>
      </c>
      <c r="D65" s="14" t="s">
        <v>107</v>
      </c>
      <c r="E65" s="9" t="s">
        <v>108</v>
      </c>
      <c r="F65" s="184">
        <f>IF(E65="有",(I65/B65+J65+Z65/B65)/(0.99999-K65-L65-M65-N65),(I65/B65+J65+Z65/B65)/(0.99999-K65-M65-N65))</f>
        <v>17.6887035959581</v>
      </c>
      <c r="G65" s="184">
        <f>IF(E65="有",(I65/B65+J65+Z65/B65)/(0.8-K65-L65-M65-N65-O65-P65),(I65/B65+J65+Z65/B65)/(0.8-K65-M65-N65-O65-P65))</f>
        <v>31.1788094856128</v>
      </c>
      <c r="H65" s="9">
        <v>29.99</v>
      </c>
      <c r="I65" s="184">
        <f>46/1.13</f>
        <v>40.7079646017699</v>
      </c>
      <c r="J65" s="9">
        <v>2.78</v>
      </c>
      <c r="K65" s="192">
        <v>0.15</v>
      </c>
      <c r="L65" s="192">
        <v>0.16</v>
      </c>
      <c r="M65" s="192">
        <v>0.03</v>
      </c>
      <c r="N65" s="192">
        <v>0.15</v>
      </c>
      <c r="O65" s="193">
        <f>0.02/H65</f>
        <v>0.000666888962987663</v>
      </c>
      <c r="P65" s="192">
        <v>0.02</v>
      </c>
      <c r="Q65" s="192"/>
      <c r="R65" s="8">
        <v>20.2</v>
      </c>
      <c r="S65" s="8">
        <v>10.7</v>
      </c>
      <c r="T65" s="8">
        <v>3.6</v>
      </c>
      <c r="U65" s="8">
        <v>0.32</v>
      </c>
      <c r="V65" s="184">
        <f>R65*S65*T65/6000</f>
        <v>0.129684</v>
      </c>
      <c r="W65" s="184">
        <f>MAX(U65:V65)</f>
        <v>0.32</v>
      </c>
      <c r="X65" s="8" t="s">
        <v>112</v>
      </c>
      <c r="Y65" s="200">
        <v>19.0625</v>
      </c>
      <c r="Z65" s="184">
        <f>W65*Y65</f>
        <v>6.1</v>
      </c>
      <c r="AA65" s="184">
        <f>H65-SUM(K65:P65)*H65-J65-I65/B65-Z65/B65</f>
        <v>5.65403805309735</v>
      </c>
      <c r="AB65" s="202">
        <f>AA65/H65</f>
        <v>0.188530778696144</v>
      </c>
      <c r="AC65" s="8"/>
      <c r="AD65" s="203">
        <f>J65/H65</f>
        <v>0.0926975658552851</v>
      </c>
      <c r="AE65" s="192">
        <f>I65/7.4/H65</f>
        <v>0.183430353369006</v>
      </c>
      <c r="AF65" s="192">
        <f>Z65/7.4/H65</f>
        <v>0.0274866396907077</v>
      </c>
      <c r="AG65" s="192">
        <v>0.15</v>
      </c>
      <c r="AH65" s="192">
        <v>0.15</v>
      </c>
      <c r="AI65" s="192">
        <v>0.02</v>
      </c>
      <c r="AJ65" s="192">
        <f>M65</f>
        <v>0.03</v>
      </c>
    </row>
    <row r="66" spans="1:36">
      <c r="A66" s="7" t="s">
        <v>141</v>
      </c>
      <c r="B66" s="7">
        <v>7.5</v>
      </c>
      <c r="C66" s="14" t="s">
        <v>106</v>
      </c>
      <c r="D66" s="14" t="s">
        <v>107</v>
      </c>
      <c r="E66" s="9" t="s">
        <v>108</v>
      </c>
      <c r="F66" s="184">
        <f>IF(E66="有",(I66/B66+J66+Z66/B66)/(0.99999-K66-L66-M66-N66),(I66/B66+J66+Z66/B66)/(0.99999-K66-M66-N66))</f>
        <v>17.6887035959581</v>
      </c>
      <c r="G66" s="184">
        <f>IF(E66="有",(I66/B66+J66+Z66/B66)/(0.8-K66-L66-M66-N66-O66-P66),(I66/B66+J66+Z66/B66)/(0.8-K66-M66-N66-O66-P66))</f>
        <v>31.2006653802648</v>
      </c>
      <c r="H66" s="8">
        <v>23</v>
      </c>
      <c r="I66" s="184">
        <f>46/1.13</f>
        <v>40.7079646017699</v>
      </c>
      <c r="J66" s="9">
        <v>2.78</v>
      </c>
      <c r="K66" s="192">
        <v>0.15</v>
      </c>
      <c r="L66" s="192">
        <v>0.16</v>
      </c>
      <c r="M66" s="192">
        <v>0.03</v>
      </c>
      <c r="N66" s="192">
        <v>0.15</v>
      </c>
      <c r="O66" s="193">
        <f>0.02/H66</f>
        <v>0.000869565217391304</v>
      </c>
      <c r="P66" s="192">
        <v>0.02</v>
      </c>
      <c r="Q66" s="192"/>
      <c r="R66" s="8">
        <v>20.2</v>
      </c>
      <c r="S66" s="8">
        <v>10.7</v>
      </c>
      <c r="T66" s="8">
        <v>3.6</v>
      </c>
      <c r="U66" s="8">
        <v>0.32</v>
      </c>
      <c r="V66" s="184">
        <f>R66*S66*T66/6000</f>
        <v>0.129684</v>
      </c>
      <c r="W66" s="184">
        <f>MAX(U66:V66)</f>
        <v>0.32</v>
      </c>
      <c r="X66" s="9" t="s">
        <v>112</v>
      </c>
      <c r="Y66" s="200">
        <v>19.0625</v>
      </c>
      <c r="Z66" s="184">
        <f>W66*Y66</f>
        <v>6.1</v>
      </c>
      <c r="AA66" s="184">
        <f>H66-SUM(K66:P66)*H66-J66-I66/B66-Z66/B66</f>
        <v>2.22893805309735</v>
      </c>
      <c r="AB66" s="202">
        <f>AA66/H66</f>
        <v>0.0969103501346672</v>
      </c>
      <c r="AC66" s="8"/>
      <c r="AD66" s="203">
        <f>J66/H66</f>
        <v>0.120869565217391</v>
      </c>
      <c r="AE66" s="192">
        <f>I66/7.4/H66</f>
        <v>0.239177230327673</v>
      </c>
      <c r="AF66" s="192">
        <f>Z66/7.4/H66</f>
        <v>0.0358401880141011</v>
      </c>
      <c r="AG66" s="192">
        <v>0.15</v>
      </c>
      <c r="AH66" s="192">
        <v>0.15</v>
      </c>
      <c r="AI66" s="192">
        <v>0.02</v>
      </c>
      <c r="AJ66" s="192">
        <f>M66</f>
        <v>0.03</v>
      </c>
    </row>
    <row r="67" spans="1:36">
      <c r="A67" s="7" t="s">
        <v>142</v>
      </c>
      <c r="B67" s="7">
        <v>7.5</v>
      </c>
      <c r="C67" s="14" t="s">
        <v>106</v>
      </c>
      <c r="D67" s="14" t="s">
        <v>107</v>
      </c>
      <c r="E67" s="9" t="s">
        <v>108</v>
      </c>
      <c r="F67" s="184">
        <f>IF(E67="有",(I67/B67+J67+Z67/B67)/(0.99999-K67-L67-M67-N67),(I67/B67+J67+Z67/B67)/(0.99999-K67-M67-N67))</f>
        <v>17.6887035959581</v>
      </c>
      <c r="G67" s="184">
        <f>IF(E67="有",(I67/B67+J67+Z67/B67)/(0.8-K67-L67-M67-N67-O67-P67),(I67/B67+J67+Z67/B67)/(0.8-K67-M67-N67-O67-P67))</f>
        <v>31.2148012529789</v>
      </c>
      <c r="H67" s="9">
        <v>19.99</v>
      </c>
      <c r="I67" s="184">
        <f>46/1.13</f>
        <v>40.7079646017699</v>
      </c>
      <c r="J67" s="9">
        <v>2.78</v>
      </c>
      <c r="K67" s="192">
        <v>0.15</v>
      </c>
      <c r="L67" s="192">
        <v>0.16</v>
      </c>
      <c r="M67" s="192">
        <v>0.03</v>
      </c>
      <c r="N67" s="192">
        <v>0.15</v>
      </c>
      <c r="O67" s="193">
        <f>0.02/H67</f>
        <v>0.00100050025012506</v>
      </c>
      <c r="P67" s="192">
        <v>0.02</v>
      </c>
      <c r="Q67" s="192"/>
      <c r="R67" s="8">
        <v>20.2</v>
      </c>
      <c r="S67" s="8">
        <v>10.7</v>
      </c>
      <c r="T67" s="8">
        <v>3.6</v>
      </c>
      <c r="U67" s="8">
        <v>0.32</v>
      </c>
      <c r="V67" s="184">
        <f>R67*S67*T67/6000</f>
        <v>0.129684</v>
      </c>
      <c r="W67" s="184">
        <f>MAX(U67:V67)</f>
        <v>0.32</v>
      </c>
      <c r="X67" s="9" t="s">
        <v>112</v>
      </c>
      <c r="Y67" s="200">
        <v>19.0625</v>
      </c>
      <c r="Z67" s="184">
        <f>W67*Y67</f>
        <v>6.1</v>
      </c>
      <c r="AA67" s="184">
        <f>H67-SUM(K67:P67)*H67-J67-I67/B67-Z67/B67</f>
        <v>0.754038053097345</v>
      </c>
      <c r="AB67" s="202">
        <f>AA67/H67</f>
        <v>0.0377207630363854</v>
      </c>
      <c r="AC67" s="8"/>
      <c r="AD67" s="203">
        <f>J67/H67</f>
        <v>0.139069534767384</v>
      </c>
      <c r="AE67" s="192">
        <f>I67/7.4/H67</f>
        <v>0.275191410582115</v>
      </c>
      <c r="AF67" s="192">
        <f>Z67/7.4/H67</f>
        <v>0.041236834633533</v>
      </c>
      <c r="AG67" s="192">
        <v>0.15</v>
      </c>
      <c r="AH67" s="192">
        <v>0.15</v>
      </c>
      <c r="AI67" s="192">
        <v>0.02</v>
      </c>
      <c r="AJ67" s="192">
        <f>M67</f>
        <v>0.03</v>
      </c>
    </row>
    <row r="68" spans="1:75">
      <c r="A68" s="189" t="s">
        <v>143</v>
      </c>
      <c r="B68" s="189">
        <v>7.5</v>
      </c>
      <c r="C68" s="205" t="s">
        <v>106</v>
      </c>
      <c r="D68" s="205" t="s">
        <v>107</v>
      </c>
      <c r="E68" s="10" t="s">
        <v>108</v>
      </c>
      <c r="F68" s="201">
        <f>IF(E68="有",(I68/B68+J68+Z68/B68)/(0.99999-K68-L68-M68-N68),(I68/B68+J68+Z68/B68)/(0.99999-K68-M68-N68))</f>
        <v>6.56389001335097</v>
      </c>
      <c r="G68" s="201">
        <f>IF(E68="有",(I68/B68+J68+Z68/B68)/(0.8-K68-L68-M68-N68-O68-P68),(I68/B68+J68+Z68/B68)/(0.8-K68-M68-N68-O68-P68))</f>
        <v>9.8706255180997</v>
      </c>
      <c r="H68" s="206">
        <v>17.99</v>
      </c>
      <c r="I68" s="201">
        <f>11/1.13</f>
        <v>9.73451327433628</v>
      </c>
      <c r="J68" s="10">
        <v>2.78</v>
      </c>
      <c r="K68" s="209">
        <v>0.15</v>
      </c>
      <c r="L68" s="209">
        <v>0.16</v>
      </c>
      <c r="M68" s="209">
        <v>0.03</v>
      </c>
      <c r="N68" s="209">
        <v>0</v>
      </c>
      <c r="O68" s="210">
        <f>0.02/H68</f>
        <v>0.00111172873818788</v>
      </c>
      <c r="P68" s="209">
        <v>0.02</v>
      </c>
      <c r="Q68" s="209"/>
      <c r="R68" s="206">
        <v>12.5</v>
      </c>
      <c r="S68" s="206">
        <v>10.5</v>
      </c>
      <c r="T68" s="206">
        <v>2.8</v>
      </c>
      <c r="U68" s="206">
        <v>0.1</v>
      </c>
      <c r="V68" s="201">
        <f>R68*S68*T68/6000</f>
        <v>0.06125</v>
      </c>
      <c r="W68" s="201">
        <f>MAX(U68:V68)</f>
        <v>0.1</v>
      </c>
      <c r="X68" s="206" t="s">
        <v>112</v>
      </c>
      <c r="Y68" s="212">
        <v>19.0625</v>
      </c>
      <c r="Z68" s="201">
        <f>W68*Y68</f>
        <v>1.90625</v>
      </c>
      <c r="AA68" s="201">
        <f>H68-SUM(K68:P68)*H68-J68-I68/B68-Z68/B68</f>
        <v>7.1614982300885</v>
      </c>
      <c r="AB68" s="213">
        <f>AA68/H68</f>
        <v>0.398082169543552</v>
      </c>
      <c r="AC68" s="206"/>
      <c r="AD68" s="214">
        <f>J68/H68</f>
        <v>0.154530294608116</v>
      </c>
      <c r="AE68" s="209">
        <f>I68/7.4/H68</f>
        <v>0.0731225551307504</v>
      </c>
      <c r="AF68" s="209">
        <f>Z68/7.4/H68</f>
        <v>0.0143191412646666</v>
      </c>
      <c r="AG68" s="209">
        <v>0.15</v>
      </c>
      <c r="AH68" s="209">
        <v>0.15</v>
      </c>
      <c r="AI68" s="209">
        <v>0.02</v>
      </c>
      <c r="AJ68" s="209">
        <f>M68</f>
        <v>0.03</v>
      </c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</row>
    <row r="69" spans="1:36">
      <c r="A69" s="7"/>
      <c r="B69" s="7"/>
      <c r="C69" s="14"/>
      <c r="D69" s="14"/>
      <c r="E69" s="9"/>
      <c r="F69" s="184"/>
      <c r="G69" s="184"/>
      <c r="H69" s="9"/>
      <c r="I69" s="184"/>
      <c r="J69" s="9"/>
      <c r="K69" s="192"/>
      <c r="L69" s="192"/>
      <c r="M69" s="192"/>
      <c r="N69" s="192"/>
      <c r="O69" s="193"/>
      <c r="P69" s="192"/>
      <c r="Q69" s="192"/>
      <c r="R69" s="8"/>
      <c r="S69" s="8"/>
      <c r="T69" s="8"/>
      <c r="U69" s="8"/>
      <c r="V69" s="184"/>
      <c r="W69" s="184"/>
      <c r="X69" s="9"/>
      <c r="Y69" s="200"/>
      <c r="Z69" s="184"/>
      <c r="AA69" s="184"/>
      <c r="AB69" s="202"/>
      <c r="AC69" s="8"/>
      <c r="AD69" s="203"/>
      <c r="AE69" s="192"/>
      <c r="AF69" s="192"/>
      <c r="AG69" s="192"/>
      <c r="AH69" s="192"/>
      <c r="AI69" s="192"/>
      <c r="AJ69" s="192"/>
    </row>
    <row r="70" spans="1:36">
      <c r="A70" s="7" t="s">
        <v>144</v>
      </c>
      <c r="B70" s="7">
        <v>7.5</v>
      </c>
      <c r="C70" s="14" t="s">
        <v>106</v>
      </c>
      <c r="D70" s="14" t="s">
        <v>107</v>
      </c>
      <c r="E70" s="9" t="s">
        <v>108</v>
      </c>
      <c r="F70" s="184">
        <f>IF(E70="有",(I70/B70+J70+Z70/B70)/(0.99999-K70-L70-M70-N70),(I70/B70+J70+Z70/B70)/(0.99999-K70-M70-N70))</f>
        <v>16.7474668396818</v>
      </c>
      <c r="G70" s="184">
        <f>IF(E70="有",(I70/B70+J70+Z70/B70)/(0.8-K70-L70-M70-N70-O70-P70),(I70/B70+J70+Z70/B70)/(0.8-K70-M70-N70-O70-P70))</f>
        <v>29.5317650655691</v>
      </c>
      <c r="H70" s="8">
        <v>25.49</v>
      </c>
      <c r="I70" s="184">
        <f>46/1.13</f>
        <v>40.7079646017699</v>
      </c>
      <c r="J70" s="9">
        <v>2.78</v>
      </c>
      <c r="K70" s="192">
        <v>0.15</v>
      </c>
      <c r="L70" s="192">
        <v>0.16</v>
      </c>
      <c r="M70" s="192">
        <v>0.03</v>
      </c>
      <c r="N70" s="192">
        <v>0.15</v>
      </c>
      <c r="O70" s="193">
        <f>0.02/H70</f>
        <v>0.000784621420164771</v>
      </c>
      <c r="P70" s="192">
        <v>0.02</v>
      </c>
      <c r="Q70" s="192"/>
      <c r="R70" s="8">
        <v>20.2</v>
      </c>
      <c r="S70" s="8">
        <v>10.7</v>
      </c>
      <c r="T70" s="8">
        <v>3.6</v>
      </c>
      <c r="U70" s="8">
        <v>0.32</v>
      </c>
      <c r="V70" s="184">
        <f>R70*S70*T70/6000</f>
        <v>0.129684</v>
      </c>
      <c r="W70" s="184">
        <f>MAX(U70:V70)</f>
        <v>0.32</v>
      </c>
      <c r="X70" s="9" t="s">
        <v>17</v>
      </c>
      <c r="Y70" s="200">
        <v>7.812</v>
      </c>
      <c r="Z70" s="184">
        <f>W70*Y70</f>
        <v>2.49984</v>
      </c>
      <c r="AA70" s="184">
        <f>H70-SUM(K70:P70)*H70-J70-I70/B70-Z70/B70</f>
        <v>3.92905938643068</v>
      </c>
      <c r="AB70" s="202">
        <f>AA70/H70</f>
        <v>0.154141207784648</v>
      </c>
      <c r="AC70" s="8"/>
      <c r="AD70" s="203">
        <f>J70/H70</f>
        <v>0.109062377402903</v>
      </c>
      <c r="AE70" s="192">
        <f>I70/7.4/H70</f>
        <v>0.215813114850391</v>
      </c>
      <c r="AF70" s="192">
        <f>Z70/7.4/H70</f>
        <v>0.0132528919661128</v>
      </c>
      <c r="AG70" s="192">
        <v>0.15</v>
      </c>
      <c r="AH70" s="192">
        <v>0.15</v>
      </c>
      <c r="AI70" s="192">
        <v>0.02</v>
      </c>
      <c r="AJ70" s="192">
        <f>M70</f>
        <v>0.03</v>
      </c>
    </row>
    <row r="71" spans="1:36">
      <c r="A71" s="7" t="s">
        <v>145</v>
      </c>
      <c r="B71" s="7">
        <v>7.5</v>
      </c>
      <c r="C71" s="14" t="s">
        <v>106</v>
      </c>
      <c r="D71" s="14" t="s">
        <v>107</v>
      </c>
      <c r="E71" s="9" t="s">
        <v>108</v>
      </c>
      <c r="F71" s="184">
        <f>IF(E71="有",(I71/B71+J71+Z71/B71)/(0.99999-K71-L71-M71-N71),(I71/B71+J71+Z71/B71)/(0.99999-K71-M71-N71))</f>
        <v>16.7474668396818</v>
      </c>
      <c r="G71" s="184">
        <f>IF(E71="有",(I71/B71+J71+Z71/B71)/(0.8-K71-L71-M71-N71-O71-P71),(I71/B71+J71+Z71/B71)/(0.8-K71-M71-N71-O71-P71))</f>
        <v>29.5445223596277</v>
      </c>
      <c r="H71" s="8">
        <v>21.99</v>
      </c>
      <c r="I71" s="184">
        <f>46/1.13</f>
        <v>40.7079646017699</v>
      </c>
      <c r="J71" s="9">
        <v>2.78</v>
      </c>
      <c r="K71" s="192">
        <v>0.15</v>
      </c>
      <c r="L71" s="192">
        <v>0.16</v>
      </c>
      <c r="M71" s="192">
        <v>0.03</v>
      </c>
      <c r="N71" s="192">
        <v>0.15</v>
      </c>
      <c r="O71" s="193">
        <f>0.02/H71</f>
        <v>0.000909504320145521</v>
      </c>
      <c r="P71" s="192">
        <v>0.02</v>
      </c>
      <c r="Q71" s="192"/>
      <c r="R71" s="8">
        <v>20.2</v>
      </c>
      <c r="S71" s="8">
        <v>10.7</v>
      </c>
      <c r="T71" s="8">
        <v>3.6</v>
      </c>
      <c r="U71" s="8">
        <v>0.32</v>
      </c>
      <c r="V71" s="184">
        <f>R71*S71*T71/6000</f>
        <v>0.129684</v>
      </c>
      <c r="W71" s="184">
        <f>MAX(U71:V71)</f>
        <v>0.32</v>
      </c>
      <c r="X71" s="9" t="s">
        <v>17</v>
      </c>
      <c r="Y71" s="200">
        <v>7.812</v>
      </c>
      <c r="Z71" s="184">
        <f>W71*Y71</f>
        <v>2.49984</v>
      </c>
      <c r="AA71" s="184">
        <f>H71-SUM(K71:P71)*H71-J71-I71/B71-Z71/B71</f>
        <v>2.21405938643068</v>
      </c>
      <c r="AB71" s="202">
        <f>AA71/H71</f>
        <v>0.100684828850872</v>
      </c>
      <c r="AC71" s="8"/>
      <c r="AD71" s="203">
        <f>J71/H71</f>
        <v>0.126421100500227</v>
      </c>
      <c r="AE71" s="192">
        <f>I71/7.4/H71</f>
        <v>0.250162632902978</v>
      </c>
      <c r="AF71" s="192">
        <f>Z71/7.4/H71</f>
        <v>0.0153622654031931</v>
      </c>
      <c r="AG71" s="192">
        <v>0.15</v>
      </c>
      <c r="AH71" s="192">
        <v>0.15</v>
      </c>
      <c r="AI71" s="192">
        <v>0.02</v>
      </c>
      <c r="AJ71" s="192">
        <f>M71</f>
        <v>0.03</v>
      </c>
    </row>
    <row r="72" spans="1:36">
      <c r="A72" s="7" t="s">
        <v>146</v>
      </c>
      <c r="B72" s="7">
        <v>7.5</v>
      </c>
      <c r="C72" s="14" t="s">
        <v>106</v>
      </c>
      <c r="D72" s="14" t="s">
        <v>107</v>
      </c>
      <c r="E72" s="9" t="s">
        <v>108</v>
      </c>
      <c r="F72" s="184">
        <f>IF(E72="有",(I72/B72+J72+Z72/B72)/(0.99999-K72-L72-M72-N72),(I72/B72+J72+Z72/B72)/(0.99999-K72-M72-N72))</f>
        <v>16.7474668396818</v>
      </c>
      <c r="G72" s="184">
        <f>IF(E72="有",(I72/B72+J72+Z72/B72)/(0.8-K72-L72-M72-N72-O72-P72),(I72/B72+J72+Z72/B72)/(0.8-K72-M72-N72-O72-P72))</f>
        <v>29.5592136559715</v>
      </c>
      <c r="H72" s="8">
        <v>18.99</v>
      </c>
      <c r="I72" s="184">
        <f>46/1.13</f>
        <v>40.7079646017699</v>
      </c>
      <c r="J72" s="9">
        <v>2.78</v>
      </c>
      <c r="K72" s="192">
        <v>0.15</v>
      </c>
      <c r="L72" s="192">
        <v>0.16</v>
      </c>
      <c r="M72" s="192">
        <v>0.03</v>
      </c>
      <c r="N72" s="192">
        <v>0.15</v>
      </c>
      <c r="O72" s="193">
        <f>0.02/H72</f>
        <v>0.00105318588730911</v>
      </c>
      <c r="P72" s="192">
        <v>0.02</v>
      </c>
      <c r="Q72" s="192"/>
      <c r="R72" s="8">
        <v>20.2</v>
      </c>
      <c r="S72" s="8">
        <v>10.7</v>
      </c>
      <c r="T72" s="8">
        <v>3.6</v>
      </c>
      <c r="U72" s="8">
        <v>0.32</v>
      </c>
      <c r="V72" s="184">
        <f>R72*S72*T72/6000</f>
        <v>0.129684</v>
      </c>
      <c r="W72" s="184">
        <f>MAX(U72:V72)</f>
        <v>0.32</v>
      </c>
      <c r="X72" s="9" t="s">
        <v>17</v>
      </c>
      <c r="Y72" s="200">
        <v>7.812</v>
      </c>
      <c r="Z72" s="184">
        <f>W72*Y72</f>
        <v>2.49984</v>
      </c>
      <c r="AA72" s="184">
        <f>H72-SUM(K72:P72)*H72-J72-I72/B72-Z72/B72</f>
        <v>0.744059386430678</v>
      </c>
      <c r="AB72" s="202">
        <f>AA72/H72</f>
        <v>0.0391816422554333</v>
      </c>
      <c r="AC72" s="8"/>
      <c r="AD72" s="203">
        <f>J72/H72</f>
        <v>0.146392838335966</v>
      </c>
      <c r="AE72" s="192">
        <f>I72/7.4/H72</f>
        <v>0.289682796078803</v>
      </c>
      <c r="AF72" s="192">
        <f>Z72/7.4/H72</f>
        <v>0.0177891635711541</v>
      </c>
      <c r="AG72" s="192">
        <v>0.15</v>
      </c>
      <c r="AH72" s="192">
        <v>0.15</v>
      </c>
      <c r="AI72" s="192">
        <v>0.02</v>
      </c>
      <c r="AJ72" s="192">
        <f>M72</f>
        <v>0.03</v>
      </c>
    </row>
    <row r="73" spans="1:36">
      <c r="A73" s="7"/>
      <c r="B73" s="7"/>
      <c r="E73" s="9"/>
      <c r="F73" s="184"/>
      <c r="G73" s="184"/>
      <c r="H73" s="9"/>
      <c r="I73" s="184"/>
      <c r="J73" s="9"/>
      <c r="K73" s="192"/>
      <c r="L73" s="192"/>
      <c r="M73" s="192"/>
      <c r="N73" s="192"/>
      <c r="O73" s="193"/>
      <c r="P73" s="192"/>
      <c r="Q73" s="192"/>
      <c r="R73" s="8"/>
      <c r="S73" s="8"/>
      <c r="T73" s="8"/>
      <c r="U73" s="8"/>
      <c r="V73" s="184"/>
      <c r="W73" s="184"/>
      <c r="X73" s="9"/>
      <c r="Y73" s="200"/>
      <c r="Z73" s="184"/>
      <c r="AA73" s="184"/>
      <c r="AB73" s="202"/>
      <c r="AC73" s="8"/>
      <c r="AD73" s="203"/>
      <c r="AE73" s="192"/>
      <c r="AF73" s="192"/>
      <c r="AG73" s="192"/>
      <c r="AH73" s="192"/>
      <c r="AI73" s="192"/>
      <c r="AJ73" s="192"/>
    </row>
    <row r="74" spans="1:75">
      <c r="A74" s="7" t="s">
        <v>147</v>
      </c>
      <c r="B74" s="7">
        <v>7.5</v>
      </c>
      <c r="C74" s="14" t="s">
        <v>106</v>
      </c>
      <c r="D74" s="14" t="s">
        <v>107</v>
      </c>
      <c r="E74" s="9" t="s">
        <v>108</v>
      </c>
      <c r="F74" s="184">
        <f>IF(E74="有",(I74/B74+J74+Z74/B74)/(0.99999-K74-L74-M74-N74),(I74/B74+J74+Z74/B74)/(0.99999-K74-M74-N74))</f>
        <v>6.95783537615949</v>
      </c>
      <c r="G74" s="184">
        <f>IF(E74="有",(I74/B74+J74+Z74/B74)/(0.8-K74-L74-M74-N74-O74-P74),(I74/B74+J74+Z74/B74)/(0.8-K74-M74-N74-O74-P74))</f>
        <v>10.4645915916622</v>
      </c>
      <c r="H74" s="8">
        <v>16.99</v>
      </c>
      <c r="I74" s="184">
        <f>11/1.13</f>
        <v>9.73451327433628</v>
      </c>
      <c r="J74" s="8">
        <v>3.04</v>
      </c>
      <c r="K74" s="192">
        <v>0.15</v>
      </c>
      <c r="L74" s="192">
        <v>0.16</v>
      </c>
      <c r="M74" s="192">
        <v>0.03</v>
      </c>
      <c r="N74" s="192">
        <v>0</v>
      </c>
      <c r="O74" s="193">
        <f>0.02/H74</f>
        <v>0.00117716303708064</v>
      </c>
      <c r="P74" s="192">
        <v>0.02</v>
      </c>
      <c r="Q74" s="192"/>
      <c r="R74" s="206">
        <v>12.5</v>
      </c>
      <c r="S74" s="206">
        <v>10.5</v>
      </c>
      <c r="T74" s="206">
        <v>2.8</v>
      </c>
      <c r="U74" s="206">
        <v>0.1</v>
      </c>
      <c r="V74" s="184">
        <f>R74*S74*T74/6000</f>
        <v>0.06125</v>
      </c>
      <c r="W74" s="184">
        <f>MAX(U74:V74)</f>
        <v>0.1</v>
      </c>
      <c r="X74" s="8" t="s">
        <v>112</v>
      </c>
      <c r="Y74" s="200">
        <v>19.0625</v>
      </c>
      <c r="Z74" s="184">
        <f>W74*Y74</f>
        <v>1.90625</v>
      </c>
      <c r="AA74" s="184">
        <f>H74-SUM(K74:P74)*H74-J74-I74/B74-Z74/B74</f>
        <v>6.2614982300885</v>
      </c>
      <c r="AB74" s="202">
        <f>AA74/H74</f>
        <v>0.3685402136603</v>
      </c>
      <c r="AC74" s="8"/>
      <c r="AD74" s="203">
        <f>J74/H74</f>
        <v>0.178928781636257</v>
      </c>
      <c r="AE74" s="192">
        <f>I74/7.4/H74</f>
        <v>0.077426413584591</v>
      </c>
      <c r="AF74" s="192">
        <f>Z74/7.4/H74</f>
        <v>0.0151619394556416</v>
      </c>
      <c r="AG74" s="192">
        <v>0.15</v>
      </c>
      <c r="AH74" s="192">
        <v>0</v>
      </c>
      <c r="AI74" s="192">
        <v>0.02</v>
      </c>
      <c r="AJ74" s="192">
        <f>M74</f>
        <v>0.03</v>
      </c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spans="1:75">
      <c r="A75" s="7" t="s">
        <v>148</v>
      </c>
      <c r="B75" s="7">
        <v>9</v>
      </c>
      <c r="C75" s="14" t="s">
        <v>126</v>
      </c>
      <c r="D75" s="14" t="s">
        <v>127</v>
      </c>
      <c r="E75" s="9" t="s">
        <v>108</v>
      </c>
      <c r="F75" s="184">
        <f>IF(E75="有",(I75/B75+J75+Z75/B75)/(0.99999-K75-L75-M75-N75),(I75/B75+J75+Z75/B75)/(0.99999-K75-M75-N75))</f>
        <v>6.0810287149698</v>
      </c>
      <c r="G75" s="184">
        <f>IF(E75="有",(I75/B75+J75+Z75/B75)/(0.8-K75-L75-M75-N75-O75-P75),(I75/B75+J75+Z75/B75)/(0.8-K75-M75-N75-O75-P75))</f>
        <v>9.1491480537864</v>
      </c>
      <c r="H75" s="8">
        <v>14.99</v>
      </c>
      <c r="I75" s="184">
        <f>11/1.13</f>
        <v>9.73451327433628</v>
      </c>
      <c r="J75" s="9">
        <v>2.72</v>
      </c>
      <c r="K75" s="192">
        <v>0.15</v>
      </c>
      <c r="L75" s="192">
        <v>0.16</v>
      </c>
      <c r="M75" s="192">
        <v>0.03</v>
      </c>
      <c r="N75" s="192">
        <v>0</v>
      </c>
      <c r="O75" s="193">
        <f>0.02/H75</f>
        <v>0.00133422281521014</v>
      </c>
      <c r="P75" s="192">
        <v>0.02</v>
      </c>
      <c r="Q75" s="192"/>
      <c r="R75" s="206">
        <v>12.5</v>
      </c>
      <c r="S75" s="206">
        <v>10.5</v>
      </c>
      <c r="T75" s="206">
        <v>2.8</v>
      </c>
      <c r="U75" s="206">
        <v>0.1</v>
      </c>
      <c r="V75" s="184">
        <f>R75*S75*T75/6000</f>
        <v>0.06125</v>
      </c>
      <c r="W75" s="184">
        <f>MAX(U75:V75)</f>
        <v>0.1</v>
      </c>
      <c r="X75" s="9" t="s">
        <v>112</v>
      </c>
      <c r="Y75" s="200">
        <v>19.0625</v>
      </c>
      <c r="Z75" s="184">
        <f>W75*Y75</f>
        <v>1.90625</v>
      </c>
      <c r="AA75" s="184">
        <f>H75-SUM(K75:P75)*H75-J75-I75/B75-Z75/B75</f>
        <v>5.56018185840708</v>
      </c>
      <c r="AB75" s="202">
        <f>AA75/H75</f>
        <v>0.370926074610212</v>
      </c>
      <c r="AC75" s="8"/>
      <c r="AD75" s="203">
        <f>J75/H75</f>
        <v>0.181454302868579</v>
      </c>
      <c r="AE75" s="192">
        <f>I75/7.4/H75</f>
        <v>0.0877568223350367</v>
      </c>
      <c r="AF75" s="192">
        <f>Z75/7.4/H75</f>
        <v>0.0171848800100968</v>
      </c>
      <c r="AG75" s="192">
        <v>0.15</v>
      </c>
      <c r="AH75" s="192">
        <v>0</v>
      </c>
      <c r="AI75" s="192">
        <v>0.02</v>
      </c>
      <c r="AJ75" s="192">
        <f>M75</f>
        <v>0.03</v>
      </c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ht="15" customHeight="1" spans="1:36">
      <c r="A76" s="7"/>
      <c r="B76" s="7"/>
      <c r="E76" s="9"/>
      <c r="F76" s="184"/>
      <c r="G76" s="184"/>
      <c r="H76" s="9"/>
      <c r="I76" s="184"/>
      <c r="J76" s="9"/>
      <c r="K76" s="192"/>
      <c r="L76" s="192"/>
      <c r="M76" s="192"/>
      <c r="N76" s="192"/>
      <c r="O76" s="193"/>
      <c r="P76" s="192"/>
      <c r="Q76" s="192"/>
      <c r="R76" s="8"/>
      <c r="S76" s="8"/>
      <c r="T76" s="8"/>
      <c r="U76" s="8"/>
      <c r="V76" s="184"/>
      <c r="W76" s="184"/>
      <c r="X76" s="9"/>
      <c r="Y76" s="200"/>
      <c r="Z76" s="184"/>
      <c r="AA76" s="184"/>
      <c r="AB76" s="202"/>
      <c r="AC76" s="8"/>
      <c r="AD76" s="203"/>
      <c r="AE76" s="192"/>
      <c r="AF76" s="192"/>
      <c r="AG76" s="192"/>
      <c r="AH76" s="192"/>
      <c r="AI76" s="192"/>
      <c r="AJ76" s="192"/>
    </row>
    <row r="77" spans="1:75">
      <c r="A77" s="7" t="s">
        <v>149</v>
      </c>
      <c r="B77" s="7">
        <v>9</v>
      </c>
      <c r="C77" s="14" t="s">
        <v>126</v>
      </c>
      <c r="D77" s="14" t="s">
        <v>127</v>
      </c>
      <c r="E77" s="9" t="s">
        <v>108</v>
      </c>
      <c r="F77" s="184">
        <f>IF(E77="有",(I77/B77+J77+Z77/B77)/(0.99999-K77-L77-M77-N77),(I77/B77+J77+Z77/B77)/(0.99999-K77-M77-N77))</f>
        <v>16.795057986272</v>
      </c>
      <c r="G77" s="184">
        <f>IF(E77="有",(I77/B77+J77+Z77/B77)/(0.8-K77-L77-M77-N77-O77-P77),(I77/B77+J77+Z77/B77)/(0.8-K77-M77-N77-O77-P77))</f>
        <v>29.6036343428498</v>
      </c>
      <c r="H77" s="190">
        <v>29.99</v>
      </c>
      <c r="I77" s="184">
        <f>46/1.13</f>
        <v>40.7079646017699</v>
      </c>
      <c r="J77" s="8">
        <v>2.72</v>
      </c>
      <c r="K77" s="192">
        <v>0.15</v>
      </c>
      <c r="L77" s="192">
        <v>0.16</v>
      </c>
      <c r="M77" s="192">
        <v>0.03</v>
      </c>
      <c r="N77" s="192">
        <v>0.15</v>
      </c>
      <c r="O77" s="193">
        <f>0.02/H77</f>
        <v>0.000666888962987663</v>
      </c>
      <c r="P77" s="192">
        <v>0.02</v>
      </c>
      <c r="Q77" s="192"/>
      <c r="R77" s="8">
        <v>20.2</v>
      </c>
      <c r="S77" s="8">
        <v>10.7</v>
      </c>
      <c r="T77" s="8">
        <v>3.6</v>
      </c>
      <c r="U77" s="8">
        <v>0.32</v>
      </c>
      <c r="V77" s="184">
        <f>R77*S77*T77/6000</f>
        <v>0.129684</v>
      </c>
      <c r="W77" s="184">
        <f>MAX(U77:V77)</f>
        <v>0.32</v>
      </c>
      <c r="X77" s="9" t="s">
        <v>14</v>
      </c>
      <c r="Y77" s="200">
        <v>37.187</v>
      </c>
      <c r="Z77" s="184">
        <f>W77*Y77</f>
        <v>11.89984</v>
      </c>
      <c r="AA77" s="184">
        <f>H77-SUM(K77:P77)*H77-J77-I77/B77-Z77/B77</f>
        <v>6.10978837758112</v>
      </c>
      <c r="AB77" s="202">
        <f>AA77/H77</f>
        <v>0.203727521759957</v>
      </c>
      <c r="AC77" s="8"/>
      <c r="AD77" s="203">
        <f>J77/H77</f>
        <v>0.0906968989663221</v>
      </c>
      <c r="AE77" s="192">
        <f>I77/7.4/H77</f>
        <v>0.183430353369006</v>
      </c>
      <c r="AF77" s="192">
        <f>Z77/7.4/H77</f>
        <v>0.0536207564683723</v>
      </c>
      <c r="AG77" s="192">
        <v>0.15</v>
      </c>
      <c r="AH77" s="192">
        <v>0.15</v>
      </c>
      <c r="AI77" s="192">
        <v>0.02</v>
      </c>
      <c r="AJ77" s="192">
        <f>M77</f>
        <v>0.03</v>
      </c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spans="1:75">
      <c r="A78" s="7" t="s">
        <v>150</v>
      </c>
      <c r="B78" s="7">
        <v>9</v>
      </c>
      <c r="C78" s="14" t="s">
        <v>126</v>
      </c>
      <c r="D78" s="14" t="s">
        <v>127</v>
      </c>
      <c r="E78" s="9" t="s">
        <v>108</v>
      </c>
      <c r="F78" s="184">
        <f>IF(E78="有",(I78/B78+J78+Z78/B78)/(0.99999-K78-L78-M78-N78),(I78/B78+J78+Z78/B78)/(0.99999-K78-M78-N78))</f>
        <v>16.795057986272</v>
      </c>
      <c r="G78" s="184">
        <f>IF(E78="有",(I78/B78+J78+Z78/B78)/(0.8-K78-L78-M78-N78-O78-P78),(I78/B78+J78+Z78/B78)/(0.8-K78-M78-N78-O78-P78))</f>
        <v>29.6172928898518</v>
      </c>
      <c r="H78" s="190">
        <v>24.99</v>
      </c>
      <c r="I78" s="184">
        <f>46/1.13</f>
        <v>40.7079646017699</v>
      </c>
      <c r="J78" s="9">
        <v>2.72</v>
      </c>
      <c r="K78" s="192">
        <v>0.15</v>
      </c>
      <c r="L78" s="192">
        <v>0.16</v>
      </c>
      <c r="M78" s="192">
        <v>0.03</v>
      </c>
      <c r="N78" s="192">
        <v>0.15</v>
      </c>
      <c r="O78" s="193">
        <f>0.02/H78</f>
        <v>0.000800320128051221</v>
      </c>
      <c r="P78" s="192">
        <v>0.02</v>
      </c>
      <c r="Q78" s="192"/>
      <c r="R78" s="8">
        <v>20.2</v>
      </c>
      <c r="S78" s="8">
        <v>10.7</v>
      </c>
      <c r="T78" s="8">
        <v>3.6</v>
      </c>
      <c r="U78" s="8">
        <v>0.32</v>
      </c>
      <c r="V78" s="184">
        <f>R78*S78*T78/6000</f>
        <v>0.129684</v>
      </c>
      <c r="W78" s="184">
        <f>MAX(U78:V78)</f>
        <v>0.32</v>
      </c>
      <c r="X78" s="9" t="s">
        <v>14</v>
      </c>
      <c r="Y78" s="200">
        <v>37.187</v>
      </c>
      <c r="Z78" s="184">
        <f>W78*Y78</f>
        <v>11.89984</v>
      </c>
      <c r="AA78" s="184">
        <f>H78-SUM(K78:P78)*H78-J78-I78/B78-Z78/B78</f>
        <v>3.65978837758112</v>
      </c>
      <c r="AB78" s="202">
        <f>AA78/H78</f>
        <v>0.146450115149305</v>
      </c>
      <c r="AC78" s="8"/>
      <c r="AD78" s="203">
        <f>J78/H78</f>
        <v>0.108843537414966</v>
      </c>
      <c r="AE78" s="192">
        <f>I78/7.4/H78</f>
        <v>0.220131104343196</v>
      </c>
      <c r="AF78" s="192">
        <f>Z78/7.4/H78</f>
        <v>0.0643491991391151</v>
      </c>
      <c r="AG78" s="192">
        <v>0.15</v>
      </c>
      <c r="AH78" s="192">
        <v>0.15</v>
      </c>
      <c r="AI78" s="192">
        <v>0.02</v>
      </c>
      <c r="AJ78" s="192">
        <f>M78</f>
        <v>0.03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spans="1:75">
      <c r="A79" s="7" t="s">
        <v>151</v>
      </c>
      <c r="B79" s="7">
        <v>9</v>
      </c>
      <c r="C79" s="14" t="s">
        <v>126</v>
      </c>
      <c r="D79" s="14" t="s">
        <v>127</v>
      </c>
      <c r="E79" s="9" t="s">
        <v>108</v>
      </c>
      <c r="F79" s="184">
        <f>IF(E79="有",(I79/B79+J79+Z79/B79)/(0.99999-K79-L79-M79-N79),(I79/B79+J79+Z79/B79)/(0.99999-K79-M79-N79))</f>
        <v>16.795057986272</v>
      </c>
      <c r="G79" s="184">
        <f>IF(E79="有",(I79/B79+J79+Z79/B79)/(0.8-K79-L79-M79-N79-O79-P79),(I79/B79+J79+Z79/B79)/(0.8-K79-M79-N79-O79-P79))</f>
        <v>29.6378077810932</v>
      </c>
      <c r="H79" s="190">
        <v>19.99</v>
      </c>
      <c r="I79" s="184">
        <f>46/1.13</f>
        <v>40.7079646017699</v>
      </c>
      <c r="J79" s="9">
        <v>2.72</v>
      </c>
      <c r="K79" s="192">
        <v>0.15</v>
      </c>
      <c r="L79" s="192">
        <v>0.16</v>
      </c>
      <c r="M79" s="192">
        <v>0.03</v>
      </c>
      <c r="N79" s="192">
        <v>0.15</v>
      </c>
      <c r="O79" s="193">
        <f>0.02/H79</f>
        <v>0.00100050025012506</v>
      </c>
      <c r="P79" s="192">
        <v>0.02</v>
      </c>
      <c r="Q79" s="192"/>
      <c r="R79" s="8">
        <v>20.2</v>
      </c>
      <c r="S79" s="8">
        <v>10.7</v>
      </c>
      <c r="T79" s="8">
        <v>3.6</v>
      </c>
      <c r="U79" s="8">
        <v>0.32</v>
      </c>
      <c r="V79" s="184">
        <f>R79*S79*T79/6000</f>
        <v>0.129684</v>
      </c>
      <c r="W79" s="184">
        <f>MAX(U79:V79)</f>
        <v>0.32</v>
      </c>
      <c r="X79" s="9" t="s">
        <v>14</v>
      </c>
      <c r="Y79" s="200">
        <v>37.187</v>
      </c>
      <c r="Z79" s="184">
        <f>W79*Y79</f>
        <v>11.89984</v>
      </c>
      <c r="AA79" s="184">
        <f>H79-SUM(K79:P79)*H79-J79-I79/B79-Z79/B79</f>
        <v>1.20978837758112</v>
      </c>
      <c r="AB79" s="202">
        <f>AA79/H79</f>
        <v>0.0605196787184152</v>
      </c>
      <c r="AC79" s="8"/>
      <c r="AD79" s="203">
        <f>J79/H79</f>
        <v>0.136068034017009</v>
      </c>
      <c r="AE79" s="192">
        <f>I79/7.4/H79</f>
        <v>0.275191410582115</v>
      </c>
      <c r="AF79" s="192">
        <f>Z79/7.4/H79</f>
        <v>0.0804445465976231</v>
      </c>
      <c r="AG79" s="192">
        <v>0.15</v>
      </c>
      <c r="AH79" s="192">
        <v>0.15</v>
      </c>
      <c r="AI79" s="192">
        <v>0.02</v>
      </c>
      <c r="AJ79" s="192">
        <f>M79</f>
        <v>0.03</v>
      </c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spans="1:75">
      <c r="A80" s="14"/>
      <c r="B80" s="14"/>
      <c r="C80" s="14"/>
      <c r="D80" s="14"/>
      <c r="E80" s="9"/>
      <c r="F80" s="184"/>
      <c r="G80" s="184"/>
      <c r="H80" s="9"/>
      <c r="I80" s="184"/>
      <c r="J80" s="9"/>
      <c r="K80" s="192"/>
      <c r="L80" s="192"/>
      <c r="M80" s="192"/>
      <c r="N80" s="192"/>
      <c r="O80" s="193"/>
      <c r="P80" s="192"/>
      <c r="Q80" s="192"/>
      <c r="R80" s="8"/>
      <c r="S80" s="8"/>
      <c r="T80" s="8"/>
      <c r="U80" s="8"/>
      <c r="V80" s="184"/>
      <c r="W80" s="184"/>
      <c r="X80" s="9"/>
      <c r="Y80" s="200"/>
      <c r="Z80" s="184"/>
      <c r="AA80" s="184"/>
      <c r="AB80" s="202"/>
      <c r="AC80" s="8"/>
      <c r="AD80" s="203"/>
      <c r="AE80" s="192"/>
      <c r="AF80" s="192"/>
      <c r="AG80" s="192"/>
      <c r="AH80" s="192"/>
      <c r="AI80" s="192"/>
      <c r="AJ80" s="192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spans="1:36">
      <c r="A81" s="7" t="s">
        <v>152</v>
      </c>
      <c r="B81" s="7">
        <v>9</v>
      </c>
      <c r="C81" s="7" t="s">
        <v>126</v>
      </c>
      <c r="D81" s="7" t="s">
        <v>127</v>
      </c>
      <c r="E81" s="9" t="s">
        <v>108</v>
      </c>
      <c r="F81" s="184">
        <f>IF(E81="有",(I81/B81+J81+Z81/B81)/(0.99999-K81-L81-M81-N81),(I81/B81+J81+Z81/B81)/(0.99999-K81-M81-N81))</f>
        <v>15.2263997772876</v>
      </c>
      <c r="G81" s="184">
        <f>IF(E81="有",(I81/B81+J81+Z81/B81)/(0.8-K81-L81-M81-N81-O81-P81),(I81/B81+J81+Z81/B81)/(0.8-K81-M81-N81-O81-P81))</f>
        <v>26.8386552599765</v>
      </c>
      <c r="H81" s="190">
        <v>29.99</v>
      </c>
      <c r="I81" s="184">
        <f>46/1.13</f>
        <v>40.7079646017699</v>
      </c>
      <c r="J81" s="9">
        <v>2.72</v>
      </c>
      <c r="K81" s="192">
        <v>0.15</v>
      </c>
      <c r="L81" s="192">
        <v>0.16</v>
      </c>
      <c r="M81" s="192">
        <v>0.03</v>
      </c>
      <c r="N81" s="192">
        <v>0.15</v>
      </c>
      <c r="O81" s="193">
        <f>0.02/H81</f>
        <v>0.000666888962987663</v>
      </c>
      <c r="P81" s="192">
        <v>0.02</v>
      </c>
      <c r="Q81" s="192"/>
      <c r="R81" s="8">
        <v>20.2</v>
      </c>
      <c r="S81" s="8">
        <v>10.7</v>
      </c>
      <c r="T81" s="8">
        <v>3.6</v>
      </c>
      <c r="U81" s="8">
        <v>0.32</v>
      </c>
      <c r="V81" s="184">
        <f>R81*S81*T81/6000</f>
        <v>0.129684</v>
      </c>
      <c r="W81" s="184">
        <f>MAX(U81:V81)</f>
        <v>0.32</v>
      </c>
      <c r="X81" s="9" t="s">
        <v>16</v>
      </c>
      <c r="Y81" s="200">
        <v>14.687</v>
      </c>
      <c r="Z81" s="184">
        <f>W81*Y81</f>
        <v>4.69984</v>
      </c>
      <c r="AA81" s="184">
        <f>H81-SUM(K81:P81)*H81-J81-I81/B81-Z81/B81</f>
        <v>6.90978837758112</v>
      </c>
      <c r="AB81" s="202">
        <f>AA81/H81</f>
        <v>0.230403080279464</v>
      </c>
      <c r="AC81" s="8"/>
      <c r="AD81" s="203">
        <f>J81/H81</f>
        <v>0.0906968989663221</v>
      </c>
      <c r="AE81" s="192">
        <f>I81/7.4/H81</f>
        <v>0.183430353369006</v>
      </c>
      <c r="AF81" s="192">
        <f>Z81/7.4/H81</f>
        <v>0.0211775096203239</v>
      </c>
      <c r="AG81" s="192">
        <v>0.15</v>
      </c>
      <c r="AH81" s="192">
        <v>0.15</v>
      </c>
      <c r="AI81" s="192">
        <v>0.02</v>
      </c>
      <c r="AJ81" s="192">
        <f>M81</f>
        <v>0.03</v>
      </c>
    </row>
    <row r="82" spans="1:36">
      <c r="A82" s="7" t="s">
        <v>153</v>
      </c>
      <c r="B82" s="7">
        <v>9</v>
      </c>
      <c r="C82" s="14" t="s">
        <v>126</v>
      </c>
      <c r="D82" s="14" t="s">
        <v>127</v>
      </c>
      <c r="E82" s="9" t="s">
        <v>108</v>
      </c>
      <c r="F82" s="184">
        <f>IF(E82="有",(I82/B82+J82+Z82/B82)/(0.99999-K82-L82-M82-N82),(I82/B82+J82+Z82/B82)/(0.99999-K82-M82-N82))</f>
        <v>15.2263997772876</v>
      </c>
      <c r="G82" s="184">
        <f>IF(E82="有",(I82/B82+J82+Z82/B82)/(0.8-K82-L82-M82-N82-O82-P82),(I82/B82+J82+Z82/B82)/(0.8-K82-M82-N82-O82-P82))</f>
        <v>26.8510380988568</v>
      </c>
      <c r="H82" s="190">
        <v>24.99</v>
      </c>
      <c r="I82" s="184">
        <f>46/1.13</f>
        <v>40.7079646017699</v>
      </c>
      <c r="J82" s="9">
        <v>2.72</v>
      </c>
      <c r="K82" s="192">
        <v>0.15</v>
      </c>
      <c r="L82" s="192">
        <v>0.16</v>
      </c>
      <c r="M82" s="192">
        <v>0.03</v>
      </c>
      <c r="N82" s="192">
        <v>0.15</v>
      </c>
      <c r="O82" s="193">
        <f>0.02/H82</f>
        <v>0.000800320128051221</v>
      </c>
      <c r="P82" s="192">
        <v>0.02</v>
      </c>
      <c r="Q82" s="192"/>
      <c r="R82" s="8">
        <v>20.2</v>
      </c>
      <c r="S82" s="8">
        <v>10.7</v>
      </c>
      <c r="T82" s="8">
        <v>3.6</v>
      </c>
      <c r="U82" s="8">
        <v>0.32</v>
      </c>
      <c r="V82" s="184">
        <f>R82*S82*T82/6000</f>
        <v>0.129684</v>
      </c>
      <c r="W82" s="184">
        <f>MAX(U82:V82)</f>
        <v>0.32</v>
      </c>
      <c r="X82" s="9" t="s">
        <v>16</v>
      </c>
      <c r="Y82" s="200">
        <v>14.687</v>
      </c>
      <c r="Z82" s="184">
        <f>W82*Y82</f>
        <v>4.69984</v>
      </c>
      <c r="AA82" s="184">
        <f>H82-SUM(K82:P82)*H82-J82-I82/B82-Z82/B82</f>
        <v>4.45978837758112</v>
      </c>
      <c r="AB82" s="202">
        <f>AA82/H82</f>
        <v>0.178462920271353</v>
      </c>
      <c r="AC82" s="8"/>
      <c r="AD82" s="203">
        <f>J82/H82</f>
        <v>0.108843537414966</v>
      </c>
      <c r="AE82" s="192">
        <f>I82/7.4/H82</f>
        <v>0.220131104343196</v>
      </c>
      <c r="AF82" s="192">
        <f>Z82/7.4/H82</f>
        <v>0.0254147064231098</v>
      </c>
      <c r="AG82" s="192">
        <v>0.15</v>
      </c>
      <c r="AH82" s="192">
        <v>0.15</v>
      </c>
      <c r="AI82" s="192">
        <v>0.02</v>
      </c>
      <c r="AJ82" s="192">
        <f>M82</f>
        <v>0.03</v>
      </c>
    </row>
    <row r="83" spans="1:36">
      <c r="A83" s="7" t="s">
        <v>154</v>
      </c>
      <c r="B83" s="7">
        <v>9</v>
      </c>
      <c r="C83" s="14" t="s">
        <v>126</v>
      </c>
      <c r="D83" s="14" t="s">
        <v>127</v>
      </c>
      <c r="E83" s="9" t="s">
        <v>108</v>
      </c>
      <c r="F83" s="184">
        <f>IF(E83="有",(I83/B83+J83+Z83/B83)/(0.99999-K83-L83-M83-N83),(I83/B83+J83+Z83/B83)/(0.99999-K83-M83-N83))</f>
        <v>15.2263997772876</v>
      </c>
      <c r="G83" s="184">
        <f>IF(E83="有",(I83/B83+J83+Z83/B83)/(0.8-K83-L83-M83-N83-O83-P83),(I83/B83+J83+Z83/B83)/(0.8-K83-M83-N83-O83-P83))</f>
        <v>26.869636899509</v>
      </c>
      <c r="H83" s="190">
        <v>19.99</v>
      </c>
      <c r="I83" s="184">
        <f>46/1.13</f>
        <v>40.7079646017699</v>
      </c>
      <c r="J83" s="9">
        <v>2.72</v>
      </c>
      <c r="K83" s="192">
        <v>0.15</v>
      </c>
      <c r="L83" s="192">
        <v>0.16</v>
      </c>
      <c r="M83" s="192">
        <v>0.03</v>
      </c>
      <c r="N83" s="192">
        <v>0.15</v>
      </c>
      <c r="O83" s="193">
        <f>0.02/H83</f>
        <v>0.00100050025012506</v>
      </c>
      <c r="P83" s="192">
        <v>0.02</v>
      </c>
      <c r="Q83" s="192"/>
      <c r="R83" s="8">
        <v>20.2</v>
      </c>
      <c r="S83" s="8">
        <v>10.7</v>
      </c>
      <c r="T83" s="8">
        <v>3.6</v>
      </c>
      <c r="U83" s="8">
        <v>0.32</v>
      </c>
      <c r="V83" s="184">
        <f>R83*S83*T83/6000</f>
        <v>0.129684</v>
      </c>
      <c r="W83" s="184">
        <f>MAX(U83:V83)</f>
        <v>0.32</v>
      </c>
      <c r="X83" s="9" t="s">
        <v>16</v>
      </c>
      <c r="Y83" s="200">
        <v>14.687</v>
      </c>
      <c r="Z83" s="184">
        <f>W83*Y83</f>
        <v>4.69984</v>
      </c>
      <c r="AA83" s="184">
        <f>H83-SUM(K83:P83)*H83-J83-I83/B83-Z83/B83</f>
        <v>2.00978837758112</v>
      </c>
      <c r="AB83" s="202">
        <f>AA83/H83</f>
        <v>0.100539688723418</v>
      </c>
      <c r="AC83" s="8"/>
      <c r="AD83" s="203">
        <f>J83/H83</f>
        <v>0.136068034017009</v>
      </c>
      <c r="AE83" s="192">
        <f>I83/7.4/H83</f>
        <v>0.275191410582115</v>
      </c>
      <c r="AF83" s="192">
        <f>Z83/7.4/H83</f>
        <v>0.0317715614564039</v>
      </c>
      <c r="AG83" s="192">
        <v>0.15</v>
      </c>
      <c r="AH83" s="192">
        <v>0.15</v>
      </c>
      <c r="AI83" s="192">
        <v>0.02</v>
      </c>
      <c r="AJ83" s="192">
        <f>M83</f>
        <v>0.03</v>
      </c>
    </row>
    <row r="84" spans="1:36">
      <c r="A84" s="7"/>
      <c r="B84" s="7"/>
      <c r="C84" s="14"/>
      <c r="D84" s="14"/>
      <c r="E84" s="9"/>
      <c r="F84" s="184"/>
      <c r="G84" s="184"/>
      <c r="H84" s="9"/>
      <c r="I84" s="184"/>
      <c r="J84" s="9"/>
      <c r="K84" s="192"/>
      <c r="L84" s="192"/>
      <c r="M84" s="192"/>
      <c r="N84" s="192"/>
      <c r="O84" s="193"/>
      <c r="P84" s="192"/>
      <c r="Q84" s="192"/>
      <c r="R84" s="8"/>
      <c r="S84" s="8"/>
      <c r="T84" s="8"/>
      <c r="U84" s="8"/>
      <c r="V84" s="184"/>
      <c r="W84" s="184"/>
      <c r="X84" s="9"/>
      <c r="Y84" s="200"/>
      <c r="Z84" s="184"/>
      <c r="AA84" s="184"/>
      <c r="AB84" s="202"/>
      <c r="AC84" s="8"/>
      <c r="AD84" s="203"/>
      <c r="AE84" s="192"/>
      <c r="AF84" s="192"/>
      <c r="AG84" s="192"/>
      <c r="AH84" s="192"/>
      <c r="AI84" s="192"/>
      <c r="AJ84" s="192"/>
    </row>
    <row r="85" spans="1:36">
      <c r="A85" s="7" t="s">
        <v>155</v>
      </c>
      <c r="B85" s="7">
        <v>9</v>
      </c>
      <c r="C85" s="14" t="s">
        <v>126</v>
      </c>
      <c r="D85" s="14" t="s">
        <v>127</v>
      </c>
      <c r="E85" s="9" t="s">
        <v>108</v>
      </c>
      <c r="F85" s="184">
        <f>IF(E85="有",(I85/B85+J85+Z85/B85)/(0.99999-K85-L85-M85-N85),(I85/B85+J85+Z85/B85)/(0.99999-K85-M85-N85))</f>
        <v>15.3179396985496</v>
      </c>
      <c r="G85" s="184">
        <f>IF(E85="有",(I85/B85+J85+Z85/B85)/(0.8-K85-L85-M85-N85-O85-P85),(I85/B85+J85+Z85/B85)/(0.8-K85-M85-N85-O85-P85))</f>
        <v>27.0000071504571</v>
      </c>
      <c r="H85" s="9">
        <v>29.99</v>
      </c>
      <c r="I85" s="184">
        <f>46/1.13</f>
        <v>40.7079646017699</v>
      </c>
      <c r="J85" s="9">
        <v>2.72</v>
      </c>
      <c r="K85" s="192">
        <v>0.15</v>
      </c>
      <c r="L85" s="192">
        <v>0.16</v>
      </c>
      <c r="M85" s="192">
        <v>0.03</v>
      </c>
      <c r="N85" s="192">
        <v>0.15</v>
      </c>
      <c r="O85" s="193">
        <f>0.02/H85</f>
        <v>0.000666888962987663</v>
      </c>
      <c r="P85" s="192">
        <v>0.02</v>
      </c>
      <c r="Q85" s="192"/>
      <c r="R85" s="8">
        <v>20.2</v>
      </c>
      <c r="S85" s="8">
        <v>10.7</v>
      </c>
      <c r="T85" s="8">
        <v>3.6</v>
      </c>
      <c r="U85" s="8">
        <v>0.32</v>
      </c>
      <c r="V85" s="184">
        <f>R85*S85*T85/6000</f>
        <v>0.129684</v>
      </c>
      <c r="W85" s="184">
        <f>MAX(U85:V85)</f>
        <v>0.32</v>
      </c>
      <c r="X85" s="9" t="s">
        <v>112</v>
      </c>
      <c r="Y85" s="200">
        <v>16</v>
      </c>
      <c r="Z85" s="184">
        <f>W85*Y85</f>
        <v>5.12</v>
      </c>
      <c r="AA85" s="184">
        <f>H85-SUM(K85:P85)*H85-J85-I85/B85-Z85/B85</f>
        <v>6.86310393313668</v>
      </c>
      <c r="AB85" s="202">
        <f>AA85/H85</f>
        <v>0.228846413242303</v>
      </c>
      <c r="AC85" s="8"/>
      <c r="AD85" s="203">
        <f>J85/H85</f>
        <v>0.0906968989663221</v>
      </c>
      <c r="AE85" s="192">
        <f>I85/7.4/H85</f>
        <v>0.183430353369006</v>
      </c>
      <c r="AF85" s="192">
        <f>Z85/7.4/H85</f>
        <v>0.0230707533141678</v>
      </c>
      <c r="AG85" s="192">
        <v>0.15</v>
      </c>
      <c r="AH85" s="192">
        <v>0.15</v>
      </c>
      <c r="AI85" s="192">
        <v>0.02</v>
      </c>
      <c r="AJ85" s="192">
        <f>M85</f>
        <v>0.03</v>
      </c>
    </row>
    <row r="86" spans="1:36">
      <c r="A86" s="7" t="s">
        <v>156</v>
      </c>
      <c r="B86" s="7">
        <v>9</v>
      </c>
      <c r="C86" s="14" t="s">
        <v>126</v>
      </c>
      <c r="D86" s="14" t="s">
        <v>127</v>
      </c>
      <c r="E86" s="9" t="s">
        <v>108</v>
      </c>
      <c r="F86" s="184">
        <f>IF(E86="有",(I86/B86+J86+Z86/B86)/(0.99999-K86-L86-M86-N86),(I86/B86+J86+Z86/B86)/(0.99999-K86-M86-N86))</f>
        <v>15.3179396985496</v>
      </c>
      <c r="G86" s="184">
        <f>IF(E86="有",(I86/B86+J86+Z86/B86)/(0.8-K86-L86-M86-N86-O86-P86),(I86/B86+J86+Z86/B86)/(0.8-K86-M86-N86-O86-P86))</f>
        <v>27.011870931667</v>
      </c>
      <c r="H86" s="8">
        <v>25.19</v>
      </c>
      <c r="I86" s="184">
        <f>46/1.13</f>
        <v>40.7079646017699</v>
      </c>
      <c r="J86" s="9">
        <v>2.72</v>
      </c>
      <c r="K86" s="192">
        <v>0.15</v>
      </c>
      <c r="L86" s="192">
        <v>0.16</v>
      </c>
      <c r="M86" s="192">
        <v>0.03</v>
      </c>
      <c r="N86" s="192">
        <v>0.15</v>
      </c>
      <c r="O86" s="193">
        <f>0.02/H86</f>
        <v>0.000793965859468043</v>
      </c>
      <c r="P86" s="192">
        <v>0.02</v>
      </c>
      <c r="Q86" s="192"/>
      <c r="R86" s="8">
        <v>20.2</v>
      </c>
      <c r="S86" s="8">
        <v>10.7</v>
      </c>
      <c r="T86" s="8">
        <v>3.6</v>
      </c>
      <c r="U86" s="8">
        <v>0.32</v>
      </c>
      <c r="V86" s="184">
        <f>R86*S86*T86/6000</f>
        <v>0.129684</v>
      </c>
      <c r="W86" s="184">
        <f>MAX(U86:V86)</f>
        <v>0.32</v>
      </c>
      <c r="X86" s="9" t="s">
        <v>112</v>
      </c>
      <c r="Y86" s="200">
        <v>16</v>
      </c>
      <c r="Z86" s="184">
        <f>W86*Y86</f>
        <v>5.12</v>
      </c>
      <c r="AA86" s="184">
        <f>H86-SUM(K86:P86)*H86-J86-I86/B86-Z86/B86</f>
        <v>4.51110393313668</v>
      </c>
      <c r="AB86" s="202">
        <f>AA86/H86</f>
        <v>0.179083125571127</v>
      </c>
      <c r="AC86" s="8"/>
      <c r="AD86" s="203">
        <f>J86/H86</f>
        <v>0.107979356887654</v>
      </c>
      <c r="AE86" s="192">
        <f>I86/7.4/H86</f>
        <v>0.218383338528641</v>
      </c>
      <c r="AF86" s="192">
        <f>Z86/7.4/H86</f>
        <v>0.0274669270302458</v>
      </c>
      <c r="AG86" s="192">
        <v>0.15</v>
      </c>
      <c r="AH86" s="192">
        <v>0.15</v>
      </c>
      <c r="AI86" s="192">
        <v>0.02</v>
      </c>
      <c r="AJ86" s="192">
        <f>M86</f>
        <v>0.03</v>
      </c>
    </row>
    <row r="87" spans="1:75">
      <c r="A87" s="7" t="s">
        <v>156</v>
      </c>
      <c r="B87" s="7">
        <v>9</v>
      </c>
      <c r="C87" s="14" t="s">
        <v>126</v>
      </c>
      <c r="D87" s="14" t="s">
        <v>127</v>
      </c>
      <c r="E87" s="9" t="s">
        <v>108</v>
      </c>
      <c r="F87" s="184">
        <f>IF(E87="有",(I87/B87+J87+Z87/B87)/(0.99999-K87-L87-M87-N87),(I87/B87+J87+Z87/B87)/(0.99999-K87-M87-N87))</f>
        <v>15.3179396985496</v>
      </c>
      <c r="G87" s="184">
        <f>IF(E87="有",(I87/B87+J87+Z87/B87)/(0.8-K87-L87-M87-N87-O87-P87),(I87/B87+J87+Z87/B87)/(0.8-K87-M87-N87-O87-P87))</f>
        <v>27.0162356166764</v>
      </c>
      <c r="H87" s="8">
        <v>23.79</v>
      </c>
      <c r="I87" s="184">
        <f>46/1.13</f>
        <v>40.7079646017699</v>
      </c>
      <c r="J87" s="9">
        <v>2.72</v>
      </c>
      <c r="K87" s="192">
        <v>0.15</v>
      </c>
      <c r="L87" s="192">
        <v>0.16</v>
      </c>
      <c r="M87" s="192">
        <v>0.03</v>
      </c>
      <c r="N87" s="192">
        <v>0.15</v>
      </c>
      <c r="O87" s="193">
        <f>0.02/H87</f>
        <v>0.000840689365279529</v>
      </c>
      <c r="P87" s="192">
        <v>0.02</v>
      </c>
      <c r="Q87" s="192"/>
      <c r="R87" s="8">
        <v>20.2</v>
      </c>
      <c r="S87" s="8">
        <v>10.7</v>
      </c>
      <c r="T87" s="8">
        <v>3.6</v>
      </c>
      <c r="U87" s="8">
        <v>0.32</v>
      </c>
      <c r="V87" s="184">
        <f>R87*S87*T87/6000</f>
        <v>0.129684</v>
      </c>
      <c r="W87" s="184">
        <f>MAX(U87:V87)</f>
        <v>0.32</v>
      </c>
      <c r="X87" s="9" t="s">
        <v>112</v>
      </c>
      <c r="Y87" s="200">
        <v>16</v>
      </c>
      <c r="Z87" s="184">
        <f>W87*Y87</f>
        <v>5.12</v>
      </c>
      <c r="AA87" s="184">
        <f>H87-SUM(K87:P87)*H87-J87-I87/B87-Z87/B87</f>
        <v>3.82510393313668</v>
      </c>
      <c r="AB87" s="202">
        <f>AA87/H87</f>
        <v>0.160786209883845</v>
      </c>
      <c r="AC87" s="8"/>
      <c r="AD87" s="203">
        <f>J87/H87</f>
        <v>0.114333753678016</v>
      </c>
      <c r="AE87" s="192">
        <f>I87/7.4/H87</f>
        <v>0.23123481704651</v>
      </c>
      <c r="AF87" s="192">
        <f>Z87/7.4/H87</f>
        <v>0.0290833077718324</v>
      </c>
      <c r="AG87" s="192">
        <v>0.15</v>
      </c>
      <c r="AH87" s="192">
        <v>0.15</v>
      </c>
      <c r="AI87" s="192">
        <v>0.02</v>
      </c>
      <c r="AJ87" s="192">
        <f>M87</f>
        <v>0.03</v>
      </c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spans="1:36">
      <c r="A88" s="7" t="s">
        <v>157</v>
      </c>
      <c r="B88" s="7">
        <v>9</v>
      </c>
      <c r="C88" s="14" t="s">
        <v>126</v>
      </c>
      <c r="D88" s="14" t="s">
        <v>127</v>
      </c>
      <c r="E88" s="9" t="s">
        <v>108</v>
      </c>
      <c r="F88" s="184">
        <f>IF(E88="有",(I88/B88+J88+Z88/B88)/(0.99999-K88-L88-M88-N88),(I88/B88+J88+Z88/B88)/(0.99999-K88-M88-N88))</f>
        <v>15.3179396985496</v>
      </c>
      <c r="G88" s="184">
        <f>IF(E88="有",(I88/B88+J88+Z88/B88)/(0.8-K88-L88-M88-N88-O88-P88),(I88/B88+J88+Z88/B88)/(0.8-K88-M88-N88-O88-P88))</f>
        <v>27.0311750491766</v>
      </c>
      <c r="H88" s="9">
        <v>19.99</v>
      </c>
      <c r="I88" s="184">
        <f>46/1.13</f>
        <v>40.7079646017699</v>
      </c>
      <c r="J88" s="9">
        <v>2.72</v>
      </c>
      <c r="K88" s="192">
        <v>0.15</v>
      </c>
      <c r="L88" s="192">
        <v>0.16</v>
      </c>
      <c r="M88" s="192">
        <v>0.03</v>
      </c>
      <c r="N88" s="192">
        <v>0.15</v>
      </c>
      <c r="O88" s="193">
        <f>0.02/H88</f>
        <v>0.00100050025012506</v>
      </c>
      <c r="P88" s="192">
        <v>0.02</v>
      </c>
      <c r="Q88" s="192"/>
      <c r="R88" s="8">
        <v>20.2</v>
      </c>
      <c r="S88" s="8">
        <v>10.7</v>
      </c>
      <c r="T88" s="8">
        <v>3.6</v>
      </c>
      <c r="U88" s="8">
        <v>0.32</v>
      </c>
      <c r="V88" s="184">
        <f>R88*S88*T88/6000</f>
        <v>0.129684</v>
      </c>
      <c r="W88" s="184">
        <f>MAX(U88:V88)</f>
        <v>0.32</v>
      </c>
      <c r="X88" s="9" t="s">
        <v>112</v>
      </c>
      <c r="Y88" s="200">
        <v>16</v>
      </c>
      <c r="Z88" s="184">
        <f>W88*Y88</f>
        <v>5.12</v>
      </c>
      <c r="AA88" s="184">
        <f>H88-SUM(K88:P88)*H88-J88-I88/B88-Z88/B88</f>
        <v>1.96310393313668</v>
      </c>
      <c r="AB88" s="202">
        <f>AA88/H88</f>
        <v>0.0982042988062369</v>
      </c>
      <c r="AC88" s="8"/>
      <c r="AD88" s="203">
        <f>J88/H88</f>
        <v>0.136068034017009</v>
      </c>
      <c r="AE88" s="192">
        <f>I88/7.4/H88</f>
        <v>0.275191410582115</v>
      </c>
      <c r="AF88" s="192">
        <f>Z88/7.4/H88</f>
        <v>0.034611900544867</v>
      </c>
      <c r="AG88" s="192">
        <v>0.15</v>
      </c>
      <c r="AH88" s="192">
        <v>0.15</v>
      </c>
      <c r="AI88" s="192">
        <v>0.02</v>
      </c>
      <c r="AJ88" s="192">
        <f>M88</f>
        <v>0.03</v>
      </c>
    </row>
    <row r="89" spans="1:36">
      <c r="A89" s="7"/>
      <c r="B89" s="7"/>
      <c r="C89" s="14"/>
      <c r="D89" s="14"/>
      <c r="E89" s="9"/>
      <c r="F89" s="184"/>
      <c r="G89" s="184"/>
      <c r="H89" s="9"/>
      <c r="I89" s="184"/>
      <c r="J89" s="9"/>
      <c r="K89" s="192"/>
      <c r="L89" s="192"/>
      <c r="M89" s="192"/>
      <c r="N89" s="192"/>
      <c r="O89" s="193"/>
      <c r="P89" s="192"/>
      <c r="Q89" s="192"/>
      <c r="R89" s="8"/>
      <c r="S89" s="8"/>
      <c r="T89" s="8"/>
      <c r="U89" s="8"/>
      <c r="V89" s="184"/>
      <c r="W89" s="184"/>
      <c r="X89" s="9"/>
      <c r="Y89" s="200"/>
      <c r="Z89" s="184"/>
      <c r="AA89" s="184"/>
      <c r="AB89" s="202"/>
      <c r="AC89" s="8"/>
      <c r="AD89" s="203"/>
      <c r="AE89" s="192"/>
      <c r="AF89" s="192"/>
      <c r="AG89" s="192"/>
      <c r="AH89" s="192"/>
      <c r="AI89" s="192"/>
      <c r="AJ89" s="192"/>
    </row>
    <row r="90" spans="1:36">
      <c r="A90" s="7" t="s">
        <v>158</v>
      </c>
      <c r="B90" s="7">
        <v>9</v>
      </c>
      <c r="C90" s="14" t="s">
        <v>126</v>
      </c>
      <c r="D90" s="14" t="s">
        <v>127</v>
      </c>
      <c r="E90" s="9" t="s">
        <v>108</v>
      </c>
      <c r="F90" s="184">
        <f>IF(E90="有",(I90/B90+J90+Z90/B90)/(0.99999-K90-L90-M90-N90),(I90/B90+J90+Z90/B90)/(0.99999-K90-M90-N90))</f>
        <v>14.7470875467645</v>
      </c>
      <c r="G90" s="184">
        <f>IF(E90="有",(I90/B90+J90+Z90/B90)/(0.8-K90-L90-M90-N90-O90-P90),(I90/B90+J90+Z90/B90)/(0.8-K90-M90-N90-O90-P90))</f>
        <v>26.0004617762716</v>
      </c>
      <c r="H90" s="9">
        <v>26.99</v>
      </c>
      <c r="I90" s="184">
        <f>46/1.13</f>
        <v>40.7079646017699</v>
      </c>
      <c r="J90" s="9">
        <v>2.72</v>
      </c>
      <c r="K90" s="192">
        <v>0.15</v>
      </c>
      <c r="L90" s="192">
        <v>0.16</v>
      </c>
      <c r="M90" s="192">
        <v>0.03</v>
      </c>
      <c r="N90" s="192">
        <v>0.15</v>
      </c>
      <c r="O90" s="193">
        <f>0.02/H90</f>
        <v>0.000741015190811412</v>
      </c>
      <c r="P90" s="192">
        <v>0.02</v>
      </c>
      <c r="Q90" s="192"/>
      <c r="R90" s="8">
        <v>20.2</v>
      </c>
      <c r="S90" s="8">
        <v>10.7</v>
      </c>
      <c r="T90" s="8">
        <v>3.6</v>
      </c>
      <c r="U90" s="8">
        <v>0.32</v>
      </c>
      <c r="V90" s="184">
        <f>R90*S90*T90/6000</f>
        <v>0.129684</v>
      </c>
      <c r="W90" s="184">
        <f>MAX(U90:V90)</f>
        <v>0.32</v>
      </c>
      <c r="X90" s="9" t="s">
        <v>17</v>
      </c>
      <c r="Y90" s="200">
        <v>7.812</v>
      </c>
      <c r="Z90" s="184">
        <f>W90*Y90</f>
        <v>2.49984</v>
      </c>
      <c r="AA90" s="184">
        <f>H90-SUM(K90:P90)*H90-J90-I90/B90-Z90/B90</f>
        <v>5.68423282202556</v>
      </c>
      <c r="AB90" s="202">
        <f>AA90/H90</f>
        <v>0.210605143461488</v>
      </c>
      <c r="AC90" s="8"/>
      <c r="AD90" s="203">
        <f>J90/H90</f>
        <v>0.100778065950352</v>
      </c>
      <c r="AE90" s="192">
        <f>I90/7.4/H90</f>
        <v>0.203819055114356</v>
      </c>
      <c r="AF90" s="192">
        <f>Z90/7.4/H90</f>
        <v>0.0125163473959324</v>
      </c>
      <c r="AG90" s="192">
        <v>0.15</v>
      </c>
      <c r="AH90" s="192">
        <v>0.15</v>
      </c>
      <c r="AI90" s="192">
        <v>0.02</v>
      </c>
      <c r="AJ90" s="192">
        <f>M90</f>
        <v>0.03</v>
      </c>
    </row>
    <row r="91" spans="1:36">
      <c r="A91" s="7" t="s">
        <v>159</v>
      </c>
      <c r="B91" s="7">
        <v>9</v>
      </c>
      <c r="C91" s="14" t="s">
        <v>126</v>
      </c>
      <c r="D91" s="14" t="s">
        <v>127</v>
      </c>
      <c r="E91" s="9" t="s">
        <v>108</v>
      </c>
      <c r="F91" s="184">
        <f>IF(E91="有",(I91/B91+J91+Z91/B91)/(0.99999-K91-L91-M91-N91),(I91/B91+J91+Z91/B91)/(0.99999-K91-M91-N91))</f>
        <v>14.7470875467645</v>
      </c>
      <c r="G91" s="184">
        <f>IF(E91="有",(I91/B91+J91+Z91/B91)/(0.8-K91-L91-M91-N91-O91-P91),(I91/B91+J91+Z91/B91)/(0.8-K91-M91-N91-O91-P91))</f>
        <v>26.0156154919158</v>
      </c>
      <c r="H91" s="9">
        <v>21.99</v>
      </c>
      <c r="I91" s="184">
        <f>46/1.13</f>
        <v>40.7079646017699</v>
      </c>
      <c r="J91" s="9">
        <v>2.72</v>
      </c>
      <c r="K91" s="192">
        <v>0.15</v>
      </c>
      <c r="L91" s="192">
        <v>0.16</v>
      </c>
      <c r="M91" s="192">
        <v>0.03</v>
      </c>
      <c r="N91" s="192">
        <v>0.15</v>
      </c>
      <c r="O91" s="193">
        <f>0.02/H91</f>
        <v>0.000909504320145521</v>
      </c>
      <c r="P91" s="192">
        <v>0.02</v>
      </c>
      <c r="Q91" s="192"/>
      <c r="R91" s="8">
        <v>20.2</v>
      </c>
      <c r="S91" s="8">
        <v>10.7</v>
      </c>
      <c r="T91" s="8">
        <v>3.6</v>
      </c>
      <c r="U91" s="8">
        <v>0.32</v>
      </c>
      <c r="V91" s="184">
        <f>R91*S91*T91/6000</f>
        <v>0.129684</v>
      </c>
      <c r="W91" s="184">
        <f>MAX(U91:V91)</f>
        <v>0.32</v>
      </c>
      <c r="X91" s="9" t="s">
        <v>17</v>
      </c>
      <c r="Y91" s="200">
        <v>7.812</v>
      </c>
      <c r="Z91" s="184">
        <f>W91*Y91</f>
        <v>2.49984</v>
      </c>
      <c r="AA91" s="184">
        <f>H91-SUM(K91:P91)*H91-J91-I91/B91-Z91/B91</f>
        <v>3.23423282202557</v>
      </c>
      <c r="AB91" s="202">
        <f>AA91/H91</f>
        <v>0.147077436199435</v>
      </c>
      <c r="AC91" s="8"/>
      <c r="AD91" s="203">
        <f>J91/H91</f>
        <v>0.123692587539791</v>
      </c>
      <c r="AE91" s="192">
        <f>I91/7.4/H91</f>
        <v>0.250162632902978</v>
      </c>
      <c r="AF91" s="192">
        <f>Z91/7.4/H91</f>
        <v>0.0153622654031931</v>
      </c>
      <c r="AG91" s="192">
        <v>0.15</v>
      </c>
      <c r="AH91" s="192">
        <v>0.15</v>
      </c>
      <c r="AI91" s="192">
        <v>0.02</v>
      </c>
      <c r="AJ91" s="192">
        <f>M91</f>
        <v>0.03</v>
      </c>
    </row>
    <row r="92" spans="1:36">
      <c r="A92" s="7" t="s">
        <v>160</v>
      </c>
      <c r="B92" s="7">
        <v>9</v>
      </c>
      <c r="C92" s="14" t="s">
        <v>126</v>
      </c>
      <c r="D92" s="14" t="s">
        <v>127</v>
      </c>
      <c r="E92" s="9" t="s">
        <v>108</v>
      </c>
      <c r="F92" s="184">
        <f>IF(E92="有",(I92/B92+J92+Z92/B92)/(0.99999-K92-L92-M92-N92),(I92/B92+J92+Z92/B92)/(0.99999-K92-M92-N92))</f>
        <v>14.7470875467645</v>
      </c>
      <c r="G92" s="184">
        <f>IF(E92="有",(I92/B92+J92+Z92/B92)/(0.8-K92-L92-M92-N92-O92-P92),(I92/B92+J92+Z92/B92)/(0.8-K92-M92-N92-O92-P92))</f>
        <v>26.0285520055648</v>
      </c>
      <c r="H92" s="9">
        <v>18.99</v>
      </c>
      <c r="I92" s="184">
        <f>46/1.13</f>
        <v>40.7079646017699</v>
      </c>
      <c r="J92" s="9">
        <v>2.72</v>
      </c>
      <c r="K92" s="192">
        <v>0.15</v>
      </c>
      <c r="L92" s="192">
        <v>0.16</v>
      </c>
      <c r="M92" s="192">
        <v>0.03</v>
      </c>
      <c r="N92" s="192">
        <v>0.15</v>
      </c>
      <c r="O92" s="193">
        <f>0.02/H92</f>
        <v>0.00105318588730911</v>
      </c>
      <c r="P92" s="192">
        <v>0.02</v>
      </c>
      <c r="Q92" s="192"/>
      <c r="R92" s="8">
        <v>20.2</v>
      </c>
      <c r="S92" s="8">
        <v>10.7</v>
      </c>
      <c r="T92" s="8">
        <v>3.6</v>
      </c>
      <c r="U92" s="8">
        <v>0.32</v>
      </c>
      <c r="V92" s="184">
        <f>R92*S92*T92/6000</f>
        <v>0.129684</v>
      </c>
      <c r="W92" s="184">
        <f>MAX(U92:V92)</f>
        <v>0.32</v>
      </c>
      <c r="X92" s="9" t="s">
        <v>17</v>
      </c>
      <c r="Y92" s="200">
        <v>7.812</v>
      </c>
      <c r="Z92" s="184">
        <f>W92*Y92</f>
        <v>2.49984</v>
      </c>
      <c r="AA92" s="184">
        <f>H92-SUM(K92:P92)*H92-J92-I92/B92-Z92/B92</f>
        <v>1.76423282202556</v>
      </c>
      <c r="AB92" s="202">
        <f>AA92/H92</f>
        <v>0.0929032555042425</v>
      </c>
      <c r="AC92" s="8"/>
      <c r="AD92" s="203">
        <f>J92/H92</f>
        <v>0.143233280674039</v>
      </c>
      <c r="AE92" s="192">
        <f>I92/7.4/H92</f>
        <v>0.289682796078803</v>
      </c>
      <c r="AF92" s="192">
        <f>Z92/7.4/H92</f>
        <v>0.0177891635711541</v>
      </c>
      <c r="AG92" s="192">
        <v>0.15</v>
      </c>
      <c r="AH92" s="192">
        <v>0.15</v>
      </c>
      <c r="AI92" s="192">
        <v>0.02</v>
      </c>
      <c r="AJ92" s="192">
        <f>M92</f>
        <v>0.03</v>
      </c>
    </row>
    <row r="93" spans="6:36">
      <c r="F93" s="207"/>
      <c r="G93" s="207"/>
      <c r="I93" s="207"/>
      <c r="O93" s="211"/>
      <c r="Q93" s="7"/>
      <c r="V93" s="207"/>
      <c r="W93" s="207"/>
      <c r="X93" s="7"/>
      <c r="Y93" s="215"/>
      <c r="Z93" s="207"/>
      <c r="AA93" s="207"/>
      <c r="AB93" s="216"/>
      <c r="AD93" s="217"/>
      <c r="AE93" s="7"/>
      <c r="AF93" s="7"/>
      <c r="AH93" s="192"/>
      <c r="AI93" s="192"/>
      <c r="AJ93" s="192"/>
    </row>
    <row r="94" spans="6:36">
      <c r="F94" s="207"/>
      <c r="G94" s="207"/>
      <c r="I94" s="207"/>
      <c r="O94" s="211"/>
      <c r="Q94" s="7"/>
      <c r="V94" s="207"/>
      <c r="W94" s="207"/>
      <c r="Y94" s="215"/>
      <c r="Z94" s="207"/>
      <c r="AA94" s="207"/>
      <c r="AB94" s="216"/>
      <c r="AD94" s="217"/>
      <c r="AE94" s="7"/>
      <c r="AF94" s="7"/>
      <c r="AH94" s="192"/>
      <c r="AI94" s="192"/>
      <c r="AJ94" s="192"/>
    </row>
    <row r="95" spans="1:75">
      <c r="A95" s="7" t="s">
        <v>161</v>
      </c>
      <c r="B95" s="8">
        <v>7.5</v>
      </c>
      <c r="C95" s="9" t="s">
        <v>106</v>
      </c>
      <c r="D95" s="9" t="s">
        <v>107</v>
      </c>
      <c r="E95" s="9" t="s">
        <v>108</v>
      </c>
      <c r="F95" s="184">
        <f>IF(E95="有",(I95/B95+J95+Z95/B95)/(0.99999-K95-L95-M95-N95),(I95/B95+J95+Z95/B95)/(0.99999-K95-M95-N95))</f>
        <v>119.785424993728</v>
      </c>
      <c r="G95" s="184">
        <f>IF(E95="有",(I95/B95+J95+Z95/B95)/(0.8-K95-L95-M95-N95-O95-P95),(I95/B95+J95+Z95/B95)/(0.8-K95-M95-N95-O95-P95))</f>
        <v>238.308041694678</v>
      </c>
      <c r="H95" s="47">
        <v>159.99</v>
      </c>
      <c r="I95" s="184">
        <f>380/1.13</f>
        <v>336.283185840708</v>
      </c>
      <c r="J95" s="9">
        <v>5.69</v>
      </c>
      <c r="K95" s="192">
        <v>0.15</v>
      </c>
      <c r="L95" s="192">
        <v>0.16</v>
      </c>
      <c r="M95" s="192">
        <v>0.09</v>
      </c>
      <c r="N95" s="192">
        <v>0.15</v>
      </c>
      <c r="O95" s="193">
        <f>0.61/H95</f>
        <v>0.00381273829614351</v>
      </c>
      <c r="P95" s="192">
        <v>0.02</v>
      </c>
      <c r="Q95" s="192"/>
      <c r="R95" s="8">
        <v>38.5</v>
      </c>
      <c r="S95" s="8">
        <v>32.5</v>
      </c>
      <c r="T95" s="8">
        <v>18.3</v>
      </c>
      <c r="U95" s="8">
        <v>2.3</v>
      </c>
      <c r="V95" s="184">
        <f>R95*S95*T95/6000</f>
        <v>3.8163125</v>
      </c>
      <c r="W95" s="184">
        <f>MAX(U95:V95)</f>
        <v>3.8163125</v>
      </c>
      <c r="X95" s="8" t="s">
        <v>17</v>
      </c>
      <c r="Y95" s="200">
        <v>6.6317</v>
      </c>
      <c r="Z95" s="184">
        <f>W95*Y95</f>
        <v>25.30863960625</v>
      </c>
      <c r="AA95" s="184">
        <f>H95-SUM(K95:P95)*H95-J95-I95/B95-Z95/B95</f>
        <v>14.2834566070723</v>
      </c>
      <c r="AB95" s="202">
        <f>AA95/H95</f>
        <v>0.0892771836181778</v>
      </c>
      <c r="AC95" s="8"/>
      <c r="AD95" s="203">
        <f>J95/H95</f>
        <v>0.0355647227951747</v>
      </c>
      <c r="AE95" s="192">
        <f>I95/7.4/H95</f>
        <v>0.284040713558709</v>
      </c>
      <c r="AF95" s="192">
        <f>Z95/7.4/H95</f>
        <v>0.0213768762627478</v>
      </c>
      <c r="AG95" s="192">
        <v>0.15</v>
      </c>
      <c r="AH95" s="192">
        <v>0.15</v>
      </c>
      <c r="AI95" s="192">
        <v>0.02</v>
      </c>
      <c r="AJ95" s="192">
        <f>M95</f>
        <v>0.09</v>
      </c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</row>
    <row r="96" spans="1:75">
      <c r="A96" s="7" t="s">
        <v>162</v>
      </c>
      <c r="B96" s="8">
        <v>9</v>
      </c>
      <c r="C96" s="9" t="s">
        <v>126</v>
      </c>
      <c r="D96" s="9" t="s">
        <v>127</v>
      </c>
      <c r="E96" s="9" t="s">
        <v>108</v>
      </c>
      <c r="F96" s="184">
        <f>IF(E96="有",(I96/B96+J96+Z96/B96)/(0.99999-K96-L96-M96-N96),(I96/B96+J96+Z96/B96)/(0.99999-K96-M96-N96))</f>
        <v>100.817505931479</v>
      </c>
      <c r="G96" s="184">
        <f>IF(E96="有",(I96/B96+J96+Z96/B96)/(0.8-K96-L96-M96-N96-O96-P96),(I96/B96+J96+Z96/B96)/(0.8-K96-M96-N96-O96-P96))</f>
        <v>200.797833887252</v>
      </c>
      <c r="H96" s="8">
        <v>149.99</v>
      </c>
      <c r="I96" s="184">
        <f>380/1.13</f>
        <v>336.283185840708</v>
      </c>
      <c r="J96" s="9">
        <v>5.19</v>
      </c>
      <c r="K96" s="192">
        <v>0.15</v>
      </c>
      <c r="L96" s="192">
        <v>0.16</v>
      </c>
      <c r="M96" s="192">
        <v>0.09</v>
      </c>
      <c r="N96" s="192">
        <v>0.15</v>
      </c>
      <c r="O96" s="193">
        <f>0.61/H96</f>
        <v>0.00406693779585306</v>
      </c>
      <c r="P96" s="192">
        <v>0.02</v>
      </c>
      <c r="Q96" s="192"/>
      <c r="R96" s="9">
        <v>38.5</v>
      </c>
      <c r="S96" s="9">
        <v>32.5</v>
      </c>
      <c r="T96" s="9">
        <v>18.3</v>
      </c>
      <c r="U96" s="8">
        <v>2.3</v>
      </c>
      <c r="V96" s="184">
        <f>R96*S96*T96/6000</f>
        <v>3.8163125</v>
      </c>
      <c r="W96" s="184">
        <f>MAX(U96:V96)</f>
        <v>3.8163125</v>
      </c>
      <c r="X96" s="9" t="s">
        <v>17</v>
      </c>
      <c r="Y96" s="200">
        <v>6.6317</v>
      </c>
      <c r="Z96" s="184">
        <f>W96*Y96</f>
        <v>25.30863960625</v>
      </c>
      <c r="AA96" s="184">
        <f>H96-SUM(K96:P96)*H96-J96-I96/B96-Z96/B96</f>
        <v>18.5188305058935</v>
      </c>
      <c r="AB96" s="202">
        <f>AA96/H96</f>
        <v>0.123467101179369</v>
      </c>
      <c r="AC96" s="8"/>
      <c r="AD96" s="203">
        <f>J96/H96</f>
        <v>0.0346023068204547</v>
      </c>
      <c r="AE96" s="192">
        <f>I96/7.4/H96</f>
        <v>0.302978023616627</v>
      </c>
      <c r="AF96" s="192">
        <f>Z96/7.4/H96</f>
        <v>0.0228020963616043</v>
      </c>
      <c r="AG96" s="192">
        <v>0.15</v>
      </c>
      <c r="AH96" s="192">
        <v>0.15</v>
      </c>
      <c r="AI96" s="192">
        <v>0.02</v>
      </c>
      <c r="AJ96" s="192">
        <f>M96</f>
        <v>0.09</v>
      </c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spans="1:75">
      <c r="A97" s="7"/>
      <c r="B97" s="9"/>
      <c r="C97" s="9"/>
      <c r="D97" s="9"/>
      <c r="E97" s="9"/>
      <c r="F97" s="184"/>
      <c r="G97" s="184"/>
      <c r="H97" s="184"/>
      <c r="I97" s="184"/>
      <c r="J97" s="184"/>
      <c r="K97" s="192"/>
      <c r="L97" s="192"/>
      <c r="M97" s="192"/>
      <c r="N97" s="192"/>
      <c r="O97" s="193"/>
      <c r="P97" s="192"/>
      <c r="Q97" s="192"/>
      <c r="R97" s="8"/>
      <c r="S97" s="8"/>
      <c r="T97" s="8"/>
      <c r="U97" s="8"/>
      <c r="V97" s="184"/>
      <c r="W97" s="184"/>
      <c r="X97" s="8"/>
      <c r="Y97" s="200"/>
      <c r="Z97" s="184"/>
      <c r="AA97" s="184"/>
      <c r="AB97" s="202"/>
      <c r="AC97" s="8"/>
      <c r="AD97" s="203"/>
      <c r="AE97" s="192"/>
      <c r="AF97" s="192"/>
      <c r="AG97" s="192"/>
      <c r="AH97" s="192"/>
      <c r="AI97" s="192"/>
      <c r="AJ97" s="192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</row>
    <row r="98" spans="1:75">
      <c r="A98" s="7"/>
      <c r="B98" s="9"/>
      <c r="C98" s="9"/>
      <c r="D98" s="9"/>
      <c r="E98" s="9"/>
      <c r="F98" s="184"/>
      <c r="G98" s="184"/>
      <c r="H98" s="184"/>
      <c r="I98" s="184"/>
      <c r="J98" s="184"/>
      <c r="K98" s="192"/>
      <c r="L98" s="192"/>
      <c r="M98" s="192"/>
      <c r="N98" s="192"/>
      <c r="O98" s="193"/>
      <c r="P98" s="192"/>
      <c r="Q98" s="192"/>
      <c r="R98" s="8"/>
      <c r="S98" s="8"/>
      <c r="T98" s="8"/>
      <c r="U98" s="8"/>
      <c r="V98" s="184"/>
      <c r="W98" s="184"/>
      <c r="X98" s="8"/>
      <c r="Y98" s="200"/>
      <c r="Z98" s="184"/>
      <c r="AA98" s="184"/>
      <c r="AB98" s="202"/>
      <c r="AC98" s="8"/>
      <c r="AD98" s="203"/>
      <c r="AE98" s="192"/>
      <c r="AF98" s="192"/>
      <c r="AG98" s="192"/>
      <c r="AH98" s="192"/>
      <c r="AI98" s="192"/>
      <c r="AJ98" s="192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</row>
    <row r="99" spans="1:75">
      <c r="A99" s="7" t="s">
        <v>163</v>
      </c>
      <c r="B99" s="9">
        <v>7.4</v>
      </c>
      <c r="C99" s="9" t="s">
        <v>106</v>
      </c>
      <c r="D99" s="9" t="s">
        <v>107</v>
      </c>
      <c r="E99" s="9" t="s">
        <v>108</v>
      </c>
      <c r="F99" s="184">
        <f>IF(E99="有",(I99/B99+J99+Z99/B99)/(0.99999-K99-L99-M99-N99),(I99/B99+J99+Z99/B99)/(0.99999-K99-M99-N99))</f>
        <v>83.7497349083832</v>
      </c>
      <c r="G99" s="184">
        <f>IF(E99="有",(I99/B99+J99+Z99/B99)/(0.8-K99-L99-M99-N99-O99-P99),(I99/B99+J99+Z99/B99)/(0.8-K99-M99-N99-O99-P99))</f>
        <v>160.458057635993</v>
      </c>
      <c r="H99" s="47">
        <v>129.99</v>
      </c>
      <c r="I99" s="184">
        <f>240/1.13</f>
        <v>212.389380530973</v>
      </c>
      <c r="J99" s="8">
        <v>6.89</v>
      </c>
      <c r="K99" s="192">
        <v>0.15</v>
      </c>
      <c r="L99" s="192">
        <v>0.16</v>
      </c>
      <c r="M99" s="192">
        <v>0.07</v>
      </c>
      <c r="N99" s="192">
        <v>0.15</v>
      </c>
      <c r="O99" s="193">
        <f>0.61/H99</f>
        <v>0.00469266866682052</v>
      </c>
      <c r="P99" s="192">
        <v>0.02</v>
      </c>
      <c r="Q99" s="192"/>
      <c r="R99" s="8">
        <v>43.5</v>
      </c>
      <c r="S99" s="8">
        <v>34</v>
      </c>
      <c r="T99" s="8">
        <v>19</v>
      </c>
      <c r="U99" s="8">
        <v>4</v>
      </c>
      <c r="V99" s="184">
        <f>R99*S99*T99/5000</f>
        <v>5.6202</v>
      </c>
      <c r="W99" s="184">
        <f>MAX(U99:V99)</f>
        <v>5.6202</v>
      </c>
      <c r="X99" s="8" t="s">
        <v>17</v>
      </c>
      <c r="Y99" s="200">
        <v>6.6317</v>
      </c>
      <c r="Z99" s="184">
        <v>27.9</v>
      </c>
      <c r="AA99" s="184">
        <f>H99-SUM(K99:P99)*H99-J99-I99/B99-Z99/B99</f>
        <v>18.523962090409</v>
      </c>
      <c r="AB99" s="202">
        <f>AA99/H99</f>
        <v>0.142502977847596</v>
      </c>
      <c r="AC99" s="8"/>
      <c r="AD99" s="203">
        <f>J99/H99</f>
        <v>0.0530040772367105</v>
      </c>
      <c r="AE99" s="192">
        <f>I99/7.4/H99</f>
        <v>0.220795966146017</v>
      </c>
      <c r="AF99" s="192">
        <f>Z99/7.4/H99</f>
        <v>0.0290043101028561</v>
      </c>
      <c r="AG99" s="192">
        <v>0.15</v>
      </c>
      <c r="AH99" s="192">
        <v>0.15</v>
      </c>
      <c r="AI99" s="192">
        <v>0.02</v>
      </c>
      <c r="AJ99" s="192">
        <f>M99</f>
        <v>0.07</v>
      </c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</row>
    <row r="100" spans="1:75">
      <c r="A100" s="7" t="s">
        <v>164</v>
      </c>
      <c r="B100" s="8">
        <v>9</v>
      </c>
      <c r="C100" s="9" t="s">
        <v>126</v>
      </c>
      <c r="D100" s="9" t="s">
        <v>127</v>
      </c>
      <c r="E100" s="9" t="s">
        <v>108</v>
      </c>
      <c r="F100" s="184">
        <f>IF(E100="有",(I100/B100+J100+Z100/B100)/(0.99999-K100-L100-M100-N100),(I100/B100+J100+Z100/B100)/(0.99999-K100-M100-N100))</f>
        <v>68.5500113451235</v>
      </c>
      <c r="G100" s="184">
        <f>IF(E100="有",(I100/B100+J100+Z100/B100)/(0.8-K100-L100-M100-N100-O100-P100),(I100/B100+J100+Z100/B100)/(0.8-K100-M100-N100-O100-P100))</f>
        <v>126.790338244489</v>
      </c>
      <c r="H100" s="47">
        <v>119.99</v>
      </c>
      <c r="I100" s="184">
        <f>240/1.13</f>
        <v>212.389380530973</v>
      </c>
      <c r="J100" s="8">
        <v>6.89</v>
      </c>
      <c r="K100" s="192">
        <v>0.15</v>
      </c>
      <c r="L100" s="192">
        <v>0.16</v>
      </c>
      <c r="M100" s="192">
        <v>0.05</v>
      </c>
      <c r="N100" s="192">
        <v>0.15</v>
      </c>
      <c r="O100" s="193">
        <f>0.61/H100</f>
        <v>0.00508375697974831</v>
      </c>
      <c r="P100" s="192">
        <v>0.02</v>
      </c>
      <c r="Q100" s="192"/>
      <c r="R100" s="8">
        <v>43.5</v>
      </c>
      <c r="S100" s="8">
        <v>34</v>
      </c>
      <c r="T100" s="8">
        <v>19</v>
      </c>
      <c r="U100" s="8">
        <v>4</v>
      </c>
      <c r="V100" s="184">
        <f>R100*S100*T100/5000</f>
        <v>5.6202</v>
      </c>
      <c r="W100" s="184">
        <f>MAX(U100:V100)</f>
        <v>5.6202</v>
      </c>
      <c r="X100" s="8" t="s">
        <v>17</v>
      </c>
      <c r="Y100" s="200">
        <v>6.6317</v>
      </c>
      <c r="Z100" s="184">
        <v>27.9</v>
      </c>
      <c r="AA100" s="184">
        <f>H100-SUM(K100:P100)*H100-J100-I100/B100-Z100/B100</f>
        <v>22.1964799410029</v>
      </c>
      <c r="AB100" s="202">
        <f>AA100/H100</f>
        <v>0.184986081681831</v>
      </c>
      <c r="AC100" s="8"/>
      <c r="AD100" s="203">
        <f>J100/H100</f>
        <v>0.057421451787649</v>
      </c>
      <c r="AE100" s="192">
        <f>I100/7.4/H100</f>
        <v>0.239197163424625</v>
      </c>
      <c r="AF100" s="192">
        <f>Z100/7.4/H100</f>
        <v>0.0314215373803673</v>
      </c>
      <c r="AG100" s="192">
        <v>0.15</v>
      </c>
      <c r="AH100" s="192">
        <v>0.15</v>
      </c>
      <c r="AI100" s="192">
        <v>0.02</v>
      </c>
      <c r="AJ100" s="192">
        <f>M100</f>
        <v>0.05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</row>
    <row r="101" spans="1:75">
      <c r="A101" s="7"/>
      <c r="B101" s="9"/>
      <c r="C101" s="9"/>
      <c r="D101" s="9"/>
      <c r="E101" s="9"/>
      <c r="F101" s="184"/>
      <c r="G101" s="184"/>
      <c r="H101" s="184"/>
      <c r="I101" s="184"/>
      <c r="J101" s="8"/>
      <c r="K101" s="192"/>
      <c r="L101" s="192"/>
      <c r="M101" s="192"/>
      <c r="N101" s="192"/>
      <c r="O101" s="193"/>
      <c r="P101" s="192"/>
      <c r="Q101" s="192"/>
      <c r="R101" s="9"/>
      <c r="S101" s="9"/>
      <c r="T101" s="9"/>
      <c r="U101" s="9"/>
      <c r="V101" s="184"/>
      <c r="W101" s="184"/>
      <c r="X101" s="9"/>
      <c r="Y101" s="200"/>
      <c r="Z101" s="184"/>
      <c r="AA101" s="184"/>
      <c r="AB101" s="202"/>
      <c r="AC101" s="8"/>
      <c r="AD101" s="203"/>
      <c r="AE101" s="192"/>
      <c r="AF101" s="192"/>
      <c r="AG101" s="192"/>
      <c r="AH101" s="192"/>
      <c r="AI101" s="192"/>
      <c r="AJ101" s="192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</row>
    <row r="102" spans="1:75">
      <c r="A102" s="7" t="s">
        <v>165</v>
      </c>
      <c r="B102" s="9">
        <v>7.4</v>
      </c>
      <c r="C102" s="9" t="s">
        <v>106</v>
      </c>
      <c r="D102" s="9" t="s">
        <v>107</v>
      </c>
      <c r="E102" s="9" t="s">
        <v>108</v>
      </c>
      <c r="F102" s="184">
        <f>IF(E102="有",(I102/B102+J102+Z102/B102)/(0.99999-K102-L102-M102-N102),(I102/B102+J102+Z102/B102)/(0.99999-K102-M102-N102))</f>
        <v>88.8299673705953</v>
      </c>
      <c r="G102" s="184">
        <f>IF(E102="有",(I102/B102+J102+Z102/B102)/(0.8-K102-L102-M102-N102-O102-P102),(I102/B102+J102+Z102/B102)/(0.8-K102-M102-N102-O102-P102))</f>
        <v>170.888074798777</v>
      </c>
      <c r="H102" s="47">
        <v>129.99</v>
      </c>
      <c r="I102" s="184">
        <f>270/1.13</f>
        <v>238.938053097345</v>
      </c>
      <c r="J102" s="8">
        <v>5.69</v>
      </c>
      <c r="K102" s="192">
        <v>0.15</v>
      </c>
      <c r="L102" s="192">
        <v>0.16</v>
      </c>
      <c r="M102" s="192">
        <v>0.07</v>
      </c>
      <c r="N102" s="192">
        <v>0.15</v>
      </c>
      <c r="O102" s="193">
        <f>0.74/H102</f>
        <v>0.00569274559581506</v>
      </c>
      <c r="P102" s="192">
        <v>0.02</v>
      </c>
      <c r="Q102" s="192"/>
      <c r="R102" s="8">
        <v>43.5</v>
      </c>
      <c r="S102" s="8">
        <v>32.3</v>
      </c>
      <c r="T102" s="8">
        <v>19</v>
      </c>
      <c r="U102" s="8">
        <v>3.05</v>
      </c>
      <c r="V102" s="184">
        <f>R102*S102*T102/5000</f>
        <v>5.33919</v>
      </c>
      <c r="W102" s="184">
        <f>MAX(U102:V102)</f>
        <v>5.33919</v>
      </c>
      <c r="X102" s="9" t="s">
        <v>17</v>
      </c>
      <c r="Y102" s="200">
        <v>6.6317</v>
      </c>
      <c r="Z102" s="184">
        <v>27.9</v>
      </c>
      <c r="AA102" s="184">
        <f>H102-SUM(K102:P102)*H102-J102-I102/B102-Z102/B102</f>
        <v>16.0063036354939</v>
      </c>
      <c r="AB102" s="202">
        <f>AA102/H102</f>
        <v>0.123134884494914</v>
      </c>
      <c r="AC102" s="8"/>
      <c r="AD102" s="203">
        <f>J102/H102</f>
        <v>0.0437725978921455</v>
      </c>
      <c r="AE102" s="192">
        <f>I102/7.4/H102</f>
        <v>0.248395461914269</v>
      </c>
      <c r="AF102" s="192">
        <f>Z102/7.4/H102</f>
        <v>0.0290043101028561</v>
      </c>
      <c r="AG102" s="192">
        <v>0.15</v>
      </c>
      <c r="AH102" s="192">
        <v>0.15</v>
      </c>
      <c r="AI102" s="192">
        <v>0.02</v>
      </c>
      <c r="AJ102" s="192">
        <f>M102</f>
        <v>0.07</v>
      </c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</row>
    <row r="103" spans="1:75">
      <c r="A103" s="7" t="s">
        <v>166</v>
      </c>
      <c r="B103" s="8">
        <v>9</v>
      </c>
      <c r="C103" s="9" t="s">
        <v>126</v>
      </c>
      <c r="D103" s="9" t="s">
        <v>127</v>
      </c>
      <c r="E103" s="9" t="s">
        <v>108</v>
      </c>
      <c r="F103" s="184">
        <f>IF(E103="有",(I103/B103+J103+Z103/B103)/(0.99999-K103-L103-M103-N103),(I103/B103+J103+Z103/B103)/(0.99999-K103-M103-N103))</f>
        <v>71.1007828044893</v>
      </c>
      <c r="G103" s="184">
        <f>IF(E103="有",(I103/B103+J103+Z103/B103)/(0.8-K103-L103-M103-N103-O103-P103),(I103/B103+J103+Z103/B103)/(0.8-K103-M103-N103-O103-P103))</f>
        <v>131.964918766402</v>
      </c>
      <c r="H103" s="47">
        <v>119.99</v>
      </c>
      <c r="I103" s="184">
        <f>270/1.13</f>
        <v>238.938053097345</v>
      </c>
      <c r="J103" s="8">
        <v>5.19</v>
      </c>
      <c r="K103" s="192">
        <v>0.15</v>
      </c>
      <c r="L103" s="192">
        <v>0.16</v>
      </c>
      <c r="M103" s="192">
        <v>0.05</v>
      </c>
      <c r="N103" s="192">
        <v>0.15</v>
      </c>
      <c r="O103" s="193">
        <f>0.72/H103</f>
        <v>0.00600050004167014</v>
      </c>
      <c r="P103" s="192">
        <v>0.02</v>
      </c>
      <c r="Q103" s="192"/>
      <c r="R103" s="8">
        <v>43.5</v>
      </c>
      <c r="S103" s="8">
        <v>32.3</v>
      </c>
      <c r="T103" s="8">
        <v>19</v>
      </c>
      <c r="U103" s="8">
        <v>3.05</v>
      </c>
      <c r="V103" s="184">
        <f>R103*S103*T103/5000</f>
        <v>5.33919</v>
      </c>
      <c r="W103" s="184">
        <f>MAX(U103:V103)</f>
        <v>5.33919</v>
      </c>
      <c r="X103" s="9" t="s">
        <v>17</v>
      </c>
      <c r="Y103" s="200">
        <v>6.6317</v>
      </c>
      <c r="Z103" s="184">
        <v>27.9</v>
      </c>
      <c r="AA103" s="184">
        <f>H103-SUM(K103:P103)*H103-J103-I103/B103-Z103/B103</f>
        <v>20.8366274336283</v>
      </c>
      <c r="AB103" s="202">
        <f>AA103/H103</f>
        <v>0.173653033032989</v>
      </c>
      <c r="AC103" s="8"/>
      <c r="AD103" s="203">
        <f>J103/H103</f>
        <v>0.0432536044670389</v>
      </c>
      <c r="AE103" s="192">
        <f>I103/7.4/H103</f>
        <v>0.269096808852703</v>
      </c>
      <c r="AF103" s="192">
        <f>Z103/7.4/H103</f>
        <v>0.0314215373803673</v>
      </c>
      <c r="AG103" s="192">
        <v>0.15</v>
      </c>
      <c r="AH103" s="192">
        <v>0.15</v>
      </c>
      <c r="AI103" s="192">
        <v>0.02</v>
      </c>
      <c r="AJ103" s="192">
        <f>M103</f>
        <v>0.05</v>
      </c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</row>
    <row r="104" spans="1:75">
      <c r="A104" s="14"/>
      <c r="B104" s="9"/>
      <c r="C104" s="9"/>
      <c r="D104" s="9"/>
      <c r="E104" s="9"/>
      <c r="F104" s="184"/>
      <c r="G104" s="184"/>
      <c r="H104" s="184"/>
      <c r="I104" s="184"/>
      <c r="J104" s="8"/>
      <c r="K104" s="192"/>
      <c r="L104" s="192"/>
      <c r="M104" s="192"/>
      <c r="N104" s="192"/>
      <c r="O104" s="193"/>
      <c r="P104" s="192"/>
      <c r="Q104" s="192"/>
      <c r="R104" s="9"/>
      <c r="S104" s="9"/>
      <c r="T104" s="9"/>
      <c r="U104" s="9"/>
      <c r="V104" s="184"/>
      <c r="W104" s="184"/>
      <c r="X104" s="9"/>
      <c r="Y104" s="200"/>
      <c r="Z104" s="184"/>
      <c r="AA104" s="184"/>
      <c r="AB104" s="202"/>
      <c r="AC104" s="8"/>
      <c r="AD104" s="203"/>
      <c r="AE104" s="192"/>
      <c r="AF104" s="192"/>
      <c r="AG104" s="192"/>
      <c r="AH104" s="192"/>
      <c r="AI104" s="192"/>
      <c r="AJ104" s="192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</row>
    <row r="105" spans="1:75">
      <c r="A105" s="187" t="s">
        <v>167</v>
      </c>
      <c r="B105" s="8">
        <v>8</v>
      </c>
      <c r="C105" s="9" t="s">
        <v>106</v>
      </c>
      <c r="D105" s="9" t="s">
        <v>107</v>
      </c>
      <c r="E105" s="9" t="s">
        <v>108</v>
      </c>
      <c r="F105" s="184">
        <f>IF(E105="有",(I105/B105+J105+Z105/B105)/(0.99999-K105-L105-M105-N105),(I105/B105+J105+Z105/B105)/(0.99999-K105-M105-N105))</f>
        <v>31.9187630170967</v>
      </c>
      <c r="G105" s="184">
        <f>IF(E105="有",(I105/B105+J105+Z105/B105)/(0.8-K105-L105-M105-N105-O105-P105),(I105/B105+J105+Z105/B105)/(0.8-K105-M105-N105-O105-P105))</f>
        <v>58.0565377164278</v>
      </c>
      <c r="H105" s="186">
        <v>59.99</v>
      </c>
      <c r="I105" s="184">
        <f>(110-17)/1.13</f>
        <v>82.3008849557522</v>
      </c>
      <c r="J105" s="8">
        <v>4.23</v>
      </c>
      <c r="K105" s="192">
        <v>0.15</v>
      </c>
      <c r="L105" s="192">
        <v>0.16</v>
      </c>
      <c r="M105" s="192">
        <v>0.05</v>
      </c>
      <c r="N105" s="192">
        <f>Q105/H105</f>
        <v>0.141690281713619</v>
      </c>
      <c r="O105" s="193">
        <f>0.261/H105</f>
        <v>0.00435072512085348</v>
      </c>
      <c r="P105" s="192">
        <v>0.02</v>
      </c>
      <c r="Q105" s="184">
        <v>8.5</v>
      </c>
      <c r="R105" s="9">
        <v>32</v>
      </c>
      <c r="S105" s="9">
        <v>17.3</v>
      </c>
      <c r="T105" s="9">
        <v>17.3</v>
      </c>
      <c r="U105" s="9">
        <v>1.6</v>
      </c>
      <c r="V105" s="184">
        <f>R105*S105*T105/5000</f>
        <v>1.915456</v>
      </c>
      <c r="W105" s="184">
        <f>MAX(U105:V105)</f>
        <v>1.915456</v>
      </c>
      <c r="X105" s="9" t="s">
        <v>17</v>
      </c>
      <c r="Y105" s="200">
        <v>6.6317</v>
      </c>
      <c r="Z105" s="184">
        <v>11.1</v>
      </c>
      <c r="AA105" s="184">
        <f>H105-SUM(K105:P105)*H105-J105-I105/B105-Z105/B105</f>
        <v>12.527689380531</v>
      </c>
      <c r="AB105" s="202">
        <f>AA105/H105</f>
        <v>0.208829627946841</v>
      </c>
      <c r="AC105" s="8"/>
      <c r="AD105" s="203">
        <f>J105/H105</f>
        <v>0.0705117519586598</v>
      </c>
      <c r="AE105" s="192">
        <f>I105/7.4/H105</f>
        <v>0.185393252379343</v>
      </c>
      <c r="AF105" s="192">
        <f>Z105/7.4/H105</f>
        <v>0.0250041673612269</v>
      </c>
      <c r="AG105" s="192">
        <v>0.15</v>
      </c>
      <c r="AH105" s="192">
        <v>0.15</v>
      </c>
      <c r="AI105" s="192">
        <v>0.02</v>
      </c>
      <c r="AJ105" s="192">
        <f>M105</f>
        <v>0.05</v>
      </c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</row>
    <row r="106" spans="1:75">
      <c r="A106" s="187" t="s">
        <v>168</v>
      </c>
      <c r="B106" s="9">
        <v>8</v>
      </c>
      <c r="C106" s="9" t="s">
        <v>106</v>
      </c>
      <c r="D106" s="9" t="s">
        <v>107</v>
      </c>
      <c r="E106" s="9" t="s">
        <v>108</v>
      </c>
      <c r="F106" s="184">
        <f>IF(E106="有",(I106/B106+J106+Z106/B106)/(0.99999-K106-L106-M106-N106),(I106/B106+J106+Z106/B106)/(0.99999-K106-M106-N106))</f>
        <v>31.6385996541075</v>
      </c>
      <c r="G106" s="184">
        <f>IF(E106="有",(I106/B106+J106+Z106/B106)/(0.8-K106-L106-M106-N106-O106-P106),(I106/B106+J106+Z106/B106)/(0.8-K106-M106-N106-O106-P106))</f>
        <v>57.2942996541013</v>
      </c>
      <c r="H106" s="186">
        <f>H105*0.85</f>
        <v>50.9915</v>
      </c>
      <c r="I106" s="184">
        <f>(110-17)/1.13</f>
        <v>82.3008849557522</v>
      </c>
      <c r="J106" s="9">
        <v>4.23</v>
      </c>
      <c r="K106" s="192">
        <v>0.15</v>
      </c>
      <c r="L106" s="192">
        <v>0.16</v>
      </c>
      <c r="M106" s="192">
        <v>0.05</v>
      </c>
      <c r="N106" s="192">
        <f>Q106/H106</f>
        <v>0.137277781591049</v>
      </c>
      <c r="O106" s="193">
        <f>0.261/H106</f>
        <v>0.00511850014218056</v>
      </c>
      <c r="P106" s="192">
        <v>0.02</v>
      </c>
      <c r="Q106" s="184">
        <v>7</v>
      </c>
      <c r="R106" s="9">
        <v>32</v>
      </c>
      <c r="S106" s="9">
        <v>17.3</v>
      </c>
      <c r="T106" s="9">
        <v>17.3</v>
      </c>
      <c r="U106" s="9">
        <v>1.6</v>
      </c>
      <c r="V106" s="184">
        <f>R106*S106*T106/5000</f>
        <v>1.915456</v>
      </c>
      <c r="W106" s="184">
        <f>MAX(U106:V106)</f>
        <v>1.915456</v>
      </c>
      <c r="X106" s="9" t="s">
        <v>17</v>
      </c>
      <c r="Y106" s="200">
        <v>6.6317</v>
      </c>
      <c r="Z106" s="184">
        <v>11.1</v>
      </c>
      <c r="AA106" s="184">
        <f>H106-SUM(K106:P106)*H106-J106-I106/B106-Z106/B106</f>
        <v>8.44861938053097</v>
      </c>
      <c r="AB106" s="202">
        <f>AA106/H106</f>
        <v>0.165686818009491</v>
      </c>
      <c r="AC106" s="8"/>
      <c r="AD106" s="203">
        <f>J106/H106</f>
        <v>0.0829550023043056</v>
      </c>
      <c r="AE106" s="192">
        <f>I106/7.4/H106</f>
        <v>0.21810970868158</v>
      </c>
      <c r="AF106" s="192">
        <f>Z106/7.4/H106</f>
        <v>0.0294166674837963</v>
      </c>
      <c r="AG106" s="192">
        <v>0.15</v>
      </c>
      <c r="AH106" s="192">
        <v>0.15</v>
      </c>
      <c r="AI106" s="192">
        <v>0.02</v>
      </c>
      <c r="AJ106" s="192">
        <f>M106</f>
        <v>0.05</v>
      </c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</row>
    <row r="107" spans="1:75">
      <c r="A107" s="187" t="s">
        <v>169</v>
      </c>
      <c r="B107" s="9">
        <v>8</v>
      </c>
      <c r="C107" s="9" t="s">
        <v>106</v>
      </c>
      <c r="D107" s="9" t="s">
        <v>107</v>
      </c>
      <c r="E107" s="9" t="s">
        <v>108</v>
      </c>
      <c r="F107" s="184">
        <f>IF(E107="有",(I107/B107+J107+Z107/B107)/(0.99999-K107-L107-M107-N107),(I107/B107+J107+Z107/B107)/(0.99999-K107-M107-N107))</f>
        <v>32.0977219811449</v>
      </c>
      <c r="G107" s="184">
        <f>IF(E107="有",(I107/B107+J107+Z107/B107)/(0.8-K107-L107-M107-N107-O107-P107),(I107/B107+J107+Z107/B107)/(0.8-K107-M107-N107-O107-P107))</f>
        <v>58.966672259995</v>
      </c>
      <c r="H107" s="208">
        <f>H105*0.75</f>
        <v>44.9925</v>
      </c>
      <c r="I107" s="184">
        <f>(110-17)/1.13</f>
        <v>82.3008849557522</v>
      </c>
      <c r="J107" s="9">
        <v>4.23</v>
      </c>
      <c r="K107" s="192">
        <v>0.15</v>
      </c>
      <c r="L107" s="192">
        <v>0.16</v>
      </c>
      <c r="M107" s="192">
        <v>0.05</v>
      </c>
      <c r="N107" s="192">
        <f>Q107/H107</f>
        <v>0.144468522531533</v>
      </c>
      <c r="O107" s="193">
        <f>0.261/H107</f>
        <v>0.00580096682780463</v>
      </c>
      <c r="P107" s="192">
        <v>0.02</v>
      </c>
      <c r="Q107" s="184">
        <v>6.5</v>
      </c>
      <c r="R107" s="9">
        <v>32</v>
      </c>
      <c r="S107" s="9">
        <v>17.3</v>
      </c>
      <c r="T107" s="9">
        <v>17.3</v>
      </c>
      <c r="U107" s="9">
        <v>1.6</v>
      </c>
      <c r="V107" s="184">
        <f>R107*S107*T107/5000</f>
        <v>1.915456</v>
      </c>
      <c r="W107" s="184">
        <f>MAX(U107:V107)</f>
        <v>1.915456</v>
      </c>
      <c r="X107" s="9" t="s">
        <v>17</v>
      </c>
      <c r="Y107" s="200">
        <v>6.6317</v>
      </c>
      <c r="Z107" s="184">
        <v>11.1</v>
      </c>
      <c r="AA107" s="184">
        <f>H107-SUM(K107:P107)*H107-J107-I107/B107-Z107/B107</f>
        <v>5.22923938053097</v>
      </c>
      <c r="AB107" s="202">
        <f>AA107/H107</f>
        <v>0.11622469034908</v>
      </c>
      <c r="AC107" s="8"/>
      <c r="AD107" s="203">
        <f>J107/H107</f>
        <v>0.094015669278213</v>
      </c>
      <c r="AE107" s="192">
        <f>I107/7.4/H107</f>
        <v>0.247191003172457</v>
      </c>
      <c r="AF107" s="192">
        <f>Z107/7.4/H107</f>
        <v>0.0333388898149692</v>
      </c>
      <c r="AG107" s="192">
        <v>0.15</v>
      </c>
      <c r="AH107" s="192">
        <v>0.15</v>
      </c>
      <c r="AI107" s="192">
        <v>0.02</v>
      </c>
      <c r="AJ107" s="192">
        <f>M107</f>
        <v>0.05</v>
      </c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</row>
    <row r="108" spans="1:75">
      <c r="A108" s="7"/>
      <c r="B108" s="8"/>
      <c r="C108" s="9"/>
      <c r="D108" s="9"/>
      <c r="E108" s="9"/>
      <c r="F108" s="184"/>
      <c r="G108" s="184"/>
      <c r="H108" s="8"/>
      <c r="I108" s="184"/>
      <c r="J108" s="8"/>
      <c r="K108" s="192"/>
      <c r="L108" s="192"/>
      <c r="M108" s="192"/>
      <c r="N108" s="192"/>
      <c r="O108" s="193"/>
      <c r="P108" s="192"/>
      <c r="Q108" s="192"/>
      <c r="R108" s="9"/>
      <c r="S108" s="9"/>
      <c r="T108" s="9"/>
      <c r="U108" s="9"/>
      <c r="V108" s="184"/>
      <c r="W108" s="184"/>
      <c r="X108" s="9"/>
      <c r="Y108" s="200"/>
      <c r="Z108" s="184"/>
      <c r="AA108" s="184"/>
      <c r="AB108" s="202"/>
      <c r="AC108" s="8"/>
      <c r="AD108" s="203"/>
      <c r="AE108" s="192"/>
      <c r="AF108" s="192"/>
      <c r="AG108" s="192"/>
      <c r="AH108" s="192"/>
      <c r="AI108" s="192"/>
      <c r="AJ108" s="192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</row>
    <row r="109" spans="1:75">
      <c r="A109" s="187" t="s">
        <v>170</v>
      </c>
      <c r="B109" s="8">
        <v>9</v>
      </c>
      <c r="C109" s="9" t="s">
        <v>126</v>
      </c>
      <c r="D109" s="9" t="s">
        <v>127</v>
      </c>
      <c r="E109" s="9" t="s">
        <v>108</v>
      </c>
      <c r="F109" s="184">
        <f>IF(E109="有",(I109/B109+J109+Z109/B109)/(0.99999-K109-L109-M109-N109),(I109/B109+J109+Z109/B109)/(0.99999-K109-M109-N109))</f>
        <v>33.5614694350547</v>
      </c>
      <c r="G109" s="184">
        <f>IF(E109="有",(I109/B109+J109+Z109/B109)/(0.8-K109-L109-M109-N109-O109-P109),(I109/B109+J109+Z109/B109)/(0.8-K109-M109-N109-O109-P109))</f>
        <v>61.0715238003766</v>
      </c>
      <c r="H109" s="47">
        <v>49.99</v>
      </c>
      <c r="I109" s="184">
        <f>(110)/1.13</f>
        <v>97.3451327433628</v>
      </c>
      <c r="J109" s="8">
        <v>4.73</v>
      </c>
      <c r="K109" s="192">
        <v>0.15</v>
      </c>
      <c r="L109" s="192">
        <v>0.16</v>
      </c>
      <c r="M109" s="192">
        <v>0.05</v>
      </c>
      <c r="N109" s="192">
        <f>Q109/H109</f>
        <v>0.14002800560112</v>
      </c>
      <c r="O109" s="193">
        <f>0.261/H109</f>
        <v>0.00522104420884177</v>
      </c>
      <c r="P109" s="192">
        <v>0.02</v>
      </c>
      <c r="Q109" s="184">
        <v>7</v>
      </c>
      <c r="R109" s="9">
        <v>32</v>
      </c>
      <c r="S109" s="9">
        <v>17.3</v>
      </c>
      <c r="T109" s="9">
        <v>17.3</v>
      </c>
      <c r="U109" s="9">
        <v>1.6</v>
      </c>
      <c r="V109" s="184">
        <f>R109*S109*T109/6000</f>
        <v>1.59621333333333</v>
      </c>
      <c r="W109" s="184">
        <f>MAX(U109:V109)</f>
        <v>1.6</v>
      </c>
      <c r="X109" s="9" t="s">
        <v>17</v>
      </c>
      <c r="Y109" s="200">
        <v>6.6317</v>
      </c>
      <c r="Z109" s="184">
        <v>11.1</v>
      </c>
      <c r="AA109" s="184">
        <f>H109-SUM(K109:P109)*H109-J109-I109/B109-Z109/B109</f>
        <v>6.95334080629302</v>
      </c>
      <c r="AB109" s="202">
        <f>AA109/H109</f>
        <v>0.139094635052871</v>
      </c>
      <c r="AC109" s="8"/>
      <c r="AD109" s="203">
        <f>J109/H109</f>
        <v>0.094618923784757</v>
      </c>
      <c r="AE109" s="192">
        <f>I109/7.4/H109</f>
        <v>0.263147582877016</v>
      </c>
      <c r="AF109" s="192">
        <f>Z109/7.4/H109</f>
        <v>0.03000600120024</v>
      </c>
      <c r="AG109" s="192">
        <v>0.15</v>
      </c>
      <c r="AH109" s="192">
        <v>0.15</v>
      </c>
      <c r="AI109" s="192">
        <v>0.02</v>
      </c>
      <c r="AJ109" s="192">
        <f>M109</f>
        <v>0.05</v>
      </c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</row>
    <row r="110" spans="1:75">
      <c r="A110" s="187" t="s">
        <v>171</v>
      </c>
      <c r="B110" s="8">
        <v>9</v>
      </c>
      <c r="C110" s="9" t="s">
        <v>126</v>
      </c>
      <c r="D110" s="9" t="s">
        <v>127</v>
      </c>
      <c r="E110" s="9" t="s">
        <v>108</v>
      </c>
      <c r="F110" s="184">
        <f>IF(E110="有",(I110/B110+J110+Z110/B110)/(0.99999-K110-L110-M110-N110),(I110/B110+J110+Z110/B110)/(0.99999-K110-M110-N110))</f>
        <v>33.8625530040626</v>
      </c>
      <c r="G110" s="184">
        <f>IF(E110="有",(I110/B110+J110+Z110/B110)/(0.8-K110-L110-M110-N110-O110-P110),(I110/B110+J110+Z110/B110)/(0.8-K110-M110-N110-O110-P110))</f>
        <v>62.2093912252164</v>
      </c>
      <c r="H110" s="208">
        <f>H109*0.9</f>
        <v>44.991</v>
      </c>
      <c r="I110" s="184">
        <f>(110)/1.13</f>
        <v>97.3451327433628</v>
      </c>
      <c r="J110" s="8">
        <v>4.73</v>
      </c>
      <c r="K110" s="192">
        <v>0.15</v>
      </c>
      <c r="L110" s="192">
        <v>0.16</v>
      </c>
      <c r="M110" s="192">
        <v>0.05</v>
      </c>
      <c r="N110" s="192">
        <f>Q110/H110</f>
        <v>0.144473339112267</v>
      </c>
      <c r="O110" s="193">
        <f>0.261/H110</f>
        <v>0.00580116023204641</v>
      </c>
      <c r="P110" s="192">
        <v>0.02</v>
      </c>
      <c r="Q110" s="184">
        <v>6.5</v>
      </c>
      <c r="R110" s="9">
        <v>32</v>
      </c>
      <c r="S110" s="9">
        <v>17.3</v>
      </c>
      <c r="T110" s="9">
        <v>17.3</v>
      </c>
      <c r="U110" s="9">
        <v>1.6</v>
      </c>
      <c r="V110" s="184">
        <f>R110*S110*T110/6000</f>
        <v>1.59621333333333</v>
      </c>
      <c r="W110" s="184">
        <f>MAX(U110:V110)</f>
        <v>1.6</v>
      </c>
      <c r="X110" s="9" t="s">
        <v>17</v>
      </c>
      <c r="Y110" s="200">
        <v>6.6317</v>
      </c>
      <c r="Z110" s="184">
        <v>11.1</v>
      </c>
      <c r="AA110" s="184">
        <f>H110-SUM(K110:P110)*H110-J110-I110/B110-Z110/B110</f>
        <v>4.35396080629301</v>
      </c>
      <c r="AB110" s="202">
        <f>AA110/H110</f>
        <v>0.0967740393921676</v>
      </c>
      <c r="AC110" s="8"/>
      <c r="AD110" s="203">
        <f>J110/H110</f>
        <v>0.105132137538619</v>
      </c>
      <c r="AE110" s="192">
        <f>I110/7.4/H110</f>
        <v>0.292386203196684</v>
      </c>
      <c r="AF110" s="192">
        <f>Z110/7.4/H110</f>
        <v>0.0333400013336001</v>
      </c>
      <c r="AG110" s="192">
        <v>0.15</v>
      </c>
      <c r="AH110" s="192">
        <v>0.15</v>
      </c>
      <c r="AI110" s="192">
        <v>0.02</v>
      </c>
      <c r="AJ110" s="192">
        <f>M110</f>
        <v>0.05</v>
      </c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</row>
    <row r="111" spans="1:75">
      <c r="A111" s="187" t="s">
        <v>172</v>
      </c>
      <c r="B111" s="8">
        <v>9</v>
      </c>
      <c r="C111" s="9" t="s">
        <v>126</v>
      </c>
      <c r="D111" s="9" t="s">
        <v>127</v>
      </c>
      <c r="E111" s="9" t="s">
        <v>108</v>
      </c>
      <c r="F111" s="184">
        <f>IF(E111="有",(I111/B111+J111+Z111/B111)/(0.99999-K111-L111-M111-N111),(I111/B111+J111+Z111/B111)/(0.99999-K111-M111-N111))</f>
        <v>33.6406457479838</v>
      </c>
      <c r="G111" s="184">
        <f>IF(E111="有",(I111/B111+J111+Z111/B111)/(0.8-K111-L111-M111-N111-O111-P111),(I111/B111+J111+Z111/B111)/(0.8-K111-M111-N111-O111-P111))</f>
        <v>61.5414697882945</v>
      </c>
      <c r="H111" s="186">
        <f>H109*0.85</f>
        <v>42.4915</v>
      </c>
      <c r="I111" s="184">
        <f>(110)/1.13</f>
        <v>97.3451327433628</v>
      </c>
      <c r="J111" s="8">
        <v>4.73</v>
      </c>
      <c r="K111" s="192">
        <v>0.15</v>
      </c>
      <c r="L111" s="192">
        <v>0.16</v>
      </c>
      <c r="M111" s="192">
        <v>0.05</v>
      </c>
      <c r="N111" s="192">
        <f>Q111/H111</f>
        <v>0.141204711530541</v>
      </c>
      <c r="O111" s="193">
        <f>0.261/H111</f>
        <v>0.00614240495157855</v>
      </c>
      <c r="P111" s="192">
        <v>0.02</v>
      </c>
      <c r="Q111" s="184">
        <v>6</v>
      </c>
      <c r="R111" s="9">
        <v>32</v>
      </c>
      <c r="S111" s="9">
        <v>17.3</v>
      </c>
      <c r="T111" s="9">
        <v>17.3</v>
      </c>
      <c r="U111" s="9">
        <v>1.6</v>
      </c>
      <c r="V111" s="184">
        <f>R111*S111*T111/6000</f>
        <v>1.59621333333333</v>
      </c>
      <c r="W111" s="184">
        <f>MAX(U111:V111)</f>
        <v>1.6</v>
      </c>
      <c r="X111" s="9" t="s">
        <v>17</v>
      </c>
      <c r="Y111" s="200">
        <v>6.6317</v>
      </c>
      <c r="Z111" s="184">
        <v>11.1</v>
      </c>
      <c r="AA111" s="184">
        <f>H111-SUM(K111:P111)*H111-J111-I111/B111-Z111/B111</f>
        <v>3.30427080629302</v>
      </c>
      <c r="AB111" s="202">
        <f>AA111/H111</f>
        <v>0.0777631010035658</v>
      </c>
      <c r="AC111" s="8"/>
      <c r="AD111" s="203">
        <f>J111/H111</f>
        <v>0.111316380923243</v>
      </c>
      <c r="AE111" s="192">
        <f>I111/7.4/H111</f>
        <v>0.309585391620018</v>
      </c>
      <c r="AF111" s="192">
        <f>Z111/7.4/H111</f>
        <v>0.0353011778826353</v>
      </c>
      <c r="AG111" s="192">
        <v>0.15</v>
      </c>
      <c r="AH111" s="192">
        <v>0.15</v>
      </c>
      <c r="AI111" s="192">
        <v>0.02</v>
      </c>
      <c r="AJ111" s="192">
        <f>M111</f>
        <v>0.05</v>
      </c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</row>
    <row r="112" spans="1:36">
      <c r="A112" s="187"/>
      <c r="B112" s="8"/>
      <c r="C112" s="9"/>
      <c r="D112" s="9"/>
      <c r="E112" s="9"/>
      <c r="F112" s="184"/>
      <c r="G112" s="184"/>
      <c r="H112" s="186"/>
      <c r="I112" s="184"/>
      <c r="J112" s="8"/>
      <c r="K112" s="192"/>
      <c r="L112" s="192"/>
      <c r="M112" s="192"/>
      <c r="N112" s="192"/>
      <c r="O112" s="193"/>
      <c r="P112" s="192"/>
      <c r="Q112" s="184"/>
      <c r="R112" s="9"/>
      <c r="S112" s="9"/>
      <c r="T112" s="9"/>
      <c r="U112" s="9"/>
      <c r="V112" s="184"/>
      <c r="W112" s="184"/>
      <c r="X112" s="9"/>
      <c r="Y112" s="200"/>
      <c r="Z112" s="184"/>
      <c r="AA112" s="184"/>
      <c r="AB112" s="202"/>
      <c r="AC112" s="8"/>
      <c r="AD112" s="203"/>
      <c r="AE112" s="192"/>
      <c r="AF112" s="192"/>
      <c r="AG112" s="192"/>
      <c r="AH112" s="192"/>
      <c r="AI112" s="192"/>
      <c r="AJ112" s="192"/>
    </row>
    <row r="113" spans="1:75">
      <c r="A113" s="187" t="s">
        <v>170</v>
      </c>
      <c r="B113" s="8">
        <v>9</v>
      </c>
      <c r="C113" s="9" t="s">
        <v>126</v>
      </c>
      <c r="D113" s="9" t="s">
        <v>127</v>
      </c>
      <c r="E113" s="9" t="s">
        <v>108</v>
      </c>
      <c r="F113" s="184">
        <f>IF(E113="有",(I113/B113+J113+Z113/B113)/(0.99999-K113-L113-M113-N113),(I113/B113+J113+Z113/B113)/(0.99999-K113-M113-N113))</f>
        <v>30.2180491226326</v>
      </c>
      <c r="G113" s="184">
        <f>IF(E113="有",(I113/B113+J113+Z113/B113)/(0.8-K113-L113-M113-N113-O113-P113),(I113/B113+J113+Z113/B113)/(0.8-K113-M113-N113-O113-P113))</f>
        <v>54.9875299639363</v>
      </c>
      <c r="H113" s="47">
        <v>49.99</v>
      </c>
      <c r="I113" s="184">
        <f>(110-17)/1.13</f>
        <v>82.3008849557522</v>
      </c>
      <c r="J113" s="8">
        <v>4.73</v>
      </c>
      <c r="K113" s="192">
        <v>0.15</v>
      </c>
      <c r="L113" s="192">
        <v>0.16</v>
      </c>
      <c r="M113" s="192">
        <v>0.05</v>
      </c>
      <c r="N113" s="192">
        <f>Q113/H113</f>
        <v>0.14002800560112</v>
      </c>
      <c r="O113" s="193">
        <f>0.261/H113</f>
        <v>0.00522104420884177</v>
      </c>
      <c r="P113" s="192">
        <v>0.02</v>
      </c>
      <c r="Q113" s="184">
        <v>7</v>
      </c>
      <c r="R113" s="9">
        <v>32</v>
      </c>
      <c r="S113" s="9">
        <v>17.3</v>
      </c>
      <c r="T113" s="9">
        <v>17.3</v>
      </c>
      <c r="U113" s="9">
        <v>1.6</v>
      </c>
      <c r="V113" s="184">
        <f>R113*S113*T113/6000</f>
        <v>1.59621333333333</v>
      </c>
      <c r="W113" s="184">
        <f>MAX(U113:V113)</f>
        <v>1.6</v>
      </c>
      <c r="X113" s="9" t="s">
        <v>17</v>
      </c>
      <c r="Y113" s="200">
        <v>6.6317</v>
      </c>
      <c r="Z113" s="184">
        <v>11.1</v>
      </c>
      <c r="AA113" s="184">
        <f>H113-SUM(K113:P113)*H113-J113-I113/B113-Z113/B113</f>
        <v>8.62492389380531</v>
      </c>
      <c r="AB113" s="202">
        <f>AA113/H113</f>
        <v>0.172532984473001</v>
      </c>
      <c r="AC113" s="8"/>
      <c r="AD113" s="203">
        <f>J113/H113</f>
        <v>0.094618923784757</v>
      </c>
      <c r="AE113" s="192">
        <f>I113/7.4/H113</f>
        <v>0.222479320068749</v>
      </c>
      <c r="AF113" s="192">
        <f>Z113/7.4/H113</f>
        <v>0.03000600120024</v>
      </c>
      <c r="AG113" s="192">
        <v>0.15</v>
      </c>
      <c r="AH113" s="192">
        <v>0.15</v>
      </c>
      <c r="AI113" s="192">
        <v>0.02</v>
      </c>
      <c r="AJ113" s="192">
        <f>M113</f>
        <v>0.05</v>
      </c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</row>
    <row r="114" spans="1:75">
      <c r="A114" s="187" t="s">
        <v>171</v>
      </c>
      <c r="B114" s="8">
        <v>9</v>
      </c>
      <c r="C114" s="9" t="s">
        <v>126</v>
      </c>
      <c r="D114" s="9" t="s">
        <v>127</v>
      </c>
      <c r="E114" s="9" t="s">
        <v>108</v>
      </c>
      <c r="F114" s="184">
        <f>IF(E114="有",(I114/B114+J114+Z114/B114)/(0.99999-K114-L114-M114-N114),(I114/B114+J114+Z114/B114)/(0.99999-K114-M114-N114))</f>
        <v>30.4891385067224</v>
      </c>
      <c r="G114" s="184">
        <f>IF(E114="有",(I114/B114+J114+Z114/B114)/(0.8-K114-L114-M114-N114-O114-P114),(I114/B114+J114+Z114/B114)/(0.8-K114-M114-N114-O114-P114))</f>
        <v>56.0120421297517</v>
      </c>
      <c r="H114" s="208">
        <f>H113*0.9</f>
        <v>44.991</v>
      </c>
      <c r="I114" s="184">
        <f>(110-17)/1.13</f>
        <v>82.3008849557522</v>
      </c>
      <c r="J114" s="8">
        <v>4.73</v>
      </c>
      <c r="K114" s="192">
        <v>0.15</v>
      </c>
      <c r="L114" s="192">
        <v>0.16</v>
      </c>
      <c r="M114" s="192">
        <v>0.05</v>
      </c>
      <c r="N114" s="192">
        <f>Q114/H114</f>
        <v>0.144473339112267</v>
      </c>
      <c r="O114" s="193">
        <f>0.261/H114</f>
        <v>0.00580116023204641</v>
      </c>
      <c r="P114" s="192">
        <v>0.02</v>
      </c>
      <c r="Q114" s="184">
        <v>6.5</v>
      </c>
      <c r="R114" s="9">
        <v>32</v>
      </c>
      <c r="S114" s="9">
        <v>17.3</v>
      </c>
      <c r="T114" s="9">
        <v>17.3</v>
      </c>
      <c r="U114" s="9">
        <v>1.6</v>
      </c>
      <c r="V114" s="184">
        <f>R114*S114*T114/6000</f>
        <v>1.59621333333333</v>
      </c>
      <c r="W114" s="184">
        <f>MAX(U114:V114)</f>
        <v>1.6</v>
      </c>
      <c r="X114" s="9" t="s">
        <v>17</v>
      </c>
      <c r="Y114" s="200">
        <v>6.6317</v>
      </c>
      <c r="Z114" s="184">
        <v>11.1</v>
      </c>
      <c r="AA114" s="184">
        <f>H114-SUM(K114:P114)*H114-J114-I114/B114-Z114/B114</f>
        <v>6.02554389380531</v>
      </c>
      <c r="AB114" s="202">
        <f>AA114/H114</f>
        <v>0.13392776097009</v>
      </c>
      <c r="AC114" s="8"/>
      <c r="AD114" s="203">
        <f>J114/H114</f>
        <v>0.105132137538619</v>
      </c>
      <c r="AE114" s="192">
        <f>I114/7.4/H114</f>
        <v>0.247199244520833</v>
      </c>
      <c r="AF114" s="192">
        <f>Z114/7.4/H114</f>
        <v>0.0333400013336001</v>
      </c>
      <c r="AG114" s="192">
        <v>0.15</v>
      </c>
      <c r="AH114" s="192">
        <v>0.15</v>
      </c>
      <c r="AI114" s="192">
        <v>0.02</v>
      </c>
      <c r="AJ114" s="192">
        <f>M114</f>
        <v>0.05</v>
      </c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</row>
    <row r="115" spans="1:75">
      <c r="A115" s="187" t="s">
        <v>172</v>
      </c>
      <c r="B115" s="8">
        <v>9</v>
      </c>
      <c r="C115" s="9" t="s">
        <v>126</v>
      </c>
      <c r="D115" s="9" t="s">
        <v>127</v>
      </c>
      <c r="E115" s="9" t="s">
        <v>108</v>
      </c>
      <c r="F115" s="184">
        <f>IF(E115="有",(I115/B115+J115+Z115/B115)/(0.99999-K115-L115-M115-N115),(I115/B115+J115+Z115/B115)/(0.99999-K115-M115-N115))</f>
        <v>30.2893378282142</v>
      </c>
      <c r="G115" s="184">
        <f>IF(E115="有",(I115/B115+J115+Z115/B115)/(0.8-K115-L115-M115-N115-O115-P115),(I115/B115+J115+Z115/B115)/(0.8-K115-M115-N115-O115-P115))</f>
        <v>55.4106595582876</v>
      </c>
      <c r="H115" s="186">
        <f>H113*0.85</f>
        <v>42.4915</v>
      </c>
      <c r="I115" s="184">
        <f>(110-17)/1.13</f>
        <v>82.3008849557522</v>
      </c>
      <c r="J115" s="8">
        <v>4.73</v>
      </c>
      <c r="K115" s="192">
        <v>0.15</v>
      </c>
      <c r="L115" s="192">
        <v>0.16</v>
      </c>
      <c r="M115" s="192">
        <v>0.05</v>
      </c>
      <c r="N115" s="192">
        <f>Q115/H115</f>
        <v>0.141204711530541</v>
      </c>
      <c r="O115" s="193">
        <f>0.261/H115</f>
        <v>0.00614240495157855</v>
      </c>
      <c r="P115" s="192">
        <v>0.02</v>
      </c>
      <c r="Q115" s="184">
        <v>6</v>
      </c>
      <c r="R115" s="9">
        <v>32</v>
      </c>
      <c r="S115" s="9">
        <v>17.3</v>
      </c>
      <c r="T115" s="9">
        <v>17.3</v>
      </c>
      <c r="U115" s="9">
        <v>1.6</v>
      </c>
      <c r="V115" s="184">
        <f>R115*S115*T115/6000</f>
        <v>1.59621333333333</v>
      </c>
      <c r="W115" s="184">
        <f>MAX(U115:V115)</f>
        <v>1.6</v>
      </c>
      <c r="X115" s="9" t="s">
        <v>17</v>
      </c>
      <c r="Y115" s="200">
        <v>6.6317</v>
      </c>
      <c r="Z115" s="184">
        <v>11.1</v>
      </c>
      <c r="AA115" s="184">
        <f>H115-SUM(K115:P115)*H115-J115-I115/B115-Z115/B115</f>
        <v>4.97585389380531</v>
      </c>
      <c r="AB115" s="202">
        <f>AA115/H115</f>
        <v>0.117102335615483</v>
      </c>
      <c r="AC115" s="8"/>
      <c r="AD115" s="203">
        <f>J115/H115</f>
        <v>0.111316380923243</v>
      </c>
      <c r="AE115" s="192">
        <f>I115/7.4/H115</f>
        <v>0.26174037655147</v>
      </c>
      <c r="AF115" s="192">
        <f>Z115/7.4/H115</f>
        <v>0.0353011778826353</v>
      </c>
      <c r="AG115" s="192">
        <v>0.15</v>
      </c>
      <c r="AH115" s="192">
        <v>0.15</v>
      </c>
      <c r="AI115" s="192">
        <v>0.02</v>
      </c>
      <c r="AJ115" s="192">
        <f>M115</f>
        <v>0.05</v>
      </c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</row>
    <row r="116" spans="6:46">
      <c r="F116" s="184"/>
      <c r="G116" s="184"/>
      <c r="H116" s="8"/>
      <c r="I116" s="184"/>
      <c r="J116" s="9"/>
      <c r="K116" s="192"/>
      <c r="L116" s="192"/>
      <c r="M116" s="192"/>
      <c r="N116" s="192"/>
      <c r="O116" s="193"/>
      <c r="P116" s="192"/>
      <c r="Q116" s="184"/>
      <c r="R116" s="9"/>
      <c r="S116" s="9"/>
      <c r="T116" s="9"/>
      <c r="U116" s="9"/>
      <c r="V116" s="184"/>
      <c r="W116" s="184"/>
      <c r="X116" s="9"/>
      <c r="Y116" s="200"/>
      <c r="Z116" s="184"/>
      <c r="AA116" s="184"/>
      <c r="AB116" s="202"/>
      <c r="AC116" s="8"/>
      <c r="AD116" s="203"/>
      <c r="AE116" s="192"/>
      <c r="AF116" s="192"/>
      <c r="AG116" s="192"/>
      <c r="AH116" s="192"/>
      <c r="AI116" s="192"/>
      <c r="AJ116" s="192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1:46">
      <c r="A117" s="7" t="s">
        <v>173</v>
      </c>
      <c r="B117" s="7">
        <v>8</v>
      </c>
      <c r="C117" s="8" t="s">
        <v>106</v>
      </c>
      <c r="D117" s="8" t="s">
        <v>107</v>
      </c>
      <c r="E117" s="8" t="s">
        <v>108</v>
      </c>
      <c r="F117" s="184">
        <f>IF(E117="有",(I117/B117+J117+Z117/B117)/(0.99999-K117-L117-M117-N117),(I117/B117+J117+Z117/B117)/(0.99999-K117-M117-N117))</f>
        <v>45.1963674093216</v>
      </c>
      <c r="G117" s="184">
        <f>IF(E117="有",(I117/B117+J117+Z117/B117)/(0.8-K117-L117-M117-N117-O117-P117),(I117/B117+J117+Z117/B117)/(0.8-K117-M117-N117-O117-P117))</f>
        <v>79.8853986666439</v>
      </c>
      <c r="H117" s="8">
        <v>59.99</v>
      </c>
      <c r="I117" s="184">
        <v>135.12</v>
      </c>
      <c r="J117" s="8">
        <v>4.59</v>
      </c>
      <c r="K117" s="192">
        <v>0.15</v>
      </c>
      <c r="L117" s="192">
        <v>0.16</v>
      </c>
      <c r="M117" s="192">
        <v>0.04</v>
      </c>
      <c r="N117" s="192">
        <f>Q117/H117</f>
        <v>0.133355559259877</v>
      </c>
      <c r="O117" s="193">
        <f>0.261/H117</f>
        <v>0.00435072512085348</v>
      </c>
      <c r="P117" s="192">
        <v>0.02</v>
      </c>
      <c r="Q117" s="184">
        <v>8</v>
      </c>
      <c r="R117" s="9">
        <v>32</v>
      </c>
      <c r="S117" s="9">
        <v>17.3</v>
      </c>
      <c r="T117" s="9">
        <v>17.3</v>
      </c>
      <c r="U117" s="9">
        <v>1.6</v>
      </c>
      <c r="V117" s="184">
        <f>R117*S117*T117/6000</f>
        <v>1.59621333333333</v>
      </c>
      <c r="W117" s="184">
        <f>MAX(U117:V117)</f>
        <v>1.6</v>
      </c>
      <c r="X117" s="9" t="s">
        <v>17</v>
      </c>
      <c r="Y117" s="200">
        <v>6.6317</v>
      </c>
      <c r="Z117" s="184">
        <f>1.87*B117</f>
        <v>14.96</v>
      </c>
      <c r="AA117" s="184">
        <f>H117-SUM(K117:P117)*H117-J117-I117/B117-Z117/B117</f>
        <v>6.1827</v>
      </c>
      <c r="AB117" s="202">
        <f>AA117/H117</f>
        <v>0.103062177029505</v>
      </c>
      <c r="AC117" s="8"/>
      <c r="AD117" s="203">
        <f>J117/H117</f>
        <v>0.0765127521253542</v>
      </c>
      <c r="AE117" s="192">
        <f>I117/7.4/H117</f>
        <v>0.304375053499908</v>
      </c>
      <c r="AF117" s="192">
        <f>Z117/7.4/H117</f>
        <v>0.0336993102454013</v>
      </c>
      <c r="AG117" s="192">
        <v>0.15</v>
      </c>
      <c r="AH117" s="192">
        <v>0.14</v>
      </c>
      <c r="AI117" s="192">
        <v>0.02</v>
      </c>
      <c r="AJ117" s="192">
        <f>M117</f>
        <v>0.04</v>
      </c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1:46">
      <c r="A118" s="7" t="s">
        <v>173</v>
      </c>
      <c r="B118" s="14">
        <v>8</v>
      </c>
      <c r="C118" s="9" t="s">
        <v>106</v>
      </c>
      <c r="D118" s="9" t="s">
        <v>107</v>
      </c>
      <c r="E118" s="9" t="s">
        <v>108</v>
      </c>
      <c r="F118" s="184">
        <f>IF(E118="有",(I118/B118+J118+Z118/B118)/(0.99999-K118-L118-M118-N118),(I118/B118+J118+Z118/B118)/(0.99999-K118-M118-N118))</f>
        <v>45.0868289945045</v>
      </c>
      <c r="G118" s="184">
        <f>IF(E118="有",(I118/B118+J118+Z118/B118)/(0.8-K118-L118-M118-N118-O118-P118),(I118/B118+J118+Z118/B118)/(0.8-K118-M118-N118-O118-P118))</f>
        <v>79.6998653758205</v>
      </c>
      <c r="H118" s="8">
        <v>52.99</v>
      </c>
      <c r="I118" s="184">
        <v>135.12</v>
      </c>
      <c r="J118" s="9">
        <v>4.59</v>
      </c>
      <c r="K118" s="192">
        <v>0.15</v>
      </c>
      <c r="L118" s="192">
        <v>0.16</v>
      </c>
      <c r="M118" s="192">
        <v>0.04</v>
      </c>
      <c r="N118" s="192">
        <f>Q118/H118</f>
        <v>0.132100396301189</v>
      </c>
      <c r="O118" s="193">
        <f>0.261/H118</f>
        <v>0.00492545763351576</v>
      </c>
      <c r="P118" s="192">
        <v>0.02</v>
      </c>
      <c r="Q118" s="184">
        <v>7</v>
      </c>
      <c r="R118" s="9">
        <v>32</v>
      </c>
      <c r="S118" s="9">
        <v>17.3</v>
      </c>
      <c r="T118" s="9">
        <v>17.3</v>
      </c>
      <c r="U118" s="9">
        <v>1.6</v>
      </c>
      <c r="V118" s="184">
        <f>R118*S118*T118/6000</f>
        <v>1.59621333333333</v>
      </c>
      <c r="W118" s="184">
        <f>MAX(U118:V118)</f>
        <v>1.6</v>
      </c>
      <c r="X118" s="9" t="s">
        <v>17</v>
      </c>
      <c r="Y118" s="200">
        <v>6.6317</v>
      </c>
      <c r="Z118" s="184">
        <f>1.87*B118</f>
        <v>14.96</v>
      </c>
      <c r="AA118" s="184">
        <f>H118-SUM(K118:P118)*H118-J118-I118/B118-Z118/B118</f>
        <v>2.7727</v>
      </c>
      <c r="AB118" s="202">
        <f>AA118/H118</f>
        <v>0.052324966974901</v>
      </c>
      <c r="AC118" s="8"/>
      <c r="AD118" s="203">
        <f>J118/H118</f>
        <v>0.0866201170032082</v>
      </c>
      <c r="AE118" s="192">
        <f>I118/7.4/H118</f>
        <v>0.344583118691441</v>
      </c>
      <c r="AF118" s="192">
        <f>Z118/7.4/H118</f>
        <v>0.0381510024838955</v>
      </c>
      <c r="AG118" s="192">
        <v>0.15</v>
      </c>
      <c r="AH118" s="192">
        <v>0.14</v>
      </c>
      <c r="AI118" s="192">
        <v>0.02</v>
      </c>
      <c r="AJ118" s="192">
        <f>M118</f>
        <v>0.04</v>
      </c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1:46">
      <c r="A119" s="7" t="s">
        <v>173</v>
      </c>
      <c r="B119" s="14">
        <v>8</v>
      </c>
      <c r="C119" s="9" t="s">
        <v>106</v>
      </c>
      <c r="D119" s="9" t="s">
        <v>107</v>
      </c>
      <c r="E119" s="9" t="s">
        <v>108</v>
      </c>
      <c r="F119" s="184">
        <f>IF(E119="有",(I119/B119+J119+Z119/B119)/(0.99999-K119-L119-M119-N119),(I119/B119+J119+Z119/B119)/(0.99999-K119-M119-N119))</f>
        <v>44.0594306267337</v>
      </c>
      <c r="G119" s="184">
        <f>IF(E119="有",(I119/B119+J119+Z119/B119)/(0.8-K119-L119-M119-N119-O119-P119),(I119/B119+J119+Z119/B119)/(0.8-K119-M119-N119-O119-P119))</f>
        <v>76.6189357191149</v>
      </c>
      <c r="H119" s="8">
        <v>49.99</v>
      </c>
      <c r="I119" s="184">
        <v>135.12</v>
      </c>
      <c r="J119" s="9">
        <v>4.59</v>
      </c>
      <c r="K119" s="192">
        <v>0.15</v>
      </c>
      <c r="L119" s="192">
        <v>0.16</v>
      </c>
      <c r="M119" s="192">
        <v>0.04</v>
      </c>
      <c r="N119" s="192">
        <f>Q119/H119</f>
        <v>0.12002400480096</v>
      </c>
      <c r="O119" s="193">
        <f>0.261/H119</f>
        <v>0.00522104420884177</v>
      </c>
      <c r="P119" s="192">
        <v>0.02</v>
      </c>
      <c r="Q119" s="184">
        <v>6</v>
      </c>
      <c r="R119" s="9">
        <v>32</v>
      </c>
      <c r="S119" s="9">
        <v>17.3</v>
      </c>
      <c r="T119" s="9">
        <v>17.3</v>
      </c>
      <c r="U119" s="9">
        <v>1.6</v>
      </c>
      <c r="V119" s="184">
        <f>R119*S119*T119/6000</f>
        <v>1.59621333333333</v>
      </c>
      <c r="W119" s="184">
        <f>MAX(U119:V119)</f>
        <v>1.6</v>
      </c>
      <c r="X119" s="9" t="s">
        <v>17</v>
      </c>
      <c r="Y119" s="200">
        <v>6.6317</v>
      </c>
      <c r="Z119" s="184">
        <f>1.87*B119</f>
        <v>14.96</v>
      </c>
      <c r="AA119" s="184">
        <f>H119-SUM(K119:P119)*H119-J119-I119/B119-Z119/B119</f>
        <v>1.8827</v>
      </c>
      <c r="AB119" s="202">
        <f>AA119/H119</f>
        <v>0.0376615323064613</v>
      </c>
      <c r="AC119" s="8"/>
      <c r="AD119" s="203">
        <f>J119/H119</f>
        <v>0.0918183636727345</v>
      </c>
      <c r="AE119" s="192">
        <f>I119/7.4/H119</f>
        <v>0.365262241637517</v>
      </c>
      <c r="AF119" s="192">
        <f>Z119/7.4/H119</f>
        <v>0.0404405205365397</v>
      </c>
      <c r="AG119" s="192">
        <v>0.15</v>
      </c>
      <c r="AH119" s="192">
        <v>0.14</v>
      </c>
      <c r="AI119" s="192">
        <v>0.02</v>
      </c>
      <c r="AJ119" s="192">
        <f>M119</f>
        <v>0.04</v>
      </c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1:46">
      <c r="A120" s="7" t="s">
        <v>173</v>
      </c>
      <c r="B120" s="14">
        <v>8</v>
      </c>
      <c r="C120" s="9" t="s">
        <v>106</v>
      </c>
      <c r="D120" s="9" t="s">
        <v>107</v>
      </c>
      <c r="E120" s="9" t="s">
        <v>108</v>
      </c>
      <c r="F120" s="184">
        <f>IF(E120="有",(I120/B120+J120+Z120/B120)/(0.99999-K120-L120-M120-N120),(I120/B120+J120+Z120/B120)/(0.99999-K120-M120-N120))</f>
        <v>43.9807552658459</v>
      </c>
      <c r="G120" s="184">
        <f>IF(E120="有",(I120/B120+J120+Z120/B120)/(0.8-K120-L120-M120-N120-O120-P120),(I120/B120+J120+Z120/B120)/(0.8-K120-M120-N120-O120-P120))</f>
        <v>76.6306752014506</v>
      </c>
      <c r="H120" s="8">
        <v>41.99</v>
      </c>
      <c r="I120" s="184">
        <v>135.12</v>
      </c>
      <c r="J120" s="9">
        <v>4.59</v>
      </c>
      <c r="K120" s="192">
        <v>0.15</v>
      </c>
      <c r="L120" s="192">
        <v>0.16</v>
      </c>
      <c r="M120" s="192">
        <v>0.04</v>
      </c>
      <c r="N120" s="192">
        <f>Q120/H120</f>
        <v>0.119075970469159</v>
      </c>
      <c r="O120" s="193">
        <f>0.261/H120</f>
        <v>0.00621576565849012</v>
      </c>
      <c r="P120" s="192">
        <v>0.02</v>
      </c>
      <c r="Q120" s="184">
        <v>5</v>
      </c>
      <c r="R120" s="9">
        <v>32</v>
      </c>
      <c r="S120" s="9">
        <v>17.3</v>
      </c>
      <c r="T120" s="9">
        <v>17.3</v>
      </c>
      <c r="U120" s="9">
        <v>1.6</v>
      </c>
      <c r="V120" s="184">
        <f>R120*S120*T120/6000</f>
        <v>1.59621333333333</v>
      </c>
      <c r="W120" s="184">
        <f>MAX(U120:V120)</f>
        <v>1.6</v>
      </c>
      <c r="X120" s="9" t="s">
        <v>17</v>
      </c>
      <c r="Y120" s="200">
        <v>6.6317</v>
      </c>
      <c r="Z120" s="184">
        <f>1.87*B120</f>
        <v>14.96</v>
      </c>
      <c r="AA120" s="184">
        <f>H120-SUM(K120:P120)*H120-J120-I120/B120-Z120/B120</f>
        <v>-2.1573</v>
      </c>
      <c r="AB120" s="202">
        <f>AA120/H120</f>
        <v>-0.0513765182186234</v>
      </c>
      <c r="AC120" s="8"/>
      <c r="AD120" s="203">
        <f>J120/H120</f>
        <v>0.109311740890688</v>
      </c>
      <c r="AE120" s="192">
        <f>I120/7.4/H120</f>
        <v>0.434852571075481</v>
      </c>
      <c r="AF120" s="192">
        <f>Z120/7.4/H120</f>
        <v>0.048145311303206</v>
      </c>
      <c r="AG120" s="192">
        <v>0.15</v>
      </c>
      <c r="AH120" s="192">
        <v>0.14</v>
      </c>
      <c r="AI120" s="192">
        <v>0.02</v>
      </c>
      <c r="AJ120" s="192">
        <f>M120</f>
        <v>0.04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1:46">
      <c r="A121" s="7"/>
      <c r="B121" s="7"/>
      <c r="C121" s="9"/>
      <c r="D121" s="9"/>
      <c r="E121" s="9"/>
      <c r="F121" s="184"/>
      <c r="G121" s="184"/>
      <c r="H121" s="8"/>
      <c r="I121" s="184"/>
      <c r="J121" s="8"/>
      <c r="K121" s="192"/>
      <c r="L121" s="192"/>
      <c r="M121" s="192"/>
      <c r="N121" s="192"/>
      <c r="O121" s="193"/>
      <c r="P121" s="192"/>
      <c r="Q121" s="192"/>
      <c r="R121" s="8"/>
      <c r="S121" s="8"/>
      <c r="T121" s="8"/>
      <c r="U121" s="8"/>
      <c r="V121" s="184"/>
      <c r="W121" s="184"/>
      <c r="X121" s="8"/>
      <c r="Y121" s="200"/>
      <c r="Z121" s="184"/>
      <c r="AA121" s="184"/>
      <c r="AB121" s="202"/>
      <c r="AC121" s="8"/>
      <c r="AD121" s="203"/>
      <c r="AE121" s="192"/>
      <c r="AF121" s="192"/>
      <c r="AG121" s="192"/>
      <c r="AH121" s="192"/>
      <c r="AI121" s="192"/>
      <c r="AJ121" s="192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1:75">
      <c r="A122" s="7" t="s">
        <v>173</v>
      </c>
      <c r="B122" s="7">
        <v>8</v>
      </c>
      <c r="C122" s="8" t="s">
        <v>120</v>
      </c>
      <c r="D122" s="8" t="s">
        <v>121</v>
      </c>
      <c r="E122" s="8" t="s">
        <v>108</v>
      </c>
      <c r="F122" s="184">
        <f>IF(E122="有",(I122/B122+J122+Z122/B122)/(0.99999-K122-L122-M122-N122),(I122/B122+J122+Z122/B122)/(0.99999-K122-M122-N122))</f>
        <v>44.7631486273601</v>
      </c>
      <c r="G122" s="184">
        <f>IF(E122="有",(I122/B122+J122+Z122/B122)/(0.8-K122-L122-M122-N122-O122-P122),(I122/B122+J122+Z122/B122)/(0.8-K122-M122-N122-O122-P122))</f>
        <v>78.5418553209623</v>
      </c>
      <c r="H122" s="8">
        <v>59.99</v>
      </c>
      <c r="I122" s="184">
        <v>135.12</v>
      </c>
      <c r="J122" s="8">
        <v>4.59</v>
      </c>
      <c r="K122" s="192">
        <v>0.15</v>
      </c>
      <c r="L122" s="192">
        <v>0.16</v>
      </c>
      <c r="M122" s="202">
        <v>0.035</v>
      </c>
      <c r="N122" s="192">
        <f>Q122/H122</f>
        <v>0.133355559259877</v>
      </c>
      <c r="O122" s="193">
        <f>0.261/H122</f>
        <v>0.00435072512085348</v>
      </c>
      <c r="P122" s="192">
        <v>0.02</v>
      </c>
      <c r="Q122" s="184">
        <v>8</v>
      </c>
      <c r="R122" s="9">
        <v>32</v>
      </c>
      <c r="S122" s="9">
        <v>17.3</v>
      </c>
      <c r="T122" s="9">
        <v>17.3</v>
      </c>
      <c r="U122" s="9">
        <v>1.6</v>
      </c>
      <c r="V122" s="184">
        <f>R122*S122*T122/6000</f>
        <v>1.59621333333333</v>
      </c>
      <c r="W122" s="184">
        <f>MAX(U122:V122)</f>
        <v>1.6</v>
      </c>
      <c r="X122" s="9" t="s">
        <v>17</v>
      </c>
      <c r="Y122" s="200">
        <v>6.6317</v>
      </c>
      <c r="Z122" s="184">
        <f>1.87*B122</f>
        <v>14.96</v>
      </c>
      <c r="AA122" s="184">
        <f>H122-SUM(K122:P122)*H122-J122-I122/B122-Z122/B122</f>
        <v>6.48265</v>
      </c>
      <c r="AB122" s="202">
        <f>AA122/H122</f>
        <v>0.108062177029505</v>
      </c>
      <c r="AC122" s="8"/>
      <c r="AD122" s="203">
        <f>J122/H122</f>
        <v>0.0765127521253542</v>
      </c>
      <c r="AE122" s="192">
        <f>I122/7.4/H122</f>
        <v>0.304375053499908</v>
      </c>
      <c r="AF122" s="192">
        <f>Z122/7.4/H122</f>
        <v>0.0336993102454013</v>
      </c>
      <c r="AG122" s="192">
        <v>0.15</v>
      </c>
      <c r="AH122" s="192">
        <v>0.14</v>
      </c>
      <c r="AI122" s="192">
        <v>0.02</v>
      </c>
      <c r="AJ122" s="192">
        <f>M122</f>
        <v>0.035</v>
      </c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</row>
    <row r="123" spans="1:75">
      <c r="A123" s="7" t="s">
        <v>173</v>
      </c>
      <c r="B123" s="14">
        <v>8</v>
      </c>
      <c r="C123" s="9" t="s">
        <v>120</v>
      </c>
      <c r="D123" s="9" t="s">
        <v>121</v>
      </c>
      <c r="E123" s="9" t="s">
        <v>108</v>
      </c>
      <c r="F123" s="184">
        <f>IF(E123="有",(I123/B123+J123+Z123/B123)/(0.99999-K123-L123-M123-N123),(I123/B123+J123+Z123/B123)/(0.99999-K123-M123-N123))</f>
        <v>44.655697559919</v>
      </c>
      <c r="G123" s="184">
        <f>IF(E123="有",(I123/B123+J123+Z123/B123)/(0.8-K123-L123-M123-N123-O123-P123),(I123/B123+J123+Z123/B123)/(0.8-K123-M123-N123-O123-P123))</f>
        <v>78.36250328538</v>
      </c>
      <c r="H123" s="8">
        <v>52.99</v>
      </c>
      <c r="I123" s="184">
        <v>135.12</v>
      </c>
      <c r="J123" s="9">
        <v>4.59</v>
      </c>
      <c r="K123" s="192">
        <v>0.15</v>
      </c>
      <c r="L123" s="192">
        <v>0.16</v>
      </c>
      <c r="M123" s="202">
        <v>0.035</v>
      </c>
      <c r="N123" s="192">
        <f>Q123/H123</f>
        <v>0.132100396301189</v>
      </c>
      <c r="O123" s="193">
        <f>0.261/H123</f>
        <v>0.00492545763351576</v>
      </c>
      <c r="P123" s="192">
        <v>0.02</v>
      </c>
      <c r="Q123" s="184">
        <v>7</v>
      </c>
      <c r="R123" s="9">
        <v>32</v>
      </c>
      <c r="S123" s="9">
        <v>17.3</v>
      </c>
      <c r="T123" s="9">
        <v>17.3</v>
      </c>
      <c r="U123" s="9">
        <v>1.6</v>
      </c>
      <c r="V123" s="184">
        <f>R123*S123*T123/6000</f>
        <v>1.59621333333333</v>
      </c>
      <c r="W123" s="184">
        <f>MAX(U123:V123)</f>
        <v>1.6</v>
      </c>
      <c r="X123" s="9" t="s">
        <v>17</v>
      </c>
      <c r="Y123" s="200">
        <v>6.6317</v>
      </c>
      <c r="Z123" s="184">
        <f>1.87*B123</f>
        <v>14.96</v>
      </c>
      <c r="AA123" s="184">
        <f>H123-SUM(K123:P123)*H123-J123-I123/B123-Z123/B123</f>
        <v>3.03765000000001</v>
      </c>
      <c r="AB123" s="202">
        <f>AA123/H123</f>
        <v>0.0573249669749011</v>
      </c>
      <c r="AC123" s="8"/>
      <c r="AD123" s="203">
        <f>J123/H123</f>
        <v>0.0866201170032082</v>
      </c>
      <c r="AE123" s="192">
        <f>I123/7.4/H123</f>
        <v>0.344583118691441</v>
      </c>
      <c r="AF123" s="192">
        <f>Z123/7.4/H123</f>
        <v>0.0381510024838955</v>
      </c>
      <c r="AG123" s="192">
        <v>0.15</v>
      </c>
      <c r="AH123" s="192">
        <v>0.14</v>
      </c>
      <c r="AI123" s="192">
        <v>0.02</v>
      </c>
      <c r="AJ123" s="192">
        <f>M123</f>
        <v>0.035</v>
      </c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</row>
    <row r="124" spans="1:75">
      <c r="A124" s="7" t="s">
        <v>173</v>
      </c>
      <c r="B124" s="14">
        <v>8</v>
      </c>
      <c r="C124" s="9" t="s">
        <v>120</v>
      </c>
      <c r="D124" s="9" t="s">
        <v>121</v>
      </c>
      <c r="E124" s="9" t="s">
        <v>108</v>
      </c>
      <c r="F124" s="184">
        <f>IF(E124="有",(I124/B124+J124+Z124/B124)/(0.99999-K124-L124-M124-N124),(I124/B124+J124+Z124/B124)/(0.99999-K124-M124-N124))</f>
        <v>43.647634073101</v>
      </c>
      <c r="G124" s="184">
        <f>IF(E124="有",(I124/B124+J124+Z124/B124)/(0.8-K124-L124-M124-N124-O124-P124),(I124/B124+J124+Z124/B124)/(0.8-K124-M124-N124-O124-P124))</f>
        <v>75.382168792966</v>
      </c>
      <c r="H124" s="9">
        <v>49.99</v>
      </c>
      <c r="I124" s="184">
        <v>135.12</v>
      </c>
      <c r="J124" s="9">
        <v>4.59</v>
      </c>
      <c r="K124" s="192">
        <v>0.15</v>
      </c>
      <c r="L124" s="192">
        <v>0.16</v>
      </c>
      <c r="M124" s="202">
        <v>0.035</v>
      </c>
      <c r="N124" s="192">
        <f>Q124/H124</f>
        <v>0.12002400480096</v>
      </c>
      <c r="O124" s="193">
        <f>0.261/H124</f>
        <v>0.00522104420884177</v>
      </c>
      <c r="P124" s="192">
        <v>0.02</v>
      </c>
      <c r="Q124" s="184">
        <v>6</v>
      </c>
      <c r="R124" s="9">
        <v>32</v>
      </c>
      <c r="S124" s="9">
        <v>17.3</v>
      </c>
      <c r="T124" s="9">
        <v>17.3</v>
      </c>
      <c r="U124" s="9">
        <v>1.6</v>
      </c>
      <c r="V124" s="184">
        <f>R124*S124*T124/6000</f>
        <v>1.59621333333333</v>
      </c>
      <c r="W124" s="184">
        <f>MAX(U124:V124)</f>
        <v>1.6</v>
      </c>
      <c r="X124" s="9" t="s">
        <v>17</v>
      </c>
      <c r="Y124" s="200">
        <v>6.6317</v>
      </c>
      <c r="Z124" s="184">
        <f>1.87*B124</f>
        <v>14.96</v>
      </c>
      <c r="AA124" s="184">
        <f>H124-SUM(K124:P124)*H124-J124-I124/B124-Z124/B124</f>
        <v>2.13265</v>
      </c>
      <c r="AB124" s="202">
        <f>AA124/H124</f>
        <v>0.0426615323064613</v>
      </c>
      <c r="AC124" s="8"/>
      <c r="AD124" s="203">
        <f>J124/H124</f>
        <v>0.0918183636727345</v>
      </c>
      <c r="AE124" s="192">
        <f>I124/7.4/H124</f>
        <v>0.365262241637517</v>
      </c>
      <c r="AF124" s="192">
        <f>Z124/7.4/H124</f>
        <v>0.0404405205365397</v>
      </c>
      <c r="AG124" s="192">
        <v>0.15</v>
      </c>
      <c r="AH124" s="192">
        <v>0.14</v>
      </c>
      <c r="AI124" s="192">
        <v>0.02</v>
      </c>
      <c r="AJ124" s="192">
        <f>M124</f>
        <v>0.035</v>
      </c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</row>
    <row r="125" spans="1:75">
      <c r="A125" s="7" t="s">
        <v>173</v>
      </c>
      <c r="B125" s="14">
        <v>8</v>
      </c>
      <c r="C125" s="9" t="s">
        <v>120</v>
      </c>
      <c r="D125" s="9" t="s">
        <v>121</v>
      </c>
      <c r="E125" s="9" t="s">
        <v>108</v>
      </c>
      <c r="F125" s="184">
        <f>IF(E125="有",(I125/B125+J125+Z125/B125)/(0.99999-K125-L125-M125-N125),(I125/B125+J125+Z125/B125)/(0.99999-K125-M125-N125))</f>
        <v>43.5704212118527</v>
      </c>
      <c r="G125" s="184">
        <f>IF(E125="有",(I125/B125+J125+Z125/B125)/(0.8-K125-L125-M125-N125-O125-P125),(I125/B125+J125+Z125/B125)/(0.8-K125-M125-N125-O125-P125))</f>
        <v>75.3935323134418</v>
      </c>
      <c r="H125" s="9">
        <v>41.99</v>
      </c>
      <c r="I125" s="184">
        <v>135.12</v>
      </c>
      <c r="J125" s="9">
        <v>4.59</v>
      </c>
      <c r="K125" s="192">
        <v>0.15</v>
      </c>
      <c r="L125" s="192">
        <v>0.16</v>
      </c>
      <c r="M125" s="202">
        <v>0.035</v>
      </c>
      <c r="N125" s="192">
        <f>Q125/H125</f>
        <v>0.119075970469159</v>
      </c>
      <c r="O125" s="193">
        <f>0.261/H125</f>
        <v>0.00621576565849012</v>
      </c>
      <c r="P125" s="192">
        <v>0.02</v>
      </c>
      <c r="Q125" s="184">
        <v>5</v>
      </c>
      <c r="R125" s="9">
        <v>32</v>
      </c>
      <c r="S125" s="9">
        <v>17.3</v>
      </c>
      <c r="T125" s="9">
        <v>17.3</v>
      </c>
      <c r="U125" s="9">
        <v>1.6</v>
      </c>
      <c r="V125" s="184">
        <f>R125*S125*T125/6000</f>
        <v>1.59621333333333</v>
      </c>
      <c r="W125" s="184">
        <f>MAX(U125:V125)</f>
        <v>1.6</v>
      </c>
      <c r="X125" s="9" t="s">
        <v>17</v>
      </c>
      <c r="Y125" s="200">
        <v>6.6317</v>
      </c>
      <c r="Z125" s="184">
        <f>1.87*B125</f>
        <v>14.96</v>
      </c>
      <c r="AA125" s="184">
        <f>H125-SUM(K125:P125)*H125-J125-I125/B125-Z125/B125</f>
        <v>-1.94735</v>
      </c>
      <c r="AB125" s="202">
        <f>AA125/H125</f>
        <v>-0.0463765182186235</v>
      </c>
      <c r="AC125" s="8"/>
      <c r="AD125" s="203">
        <f>J125/H125</f>
        <v>0.109311740890688</v>
      </c>
      <c r="AE125" s="192">
        <f>I125/7.4/H125</f>
        <v>0.434852571075481</v>
      </c>
      <c r="AF125" s="192">
        <f>Z125/7.4/H125</f>
        <v>0.048145311303206</v>
      </c>
      <c r="AG125" s="192">
        <v>0.15</v>
      </c>
      <c r="AH125" s="192">
        <v>0.14</v>
      </c>
      <c r="AI125" s="192">
        <v>0.02</v>
      </c>
      <c r="AJ125" s="192">
        <f>M125</f>
        <v>0.035</v>
      </c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</row>
    <row r="126" spans="1:46">
      <c r="A126" s="7"/>
      <c r="B126" s="7"/>
      <c r="C126" s="9"/>
      <c r="D126" s="9"/>
      <c r="E126" s="9"/>
      <c r="F126" s="184"/>
      <c r="G126" s="184"/>
      <c r="H126" s="8"/>
      <c r="I126" s="184"/>
      <c r="J126" s="8"/>
      <c r="K126" s="192"/>
      <c r="L126" s="192"/>
      <c r="M126" s="192"/>
      <c r="N126" s="192"/>
      <c r="O126" s="193"/>
      <c r="P126" s="192"/>
      <c r="Q126" s="192"/>
      <c r="R126" s="8"/>
      <c r="S126" s="8"/>
      <c r="T126" s="8"/>
      <c r="U126" s="8"/>
      <c r="V126" s="184"/>
      <c r="W126" s="184"/>
      <c r="X126" s="8"/>
      <c r="Y126" s="200"/>
      <c r="Z126" s="184"/>
      <c r="AA126" s="184"/>
      <c r="AB126" s="202"/>
      <c r="AC126" s="8"/>
      <c r="AD126" s="203"/>
      <c r="AE126" s="192"/>
      <c r="AF126" s="192"/>
      <c r="AG126" s="192"/>
      <c r="AH126" s="192"/>
      <c r="AI126" s="192"/>
      <c r="AJ126" s="192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1:46">
      <c r="A127" s="7"/>
      <c r="B127" s="7"/>
      <c r="C127" s="9"/>
      <c r="D127" s="9"/>
      <c r="E127" s="9"/>
      <c r="F127" s="184"/>
      <c r="G127" s="184"/>
      <c r="H127" s="8"/>
      <c r="I127" s="184"/>
      <c r="J127" s="8"/>
      <c r="K127" s="192"/>
      <c r="L127" s="192"/>
      <c r="M127" s="192"/>
      <c r="N127" s="192"/>
      <c r="O127" s="193"/>
      <c r="P127" s="192"/>
      <c r="Q127" s="192"/>
      <c r="R127" s="8"/>
      <c r="S127" s="8"/>
      <c r="T127" s="8"/>
      <c r="U127" s="8"/>
      <c r="V127" s="184"/>
      <c r="W127" s="184"/>
      <c r="X127" s="8"/>
      <c r="Y127" s="200"/>
      <c r="Z127" s="184"/>
      <c r="AA127" s="184"/>
      <c r="AB127" s="202"/>
      <c r="AC127" s="8"/>
      <c r="AD127" s="203"/>
      <c r="AE127" s="192"/>
      <c r="AF127" s="192"/>
      <c r="AG127" s="192"/>
      <c r="AH127" s="192"/>
      <c r="AI127" s="192"/>
      <c r="AJ127" s="192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1:75">
      <c r="A128" s="14"/>
      <c r="B128" s="14"/>
      <c r="C128" s="9"/>
      <c r="D128" s="9"/>
      <c r="E128" s="9"/>
      <c r="F128" s="184"/>
      <c r="G128" s="184"/>
      <c r="H128" s="9"/>
      <c r="I128" s="184"/>
      <c r="J128" s="9"/>
      <c r="K128" s="192"/>
      <c r="L128" s="192"/>
      <c r="M128" s="192"/>
      <c r="N128" s="192"/>
      <c r="O128" s="193"/>
      <c r="P128" s="192"/>
      <c r="Q128" s="192"/>
      <c r="R128" s="9"/>
      <c r="S128" s="9"/>
      <c r="T128" s="9"/>
      <c r="U128" s="9"/>
      <c r="V128" s="184"/>
      <c r="W128" s="184"/>
      <c r="X128" s="9"/>
      <c r="Y128" s="200"/>
      <c r="Z128" s="184"/>
      <c r="AA128" s="184"/>
      <c r="AB128" s="202"/>
      <c r="AC128" s="8"/>
      <c r="AD128" s="203"/>
      <c r="AE128" s="192"/>
      <c r="AF128" s="192"/>
      <c r="AG128" s="192"/>
      <c r="AH128" s="192"/>
      <c r="AI128" s="192"/>
      <c r="AJ128" s="192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</row>
    <row r="129" spans="1:75">
      <c r="A129" s="14"/>
      <c r="B129" s="14"/>
      <c r="C129" s="9"/>
      <c r="D129" s="9"/>
      <c r="E129" s="9"/>
      <c r="F129" s="184"/>
      <c r="G129" s="184"/>
      <c r="H129" s="9"/>
      <c r="I129" s="184"/>
      <c r="J129" s="9"/>
      <c r="K129" s="192"/>
      <c r="L129" s="192"/>
      <c r="M129" s="192"/>
      <c r="N129" s="192"/>
      <c r="O129" s="193"/>
      <c r="P129" s="192"/>
      <c r="Q129" s="192"/>
      <c r="R129" s="9"/>
      <c r="S129" s="9"/>
      <c r="T129" s="9"/>
      <c r="U129" s="9"/>
      <c r="V129" s="184"/>
      <c r="W129" s="184"/>
      <c r="X129" s="9"/>
      <c r="Y129" s="200"/>
      <c r="Z129" s="184"/>
      <c r="AA129" s="184"/>
      <c r="AB129" s="202"/>
      <c r="AC129" s="8"/>
      <c r="AD129" s="203"/>
      <c r="AE129" s="192"/>
      <c r="AF129" s="192"/>
      <c r="AG129" s="192"/>
      <c r="AH129" s="192"/>
      <c r="AI129" s="192"/>
      <c r="AJ129" s="192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</row>
    <row r="130" spans="1:75">
      <c r="A130" s="14"/>
      <c r="B130" s="14"/>
      <c r="C130" s="9"/>
      <c r="D130" s="9"/>
      <c r="E130" s="9"/>
      <c r="F130" s="184"/>
      <c r="G130" s="184"/>
      <c r="H130" s="9"/>
      <c r="I130" s="184"/>
      <c r="J130" s="9"/>
      <c r="K130" s="192"/>
      <c r="L130" s="192"/>
      <c r="M130" s="192"/>
      <c r="N130" s="192"/>
      <c r="O130" s="193"/>
      <c r="P130" s="192"/>
      <c r="Q130" s="192"/>
      <c r="R130" s="9"/>
      <c r="S130" s="9"/>
      <c r="T130" s="9"/>
      <c r="U130" s="9"/>
      <c r="V130" s="184"/>
      <c r="W130" s="184"/>
      <c r="X130" s="9"/>
      <c r="Y130" s="200"/>
      <c r="Z130" s="184"/>
      <c r="AA130" s="184"/>
      <c r="AB130" s="202"/>
      <c r="AC130" s="8"/>
      <c r="AD130" s="203"/>
      <c r="AE130" s="192"/>
      <c r="AF130" s="192"/>
      <c r="AG130" s="192"/>
      <c r="AH130" s="192"/>
      <c r="AI130" s="192"/>
      <c r="AJ130" s="192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</row>
    <row r="131" spans="1:75">
      <c r="A131" s="14"/>
      <c r="B131" s="14"/>
      <c r="C131" s="9"/>
      <c r="D131" s="9"/>
      <c r="E131" s="9"/>
      <c r="F131" s="184"/>
      <c r="G131" s="184"/>
      <c r="H131" s="9"/>
      <c r="I131" s="184"/>
      <c r="J131" s="9"/>
      <c r="K131" s="192"/>
      <c r="L131" s="192"/>
      <c r="M131" s="192"/>
      <c r="N131" s="192"/>
      <c r="O131" s="193"/>
      <c r="P131" s="202"/>
      <c r="Q131" s="192"/>
      <c r="R131" s="8"/>
      <c r="S131" s="9"/>
      <c r="T131" s="9"/>
      <c r="U131" s="9"/>
      <c r="V131" s="184"/>
      <c r="W131" s="184"/>
      <c r="X131" s="9"/>
      <c r="Y131" s="200"/>
      <c r="Z131" s="184"/>
      <c r="AA131" s="184"/>
      <c r="AB131" s="202"/>
      <c r="AC131" s="8"/>
      <c r="AD131" s="203"/>
      <c r="AE131" s="192"/>
      <c r="AF131" s="192"/>
      <c r="AG131" s="192"/>
      <c r="AH131" s="192"/>
      <c r="AI131" s="192"/>
      <c r="AJ131" s="192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</row>
    <row r="132" spans="1:75">
      <c r="A132" s="7"/>
      <c r="B132" s="14"/>
      <c r="C132" s="9"/>
      <c r="D132" s="9"/>
      <c r="E132" s="9"/>
      <c r="F132" s="184"/>
      <c r="G132" s="184"/>
      <c r="H132" s="9"/>
      <c r="I132" s="184"/>
      <c r="J132" s="9"/>
      <c r="K132" s="192"/>
      <c r="L132" s="192"/>
      <c r="M132" s="192"/>
      <c r="N132" s="192"/>
      <c r="O132" s="193"/>
      <c r="P132" s="192"/>
      <c r="Q132" s="192"/>
      <c r="R132" s="9"/>
      <c r="S132" s="9"/>
      <c r="T132" s="9"/>
      <c r="U132" s="9"/>
      <c r="V132" s="184"/>
      <c r="W132" s="184"/>
      <c r="X132" s="9"/>
      <c r="Y132" s="200"/>
      <c r="Z132" s="184"/>
      <c r="AA132" s="184"/>
      <c r="AB132" s="202"/>
      <c r="AC132" s="8"/>
      <c r="AD132" s="203"/>
      <c r="AE132" s="192"/>
      <c r="AF132" s="192"/>
      <c r="AG132" s="192"/>
      <c r="AH132" s="192"/>
      <c r="AI132" s="192"/>
      <c r="AJ132" s="192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</row>
    <row r="133" spans="1:46">
      <c r="A133" s="7" t="s">
        <v>174</v>
      </c>
      <c r="B133" s="7">
        <v>7.5</v>
      </c>
      <c r="C133" s="8" t="s">
        <v>106</v>
      </c>
      <c r="D133" s="8" t="s">
        <v>107</v>
      </c>
      <c r="E133" s="8" t="s">
        <v>108</v>
      </c>
      <c r="F133" s="184">
        <f>IF(E133="有",(I133/B133+J133+Z133/B133)/(0.99999-K133-L133-M133-N133),(I133/B133+J133+Z133/B133)/(0.99999-K133-M133-N133))</f>
        <v>26.8812886267515</v>
      </c>
      <c r="G133" s="184">
        <f>IF(E133="有",(I133/B133+J133+Z133/B133)/(0.8-K133-L133-M133-N133-O133-P133),(I133/B133+J133+Z133/B133)/(0.8-K133-M133-N133-O133-P133))</f>
        <v>46.1062320023702</v>
      </c>
      <c r="H133" s="8">
        <v>39.99</v>
      </c>
      <c r="I133" s="184">
        <f>88/1.13</f>
        <v>77.8761061946903</v>
      </c>
      <c r="J133" s="8">
        <v>3.41</v>
      </c>
      <c r="K133" s="192">
        <v>0.15</v>
      </c>
      <c r="L133" s="192">
        <v>0.16</v>
      </c>
      <c r="M133" s="192">
        <v>0.01</v>
      </c>
      <c r="N133" s="192">
        <v>0.15</v>
      </c>
      <c r="O133" s="193">
        <f>0.04/H133</f>
        <v>0.00100025006251563</v>
      </c>
      <c r="P133" s="192">
        <v>0.02</v>
      </c>
      <c r="Q133" s="192"/>
      <c r="R133" s="8">
        <v>11.5</v>
      </c>
      <c r="S133" s="8">
        <v>11.5</v>
      </c>
      <c r="T133" s="8">
        <v>10</v>
      </c>
      <c r="U133" s="8">
        <v>0.5</v>
      </c>
      <c r="V133" s="184">
        <f>R133*S133*T133/6000</f>
        <v>0.220416666666667</v>
      </c>
      <c r="W133" s="184">
        <f>MAX(U133:V133)</f>
        <v>0.5</v>
      </c>
      <c r="X133" s="8" t="s">
        <v>16</v>
      </c>
      <c r="Y133" s="200">
        <v>6.8</v>
      </c>
      <c r="Z133" s="184">
        <f>W133*Y133</f>
        <v>3.4</v>
      </c>
      <c r="AA133" s="184">
        <f>H133-SUM(K133:P133)*H133-J133-I133/B133-Z133/B133</f>
        <v>6.10808584070796</v>
      </c>
      <c r="AB133" s="202">
        <f>AA133/H133</f>
        <v>0.152740331100474</v>
      </c>
      <c r="AC133" s="8"/>
      <c r="AD133" s="203">
        <f>J133/H133</f>
        <v>0.0852713178294574</v>
      </c>
      <c r="AE133" s="192">
        <f>I133/7.4/H133</f>
        <v>0.263160743546327</v>
      </c>
      <c r="AF133" s="192">
        <f>Z133/7.4/H133</f>
        <v>0.011489358826193</v>
      </c>
      <c r="AG133" s="192">
        <v>0.15</v>
      </c>
      <c r="AH133" s="192">
        <v>0.15</v>
      </c>
      <c r="AI133" s="192">
        <v>0.02</v>
      </c>
      <c r="AJ133" s="192">
        <f>M133</f>
        <v>0.01</v>
      </c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:75">
      <c r="A134" s="7" t="s">
        <v>174</v>
      </c>
      <c r="B134" s="7">
        <v>7.5</v>
      </c>
      <c r="C134" s="8" t="s">
        <v>106</v>
      </c>
      <c r="D134" s="8" t="s">
        <v>107</v>
      </c>
      <c r="E134" s="8" t="s">
        <v>108</v>
      </c>
      <c r="F134" s="184">
        <f>IF(E134="有",(I134/B134+J134+Z134/B134)/(0.99999-K134-L134-M134-N134),(I134/B134+J134+Z134/B134)/(0.99999-K134-M134-N134))</f>
        <v>25.7681157339141</v>
      </c>
      <c r="G134" s="184">
        <f>IF(E134="有",(I134/B134+J134+Z134/B134)/(0.8-K134-L134-M134-N134-O134-P134),(I134/B134+J134+Z134/B134)/(0.8-K134-M134-N134-O134-P134))</f>
        <v>44.1969408084638</v>
      </c>
      <c r="H134" s="8">
        <v>39.99</v>
      </c>
      <c r="I134" s="184">
        <f>83/1.13</f>
        <v>73.4513274336283</v>
      </c>
      <c r="J134" s="8">
        <v>3.41</v>
      </c>
      <c r="K134" s="192">
        <v>0.15</v>
      </c>
      <c r="L134" s="192">
        <v>0.16</v>
      </c>
      <c r="M134" s="192">
        <v>0.01</v>
      </c>
      <c r="N134" s="192">
        <v>0.15</v>
      </c>
      <c r="O134" s="193">
        <f>0.04/H134</f>
        <v>0.00100025006251563</v>
      </c>
      <c r="P134" s="192">
        <v>0.02</v>
      </c>
      <c r="Q134" s="192"/>
      <c r="R134" s="8">
        <v>11.5</v>
      </c>
      <c r="S134" s="8">
        <v>11.5</v>
      </c>
      <c r="T134" s="8">
        <v>10</v>
      </c>
      <c r="U134" s="8">
        <v>0.5</v>
      </c>
      <c r="V134" s="184">
        <f>R134*S134*T134/6000</f>
        <v>0.220416666666667</v>
      </c>
      <c r="W134" s="184">
        <f>MAX(U134:V134)</f>
        <v>0.5</v>
      </c>
      <c r="X134" s="8" t="s">
        <v>16</v>
      </c>
      <c r="Y134" s="200">
        <v>6.8</v>
      </c>
      <c r="Z134" s="184">
        <f>W134*Y134</f>
        <v>3.4</v>
      </c>
      <c r="AA134" s="184">
        <f>H134-SUM(K134:P134)*H134-J134-I134/B134-Z134/B134</f>
        <v>6.69805634218289</v>
      </c>
      <c r="AB134" s="202">
        <f>AA134/H134</f>
        <v>0.167493281875041</v>
      </c>
      <c r="AC134" s="8"/>
      <c r="AD134" s="203">
        <f>J134/H134</f>
        <v>0.0852713178294574</v>
      </c>
      <c r="AE134" s="192">
        <f>I134/7.4/H134</f>
        <v>0.248208428572104</v>
      </c>
      <c r="AF134" s="192">
        <f>Z134/7.4/H134</f>
        <v>0.011489358826193</v>
      </c>
      <c r="AG134" s="192">
        <v>0.15</v>
      </c>
      <c r="AH134" s="192">
        <v>0.15</v>
      </c>
      <c r="AI134" s="192">
        <v>0.02</v>
      </c>
      <c r="AJ134" s="192">
        <f>M134</f>
        <v>0.01</v>
      </c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</row>
    <row r="135" spans="1:75">
      <c r="A135" s="7" t="s">
        <v>174</v>
      </c>
      <c r="B135" s="7">
        <v>7.5</v>
      </c>
      <c r="C135" s="8" t="s">
        <v>106</v>
      </c>
      <c r="D135" s="8" t="s">
        <v>107</v>
      </c>
      <c r="E135" s="8" t="s">
        <v>108</v>
      </c>
      <c r="F135" s="184">
        <f>IF(E135="有",(I135/B135+J135+Z135/B135)/(0.99999-K135-L135-M135-N135),(I135/B135+J135+Z135/B135)/(0.99999-K135-M135-N135))</f>
        <v>25.7681157339141</v>
      </c>
      <c r="G135" s="184">
        <f>IF(E135="有",(I135/B135+J135+Z135/B135)/(0.8-K135-L135-M135-N135-O135-P135),(I135/B135+J135+Z135/B135)/(0.8-K135-M135-N135-O135-P135))</f>
        <v>44.1969408084638</v>
      </c>
      <c r="H135" s="8">
        <v>39.99</v>
      </c>
      <c r="I135" s="184">
        <f>83/1.13</f>
        <v>73.4513274336283</v>
      </c>
      <c r="J135" s="8">
        <v>3.41</v>
      </c>
      <c r="K135" s="192">
        <v>0.15</v>
      </c>
      <c r="L135" s="192">
        <v>0.16</v>
      </c>
      <c r="M135" s="192">
        <v>0.01</v>
      </c>
      <c r="N135" s="192">
        <v>0.15</v>
      </c>
      <c r="O135" s="193">
        <f>0.04/H135</f>
        <v>0.00100025006251563</v>
      </c>
      <c r="P135" s="192">
        <v>0.02</v>
      </c>
      <c r="Q135" s="192"/>
      <c r="R135" s="8">
        <v>11.5</v>
      </c>
      <c r="S135" s="8">
        <v>11.5</v>
      </c>
      <c r="T135" s="8">
        <v>10</v>
      </c>
      <c r="U135" s="8">
        <v>0.5</v>
      </c>
      <c r="V135" s="184">
        <f>R135*S135*T135/6000</f>
        <v>0.220416666666667</v>
      </c>
      <c r="W135" s="184">
        <f>MAX(U135:V135)</f>
        <v>0.5</v>
      </c>
      <c r="X135" s="8" t="s">
        <v>16</v>
      </c>
      <c r="Y135" s="200">
        <v>6.8</v>
      </c>
      <c r="Z135" s="184">
        <f>W135*Y135</f>
        <v>3.4</v>
      </c>
      <c r="AA135" s="184">
        <f>H135-SUM(K135:P135)*H135-J135-I135/B135-Z135/B135</f>
        <v>6.69805634218289</v>
      </c>
      <c r="AB135" s="202">
        <f>AA135/H135</f>
        <v>0.167493281875041</v>
      </c>
      <c r="AC135" s="8"/>
      <c r="AD135" s="203">
        <f>J135/H135</f>
        <v>0.0852713178294574</v>
      </c>
      <c r="AE135" s="192">
        <f>I135/7.4/H135</f>
        <v>0.248208428572104</v>
      </c>
      <c r="AF135" s="192">
        <f>Z135/7.4/H135</f>
        <v>0.011489358826193</v>
      </c>
      <c r="AG135" s="192">
        <v>0.15</v>
      </c>
      <c r="AH135" s="192">
        <v>0.15</v>
      </c>
      <c r="AI135" s="192">
        <v>0.02</v>
      </c>
      <c r="AJ135" s="192">
        <f>M135</f>
        <v>0.01</v>
      </c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</row>
    <row r="136" spans="1:75">
      <c r="A136" s="7"/>
      <c r="B136" s="7"/>
      <c r="C136" s="8"/>
      <c r="D136" s="8"/>
      <c r="E136" s="8"/>
      <c r="F136" s="184"/>
      <c r="G136" s="184"/>
      <c r="H136" s="8"/>
      <c r="I136" s="184"/>
      <c r="J136" s="8"/>
      <c r="K136" s="192"/>
      <c r="L136" s="192"/>
      <c r="M136" s="192"/>
      <c r="N136" s="192"/>
      <c r="O136" s="193"/>
      <c r="P136" s="192"/>
      <c r="Q136" s="192"/>
      <c r="R136" s="8"/>
      <c r="S136" s="8"/>
      <c r="T136" s="8"/>
      <c r="U136" s="8"/>
      <c r="V136" s="184"/>
      <c r="W136" s="184"/>
      <c r="X136" s="8"/>
      <c r="Y136" s="200"/>
      <c r="Z136" s="184"/>
      <c r="AA136" s="184"/>
      <c r="AB136" s="202"/>
      <c r="AC136" s="8"/>
      <c r="AD136" s="203"/>
      <c r="AE136" s="192"/>
      <c r="AF136" s="192"/>
      <c r="AG136" s="192"/>
      <c r="AH136" s="192"/>
      <c r="AI136" s="192"/>
      <c r="AJ136" s="192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</row>
    <row r="137" spans="1:75">
      <c r="A137" s="7" t="s">
        <v>175</v>
      </c>
      <c r="B137" s="7">
        <v>7.5</v>
      </c>
      <c r="C137" s="8" t="s">
        <v>106</v>
      </c>
      <c r="D137" s="8" t="s">
        <v>107</v>
      </c>
      <c r="E137" s="8" t="s">
        <v>108</v>
      </c>
      <c r="F137" s="184">
        <f>IF(E137="有",(I137/B137+J137+Z137/B137)/(0.99999-K137-L137-M137-N137),(I137/B137+J137+Z137/B137)/(0.99999-K137-M137-N137))</f>
        <v>31.73672615073</v>
      </c>
      <c r="G137" s="184">
        <f>IF(E137="有",(I137/B137+J137+Z137/B137)/(0.8-K137-L137-M137-N137-O137-P137),(I137/B137+J137+Z137/B137)/(0.8-K137-M137-N137-O137-P137))</f>
        <v>54.4341783319513</v>
      </c>
      <c r="H137" s="8">
        <v>39.99</v>
      </c>
      <c r="I137" s="184">
        <f>88/1.13</f>
        <v>77.8761061946903</v>
      </c>
      <c r="J137" s="8">
        <v>3.41</v>
      </c>
      <c r="K137" s="192">
        <v>0.15</v>
      </c>
      <c r="L137" s="192">
        <v>0.16</v>
      </c>
      <c r="M137" s="192">
        <v>0.01</v>
      </c>
      <c r="N137" s="192">
        <v>0.15</v>
      </c>
      <c r="O137" s="193">
        <f>0.04/H137</f>
        <v>0.00100025006251563</v>
      </c>
      <c r="P137" s="192">
        <v>0.02</v>
      </c>
      <c r="Q137" s="192"/>
      <c r="R137" s="8">
        <v>11.5</v>
      </c>
      <c r="S137" s="8">
        <v>11.5</v>
      </c>
      <c r="T137" s="8">
        <v>10</v>
      </c>
      <c r="U137" s="8">
        <v>0.5</v>
      </c>
      <c r="V137" s="184">
        <f>R137*S137*T137/6000</f>
        <v>0.220416666666667</v>
      </c>
      <c r="W137" s="184">
        <f>MAX(U137:V137)</f>
        <v>0.5</v>
      </c>
      <c r="X137" s="8" t="s">
        <v>14</v>
      </c>
      <c r="Y137" s="200">
        <v>21.8</v>
      </c>
      <c r="Z137" s="184">
        <v>22.7</v>
      </c>
      <c r="AA137" s="184">
        <f>H137-SUM(K137:P137)*H137-J137-I137/B137-Z137/B137</f>
        <v>3.53475250737463</v>
      </c>
      <c r="AB137" s="202">
        <f>AA137/H137</f>
        <v>0.0883909104119688</v>
      </c>
      <c r="AC137" s="8"/>
      <c r="AD137" s="203">
        <f>J137/H137</f>
        <v>0.0852713178294574</v>
      </c>
      <c r="AE137" s="192">
        <f>I137/7.4/H137</f>
        <v>0.263160743546327</v>
      </c>
      <c r="AF137" s="192">
        <f>Z137/7.4/H137</f>
        <v>0.0767083662807594</v>
      </c>
      <c r="AG137" s="192">
        <v>0.15</v>
      </c>
      <c r="AH137" s="192">
        <v>0.15</v>
      </c>
      <c r="AI137" s="192">
        <v>0.02</v>
      </c>
      <c r="AJ137" s="192">
        <f t="shared" ref="AJ137:AJ160" si="0">M137</f>
        <v>0.01</v>
      </c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</row>
    <row r="138" spans="1:75">
      <c r="A138" s="7" t="s">
        <v>175</v>
      </c>
      <c r="B138" s="7">
        <v>7.5</v>
      </c>
      <c r="C138" s="8" t="s">
        <v>106</v>
      </c>
      <c r="D138" s="8" t="s">
        <v>107</v>
      </c>
      <c r="E138" s="8" t="s">
        <v>108</v>
      </c>
      <c r="F138" s="184">
        <f>IF(E138="有",(I138/B138+J138+Z138/B138)/(0.99999-K138-L138-M138-N138),(I138/B138+J138+Z138/B138)/(0.99999-K138-M138-N138))</f>
        <v>31.73672615073</v>
      </c>
      <c r="G138" s="184">
        <f>IF(E138="有",(I138/B138+J138+Z138/B138)/(0.8-K138-L138-M138-N138-O138-P138),(I138/B138+J138+Z138/B138)/(0.8-K138-M138-N138-O138-P138))</f>
        <v>54.4341783319513</v>
      </c>
      <c r="H138" s="8">
        <v>39.99</v>
      </c>
      <c r="I138" s="184">
        <f>88/1.13</f>
        <v>77.8761061946903</v>
      </c>
      <c r="J138" s="8">
        <v>3.41</v>
      </c>
      <c r="K138" s="192">
        <v>0.15</v>
      </c>
      <c r="L138" s="192">
        <v>0.16</v>
      </c>
      <c r="M138" s="192">
        <v>0.01</v>
      </c>
      <c r="N138" s="192">
        <v>0.15</v>
      </c>
      <c r="O138" s="193">
        <f>0.04/H138</f>
        <v>0.00100025006251563</v>
      </c>
      <c r="P138" s="192">
        <v>0.02</v>
      </c>
      <c r="Q138" s="192"/>
      <c r="R138" s="8">
        <v>11.5</v>
      </c>
      <c r="S138" s="8">
        <v>11.5</v>
      </c>
      <c r="T138" s="8">
        <v>10</v>
      </c>
      <c r="U138" s="8">
        <v>0.5</v>
      </c>
      <c r="V138" s="184">
        <f>R138*S138*T138/6000</f>
        <v>0.220416666666667</v>
      </c>
      <c r="W138" s="184">
        <f>MAX(U138:V138)</f>
        <v>0.5</v>
      </c>
      <c r="X138" s="8" t="s">
        <v>14</v>
      </c>
      <c r="Y138" s="200">
        <v>21.8</v>
      </c>
      <c r="Z138" s="184">
        <v>22.7</v>
      </c>
      <c r="AA138" s="184">
        <f>H138-SUM(K138:P138)*H138-J138-I138/B138-Z138/B138</f>
        <v>3.53475250737463</v>
      </c>
      <c r="AB138" s="202">
        <f>AA138/H138</f>
        <v>0.0883909104119688</v>
      </c>
      <c r="AC138" s="8"/>
      <c r="AD138" s="203">
        <f>J138/H138</f>
        <v>0.0852713178294574</v>
      </c>
      <c r="AE138" s="192">
        <f>I138/7.4/H138</f>
        <v>0.263160743546327</v>
      </c>
      <c r="AF138" s="192">
        <f>Z138/7.4/H138</f>
        <v>0.0767083662807594</v>
      </c>
      <c r="AG138" s="192">
        <v>0.15</v>
      </c>
      <c r="AH138" s="192">
        <v>0.15</v>
      </c>
      <c r="AI138" s="192">
        <v>0.02</v>
      </c>
      <c r="AJ138" s="192">
        <f t="shared" si="0"/>
        <v>0.01</v>
      </c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</row>
    <row r="139" spans="1:75">
      <c r="A139" s="7" t="s">
        <v>175</v>
      </c>
      <c r="B139" s="7">
        <v>7.5</v>
      </c>
      <c r="C139" s="8" t="s">
        <v>106</v>
      </c>
      <c r="D139" s="8" t="s">
        <v>107</v>
      </c>
      <c r="E139" s="8" t="s">
        <v>108</v>
      </c>
      <c r="F139" s="184">
        <f>IF(E139="有",(I139/B139+J139+Z139/B139)/(0.99999-K139-L139-M139-N139),(I139/B139+J139+Z139/B139)/(0.99999-K139-M139-N139))</f>
        <v>31.73672615073</v>
      </c>
      <c r="G139" s="184">
        <f>IF(E139="有",(I139/B139+J139+Z139/B139)/(0.8-K139-L139-M139-N139-O139-P139),(I139/B139+J139+Z139/B139)/(0.8-K139-M139-N139-O139-P139))</f>
        <v>54.4341783319513</v>
      </c>
      <c r="H139" s="8">
        <v>39.99</v>
      </c>
      <c r="I139" s="184">
        <f>88/1.13</f>
        <v>77.8761061946903</v>
      </c>
      <c r="J139" s="8">
        <v>3.41</v>
      </c>
      <c r="K139" s="192">
        <v>0.15</v>
      </c>
      <c r="L139" s="192">
        <v>0.16</v>
      </c>
      <c r="M139" s="192">
        <v>0.01</v>
      </c>
      <c r="N139" s="192">
        <v>0.15</v>
      </c>
      <c r="O139" s="193">
        <f>0.04/H139</f>
        <v>0.00100025006251563</v>
      </c>
      <c r="P139" s="192">
        <v>0.02</v>
      </c>
      <c r="Q139" s="192"/>
      <c r="R139" s="8">
        <v>11.5</v>
      </c>
      <c r="S139" s="8">
        <v>11.5</v>
      </c>
      <c r="T139" s="8">
        <v>10</v>
      </c>
      <c r="U139" s="8">
        <v>0.5</v>
      </c>
      <c r="V139" s="184">
        <f>R139*S139*T139/6000</f>
        <v>0.220416666666667</v>
      </c>
      <c r="W139" s="184">
        <f>MAX(U139:V139)</f>
        <v>0.5</v>
      </c>
      <c r="X139" s="8" t="s">
        <v>14</v>
      </c>
      <c r="Y139" s="200">
        <v>21.8</v>
      </c>
      <c r="Z139" s="184">
        <v>22.7</v>
      </c>
      <c r="AA139" s="184">
        <f>H139-SUM(K139:P139)*H139-J139-I139/B139-Z139/B139</f>
        <v>3.53475250737463</v>
      </c>
      <c r="AB139" s="202">
        <f>AA139/H139</f>
        <v>0.0883909104119688</v>
      </c>
      <c r="AC139" s="8"/>
      <c r="AD139" s="203">
        <f>J139/H139</f>
        <v>0.0852713178294574</v>
      </c>
      <c r="AE139" s="192">
        <f>I139/7.4/H139</f>
        <v>0.263160743546327</v>
      </c>
      <c r="AF139" s="192">
        <f>Z139/7.4/H139</f>
        <v>0.0767083662807594</v>
      </c>
      <c r="AG139" s="192">
        <v>0.15</v>
      </c>
      <c r="AH139" s="192">
        <v>0.15</v>
      </c>
      <c r="AI139" s="192">
        <v>0.02</v>
      </c>
      <c r="AJ139" s="192">
        <f t="shared" si="0"/>
        <v>0.01</v>
      </c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</row>
    <row r="140" spans="1:75">
      <c r="A140" s="7" t="s">
        <v>175</v>
      </c>
      <c r="B140" s="7">
        <v>7.5</v>
      </c>
      <c r="C140" s="8" t="s">
        <v>106</v>
      </c>
      <c r="D140" s="8" t="s">
        <v>107</v>
      </c>
      <c r="E140" s="8" t="s">
        <v>108</v>
      </c>
      <c r="F140" s="184">
        <f>IF(E140="有",(I140/B140+J140+Z140/B140)/(0.99999-K140-L140-M140-N140),(I140/B140+J140+Z140/B140)/(0.99999-K140-M140-N140))</f>
        <v>31.73672615073</v>
      </c>
      <c r="G140" s="184">
        <f>IF(E140="有",(I140/B140+J140+Z140/B140)/(0.8-K140-L140-M140-N140-O140-P140),(I140/B140+J140+Z140/B140)/(0.8-K140-M140-N140-O140-P140))</f>
        <v>54.4341783319513</v>
      </c>
      <c r="H140" s="8">
        <v>39.99</v>
      </c>
      <c r="I140" s="184">
        <f>88/1.13</f>
        <v>77.8761061946903</v>
      </c>
      <c r="J140" s="8">
        <v>3.41</v>
      </c>
      <c r="K140" s="192">
        <v>0.15</v>
      </c>
      <c r="L140" s="192">
        <v>0.16</v>
      </c>
      <c r="M140" s="192">
        <v>0.01</v>
      </c>
      <c r="N140" s="192">
        <v>0.15</v>
      </c>
      <c r="O140" s="193">
        <f>0.04/H140</f>
        <v>0.00100025006251563</v>
      </c>
      <c r="P140" s="192">
        <v>0.02</v>
      </c>
      <c r="Q140" s="192"/>
      <c r="R140" s="8">
        <v>11.5</v>
      </c>
      <c r="S140" s="8">
        <v>11.5</v>
      </c>
      <c r="T140" s="8">
        <v>10</v>
      </c>
      <c r="U140" s="8">
        <v>0.5</v>
      </c>
      <c r="V140" s="184">
        <f>R140*S140*T140/6000</f>
        <v>0.220416666666667</v>
      </c>
      <c r="W140" s="184">
        <f>MAX(U140:V140)</f>
        <v>0.5</v>
      </c>
      <c r="X140" s="8" t="s">
        <v>14</v>
      </c>
      <c r="Y140" s="200">
        <v>21.8</v>
      </c>
      <c r="Z140" s="184">
        <v>22.7</v>
      </c>
      <c r="AA140" s="184">
        <f>H140-SUM(K140:P140)*H140-J140-I140/B140-Z140/B140</f>
        <v>3.53475250737463</v>
      </c>
      <c r="AB140" s="202">
        <f>AA140/H140</f>
        <v>0.0883909104119688</v>
      </c>
      <c r="AC140" s="8"/>
      <c r="AD140" s="203">
        <f>J140/H140</f>
        <v>0.0852713178294574</v>
      </c>
      <c r="AE140" s="192">
        <f>I140/7.4/H140</f>
        <v>0.263160743546327</v>
      </c>
      <c r="AF140" s="192">
        <f>Z140/7.4/H140</f>
        <v>0.0767083662807594</v>
      </c>
      <c r="AG140" s="192">
        <v>0.15</v>
      </c>
      <c r="AH140" s="192">
        <v>0.15</v>
      </c>
      <c r="AI140" s="192">
        <v>0.02</v>
      </c>
      <c r="AJ140" s="192">
        <f t="shared" si="0"/>
        <v>0.01</v>
      </c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</row>
    <row r="141" spans="1:75">
      <c r="A141" s="7"/>
      <c r="B141" s="7"/>
      <c r="C141" s="8"/>
      <c r="D141" s="8"/>
      <c r="E141" s="8"/>
      <c r="F141" s="184"/>
      <c r="G141" s="184"/>
      <c r="H141" s="8"/>
      <c r="I141" s="184"/>
      <c r="J141" s="8"/>
      <c r="K141" s="192"/>
      <c r="L141" s="192"/>
      <c r="M141" s="192"/>
      <c r="N141" s="192"/>
      <c r="O141" s="193"/>
      <c r="P141" s="192"/>
      <c r="Q141" s="192"/>
      <c r="R141" s="8"/>
      <c r="S141" s="8"/>
      <c r="T141" s="8"/>
      <c r="U141" s="8"/>
      <c r="V141" s="184"/>
      <c r="W141" s="184"/>
      <c r="X141" s="8"/>
      <c r="Y141" s="200"/>
      <c r="Z141" s="184"/>
      <c r="AA141" s="184"/>
      <c r="AB141" s="202"/>
      <c r="AC141" s="8"/>
      <c r="AD141" s="203"/>
      <c r="AE141" s="192"/>
      <c r="AF141" s="192"/>
      <c r="AG141" s="192"/>
      <c r="AH141" s="192">
        <v>0.15</v>
      </c>
      <c r="AI141" s="192">
        <v>0.02</v>
      </c>
      <c r="AJ141" s="192">
        <f t="shared" si="0"/>
        <v>0</v>
      </c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</row>
    <row r="142" spans="1:75">
      <c r="A142" s="7" t="s">
        <v>176</v>
      </c>
      <c r="B142" s="7">
        <v>7.5</v>
      </c>
      <c r="C142" s="8" t="s">
        <v>106</v>
      </c>
      <c r="D142" s="8" t="s">
        <v>107</v>
      </c>
      <c r="E142" s="8" t="s">
        <v>108</v>
      </c>
      <c r="F142" s="184">
        <f t="shared" ref="F142:F147" si="1">IF(E142="有",(I142/B142+J142+Z142/B142)/(0.99999-K142-L142-M142-N142),(I142/B142+J142+Z142/B142)/(0.99999-K142-M142-N142))</f>
        <v>27.9379123366328</v>
      </c>
      <c r="G142" s="184">
        <f t="shared" ref="G142:G147" si="2">IF(E142="有",(I142/B142+J142+Z142/B142)/(0.8-K142-L142-M142-N142-O142-P142),(I142/B142+J142+Z142/B142)/(0.8-K142-M142-N142-O142-P142))</f>
        <v>47.9185312036262</v>
      </c>
      <c r="H142" s="8">
        <v>39.99</v>
      </c>
      <c r="I142" s="184">
        <f>88/1.13</f>
        <v>77.8761061946903</v>
      </c>
      <c r="J142" s="8">
        <v>3.41</v>
      </c>
      <c r="K142" s="192">
        <v>0.15</v>
      </c>
      <c r="L142" s="192">
        <v>0.16</v>
      </c>
      <c r="M142" s="192">
        <v>0.01</v>
      </c>
      <c r="N142" s="192">
        <v>0.15</v>
      </c>
      <c r="O142" s="193">
        <f t="shared" ref="O142:O147" si="3">0.04/H142</f>
        <v>0.00100025006251563</v>
      </c>
      <c r="P142" s="192">
        <v>0.02</v>
      </c>
      <c r="Q142" s="192"/>
      <c r="R142" s="8">
        <v>11.5</v>
      </c>
      <c r="S142" s="8">
        <v>11.5</v>
      </c>
      <c r="T142" s="8">
        <v>10</v>
      </c>
      <c r="U142" s="8">
        <v>0.5</v>
      </c>
      <c r="V142" s="184">
        <f t="shared" ref="V142:V147" si="4">R142*S142*T142/6000</f>
        <v>0.220416666666667</v>
      </c>
      <c r="W142" s="184">
        <f t="shared" ref="W142:W147" si="5">MAX(U142:V142)</f>
        <v>0.5</v>
      </c>
      <c r="X142" s="8" t="s">
        <v>112</v>
      </c>
      <c r="Y142" s="200">
        <v>15.2</v>
      </c>
      <c r="Z142" s="184">
        <f t="shared" ref="Z142:Z147" si="6">W142*Y142</f>
        <v>7.6</v>
      </c>
      <c r="AA142" s="184">
        <f t="shared" ref="AA142:AA147" si="7">H142-SUM(K142:P142)*H142-J142-I142/B142-Z142/B142</f>
        <v>5.54808584070796</v>
      </c>
      <c r="AB142" s="202">
        <f t="shared" ref="AB142:AB147" si="8">AA142/H142</f>
        <v>0.138736830225255</v>
      </c>
      <c r="AC142" s="8"/>
      <c r="AD142" s="203">
        <f t="shared" ref="AD142:AD147" si="9">J142/H142</f>
        <v>0.0852713178294574</v>
      </c>
      <c r="AE142" s="192">
        <f t="shared" ref="AE142:AE147" si="10">I142/7.4/H142</f>
        <v>0.263160743546327</v>
      </c>
      <c r="AF142" s="192">
        <f t="shared" ref="AF142:AF147" si="11">Z142/7.4/H142</f>
        <v>0.0256820961997256</v>
      </c>
      <c r="AG142" s="192">
        <v>0.15</v>
      </c>
      <c r="AH142" s="192">
        <v>0.15</v>
      </c>
      <c r="AI142" s="192">
        <v>0.02</v>
      </c>
      <c r="AJ142" s="192">
        <f t="shared" si="0"/>
        <v>0.01</v>
      </c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</row>
    <row r="143" spans="1:75">
      <c r="A143" s="7" t="s">
        <v>176</v>
      </c>
      <c r="B143" s="7">
        <v>7.5</v>
      </c>
      <c r="C143" s="8" t="s">
        <v>106</v>
      </c>
      <c r="D143" s="8" t="s">
        <v>107</v>
      </c>
      <c r="E143" s="8" t="s">
        <v>108</v>
      </c>
      <c r="F143" s="184">
        <f t="shared" si="1"/>
        <v>27.9379123366328</v>
      </c>
      <c r="G143" s="184">
        <f t="shared" si="2"/>
        <v>47.9185312036262</v>
      </c>
      <c r="H143" s="8">
        <v>39.99</v>
      </c>
      <c r="I143" s="184">
        <f>88/1.13</f>
        <v>77.8761061946903</v>
      </c>
      <c r="J143" s="8">
        <v>3.41</v>
      </c>
      <c r="K143" s="192">
        <v>0.15</v>
      </c>
      <c r="L143" s="192">
        <v>0.16</v>
      </c>
      <c r="M143" s="192">
        <v>0.01</v>
      </c>
      <c r="N143" s="192">
        <v>0.15</v>
      </c>
      <c r="O143" s="193">
        <f t="shared" si="3"/>
        <v>0.00100025006251563</v>
      </c>
      <c r="P143" s="192">
        <v>0.02</v>
      </c>
      <c r="Q143" s="192"/>
      <c r="R143" s="8">
        <v>11.5</v>
      </c>
      <c r="S143" s="8">
        <v>11.5</v>
      </c>
      <c r="T143" s="8">
        <v>10</v>
      </c>
      <c r="U143" s="8">
        <v>0.5</v>
      </c>
      <c r="V143" s="184">
        <f t="shared" si="4"/>
        <v>0.220416666666667</v>
      </c>
      <c r="W143" s="184">
        <f t="shared" si="5"/>
        <v>0.5</v>
      </c>
      <c r="X143" s="8" t="s">
        <v>112</v>
      </c>
      <c r="Y143" s="200">
        <v>15.2</v>
      </c>
      <c r="Z143" s="184">
        <f t="shared" si="6"/>
        <v>7.6</v>
      </c>
      <c r="AA143" s="184">
        <f t="shared" si="7"/>
        <v>5.54808584070796</v>
      </c>
      <c r="AB143" s="202">
        <f t="shared" si="8"/>
        <v>0.138736830225255</v>
      </c>
      <c r="AC143" s="8"/>
      <c r="AD143" s="203">
        <f t="shared" si="9"/>
        <v>0.0852713178294574</v>
      </c>
      <c r="AE143" s="192">
        <f t="shared" si="10"/>
        <v>0.263160743546327</v>
      </c>
      <c r="AF143" s="192">
        <f t="shared" si="11"/>
        <v>0.0256820961997256</v>
      </c>
      <c r="AG143" s="192">
        <v>0.15</v>
      </c>
      <c r="AH143" s="192">
        <v>0.15</v>
      </c>
      <c r="AI143" s="192">
        <v>0.02</v>
      </c>
      <c r="AJ143" s="192">
        <f t="shared" si="0"/>
        <v>0.01</v>
      </c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</row>
    <row r="144" spans="1:75">
      <c r="A144" s="7" t="s">
        <v>176</v>
      </c>
      <c r="B144" s="7">
        <v>7.5</v>
      </c>
      <c r="C144" s="8" t="s">
        <v>106</v>
      </c>
      <c r="D144" s="8" t="s">
        <v>107</v>
      </c>
      <c r="E144" s="8" t="s">
        <v>108</v>
      </c>
      <c r="F144" s="184">
        <f t="shared" si="1"/>
        <v>27.9379123366328</v>
      </c>
      <c r="G144" s="184">
        <f t="shared" si="2"/>
        <v>47.9185312036262</v>
      </c>
      <c r="H144" s="8">
        <v>39.99</v>
      </c>
      <c r="I144" s="184">
        <f>88/1.13</f>
        <v>77.8761061946903</v>
      </c>
      <c r="J144" s="8">
        <v>3.41</v>
      </c>
      <c r="K144" s="192">
        <v>0.15</v>
      </c>
      <c r="L144" s="192">
        <v>0.16</v>
      </c>
      <c r="M144" s="192">
        <v>0.01</v>
      </c>
      <c r="N144" s="192">
        <v>0.15</v>
      </c>
      <c r="O144" s="193">
        <f t="shared" si="3"/>
        <v>0.00100025006251563</v>
      </c>
      <c r="P144" s="192">
        <v>0.02</v>
      </c>
      <c r="Q144" s="192"/>
      <c r="R144" s="8">
        <v>11.5</v>
      </c>
      <c r="S144" s="8">
        <v>11.5</v>
      </c>
      <c r="T144" s="8">
        <v>10</v>
      </c>
      <c r="U144" s="8">
        <v>0.5</v>
      </c>
      <c r="V144" s="184">
        <f t="shared" si="4"/>
        <v>0.220416666666667</v>
      </c>
      <c r="W144" s="184">
        <f t="shared" si="5"/>
        <v>0.5</v>
      </c>
      <c r="X144" s="8" t="s">
        <v>112</v>
      </c>
      <c r="Y144" s="200">
        <v>15.2</v>
      </c>
      <c r="Z144" s="184">
        <f t="shared" si="6"/>
        <v>7.6</v>
      </c>
      <c r="AA144" s="184">
        <f t="shared" si="7"/>
        <v>5.54808584070796</v>
      </c>
      <c r="AB144" s="202">
        <f t="shared" si="8"/>
        <v>0.138736830225255</v>
      </c>
      <c r="AC144" s="8"/>
      <c r="AD144" s="203">
        <f t="shared" si="9"/>
        <v>0.0852713178294574</v>
      </c>
      <c r="AE144" s="192">
        <f t="shared" si="10"/>
        <v>0.263160743546327</v>
      </c>
      <c r="AF144" s="192">
        <f t="shared" si="11"/>
        <v>0.0256820961997256</v>
      </c>
      <c r="AG144" s="192">
        <v>0.15</v>
      </c>
      <c r="AH144" s="192">
        <v>0.15</v>
      </c>
      <c r="AI144" s="192">
        <v>0.02</v>
      </c>
      <c r="AJ144" s="192">
        <f t="shared" si="0"/>
        <v>0.01</v>
      </c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</row>
    <row r="145" spans="1:36">
      <c r="A145" s="14" t="s">
        <v>177</v>
      </c>
      <c r="B145" s="7">
        <v>9</v>
      </c>
      <c r="C145" s="9" t="s">
        <v>126</v>
      </c>
      <c r="D145" s="9" t="s">
        <v>127</v>
      </c>
      <c r="E145" s="9" t="s">
        <v>108</v>
      </c>
      <c r="F145" s="184">
        <f t="shared" si="1"/>
        <v>23.3407354686015</v>
      </c>
      <c r="G145" s="184">
        <f t="shared" si="2"/>
        <v>39.9368716266479</v>
      </c>
      <c r="H145" s="9">
        <v>39.99</v>
      </c>
      <c r="I145" s="184">
        <f>83/1.13</f>
        <v>73.4513274336283</v>
      </c>
      <c r="J145" s="9">
        <v>3.04</v>
      </c>
      <c r="K145" s="192">
        <v>0.15</v>
      </c>
      <c r="L145" s="192">
        <v>0.16</v>
      </c>
      <c r="M145" s="202">
        <v>0.0082</v>
      </c>
      <c r="N145" s="192">
        <v>0.15</v>
      </c>
      <c r="O145" s="193">
        <f t="shared" si="3"/>
        <v>0.00100025006251563</v>
      </c>
      <c r="P145" s="192">
        <v>0.02</v>
      </c>
      <c r="Q145" s="192"/>
      <c r="R145" s="9">
        <v>11.5</v>
      </c>
      <c r="S145" s="9">
        <v>11.5</v>
      </c>
      <c r="T145" s="9">
        <v>10</v>
      </c>
      <c r="U145" s="9">
        <v>0.5</v>
      </c>
      <c r="V145" s="184">
        <f t="shared" si="4"/>
        <v>0.220416666666667</v>
      </c>
      <c r="W145" s="184">
        <f t="shared" si="5"/>
        <v>0.5</v>
      </c>
      <c r="X145" s="8" t="s">
        <v>14</v>
      </c>
      <c r="Y145" s="200">
        <v>21.8</v>
      </c>
      <c r="Z145" s="184">
        <f t="shared" si="6"/>
        <v>10.9</v>
      </c>
      <c r="AA145" s="184">
        <f t="shared" si="7"/>
        <v>8.01451228515241</v>
      </c>
      <c r="AB145" s="202">
        <f t="shared" si="8"/>
        <v>0.200412910356399</v>
      </c>
      <c r="AC145" s="8"/>
      <c r="AD145" s="203">
        <f t="shared" si="9"/>
        <v>0.0760190047511878</v>
      </c>
      <c r="AE145" s="192">
        <f t="shared" si="10"/>
        <v>0.248208428572104</v>
      </c>
      <c r="AF145" s="192">
        <f t="shared" si="11"/>
        <v>0.0368335327075012</v>
      </c>
      <c r="AG145" s="192">
        <v>0.15</v>
      </c>
      <c r="AH145" s="192">
        <v>0.15</v>
      </c>
      <c r="AI145" s="192">
        <v>0.02</v>
      </c>
      <c r="AJ145" s="192">
        <f t="shared" si="0"/>
        <v>0.0082</v>
      </c>
    </row>
    <row r="146" spans="1:36">
      <c r="A146" s="14" t="s">
        <v>178</v>
      </c>
      <c r="B146" s="7">
        <v>9</v>
      </c>
      <c r="C146" s="9" t="s">
        <v>126</v>
      </c>
      <c r="D146" s="9" t="s">
        <v>127</v>
      </c>
      <c r="E146" s="9" t="s">
        <v>108</v>
      </c>
      <c r="F146" s="184">
        <f t="shared" si="1"/>
        <v>23.3407354686015</v>
      </c>
      <c r="G146" s="184">
        <f t="shared" si="2"/>
        <v>39.9511617337503</v>
      </c>
      <c r="H146" s="8">
        <v>35.99</v>
      </c>
      <c r="I146" s="184">
        <f>83/1.13</f>
        <v>73.4513274336283</v>
      </c>
      <c r="J146" s="9">
        <v>3.04</v>
      </c>
      <c r="K146" s="192">
        <v>0.15</v>
      </c>
      <c r="L146" s="192">
        <v>0.16</v>
      </c>
      <c r="M146" s="202">
        <v>0.0082</v>
      </c>
      <c r="N146" s="192">
        <v>0.15</v>
      </c>
      <c r="O146" s="193">
        <f t="shared" si="3"/>
        <v>0.00111141983884412</v>
      </c>
      <c r="P146" s="192">
        <v>0.02</v>
      </c>
      <c r="Q146" s="192"/>
      <c r="R146" s="9">
        <v>11.5</v>
      </c>
      <c r="S146" s="9">
        <v>11.5</v>
      </c>
      <c r="T146" s="9">
        <v>10</v>
      </c>
      <c r="U146" s="9">
        <v>0.5</v>
      </c>
      <c r="V146" s="184">
        <f t="shared" si="4"/>
        <v>0.220416666666667</v>
      </c>
      <c r="W146" s="184">
        <f t="shared" si="5"/>
        <v>0.5</v>
      </c>
      <c r="X146" s="9" t="s">
        <v>14</v>
      </c>
      <c r="Y146" s="200">
        <v>21.8</v>
      </c>
      <c r="Z146" s="184">
        <f t="shared" si="6"/>
        <v>10.9</v>
      </c>
      <c r="AA146" s="184">
        <f t="shared" si="7"/>
        <v>5.96731228515241</v>
      </c>
      <c r="AB146" s="202">
        <f t="shared" si="8"/>
        <v>0.165804731457416</v>
      </c>
      <c r="AC146" s="8"/>
      <c r="AD146" s="203">
        <f t="shared" si="9"/>
        <v>0.0844679077521534</v>
      </c>
      <c r="AE146" s="192">
        <f t="shared" si="10"/>
        <v>0.27579480574044</v>
      </c>
      <c r="AF146" s="192">
        <f t="shared" si="11"/>
        <v>0.0409272846060843</v>
      </c>
      <c r="AG146" s="192">
        <v>0.15</v>
      </c>
      <c r="AH146" s="192">
        <v>0.15</v>
      </c>
      <c r="AI146" s="192">
        <v>0.02</v>
      </c>
      <c r="AJ146" s="192">
        <f t="shared" si="0"/>
        <v>0.0082</v>
      </c>
    </row>
    <row r="147" spans="1:75">
      <c r="A147" s="14" t="s">
        <v>179</v>
      </c>
      <c r="B147" s="7">
        <v>9</v>
      </c>
      <c r="C147" s="9" t="s">
        <v>126</v>
      </c>
      <c r="D147" s="9" t="s">
        <v>127</v>
      </c>
      <c r="E147" s="9" t="s">
        <v>108</v>
      </c>
      <c r="F147" s="184">
        <f t="shared" si="1"/>
        <v>23.3407354686015</v>
      </c>
      <c r="G147" s="184">
        <f t="shared" si="2"/>
        <v>39.9797750361651</v>
      </c>
      <c r="H147" s="8">
        <v>29.99</v>
      </c>
      <c r="I147" s="184">
        <f>83/1.13</f>
        <v>73.4513274336283</v>
      </c>
      <c r="J147" s="9">
        <v>3.04</v>
      </c>
      <c r="K147" s="192">
        <v>0.15</v>
      </c>
      <c r="L147" s="192">
        <v>0.16</v>
      </c>
      <c r="M147" s="202">
        <v>0.0082</v>
      </c>
      <c r="N147" s="192">
        <v>0.15</v>
      </c>
      <c r="O147" s="193">
        <f t="shared" si="3"/>
        <v>0.00133377792597533</v>
      </c>
      <c r="P147" s="192">
        <v>0.02</v>
      </c>
      <c r="Q147" s="192"/>
      <c r="R147" s="9">
        <v>11.5</v>
      </c>
      <c r="S147" s="9">
        <v>11.5</v>
      </c>
      <c r="T147" s="9">
        <v>10</v>
      </c>
      <c r="U147" s="9">
        <v>0.5</v>
      </c>
      <c r="V147" s="184">
        <f t="shared" si="4"/>
        <v>0.220416666666667</v>
      </c>
      <c r="W147" s="184">
        <f t="shared" si="5"/>
        <v>0.5</v>
      </c>
      <c r="X147" s="9" t="s">
        <v>14</v>
      </c>
      <c r="Y147" s="200">
        <v>21.8</v>
      </c>
      <c r="Z147" s="184">
        <f t="shared" si="6"/>
        <v>10.9</v>
      </c>
      <c r="AA147" s="184">
        <f t="shared" si="7"/>
        <v>2.89651228515241</v>
      </c>
      <c r="AB147" s="202">
        <f t="shared" si="8"/>
        <v>0.0965826037063158</v>
      </c>
      <c r="AC147" s="8"/>
      <c r="AD147" s="203">
        <f t="shared" si="9"/>
        <v>0.101367122374125</v>
      </c>
      <c r="AE147" s="192">
        <f t="shared" si="10"/>
        <v>0.330972159339727</v>
      </c>
      <c r="AF147" s="192">
        <f t="shared" si="11"/>
        <v>0.04911547092274</v>
      </c>
      <c r="AG147" s="192">
        <v>0.15</v>
      </c>
      <c r="AH147" s="192">
        <v>0.15</v>
      </c>
      <c r="AI147" s="192">
        <v>0.02</v>
      </c>
      <c r="AJ147" s="192">
        <f t="shared" si="0"/>
        <v>0.0082</v>
      </c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</row>
    <row r="148" spans="1:75">
      <c r="A148" s="14"/>
      <c r="B148" s="14"/>
      <c r="C148" s="9"/>
      <c r="D148" s="9"/>
      <c r="E148" s="9"/>
      <c r="F148" s="184"/>
      <c r="G148" s="184"/>
      <c r="H148" s="9"/>
      <c r="I148" s="184"/>
      <c r="J148" s="9"/>
      <c r="K148" s="192"/>
      <c r="L148" s="192"/>
      <c r="M148" s="202"/>
      <c r="N148" s="192"/>
      <c r="O148" s="193"/>
      <c r="P148" s="192"/>
      <c r="Q148" s="192"/>
      <c r="R148" s="9"/>
      <c r="S148" s="9"/>
      <c r="T148" s="9"/>
      <c r="U148" s="9"/>
      <c r="V148" s="184"/>
      <c r="W148" s="184"/>
      <c r="X148" s="8"/>
      <c r="Y148" s="200"/>
      <c r="Z148" s="184"/>
      <c r="AA148" s="184"/>
      <c r="AB148" s="202"/>
      <c r="AC148" s="8"/>
      <c r="AD148" s="203"/>
      <c r="AE148" s="192"/>
      <c r="AF148" s="192"/>
      <c r="AG148" s="192"/>
      <c r="AH148" s="192">
        <v>0.15</v>
      </c>
      <c r="AI148" s="192">
        <v>0.02</v>
      </c>
      <c r="AJ148" s="192">
        <f t="shared" si="0"/>
        <v>0</v>
      </c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</row>
    <row r="149" spans="1:36">
      <c r="A149" s="7" t="s">
        <v>180</v>
      </c>
      <c r="B149" s="7">
        <v>9</v>
      </c>
      <c r="C149" s="9" t="s">
        <v>126</v>
      </c>
      <c r="D149" s="9" t="s">
        <v>127</v>
      </c>
      <c r="E149" s="9" t="s">
        <v>108</v>
      </c>
      <c r="F149" s="184">
        <f>IF(E149="有",(I149/B149+J149+Z149/B149)/(0.99999-K149-L149-M149-N149),(I149/B149+J149+Z149/B149)/(0.99999-K149-M149-N149))</f>
        <v>22.6512402417889</v>
      </c>
      <c r="G149" s="184">
        <f>IF(E149="有",(I149/B149+J149+Z149/B149)/(0.8-K149-L149-M149-N149-O149-P149),(I149/B149+J149+Z149/B149)/(0.8-K149-M149-N149-O149-P149))</f>
        <v>38.7571194976954</v>
      </c>
      <c r="H149" s="9">
        <v>39.99</v>
      </c>
      <c r="I149" s="184">
        <f>83/1.13</f>
        <v>73.4513274336283</v>
      </c>
      <c r="J149" s="9">
        <v>3.04</v>
      </c>
      <c r="K149" s="192">
        <v>0.15</v>
      </c>
      <c r="L149" s="192">
        <v>0.16</v>
      </c>
      <c r="M149" s="202">
        <v>0.0082</v>
      </c>
      <c r="N149" s="192">
        <v>0.15</v>
      </c>
      <c r="O149" s="193">
        <f>0.04/H149</f>
        <v>0.00100025006251563</v>
      </c>
      <c r="P149" s="192">
        <v>0.02</v>
      </c>
      <c r="Q149" s="192"/>
      <c r="R149" s="9">
        <v>11.5</v>
      </c>
      <c r="S149" s="9">
        <v>11.5</v>
      </c>
      <c r="T149" s="9">
        <v>10</v>
      </c>
      <c r="U149" s="9">
        <v>0.5</v>
      </c>
      <c r="V149" s="184">
        <f>R149*S149*T149/6000</f>
        <v>0.220416666666667</v>
      </c>
      <c r="W149" s="184">
        <f>MAX(U149:V149)</f>
        <v>0.5</v>
      </c>
      <c r="X149" s="9" t="s">
        <v>112</v>
      </c>
      <c r="Y149" s="200">
        <v>15.2</v>
      </c>
      <c r="Z149" s="184">
        <f>W149*Y149</f>
        <v>7.6</v>
      </c>
      <c r="AA149" s="184">
        <f>H149-SUM(K149:P149)*H149-J149-I149/B149-Z149/B149</f>
        <v>8.38117895181908</v>
      </c>
      <c r="AB149" s="202">
        <f>AA149/H149</f>
        <v>0.209581869262793</v>
      </c>
      <c r="AC149" s="8"/>
      <c r="AD149" s="203">
        <f>J149/H149</f>
        <v>0.0760190047511878</v>
      </c>
      <c r="AE149" s="192">
        <f>I149/7.4/H149</f>
        <v>0.248208428572104</v>
      </c>
      <c r="AF149" s="192">
        <f>Z149/7.4/H149</f>
        <v>0.0256820961997256</v>
      </c>
      <c r="AG149" s="192">
        <v>0.15</v>
      </c>
      <c r="AH149" s="192">
        <v>0.15</v>
      </c>
      <c r="AI149" s="192">
        <v>0.02</v>
      </c>
      <c r="AJ149" s="192">
        <f t="shared" si="0"/>
        <v>0.0082</v>
      </c>
    </row>
    <row r="150" spans="1:36">
      <c r="A150" s="7" t="s">
        <v>181</v>
      </c>
      <c r="B150" s="7">
        <v>9</v>
      </c>
      <c r="C150" s="9" t="s">
        <v>126</v>
      </c>
      <c r="D150" s="9" t="s">
        <v>127</v>
      </c>
      <c r="E150" s="9" t="s">
        <v>108</v>
      </c>
      <c r="F150" s="184">
        <f>IF(E150="有",(I150/B150+J150+Z150/B150)/(0.99999-K150-L150-M150-N150),(I150/B150+J150+Z150/B150)/(0.99999-K150-M150-N150))</f>
        <v>22.6512402417889</v>
      </c>
      <c r="G150" s="184">
        <f>IF(E150="有",(I150/B150+J150+Z150/B150)/(0.8-K150-L150-M150-N150-O150-P150),(I150/B150+J150+Z150/B150)/(0.8-K150-M150-N150-O150-P150))</f>
        <v>38.7571194976954</v>
      </c>
      <c r="H150" s="9">
        <v>39.99</v>
      </c>
      <c r="I150" s="184">
        <f>83/1.13</f>
        <v>73.4513274336283</v>
      </c>
      <c r="J150" s="9">
        <v>3.04</v>
      </c>
      <c r="K150" s="192">
        <v>0.15</v>
      </c>
      <c r="L150" s="192">
        <v>0.16</v>
      </c>
      <c r="M150" s="202">
        <v>0.0082</v>
      </c>
      <c r="N150" s="192">
        <v>0.15</v>
      </c>
      <c r="O150" s="193">
        <f>0.04/H150</f>
        <v>0.00100025006251563</v>
      </c>
      <c r="P150" s="192">
        <v>0.02</v>
      </c>
      <c r="Q150" s="192"/>
      <c r="R150" s="9">
        <v>11.5</v>
      </c>
      <c r="S150" s="9">
        <v>11.5</v>
      </c>
      <c r="T150" s="9">
        <v>10</v>
      </c>
      <c r="U150" s="9">
        <v>0.5</v>
      </c>
      <c r="V150" s="184">
        <f>R150*S150*T150/6000</f>
        <v>0.220416666666667</v>
      </c>
      <c r="W150" s="184">
        <f>MAX(U150:V150)</f>
        <v>0.5</v>
      </c>
      <c r="X150" s="9" t="s">
        <v>112</v>
      </c>
      <c r="Y150" s="200">
        <v>15.2</v>
      </c>
      <c r="Z150" s="184">
        <f>W150*Y150</f>
        <v>7.6</v>
      </c>
      <c r="AA150" s="184">
        <f>H150-SUM(K150:P150)*H150-J150-I150/B150-Z150/B150</f>
        <v>8.38117895181908</v>
      </c>
      <c r="AB150" s="202">
        <f>AA150/H150</f>
        <v>0.209581869262793</v>
      </c>
      <c r="AC150" s="8"/>
      <c r="AD150" s="203">
        <f>J150/H150</f>
        <v>0.0760190047511878</v>
      </c>
      <c r="AE150" s="192">
        <f>I150/7.4/H150</f>
        <v>0.248208428572104</v>
      </c>
      <c r="AF150" s="192">
        <f>Z150/7.4/H150</f>
        <v>0.0256820961997256</v>
      </c>
      <c r="AG150" s="192">
        <v>0.15</v>
      </c>
      <c r="AH150" s="192">
        <v>0.15</v>
      </c>
      <c r="AI150" s="192">
        <v>0.02</v>
      </c>
      <c r="AJ150" s="192">
        <f t="shared" si="0"/>
        <v>0.0082</v>
      </c>
    </row>
    <row r="151" spans="1:36">
      <c r="A151" s="7" t="s">
        <v>182</v>
      </c>
      <c r="B151" s="7">
        <v>9</v>
      </c>
      <c r="C151" s="9" t="s">
        <v>126</v>
      </c>
      <c r="D151" s="9" t="s">
        <v>127</v>
      </c>
      <c r="E151" s="9" t="s">
        <v>108</v>
      </c>
      <c r="F151" s="184">
        <f>IF(E151="有",(I151/B151+J151+Z151/B151)/(0.99999-K151-L151-M151-N151),(I151/B151+J151+Z151/B151)/(0.99999-K151-M151-N151))</f>
        <v>22.6512402417889</v>
      </c>
      <c r="G151" s="184">
        <f>IF(E151="有",(I151/B151+J151+Z151/B151)/(0.8-K151-L151-M151-N151-O151-P151),(I151/B151+J151+Z151/B151)/(0.8-K151-M151-N151-O151-P151))</f>
        <v>38.7571194976954</v>
      </c>
      <c r="H151" s="9">
        <v>39.99</v>
      </c>
      <c r="I151" s="184">
        <f>83/1.13</f>
        <v>73.4513274336283</v>
      </c>
      <c r="J151" s="9">
        <v>3.04</v>
      </c>
      <c r="K151" s="192">
        <v>0.15</v>
      </c>
      <c r="L151" s="192">
        <v>0.16</v>
      </c>
      <c r="M151" s="202">
        <v>0.0082</v>
      </c>
      <c r="N151" s="192">
        <v>0.15</v>
      </c>
      <c r="O151" s="193">
        <f>0.04/H151</f>
        <v>0.00100025006251563</v>
      </c>
      <c r="P151" s="192">
        <v>0.02</v>
      </c>
      <c r="Q151" s="192"/>
      <c r="R151" s="9">
        <v>11.5</v>
      </c>
      <c r="S151" s="9">
        <v>11.5</v>
      </c>
      <c r="T151" s="9">
        <v>10</v>
      </c>
      <c r="U151" s="9">
        <v>0.5</v>
      </c>
      <c r="V151" s="184">
        <f>R151*S151*T151/6000</f>
        <v>0.220416666666667</v>
      </c>
      <c r="W151" s="184">
        <f>MAX(U151:V151)</f>
        <v>0.5</v>
      </c>
      <c r="X151" s="9" t="s">
        <v>112</v>
      </c>
      <c r="Y151" s="200">
        <v>15.2</v>
      </c>
      <c r="Z151" s="184">
        <f>W151*Y151</f>
        <v>7.6</v>
      </c>
      <c r="AA151" s="184">
        <f>H151-SUM(K151:P151)*H151-J151-I151/B151-Z151/B151</f>
        <v>8.38117895181908</v>
      </c>
      <c r="AB151" s="202">
        <f>AA151/H151</f>
        <v>0.209581869262793</v>
      </c>
      <c r="AC151" s="8"/>
      <c r="AD151" s="203">
        <f>J151/H151</f>
        <v>0.0760190047511878</v>
      </c>
      <c r="AE151" s="192">
        <f>I151/7.4/H151</f>
        <v>0.248208428572104</v>
      </c>
      <c r="AF151" s="192">
        <f>Z151/7.4/H151</f>
        <v>0.0256820961997256</v>
      </c>
      <c r="AG151" s="192">
        <v>0.15</v>
      </c>
      <c r="AH151" s="192">
        <v>0.15</v>
      </c>
      <c r="AI151" s="192">
        <v>0.02</v>
      </c>
      <c r="AJ151" s="192">
        <f t="shared" si="0"/>
        <v>0.0082</v>
      </c>
    </row>
    <row r="152" spans="2:36">
      <c r="B152" s="14"/>
      <c r="F152" s="207"/>
      <c r="G152" s="207"/>
      <c r="I152" s="207"/>
      <c r="M152" s="202"/>
      <c r="O152" s="211"/>
      <c r="Q152" s="7"/>
      <c r="V152" s="207"/>
      <c r="W152" s="207"/>
      <c r="Y152" s="215"/>
      <c r="Z152" s="207"/>
      <c r="AA152" s="207"/>
      <c r="AB152" s="216"/>
      <c r="AD152" s="217"/>
      <c r="AE152" s="7"/>
      <c r="AF152" s="7"/>
      <c r="AH152" s="192">
        <v>0.15</v>
      </c>
      <c r="AI152" s="192">
        <v>0.02</v>
      </c>
      <c r="AJ152" s="192">
        <f t="shared" si="0"/>
        <v>0</v>
      </c>
    </row>
    <row r="153" hidden="1" spans="2:36">
      <c r="B153" s="14">
        <v>9.5</v>
      </c>
      <c r="F153" s="207"/>
      <c r="G153" s="207"/>
      <c r="I153" s="207"/>
      <c r="M153" s="202">
        <v>0.0082</v>
      </c>
      <c r="O153" s="211"/>
      <c r="Q153" s="7"/>
      <c r="V153" s="207"/>
      <c r="W153" s="207"/>
      <c r="Y153" s="215"/>
      <c r="Z153" s="207"/>
      <c r="AA153" s="207"/>
      <c r="AB153" s="216"/>
      <c r="AD153" s="217"/>
      <c r="AE153" s="7"/>
      <c r="AF153" s="7"/>
      <c r="AH153" s="192">
        <v>0.15</v>
      </c>
      <c r="AI153" s="192">
        <v>0.02</v>
      </c>
      <c r="AJ153" s="192">
        <f t="shared" si="0"/>
        <v>0.0082</v>
      </c>
    </row>
    <row r="154" hidden="1" spans="2:36">
      <c r="B154" s="14">
        <v>9.5</v>
      </c>
      <c r="F154" s="207"/>
      <c r="G154" s="207"/>
      <c r="I154" s="207"/>
      <c r="M154" s="202">
        <v>0.0082</v>
      </c>
      <c r="O154" s="211"/>
      <c r="Q154" s="7"/>
      <c r="V154" s="207"/>
      <c r="W154" s="207"/>
      <c r="Y154" s="215"/>
      <c r="Z154" s="207"/>
      <c r="AA154" s="207"/>
      <c r="AB154" s="216"/>
      <c r="AD154" s="217"/>
      <c r="AE154" s="7"/>
      <c r="AF154" s="7"/>
      <c r="AH154" s="192">
        <v>0.15</v>
      </c>
      <c r="AI154" s="192">
        <v>0.02</v>
      </c>
      <c r="AJ154" s="192">
        <f t="shared" si="0"/>
        <v>0.0082</v>
      </c>
    </row>
    <row r="155" hidden="1" spans="2:36">
      <c r="B155" s="14">
        <v>9.5</v>
      </c>
      <c r="F155" s="207"/>
      <c r="G155" s="207"/>
      <c r="I155" s="207"/>
      <c r="M155" s="202">
        <v>0.0082</v>
      </c>
      <c r="O155" s="211"/>
      <c r="Q155" s="7"/>
      <c r="V155" s="207"/>
      <c r="W155" s="207"/>
      <c r="Y155" s="215"/>
      <c r="Z155" s="207"/>
      <c r="AA155" s="207"/>
      <c r="AB155" s="216"/>
      <c r="AD155" s="217"/>
      <c r="AE155" s="7"/>
      <c r="AF155" s="7"/>
      <c r="AH155" s="192">
        <v>0.15</v>
      </c>
      <c r="AI155" s="192">
        <v>0.02</v>
      </c>
      <c r="AJ155" s="192">
        <f t="shared" si="0"/>
        <v>0.0082</v>
      </c>
    </row>
    <row r="156" hidden="1" spans="2:36">
      <c r="B156" s="14">
        <v>9.5</v>
      </c>
      <c r="F156" s="207"/>
      <c r="G156" s="207"/>
      <c r="I156" s="207"/>
      <c r="M156" s="202">
        <v>0.0082</v>
      </c>
      <c r="O156" s="211"/>
      <c r="Q156" s="7"/>
      <c r="V156" s="207"/>
      <c r="W156" s="207"/>
      <c r="Y156" s="215"/>
      <c r="Z156" s="207"/>
      <c r="AA156" s="207"/>
      <c r="AB156" s="216"/>
      <c r="AD156" s="217"/>
      <c r="AE156" s="7"/>
      <c r="AF156" s="7"/>
      <c r="AH156" s="192">
        <v>0.15</v>
      </c>
      <c r="AI156" s="192">
        <v>0.02</v>
      </c>
      <c r="AJ156" s="192">
        <f t="shared" si="0"/>
        <v>0.0082</v>
      </c>
    </row>
    <row r="157" hidden="1" spans="2:36">
      <c r="B157" s="14">
        <v>9.5</v>
      </c>
      <c r="F157" s="207"/>
      <c r="G157" s="207"/>
      <c r="I157" s="207"/>
      <c r="M157" s="202">
        <v>0.0082</v>
      </c>
      <c r="O157" s="211"/>
      <c r="Q157" s="7"/>
      <c r="V157" s="207"/>
      <c r="W157" s="207"/>
      <c r="Y157" s="215"/>
      <c r="Z157" s="207"/>
      <c r="AA157" s="207"/>
      <c r="AB157" s="216"/>
      <c r="AD157" s="217"/>
      <c r="AE157" s="7"/>
      <c r="AF157" s="7"/>
      <c r="AH157" s="192">
        <v>0.15</v>
      </c>
      <c r="AI157" s="192">
        <v>0.02</v>
      </c>
      <c r="AJ157" s="192">
        <f t="shared" si="0"/>
        <v>0.0082</v>
      </c>
    </row>
    <row r="158" hidden="1" spans="1:75">
      <c r="A158" s="7"/>
      <c r="B158" s="14">
        <v>9.5</v>
      </c>
      <c r="C158" s="8"/>
      <c r="D158" s="8"/>
      <c r="E158" s="8"/>
      <c r="F158" s="184"/>
      <c r="G158" s="184"/>
      <c r="H158" s="8"/>
      <c r="I158" s="184"/>
      <c r="J158" s="8"/>
      <c r="K158" s="192"/>
      <c r="L158" s="192"/>
      <c r="M158" s="202">
        <v>0.0082</v>
      </c>
      <c r="N158" s="192"/>
      <c r="O158" s="193"/>
      <c r="P158" s="192"/>
      <c r="Q158" s="192"/>
      <c r="R158" s="8"/>
      <c r="S158" s="8"/>
      <c r="T158" s="8"/>
      <c r="U158" s="8"/>
      <c r="V158" s="184"/>
      <c r="W158" s="184"/>
      <c r="X158" s="8"/>
      <c r="Y158" s="200"/>
      <c r="Z158" s="184"/>
      <c r="AA158" s="184"/>
      <c r="AB158" s="202"/>
      <c r="AC158" s="8"/>
      <c r="AD158" s="203"/>
      <c r="AE158" s="192"/>
      <c r="AF158" s="192"/>
      <c r="AG158" s="192"/>
      <c r="AH158" s="192">
        <v>0.15</v>
      </c>
      <c r="AI158" s="192">
        <v>0.02</v>
      </c>
      <c r="AJ158" s="192">
        <f t="shared" si="0"/>
        <v>0.0082</v>
      </c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</row>
    <row r="159" spans="1:75">
      <c r="A159" s="7" t="s">
        <v>183</v>
      </c>
      <c r="B159" s="7">
        <v>9</v>
      </c>
      <c r="C159" s="8" t="s">
        <v>126</v>
      </c>
      <c r="D159" s="8" t="s">
        <v>127</v>
      </c>
      <c r="E159" s="8" t="s">
        <v>108</v>
      </c>
      <c r="F159" s="184">
        <f>IF(E159="有",(I159/B159+J159+Z159/B159)/(0.99999-K159-L159-M159-N159),(I159/B159+J159+Z159/B159)/(0.99999-K159-M159-N159))</f>
        <v>22.7023838137214</v>
      </c>
      <c r="G159" s="184">
        <f>IF(E159="有",(I159/B159+J159+Z159/B159)/(0.8-K159-L159-M159-N159-O159-P159),(I159/B159+J159+Z159/B159)/(0.8-K159-M159-N159-O159-P159))</f>
        <v>38.8446280626909</v>
      </c>
      <c r="H159" s="8">
        <v>39.99</v>
      </c>
      <c r="I159" s="184">
        <f>88/1.13</f>
        <v>77.8761061946903</v>
      </c>
      <c r="J159" s="8">
        <v>3.04</v>
      </c>
      <c r="K159" s="192">
        <v>0.15</v>
      </c>
      <c r="L159" s="192">
        <v>0.16</v>
      </c>
      <c r="M159" s="202">
        <v>0.0082</v>
      </c>
      <c r="N159" s="192">
        <v>0.15</v>
      </c>
      <c r="O159" s="193">
        <f>0.04/H159</f>
        <v>0.00100025006251563</v>
      </c>
      <c r="P159" s="192">
        <v>0.02</v>
      </c>
      <c r="Q159" s="192"/>
      <c r="R159" s="8">
        <v>11.5</v>
      </c>
      <c r="S159" s="8">
        <v>11.5</v>
      </c>
      <c r="T159" s="8">
        <v>10</v>
      </c>
      <c r="U159" s="8">
        <v>0.5</v>
      </c>
      <c r="V159" s="184">
        <f>R159*S159*T159/6000</f>
        <v>0.220416666666667</v>
      </c>
      <c r="W159" s="184">
        <f>MAX(U159:V159)</f>
        <v>0.5</v>
      </c>
      <c r="X159" s="8" t="s">
        <v>17</v>
      </c>
      <c r="Y159" s="200">
        <v>6.84</v>
      </c>
      <c r="Z159" s="184">
        <f>W159*Y159</f>
        <v>3.42</v>
      </c>
      <c r="AA159" s="184">
        <f>H159-SUM(K159:P159)*H159-J159-I159/B159-Z159/B159</f>
        <v>8.35398131170108</v>
      </c>
      <c r="AB159" s="202">
        <f>AA159/H159</f>
        <v>0.208901758232085</v>
      </c>
      <c r="AC159" s="8"/>
      <c r="AD159" s="203">
        <f>J159/H159</f>
        <v>0.0760190047511878</v>
      </c>
      <c r="AE159" s="192">
        <f>I159/7.4/H159</f>
        <v>0.263160743546327</v>
      </c>
      <c r="AF159" s="192">
        <f>Z159/7.4/H159</f>
        <v>0.0115569432898765</v>
      </c>
      <c r="AG159" s="192">
        <v>0.15</v>
      </c>
      <c r="AH159" s="192">
        <v>0.15</v>
      </c>
      <c r="AI159" s="192">
        <v>0.02</v>
      </c>
      <c r="AJ159" s="192">
        <f t="shared" si="0"/>
        <v>0.0082</v>
      </c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</row>
    <row r="160" spans="1:75">
      <c r="A160" s="7" t="s">
        <v>184</v>
      </c>
      <c r="B160" s="7">
        <v>9</v>
      </c>
      <c r="C160" s="8" t="s">
        <v>126</v>
      </c>
      <c r="D160" s="8" t="s">
        <v>127</v>
      </c>
      <c r="E160" s="8" t="s">
        <v>108</v>
      </c>
      <c r="F160" s="184">
        <f>IF(E160="有",(I160/B160+J160+Z160/B160)/(0.99999-K160-L160-M160-N160),(I160/B160+J160+Z160/B160)/(0.99999-K160-M160-N160))</f>
        <v>21.7778796211596</v>
      </c>
      <c r="G160" s="184">
        <f>IF(E160="有",(I160/B160+J160+Z160/B160)/(0.8-K160-L160-M160-N160-O160-P160),(I160/B160+J160+Z160/B160)/(0.8-K160-M160-N160-O160-P160))</f>
        <v>37.2627668010222</v>
      </c>
      <c r="H160" s="8">
        <v>39.99</v>
      </c>
      <c r="I160" s="184">
        <f>83/1.13</f>
        <v>73.4513274336283</v>
      </c>
      <c r="J160" s="8">
        <v>3.04</v>
      </c>
      <c r="K160" s="192">
        <v>0.15</v>
      </c>
      <c r="L160" s="192">
        <v>0.16</v>
      </c>
      <c r="M160" s="202">
        <v>0.0082</v>
      </c>
      <c r="N160" s="192">
        <v>0.15</v>
      </c>
      <c r="O160" s="193">
        <f>0.04/H160</f>
        <v>0.00100025006251563</v>
      </c>
      <c r="P160" s="192">
        <v>0.02</v>
      </c>
      <c r="Q160" s="192"/>
      <c r="R160" s="8">
        <v>11.5</v>
      </c>
      <c r="S160" s="8">
        <v>11.5</v>
      </c>
      <c r="T160" s="8">
        <v>10</v>
      </c>
      <c r="U160" s="8">
        <v>0.5</v>
      </c>
      <c r="V160" s="184">
        <f>R160*S160*T160/6000</f>
        <v>0.220416666666667</v>
      </c>
      <c r="W160" s="184">
        <f>MAX(U160:V160)</f>
        <v>0.5</v>
      </c>
      <c r="X160" s="8" t="s">
        <v>17</v>
      </c>
      <c r="Y160" s="200">
        <v>6.84</v>
      </c>
      <c r="Z160" s="184">
        <f>W160*Y160</f>
        <v>3.42</v>
      </c>
      <c r="AA160" s="184">
        <f>H160-SUM(K160:P160)*H160-J160-I160/B160-Z160/B160</f>
        <v>8.84562339626352</v>
      </c>
      <c r="AB160" s="202">
        <f>AA160/H160</f>
        <v>0.221195883877557</v>
      </c>
      <c r="AC160" s="8"/>
      <c r="AD160" s="203">
        <f>J160/H160</f>
        <v>0.0760190047511878</v>
      </c>
      <c r="AE160" s="192">
        <f>I160/7.4/H160</f>
        <v>0.248208428572104</v>
      </c>
      <c r="AF160" s="192">
        <f>Z160/7.4/H160</f>
        <v>0.0115569432898765</v>
      </c>
      <c r="AG160" s="192">
        <v>0.15</v>
      </c>
      <c r="AH160" s="192">
        <v>0.15</v>
      </c>
      <c r="AI160" s="192">
        <v>0.02</v>
      </c>
      <c r="AJ160" s="192">
        <f t="shared" si="0"/>
        <v>0.0082</v>
      </c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</row>
    <row r="161" spans="1:75">
      <c r="A161" s="7"/>
      <c r="B161" s="7"/>
      <c r="C161" s="8"/>
      <c r="D161" s="8"/>
      <c r="E161" s="8"/>
      <c r="F161" s="184"/>
      <c r="G161" s="184"/>
      <c r="H161" s="8"/>
      <c r="I161" s="184"/>
      <c r="J161" s="8"/>
      <c r="K161" s="192"/>
      <c r="L161" s="192"/>
      <c r="M161" s="192"/>
      <c r="N161" s="192"/>
      <c r="O161" s="193"/>
      <c r="P161" s="192"/>
      <c r="Q161" s="192"/>
      <c r="R161" s="8"/>
      <c r="S161" s="8"/>
      <c r="T161" s="8"/>
      <c r="U161" s="8"/>
      <c r="V161" s="184"/>
      <c r="W161" s="184"/>
      <c r="X161" s="8"/>
      <c r="Y161" s="200"/>
      <c r="Z161" s="184"/>
      <c r="AA161" s="184"/>
      <c r="AB161" s="202"/>
      <c r="AC161" s="8"/>
      <c r="AD161" s="203"/>
      <c r="AE161" s="192"/>
      <c r="AF161" s="192"/>
      <c r="AG161" s="192"/>
      <c r="AH161" s="192"/>
      <c r="AI161" s="192"/>
      <c r="AJ161" s="192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</row>
    <row r="162" spans="1:75">
      <c r="A162" s="7" t="s">
        <v>184</v>
      </c>
      <c r="B162" s="7">
        <v>7.5</v>
      </c>
      <c r="C162" s="9" t="s">
        <v>106</v>
      </c>
      <c r="D162" s="8" t="s">
        <v>107</v>
      </c>
      <c r="E162" s="8" t="s">
        <v>108</v>
      </c>
      <c r="F162" s="184">
        <f>IF(E162="有",(I162/B162+J162+Z162/B162)/(0.99999-K162-L162-M162-N162),(I162/B162+J162+Z162/B162)/(0.99999-K162-M162-N162))</f>
        <v>25.7731472753897</v>
      </c>
      <c r="G162" s="184">
        <f>IF(E162="有",(I162/B162+J162+Z162/B162)/(0.8-K162-L162-M162-N162-O162-P162),(I162/B162+J162+Z162/B162)/(0.8-K162-M162-N162-O162-P162))</f>
        <v>44.2055708046603</v>
      </c>
      <c r="H162" s="8">
        <v>39.99</v>
      </c>
      <c r="I162" s="184">
        <f>83/1.13</f>
        <v>73.4513274336283</v>
      </c>
      <c r="J162" s="8">
        <v>3.41</v>
      </c>
      <c r="K162" s="192">
        <v>0.15</v>
      </c>
      <c r="L162" s="192">
        <v>0.16</v>
      </c>
      <c r="M162" s="192">
        <v>0.01</v>
      </c>
      <c r="N162" s="192">
        <v>0.15</v>
      </c>
      <c r="O162" s="193">
        <f>0.04/H162</f>
        <v>0.00100025006251563</v>
      </c>
      <c r="P162" s="192">
        <v>0.02</v>
      </c>
      <c r="Q162" s="192"/>
      <c r="R162" s="8">
        <v>11.5</v>
      </c>
      <c r="S162" s="8">
        <v>11.5</v>
      </c>
      <c r="T162" s="8">
        <v>10</v>
      </c>
      <c r="U162" s="8">
        <v>0.5</v>
      </c>
      <c r="V162" s="184">
        <f>R162*S162*T162/6000</f>
        <v>0.220416666666667</v>
      </c>
      <c r="W162" s="184">
        <f>MAX(U162:V162)</f>
        <v>0.5</v>
      </c>
      <c r="X162" s="8" t="s">
        <v>17</v>
      </c>
      <c r="Y162" s="200">
        <v>6.84</v>
      </c>
      <c r="Z162" s="184">
        <f>W162*Y162</f>
        <v>3.42</v>
      </c>
      <c r="AA162" s="184">
        <f>H162-SUM(K162:P162)*H162-J162-I162/B162-Z162/B162</f>
        <v>6.69538967551622</v>
      </c>
      <c r="AB162" s="202">
        <f>AA162/H162</f>
        <v>0.16742659853754</v>
      </c>
      <c r="AC162" s="8"/>
      <c r="AD162" s="203">
        <f>J162/H162</f>
        <v>0.0852713178294574</v>
      </c>
      <c r="AE162" s="192">
        <f>I162/7.4/H162</f>
        <v>0.248208428572104</v>
      </c>
      <c r="AF162" s="192">
        <f>Z162/7.4/H162</f>
        <v>0.0115569432898765</v>
      </c>
      <c r="AG162" s="192">
        <v>0.15</v>
      </c>
      <c r="AH162" s="192">
        <v>0.15</v>
      </c>
      <c r="AI162" s="192">
        <v>0.02</v>
      </c>
      <c r="AJ162" s="192">
        <f>M162</f>
        <v>0.01</v>
      </c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</row>
    <row r="163" spans="1:75">
      <c r="A163" s="7" t="s">
        <v>184</v>
      </c>
      <c r="B163" s="7">
        <v>7.5</v>
      </c>
      <c r="C163" s="9" t="s">
        <v>106</v>
      </c>
      <c r="D163" s="8" t="s">
        <v>107</v>
      </c>
      <c r="E163" s="8" t="s">
        <v>108</v>
      </c>
      <c r="F163" s="184">
        <f>IF(E163="有",(I163/B163+J163+Z163/B163)/(0.99999-K163-L163-M163-N163),(I163/B163+J163+Z163/B163)/(0.99999-K163-M163-N163))</f>
        <v>25.7731472753897</v>
      </c>
      <c r="G163" s="184">
        <f>IF(E163="有",(I163/B163+J163+Z163/B163)/(0.8-K163-L163-M163-N163-O163-P163),(I163/B163+J163+Z163/B163)/(0.8-K163-M163-N163-O163-P163))</f>
        <v>44.2055708046603</v>
      </c>
      <c r="H163" s="8">
        <v>39.99</v>
      </c>
      <c r="I163" s="184">
        <f>83/1.13</f>
        <v>73.4513274336283</v>
      </c>
      <c r="J163" s="8">
        <v>3.41</v>
      </c>
      <c r="K163" s="192">
        <v>0.15</v>
      </c>
      <c r="L163" s="192">
        <v>0.16</v>
      </c>
      <c r="M163" s="192">
        <v>0.01</v>
      </c>
      <c r="N163" s="192">
        <v>0.15</v>
      </c>
      <c r="O163" s="193">
        <f>0.04/H163</f>
        <v>0.00100025006251563</v>
      </c>
      <c r="P163" s="192">
        <v>0.02</v>
      </c>
      <c r="Q163" s="192"/>
      <c r="R163" s="8">
        <v>11.5</v>
      </c>
      <c r="S163" s="8">
        <v>11.5</v>
      </c>
      <c r="T163" s="8">
        <v>10</v>
      </c>
      <c r="U163" s="8">
        <v>0.5</v>
      </c>
      <c r="V163" s="184">
        <f>R163*S163*T163/6000</f>
        <v>0.220416666666667</v>
      </c>
      <c r="W163" s="184">
        <f>MAX(U163:V163)</f>
        <v>0.5</v>
      </c>
      <c r="X163" s="8" t="s">
        <v>17</v>
      </c>
      <c r="Y163" s="200">
        <v>6.84</v>
      </c>
      <c r="Z163" s="184">
        <f>W163*Y163</f>
        <v>3.42</v>
      </c>
      <c r="AA163" s="184">
        <f>H163-SUM(K163:P163)*H163-J163-I163/B163-Z163/B163</f>
        <v>6.69538967551622</v>
      </c>
      <c r="AB163" s="202">
        <f>AA163/H163</f>
        <v>0.16742659853754</v>
      </c>
      <c r="AC163" s="8"/>
      <c r="AD163" s="203">
        <f>J163/H163</f>
        <v>0.0852713178294574</v>
      </c>
      <c r="AE163" s="192">
        <f>I163/7.4/H163</f>
        <v>0.248208428572104</v>
      </c>
      <c r="AF163" s="192">
        <f>Z163/7.4/H163</f>
        <v>0.0115569432898765</v>
      </c>
      <c r="AG163" s="192">
        <v>0.15</v>
      </c>
      <c r="AH163" s="192">
        <v>0.15</v>
      </c>
      <c r="AI163" s="192">
        <v>0.02</v>
      </c>
      <c r="AJ163" s="192">
        <f>M163</f>
        <v>0.01</v>
      </c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</row>
    <row r="164" spans="1:75">
      <c r="A164" s="7"/>
      <c r="B164" s="7"/>
      <c r="C164" s="8"/>
      <c r="D164" s="8"/>
      <c r="E164" s="8"/>
      <c r="F164" s="184"/>
      <c r="G164" s="184"/>
      <c r="H164" s="8"/>
      <c r="I164" s="184"/>
      <c r="J164" s="8"/>
      <c r="K164" s="192"/>
      <c r="L164" s="192"/>
      <c r="M164" s="192"/>
      <c r="N164" s="192"/>
      <c r="O164" s="193"/>
      <c r="P164" s="192"/>
      <c r="Q164" s="192"/>
      <c r="R164" s="8"/>
      <c r="S164" s="8"/>
      <c r="T164" s="8"/>
      <c r="U164" s="8"/>
      <c r="V164" s="184"/>
      <c r="W164" s="184"/>
      <c r="X164" s="8"/>
      <c r="Y164" s="200"/>
      <c r="Z164" s="184"/>
      <c r="AA164" s="184"/>
      <c r="AB164" s="202"/>
      <c r="AC164" s="8"/>
      <c r="AD164" s="203"/>
      <c r="AE164" s="192"/>
      <c r="AF164" s="192"/>
      <c r="AG164" s="192"/>
      <c r="AH164" s="192"/>
      <c r="AI164" s="192"/>
      <c r="AJ164" s="192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</row>
    <row r="165" spans="1:75">
      <c r="A165" s="7" t="s">
        <v>185</v>
      </c>
      <c r="B165" s="7">
        <v>9</v>
      </c>
      <c r="C165" s="8" t="s">
        <v>126</v>
      </c>
      <c r="D165" s="8" t="s">
        <v>127</v>
      </c>
      <c r="E165" s="8" t="s">
        <v>108</v>
      </c>
      <c r="F165" s="184">
        <f>IF(E165="有",(I165/B165+J165+Z165/B165)/(0.99999-K165-L165-M165-N165),(I165/B165+J165+Z165/B165)/(0.99999-K165-M165-N165))</f>
        <v>19.4516441378622</v>
      </c>
      <c r="G165" s="184">
        <f>IF(E165="有",(I165/B165+J165+Z165/B165)/(0.8-K165-L165-M165-N165-O165-P165),(I165/B165+J165+Z165/B165)/(0.8-K165-M165-N165-O165-P165))</f>
        <v>35.4053372106176</v>
      </c>
      <c r="H165" s="8">
        <v>49.99</v>
      </c>
      <c r="I165" s="184">
        <f>55</f>
        <v>55</v>
      </c>
      <c r="J165" s="8">
        <v>3.04</v>
      </c>
      <c r="K165" s="192">
        <v>0.15</v>
      </c>
      <c r="L165" s="192">
        <v>0.16</v>
      </c>
      <c r="M165" s="192">
        <v>0.05</v>
      </c>
      <c r="N165" s="192">
        <v>0.15</v>
      </c>
      <c r="O165" s="193">
        <f>0.04/H165</f>
        <v>0.000800160032006401</v>
      </c>
      <c r="P165" s="192">
        <v>0.02</v>
      </c>
      <c r="Q165" s="192"/>
      <c r="R165" s="8">
        <v>11.5</v>
      </c>
      <c r="S165" s="8">
        <v>11.5</v>
      </c>
      <c r="T165" s="8">
        <v>10</v>
      </c>
      <c r="U165" s="8">
        <v>0.5</v>
      </c>
      <c r="V165" s="184">
        <f>R165*S165*T165/6000</f>
        <v>0.220416666666667</v>
      </c>
      <c r="W165" s="184">
        <f>MAX(U165:V165)</f>
        <v>0.5</v>
      </c>
      <c r="X165" s="8" t="s">
        <v>17</v>
      </c>
      <c r="Y165" s="200">
        <v>6.84</v>
      </c>
      <c r="Z165" s="184">
        <f>W165*Y165</f>
        <v>3.42</v>
      </c>
      <c r="AA165" s="184">
        <f>H165-SUM(K165:P165)*H165-J165-I165/B165-Z165/B165</f>
        <v>13.9241888888889</v>
      </c>
      <c r="AB165" s="202">
        <f>AA165/H165</f>
        <v>0.278539485674913</v>
      </c>
      <c r="AC165" s="8"/>
      <c r="AD165" s="203">
        <f>J165/H165</f>
        <v>0.0608121624324865</v>
      </c>
      <c r="AE165" s="192">
        <f>I165/7.4/H165</f>
        <v>0.148678384325514</v>
      </c>
      <c r="AF165" s="192">
        <f>Z165/7.4/H165</f>
        <v>0.00924509226169558</v>
      </c>
      <c r="AG165" s="192">
        <v>0.15</v>
      </c>
      <c r="AH165" s="192">
        <v>0.15</v>
      </c>
      <c r="AI165" s="192">
        <v>0.02</v>
      </c>
      <c r="AJ165" s="192">
        <f>M165</f>
        <v>0.05</v>
      </c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</row>
    <row r="166" spans="1:75">
      <c r="A166" s="14" t="s">
        <v>185</v>
      </c>
      <c r="B166" s="7">
        <v>9</v>
      </c>
      <c r="C166" s="8" t="s">
        <v>126</v>
      </c>
      <c r="D166" s="8" t="s">
        <v>127</v>
      </c>
      <c r="E166" s="8" t="s">
        <v>108</v>
      </c>
      <c r="F166" s="184">
        <f>IF(E166="有",(I166/B166+J166+Z166/B166)/(0.99999-K166-L166-M166-N166),(I166/B166+J166+Z166/B166)/(0.99999-K166-M166-N166))</f>
        <v>19.4516441378622</v>
      </c>
      <c r="G166" s="184">
        <f>IF(E166="有",(I166/B166+J166+Z166/B166)/(0.8-K166-L166-M166-N166-O166-P166),(I166/B166+J166+Z166/B166)/(0.8-K166-M166-N166-O166-P166))</f>
        <v>35.4316727555551</v>
      </c>
      <c r="H166" s="8">
        <v>39.99</v>
      </c>
      <c r="I166" s="184">
        <f>62.15/1.13</f>
        <v>55</v>
      </c>
      <c r="J166" s="8">
        <v>3.04</v>
      </c>
      <c r="K166" s="192">
        <v>0.15</v>
      </c>
      <c r="L166" s="192">
        <v>0.16</v>
      </c>
      <c r="M166" s="192">
        <v>0.05</v>
      </c>
      <c r="N166" s="192">
        <v>0.15</v>
      </c>
      <c r="O166" s="193">
        <f>0.04/H166</f>
        <v>0.00100025006251563</v>
      </c>
      <c r="P166" s="192">
        <v>0.02</v>
      </c>
      <c r="Q166" s="192"/>
      <c r="R166" s="8">
        <v>11.5</v>
      </c>
      <c r="S166" s="8">
        <v>11.5</v>
      </c>
      <c r="T166" s="8">
        <v>10</v>
      </c>
      <c r="U166" s="8">
        <v>0.5</v>
      </c>
      <c r="V166" s="184">
        <f>R166*S166*T166/6000</f>
        <v>0.220416666666667</v>
      </c>
      <c r="W166" s="184">
        <f>MAX(U166:V166)</f>
        <v>0.5</v>
      </c>
      <c r="X166" s="8" t="s">
        <v>17</v>
      </c>
      <c r="Y166" s="200">
        <v>6.84</v>
      </c>
      <c r="Z166" s="184">
        <f>W166*Y166</f>
        <v>3.42</v>
      </c>
      <c r="AA166" s="184">
        <f>H166-SUM(K166:P166)*H166-J166-I166/B166-Z166/B166</f>
        <v>9.22418888888889</v>
      </c>
      <c r="AB166" s="202">
        <f>AA166/H166</f>
        <v>0.230662387819177</v>
      </c>
      <c r="AC166" s="8"/>
      <c r="AD166" s="203">
        <f>J166/H166</f>
        <v>0.0760190047511878</v>
      </c>
      <c r="AE166" s="192">
        <f>I166/7.4/H166</f>
        <v>0.185857275129593</v>
      </c>
      <c r="AF166" s="192">
        <f>Z166/7.4/H166</f>
        <v>0.0115569432898765</v>
      </c>
      <c r="AG166" s="192">
        <v>0.15</v>
      </c>
      <c r="AH166" s="192">
        <v>0.15</v>
      </c>
      <c r="AI166" s="192">
        <v>0.02</v>
      </c>
      <c r="AJ166" s="192">
        <f>M166</f>
        <v>0.05</v>
      </c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</row>
    <row r="167" spans="1:75">
      <c r="A167" s="7"/>
      <c r="B167" s="7"/>
      <c r="C167" s="7"/>
      <c r="D167" s="7"/>
      <c r="E167" s="8"/>
      <c r="F167" s="184"/>
      <c r="G167" s="184"/>
      <c r="H167" s="8"/>
      <c r="I167" s="184"/>
      <c r="J167" s="8"/>
      <c r="K167" s="192"/>
      <c r="L167" s="192"/>
      <c r="M167" s="192"/>
      <c r="N167" s="192"/>
      <c r="O167" s="193"/>
      <c r="P167" s="192"/>
      <c r="Q167" s="192"/>
      <c r="R167" s="8"/>
      <c r="S167" s="8"/>
      <c r="T167" s="8"/>
      <c r="U167" s="8"/>
      <c r="V167" s="184"/>
      <c r="W167" s="184"/>
      <c r="X167" s="8"/>
      <c r="Y167" s="200"/>
      <c r="Z167" s="184"/>
      <c r="AA167" s="184"/>
      <c r="AB167" s="202"/>
      <c r="AC167" s="8"/>
      <c r="AD167" s="203"/>
      <c r="AE167" s="192"/>
      <c r="AF167" s="192"/>
      <c r="AG167" s="192"/>
      <c r="AH167" s="192"/>
      <c r="AI167" s="192"/>
      <c r="AJ167" s="192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</row>
    <row r="168" spans="1:75">
      <c r="A168" s="7" t="s">
        <v>186</v>
      </c>
      <c r="B168" s="7">
        <v>7.3</v>
      </c>
      <c r="C168" s="7" t="s">
        <v>187</v>
      </c>
      <c r="D168" s="8" t="s">
        <v>188</v>
      </c>
      <c r="E168" s="8" t="s">
        <v>189</v>
      </c>
      <c r="F168" s="184">
        <f>IF(E168="有",(I168/B168+J168+Z168/B168)/(0.99999-K168-L168-M168-N168),(I168/B168+J168+Z168/B168)/(0.99999-K168-M168-N168))</f>
        <v>19.7841062675991</v>
      </c>
      <c r="G168" s="184">
        <f>IF(E168="有",(I168/B168+J168+Z168/B168)/(0.8-K168-L168-M168-N168-O168-P168),(I168/B168+J168+Z168/B168)/(0.8-K168-M168-N168-O168-P168))</f>
        <v>29.9754748918867</v>
      </c>
      <c r="H168" s="8">
        <v>39.99</v>
      </c>
      <c r="I168" s="184">
        <f>78/1.2</f>
        <v>65</v>
      </c>
      <c r="J168" s="8">
        <v>3.52</v>
      </c>
      <c r="K168" s="192">
        <v>0.15</v>
      </c>
      <c r="L168" s="192">
        <v>0</v>
      </c>
      <c r="M168" s="192">
        <v>0.05</v>
      </c>
      <c r="N168" s="192">
        <v>0.15</v>
      </c>
      <c r="O168" s="193">
        <f>0.04/H168</f>
        <v>0.00100025006251563</v>
      </c>
      <c r="P168" s="192">
        <v>0.02</v>
      </c>
      <c r="Q168" s="192"/>
      <c r="R168" s="8">
        <v>14.2</v>
      </c>
      <c r="S168" s="8">
        <v>11</v>
      </c>
      <c r="T168" s="8">
        <v>8.4</v>
      </c>
      <c r="U168" s="8">
        <v>0.322</v>
      </c>
      <c r="V168" s="184">
        <f>R168*S168*T168/6000</f>
        <v>0.21868</v>
      </c>
      <c r="W168" s="184">
        <f>MAX(U168:V168)</f>
        <v>0.322</v>
      </c>
      <c r="X168" s="8" t="s">
        <v>17</v>
      </c>
      <c r="Y168" s="200">
        <v>9.87</v>
      </c>
      <c r="Z168" s="184">
        <f>W168*Y168</f>
        <v>3.17814</v>
      </c>
      <c r="AA168" s="184">
        <f>H168-SUM(K168:P168)*H168-J168-I168/B168-Z168/B168</f>
        <v>12.2942287671233</v>
      </c>
      <c r="AB168" s="202">
        <f>AA168/H168</f>
        <v>0.307432577322413</v>
      </c>
      <c r="AC168" s="8"/>
      <c r="AD168" s="203">
        <f>J168/H168</f>
        <v>0.0880220055013753</v>
      </c>
      <c r="AE168" s="192">
        <f>I168/7.4/H168</f>
        <v>0.219649506971337</v>
      </c>
      <c r="AF168" s="192">
        <f>Z168/7.4/H168</f>
        <v>0.0107396443705521</v>
      </c>
      <c r="AG168" s="192">
        <v>0.15</v>
      </c>
      <c r="AH168" s="192">
        <v>0.15</v>
      </c>
      <c r="AI168" s="192">
        <v>0.02</v>
      </c>
      <c r="AJ168" s="192">
        <f>M168</f>
        <v>0.05</v>
      </c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</row>
    <row r="169" spans="1:75">
      <c r="A169" s="7" t="s">
        <v>190</v>
      </c>
      <c r="B169" s="7">
        <v>7.5</v>
      </c>
      <c r="C169" s="7" t="s">
        <v>106</v>
      </c>
      <c r="D169" s="8" t="s">
        <v>107</v>
      </c>
      <c r="E169" s="8" t="s">
        <v>108</v>
      </c>
      <c r="F169" s="184">
        <f>IF(E169="有",(I169/B169+J169+Z169/B169)/(0.99999-K169-L169-M169-N169),(I169/B169+J169+Z169/B169)/(0.99999-K169-M169-N169))</f>
        <v>28.1679935594767</v>
      </c>
      <c r="G169" s="184">
        <f>IF(E169="有",(I169/B169+J169+Z169/B169)/(0.8-K169-L169-M169-N169-O169-P169),(I169/B169+J169+Z169/B169)/(0.8-K169-M169-N169-O169-P169))</f>
        <v>55.3507828077943</v>
      </c>
      <c r="H169" s="8">
        <v>39.99</v>
      </c>
      <c r="I169" s="184">
        <f>74/1.13</f>
        <v>65.4867256637168</v>
      </c>
      <c r="J169" s="8">
        <v>3.52</v>
      </c>
      <c r="K169" s="192">
        <v>0.15</v>
      </c>
      <c r="L169" s="192">
        <v>0.16</v>
      </c>
      <c r="M169" s="192">
        <v>0.09</v>
      </c>
      <c r="N169" s="192">
        <v>0.15</v>
      </c>
      <c r="O169" s="193">
        <f>0.04/H169</f>
        <v>0.00100025006251563</v>
      </c>
      <c r="P169" s="192">
        <v>0.02</v>
      </c>
      <c r="Q169" s="192"/>
      <c r="R169" s="8">
        <v>14.2</v>
      </c>
      <c r="S169" s="8">
        <v>11</v>
      </c>
      <c r="T169" s="8">
        <v>8.4</v>
      </c>
      <c r="U169" s="8">
        <v>0.322</v>
      </c>
      <c r="V169" s="184">
        <f>R169*S169*T169/6000</f>
        <v>0.21868</v>
      </c>
      <c r="W169" s="184">
        <f>MAX(U169:V169)</f>
        <v>0.322</v>
      </c>
      <c r="X169" s="8" t="s">
        <v>17</v>
      </c>
      <c r="Y169" s="200">
        <v>9.87</v>
      </c>
      <c r="Z169" s="184">
        <f>W169*Y169</f>
        <v>3.17814</v>
      </c>
      <c r="AA169" s="184">
        <f>H169-SUM(K169:P169)*H169-J169-I169/B169-Z169/B169</f>
        <v>4.48038457817109</v>
      </c>
      <c r="AB169" s="202">
        <f>AA169/H169</f>
        <v>0.112037623860242</v>
      </c>
      <c r="AC169" s="8"/>
      <c r="AD169" s="203">
        <f>J169/H169</f>
        <v>0.0880220055013753</v>
      </c>
      <c r="AE169" s="192">
        <f>I169/7.4/H169</f>
        <v>0.221294261618502</v>
      </c>
      <c r="AF169" s="192">
        <f>Z169/7.4/H169</f>
        <v>0.0107396443705521</v>
      </c>
      <c r="AG169" s="192">
        <v>0.15</v>
      </c>
      <c r="AH169" s="192">
        <v>0.15</v>
      </c>
      <c r="AI169" s="192">
        <v>0.02</v>
      </c>
      <c r="AJ169" s="192">
        <f>M169</f>
        <v>0.09</v>
      </c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</row>
    <row r="170" spans="1:75">
      <c r="A170" s="7" t="s">
        <v>191</v>
      </c>
      <c r="B170" s="7">
        <v>9</v>
      </c>
      <c r="C170" s="7" t="s">
        <v>126</v>
      </c>
      <c r="D170" s="8" t="s">
        <v>127</v>
      </c>
      <c r="E170" s="8" t="s">
        <v>108</v>
      </c>
      <c r="F170" s="184">
        <f>IF(E170="有",(I170/B170+J170+Z170/B170)/(0.99999-K170-L170-M170-N170),(I170/B170+J170+Z170/B170)/(0.99999-K170-M170-N170))</f>
        <v>24.7770606417715</v>
      </c>
      <c r="G170" s="184">
        <f>IF(E170="有",(I170/B170+J170+Z170/B170)/(0.8-K170-L170-M170-N170-O170-P170),(I170/B170+J170+Z170/B170)/(0.8-K170-M170-N170-O170-P170))</f>
        <v>48.6875183105418</v>
      </c>
      <c r="H170" s="8">
        <v>39.99</v>
      </c>
      <c r="I170" s="184">
        <f>74/1.13</f>
        <v>65.4867256637168</v>
      </c>
      <c r="J170" s="8">
        <v>3.52</v>
      </c>
      <c r="K170" s="192">
        <v>0.15</v>
      </c>
      <c r="L170" s="192">
        <v>0.16</v>
      </c>
      <c r="M170" s="192">
        <v>0.09</v>
      </c>
      <c r="N170" s="192">
        <v>0.15</v>
      </c>
      <c r="O170" s="193">
        <f>0.04/H170</f>
        <v>0.00100025006251563</v>
      </c>
      <c r="P170" s="192">
        <v>0.02</v>
      </c>
      <c r="Q170" s="192"/>
      <c r="R170" s="8">
        <v>14.2</v>
      </c>
      <c r="S170" s="8">
        <v>11</v>
      </c>
      <c r="T170" s="8">
        <v>8.4</v>
      </c>
      <c r="U170" s="8">
        <v>0.322</v>
      </c>
      <c r="V170" s="184">
        <f>R170*S170*T170/6000</f>
        <v>0.21868</v>
      </c>
      <c r="W170" s="184">
        <f>MAX(U170:V170)</f>
        <v>0.322</v>
      </c>
      <c r="X170" s="8" t="s">
        <v>17</v>
      </c>
      <c r="Y170" s="200">
        <v>9.87</v>
      </c>
      <c r="Z170" s="184">
        <f>W170*Y170</f>
        <v>3.17814</v>
      </c>
      <c r="AA170" s="184">
        <f>H170-SUM(K170:P170)*H170-J170-I170/B170-Z170/B170</f>
        <v>6.00627048180924</v>
      </c>
      <c r="AB170" s="202">
        <f>AA170/H170</f>
        <v>0.150194310622887</v>
      </c>
      <c r="AC170" s="8"/>
      <c r="AD170" s="203">
        <f>J170/H170</f>
        <v>0.0880220055013753</v>
      </c>
      <c r="AE170" s="192">
        <f>I170/7.4/H170</f>
        <v>0.221294261618502</v>
      </c>
      <c r="AF170" s="192">
        <f>Z170/7.4/H170</f>
        <v>0.0107396443705521</v>
      </c>
      <c r="AG170" s="192">
        <v>0.15</v>
      </c>
      <c r="AH170" s="192">
        <v>0.15</v>
      </c>
      <c r="AI170" s="192">
        <v>0.02</v>
      </c>
      <c r="AJ170" s="192">
        <f>M170</f>
        <v>0.09</v>
      </c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</row>
    <row r="171" spans="4:75">
      <c r="D171" s="8"/>
      <c r="E171" s="8"/>
      <c r="F171" s="184"/>
      <c r="G171" s="184"/>
      <c r="H171" s="8"/>
      <c r="I171" s="184"/>
      <c r="J171" s="8"/>
      <c r="K171" s="192"/>
      <c r="L171" s="192"/>
      <c r="M171" s="192"/>
      <c r="N171" s="192"/>
      <c r="O171" s="193"/>
      <c r="P171" s="192"/>
      <c r="Q171" s="192"/>
      <c r="R171" s="8"/>
      <c r="S171" s="8"/>
      <c r="T171" s="8"/>
      <c r="U171" s="8"/>
      <c r="V171" s="184"/>
      <c r="W171" s="184"/>
      <c r="X171" s="8"/>
      <c r="Y171" s="200"/>
      <c r="Z171" s="184"/>
      <c r="AA171" s="184"/>
      <c r="AB171" s="202"/>
      <c r="AC171" s="8"/>
      <c r="AD171" s="203"/>
      <c r="AE171" s="192"/>
      <c r="AF171" s="192"/>
      <c r="AG171" s="192"/>
      <c r="AH171" s="192"/>
      <c r="AI171" s="192"/>
      <c r="AJ171" s="192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</row>
    <row r="172" spans="1:75">
      <c r="A172" s="7" t="s">
        <v>192</v>
      </c>
      <c r="B172" s="7">
        <v>7.3</v>
      </c>
      <c r="C172" s="7" t="s">
        <v>187</v>
      </c>
      <c r="D172" s="8" t="s">
        <v>188</v>
      </c>
      <c r="E172" s="8" t="s">
        <v>189</v>
      </c>
      <c r="F172" s="184">
        <f>IF(E172="有",(I172/B172+J172+Z172/B172)/(0.99999-K172-L172-M172-N172),(I172/B172+J172+Z172/B172)/(0.99999-K172-M172-N172))</f>
        <v>17.0321906918211</v>
      </c>
      <c r="G172" s="184">
        <f>IF(E172="有",(I172/B172+J172+Z172/B172)/(0.8-K172-L172-M172-N172-O172-P172),(I172/B172+J172+Z172/B172)/(0.8-K172-M172-N172-O172-P172))</f>
        <v>25.0669421351827</v>
      </c>
      <c r="H172" s="8">
        <v>39.99</v>
      </c>
      <c r="I172" s="184">
        <f>54/1.13</f>
        <v>47.787610619469</v>
      </c>
      <c r="J172" s="8">
        <v>4.26</v>
      </c>
      <c r="K172" s="192">
        <v>0.15</v>
      </c>
      <c r="L172" s="192">
        <v>0</v>
      </c>
      <c r="M172" s="202">
        <v>0.0043</v>
      </c>
      <c r="N172" s="192">
        <v>0.15</v>
      </c>
      <c r="O172" s="193">
        <f>0.12/H172</f>
        <v>0.00300075018754689</v>
      </c>
      <c r="P172" s="192">
        <v>0.02</v>
      </c>
      <c r="Q172" s="192"/>
      <c r="R172" s="8">
        <v>19.3</v>
      </c>
      <c r="S172" s="8">
        <v>13.21</v>
      </c>
      <c r="T172" s="8">
        <v>5.08</v>
      </c>
      <c r="U172" s="8">
        <v>0.331</v>
      </c>
      <c r="V172" s="184">
        <f>R172*S172*T172/6000</f>
        <v>0.215860206666667</v>
      </c>
      <c r="W172" s="184">
        <f>MAX(U172:V172)</f>
        <v>0.331</v>
      </c>
      <c r="X172" s="8" t="s">
        <v>17</v>
      </c>
      <c r="Y172" s="200">
        <v>23</v>
      </c>
      <c r="Z172" s="184">
        <f>W172*Y172</f>
        <v>7.613</v>
      </c>
      <c r="AA172" s="184">
        <f>H172-SUM(K172:P172)*H172-J172-I172/B172-Z172/B172</f>
        <v>15.052118257607</v>
      </c>
      <c r="AB172" s="202">
        <f>AA172/H172</f>
        <v>0.376397055704101</v>
      </c>
      <c r="AC172" s="8"/>
      <c r="AD172" s="203">
        <f>J172/H172</f>
        <v>0.106526631657914</v>
      </c>
      <c r="AE172" s="192">
        <f>I172/7.4/H172</f>
        <v>0.16148500172161</v>
      </c>
      <c r="AF172" s="192">
        <f>Z172/7.4/H172</f>
        <v>0.0257260261011199</v>
      </c>
      <c r="AG172" s="192">
        <v>0.15</v>
      </c>
      <c r="AH172" s="192">
        <v>0.15</v>
      </c>
      <c r="AI172" s="192">
        <v>0.02</v>
      </c>
      <c r="AJ172" s="192">
        <f>M172</f>
        <v>0.0043</v>
      </c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</row>
    <row r="173" spans="1:75">
      <c r="A173" s="7" t="s">
        <v>193</v>
      </c>
      <c r="B173" s="7">
        <v>7.5</v>
      </c>
      <c r="C173" s="7" t="s">
        <v>106</v>
      </c>
      <c r="D173" s="8" t="s">
        <v>107</v>
      </c>
      <c r="E173" s="8" t="s">
        <v>108</v>
      </c>
      <c r="F173" s="184">
        <f>IF(E173="有",(I173/B173+J173+Z173/B173)/(0.99999-K173-L173-M173-N173),(I173/B173+J173+Z173/B173)/(0.99999-K173-M173-N173))</f>
        <v>19.3397120463841</v>
      </c>
      <c r="G173" s="184">
        <f>IF(E173="有",(I173/B173+J173+Z173/B173)/(0.8-K173-L173-M173-N173-O173-P173),(I173/B173+J173+Z173/B173)/(0.8-K173-M173-N173-O173-P173))</f>
        <v>32.9812416107079</v>
      </c>
      <c r="H173" s="8">
        <v>39.99</v>
      </c>
      <c r="I173" s="184">
        <f>54/1.13</f>
        <v>47.787610619469</v>
      </c>
      <c r="J173" s="8">
        <v>3.52</v>
      </c>
      <c r="K173" s="192">
        <v>0.15</v>
      </c>
      <c r="L173" s="192">
        <v>0.16</v>
      </c>
      <c r="M173" s="202">
        <v>0.0057</v>
      </c>
      <c r="N173" s="192">
        <v>0.15</v>
      </c>
      <c r="O173" s="193">
        <f>0.04/H173</f>
        <v>0.00100025006251563</v>
      </c>
      <c r="P173" s="192">
        <v>0.02</v>
      </c>
      <c r="Q173" s="192"/>
      <c r="R173" s="9">
        <v>19.3</v>
      </c>
      <c r="S173" s="9">
        <v>13.21</v>
      </c>
      <c r="T173" s="9">
        <v>5.08</v>
      </c>
      <c r="U173" s="9">
        <v>0.331</v>
      </c>
      <c r="V173" s="184">
        <f>R173*S173*T173/6000</f>
        <v>0.215860206666667</v>
      </c>
      <c r="W173" s="184">
        <f>MAX(U173:V173)</f>
        <v>0.331</v>
      </c>
      <c r="X173" s="8" t="s">
        <v>17</v>
      </c>
      <c r="Y173" s="200">
        <v>10</v>
      </c>
      <c r="Z173" s="184">
        <f>W173*Y173</f>
        <v>3.31</v>
      </c>
      <c r="AA173" s="184">
        <f>H173-SUM(K173:P173)*H173-J173-I173/B173-Z173/B173</f>
        <v>10.1938422507375</v>
      </c>
      <c r="AB173" s="202">
        <f>AA173/H173</f>
        <v>0.254909783714365</v>
      </c>
      <c r="AC173" s="8"/>
      <c r="AD173" s="203">
        <f>J173/H173</f>
        <v>0.0880220055013753</v>
      </c>
      <c r="AE173" s="192">
        <f>I173/7.4/H173</f>
        <v>0.16148500172161</v>
      </c>
      <c r="AF173" s="192">
        <f>Z173/7.4/H173</f>
        <v>0.0111852287396173</v>
      </c>
      <c r="AG173" s="192">
        <v>0.15</v>
      </c>
      <c r="AH173" s="192">
        <v>0.15</v>
      </c>
      <c r="AI173" s="192">
        <v>0.02</v>
      </c>
      <c r="AJ173" s="192">
        <f>M173</f>
        <v>0.0057</v>
      </c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</row>
    <row r="174" spans="1:75">
      <c r="A174" s="7" t="s">
        <v>194</v>
      </c>
      <c r="B174" s="7">
        <v>9</v>
      </c>
      <c r="C174" s="7" t="s">
        <v>126</v>
      </c>
      <c r="D174" s="8" t="s">
        <v>127</v>
      </c>
      <c r="E174" s="8" t="s">
        <v>108</v>
      </c>
      <c r="F174" s="184">
        <f>IF(E174="有",(I174/B174+J174+Z174/B174)/(0.99999-K174-L174-M174-N174),(I174/B174+J174+Z174/B174)/(0.99999-K174-M174-N174))</f>
        <v>17.1758805786329</v>
      </c>
      <c r="G174" s="184">
        <f>IF(E174="有",(I174/B174+J174+Z174/B174)/(0.8-K174-L174-M174-N174-O174-P174),(I174/B174+J174+Z174/B174)/(0.8-K174-M174-N174-O174-P174))</f>
        <v>29.2448954025572</v>
      </c>
      <c r="H174" s="8">
        <v>39.99</v>
      </c>
      <c r="I174" s="184">
        <f>54/1.13</f>
        <v>47.787610619469</v>
      </c>
      <c r="J174" s="8">
        <v>3.52</v>
      </c>
      <c r="K174" s="192">
        <v>0.15</v>
      </c>
      <c r="L174" s="192">
        <v>0.16</v>
      </c>
      <c r="M174" s="202">
        <v>0.0045</v>
      </c>
      <c r="N174" s="192">
        <v>0.15</v>
      </c>
      <c r="O174" s="193">
        <f>0.04/H174</f>
        <v>0.00100025006251563</v>
      </c>
      <c r="P174" s="192">
        <v>0.02</v>
      </c>
      <c r="Q174" s="192"/>
      <c r="R174" s="9">
        <v>19.3</v>
      </c>
      <c r="S174" s="9">
        <v>13.21</v>
      </c>
      <c r="T174" s="9">
        <v>5.08</v>
      </c>
      <c r="U174" s="9">
        <v>0.331</v>
      </c>
      <c r="V174" s="184">
        <f>R174*S174*T174/6000</f>
        <v>0.215860206666667</v>
      </c>
      <c r="W174" s="184">
        <f>MAX(U174:V174)</f>
        <v>0.331</v>
      </c>
      <c r="X174" s="8" t="s">
        <v>17</v>
      </c>
      <c r="Y174" s="200">
        <v>10</v>
      </c>
      <c r="Z174" s="184">
        <f>W174*Y174</f>
        <v>3.31</v>
      </c>
      <c r="AA174" s="184">
        <f>H174-SUM(K174:P174)*H174-J174-I174/B174-Z174/B174</f>
        <v>11.3773327089479</v>
      </c>
      <c r="AB174" s="202">
        <f>AA174/H174</f>
        <v>0.284504443834656</v>
      </c>
      <c r="AC174" s="8"/>
      <c r="AD174" s="203">
        <f>J174/H174</f>
        <v>0.0880220055013753</v>
      </c>
      <c r="AE174" s="192">
        <f>I174/7.4/H174</f>
        <v>0.16148500172161</v>
      </c>
      <c r="AF174" s="192">
        <f>Z174/7.4/H174</f>
        <v>0.0111852287396173</v>
      </c>
      <c r="AG174" s="192">
        <v>0.15</v>
      </c>
      <c r="AH174" s="192">
        <v>0.15</v>
      </c>
      <c r="AI174" s="192">
        <v>0.02</v>
      </c>
      <c r="AJ174" s="192">
        <f>M174</f>
        <v>0.0045</v>
      </c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</row>
    <row r="175" spans="6:32">
      <c r="F175" s="207"/>
      <c r="G175" s="207"/>
      <c r="I175" s="207"/>
      <c r="O175" s="211"/>
      <c r="Q175" s="7"/>
      <c r="V175" s="207"/>
      <c r="W175" s="207"/>
      <c r="Y175" s="215"/>
      <c r="Z175" s="207"/>
      <c r="AA175" s="207"/>
      <c r="AB175" s="216"/>
      <c r="AD175" s="217"/>
      <c r="AE175" s="7"/>
      <c r="AF175" s="7"/>
    </row>
    <row r="176" spans="1:75">
      <c r="A176" s="7" t="s">
        <v>195</v>
      </c>
      <c r="B176" s="7">
        <v>7.5</v>
      </c>
      <c r="C176" s="7" t="s">
        <v>106</v>
      </c>
      <c r="D176" s="8" t="s">
        <v>107</v>
      </c>
      <c r="E176" s="8" t="s">
        <v>108</v>
      </c>
      <c r="F176" s="184">
        <f>IF(E176="有",(I176/B176+J176+Z176/B176)/(0.99999-K176-L176-M176-N176),(I176/B176+J176+Z176/B176)/(0.99999-K176-M176-N176))</f>
        <v>29.0117670620802</v>
      </c>
      <c r="G176" s="184">
        <f>IF(E176="有",(I176/B176+J176+Z176/B176)/(0.8-K176-L176-M176-N176-O176-P176),(I176/B176+J176+Z176/B176)/(0.8-K176-M176-N176-O176-P176))</f>
        <v>49.4440348842964</v>
      </c>
      <c r="H176" s="8">
        <v>49.99</v>
      </c>
      <c r="I176" s="184">
        <f>80/1.13</f>
        <v>70.7964601769912</v>
      </c>
      <c r="J176" s="8">
        <v>5</v>
      </c>
      <c r="K176" s="192">
        <v>0.15</v>
      </c>
      <c r="L176" s="192">
        <v>0.16</v>
      </c>
      <c r="M176" s="202">
        <v>0.0057</v>
      </c>
      <c r="N176" s="192">
        <v>0.15</v>
      </c>
      <c r="O176" s="193">
        <f>0.04/H176</f>
        <v>0.000800160032006401</v>
      </c>
      <c r="P176" s="192">
        <v>0.02</v>
      </c>
      <c r="Q176" s="192"/>
      <c r="R176" s="9">
        <f>12*2.5</f>
        <v>30</v>
      </c>
      <c r="S176" s="9">
        <f>7*2.5</f>
        <v>17.5</v>
      </c>
      <c r="T176" s="9">
        <f>5*2.5</f>
        <v>12.5</v>
      </c>
      <c r="U176" s="8">
        <v>7.7</v>
      </c>
      <c r="V176" s="184">
        <f>R176*S176*T176/6000</f>
        <v>1.09375</v>
      </c>
      <c r="W176" s="184">
        <f>MAX(U176:V176)</f>
        <v>7.7</v>
      </c>
      <c r="X176" s="8" t="s">
        <v>17</v>
      </c>
      <c r="Y176" s="200">
        <f>R176*S176*T176*750/1000000+H176*0.3*0.027*B176</f>
        <v>7.9587675</v>
      </c>
      <c r="Z176" s="184">
        <f>R176*S176*T176*750/1000000+H176*0.3*0.027*B176</f>
        <v>7.9587675</v>
      </c>
      <c r="AA176" s="184">
        <f>H176-SUM(K176:P176)*H176-J176-I176/B176-Z176/B176</f>
        <v>10.1691599764012</v>
      </c>
      <c r="AB176" s="202">
        <f>AA176/H176</f>
        <v>0.203423884304885</v>
      </c>
      <c r="AC176" s="8"/>
      <c r="AD176" s="203">
        <f>J176/H176</f>
        <v>0.1000200040008</v>
      </c>
      <c r="AE176" s="192">
        <f>I176/7.4/H176</f>
        <v>0.191380060274193</v>
      </c>
      <c r="AF176" s="192">
        <f>Z176/7.4/H176</f>
        <v>0.0215144853294983</v>
      </c>
      <c r="AG176" s="192">
        <v>0.15</v>
      </c>
      <c r="AH176" s="192">
        <v>0.15</v>
      </c>
      <c r="AI176" s="192">
        <v>0.02</v>
      </c>
      <c r="AJ176" s="192">
        <f>M176</f>
        <v>0.0057</v>
      </c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</row>
    <row r="177" spans="1:75">
      <c r="A177" s="14" t="s">
        <v>195</v>
      </c>
      <c r="B177" s="7">
        <v>9</v>
      </c>
      <c r="C177" s="7" t="s">
        <v>126</v>
      </c>
      <c r="D177" s="8" t="s">
        <v>127</v>
      </c>
      <c r="E177" s="8" t="s">
        <v>108</v>
      </c>
      <c r="F177" s="184">
        <f>IF(E177="有",(I177/B177+J177+Z177/B177)/(0.99999-K177-L177-M177-N177),(I177/B177+J177+Z177/B177)/(0.99999-K177-M177-N177))</f>
        <v>25.8045292218324</v>
      </c>
      <c r="G177" s="184">
        <f>IF(E177="有",(I177/B177+J177+Z177/B177)/(0.8-K177-L177-M177-N177-O177-P177),(I177/B177+J177+Z177/B177)/(0.8-K177-M177-N177-O177-P177))</f>
        <v>43.9087206221788</v>
      </c>
      <c r="H177" s="9">
        <v>49.99</v>
      </c>
      <c r="I177" s="184">
        <f>80/1.13</f>
        <v>70.7964601769912</v>
      </c>
      <c r="J177" s="9">
        <v>5</v>
      </c>
      <c r="K177" s="192">
        <v>0.15</v>
      </c>
      <c r="L177" s="192">
        <v>0.16</v>
      </c>
      <c r="M177" s="202">
        <v>0.0045</v>
      </c>
      <c r="N177" s="192">
        <v>0.15</v>
      </c>
      <c r="O177" s="193">
        <f>0.04/H177</f>
        <v>0.000800160032006401</v>
      </c>
      <c r="P177" s="192">
        <v>0.02</v>
      </c>
      <c r="Q177" s="192"/>
      <c r="R177" s="9">
        <f>12*2.5</f>
        <v>30</v>
      </c>
      <c r="S177" s="9">
        <f>7*2.5</f>
        <v>17.5</v>
      </c>
      <c r="T177" s="9">
        <f>5*2.5</f>
        <v>12.5</v>
      </c>
      <c r="U177" s="9">
        <v>7.7</v>
      </c>
      <c r="V177" s="184">
        <f>R177*S177*T177/6000</f>
        <v>1.09375</v>
      </c>
      <c r="W177" s="184">
        <f>MAX(U177:V177)</f>
        <v>7.7</v>
      </c>
      <c r="X177" s="8" t="s">
        <v>17</v>
      </c>
      <c r="Y177" s="200">
        <f>R177*S177*T177*750/1000000+H177*0.3*0.027*B177</f>
        <v>8.566146</v>
      </c>
      <c r="Z177" s="184">
        <f>R177*S177*T177*750/1000000+H177*0.3*0.027*B177</f>
        <v>8.566146</v>
      </c>
      <c r="AA177" s="184">
        <f>H177-SUM(K177:P177)*H177-J177-I177/B177-Z177/B177</f>
        <v>11.911777647001</v>
      </c>
      <c r="AB177" s="202">
        <f>AA177/H177</f>
        <v>0.238283209581936</v>
      </c>
      <c r="AC177" s="8"/>
      <c r="AD177" s="203">
        <f>J177/H177</f>
        <v>0.1000200040008</v>
      </c>
      <c r="AE177" s="192">
        <f>I177/7.4/H177</f>
        <v>0.191380060274193</v>
      </c>
      <c r="AF177" s="192">
        <f>Z177/7.4/H177</f>
        <v>0.0231563772213902</v>
      </c>
      <c r="AG177" s="192">
        <v>0.15</v>
      </c>
      <c r="AH177" s="192">
        <v>0.15</v>
      </c>
      <c r="AI177" s="192">
        <v>0.02</v>
      </c>
      <c r="AJ177" s="192">
        <f>M177</f>
        <v>0.0045</v>
      </c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</row>
    <row r="178" spans="6:32">
      <c r="F178" s="207"/>
      <c r="G178" s="207"/>
      <c r="I178" s="207"/>
      <c r="O178" s="211"/>
      <c r="Q178" s="7"/>
      <c r="V178" s="207"/>
      <c r="W178" s="207"/>
      <c r="Y178" s="215"/>
      <c r="Z178" s="207"/>
      <c r="AA178" s="207"/>
      <c r="AB178" s="216"/>
      <c r="AD178" s="217"/>
      <c r="AE178" s="7"/>
      <c r="AF178" s="7"/>
    </row>
    <row r="179" spans="1:75">
      <c r="A179" s="7" t="s">
        <v>196</v>
      </c>
      <c r="B179" s="7">
        <v>7.3</v>
      </c>
      <c r="C179" s="7" t="s">
        <v>187</v>
      </c>
      <c r="D179" s="8" t="s">
        <v>188</v>
      </c>
      <c r="E179" s="8" t="s">
        <v>189</v>
      </c>
      <c r="F179" s="184">
        <f>IF(E179="有",(I179/B179+J179+Z179/B179)/(0.99999-K179-L179-M179-N179),(I179/B179+J179+Z179/B179)/(0.99999-K179-M179-N179))</f>
        <v>31.3893687879915</v>
      </c>
      <c r="G179" s="184">
        <f>IF(E179="有",(I179/B179+J179+Z179/B179)/(0.8-K179-L179-M179-N179-O179-P179),(I179/B179+J179+Z179/B179)/(0.8-K179-M179-N179-O179-P179))</f>
        <v>46.1969634620362</v>
      </c>
      <c r="H179" s="8">
        <v>39.99</v>
      </c>
      <c r="I179" s="184">
        <f>134/1.13</f>
        <v>118.58407079646</v>
      </c>
      <c r="J179" s="8">
        <v>4.55</v>
      </c>
      <c r="K179" s="192">
        <v>0.15</v>
      </c>
      <c r="L179" s="192">
        <v>0</v>
      </c>
      <c r="M179" s="202">
        <v>0.0043</v>
      </c>
      <c r="N179" s="192">
        <v>0.15</v>
      </c>
      <c r="O179" s="193">
        <f>0.12/H179</f>
        <v>0.00300075018754689</v>
      </c>
      <c r="P179" s="192">
        <v>0.02</v>
      </c>
      <c r="Q179" s="192"/>
      <c r="R179" s="8">
        <v>19.3</v>
      </c>
      <c r="S179" s="8">
        <v>13.21</v>
      </c>
      <c r="T179" s="8">
        <v>5.08</v>
      </c>
      <c r="U179" s="8">
        <v>0.331</v>
      </c>
      <c r="V179" s="184">
        <f>R179*S179*T179/6000</f>
        <v>0.215860206666667</v>
      </c>
      <c r="W179" s="184">
        <f>MAX(U179:V179)</f>
        <v>0.331</v>
      </c>
      <c r="X179" s="8" t="s">
        <v>17</v>
      </c>
      <c r="Y179" s="200">
        <v>23</v>
      </c>
      <c r="Z179" s="184">
        <f>W179*Y179</f>
        <v>7.613</v>
      </c>
      <c r="AA179" s="184">
        <f>H179-SUM(K179:P179)*H179-J179-I179/B179-Z179/B179</f>
        <v>5.06397302788217</v>
      </c>
      <c r="AB179" s="202">
        <f>AA179/H179</f>
        <v>0.126630983442915</v>
      </c>
      <c r="AC179" s="8"/>
      <c r="AD179" s="203">
        <f>J179/H179</f>
        <v>0.113778444611153</v>
      </c>
      <c r="AE179" s="192">
        <f>I179/7.4/H179</f>
        <v>0.400722041309179</v>
      </c>
      <c r="AF179" s="192">
        <f>Z179/7.4/H179</f>
        <v>0.0257260261011199</v>
      </c>
      <c r="AG179" s="192">
        <v>0.15</v>
      </c>
      <c r="AH179" s="192">
        <v>0.15</v>
      </c>
      <c r="AI179" s="192">
        <v>0.02</v>
      </c>
      <c r="AJ179" s="192">
        <f>M179</f>
        <v>0.0043</v>
      </c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</row>
    <row r="180" spans="1:75">
      <c r="A180" s="7" t="s">
        <v>196</v>
      </c>
      <c r="B180" s="7">
        <v>7.3</v>
      </c>
      <c r="C180" s="7" t="s">
        <v>187</v>
      </c>
      <c r="D180" s="8" t="s">
        <v>188</v>
      </c>
      <c r="E180" s="8" t="s">
        <v>189</v>
      </c>
      <c r="F180" s="184">
        <f>IF(E180="有",(I180/B180+J180+Z180/B180)/(0.99999-K180-L180-M180-N180),(I180/B180+J180+Z180/B180)/(0.99999-K180-M180-N180))</f>
        <v>31.3893687879915</v>
      </c>
      <c r="G180" s="184">
        <f>IF(E180="有",(I180/B180+J180+Z180/B180)/(0.8-K180-L180-M180-N180-O180-P180),(I180/B180+J180+Z180/B180)/(0.8-K180-M180-N180-O180-P180))</f>
        <v>46.2295803877888</v>
      </c>
      <c r="H180" s="8">
        <v>35.99</v>
      </c>
      <c r="I180" s="184">
        <f>134/1.13</f>
        <v>118.58407079646</v>
      </c>
      <c r="J180" s="9">
        <v>4.55</v>
      </c>
      <c r="K180" s="192">
        <v>0.15</v>
      </c>
      <c r="L180" s="192">
        <v>0</v>
      </c>
      <c r="M180" s="202">
        <v>0.0043</v>
      </c>
      <c r="N180" s="192">
        <v>0.15</v>
      </c>
      <c r="O180" s="193">
        <f>0.12/H180</f>
        <v>0.00333425951653237</v>
      </c>
      <c r="P180" s="192">
        <v>0.02</v>
      </c>
      <c r="Q180" s="192"/>
      <c r="R180" s="8">
        <v>19.3</v>
      </c>
      <c r="S180" s="8">
        <v>13.21</v>
      </c>
      <c r="T180" s="8">
        <v>5.08</v>
      </c>
      <c r="U180" s="8">
        <v>0.331</v>
      </c>
      <c r="V180" s="184">
        <f>R180*S180*T180/6000</f>
        <v>0.215860206666667</v>
      </c>
      <c r="W180" s="184">
        <f>MAX(U180:V180)</f>
        <v>0.331</v>
      </c>
      <c r="X180" s="8" t="s">
        <v>17</v>
      </c>
      <c r="Y180" s="200">
        <v>23</v>
      </c>
      <c r="Z180" s="184">
        <f>W180*Y180</f>
        <v>7.613</v>
      </c>
      <c r="AA180" s="184">
        <f>H180-SUM(K180:P180)*H180-J180-I180/B180-Z180/B180</f>
        <v>2.36117302788216</v>
      </c>
      <c r="AB180" s="202">
        <f>AA180/H180</f>
        <v>0.0656063636532971</v>
      </c>
      <c r="AC180" s="8"/>
      <c r="AD180" s="203">
        <f>J180/H180</f>
        <v>0.126424006668519</v>
      </c>
      <c r="AE180" s="192">
        <f>I180/7.4/H180</f>
        <v>0.445259083966493</v>
      </c>
      <c r="AF180" s="192">
        <f>Z180/7.4/H180</f>
        <v>0.0285852676794605</v>
      </c>
      <c r="AG180" s="192">
        <v>0.15</v>
      </c>
      <c r="AH180" s="192">
        <v>0.15</v>
      </c>
      <c r="AI180" s="192">
        <v>0.02</v>
      </c>
      <c r="AJ180" s="192">
        <f>M180</f>
        <v>0.0043</v>
      </c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</row>
    <row r="181" spans="1:75">
      <c r="A181" s="7" t="s">
        <v>196</v>
      </c>
      <c r="B181" s="7">
        <v>7.3</v>
      </c>
      <c r="C181" s="7" t="s">
        <v>187</v>
      </c>
      <c r="D181" s="8" t="s">
        <v>188</v>
      </c>
      <c r="E181" s="8" t="s">
        <v>189</v>
      </c>
      <c r="F181" s="184">
        <f>IF(E181="有",(I181/B181+J181+Z181/B181)/(0.99999-K181-L181-M181-N181),(I181/B181+J181+Z181/B181)/(0.99999-K181-M181-N181))</f>
        <v>31.3893687879915</v>
      </c>
      <c r="G181" s="184">
        <f>IF(E181="有",(I181/B181+J181+Z181/B181)/(0.8-K181-L181-M181-N181-O181-P181),(I181/B181+J181+Z181/B181)/(0.8-K181-M181-N181-O181-P181))</f>
        <v>46.2592737076533</v>
      </c>
      <c r="H181" s="8">
        <v>32.99</v>
      </c>
      <c r="I181" s="184">
        <f>134/1.13</f>
        <v>118.58407079646</v>
      </c>
      <c r="J181" s="9">
        <v>4.55</v>
      </c>
      <c r="K181" s="192">
        <v>0.15</v>
      </c>
      <c r="L181" s="192">
        <v>0</v>
      </c>
      <c r="M181" s="202">
        <v>0.0043</v>
      </c>
      <c r="N181" s="192">
        <v>0.15</v>
      </c>
      <c r="O181" s="193">
        <f>0.12/H181</f>
        <v>0.0036374658987572</v>
      </c>
      <c r="P181" s="192">
        <v>0.02</v>
      </c>
      <c r="Q181" s="192"/>
      <c r="R181" s="8">
        <v>19.3</v>
      </c>
      <c r="S181" s="8">
        <v>13.21</v>
      </c>
      <c r="T181" s="8">
        <v>5.08</v>
      </c>
      <c r="U181" s="8">
        <v>0.331</v>
      </c>
      <c r="V181" s="184">
        <f>R181*S181*T181/6000</f>
        <v>0.215860206666667</v>
      </c>
      <c r="W181" s="184">
        <f>MAX(U181:V181)</f>
        <v>0.331</v>
      </c>
      <c r="X181" s="8" t="s">
        <v>17</v>
      </c>
      <c r="Y181" s="200">
        <v>23</v>
      </c>
      <c r="Z181" s="184">
        <f>W181*Y181</f>
        <v>7.613</v>
      </c>
      <c r="AA181" s="184">
        <f>H181-SUM(K181:P181)*H181-J181-I181/B181-Z181/B181</f>
        <v>0.334073027882165</v>
      </c>
      <c r="AB181" s="202">
        <f>AA181/H181</f>
        <v>0.0101264937217995</v>
      </c>
      <c r="AC181" s="8"/>
      <c r="AD181" s="203">
        <f>J181/H181</f>
        <v>0.137920581994544</v>
      </c>
      <c r="AE181" s="192">
        <f>I181/7.4/H181</f>
        <v>0.485749452317493</v>
      </c>
      <c r="AF181" s="192">
        <f>Z181/7.4/H181</f>
        <v>0.0311847160892326</v>
      </c>
      <c r="AG181" s="192">
        <v>0.15</v>
      </c>
      <c r="AH181" s="192">
        <v>0.15</v>
      </c>
      <c r="AI181" s="192">
        <v>0.02</v>
      </c>
      <c r="AJ181" s="192">
        <f>M181</f>
        <v>0.0043</v>
      </c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</row>
    <row r="182" spans="1:75">
      <c r="A182" s="7" t="s">
        <v>196</v>
      </c>
      <c r="B182" s="7">
        <v>7.3</v>
      </c>
      <c r="C182" s="7" t="s">
        <v>187</v>
      </c>
      <c r="D182" s="8" t="s">
        <v>188</v>
      </c>
      <c r="E182" s="8" t="s">
        <v>189</v>
      </c>
      <c r="F182" s="184">
        <f>IF(E182="有",(I182/B182+J182+Z182/B182)/(0.99999-K182-L182-M182-N182),(I182/B182+J182+Z182/B182)/(0.99999-K182-M182-N182))</f>
        <v>31.3893687879915</v>
      </c>
      <c r="G182" s="184">
        <f>IF(E182="有",(I182/B182+J182+Z182/B182)/(0.8-K182-L182-M182-N182-O182-P182),(I182/B182+J182+Z182/B182)/(0.8-K182-M182-N182-O182-P182))</f>
        <v>46.294958065107</v>
      </c>
      <c r="H182" s="8">
        <v>29.99</v>
      </c>
      <c r="I182" s="184">
        <f>134/1.13</f>
        <v>118.58407079646</v>
      </c>
      <c r="J182" s="9">
        <v>4.55</v>
      </c>
      <c r="K182" s="192">
        <v>0.15</v>
      </c>
      <c r="L182" s="192">
        <v>0</v>
      </c>
      <c r="M182" s="202">
        <v>0.0043</v>
      </c>
      <c r="N182" s="192">
        <v>0.15</v>
      </c>
      <c r="O182" s="193">
        <f>0.12/H182</f>
        <v>0.00400133377792598</v>
      </c>
      <c r="P182" s="192">
        <v>0.02</v>
      </c>
      <c r="Q182" s="192"/>
      <c r="R182" s="8">
        <v>19.3</v>
      </c>
      <c r="S182" s="8">
        <v>13.21</v>
      </c>
      <c r="T182" s="8">
        <v>5.08</v>
      </c>
      <c r="U182" s="8">
        <v>0.331</v>
      </c>
      <c r="V182" s="184">
        <f>R182*S182*T182/6000</f>
        <v>0.215860206666667</v>
      </c>
      <c r="W182" s="184">
        <f>MAX(U182:V182)</f>
        <v>0.331</v>
      </c>
      <c r="X182" s="8" t="s">
        <v>17</v>
      </c>
      <c r="Y182" s="200">
        <v>23</v>
      </c>
      <c r="Z182" s="184">
        <f>W182*Y182</f>
        <v>7.613</v>
      </c>
      <c r="AA182" s="184">
        <f>H182-SUM(K182:P182)*H182-J182-I182/B182-Z182/B182</f>
        <v>-1.69302697211784</v>
      </c>
      <c r="AB182" s="202">
        <f>AA182/H182</f>
        <v>-0.0564530500872904</v>
      </c>
      <c r="AC182" s="8"/>
      <c r="AD182" s="203">
        <f>J182/H182</f>
        <v>0.151717239079693</v>
      </c>
      <c r="AE182" s="192">
        <f>I182/7.4/H182</f>
        <v>0.534340594596668</v>
      </c>
      <c r="AF182" s="192">
        <f>Z182/7.4/H182</f>
        <v>0.0343042275353046</v>
      </c>
      <c r="AG182" s="192">
        <v>0.15</v>
      </c>
      <c r="AH182" s="192">
        <v>0.15</v>
      </c>
      <c r="AI182" s="192">
        <v>0.02</v>
      </c>
      <c r="AJ182" s="192">
        <f>M182</f>
        <v>0.0043</v>
      </c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</row>
    <row r="183" spans="1:32">
      <c r="A183" s="7" t="s">
        <v>196</v>
      </c>
      <c r="F183" s="207"/>
      <c r="G183" s="207"/>
      <c r="I183" s="207"/>
      <c r="O183" s="211"/>
      <c r="Q183" s="7"/>
      <c r="V183" s="207"/>
      <c r="W183" s="207"/>
      <c r="Y183" s="215"/>
      <c r="Z183" s="207"/>
      <c r="AA183" s="207"/>
      <c r="AB183" s="216"/>
      <c r="AD183" s="217"/>
      <c r="AE183" s="7"/>
      <c r="AF183" s="7"/>
    </row>
    <row r="184" spans="6:32">
      <c r="F184" s="207"/>
      <c r="G184" s="207"/>
      <c r="I184" s="207"/>
      <c r="O184" s="211"/>
      <c r="Q184" s="7"/>
      <c r="V184" s="207"/>
      <c r="W184" s="207"/>
      <c r="Y184" s="215"/>
      <c r="Z184" s="207"/>
      <c r="AA184" s="207"/>
      <c r="AB184" s="216"/>
      <c r="AD184" s="217"/>
      <c r="AE184" s="7"/>
      <c r="AF184" s="7"/>
    </row>
    <row r="185" spans="6:32">
      <c r="F185" s="207"/>
      <c r="G185" s="207"/>
      <c r="I185" s="207"/>
      <c r="O185" s="211"/>
      <c r="Q185" s="7"/>
      <c r="V185" s="207"/>
      <c r="W185" s="207"/>
      <c r="Y185" s="215"/>
      <c r="Z185" s="207"/>
      <c r="AA185" s="207"/>
      <c r="AB185" s="216"/>
      <c r="AD185" s="217"/>
      <c r="AE185" s="7"/>
      <c r="AF185" s="7"/>
    </row>
    <row r="186" spans="6:32">
      <c r="F186" s="207"/>
      <c r="G186" s="207"/>
      <c r="I186" s="207"/>
      <c r="O186" s="211"/>
      <c r="Q186" s="7"/>
      <c r="V186" s="207"/>
      <c r="W186" s="207"/>
      <c r="Y186" s="215"/>
      <c r="Z186" s="207"/>
      <c r="AA186" s="207"/>
      <c r="AB186" s="216"/>
      <c r="AD186" s="217"/>
      <c r="AE186" s="7"/>
      <c r="AF186" s="7"/>
    </row>
    <row r="187" spans="6:32">
      <c r="F187" s="207"/>
      <c r="G187" s="207"/>
      <c r="I187" s="207"/>
      <c r="O187" s="211"/>
      <c r="Q187" s="7"/>
      <c r="V187" s="207"/>
      <c r="W187" s="207"/>
      <c r="Y187" s="215"/>
      <c r="Z187" s="207"/>
      <c r="AA187" s="207"/>
      <c r="AB187" s="216"/>
      <c r="AD187" s="217"/>
      <c r="AE187" s="7"/>
      <c r="AF187" s="7"/>
    </row>
    <row r="188" spans="6:32">
      <c r="F188" s="207"/>
      <c r="G188" s="207"/>
      <c r="I188" s="207"/>
      <c r="O188" s="211"/>
      <c r="Q188" s="7"/>
      <c r="V188" s="207"/>
      <c r="W188" s="207"/>
      <c r="Y188" s="215"/>
      <c r="Z188" s="207"/>
      <c r="AA188" s="207"/>
      <c r="AB188" s="216"/>
      <c r="AD188" s="217"/>
      <c r="AE188" s="7"/>
      <c r="AF188" s="7"/>
    </row>
    <row r="189" spans="6:32">
      <c r="F189" s="207"/>
      <c r="G189" s="207"/>
      <c r="I189" s="207"/>
      <c r="O189" s="211"/>
      <c r="Q189" s="7"/>
      <c r="V189" s="207"/>
      <c r="W189" s="207"/>
      <c r="Y189" s="215"/>
      <c r="Z189" s="207"/>
      <c r="AA189" s="207"/>
      <c r="AB189" s="216"/>
      <c r="AD189" s="217"/>
      <c r="AE189" s="7"/>
      <c r="AF189" s="7"/>
    </row>
    <row r="190" spans="6:32">
      <c r="F190" s="207"/>
      <c r="G190" s="207"/>
      <c r="I190" s="207"/>
      <c r="O190" s="211"/>
      <c r="Q190" s="7"/>
      <c r="V190" s="207"/>
      <c r="W190" s="207"/>
      <c r="Y190" s="215"/>
      <c r="Z190" s="207"/>
      <c r="AA190" s="207"/>
      <c r="AB190" s="216"/>
      <c r="AD190" s="217"/>
      <c r="AE190" s="7"/>
      <c r="AF190" s="7"/>
    </row>
    <row r="191" spans="6:32">
      <c r="F191" s="207"/>
      <c r="G191" s="207"/>
      <c r="I191" s="207"/>
      <c r="O191" s="211"/>
      <c r="Q191" s="7"/>
      <c r="V191" s="207"/>
      <c r="W191" s="207"/>
      <c r="Y191" s="215"/>
      <c r="Z191" s="207"/>
      <c r="AA191" s="207"/>
      <c r="AB191" s="216"/>
      <c r="AD191" s="217"/>
      <c r="AE191" s="7"/>
      <c r="AF191" s="7"/>
    </row>
    <row r="192" spans="6:32">
      <c r="F192" s="207"/>
      <c r="G192" s="207"/>
      <c r="I192" s="207"/>
      <c r="O192" s="211"/>
      <c r="Q192" s="7"/>
      <c r="V192" s="207"/>
      <c r="W192" s="207"/>
      <c r="Y192" s="215"/>
      <c r="Z192" s="207"/>
      <c r="AA192" s="207"/>
      <c r="AB192" s="216"/>
      <c r="AD192" s="217"/>
      <c r="AE192" s="7"/>
      <c r="AF192" s="7"/>
    </row>
    <row r="193" spans="6:32">
      <c r="F193" s="207"/>
      <c r="G193" s="207"/>
      <c r="I193" s="207"/>
      <c r="O193" s="211"/>
      <c r="Q193" s="7"/>
      <c r="V193" s="207"/>
      <c r="W193" s="207"/>
      <c r="Y193" s="215"/>
      <c r="Z193" s="207"/>
      <c r="AA193" s="207"/>
      <c r="AB193" s="216"/>
      <c r="AD193" s="217"/>
      <c r="AE193" s="7"/>
      <c r="AF193" s="7"/>
    </row>
    <row r="194" spans="6:32">
      <c r="F194" s="207"/>
      <c r="G194" s="207"/>
      <c r="I194" s="207"/>
      <c r="O194" s="211"/>
      <c r="Q194" s="7"/>
      <c r="V194" s="207"/>
      <c r="W194" s="207"/>
      <c r="Y194" s="215"/>
      <c r="Z194" s="207"/>
      <c r="AA194" s="207"/>
      <c r="AB194" s="216"/>
      <c r="AD194" s="217"/>
      <c r="AE194" s="7"/>
      <c r="AF194" s="7"/>
    </row>
    <row r="195" spans="6:32">
      <c r="F195" s="207"/>
      <c r="G195" s="207"/>
      <c r="I195" s="207"/>
      <c r="O195" s="211"/>
      <c r="Q195" s="7"/>
      <c r="V195" s="207"/>
      <c r="W195" s="207"/>
      <c r="Y195" s="215"/>
      <c r="Z195" s="207"/>
      <c r="AA195" s="207"/>
      <c r="AB195" s="216"/>
      <c r="AD195" s="217"/>
      <c r="AE195" s="7"/>
      <c r="AF195" s="7"/>
    </row>
    <row r="196" spans="6:32">
      <c r="F196" s="207"/>
      <c r="G196" s="207"/>
      <c r="I196" s="207"/>
      <c r="O196" s="211"/>
      <c r="Q196" s="7"/>
      <c r="V196" s="207"/>
      <c r="W196" s="207"/>
      <c r="Y196" s="215"/>
      <c r="Z196" s="207"/>
      <c r="AA196" s="207"/>
      <c r="AB196" s="216"/>
      <c r="AD196" s="217"/>
      <c r="AE196" s="7"/>
      <c r="AF196" s="7"/>
    </row>
    <row r="197" spans="6:32">
      <c r="F197" s="207"/>
      <c r="G197" s="207"/>
      <c r="I197" s="207"/>
      <c r="O197" s="211"/>
      <c r="Q197" s="7"/>
      <c r="V197" s="207"/>
      <c r="W197" s="207"/>
      <c r="Y197" s="215"/>
      <c r="Z197" s="207"/>
      <c r="AA197" s="207"/>
      <c r="AB197" s="216"/>
      <c r="AD197" s="217"/>
      <c r="AE197" s="7"/>
      <c r="AF197" s="7"/>
    </row>
    <row r="198" spans="6:32">
      <c r="F198" s="207"/>
      <c r="G198" s="207"/>
      <c r="I198" s="207"/>
      <c r="O198" s="211"/>
      <c r="Q198" s="7"/>
      <c r="V198" s="207"/>
      <c r="W198" s="207"/>
      <c r="Y198" s="215"/>
      <c r="Z198" s="207"/>
      <c r="AA198" s="207"/>
      <c r="AB198" s="216"/>
      <c r="AD198" s="217"/>
      <c r="AE198" s="7"/>
      <c r="AF198" s="7"/>
    </row>
    <row r="199" spans="6:32">
      <c r="F199" s="207"/>
      <c r="G199" s="207"/>
      <c r="I199" s="207"/>
      <c r="O199" s="211"/>
      <c r="Q199" s="7"/>
      <c r="V199" s="207"/>
      <c r="W199" s="207"/>
      <c r="Y199" s="215"/>
      <c r="Z199" s="207"/>
      <c r="AA199" s="207"/>
      <c r="AB199" s="216"/>
      <c r="AD199" s="217"/>
      <c r="AE199" s="7"/>
      <c r="AF199" s="7"/>
    </row>
    <row r="200" spans="6:32">
      <c r="F200" s="207"/>
      <c r="G200" s="207"/>
      <c r="I200" s="207"/>
      <c r="O200" s="211"/>
      <c r="Q200" s="7"/>
      <c r="V200" s="207"/>
      <c r="W200" s="207"/>
      <c r="Y200" s="215"/>
      <c r="Z200" s="207"/>
      <c r="AA200" s="207"/>
      <c r="AB200" s="216"/>
      <c r="AD200" s="217"/>
      <c r="AE200" s="7"/>
      <c r="AF200" s="7"/>
    </row>
    <row r="201" spans="6:32">
      <c r="F201" s="207"/>
      <c r="G201" s="207"/>
      <c r="I201" s="207"/>
      <c r="O201" s="211"/>
      <c r="Q201" s="7"/>
      <c r="V201" s="207"/>
      <c r="W201" s="207"/>
      <c r="Y201" s="215"/>
      <c r="Z201" s="207"/>
      <c r="AA201" s="207"/>
      <c r="AB201" s="216"/>
      <c r="AD201" s="217"/>
      <c r="AE201" s="7"/>
      <c r="AF201" s="7"/>
    </row>
    <row r="202" spans="6:32">
      <c r="F202" s="207"/>
      <c r="G202" s="207"/>
      <c r="I202" s="207"/>
      <c r="O202" s="211"/>
      <c r="Q202" s="7"/>
      <c r="V202" s="207"/>
      <c r="W202" s="207"/>
      <c r="Y202" s="215"/>
      <c r="Z202" s="207"/>
      <c r="AA202" s="207"/>
      <c r="AB202" s="216"/>
      <c r="AD202" s="217"/>
      <c r="AE202" s="7"/>
      <c r="AF202" s="7"/>
    </row>
    <row r="203" spans="6:32">
      <c r="F203" s="207"/>
      <c r="G203" s="207"/>
      <c r="I203" s="207"/>
      <c r="O203" s="211"/>
      <c r="Q203" s="7"/>
      <c r="V203" s="207"/>
      <c r="W203" s="207"/>
      <c r="Y203" s="215"/>
      <c r="Z203" s="207"/>
      <c r="AA203" s="207"/>
      <c r="AB203" s="216"/>
      <c r="AD203" s="217"/>
      <c r="AE203" s="7"/>
      <c r="AF203" s="7"/>
    </row>
    <row r="204" spans="6:32">
      <c r="F204" s="207"/>
      <c r="G204" s="207"/>
      <c r="I204" s="207"/>
      <c r="O204" s="211"/>
      <c r="Q204" s="7"/>
      <c r="V204" s="207"/>
      <c r="W204" s="207"/>
      <c r="Y204" s="215"/>
      <c r="Z204" s="207"/>
      <c r="AA204" s="207"/>
      <c r="AB204" s="216"/>
      <c r="AD204" s="217"/>
      <c r="AE204" s="7"/>
      <c r="AF204" s="7"/>
    </row>
    <row r="205" spans="6:32">
      <c r="F205" s="207"/>
      <c r="G205" s="207"/>
      <c r="I205" s="207"/>
      <c r="O205" s="211"/>
      <c r="Q205" s="7"/>
      <c r="V205" s="207"/>
      <c r="W205" s="207"/>
      <c r="Y205" s="215"/>
      <c r="Z205" s="207"/>
      <c r="AA205" s="207"/>
      <c r="AB205" s="216"/>
      <c r="AD205" s="217"/>
      <c r="AE205" s="7"/>
      <c r="AF205" s="7"/>
    </row>
    <row r="206" spans="6:32">
      <c r="F206" s="207"/>
      <c r="G206" s="207"/>
      <c r="I206" s="207"/>
      <c r="O206" s="211"/>
      <c r="Q206" s="7"/>
      <c r="V206" s="207"/>
      <c r="W206" s="207"/>
      <c r="Y206" s="215"/>
      <c r="Z206" s="207"/>
      <c r="AA206" s="207"/>
      <c r="AB206" s="216"/>
      <c r="AD206" s="217"/>
      <c r="AE206" s="7"/>
      <c r="AF206" s="7"/>
    </row>
    <row r="207" spans="6:32">
      <c r="F207" s="207"/>
      <c r="G207" s="207"/>
      <c r="I207" s="207"/>
      <c r="O207" s="211"/>
      <c r="Q207" s="7"/>
      <c r="V207" s="207"/>
      <c r="W207" s="207"/>
      <c r="Y207" s="215"/>
      <c r="Z207" s="207"/>
      <c r="AA207" s="207"/>
      <c r="AB207" s="216"/>
      <c r="AD207" s="217"/>
      <c r="AE207" s="7"/>
      <c r="AF207" s="7"/>
    </row>
    <row r="208" spans="6:32">
      <c r="F208" s="207"/>
      <c r="G208" s="207"/>
      <c r="I208" s="207"/>
      <c r="O208" s="211"/>
      <c r="Q208" s="7"/>
      <c r="V208" s="207"/>
      <c r="W208" s="207"/>
      <c r="Y208" s="215"/>
      <c r="Z208" s="207"/>
      <c r="AA208" s="207"/>
      <c r="AB208" s="216"/>
      <c r="AD208" s="217"/>
      <c r="AE208" s="7"/>
      <c r="AF208" s="7"/>
    </row>
    <row r="209" spans="6:32">
      <c r="F209" s="207"/>
      <c r="G209" s="207"/>
      <c r="I209" s="207"/>
      <c r="O209" s="211"/>
      <c r="Q209" s="7"/>
      <c r="V209" s="207"/>
      <c r="W209" s="207"/>
      <c r="Y209" s="215"/>
      <c r="Z209" s="207"/>
      <c r="AA209" s="207"/>
      <c r="AB209" s="216"/>
      <c r="AD209" s="217"/>
      <c r="AE209" s="7"/>
      <c r="AF209" s="7"/>
    </row>
    <row r="210" spans="6:32">
      <c r="F210" s="207"/>
      <c r="G210" s="207"/>
      <c r="I210" s="207"/>
      <c r="O210" s="211"/>
      <c r="Q210" s="7"/>
      <c r="V210" s="207"/>
      <c r="W210" s="207"/>
      <c r="Y210" s="215"/>
      <c r="Z210" s="207"/>
      <c r="AA210" s="207"/>
      <c r="AB210" s="216"/>
      <c r="AD210" s="217"/>
      <c r="AE210" s="7"/>
      <c r="AF210" s="7"/>
    </row>
    <row r="211" spans="6:32">
      <c r="F211" s="207"/>
      <c r="G211" s="207"/>
      <c r="I211" s="207"/>
      <c r="O211" s="211"/>
      <c r="Q211" s="7"/>
      <c r="V211" s="207"/>
      <c r="W211" s="207"/>
      <c r="Y211" s="215"/>
      <c r="Z211" s="207"/>
      <c r="AA211" s="207"/>
      <c r="AB211" s="216"/>
      <c r="AD211" s="217"/>
      <c r="AE211" s="7"/>
      <c r="AF211" s="7"/>
    </row>
    <row r="212" spans="6:32">
      <c r="F212" s="207"/>
      <c r="G212" s="207"/>
      <c r="I212" s="207"/>
      <c r="O212" s="211"/>
      <c r="Q212" s="7"/>
      <c r="V212" s="207"/>
      <c r="W212" s="207"/>
      <c r="Y212" s="215"/>
      <c r="Z212" s="207"/>
      <c r="AA212" s="207"/>
      <c r="AB212" s="216"/>
      <c r="AD212" s="217"/>
      <c r="AE212" s="7"/>
      <c r="AF212" s="7"/>
    </row>
    <row r="213" spans="6:32">
      <c r="F213" s="207"/>
      <c r="G213" s="207"/>
      <c r="I213" s="207"/>
      <c r="O213" s="211"/>
      <c r="Q213" s="7"/>
      <c r="V213" s="207"/>
      <c r="W213" s="207"/>
      <c r="Y213" s="215"/>
      <c r="Z213" s="207"/>
      <c r="AA213" s="207"/>
      <c r="AB213" s="216"/>
      <c r="AD213" s="217"/>
      <c r="AE213" s="7"/>
      <c r="AF213" s="7"/>
    </row>
    <row r="214" spans="6:32">
      <c r="F214" s="207"/>
      <c r="G214" s="207"/>
      <c r="I214" s="207"/>
      <c r="O214" s="211"/>
      <c r="Q214" s="7"/>
      <c r="V214" s="207"/>
      <c r="W214" s="207"/>
      <c r="Y214" s="215"/>
      <c r="Z214" s="207"/>
      <c r="AA214" s="207"/>
      <c r="AB214" s="216"/>
      <c r="AD214" s="217"/>
      <c r="AE214" s="7"/>
      <c r="AF214" s="7"/>
    </row>
    <row r="215" spans="6:32">
      <c r="F215" s="207"/>
      <c r="G215" s="207"/>
      <c r="I215" s="207"/>
      <c r="O215" s="211"/>
      <c r="Q215" s="7"/>
      <c r="V215" s="207"/>
      <c r="W215" s="207"/>
      <c r="Y215" s="215"/>
      <c r="Z215" s="207"/>
      <c r="AA215" s="207"/>
      <c r="AB215" s="216"/>
      <c r="AD215" s="217"/>
      <c r="AE215" s="7"/>
      <c r="AF215" s="7"/>
    </row>
    <row r="216" spans="6:32">
      <c r="F216" s="207"/>
      <c r="G216" s="207"/>
      <c r="I216" s="207"/>
      <c r="O216" s="211"/>
      <c r="Q216" s="7"/>
      <c r="V216" s="207"/>
      <c r="W216" s="207"/>
      <c r="Y216" s="215"/>
      <c r="Z216" s="207"/>
      <c r="AA216" s="207"/>
      <c r="AB216" s="216"/>
      <c r="AD216" s="217"/>
      <c r="AE216" s="7"/>
      <c r="AF216" s="7"/>
    </row>
    <row r="217" spans="6:32">
      <c r="F217" s="207"/>
      <c r="G217" s="207"/>
      <c r="I217" s="207"/>
      <c r="O217" s="211"/>
      <c r="Q217" s="7"/>
      <c r="V217" s="207"/>
      <c r="W217" s="207"/>
      <c r="Y217" s="215"/>
      <c r="Z217" s="207"/>
      <c r="AA217" s="207"/>
      <c r="AB217" s="216"/>
      <c r="AD217" s="217"/>
      <c r="AE217" s="7"/>
      <c r="AF217" s="7"/>
    </row>
    <row r="218" spans="6:32">
      <c r="F218" s="207"/>
      <c r="G218" s="207"/>
      <c r="I218" s="207"/>
      <c r="O218" s="211"/>
      <c r="Q218" s="7"/>
      <c r="V218" s="207"/>
      <c r="W218" s="207"/>
      <c r="Y218" s="215"/>
      <c r="Z218" s="207"/>
      <c r="AA218" s="207"/>
      <c r="AB218" s="216"/>
      <c r="AD218" s="217"/>
      <c r="AE218" s="7"/>
      <c r="AF218" s="7"/>
    </row>
    <row r="219" spans="6:32">
      <c r="F219" s="207"/>
      <c r="G219" s="207"/>
      <c r="I219" s="207"/>
      <c r="O219" s="211"/>
      <c r="Q219" s="7"/>
      <c r="V219" s="207"/>
      <c r="W219" s="207"/>
      <c r="Y219" s="215"/>
      <c r="Z219" s="207"/>
      <c r="AA219" s="207"/>
      <c r="AB219" s="216"/>
      <c r="AD219" s="217"/>
      <c r="AE219" s="7"/>
      <c r="AF219" s="7"/>
    </row>
    <row r="220" spans="6:32">
      <c r="F220" s="207"/>
      <c r="G220" s="207"/>
      <c r="I220" s="207"/>
      <c r="O220" s="211"/>
      <c r="Q220" s="7"/>
      <c r="V220" s="207"/>
      <c r="W220" s="207"/>
      <c r="Y220" s="215"/>
      <c r="Z220" s="207"/>
      <c r="AA220" s="207"/>
      <c r="AB220" s="216"/>
      <c r="AD220" s="217"/>
      <c r="AE220" s="7"/>
      <c r="AF220" s="7"/>
    </row>
    <row r="221" spans="6:32">
      <c r="F221" s="207"/>
      <c r="G221" s="207"/>
      <c r="I221" s="207"/>
      <c r="O221" s="211"/>
      <c r="Q221" s="7"/>
      <c r="V221" s="207"/>
      <c r="W221" s="207"/>
      <c r="Y221" s="215"/>
      <c r="Z221" s="207"/>
      <c r="AA221" s="207"/>
      <c r="AB221" s="216"/>
      <c r="AD221" s="217"/>
      <c r="AE221" s="7"/>
      <c r="AF221" s="7"/>
    </row>
    <row r="222" spans="6:32">
      <c r="F222" s="207"/>
      <c r="G222" s="207"/>
      <c r="I222" s="207"/>
      <c r="O222" s="211"/>
      <c r="Q222" s="7"/>
      <c r="V222" s="207"/>
      <c r="W222" s="207"/>
      <c r="Y222" s="215"/>
      <c r="Z222" s="207"/>
      <c r="AA222" s="207"/>
      <c r="AB222" s="216"/>
      <c r="AD222" s="217"/>
      <c r="AE222" s="7"/>
      <c r="AF222" s="7"/>
    </row>
    <row r="223" spans="6:32">
      <c r="F223" s="207"/>
      <c r="G223" s="207"/>
      <c r="I223" s="207"/>
      <c r="O223" s="211"/>
      <c r="Q223" s="7"/>
      <c r="V223" s="207"/>
      <c r="W223" s="207"/>
      <c r="Y223" s="215"/>
      <c r="Z223" s="207"/>
      <c r="AA223" s="207"/>
      <c r="AB223" s="216"/>
      <c r="AD223" s="217"/>
      <c r="AE223" s="7"/>
      <c r="AF223" s="7"/>
    </row>
    <row r="224" spans="6:32">
      <c r="F224" s="207"/>
      <c r="G224" s="207"/>
      <c r="I224" s="207"/>
      <c r="O224" s="211"/>
      <c r="Q224" s="7"/>
      <c r="V224" s="207"/>
      <c r="W224" s="207"/>
      <c r="Y224" s="215"/>
      <c r="Z224" s="207"/>
      <c r="AA224" s="207"/>
      <c r="AB224" s="216"/>
      <c r="AD224" s="217"/>
      <c r="AE224" s="7"/>
      <c r="AF224" s="7"/>
    </row>
    <row r="225" spans="6:32">
      <c r="F225" s="207"/>
      <c r="G225" s="207"/>
      <c r="I225" s="207"/>
      <c r="O225" s="211"/>
      <c r="Q225" s="7"/>
      <c r="V225" s="207"/>
      <c r="W225" s="207"/>
      <c r="Y225" s="215"/>
      <c r="Z225" s="207"/>
      <c r="AA225" s="207"/>
      <c r="AB225" s="216"/>
      <c r="AD225" s="217"/>
      <c r="AE225" s="7"/>
      <c r="AF225" s="7"/>
    </row>
    <row r="226" spans="6:32">
      <c r="F226" s="207"/>
      <c r="G226" s="207"/>
      <c r="I226" s="207"/>
      <c r="O226" s="211"/>
      <c r="Q226" s="7"/>
      <c r="V226" s="207"/>
      <c r="W226" s="207"/>
      <c r="Y226" s="215"/>
      <c r="Z226" s="207"/>
      <c r="AA226" s="207"/>
      <c r="AB226" s="216"/>
      <c r="AD226" s="217"/>
      <c r="AE226" s="7"/>
      <c r="AF226" s="7"/>
    </row>
    <row r="227" spans="6:32">
      <c r="F227" s="207"/>
      <c r="G227" s="207"/>
      <c r="I227" s="207"/>
      <c r="O227" s="211"/>
      <c r="Q227" s="7"/>
      <c r="V227" s="207"/>
      <c r="W227" s="207"/>
      <c r="Y227" s="215"/>
      <c r="Z227" s="207"/>
      <c r="AA227" s="207"/>
      <c r="AB227" s="216"/>
      <c r="AD227" s="217"/>
      <c r="AE227" s="7"/>
      <c r="AF227" s="7"/>
    </row>
    <row r="228" spans="6:32">
      <c r="F228" s="207"/>
      <c r="G228" s="207"/>
      <c r="I228" s="207"/>
      <c r="O228" s="211"/>
      <c r="Q228" s="7"/>
      <c r="V228" s="207"/>
      <c r="W228" s="207"/>
      <c r="Y228" s="215"/>
      <c r="Z228" s="207"/>
      <c r="AA228" s="207"/>
      <c r="AB228" s="216"/>
      <c r="AD228" s="217"/>
      <c r="AE228" s="7"/>
      <c r="AF228" s="7"/>
    </row>
    <row r="229" spans="6:32">
      <c r="F229" s="207"/>
      <c r="G229" s="207"/>
      <c r="I229" s="207"/>
      <c r="O229" s="211"/>
      <c r="Q229" s="7"/>
      <c r="V229" s="207"/>
      <c r="W229" s="207"/>
      <c r="Y229" s="215"/>
      <c r="Z229" s="207"/>
      <c r="AA229" s="207"/>
      <c r="AB229" s="216"/>
      <c r="AD229" s="217"/>
      <c r="AE229" s="7"/>
      <c r="AF229" s="7"/>
    </row>
    <row r="230" spans="6:32">
      <c r="F230" s="207"/>
      <c r="G230" s="207"/>
      <c r="I230" s="207"/>
      <c r="O230" s="211"/>
      <c r="Q230" s="7"/>
      <c r="V230" s="207"/>
      <c r="W230" s="207"/>
      <c r="Y230" s="215"/>
      <c r="Z230" s="207"/>
      <c r="AA230" s="207"/>
      <c r="AB230" s="216"/>
      <c r="AD230" s="217"/>
      <c r="AE230" s="7"/>
      <c r="AF230" s="7"/>
    </row>
    <row r="231" spans="6:32">
      <c r="F231" s="207"/>
      <c r="G231" s="207"/>
      <c r="I231" s="207"/>
      <c r="O231" s="211"/>
      <c r="Q231" s="7"/>
      <c r="V231" s="207"/>
      <c r="W231" s="207"/>
      <c r="Y231" s="215"/>
      <c r="Z231" s="207"/>
      <c r="AA231" s="207"/>
      <c r="AB231" s="216"/>
      <c r="AD231" s="217"/>
      <c r="AE231" s="7"/>
      <c r="AF231" s="7"/>
    </row>
    <row r="232" spans="6:32">
      <c r="F232" s="207"/>
      <c r="G232" s="207"/>
      <c r="I232" s="207"/>
      <c r="O232" s="211"/>
      <c r="Q232" s="7"/>
      <c r="V232" s="207"/>
      <c r="W232" s="207"/>
      <c r="Y232" s="215"/>
      <c r="Z232" s="207"/>
      <c r="AA232" s="207"/>
      <c r="AB232" s="216"/>
      <c r="AD232" s="217"/>
      <c r="AE232" s="7"/>
      <c r="AF232" s="7"/>
    </row>
    <row r="233" spans="6:32">
      <c r="F233" s="207"/>
      <c r="G233" s="207"/>
      <c r="I233" s="207"/>
      <c r="O233" s="211"/>
      <c r="Q233" s="7"/>
      <c r="V233" s="207"/>
      <c r="W233" s="207"/>
      <c r="Y233" s="215"/>
      <c r="Z233" s="207"/>
      <c r="AA233" s="207"/>
      <c r="AB233" s="216"/>
      <c r="AD233" s="217"/>
      <c r="AE233" s="7"/>
      <c r="AF233" s="7"/>
    </row>
    <row r="234" spans="6:32">
      <c r="F234" s="207"/>
      <c r="G234" s="207"/>
      <c r="I234" s="207"/>
      <c r="O234" s="211"/>
      <c r="Q234" s="7"/>
      <c r="V234" s="207"/>
      <c r="W234" s="207"/>
      <c r="Y234" s="215"/>
      <c r="Z234" s="207"/>
      <c r="AA234" s="207"/>
      <c r="AB234" s="216"/>
      <c r="AD234" s="217"/>
      <c r="AE234" s="7"/>
      <c r="AF234" s="7"/>
    </row>
    <row r="235" spans="6:32">
      <c r="F235" s="207"/>
      <c r="G235" s="207"/>
      <c r="I235" s="207"/>
      <c r="O235" s="211"/>
      <c r="Q235" s="7"/>
      <c r="V235" s="207"/>
      <c r="W235" s="207"/>
      <c r="Y235" s="215"/>
      <c r="Z235" s="207"/>
      <c r="AA235" s="207"/>
      <c r="AB235" s="216"/>
      <c r="AD235" s="217"/>
      <c r="AE235" s="7"/>
      <c r="AF235" s="7"/>
    </row>
    <row r="236" spans="6:32">
      <c r="F236" s="207"/>
      <c r="G236" s="207"/>
      <c r="I236" s="207"/>
      <c r="O236" s="211"/>
      <c r="Q236" s="7"/>
      <c r="V236" s="207"/>
      <c r="W236" s="207"/>
      <c r="Y236" s="215"/>
      <c r="Z236" s="207"/>
      <c r="AA236" s="207"/>
      <c r="AB236" s="216"/>
      <c r="AD236" s="217"/>
      <c r="AE236" s="7"/>
      <c r="AF236" s="7"/>
    </row>
    <row r="237" spans="6:32">
      <c r="F237" s="207"/>
      <c r="G237" s="207"/>
      <c r="I237" s="207"/>
      <c r="O237" s="211"/>
      <c r="Q237" s="7"/>
      <c r="V237" s="207"/>
      <c r="W237" s="207"/>
      <c r="Y237" s="215"/>
      <c r="Z237" s="207"/>
      <c r="AA237" s="207"/>
      <c r="AB237" s="216"/>
      <c r="AD237" s="217"/>
      <c r="AE237" s="7"/>
      <c r="AF237" s="7"/>
    </row>
    <row r="238" spans="6:32">
      <c r="F238" s="207"/>
      <c r="G238" s="207"/>
      <c r="I238" s="207"/>
      <c r="O238" s="211"/>
      <c r="Q238" s="7"/>
      <c r="V238" s="207"/>
      <c r="W238" s="207"/>
      <c r="Y238" s="215"/>
      <c r="Z238" s="207"/>
      <c r="AA238" s="207"/>
      <c r="AB238" s="216"/>
      <c r="AD238" s="217"/>
      <c r="AE238" s="7"/>
      <c r="AF238" s="7"/>
    </row>
    <row r="239" spans="6:32">
      <c r="F239" s="207"/>
      <c r="G239" s="207"/>
      <c r="I239" s="207"/>
      <c r="O239" s="211"/>
      <c r="Q239" s="7"/>
      <c r="V239" s="207"/>
      <c r="W239" s="207"/>
      <c r="Y239" s="215"/>
      <c r="Z239" s="207"/>
      <c r="AA239" s="207"/>
      <c r="AB239" s="216"/>
      <c r="AD239" s="217"/>
      <c r="AE239" s="7"/>
      <c r="AF239" s="7"/>
    </row>
    <row r="240" spans="6:32">
      <c r="F240" s="207"/>
      <c r="G240" s="207"/>
      <c r="I240" s="207"/>
      <c r="O240" s="211"/>
      <c r="Q240" s="7"/>
      <c r="V240" s="207"/>
      <c r="W240" s="207"/>
      <c r="Y240" s="215"/>
      <c r="Z240" s="207"/>
      <c r="AA240" s="207"/>
      <c r="AB240" s="216"/>
      <c r="AD240" s="217"/>
      <c r="AE240" s="7"/>
      <c r="AF240" s="7"/>
    </row>
    <row r="241" spans="6:32">
      <c r="F241" s="207"/>
      <c r="G241" s="207"/>
      <c r="I241" s="207"/>
      <c r="O241" s="211"/>
      <c r="Q241" s="7"/>
      <c r="V241" s="207"/>
      <c r="W241" s="207"/>
      <c r="Y241" s="215"/>
      <c r="Z241" s="207"/>
      <c r="AA241" s="207"/>
      <c r="AB241" s="216"/>
      <c r="AD241" s="217"/>
      <c r="AE241" s="7"/>
      <c r="AF241" s="7"/>
    </row>
    <row r="242" spans="6:32">
      <c r="F242" s="207"/>
      <c r="G242" s="207"/>
      <c r="I242" s="207"/>
      <c r="O242" s="211"/>
      <c r="Q242" s="7"/>
      <c r="V242" s="207"/>
      <c r="W242" s="207"/>
      <c r="Y242" s="215"/>
      <c r="Z242" s="207"/>
      <c r="AA242" s="207"/>
      <c r="AB242" s="216"/>
      <c r="AD242" s="217"/>
      <c r="AE242" s="7"/>
      <c r="AF242" s="7"/>
    </row>
    <row r="243" spans="6:32">
      <c r="F243" s="207"/>
      <c r="G243" s="207"/>
      <c r="I243" s="207"/>
      <c r="O243" s="211"/>
      <c r="Q243" s="7"/>
      <c r="V243" s="207"/>
      <c r="W243" s="207"/>
      <c r="Y243" s="215"/>
      <c r="Z243" s="207"/>
      <c r="AA243" s="207"/>
      <c r="AB243" s="216"/>
      <c r="AD243" s="217"/>
      <c r="AE243" s="7"/>
      <c r="AF243" s="7"/>
    </row>
    <row r="244" spans="6:32">
      <c r="F244" s="207"/>
      <c r="G244" s="207"/>
      <c r="I244" s="207"/>
      <c r="O244" s="211"/>
      <c r="Q244" s="7"/>
      <c r="V244" s="207"/>
      <c r="W244" s="207"/>
      <c r="Y244" s="215"/>
      <c r="Z244" s="207"/>
      <c r="AA244" s="207"/>
      <c r="AB244" s="216"/>
      <c r="AD244" s="217"/>
      <c r="AE244" s="7"/>
      <c r="AF244" s="7"/>
    </row>
    <row r="245" spans="6:32">
      <c r="F245" s="207"/>
      <c r="G245" s="207"/>
      <c r="I245" s="207"/>
      <c r="O245" s="211"/>
      <c r="Q245" s="7"/>
      <c r="V245" s="207"/>
      <c r="W245" s="207"/>
      <c r="Y245" s="215"/>
      <c r="Z245" s="207"/>
      <c r="AA245" s="207"/>
      <c r="AB245" s="216"/>
      <c r="AD245" s="217"/>
      <c r="AE245" s="7"/>
      <c r="AF245" s="7"/>
    </row>
    <row r="246" spans="6:32">
      <c r="F246" s="207"/>
      <c r="G246" s="207"/>
      <c r="I246" s="207"/>
      <c r="O246" s="211"/>
      <c r="Q246" s="7"/>
      <c r="V246" s="207"/>
      <c r="W246" s="207"/>
      <c r="Y246" s="215"/>
      <c r="Z246" s="207"/>
      <c r="AA246" s="207"/>
      <c r="AB246" s="216"/>
      <c r="AD246" s="217"/>
      <c r="AE246" s="7"/>
      <c r="AF246" s="7"/>
    </row>
    <row r="247" spans="6:32">
      <c r="F247" s="207"/>
      <c r="G247" s="207"/>
      <c r="I247" s="207"/>
      <c r="O247" s="211"/>
      <c r="Q247" s="7"/>
      <c r="V247" s="207"/>
      <c r="W247" s="207"/>
      <c r="Y247" s="215"/>
      <c r="Z247" s="207"/>
      <c r="AA247" s="207"/>
      <c r="AB247" s="216"/>
      <c r="AD247" s="217"/>
      <c r="AE247" s="7"/>
      <c r="AF247" s="7"/>
    </row>
    <row r="248" spans="6:32">
      <c r="F248" s="207"/>
      <c r="G248" s="207"/>
      <c r="I248" s="207"/>
      <c r="O248" s="211"/>
      <c r="Q248" s="7"/>
      <c r="V248" s="207"/>
      <c r="W248" s="207"/>
      <c r="Y248" s="215"/>
      <c r="Z248" s="207"/>
      <c r="AA248" s="207"/>
      <c r="AB248" s="216"/>
      <c r="AD248" s="217"/>
      <c r="AE248" s="7"/>
      <c r="AF248" s="7"/>
    </row>
    <row r="249" spans="6:32">
      <c r="F249" s="207"/>
      <c r="G249" s="207"/>
      <c r="I249" s="207"/>
      <c r="O249" s="211"/>
      <c r="Q249" s="7"/>
      <c r="V249" s="207"/>
      <c r="W249" s="207"/>
      <c r="Y249" s="215"/>
      <c r="Z249" s="207"/>
      <c r="AA249" s="207"/>
      <c r="AB249" s="216"/>
      <c r="AD249" s="217"/>
      <c r="AE249" s="7"/>
      <c r="AF249" s="7"/>
    </row>
    <row r="250" spans="6:32">
      <c r="F250" s="207"/>
      <c r="G250" s="207"/>
      <c r="I250" s="207"/>
      <c r="O250" s="211"/>
      <c r="Q250" s="7"/>
      <c r="V250" s="207"/>
      <c r="W250" s="207"/>
      <c r="Y250" s="215"/>
      <c r="Z250" s="207"/>
      <c r="AA250" s="207"/>
      <c r="AB250" s="216"/>
      <c r="AD250" s="217"/>
      <c r="AE250" s="7"/>
      <c r="AF250" s="7"/>
    </row>
    <row r="251" spans="6:32">
      <c r="F251" s="207"/>
      <c r="G251" s="207"/>
      <c r="I251" s="207"/>
      <c r="O251" s="211"/>
      <c r="Q251" s="7"/>
      <c r="V251" s="207"/>
      <c r="W251" s="207"/>
      <c r="Y251" s="215"/>
      <c r="Z251" s="207"/>
      <c r="AA251" s="207"/>
      <c r="AB251" s="216"/>
      <c r="AD251" s="217"/>
      <c r="AE251" s="7"/>
      <c r="AF251" s="7"/>
    </row>
    <row r="252" spans="6:32">
      <c r="F252" s="207"/>
      <c r="G252" s="207"/>
      <c r="I252" s="207"/>
      <c r="O252" s="211"/>
      <c r="Q252" s="7"/>
      <c r="V252" s="207"/>
      <c r="W252" s="207"/>
      <c r="Y252" s="215"/>
      <c r="Z252" s="207"/>
      <c r="AA252" s="207"/>
      <c r="AB252" s="216"/>
      <c r="AD252" s="217"/>
      <c r="AE252" s="7"/>
      <c r="AF252" s="7"/>
    </row>
    <row r="253" spans="6:32">
      <c r="F253" s="207"/>
      <c r="G253" s="207"/>
      <c r="I253" s="207"/>
      <c r="O253" s="211"/>
      <c r="Q253" s="7"/>
      <c r="V253" s="207"/>
      <c r="W253" s="207"/>
      <c r="Y253" s="215"/>
      <c r="Z253" s="207"/>
      <c r="AA253" s="207"/>
      <c r="AB253" s="216"/>
      <c r="AD253" s="217"/>
      <c r="AE253" s="7"/>
      <c r="AF253" s="7"/>
    </row>
    <row r="254" spans="6:32">
      <c r="F254" s="207"/>
      <c r="G254" s="207"/>
      <c r="I254" s="207"/>
      <c r="O254" s="211"/>
      <c r="Q254" s="7"/>
      <c r="V254" s="207"/>
      <c r="W254" s="207"/>
      <c r="Y254" s="215"/>
      <c r="Z254" s="207"/>
      <c r="AA254" s="207"/>
      <c r="AB254" s="216"/>
      <c r="AD254" s="217"/>
      <c r="AE254" s="7"/>
      <c r="AF254" s="7"/>
    </row>
    <row r="255" spans="6:32">
      <c r="F255" s="207"/>
      <c r="G255" s="207"/>
      <c r="I255" s="207"/>
      <c r="O255" s="211"/>
      <c r="Q255" s="7"/>
      <c r="V255" s="207"/>
      <c r="W255" s="207"/>
      <c r="Y255" s="215"/>
      <c r="Z255" s="207"/>
      <c r="AA255" s="207"/>
      <c r="AB255" s="216"/>
      <c r="AD255" s="217"/>
      <c r="AE255" s="7"/>
      <c r="AF255" s="7"/>
    </row>
    <row r="256" spans="6:32">
      <c r="F256" s="207"/>
      <c r="G256" s="207"/>
      <c r="I256" s="207"/>
      <c r="O256" s="211"/>
      <c r="Q256" s="7"/>
      <c r="V256" s="207"/>
      <c r="W256" s="207"/>
      <c r="Y256" s="215"/>
      <c r="Z256" s="207"/>
      <c r="AA256" s="207"/>
      <c r="AB256" s="216"/>
      <c r="AD256" s="217"/>
      <c r="AE256" s="7"/>
      <c r="AF256" s="7"/>
    </row>
    <row r="257" spans="6:32">
      <c r="F257" s="207"/>
      <c r="G257" s="207"/>
      <c r="I257" s="207"/>
      <c r="O257" s="211"/>
      <c r="Q257" s="7"/>
      <c r="V257" s="207"/>
      <c r="W257" s="207"/>
      <c r="Y257" s="215"/>
      <c r="Z257" s="207"/>
      <c r="AA257" s="207"/>
      <c r="AB257" s="216"/>
      <c r="AD257" s="217"/>
      <c r="AE257" s="7"/>
      <c r="AF257" s="7"/>
    </row>
    <row r="258" spans="6:32">
      <c r="F258" s="207"/>
      <c r="G258" s="207"/>
      <c r="I258" s="207"/>
      <c r="O258" s="211"/>
      <c r="Q258" s="7"/>
      <c r="V258" s="207"/>
      <c r="W258" s="207"/>
      <c r="Y258" s="215"/>
      <c r="Z258" s="207"/>
      <c r="AA258" s="207"/>
      <c r="AB258" s="216"/>
      <c r="AD258" s="217"/>
      <c r="AE258" s="7"/>
      <c r="AF258" s="7"/>
    </row>
    <row r="259" spans="6:32">
      <c r="F259" s="207"/>
      <c r="G259" s="207"/>
      <c r="I259" s="207"/>
      <c r="O259" s="211"/>
      <c r="Q259" s="7"/>
      <c r="V259" s="207"/>
      <c r="W259" s="207"/>
      <c r="Y259" s="215"/>
      <c r="Z259" s="207"/>
      <c r="AA259" s="207"/>
      <c r="AB259" s="216"/>
      <c r="AD259" s="217"/>
      <c r="AE259" s="7"/>
      <c r="AF259" s="7"/>
    </row>
    <row r="260" spans="6:32">
      <c r="F260" s="207"/>
      <c r="G260" s="207"/>
      <c r="I260" s="207"/>
      <c r="O260" s="211"/>
      <c r="Q260" s="7"/>
      <c r="V260" s="207"/>
      <c r="W260" s="207"/>
      <c r="Y260" s="215"/>
      <c r="Z260" s="207"/>
      <c r="AA260" s="207"/>
      <c r="AB260" s="216"/>
      <c r="AD260" s="217"/>
      <c r="AE260" s="7"/>
      <c r="AF260" s="7"/>
    </row>
    <row r="261" spans="6:32">
      <c r="F261" s="207"/>
      <c r="G261" s="207"/>
      <c r="I261" s="207"/>
      <c r="O261" s="211"/>
      <c r="Q261" s="7"/>
      <c r="V261" s="207"/>
      <c r="W261" s="207"/>
      <c r="Y261" s="215"/>
      <c r="Z261" s="207"/>
      <c r="AA261" s="207"/>
      <c r="AB261" s="216"/>
      <c r="AD261" s="217"/>
      <c r="AE261" s="7"/>
      <c r="AF261" s="7"/>
    </row>
    <row r="262" spans="6:32">
      <c r="F262" s="207"/>
      <c r="G262" s="207"/>
      <c r="I262" s="207"/>
      <c r="O262" s="211"/>
      <c r="Q262" s="7"/>
      <c r="V262" s="207"/>
      <c r="W262" s="207"/>
      <c r="Y262" s="215"/>
      <c r="Z262" s="207"/>
      <c r="AA262" s="207"/>
      <c r="AB262" s="216"/>
      <c r="AD262" s="217"/>
      <c r="AE262" s="7"/>
      <c r="AF262" s="7"/>
    </row>
    <row r="263" spans="6:32">
      <c r="F263" s="207"/>
      <c r="G263" s="207"/>
      <c r="I263" s="207"/>
      <c r="O263" s="211"/>
      <c r="Q263" s="7"/>
      <c r="V263" s="207"/>
      <c r="W263" s="207"/>
      <c r="Y263" s="215"/>
      <c r="Z263" s="207"/>
      <c r="AA263" s="207"/>
      <c r="AB263" s="216"/>
      <c r="AD263" s="217"/>
      <c r="AE263" s="7"/>
      <c r="AF263" s="7"/>
    </row>
    <row r="264" spans="6:32">
      <c r="F264" s="207"/>
      <c r="G264" s="207"/>
      <c r="I264" s="207"/>
      <c r="O264" s="211"/>
      <c r="Q264" s="7"/>
      <c r="V264" s="207"/>
      <c r="W264" s="207"/>
      <c r="Y264" s="215"/>
      <c r="Z264" s="207"/>
      <c r="AA264" s="207"/>
      <c r="AB264" s="216"/>
      <c r="AD264" s="217"/>
      <c r="AE264" s="7"/>
      <c r="AF264" s="7"/>
    </row>
    <row r="265" spans="6:32">
      <c r="F265" s="207"/>
      <c r="G265" s="207"/>
      <c r="I265" s="207"/>
      <c r="O265" s="211"/>
      <c r="Q265" s="7"/>
      <c r="V265" s="207"/>
      <c r="W265" s="207"/>
      <c r="Y265" s="215"/>
      <c r="Z265" s="207"/>
      <c r="AA265" s="207"/>
      <c r="AB265" s="216"/>
      <c r="AD265" s="217"/>
      <c r="AE265" s="7"/>
      <c r="AF265" s="7"/>
    </row>
    <row r="266" spans="6:32">
      <c r="F266" s="207"/>
      <c r="G266" s="207"/>
      <c r="I266" s="207"/>
      <c r="O266" s="211"/>
      <c r="Q266" s="7"/>
      <c r="V266" s="207"/>
      <c r="W266" s="207"/>
      <c r="Y266" s="215"/>
      <c r="Z266" s="207"/>
      <c r="AA266" s="207"/>
      <c r="AB266" s="216"/>
      <c r="AD266" s="217"/>
      <c r="AE266" s="7"/>
      <c r="AF266" s="7"/>
    </row>
    <row r="267" spans="6:32">
      <c r="F267" s="207"/>
      <c r="G267" s="207"/>
      <c r="I267" s="207"/>
      <c r="O267" s="211"/>
      <c r="Q267" s="7"/>
      <c r="V267" s="207"/>
      <c r="W267" s="207"/>
      <c r="Y267" s="215"/>
      <c r="Z267" s="207"/>
      <c r="AA267" s="207"/>
      <c r="AB267" s="216"/>
      <c r="AD267" s="217"/>
      <c r="AE267" s="7"/>
      <c r="AF267" s="7"/>
    </row>
    <row r="268" spans="6:32">
      <c r="F268" s="207"/>
      <c r="G268" s="207"/>
      <c r="I268" s="207"/>
      <c r="O268" s="211"/>
      <c r="Q268" s="7"/>
      <c r="V268" s="207"/>
      <c r="W268" s="207"/>
      <c r="Y268" s="215"/>
      <c r="Z268" s="207"/>
      <c r="AA268" s="207"/>
      <c r="AB268" s="216"/>
      <c r="AD268" s="217"/>
      <c r="AE268" s="7"/>
      <c r="AF268" s="7"/>
    </row>
    <row r="269" spans="6:32">
      <c r="F269" s="207"/>
      <c r="G269" s="207"/>
      <c r="I269" s="207"/>
      <c r="O269" s="211"/>
      <c r="Q269" s="7"/>
      <c r="V269" s="207"/>
      <c r="W269" s="207"/>
      <c r="Y269" s="215"/>
      <c r="Z269" s="207"/>
      <c r="AA269" s="207"/>
      <c r="AB269" s="216"/>
      <c r="AD269" s="217"/>
      <c r="AE269" s="7"/>
      <c r="AF269" s="7"/>
    </row>
    <row r="270" spans="6:32">
      <c r="F270" s="207"/>
      <c r="G270" s="207"/>
      <c r="I270" s="207"/>
      <c r="O270" s="211"/>
      <c r="Q270" s="7"/>
      <c r="V270" s="207"/>
      <c r="W270" s="207"/>
      <c r="Y270" s="215"/>
      <c r="Z270" s="207"/>
      <c r="AA270" s="207"/>
      <c r="AB270" s="216"/>
      <c r="AD270" s="217"/>
      <c r="AE270" s="7"/>
      <c r="AF270" s="7"/>
    </row>
    <row r="271" spans="6:32">
      <c r="F271" s="207"/>
      <c r="G271" s="207"/>
      <c r="I271" s="207"/>
      <c r="O271" s="211"/>
      <c r="Q271" s="7"/>
      <c r="V271" s="207"/>
      <c r="W271" s="207"/>
      <c r="Y271" s="215"/>
      <c r="Z271" s="207"/>
      <c r="AA271" s="207"/>
      <c r="AB271" s="216"/>
      <c r="AD271" s="217"/>
      <c r="AE271" s="7"/>
      <c r="AF271" s="7"/>
    </row>
    <row r="272" spans="6:32">
      <c r="F272" s="207"/>
      <c r="G272" s="207"/>
      <c r="I272" s="207"/>
      <c r="O272" s="211"/>
      <c r="Q272" s="7"/>
      <c r="V272" s="207"/>
      <c r="W272" s="207"/>
      <c r="Y272" s="215"/>
      <c r="Z272" s="207"/>
      <c r="AA272" s="207"/>
      <c r="AB272" s="216"/>
      <c r="AD272" s="217"/>
      <c r="AE272" s="7"/>
      <c r="AF272" s="7"/>
    </row>
    <row r="273" spans="6:32">
      <c r="F273" s="207"/>
      <c r="G273" s="207"/>
      <c r="I273" s="207"/>
      <c r="O273" s="211"/>
      <c r="Q273" s="7"/>
      <c r="V273" s="207"/>
      <c r="W273" s="207"/>
      <c r="Y273" s="215"/>
      <c r="Z273" s="207"/>
      <c r="AA273" s="207"/>
      <c r="AB273" s="216"/>
      <c r="AD273" s="217"/>
      <c r="AE273" s="7"/>
      <c r="AF273" s="7"/>
    </row>
    <row r="274" spans="6:32">
      <c r="F274" s="207"/>
      <c r="G274" s="207"/>
      <c r="I274" s="207"/>
      <c r="O274" s="211"/>
      <c r="Q274" s="7"/>
      <c r="V274" s="207"/>
      <c r="W274" s="207"/>
      <c r="Y274" s="215"/>
      <c r="Z274" s="207"/>
      <c r="AA274" s="207"/>
      <c r="AB274" s="216"/>
      <c r="AD274" s="217"/>
      <c r="AE274" s="7"/>
      <c r="AF274" s="7"/>
    </row>
    <row r="275" spans="6:32">
      <c r="F275" s="207"/>
      <c r="G275" s="207"/>
      <c r="I275" s="207"/>
      <c r="O275" s="211"/>
      <c r="Q275" s="7"/>
      <c r="V275" s="207"/>
      <c r="W275" s="207"/>
      <c r="Y275" s="215"/>
      <c r="Z275" s="207"/>
      <c r="AA275" s="207"/>
      <c r="AB275" s="216"/>
      <c r="AD275" s="217"/>
      <c r="AE275" s="7"/>
      <c r="AF275" s="7"/>
    </row>
    <row r="276" spans="6:32">
      <c r="F276" s="207"/>
      <c r="G276" s="207"/>
      <c r="I276" s="207"/>
      <c r="O276" s="211"/>
      <c r="Q276" s="7"/>
      <c r="V276" s="207"/>
      <c r="W276" s="207"/>
      <c r="Y276" s="215"/>
      <c r="Z276" s="207"/>
      <c r="AA276" s="207"/>
      <c r="AB276" s="216"/>
      <c r="AD276" s="217"/>
      <c r="AE276" s="7"/>
      <c r="AF276" s="7"/>
    </row>
    <row r="277" spans="6:32">
      <c r="F277" s="207"/>
      <c r="G277" s="207"/>
      <c r="I277" s="207"/>
      <c r="O277" s="211"/>
      <c r="Q277" s="7"/>
      <c r="V277" s="207"/>
      <c r="W277" s="207"/>
      <c r="Y277" s="215"/>
      <c r="Z277" s="207"/>
      <c r="AA277" s="207"/>
      <c r="AB277" s="216"/>
      <c r="AD277" s="217"/>
      <c r="AE277" s="7"/>
      <c r="AF277" s="7"/>
    </row>
    <row r="278" spans="6:32">
      <c r="F278" s="207"/>
      <c r="G278" s="207"/>
      <c r="I278" s="207"/>
      <c r="O278" s="211"/>
      <c r="Q278" s="7"/>
      <c r="V278" s="207"/>
      <c r="W278" s="207"/>
      <c r="Y278" s="215"/>
      <c r="Z278" s="207"/>
      <c r="AA278" s="207"/>
      <c r="AB278" s="216"/>
      <c r="AD278" s="217"/>
      <c r="AE278" s="7"/>
      <c r="AF278" s="7"/>
    </row>
    <row r="279" spans="6:32">
      <c r="F279" s="207"/>
      <c r="G279" s="207"/>
      <c r="I279" s="207"/>
      <c r="O279" s="211"/>
      <c r="Q279" s="7"/>
      <c r="V279" s="207"/>
      <c r="W279" s="207"/>
      <c r="Y279" s="215"/>
      <c r="Z279" s="207"/>
      <c r="AA279" s="207"/>
      <c r="AB279" s="216"/>
      <c r="AD279" s="217"/>
      <c r="AE279" s="7"/>
      <c r="AF279" s="7"/>
    </row>
    <row r="280" spans="6:32">
      <c r="F280" s="207"/>
      <c r="G280" s="207"/>
      <c r="I280" s="207"/>
      <c r="O280" s="211"/>
      <c r="Q280" s="7"/>
      <c r="V280" s="207"/>
      <c r="W280" s="207"/>
      <c r="Y280" s="215"/>
      <c r="Z280" s="207"/>
      <c r="AA280" s="207"/>
      <c r="AB280" s="216"/>
      <c r="AD280" s="217"/>
      <c r="AE280" s="7"/>
      <c r="AF280" s="7"/>
    </row>
    <row r="281" spans="6:32">
      <c r="F281" s="207"/>
      <c r="G281" s="207"/>
      <c r="I281" s="207"/>
      <c r="O281" s="211"/>
      <c r="Q281" s="7"/>
      <c r="V281" s="207"/>
      <c r="W281" s="207"/>
      <c r="Y281" s="215"/>
      <c r="Z281" s="207"/>
      <c r="AA281" s="207"/>
      <c r="AB281" s="216"/>
      <c r="AD281" s="217"/>
      <c r="AE281" s="7"/>
      <c r="AF281" s="7"/>
    </row>
    <row r="282" spans="6:32">
      <c r="F282" s="207"/>
      <c r="G282" s="207"/>
      <c r="I282" s="207"/>
      <c r="O282" s="211"/>
      <c r="Q282" s="7"/>
      <c r="V282" s="207"/>
      <c r="W282" s="207"/>
      <c r="Y282" s="215"/>
      <c r="Z282" s="207"/>
      <c r="AA282" s="207"/>
      <c r="AB282" s="216"/>
      <c r="AD282" s="217"/>
      <c r="AE282" s="7"/>
      <c r="AF282" s="7"/>
    </row>
    <row r="283" spans="6:32">
      <c r="F283" s="207"/>
      <c r="G283" s="207"/>
      <c r="I283" s="207"/>
      <c r="O283" s="211"/>
      <c r="Q283" s="7"/>
      <c r="V283" s="207"/>
      <c r="W283" s="207"/>
      <c r="Y283" s="215"/>
      <c r="Z283" s="207"/>
      <c r="AA283" s="207"/>
      <c r="AB283" s="216"/>
      <c r="AD283" s="217"/>
      <c r="AE283" s="7"/>
      <c r="AF283" s="7"/>
    </row>
    <row r="284" spans="6:32">
      <c r="F284" s="207"/>
      <c r="G284" s="207"/>
      <c r="I284" s="207"/>
      <c r="O284" s="211"/>
      <c r="Q284" s="7"/>
      <c r="V284" s="207"/>
      <c r="W284" s="207"/>
      <c r="Y284" s="215"/>
      <c r="Z284" s="207"/>
      <c r="AA284" s="207"/>
      <c r="AB284" s="216"/>
      <c r="AD284" s="217"/>
      <c r="AE284" s="7"/>
      <c r="AF284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40"/>
  <sheetViews>
    <sheetView workbookViewId="0">
      <pane ySplit="1" topLeftCell="A2" activePane="bottomLeft" state="frozen"/>
      <selection/>
      <selection pane="bottomLeft" activeCell="B68" sqref="B68:B72"/>
    </sheetView>
  </sheetViews>
  <sheetFormatPr defaultColWidth="17" defaultRowHeight="11.4"/>
  <cols>
    <col min="1" max="1" width="9.42708333333333" customWidth="1"/>
    <col min="2" max="2" width="11.875" customWidth="1"/>
    <col min="3" max="3" width="16.59375" customWidth="1"/>
    <col min="4" max="4" width="28.625" customWidth="1"/>
    <col min="5" max="5" width="11.3541666666667" customWidth="1"/>
    <col min="6" max="6" width="16.2395833333333" customWidth="1"/>
    <col min="7" max="8" width="13.625" customWidth="1"/>
    <col min="9" max="10" width="11.6979166666667" customWidth="1"/>
    <col min="11" max="11" width="15.1875" customWidth="1"/>
    <col min="12" max="12" width="12.3958333333333" customWidth="1"/>
    <col min="13" max="13" width="13.96875" customWidth="1"/>
    <col min="14" max="14" width="10.3020833333333" customWidth="1"/>
    <col min="15" max="15" width="10.6458333333333" customWidth="1"/>
    <col min="16" max="16" width="8.89583333333333" customWidth="1"/>
    <col min="17" max="17" width="9.08333333333333" customWidth="1"/>
    <col min="18" max="18" width="9.25" customWidth="1"/>
    <col min="19" max="19" width="10.125" customWidth="1"/>
    <col min="20" max="20" width="9.42708333333333" customWidth="1"/>
    <col min="21" max="21" width="7.67708333333333" customWidth="1"/>
    <col min="22" max="22" width="8.72916666666667" customWidth="1"/>
    <col min="23" max="23" width="8.5625" customWidth="1"/>
    <col min="24" max="24" width="10.6458333333333" customWidth="1"/>
    <col min="25" max="25" width="9.25" customWidth="1"/>
    <col min="26" max="26" width="9.78125" customWidth="1"/>
    <col min="27" max="27" width="10.6458333333333" customWidth="1"/>
    <col min="28" max="28" width="10.8333333333333" customWidth="1"/>
    <col min="29" max="29" width="10.125" customWidth="1"/>
    <col min="30" max="30" width="12.3958333333333" customWidth="1"/>
    <col min="31" max="31" width="9.25" customWidth="1"/>
    <col min="32" max="32" width="11.6979166666667" customWidth="1"/>
    <col min="33" max="33" width="10.4791666666667" customWidth="1"/>
    <col min="34" max="34" width="9.94791666666667" customWidth="1"/>
    <col min="35" max="35" width="11.3541666666667" customWidth="1"/>
    <col min="36" max="71" width="16.59375" customWidth="1"/>
  </cols>
  <sheetData>
    <row r="1" ht="46.8" spans="1:71">
      <c r="A1" s="139" t="s">
        <v>197</v>
      </c>
      <c r="B1" s="140" t="s">
        <v>47</v>
      </c>
      <c r="C1" s="140"/>
      <c r="D1" s="139" t="s">
        <v>48</v>
      </c>
      <c r="E1" s="141" t="s">
        <v>198</v>
      </c>
      <c r="F1" s="142" t="s">
        <v>199</v>
      </c>
      <c r="G1" s="143" t="s">
        <v>200</v>
      </c>
      <c r="H1" s="143" t="s">
        <v>201</v>
      </c>
      <c r="I1" s="143" t="s">
        <v>53</v>
      </c>
      <c r="J1" s="157" t="s">
        <v>33</v>
      </c>
      <c r="K1" s="158" t="s">
        <v>202</v>
      </c>
      <c r="L1" s="159" t="s">
        <v>54</v>
      </c>
      <c r="M1" s="139" t="s">
        <v>56</v>
      </c>
      <c r="N1" s="160" t="s">
        <v>57</v>
      </c>
      <c r="O1" s="161" t="s">
        <v>203</v>
      </c>
      <c r="P1" s="142" t="s">
        <v>5</v>
      </c>
      <c r="Q1" s="166" t="s">
        <v>23</v>
      </c>
      <c r="R1" s="167" t="s">
        <v>204</v>
      </c>
      <c r="S1" s="167" t="s">
        <v>205</v>
      </c>
      <c r="T1" s="167" t="s">
        <v>206</v>
      </c>
      <c r="U1" s="168" t="s">
        <v>207</v>
      </c>
      <c r="V1" s="133" t="s">
        <v>208</v>
      </c>
      <c r="W1" s="133" t="s">
        <v>209</v>
      </c>
      <c r="X1" s="168" t="s">
        <v>210</v>
      </c>
      <c r="Y1" s="168" t="s">
        <v>64</v>
      </c>
      <c r="Z1" s="168" t="s">
        <v>65</v>
      </c>
      <c r="AA1" s="168" t="s">
        <v>66</v>
      </c>
      <c r="AB1" s="168" t="s">
        <v>67</v>
      </c>
      <c r="AC1" s="171" t="s">
        <v>68</v>
      </c>
      <c r="AD1" s="172" t="s">
        <v>69</v>
      </c>
      <c r="AE1" s="171" t="s">
        <v>211</v>
      </c>
      <c r="AF1" s="133" t="s">
        <v>71</v>
      </c>
      <c r="AG1" s="133" t="s">
        <v>40</v>
      </c>
      <c r="AH1" s="158" t="s">
        <v>70</v>
      </c>
      <c r="AI1" s="133" t="s">
        <v>55</v>
      </c>
      <c r="AJ1" s="133" t="s">
        <v>212</v>
      </c>
      <c r="AK1" s="133" t="s">
        <v>213</v>
      </c>
      <c r="AL1" s="133" t="s">
        <v>214</v>
      </c>
      <c r="AM1" s="133" t="s">
        <v>215</v>
      </c>
      <c r="AN1" s="133" t="s">
        <v>216</v>
      </c>
      <c r="AO1" s="133" t="s">
        <v>217</v>
      </c>
      <c r="AP1" s="133" t="s">
        <v>218</v>
      </c>
      <c r="AQ1" s="133" t="s">
        <v>219</v>
      </c>
      <c r="AR1" s="133" t="s">
        <v>220</v>
      </c>
      <c r="AS1" s="133" t="s">
        <v>221</v>
      </c>
      <c r="AT1" s="132" t="s">
        <v>222</v>
      </c>
      <c r="AU1" s="132" t="s">
        <v>223</v>
      </c>
      <c r="AV1" s="132" t="s">
        <v>224</v>
      </c>
      <c r="AW1" s="132" t="s">
        <v>213</v>
      </c>
      <c r="AX1" s="132" t="s">
        <v>214</v>
      </c>
      <c r="AY1" s="132" t="s">
        <v>215</v>
      </c>
      <c r="AZ1" s="133" t="s">
        <v>216</v>
      </c>
      <c r="BA1" s="133" t="s">
        <v>217</v>
      </c>
      <c r="BB1" s="133" t="s">
        <v>218</v>
      </c>
      <c r="BC1" s="133" t="s">
        <v>219</v>
      </c>
      <c r="BD1" s="133" t="s">
        <v>220</v>
      </c>
      <c r="BE1" s="133" t="s">
        <v>221</v>
      </c>
      <c r="BF1" s="132" t="s">
        <v>225</v>
      </c>
      <c r="BG1" s="132" t="s">
        <v>223</v>
      </c>
      <c r="BH1" s="132" t="s">
        <v>224</v>
      </c>
      <c r="BI1" s="132" t="s">
        <v>213</v>
      </c>
      <c r="BJ1" s="132" t="s">
        <v>214</v>
      </c>
      <c r="BK1" s="132" t="s">
        <v>215</v>
      </c>
      <c r="BL1" s="133" t="s">
        <v>216</v>
      </c>
      <c r="BM1" s="133" t="s">
        <v>217</v>
      </c>
      <c r="BN1" s="133" t="s">
        <v>218</v>
      </c>
      <c r="BO1" s="133" t="s">
        <v>219</v>
      </c>
      <c r="BP1" s="133" t="s">
        <v>220</v>
      </c>
      <c r="BQ1" s="133" t="s">
        <v>221</v>
      </c>
      <c r="BR1" s="132" t="s">
        <v>226</v>
      </c>
      <c r="BS1" s="177" t="s">
        <v>46</v>
      </c>
    </row>
    <row r="2" ht="15.6" spans="1:71">
      <c r="A2" s="137" t="s">
        <v>127</v>
      </c>
      <c r="B2" s="100" t="s">
        <v>227</v>
      </c>
      <c r="C2" s="100"/>
      <c r="D2" s="144" t="s">
        <v>228</v>
      </c>
      <c r="E2" s="145">
        <v>59.5</v>
      </c>
      <c r="F2" s="145">
        <v>84.99</v>
      </c>
      <c r="G2" s="114">
        <f t="shared" ref="G2:G65" si="0">(F2-Z2)</f>
        <v>76.491</v>
      </c>
      <c r="H2" s="114">
        <f t="shared" ref="H2:H19" si="1">(F2-Z2)/1.2</f>
        <v>63.7425</v>
      </c>
      <c r="I2" s="114">
        <f t="shared" ref="I2:I19" si="2">E2-N2/Q2-AB2-Y2-O2-Z2-AA2</f>
        <v>12.6940661387983</v>
      </c>
      <c r="J2" s="115">
        <f t="shared" ref="J2:J19" si="3">I2/E2</f>
        <v>0.213345649391568</v>
      </c>
      <c r="K2" s="104">
        <f t="shared" ref="K2:K19" si="4">F2/1.2</f>
        <v>70.825</v>
      </c>
      <c r="L2" s="162">
        <f t="shared" ref="L2:L19" si="5">(K2-E2)/K2</f>
        <v>0.159901164842923</v>
      </c>
      <c r="M2" s="114">
        <f t="shared" ref="M2:M19" si="6">F2/1.2-E2</f>
        <v>11.325</v>
      </c>
      <c r="N2" s="104">
        <f t="shared" ref="N2:N19" si="7">AD2+AH2</f>
        <v>157.566371681416</v>
      </c>
      <c r="O2" s="104">
        <f t="shared" ref="O2:O19" si="8">IFERROR(IF(A2="UK",8.95/P2,IF(A2="DE",11.43/P2,IF(A2="FR",15.27/P2,IF(A2="IT",16.34/P2,IF(A2="ES",20.62/P2,IF(A2="NL",12/P2,IF(A2="PL",15.06/P2,IF(A2="SE",18.5/P2,IF(A2="BE",15.27/P2))))))))),0)</f>
        <v>2.2375</v>
      </c>
      <c r="P2" s="137">
        <v>4</v>
      </c>
      <c r="Q2" s="121">
        <v>9.5</v>
      </c>
      <c r="R2" s="122">
        <f t="shared" ref="R2:R19" si="9">Y2/E2</f>
        <v>0.134453781512605</v>
      </c>
      <c r="S2" s="115">
        <f>Y2/H2</f>
        <v>0.125504961368004</v>
      </c>
      <c r="T2" s="122">
        <f t="shared" ref="T2:T19" si="10">Z2/E2</f>
        <v>0.142840336134454</v>
      </c>
      <c r="U2" s="122">
        <v>0.01</v>
      </c>
      <c r="V2" s="122">
        <f t="shared" ref="V2:V19" si="11">N2/(E2*Q2)</f>
        <v>0.278755190944566</v>
      </c>
      <c r="W2" s="122">
        <f t="shared" ref="W2:W19" si="12">O2/E2</f>
        <v>0.0376050420168067</v>
      </c>
      <c r="X2" s="116">
        <v>0.183</v>
      </c>
      <c r="Y2" s="126">
        <v>8</v>
      </c>
      <c r="Z2" s="126">
        <f>F2*0.1</f>
        <v>8.499</v>
      </c>
      <c r="AA2" s="126">
        <f t="shared" ref="AA2:AA19" si="13">E2*U2</f>
        <v>0.595</v>
      </c>
      <c r="AB2" s="104">
        <f t="shared" ref="AB2:AB19" si="14">E2*X2</f>
        <v>10.8885</v>
      </c>
      <c r="AC2" s="104">
        <v>138.5</v>
      </c>
      <c r="AD2" s="127">
        <f t="shared" ref="AD2:AD19" si="15">AC2/1.13</f>
        <v>122.566371681416</v>
      </c>
      <c r="AE2" s="121">
        <f t="shared" ref="AE2:AE19" si="16">AH2/Q2</f>
        <v>3.68421052631579</v>
      </c>
      <c r="AF2" s="122">
        <f t="shared" ref="AF2:AF19" si="17">AD2/(E2*Q2)</f>
        <v>0.216835686300603</v>
      </c>
      <c r="AG2" s="122">
        <f t="shared" ref="AG2:AG19" si="18">AE2/Q2/E2</f>
        <v>0.00651784259410135</v>
      </c>
      <c r="AH2" s="121">
        <v>35</v>
      </c>
      <c r="AI2" s="122">
        <f t="shared" ref="AI2:AI8" si="19">(H2-E2+AB2)/H2</f>
        <v>0.237376946307409</v>
      </c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31" t="s">
        <v>229</v>
      </c>
      <c r="AU2" s="131" t="s">
        <v>229</v>
      </c>
      <c r="AV2" s="131" t="s">
        <v>229</v>
      </c>
      <c r="AW2" s="131" t="s">
        <v>229</v>
      </c>
      <c r="AX2" s="131" t="s">
        <v>229</v>
      </c>
      <c r="AY2" s="131" t="s">
        <v>229</v>
      </c>
      <c r="AZ2" s="131" t="s">
        <v>229</v>
      </c>
      <c r="BA2" s="131" t="s">
        <v>229</v>
      </c>
      <c r="BB2" s="131" t="s">
        <v>229</v>
      </c>
      <c r="BC2" s="131" t="s">
        <v>229</v>
      </c>
      <c r="BD2" s="131" t="s">
        <v>229</v>
      </c>
      <c r="BE2" s="131" t="s">
        <v>229</v>
      </c>
      <c r="BF2" s="131" t="s">
        <v>229</v>
      </c>
      <c r="BG2" s="131" t="s">
        <v>229</v>
      </c>
      <c r="BH2" s="131" t="s">
        <v>229</v>
      </c>
      <c r="BI2" s="131" t="s">
        <v>229</v>
      </c>
      <c r="BJ2" s="131" t="s">
        <v>229</v>
      </c>
      <c r="BK2" s="131" t="s">
        <v>229</v>
      </c>
      <c r="BL2" s="131" t="s">
        <v>229</v>
      </c>
      <c r="BM2" s="131" t="s">
        <v>229</v>
      </c>
      <c r="BN2" s="131" t="s">
        <v>229</v>
      </c>
      <c r="BO2" s="131" t="s">
        <v>229</v>
      </c>
      <c r="BP2" s="131" t="s">
        <v>229</v>
      </c>
      <c r="BQ2" s="131" t="s">
        <v>229</v>
      </c>
      <c r="BR2" s="178"/>
      <c r="BS2" s="137" t="s">
        <v>230</v>
      </c>
    </row>
    <row r="3" ht="15.6" spans="1:71">
      <c r="A3" s="137" t="s">
        <v>127</v>
      </c>
      <c r="B3" s="100" t="s">
        <v>227</v>
      </c>
      <c r="C3" s="100"/>
      <c r="D3" s="144" t="s">
        <v>231</v>
      </c>
      <c r="E3" s="103">
        <v>59.5</v>
      </c>
      <c r="F3" s="103">
        <v>84.99</v>
      </c>
      <c r="G3" s="114">
        <f t="shared" si="0"/>
        <v>72.2415</v>
      </c>
      <c r="H3" s="114">
        <f t="shared" si="1"/>
        <v>60.20125</v>
      </c>
      <c r="I3" s="114">
        <f t="shared" si="2"/>
        <v>8.44456613879832</v>
      </c>
      <c r="J3" s="115">
        <f t="shared" si="3"/>
        <v>0.141925481324341</v>
      </c>
      <c r="K3" s="104">
        <f t="shared" si="4"/>
        <v>70.825</v>
      </c>
      <c r="L3" s="162">
        <f t="shared" si="5"/>
        <v>0.159901164842923</v>
      </c>
      <c r="M3" s="114">
        <f t="shared" si="6"/>
        <v>11.325</v>
      </c>
      <c r="N3" s="104">
        <f t="shared" si="7"/>
        <v>157.566371681416</v>
      </c>
      <c r="O3" s="104">
        <f t="shared" si="8"/>
        <v>2.2375</v>
      </c>
      <c r="P3" s="137">
        <v>4</v>
      </c>
      <c r="Q3" s="121">
        <v>9.5</v>
      </c>
      <c r="R3" s="122">
        <f t="shared" si="9"/>
        <v>0.134453781512605</v>
      </c>
      <c r="S3" s="115">
        <f>Y3/H3</f>
        <v>0.132887606154357</v>
      </c>
      <c r="T3" s="122">
        <f t="shared" si="10"/>
        <v>0.214260504201681</v>
      </c>
      <c r="U3" s="122">
        <v>0.01</v>
      </c>
      <c r="V3" s="122">
        <f t="shared" si="11"/>
        <v>0.278755190944566</v>
      </c>
      <c r="W3" s="122">
        <f t="shared" si="12"/>
        <v>0.0376050420168067</v>
      </c>
      <c r="X3" s="116">
        <v>0.183</v>
      </c>
      <c r="Y3" s="126">
        <v>8</v>
      </c>
      <c r="Z3" s="126">
        <f>F3*0.15</f>
        <v>12.7485</v>
      </c>
      <c r="AA3" s="126">
        <f t="shared" si="13"/>
        <v>0.595</v>
      </c>
      <c r="AB3" s="104">
        <f t="shared" si="14"/>
        <v>10.8885</v>
      </c>
      <c r="AC3" s="104">
        <v>138.5</v>
      </c>
      <c r="AD3" s="127">
        <f t="shared" si="15"/>
        <v>122.566371681416</v>
      </c>
      <c r="AE3" s="121">
        <f t="shared" si="16"/>
        <v>3.68421052631579</v>
      </c>
      <c r="AF3" s="122">
        <f t="shared" si="17"/>
        <v>0.216835686300603</v>
      </c>
      <c r="AG3" s="122">
        <f t="shared" si="18"/>
        <v>0.00651784259410135</v>
      </c>
      <c r="AH3" s="121">
        <v>35</v>
      </c>
      <c r="AI3" s="122">
        <f t="shared" si="19"/>
        <v>0.192516766678433</v>
      </c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31" t="s">
        <v>229</v>
      </c>
      <c r="AU3" s="131" t="s">
        <v>229</v>
      </c>
      <c r="AV3" s="131" t="s">
        <v>229</v>
      </c>
      <c r="AW3" s="131" t="s">
        <v>229</v>
      </c>
      <c r="AX3" s="131" t="s">
        <v>229</v>
      </c>
      <c r="AY3" s="131" t="s">
        <v>229</v>
      </c>
      <c r="AZ3" s="131" t="s">
        <v>229</v>
      </c>
      <c r="BA3" s="131" t="s">
        <v>229</v>
      </c>
      <c r="BB3" s="131" t="s">
        <v>229</v>
      </c>
      <c r="BC3" s="131" t="s">
        <v>229</v>
      </c>
      <c r="BD3" s="131" t="s">
        <v>229</v>
      </c>
      <c r="BE3" s="131" t="s">
        <v>229</v>
      </c>
      <c r="BF3" s="131" t="s">
        <v>229</v>
      </c>
      <c r="BG3" s="131" t="s">
        <v>229</v>
      </c>
      <c r="BH3" s="131" t="s">
        <v>229</v>
      </c>
      <c r="BI3" s="131" t="s">
        <v>229</v>
      </c>
      <c r="BJ3" s="131" t="s">
        <v>229</v>
      </c>
      <c r="BK3" s="131" t="s">
        <v>229</v>
      </c>
      <c r="BL3" s="131" t="s">
        <v>229</v>
      </c>
      <c r="BM3" s="131" t="s">
        <v>229</v>
      </c>
      <c r="BN3" s="131" t="s">
        <v>229</v>
      </c>
      <c r="BO3" s="131" t="s">
        <v>229</v>
      </c>
      <c r="BP3" s="131" t="s">
        <v>229</v>
      </c>
      <c r="BQ3" s="131" t="s">
        <v>229</v>
      </c>
      <c r="BR3" s="178"/>
      <c r="BS3" s="137" t="s">
        <v>230</v>
      </c>
    </row>
    <row r="4" ht="15.6" spans="1:71">
      <c r="A4" s="100" t="s">
        <v>107</v>
      </c>
      <c r="B4" s="100" t="s">
        <v>232</v>
      </c>
      <c r="C4" s="100"/>
      <c r="D4" s="101" t="s">
        <v>228</v>
      </c>
      <c r="E4" s="113">
        <v>55.85</v>
      </c>
      <c r="F4" s="103">
        <v>79.99</v>
      </c>
      <c r="G4" s="114">
        <f t="shared" si="0"/>
        <v>79.99</v>
      </c>
      <c r="H4" s="114">
        <f t="shared" si="1"/>
        <v>66.6583333333333</v>
      </c>
      <c r="I4" s="114">
        <f t="shared" si="2"/>
        <v>14.500378539823</v>
      </c>
      <c r="J4" s="115">
        <f t="shared" si="3"/>
        <v>0.259630770632462</v>
      </c>
      <c r="K4" s="104">
        <f t="shared" si="4"/>
        <v>66.6583333333333</v>
      </c>
      <c r="L4" s="162">
        <f t="shared" si="5"/>
        <v>0.162145268158519</v>
      </c>
      <c r="M4" s="114">
        <f t="shared" si="6"/>
        <v>10.8083333333333</v>
      </c>
      <c r="N4" s="104">
        <f t="shared" si="7"/>
        <v>152.566371681416</v>
      </c>
      <c r="O4" s="104">
        <f t="shared" si="8"/>
        <v>2.8575</v>
      </c>
      <c r="P4" s="100">
        <v>4</v>
      </c>
      <c r="Q4" s="121">
        <v>8</v>
      </c>
      <c r="R4" s="122">
        <f t="shared" si="9"/>
        <v>0.143240823634736</v>
      </c>
      <c r="S4" s="115">
        <f t="shared" ref="S4:S19" si="20">Y4/F4</f>
        <v>0.100012501562695</v>
      </c>
      <c r="T4" s="122">
        <f t="shared" si="10"/>
        <v>0</v>
      </c>
      <c r="U4" s="122">
        <v>0.01</v>
      </c>
      <c r="V4" s="122">
        <f t="shared" si="11"/>
        <v>0.34146457404077</v>
      </c>
      <c r="W4" s="122">
        <f t="shared" si="12"/>
        <v>0.0511638316920322</v>
      </c>
      <c r="X4" s="116">
        <v>0.1945</v>
      </c>
      <c r="Y4" s="126">
        <v>8</v>
      </c>
      <c r="Z4" s="126">
        <v>0</v>
      </c>
      <c r="AA4" s="126">
        <f t="shared" si="13"/>
        <v>0.5585</v>
      </c>
      <c r="AB4" s="104">
        <f t="shared" si="14"/>
        <v>10.862825</v>
      </c>
      <c r="AC4" s="104">
        <v>138.5</v>
      </c>
      <c r="AD4" s="127">
        <f t="shared" si="15"/>
        <v>122.566371681416</v>
      </c>
      <c r="AE4" s="121">
        <f t="shared" si="16"/>
        <v>3.75</v>
      </c>
      <c r="AF4" s="122">
        <f t="shared" si="17"/>
        <v>0.274320437961987</v>
      </c>
      <c r="AG4" s="122">
        <f t="shared" si="18"/>
        <v>0.00839301700984781</v>
      </c>
      <c r="AH4" s="121">
        <v>30</v>
      </c>
      <c r="AI4" s="122">
        <f t="shared" si="19"/>
        <v>0.325108013501687</v>
      </c>
      <c r="AJ4" s="122"/>
      <c r="AK4" s="122"/>
      <c r="AL4" s="122"/>
      <c r="AM4" s="122"/>
      <c r="AN4" s="131"/>
      <c r="AO4" s="131"/>
      <c r="AP4" s="131"/>
      <c r="AQ4" s="131"/>
      <c r="AR4" s="131"/>
      <c r="AS4" s="131"/>
      <c r="AT4" s="131" t="s">
        <v>229</v>
      </c>
      <c r="AU4" s="131" t="s">
        <v>229</v>
      </c>
      <c r="AV4" s="131" t="s">
        <v>229</v>
      </c>
      <c r="AW4" s="131" t="s">
        <v>229</v>
      </c>
      <c r="AX4" s="131" t="s">
        <v>229</v>
      </c>
      <c r="AY4" s="131" t="s">
        <v>229</v>
      </c>
      <c r="AZ4" s="131" t="s">
        <v>229</v>
      </c>
      <c r="BA4" s="131" t="s">
        <v>229</v>
      </c>
      <c r="BB4" s="131" t="s">
        <v>229</v>
      </c>
      <c r="BC4" s="131" t="s">
        <v>229</v>
      </c>
      <c r="BD4" s="131" t="s">
        <v>229</v>
      </c>
      <c r="BE4" s="131" t="s">
        <v>229</v>
      </c>
      <c r="BF4" s="131" t="s">
        <v>229</v>
      </c>
      <c r="BG4" s="131" t="s">
        <v>229</v>
      </c>
      <c r="BH4" s="131" t="s">
        <v>229</v>
      </c>
      <c r="BI4" s="131" t="s">
        <v>229</v>
      </c>
      <c r="BJ4" s="131" t="s">
        <v>229</v>
      </c>
      <c r="BK4" s="131" t="s">
        <v>229</v>
      </c>
      <c r="BL4" s="131" t="s">
        <v>229</v>
      </c>
      <c r="BM4" s="131" t="s">
        <v>229</v>
      </c>
      <c r="BN4" s="131" t="s">
        <v>229</v>
      </c>
      <c r="BO4" s="131" t="s">
        <v>229</v>
      </c>
      <c r="BP4" s="131" t="s">
        <v>229</v>
      </c>
      <c r="BQ4" s="131" t="s">
        <v>229</v>
      </c>
      <c r="BR4" s="178"/>
      <c r="BS4" s="137" t="s">
        <v>230</v>
      </c>
    </row>
    <row r="5" ht="15.6" spans="1:71">
      <c r="A5" s="100" t="s">
        <v>107</v>
      </c>
      <c r="B5" s="100" t="s">
        <v>232</v>
      </c>
      <c r="C5" s="100"/>
      <c r="D5" s="146" t="s">
        <v>233</v>
      </c>
      <c r="E5" s="113">
        <v>55.85</v>
      </c>
      <c r="F5" s="145">
        <v>79.99</v>
      </c>
      <c r="G5" s="114">
        <f t="shared" si="0"/>
        <v>71.991</v>
      </c>
      <c r="H5" s="114">
        <f t="shared" si="1"/>
        <v>59.9925</v>
      </c>
      <c r="I5" s="163">
        <f t="shared" si="2"/>
        <v>6.501378539823</v>
      </c>
      <c r="J5" s="115">
        <f t="shared" si="3"/>
        <v>0.11640785210068</v>
      </c>
      <c r="K5" s="104">
        <f t="shared" si="4"/>
        <v>66.6583333333333</v>
      </c>
      <c r="L5" s="162">
        <f t="shared" si="5"/>
        <v>0.162145268158519</v>
      </c>
      <c r="M5" s="114">
        <f t="shared" si="6"/>
        <v>10.8083333333333</v>
      </c>
      <c r="N5" s="104">
        <f t="shared" si="7"/>
        <v>152.566371681416</v>
      </c>
      <c r="O5" s="104">
        <f t="shared" si="8"/>
        <v>2.8575</v>
      </c>
      <c r="P5" s="100">
        <v>4</v>
      </c>
      <c r="Q5" s="121">
        <v>8</v>
      </c>
      <c r="R5" s="122">
        <f t="shared" si="9"/>
        <v>0.143240823634736</v>
      </c>
      <c r="S5" s="115">
        <f t="shared" si="20"/>
        <v>0.100012501562695</v>
      </c>
      <c r="T5" s="122">
        <f t="shared" si="10"/>
        <v>0.143222918531782</v>
      </c>
      <c r="U5" s="122">
        <v>0.01</v>
      </c>
      <c r="V5" s="122">
        <f t="shared" si="11"/>
        <v>0.34146457404077</v>
      </c>
      <c r="W5" s="122">
        <f t="shared" si="12"/>
        <v>0.0511638316920322</v>
      </c>
      <c r="X5" s="116">
        <v>0.1945</v>
      </c>
      <c r="Y5" s="126">
        <v>8</v>
      </c>
      <c r="Z5" s="126">
        <f>F5*0.1</f>
        <v>7.999</v>
      </c>
      <c r="AA5" s="126">
        <f t="shared" si="13"/>
        <v>0.5585</v>
      </c>
      <c r="AB5" s="104">
        <f t="shared" si="14"/>
        <v>10.862825</v>
      </c>
      <c r="AC5" s="104">
        <v>138.5</v>
      </c>
      <c r="AD5" s="127">
        <f t="shared" si="15"/>
        <v>122.566371681416</v>
      </c>
      <c r="AE5" s="121">
        <f t="shared" si="16"/>
        <v>3.75</v>
      </c>
      <c r="AF5" s="122">
        <f t="shared" si="17"/>
        <v>0.274320437961987</v>
      </c>
      <c r="AG5" s="122">
        <f t="shared" si="18"/>
        <v>0.00839301700984781</v>
      </c>
      <c r="AH5" s="121">
        <v>30</v>
      </c>
      <c r="AI5" s="122">
        <f t="shared" si="19"/>
        <v>0.250120015001875</v>
      </c>
      <c r="AJ5" s="122"/>
      <c r="AK5" s="122"/>
      <c r="AL5" s="122"/>
      <c r="AM5" s="122"/>
      <c r="AN5" s="131"/>
      <c r="AO5" s="131"/>
      <c r="AP5" s="131"/>
      <c r="AQ5" s="131"/>
      <c r="AR5" s="131"/>
      <c r="AS5" s="131"/>
      <c r="AT5" s="131" t="s">
        <v>229</v>
      </c>
      <c r="AU5" s="131" t="s">
        <v>229</v>
      </c>
      <c r="AV5" s="131" t="s">
        <v>229</v>
      </c>
      <c r="AW5" s="131" t="s">
        <v>229</v>
      </c>
      <c r="AX5" s="131" t="s">
        <v>229</v>
      </c>
      <c r="AY5" s="131" t="s">
        <v>229</v>
      </c>
      <c r="AZ5" s="131" t="s">
        <v>229</v>
      </c>
      <c r="BA5" s="131" t="s">
        <v>229</v>
      </c>
      <c r="BB5" s="131" t="s">
        <v>229</v>
      </c>
      <c r="BC5" s="131" t="s">
        <v>229</v>
      </c>
      <c r="BD5" s="131" t="s">
        <v>229</v>
      </c>
      <c r="BE5" s="131" t="s">
        <v>229</v>
      </c>
      <c r="BF5" s="131" t="s">
        <v>229</v>
      </c>
      <c r="BG5" s="131" t="s">
        <v>229</v>
      </c>
      <c r="BH5" s="131" t="s">
        <v>229</v>
      </c>
      <c r="BI5" s="131" t="s">
        <v>229</v>
      </c>
      <c r="BJ5" s="131" t="s">
        <v>229</v>
      </c>
      <c r="BK5" s="131" t="s">
        <v>229</v>
      </c>
      <c r="BL5" s="131" t="s">
        <v>229</v>
      </c>
      <c r="BM5" s="131" t="s">
        <v>229</v>
      </c>
      <c r="BN5" s="131" t="s">
        <v>229</v>
      </c>
      <c r="BO5" s="131" t="s">
        <v>229</v>
      </c>
      <c r="BP5" s="131" t="s">
        <v>229</v>
      </c>
      <c r="BQ5" s="131" t="s">
        <v>229</v>
      </c>
      <c r="BR5" s="136"/>
      <c r="BS5" s="137" t="s">
        <v>230</v>
      </c>
    </row>
    <row r="6" ht="15.6" spans="1:71">
      <c r="A6" s="100" t="s">
        <v>107</v>
      </c>
      <c r="B6" s="100" t="s">
        <v>232</v>
      </c>
      <c r="C6" s="100"/>
      <c r="D6" s="101" t="s">
        <v>231</v>
      </c>
      <c r="E6" s="113">
        <v>55.85</v>
      </c>
      <c r="F6" s="103">
        <v>79.99</v>
      </c>
      <c r="G6" s="114">
        <f t="shared" si="0"/>
        <v>67.9915</v>
      </c>
      <c r="H6" s="114">
        <f t="shared" si="1"/>
        <v>56.6595833333333</v>
      </c>
      <c r="I6" s="114">
        <f t="shared" si="2"/>
        <v>2.501878539823</v>
      </c>
      <c r="J6" s="115">
        <f t="shared" si="3"/>
        <v>0.0447963928347896</v>
      </c>
      <c r="K6" s="104">
        <f t="shared" si="4"/>
        <v>66.6583333333333</v>
      </c>
      <c r="L6" s="162">
        <f t="shared" si="5"/>
        <v>0.162145268158519</v>
      </c>
      <c r="M6" s="114">
        <f t="shared" si="6"/>
        <v>10.8083333333333</v>
      </c>
      <c r="N6" s="104">
        <f t="shared" si="7"/>
        <v>152.566371681416</v>
      </c>
      <c r="O6" s="104">
        <f t="shared" si="8"/>
        <v>2.8575</v>
      </c>
      <c r="P6" s="100">
        <v>4</v>
      </c>
      <c r="Q6" s="121">
        <v>8</v>
      </c>
      <c r="R6" s="122">
        <f t="shared" si="9"/>
        <v>0.143240823634736</v>
      </c>
      <c r="S6" s="115">
        <f t="shared" si="20"/>
        <v>0.100012501562695</v>
      </c>
      <c r="T6" s="122">
        <f t="shared" si="10"/>
        <v>0.214834377797672</v>
      </c>
      <c r="U6" s="122">
        <v>0.01</v>
      </c>
      <c r="V6" s="122">
        <f t="shared" si="11"/>
        <v>0.34146457404077</v>
      </c>
      <c r="W6" s="122">
        <f t="shared" si="12"/>
        <v>0.0511638316920322</v>
      </c>
      <c r="X6" s="116">
        <v>0.1945</v>
      </c>
      <c r="Y6" s="126">
        <v>8</v>
      </c>
      <c r="Z6" s="126">
        <f>F6*0.15</f>
        <v>11.9985</v>
      </c>
      <c r="AA6" s="126">
        <f t="shared" si="13"/>
        <v>0.5585</v>
      </c>
      <c r="AB6" s="104">
        <f t="shared" si="14"/>
        <v>10.862825</v>
      </c>
      <c r="AC6" s="104">
        <v>138.5</v>
      </c>
      <c r="AD6" s="127">
        <f t="shared" si="15"/>
        <v>122.566371681416</v>
      </c>
      <c r="AE6" s="121">
        <f t="shared" si="16"/>
        <v>3.75</v>
      </c>
      <c r="AF6" s="122">
        <f t="shared" si="17"/>
        <v>0.274320437961987</v>
      </c>
      <c r="AG6" s="122">
        <f t="shared" si="18"/>
        <v>0.00839301700984781</v>
      </c>
      <c r="AH6" s="121">
        <v>30</v>
      </c>
      <c r="AI6" s="122">
        <f t="shared" si="19"/>
        <v>0.206009427649044</v>
      </c>
      <c r="AJ6" s="122"/>
      <c r="AK6" s="122"/>
      <c r="AL6" s="122"/>
      <c r="AM6" s="122"/>
      <c r="AN6" s="131"/>
      <c r="AO6" s="131"/>
      <c r="AP6" s="131"/>
      <c r="AQ6" s="131"/>
      <c r="AR6" s="131"/>
      <c r="AS6" s="131"/>
      <c r="AT6" s="131" t="s">
        <v>229</v>
      </c>
      <c r="AU6" s="131" t="s">
        <v>229</v>
      </c>
      <c r="AV6" s="131" t="s">
        <v>229</v>
      </c>
      <c r="AW6" s="131" t="s">
        <v>229</v>
      </c>
      <c r="AX6" s="131" t="s">
        <v>229</v>
      </c>
      <c r="AY6" s="131" t="s">
        <v>229</v>
      </c>
      <c r="AZ6" s="131" t="s">
        <v>229</v>
      </c>
      <c r="BA6" s="131" t="s">
        <v>229</v>
      </c>
      <c r="BB6" s="131" t="s">
        <v>229</v>
      </c>
      <c r="BC6" s="131" t="s">
        <v>229</v>
      </c>
      <c r="BD6" s="131" t="s">
        <v>229</v>
      </c>
      <c r="BE6" s="131" t="s">
        <v>229</v>
      </c>
      <c r="BF6" s="131" t="s">
        <v>229</v>
      </c>
      <c r="BG6" s="131" t="s">
        <v>229</v>
      </c>
      <c r="BH6" s="131" t="s">
        <v>229</v>
      </c>
      <c r="BI6" s="131" t="s">
        <v>229</v>
      </c>
      <c r="BJ6" s="131" t="s">
        <v>229</v>
      </c>
      <c r="BK6" s="131" t="s">
        <v>229</v>
      </c>
      <c r="BL6" s="131" t="s">
        <v>229</v>
      </c>
      <c r="BM6" s="131" t="s">
        <v>229</v>
      </c>
      <c r="BN6" s="131" t="s">
        <v>229</v>
      </c>
      <c r="BO6" s="131" t="s">
        <v>229</v>
      </c>
      <c r="BP6" s="131" t="s">
        <v>229</v>
      </c>
      <c r="BQ6" s="131" t="s">
        <v>229</v>
      </c>
      <c r="BR6" s="178"/>
      <c r="BS6" s="137" t="s">
        <v>230</v>
      </c>
    </row>
    <row r="7" ht="15.6" spans="1:71">
      <c r="A7" s="100" t="s">
        <v>119</v>
      </c>
      <c r="B7" s="100" t="s">
        <v>232</v>
      </c>
      <c r="C7" s="100"/>
      <c r="D7" s="101" t="s">
        <v>228</v>
      </c>
      <c r="E7" s="113">
        <v>58</v>
      </c>
      <c r="F7" s="145">
        <v>84.99</v>
      </c>
      <c r="G7" s="114">
        <f t="shared" si="0"/>
        <v>84.99</v>
      </c>
      <c r="H7" s="114">
        <f t="shared" si="1"/>
        <v>70.825</v>
      </c>
      <c r="I7" s="114">
        <f t="shared" si="2"/>
        <v>13.597703539823</v>
      </c>
      <c r="J7" s="115">
        <f t="shared" si="3"/>
        <v>0.234443164479707</v>
      </c>
      <c r="K7" s="104">
        <f t="shared" si="4"/>
        <v>70.825</v>
      </c>
      <c r="L7" s="162">
        <f t="shared" si="5"/>
        <v>0.181080127073773</v>
      </c>
      <c r="M7" s="114">
        <f t="shared" si="6"/>
        <v>12.825</v>
      </c>
      <c r="N7" s="104">
        <f t="shared" si="7"/>
        <v>152.566371681416</v>
      </c>
      <c r="O7" s="104">
        <f t="shared" si="8"/>
        <v>3.8175</v>
      </c>
      <c r="P7" s="100">
        <v>4</v>
      </c>
      <c r="Q7" s="121">
        <v>8</v>
      </c>
      <c r="R7" s="122">
        <f t="shared" si="9"/>
        <v>0.137931034482759</v>
      </c>
      <c r="S7" s="115">
        <f t="shared" si="20"/>
        <v>0.0941287210260031</v>
      </c>
      <c r="T7" s="122">
        <f t="shared" si="10"/>
        <v>0</v>
      </c>
      <c r="U7" s="122">
        <v>0.01</v>
      </c>
      <c r="V7" s="122">
        <f t="shared" si="11"/>
        <v>0.328806835520293</v>
      </c>
      <c r="W7" s="122">
        <f t="shared" si="12"/>
        <v>0.0658189655172414</v>
      </c>
      <c r="X7" s="116">
        <v>0.223</v>
      </c>
      <c r="Y7" s="126">
        <v>8</v>
      </c>
      <c r="Z7" s="126">
        <v>0</v>
      </c>
      <c r="AA7" s="126">
        <f t="shared" si="13"/>
        <v>0.58</v>
      </c>
      <c r="AB7" s="104">
        <f t="shared" si="14"/>
        <v>12.934</v>
      </c>
      <c r="AC7" s="104">
        <v>138.5</v>
      </c>
      <c r="AD7" s="127">
        <f t="shared" si="15"/>
        <v>122.566371681416</v>
      </c>
      <c r="AE7" s="121">
        <f t="shared" si="16"/>
        <v>3.75</v>
      </c>
      <c r="AF7" s="122">
        <f t="shared" si="17"/>
        <v>0.2641516631065</v>
      </c>
      <c r="AG7" s="122">
        <f t="shared" si="18"/>
        <v>0.00808189655172414</v>
      </c>
      <c r="AH7" s="121">
        <v>30</v>
      </c>
      <c r="AI7" s="122">
        <f t="shared" si="19"/>
        <v>0.363699258736322</v>
      </c>
      <c r="AJ7" s="122"/>
      <c r="AK7" s="122"/>
      <c r="AL7" s="122"/>
      <c r="AM7" s="122"/>
      <c r="AN7" s="131"/>
      <c r="AO7" s="131"/>
      <c r="AP7" s="131"/>
      <c r="AQ7" s="131"/>
      <c r="AR7" s="131"/>
      <c r="AS7" s="131"/>
      <c r="AT7" s="131" t="s">
        <v>229</v>
      </c>
      <c r="AU7" s="131" t="s">
        <v>229</v>
      </c>
      <c r="AV7" s="131" t="s">
        <v>229</v>
      </c>
      <c r="AW7" s="131" t="s">
        <v>229</v>
      </c>
      <c r="AX7" s="131" t="s">
        <v>229</v>
      </c>
      <c r="AY7" s="131" t="s">
        <v>229</v>
      </c>
      <c r="AZ7" s="131" t="s">
        <v>229</v>
      </c>
      <c r="BA7" s="131" t="s">
        <v>229</v>
      </c>
      <c r="BB7" s="131" t="s">
        <v>229</v>
      </c>
      <c r="BC7" s="131" t="s">
        <v>229</v>
      </c>
      <c r="BD7" s="131" t="s">
        <v>229</v>
      </c>
      <c r="BE7" s="131" t="s">
        <v>229</v>
      </c>
      <c r="BF7" s="131" t="s">
        <v>229</v>
      </c>
      <c r="BG7" s="131" t="s">
        <v>229</v>
      </c>
      <c r="BH7" s="131" t="s">
        <v>229</v>
      </c>
      <c r="BI7" s="131" t="s">
        <v>229</v>
      </c>
      <c r="BJ7" s="131" t="s">
        <v>229</v>
      </c>
      <c r="BK7" s="131" t="s">
        <v>229</v>
      </c>
      <c r="BL7" s="131" t="s">
        <v>229</v>
      </c>
      <c r="BM7" s="131" t="s">
        <v>229</v>
      </c>
      <c r="BN7" s="131" t="s">
        <v>229</v>
      </c>
      <c r="BO7" s="131" t="s">
        <v>229</v>
      </c>
      <c r="BP7" s="131" t="s">
        <v>229</v>
      </c>
      <c r="BQ7" s="131" t="s">
        <v>229</v>
      </c>
      <c r="BR7" s="178"/>
      <c r="BS7" s="137" t="s">
        <v>230</v>
      </c>
    </row>
    <row r="8" ht="15.6" spans="1:71">
      <c r="A8" s="100" t="s">
        <v>119</v>
      </c>
      <c r="B8" s="100" t="s">
        <v>232</v>
      </c>
      <c r="C8" s="100"/>
      <c r="D8" s="146" t="s">
        <v>233</v>
      </c>
      <c r="E8" s="113">
        <v>58</v>
      </c>
      <c r="F8" s="145">
        <v>84.99</v>
      </c>
      <c r="G8" s="114">
        <f t="shared" si="0"/>
        <v>76.491</v>
      </c>
      <c r="H8" s="114">
        <f t="shared" si="1"/>
        <v>63.7425</v>
      </c>
      <c r="I8" s="163">
        <f t="shared" si="2"/>
        <v>5.098703539823</v>
      </c>
      <c r="J8" s="115">
        <f t="shared" si="3"/>
        <v>0.0879086817210862</v>
      </c>
      <c r="K8" s="104">
        <f t="shared" si="4"/>
        <v>70.825</v>
      </c>
      <c r="L8" s="162">
        <f t="shared" si="5"/>
        <v>0.181080127073773</v>
      </c>
      <c r="M8" s="114">
        <f t="shared" si="6"/>
        <v>12.825</v>
      </c>
      <c r="N8" s="104">
        <f t="shared" si="7"/>
        <v>152.566371681416</v>
      </c>
      <c r="O8" s="104">
        <f t="shared" si="8"/>
        <v>3.8175</v>
      </c>
      <c r="P8" s="100">
        <v>4</v>
      </c>
      <c r="Q8" s="121">
        <v>8</v>
      </c>
      <c r="R8" s="122">
        <f t="shared" si="9"/>
        <v>0.137931034482759</v>
      </c>
      <c r="S8" s="115">
        <f t="shared" si="20"/>
        <v>0.0941287210260031</v>
      </c>
      <c r="T8" s="122">
        <f t="shared" si="10"/>
        <v>0.146534482758621</v>
      </c>
      <c r="U8" s="122">
        <v>0.01</v>
      </c>
      <c r="V8" s="122">
        <f t="shared" si="11"/>
        <v>0.328806835520293</v>
      </c>
      <c r="W8" s="122">
        <f t="shared" si="12"/>
        <v>0.0658189655172414</v>
      </c>
      <c r="X8" s="116">
        <v>0.223</v>
      </c>
      <c r="Y8" s="126">
        <v>8</v>
      </c>
      <c r="Z8" s="126">
        <f>F8*0.1</f>
        <v>8.499</v>
      </c>
      <c r="AA8" s="126">
        <f t="shared" si="13"/>
        <v>0.58</v>
      </c>
      <c r="AB8" s="104">
        <f t="shared" si="14"/>
        <v>12.934</v>
      </c>
      <c r="AC8" s="104">
        <v>138.5</v>
      </c>
      <c r="AD8" s="127">
        <f t="shared" si="15"/>
        <v>122.566371681416</v>
      </c>
      <c r="AE8" s="121">
        <f t="shared" si="16"/>
        <v>3.75</v>
      </c>
      <c r="AF8" s="122">
        <f t="shared" si="17"/>
        <v>0.2641516631065</v>
      </c>
      <c r="AG8" s="122">
        <f t="shared" si="18"/>
        <v>0.00808189655172414</v>
      </c>
      <c r="AH8" s="121">
        <v>30</v>
      </c>
      <c r="AI8" s="122">
        <f t="shared" si="19"/>
        <v>0.292999176373691</v>
      </c>
      <c r="AJ8" s="122"/>
      <c r="AK8" s="122"/>
      <c r="AL8" s="122"/>
      <c r="AM8" s="122"/>
      <c r="AN8" s="131"/>
      <c r="AO8" s="131"/>
      <c r="AP8" s="131"/>
      <c r="AQ8" s="131"/>
      <c r="AR8" s="131"/>
      <c r="AS8" s="131"/>
      <c r="AT8" s="131" t="s">
        <v>229</v>
      </c>
      <c r="AU8" s="131" t="s">
        <v>229</v>
      </c>
      <c r="AV8" s="131" t="s">
        <v>229</v>
      </c>
      <c r="AW8" s="131" t="s">
        <v>229</v>
      </c>
      <c r="AX8" s="131" t="s">
        <v>229</v>
      </c>
      <c r="AY8" s="131" t="s">
        <v>229</v>
      </c>
      <c r="AZ8" s="131" t="s">
        <v>229</v>
      </c>
      <c r="BA8" s="131" t="s">
        <v>229</v>
      </c>
      <c r="BB8" s="131" t="s">
        <v>229</v>
      </c>
      <c r="BC8" s="131" t="s">
        <v>229</v>
      </c>
      <c r="BD8" s="131" t="s">
        <v>229</v>
      </c>
      <c r="BE8" s="131" t="s">
        <v>229</v>
      </c>
      <c r="BF8" s="131" t="s">
        <v>229</v>
      </c>
      <c r="BG8" s="131" t="s">
        <v>229</v>
      </c>
      <c r="BH8" s="131" t="s">
        <v>229</v>
      </c>
      <c r="BI8" s="131" t="s">
        <v>229</v>
      </c>
      <c r="BJ8" s="131" t="s">
        <v>229</v>
      </c>
      <c r="BK8" s="131" t="s">
        <v>229</v>
      </c>
      <c r="BL8" s="131" t="s">
        <v>229</v>
      </c>
      <c r="BM8" s="131" t="s">
        <v>229</v>
      </c>
      <c r="BN8" s="131" t="s">
        <v>229</v>
      </c>
      <c r="BO8" s="131" t="s">
        <v>229</v>
      </c>
      <c r="BP8" s="131" t="s">
        <v>229</v>
      </c>
      <c r="BQ8" s="131" t="s">
        <v>229</v>
      </c>
      <c r="BR8" s="178"/>
      <c r="BS8" s="137" t="s">
        <v>230</v>
      </c>
    </row>
    <row r="9" ht="15.6" spans="1:71">
      <c r="A9" s="100" t="s">
        <v>119</v>
      </c>
      <c r="B9" s="100" t="s">
        <v>232</v>
      </c>
      <c r="C9" s="100"/>
      <c r="D9" s="101" t="s">
        <v>231</v>
      </c>
      <c r="E9" s="113">
        <v>58</v>
      </c>
      <c r="F9" s="103">
        <v>84.99</v>
      </c>
      <c r="G9" s="114">
        <f t="shared" si="0"/>
        <v>72.2415</v>
      </c>
      <c r="H9" s="114">
        <f t="shared" si="1"/>
        <v>60.20125</v>
      </c>
      <c r="I9" s="114">
        <f t="shared" si="2"/>
        <v>0.849203539823</v>
      </c>
      <c r="J9" s="115">
        <f t="shared" si="3"/>
        <v>0.0146414403417759</v>
      </c>
      <c r="K9" s="104">
        <f t="shared" si="4"/>
        <v>70.825</v>
      </c>
      <c r="L9" s="162">
        <f t="shared" si="5"/>
        <v>0.181080127073773</v>
      </c>
      <c r="M9" s="114">
        <f t="shared" si="6"/>
        <v>12.825</v>
      </c>
      <c r="N9" s="104">
        <f t="shared" si="7"/>
        <v>152.566371681416</v>
      </c>
      <c r="O9" s="104">
        <f t="shared" si="8"/>
        <v>3.8175</v>
      </c>
      <c r="P9" s="100">
        <v>4</v>
      </c>
      <c r="Q9" s="121">
        <v>8</v>
      </c>
      <c r="R9" s="122">
        <f t="shared" si="9"/>
        <v>0.137931034482759</v>
      </c>
      <c r="S9" s="115">
        <f t="shared" si="20"/>
        <v>0.0941287210260031</v>
      </c>
      <c r="T9" s="122">
        <f t="shared" si="10"/>
        <v>0.219801724137931</v>
      </c>
      <c r="U9" s="122">
        <v>0.01</v>
      </c>
      <c r="V9" s="122">
        <f t="shared" si="11"/>
        <v>0.328806835520293</v>
      </c>
      <c r="W9" s="122">
        <f t="shared" si="12"/>
        <v>0.0658189655172414</v>
      </c>
      <c r="X9" s="116">
        <v>0.223</v>
      </c>
      <c r="Y9" s="126">
        <v>8</v>
      </c>
      <c r="Z9" s="126">
        <f>F9*0.15</f>
        <v>12.7485</v>
      </c>
      <c r="AA9" s="126">
        <f t="shared" si="13"/>
        <v>0.58</v>
      </c>
      <c r="AB9" s="104">
        <f t="shared" si="14"/>
        <v>12.934</v>
      </c>
      <c r="AC9" s="104">
        <v>138.5</v>
      </c>
      <c r="AD9" s="127">
        <f t="shared" si="15"/>
        <v>122.566371681416</v>
      </c>
      <c r="AE9" s="121">
        <f t="shared" si="16"/>
        <v>3.75</v>
      </c>
      <c r="AF9" s="122">
        <f t="shared" si="17"/>
        <v>0.2641516631065</v>
      </c>
      <c r="AG9" s="122">
        <f t="shared" si="18"/>
        <v>0.00808189655172414</v>
      </c>
      <c r="AH9" s="121">
        <v>30</v>
      </c>
      <c r="AI9" s="122">
        <f t="shared" ref="AI9:AI19" si="21">(K9-E9+AB9)/(K9-Z9)</f>
        <v>0.443535681385758</v>
      </c>
      <c r="AJ9" s="122"/>
      <c r="AK9" s="122"/>
      <c r="AL9" s="122"/>
      <c r="AM9" s="122"/>
      <c r="AN9" s="131"/>
      <c r="AO9" s="131"/>
      <c r="AP9" s="131"/>
      <c r="AQ9" s="131"/>
      <c r="AR9" s="131"/>
      <c r="AS9" s="131"/>
      <c r="AT9" s="131" t="s">
        <v>229</v>
      </c>
      <c r="AU9" s="131" t="s">
        <v>229</v>
      </c>
      <c r="AV9" s="131" t="s">
        <v>229</v>
      </c>
      <c r="AW9" s="131" t="s">
        <v>229</v>
      </c>
      <c r="AX9" s="131" t="s">
        <v>229</v>
      </c>
      <c r="AY9" s="131" t="s">
        <v>229</v>
      </c>
      <c r="AZ9" s="131" t="s">
        <v>229</v>
      </c>
      <c r="BA9" s="131" t="s">
        <v>229</v>
      </c>
      <c r="BB9" s="131" t="s">
        <v>229</v>
      </c>
      <c r="BC9" s="131" t="s">
        <v>229</v>
      </c>
      <c r="BD9" s="131" t="s">
        <v>229</v>
      </c>
      <c r="BE9" s="131" t="s">
        <v>229</v>
      </c>
      <c r="BF9" s="131" t="s">
        <v>229</v>
      </c>
      <c r="BG9" s="131" t="s">
        <v>229</v>
      </c>
      <c r="BH9" s="131" t="s">
        <v>229</v>
      </c>
      <c r="BI9" s="131" t="s">
        <v>229</v>
      </c>
      <c r="BJ9" s="131" t="s">
        <v>229</v>
      </c>
      <c r="BK9" s="131" t="s">
        <v>229</v>
      </c>
      <c r="BL9" s="131" t="s">
        <v>229</v>
      </c>
      <c r="BM9" s="131" t="s">
        <v>229</v>
      </c>
      <c r="BN9" s="131" t="s">
        <v>229</v>
      </c>
      <c r="BO9" s="131" t="s">
        <v>229</v>
      </c>
      <c r="BP9" s="131" t="s">
        <v>229</v>
      </c>
      <c r="BQ9" s="131" t="s">
        <v>229</v>
      </c>
      <c r="BR9" s="136"/>
      <c r="BS9" s="137" t="s">
        <v>230</v>
      </c>
    </row>
    <row r="10" ht="15.6" spans="1:71">
      <c r="A10" s="100" t="s">
        <v>121</v>
      </c>
      <c r="B10" s="100" t="s">
        <v>232</v>
      </c>
      <c r="C10" s="100"/>
      <c r="D10" s="101" t="s">
        <v>228</v>
      </c>
      <c r="E10" s="113">
        <v>58.8</v>
      </c>
      <c r="F10" s="145">
        <v>84.99</v>
      </c>
      <c r="G10" s="114">
        <f t="shared" si="0"/>
        <v>84.99</v>
      </c>
      <c r="H10" s="114">
        <f t="shared" si="1"/>
        <v>70.825</v>
      </c>
      <c r="I10" s="114">
        <f t="shared" si="2"/>
        <v>14.731723539823</v>
      </c>
      <c r="J10" s="115">
        <f t="shared" si="3"/>
        <v>0.250539515983384</v>
      </c>
      <c r="K10" s="104">
        <f t="shared" si="4"/>
        <v>70.825</v>
      </c>
      <c r="L10" s="162">
        <f t="shared" si="5"/>
        <v>0.169784680550653</v>
      </c>
      <c r="M10" s="114">
        <f t="shared" si="6"/>
        <v>12.025</v>
      </c>
      <c r="N10" s="104">
        <f t="shared" si="7"/>
        <v>152.566371681416</v>
      </c>
      <c r="O10" s="104">
        <f t="shared" si="8"/>
        <v>4.085</v>
      </c>
      <c r="P10" s="100">
        <v>4</v>
      </c>
      <c r="Q10" s="121">
        <v>8</v>
      </c>
      <c r="R10" s="122">
        <f t="shared" si="9"/>
        <v>0.136054421768707</v>
      </c>
      <c r="S10" s="115">
        <f t="shared" si="20"/>
        <v>0.0941287210260031</v>
      </c>
      <c r="T10" s="122">
        <f t="shared" si="10"/>
        <v>0</v>
      </c>
      <c r="U10" s="122">
        <v>0.01</v>
      </c>
      <c r="V10" s="122">
        <f t="shared" si="11"/>
        <v>0.324333273132262</v>
      </c>
      <c r="W10" s="122">
        <f t="shared" si="12"/>
        <v>0.0694727891156463</v>
      </c>
      <c r="X10" s="116">
        <v>0.2096</v>
      </c>
      <c r="Y10" s="126">
        <v>8</v>
      </c>
      <c r="Z10" s="126">
        <v>0</v>
      </c>
      <c r="AA10" s="126">
        <f t="shared" si="13"/>
        <v>0.588</v>
      </c>
      <c r="AB10" s="104">
        <f t="shared" si="14"/>
        <v>12.32448</v>
      </c>
      <c r="AC10" s="104">
        <v>138.5</v>
      </c>
      <c r="AD10" s="127">
        <f t="shared" si="15"/>
        <v>122.566371681416</v>
      </c>
      <c r="AE10" s="121">
        <f t="shared" si="16"/>
        <v>3.75</v>
      </c>
      <c r="AF10" s="122">
        <f t="shared" si="17"/>
        <v>0.26055776292818</v>
      </c>
      <c r="AG10" s="122">
        <f t="shared" si="18"/>
        <v>0.0079719387755102</v>
      </c>
      <c r="AH10" s="121">
        <v>30</v>
      </c>
      <c r="AI10" s="115">
        <f t="shared" si="21"/>
        <v>0.343797811507236</v>
      </c>
      <c r="AJ10" s="115"/>
      <c r="AK10" s="115"/>
      <c r="AL10" s="115"/>
      <c r="AM10" s="115"/>
      <c r="AN10" s="131"/>
      <c r="AO10" s="131"/>
      <c r="AP10" s="131"/>
      <c r="AQ10" s="131"/>
      <c r="AR10" s="131"/>
      <c r="AS10" s="131"/>
      <c r="AT10" s="131" t="s">
        <v>229</v>
      </c>
      <c r="AU10" s="131" t="s">
        <v>229</v>
      </c>
      <c r="AV10" s="131" t="s">
        <v>229</v>
      </c>
      <c r="AW10" s="131" t="s">
        <v>229</v>
      </c>
      <c r="AX10" s="131" t="s">
        <v>229</v>
      </c>
      <c r="AY10" s="131" t="s">
        <v>229</v>
      </c>
      <c r="AZ10" s="131" t="s">
        <v>229</v>
      </c>
      <c r="BA10" s="131" t="s">
        <v>229</v>
      </c>
      <c r="BB10" s="131" t="s">
        <v>229</v>
      </c>
      <c r="BC10" s="131" t="s">
        <v>229</v>
      </c>
      <c r="BD10" s="131" t="s">
        <v>229</v>
      </c>
      <c r="BE10" s="131" t="s">
        <v>229</v>
      </c>
      <c r="BF10" s="131" t="s">
        <v>229</v>
      </c>
      <c r="BG10" s="131" t="s">
        <v>229</v>
      </c>
      <c r="BH10" s="131" t="s">
        <v>229</v>
      </c>
      <c r="BI10" s="131" t="s">
        <v>229</v>
      </c>
      <c r="BJ10" s="131" t="s">
        <v>229</v>
      </c>
      <c r="BK10" s="131" t="s">
        <v>229</v>
      </c>
      <c r="BL10" s="131" t="s">
        <v>229</v>
      </c>
      <c r="BM10" s="131" t="s">
        <v>229</v>
      </c>
      <c r="BN10" s="131" t="s">
        <v>229</v>
      </c>
      <c r="BO10" s="131" t="s">
        <v>229</v>
      </c>
      <c r="BP10" s="131" t="s">
        <v>229</v>
      </c>
      <c r="BQ10" s="131" t="s">
        <v>229</v>
      </c>
      <c r="BR10" s="178"/>
      <c r="BS10" s="137" t="s">
        <v>230</v>
      </c>
    </row>
    <row r="11" ht="15.6" spans="1:71">
      <c r="A11" s="100" t="s">
        <v>121</v>
      </c>
      <c r="B11" s="100" t="s">
        <v>232</v>
      </c>
      <c r="C11" s="100"/>
      <c r="D11" s="146" t="s">
        <v>233</v>
      </c>
      <c r="E11" s="113">
        <v>58.8</v>
      </c>
      <c r="F11" s="103">
        <v>84.99</v>
      </c>
      <c r="G11" s="114">
        <f t="shared" si="0"/>
        <v>76.491</v>
      </c>
      <c r="H11" s="114">
        <f t="shared" si="1"/>
        <v>63.7425</v>
      </c>
      <c r="I11" s="163">
        <f t="shared" si="2"/>
        <v>6.23272353982299</v>
      </c>
      <c r="J11" s="115">
        <f t="shared" si="3"/>
        <v>0.105998699656854</v>
      </c>
      <c r="K11" s="104">
        <f t="shared" si="4"/>
        <v>70.825</v>
      </c>
      <c r="L11" s="162">
        <f t="shared" si="5"/>
        <v>0.169784680550653</v>
      </c>
      <c r="M11" s="114">
        <f t="shared" si="6"/>
        <v>12.025</v>
      </c>
      <c r="N11" s="104">
        <f t="shared" si="7"/>
        <v>152.566371681416</v>
      </c>
      <c r="O11" s="104">
        <f t="shared" si="8"/>
        <v>4.085</v>
      </c>
      <c r="P11" s="100">
        <v>4</v>
      </c>
      <c r="Q11" s="121">
        <v>8</v>
      </c>
      <c r="R11" s="122">
        <f t="shared" si="9"/>
        <v>0.136054421768707</v>
      </c>
      <c r="S11" s="115">
        <f t="shared" si="20"/>
        <v>0.0941287210260031</v>
      </c>
      <c r="T11" s="122">
        <f t="shared" si="10"/>
        <v>0.144540816326531</v>
      </c>
      <c r="U11" s="122">
        <v>0.01</v>
      </c>
      <c r="V11" s="122">
        <f t="shared" si="11"/>
        <v>0.324333273132262</v>
      </c>
      <c r="W11" s="122">
        <f t="shared" si="12"/>
        <v>0.0694727891156463</v>
      </c>
      <c r="X11" s="116">
        <v>0.2096</v>
      </c>
      <c r="Y11" s="126">
        <v>8</v>
      </c>
      <c r="Z11" s="126">
        <f>F11*0.1</f>
        <v>8.499</v>
      </c>
      <c r="AA11" s="126">
        <f t="shared" si="13"/>
        <v>0.588</v>
      </c>
      <c r="AB11" s="104">
        <f t="shared" si="14"/>
        <v>12.32448</v>
      </c>
      <c r="AC11" s="104">
        <v>138.5</v>
      </c>
      <c r="AD11" s="127">
        <f t="shared" si="15"/>
        <v>122.566371681416</v>
      </c>
      <c r="AE11" s="121">
        <f t="shared" si="16"/>
        <v>3.75</v>
      </c>
      <c r="AF11" s="122">
        <f t="shared" si="17"/>
        <v>0.26055776292818</v>
      </c>
      <c r="AG11" s="122">
        <f t="shared" si="18"/>
        <v>0.0079719387755102</v>
      </c>
      <c r="AH11" s="121">
        <v>30</v>
      </c>
      <c r="AI11" s="115">
        <f t="shared" si="21"/>
        <v>0.390679331258223</v>
      </c>
      <c r="AJ11" s="115"/>
      <c r="AK11" s="115"/>
      <c r="AL11" s="115"/>
      <c r="AM11" s="115"/>
      <c r="AN11" s="131"/>
      <c r="AO11" s="131"/>
      <c r="AP11" s="131"/>
      <c r="AQ11" s="131"/>
      <c r="AR11" s="131"/>
      <c r="AS11" s="131"/>
      <c r="AT11" s="131" t="s">
        <v>229</v>
      </c>
      <c r="AU11" s="131" t="s">
        <v>229</v>
      </c>
      <c r="AV11" s="131" t="s">
        <v>229</v>
      </c>
      <c r="AW11" s="131" t="s">
        <v>229</v>
      </c>
      <c r="AX11" s="131" t="s">
        <v>229</v>
      </c>
      <c r="AY11" s="131" t="s">
        <v>229</v>
      </c>
      <c r="AZ11" s="131" t="s">
        <v>229</v>
      </c>
      <c r="BA11" s="131" t="s">
        <v>229</v>
      </c>
      <c r="BB11" s="131" t="s">
        <v>229</v>
      </c>
      <c r="BC11" s="131" t="s">
        <v>229</v>
      </c>
      <c r="BD11" s="131" t="s">
        <v>229</v>
      </c>
      <c r="BE11" s="131" t="s">
        <v>229</v>
      </c>
      <c r="BF11" s="131" t="s">
        <v>229</v>
      </c>
      <c r="BG11" s="131" t="s">
        <v>229</v>
      </c>
      <c r="BH11" s="131" t="s">
        <v>229</v>
      </c>
      <c r="BI11" s="131" t="s">
        <v>229</v>
      </c>
      <c r="BJ11" s="131" t="s">
        <v>229</v>
      </c>
      <c r="BK11" s="131" t="s">
        <v>229</v>
      </c>
      <c r="BL11" s="131" t="s">
        <v>229</v>
      </c>
      <c r="BM11" s="131" t="s">
        <v>229</v>
      </c>
      <c r="BN11" s="131" t="s">
        <v>229</v>
      </c>
      <c r="BO11" s="131" t="s">
        <v>229</v>
      </c>
      <c r="BP11" s="131" t="s">
        <v>229</v>
      </c>
      <c r="BQ11" s="131" t="s">
        <v>229</v>
      </c>
      <c r="BR11" s="178"/>
      <c r="BS11" s="137" t="s">
        <v>230</v>
      </c>
    </row>
    <row r="12" ht="15.6" spans="1:71">
      <c r="A12" s="100" t="s">
        <v>121</v>
      </c>
      <c r="B12" s="100" t="s">
        <v>232</v>
      </c>
      <c r="C12" s="100"/>
      <c r="D12" s="101" t="s">
        <v>231</v>
      </c>
      <c r="E12" s="113">
        <v>58.8</v>
      </c>
      <c r="F12" s="103">
        <v>84.99</v>
      </c>
      <c r="G12" s="114">
        <f t="shared" si="0"/>
        <v>72.2415</v>
      </c>
      <c r="H12" s="114">
        <f t="shared" si="1"/>
        <v>60.20125</v>
      </c>
      <c r="I12" s="114">
        <f t="shared" si="2"/>
        <v>1.98322353982299</v>
      </c>
      <c r="J12" s="115">
        <f t="shared" si="3"/>
        <v>0.0337282914935884</v>
      </c>
      <c r="K12" s="104">
        <f t="shared" si="4"/>
        <v>70.825</v>
      </c>
      <c r="L12" s="162">
        <f t="shared" si="5"/>
        <v>0.169784680550653</v>
      </c>
      <c r="M12" s="114">
        <f t="shared" si="6"/>
        <v>12.025</v>
      </c>
      <c r="N12" s="104">
        <f t="shared" si="7"/>
        <v>152.566371681416</v>
      </c>
      <c r="O12" s="104">
        <f t="shared" si="8"/>
        <v>4.085</v>
      </c>
      <c r="P12" s="100">
        <v>4</v>
      </c>
      <c r="Q12" s="121">
        <v>8</v>
      </c>
      <c r="R12" s="122">
        <f t="shared" si="9"/>
        <v>0.136054421768707</v>
      </c>
      <c r="S12" s="115">
        <f t="shared" si="20"/>
        <v>0.0941287210260031</v>
      </c>
      <c r="T12" s="122">
        <f t="shared" si="10"/>
        <v>0.216811224489796</v>
      </c>
      <c r="U12" s="122">
        <v>0.01</v>
      </c>
      <c r="V12" s="122">
        <f t="shared" si="11"/>
        <v>0.324333273132262</v>
      </c>
      <c r="W12" s="122">
        <f t="shared" si="12"/>
        <v>0.0694727891156463</v>
      </c>
      <c r="X12" s="116">
        <v>0.2096</v>
      </c>
      <c r="Y12" s="126">
        <v>8</v>
      </c>
      <c r="Z12" s="126">
        <f>F12*0.15</f>
        <v>12.7485</v>
      </c>
      <c r="AA12" s="126">
        <f t="shared" si="13"/>
        <v>0.588</v>
      </c>
      <c r="AB12" s="104">
        <f t="shared" si="14"/>
        <v>12.32448</v>
      </c>
      <c r="AC12" s="104">
        <v>138.5</v>
      </c>
      <c r="AD12" s="127">
        <f t="shared" si="15"/>
        <v>122.566371681416</v>
      </c>
      <c r="AE12" s="121">
        <f t="shared" si="16"/>
        <v>3.75</v>
      </c>
      <c r="AF12" s="122">
        <f t="shared" si="17"/>
        <v>0.26055776292818</v>
      </c>
      <c r="AG12" s="122">
        <f t="shared" si="18"/>
        <v>0.0079719387755102</v>
      </c>
      <c r="AH12" s="121">
        <v>30</v>
      </c>
      <c r="AI12" s="115">
        <f t="shared" si="21"/>
        <v>0.419265623789312</v>
      </c>
      <c r="AJ12" s="115"/>
      <c r="AK12" s="115"/>
      <c r="AL12" s="115"/>
      <c r="AM12" s="115"/>
      <c r="AN12" s="131"/>
      <c r="AO12" s="131"/>
      <c r="AP12" s="131"/>
      <c r="AQ12" s="131"/>
      <c r="AR12" s="131"/>
      <c r="AS12" s="131"/>
      <c r="AT12" s="131" t="s">
        <v>229</v>
      </c>
      <c r="AU12" s="131" t="s">
        <v>229</v>
      </c>
      <c r="AV12" s="131" t="s">
        <v>229</v>
      </c>
      <c r="AW12" s="131" t="s">
        <v>229</v>
      </c>
      <c r="AX12" s="131" t="s">
        <v>229</v>
      </c>
      <c r="AY12" s="131" t="s">
        <v>229</v>
      </c>
      <c r="AZ12" s="131" t="s">
        <v>229</v>
      </c>
      <c r="BA12" s="131" t="s">
        <v>229</v>
      </c>
      <c r="BB12" s="131" t="s">
        <v>229</v>
      </c>
      <c r="BC12" s="131" t="s">
        <v>229</v>
      </c>
      <c r="BD12" s="131" t="s">
        <v>229</v>
      </c>
      <c r="BE12" s="131" t="s">
        <v>229</v>
      </c>
      <c r="BF12" s="131" t="s">
        <v>229</v>
      </c>
      <c r="BG12" s="131" t="s">
        <v>229</v>
      </c>
      <c r="BH12" s="131" t="s">
        <v>229</v>
      </c>
      <c r="BI12" s="131" t="s">
        <v>229</v>
      </c>
      <c r="BJ12" s="131" t="s">
        <v>229</v>
      </c>
      <c r="BK12" s="131" t="s">
        <v>229</v>
      </c>
      <c r="BL12" s="131" t="s">
        <v>229</v>
      </c>
      <c r="BM12" s="131" t="s">
        <v>229</v>
      </c>
      <c r="BN12" s="131" t="s">
        <v>229</v>
      </c>
      <c r="BO12" s="131" t="s">
        <v>229</v>
      </c>
      <c r="BP12" s="131" t="s">
        <v>229</v>
      </c>
      <c r="BQ12" s="131" t="s">
        <v>229</v>
      </c>
      <c r="BR12" s="136"/>
      <c r="BS12" s="137" t="s">
        <v>230</v>
      </c>
    </row>
    <row r="13" ht="15.6" spans="1:71">
      <c r="A13" s="100" t="s">
        <v>124</v>
      </c>
      <c r="B13" s="100" t="s">
        <v>232</v>
      </c>
      <c r="C13" s="100"/>
      <c r="D13" s="101" t="s">
        <v>228</v>
      </c>
      <c r="E13" s="113">
        <v>59.35</v>
      </c>
      <c r="F13" s="103">
        <v>84.99</v>
      </c>
      <c r="G13" s="114">
        <f t="shared" si="0"/>
        <v>84.99</v>
      </c>
      <c r="H13" s="114">
        <f t="shared" si="1"/>
        <v>70.825</v>
      </c>
      <c r="I13" s="114">
        <f t="shared" si="2"/>
        <v>15.277943539823</v>
      </c>
      <c r="J13" s="115">
        <f t="shared" si="3"/>
        <v>0.257421121142763</v>
      </c>
      <c r="K13" s="104">
        <f t="shared" si="4"/>
        <v>70.825</v>
      </c>
      <c r="L13" s="162">
        <f t="shared" si="5"/>
        <v>0.162019061066008</v>
      </c>
      <c r="M13" s="114">
        <f t="shared" si="6"/>
        <v>11.475</v>
      </c>
      <c r="N13" s="104">
        <f t="shared" si="7"/>
        <v>152.566371681416</v>
      </c>
      <c r="O13" s="104">
        <f t="shared" si="8"/>
        <v>5.155</v>
      </c>
      <c r="P13" s="100">
        <v>4</v>
      </c>
      <c r="Q13" s="121">
        <v>8</v>
      </c>
      <c r="R13" s="122">
        <f t="shared" si="9"/>
        <v>0.134793597304128</v>
      </c>
      <c r="S13" s="115">
        <f t="shared" si="20"/>
        <v>0.0941287210260031</v>
      </c>
      <c r="T13" s="122">
        <f t="shared" si="10"/>
        <v>0</v>
      </c>
      <c r="U13" s="122">
        <v>0.01</v>
      </c>
      <c r="V13" s="122">
        <f t="shared" si="11"/>
        <v>0.321327657290261</v>
      </c>
      <c r="W13" s="122">
        <f t="shared" si="12"/>
        <v>0.0868576242628475</v>
      </c>
      <c r="X13" s="116">
        <v>0.1896</v>
      </c>
      <c r="Y13" s="126">
        <v>8</v>
      </c>
      <c r="Z13" s="126">
        <v>0</v>
      </c>
      <c r="AA13" s="126">
        <f t="shared" si="13"/>
        <v>0.5935</v>
      </c>
      <c r="AB13" s="104">
        <f t="shared" si="14"/>
        <v>11.25276</v>
      </c>
      <c r="AC13" s="104">
        <v>138.5</v>
      </c>
      <c r="AD13" s="127">
        <f t="shared" si="15"/>
        <v>122.566371681416</v>
      </c>
      <c r="AE13" s="121">
        <f t="shared" si="16"/>
        <v>3.75</v>
      </c>
      <c r="AF13" s="122">
        <f t="shared" si="17"/>
        <v>0.258143158553951</v>
      </c>
      <c r="AG13" s="122">
        <f t="shared" si="18"/>
        <v>0.00789806234203875</v>
      </c>
      <c r="AH13" s="121">
        <v>30</v>
      </c>
      <c r="AI13" s="122">
        <f t="shared" si="21"/>
        <v>0.320900247087893</v>
      </c>
      <c r="AJ13" s="122"/>
      <c r="AK13" s="122"/>
      <c r="AL13" s="122"/>
      <c r="AM13" s="122"/>
      <c r="AN13" s="131"/>
      <c r="AO13" s="131"/>
      <c r="AP13" s="131"/>
      <c r="AQ13" s="131"/>
      <c r="AR13" s="131"/>
      <c r="AS13" s="131"/>
      <c r="AT13" s="131" t="s">
        <v>229</v>
      </c>
      <c r="AU13" s="131" t="s">
        <v>229</v>
      </c>
      <c r="AV13" s="131" t="s">
        <v>229</v>
      </c>
      <c r="AW13" s="131" t="s">
        <v>229</v>
      </c>
      <c r="AX13" s="131" t="s">
        <v>229</v>
      </c>
      <c r="AY13" s="131" t="s">
        <v>229</v>
      </c>
      <c r="AZ13" s="131" t="s">
        <v>229</v>
      </c>
      <c r="BA13" s="131" t="s">
        <v>229</v>
      </c>
      <c r="BB13" s="131" t="s">
        <v>229</v>
      </c>
      <c r="BC13" s="131" t="s">
        <v>229</v>
      </c>
      <c r="BD13" s="131" t="s">
        <v>229</v>
      </c>
      <c r="BE13" s="131" t="s">
        <v>229</v>
      </c>
      <c r="BF13" s="131" t="s">
        <v>229</v>
      </c>
      <c r="BG13" s="131" t="s">
        <v>229</v>
      </c>
      <c r="BH13" s="131" t="s">
        <v>229</v>
      </c>
      <c r="BI13" s="131" t="s">
        <v>229</v>
      </c>
      <c r="BJ13" s="131" t="s">
        <v>229</v>
      </c>
      <c r="BK13" s="131" t="s">
        <v>229</v>
      </c>
      <c r="BL13" s="131" t="s">
        <v>229</v>
      </c>
      <c r="BM13" s="131" t="s">
        <v>229</v>
      </c>
      <c r="BN13" s="131" t="s">
        <v>229</v>
      </c>
      <c r="BO13" s="131" t="s">
        <v>229</v>
      </c>
      <c r="BP13" s="131" t="s">
        <v>229</v>
      </c>
      <c r="BQ13" s="131" t="s">
        <v>229</v>
      </c>
      <c r="BR13" s="178"/>
      <c r="BS13" s="137" t="s">
        <v>230</v>
      </c>
    </row>
    <row r="14" ht="15.6" spans="1:71">
      <c r="A14" s="100" t="s">
        <v>124</v>
      </c>
      <c r="B14" s="100" t="s">
        <v>232</v>
      </c>
      <c r="C14" s="100"/>
      <c r="D14" s="146" t="s">
        <v>233</v>
      </c>
      <c r="E14" s="113">
        <v>59.35</v>
      </c>
      <c r="F14" s="103">
        <v>84.99</v>
      </c>
      <c r="G14" s="114">
        <f t="shared" si="0"/>
        <v>79.8906</v>
      </c>
      <c r="H14" s="114">
        <f t="shared" si="1"/>
        <v>66.5755</v>
      </c>
      <c r="I14" s="163">
        <f t="shared" si="2"/>
        <v>10.178543539823</v>
      </c>
      <c r="J14" s="115">
        <f t="shared" si="3"/>
        <v>0.171500312381179</v>
      </c>
      <c r="K14" s="104">
        <f t="shared" si="4"/>
        <v>70.825</v>
      </c>
      <c r="L14" s="162">
        <f t="shared" si="5"/>
        <v>0.162019061066008</v>
      </c>
      <c r="M14" s="114">
        <f t="shared" si="6"/>
        <v>11.475</v>
      </c>
      <c r="N14" s="104">
        <f t="shared" si="7"/>
        <v>152.566371681416</v>
      </c>
      <c r="O14" s="104">
        <f t="shared" si="8"/>
        <v>5.155</v>
      </c>
      <c r="P14" s="100">
        <v>4</v>
      </c>
      <c r="Q14" s="121">
        <v>8</v>
      </c>
      <c r="R14" s="122">
        <f t="shared" si="9"/>
        <v>0.134793597304128</v>
      </c>
      <c r="S14" s="115">
        <f t="shared" si="20"/>
        <v>0.0941287210260031</v>
      </c>
      <c r="T14" s="122">
        <f t="shared" si="10"/>
        <v>0.0859208087615838</v>
      </c>
      <c r="U14" s="122">
        <v>0.01</v>
      </c>
      <c r="V14" s="122">
        <f t="shared" si="11"/>
        <v>0.321327657290261</v>
      </c>
      <c r="W14" s="122">
        <f t="shared" si="12"/>
        <v>0.0868576242628475</v>
      </c>
      <c r="X14" s="116">
        <v>0.1896</v>
      </c>
      <c r="Y14" s="126">
        <v>8</v>
      </c>
      <c r="Z14" s="126">
        <f>F14*0.06</f>
        <v>5.0994</v>
      </c>
      <c r="AA14" s="126">
        <f t="shared" si="13"/>
        <v>0.5935</v>
      </c>
      <c r="AB14" s="104">
        <f t="shared" si="14"/>
        <v>11.25276</v>
      </c>
      <c r="AC14" s="104">
        <v>138.5</v>
      </c>
      <c r="AD14" s="127">
        <f t="shared" si="15"/>
        <v>122.566371681416</v>
      </c>
      <c r="AE14" s="121">
        <f t="shared" si="16"/>
        <v>3.75</v>
      </c>
      <c r="AF14" s="122">
        <f t="shared" si="17"/>
        <v>0.258143158553951</v>
      </c>
      <c r="AG14" s="122">
        <f t="shared" si="18"/>
        <v>0.00789806234203875</v>
      </c>
      <c r="AH14" s="121">
        <v>30</v>
      </c>
      <c r="AI14" s="122">
        <f t="shared" si="21"/>
        <v>0.345797680051609</v>
      </c>
      <c r="AJ14" s="122"/>
      <c r="AK14" s="122"/>
      <c r="AL14" s="122"/>
      <c r="AM14" s="122"/>
      <c r="AN14" s="131"/>
      <c r="AO14" s="131"/>
      <c r="AP14" s="131"/>
      <c r="AQ14" s="131"/>
      <c r="AR14" s="131"/>
      <c r="AS14" s="131"/>
      <c r="AT14" s="131" t="s">
        <v>229</v>
      </c>
      <c r="AU14" s="131" t="s">
        <v>229</v>
      </c>
      <c r="AV14" s="131" t="s">
        <v>229</v>
      </c>
      <c r="AW14" s="131" t="s">
        <v>229</v>
      </c>
      <c r="AX14" s="131" t="s">
        <v>229</v>
      </c>
      <c r="AY14" s="131" t="s">
        <v>229</v>
      </c>
      <c r="AZ14" s="131" t="s">
        <v>229</v>
      </c>
      <c r="BA14" s="131" t="s">
        <v>229</v>
      </c>
      <c r="BB14" s="131" t="s">
        <v>229</v>
      </c>
      <c r="BC14" s="131" t="s">
        <v>229</v>
      </c>
      <c r="BD14" s="131" t="s">
        <v>229</v>
      </c>
      <c r="BE14" s="131" t="s">
        <v>229</v>
      </c>
      <c r="BF14" s="131" t="s">
        <v>229</v>
      </c>
      <c r="BG14" s="131" t="s">
        <v>229</v>
      </c>
      <c r="BH14" s="131" t="s">
        <v>229</v>
      </c>
      <c r="BI14" s="131" t="s">
        <v>229</v>
      </c>
      <c r="BJ14" s="131" t="s">
        <v>229</v>
      </c>
      <c r="BK14" s="131" t="s">
        <v>229</v>
      </c>
      <c r="BL14" s="131" t="s">
        <v>229</v>
      </c>
      <c r="BM14" s="131" t="s">
        <v>229</v>
      </c>
      <c r="BN14" s="131" t="s">
        <v>229</v>
      </c>
      <c r="BO14" s="131" t="s">
        <v>229</v>
      </c>
      <c r="BP14" s="131" t="s">
        <v>229</v>
      </c>
      <c r="BQ14" s="131" t="s">
        <v>229</v>
      </c>
      <c r="BR14" s="178"/>
      <c r="BS14" s="137" t="s">
        <v>230</v>
      </c>
    </row>
    <row r="15" ht="15.6" spans="1:71">
      <c r="A15" s="100" t="s">
        <v>124</v>
      </c>
      <c r="B15" s="100" t="s">
        <v>232</v>
      </c>
      <c r="C15" s="100"/>
      <c r="D15" s="101" t="s">
        <v>231</v>
      </c>
      <c r="E15" s="113">
        <v>59.35</v>
      </c>
      <c r="F15" s="103">
        <v>84.99</v>
      </c>
      <c r="G15" s="114">
        <f t="shared" si="0"/>
        <v>72.2415</v>
      </c>
      <c r="H15" s="114">
        <f t="shared" si="1"/>
        <v>60.20125</v>
      </c>
      <c r="I15" s="114">
        <f t="shared" si="2"/>
        <v>2.529443539823</v>
      </c>
      <c r="J15" s="115">
        <f t="shared" si="3"/>
        <v>0.0426190992388037</v>
      </c>
      <c r="K15" s="104">
        <f t="shared" si="4"/>
        <v>70.825</v>
      </c>
      <c r="L15" s="162">
        <f t="shared" si="5"/>
        <v>0.162019061066008</v>
      </c>
      <c r="M15" s="114">
        <f t="shared" si="6"/>
        <v>11.475</v>
      </c>
      <c r="N15" s="104">
        <f t="shared" si="7"/>
        <v>152.566371681416</v>
      </c>
      <c r="O15" s="104">
        <f t="shared" si="8"/>
        <v>5.155</v>
      </c>
      <c r="P15" s="100">
        <v>4</v>
      </c>
      <c r="Q15" s="121">
        <v>8</v>
      </c>
      <c r="R15" s="122">
        <f t="shared" si="9"/>
        <v>0.134793597304128</v>
      </c>
      <c r="S15" s="115">
        <f t="shared" si="20"/>
        <v>0.0941287210260031</v>
      </c>
      <c r="T15" s="122">
        <f t="shared" si="10"/>
        <v>0.21480202190396</v>
      </c>
      <c r="U15" s="122">
        <v>0.01</v>
      </c>
      <c r="V15" s="122">
        <f t="shared" si="11"/>
        <v>0.321327657290261</v>
      </c>
      <c r="W15" s="122">
        <f t="shared" si="12"/>
        <v>0.0868576242628475</v>
      </c>
      <c r="X15" s="116">
        <v>0.1896</v>
      </c>
      <c r="Y15" s="126">
        <v>8</v>
      </c>
      <c r="Z15" s="126">
        <f>F15*0.15</f>
        <v>12.7485</v>
      </c>
      <c r="AA15" s="126">
        <f t="shared" si="13"/>
        <v>0.5935</v>
      </c>
      <c r="AB15" s="104">
        <f t="shared" si="14"/>
        <v>11.25276</v>
      </c>
      <c r="AC15" s="104">
        <v>138.5</v>
      </c>
      <c r="AD15" s="127">
        <f t="shared" si="15"/>
        <v>122.566371681416</v>
      </c>
      <c r="AE15" s="121">
        <f t="shared" si="16"/>
        <v>3.75</v>
      </c>
      <c r="AF15" s="122">
        <f t="shared" si="17"/>
        <v>0.258143158553951</v>
      </c>
      <c r="AG15" s="122">
        <f t="shared" si="18"/>
        <v>0.00789806234203875</v>
      </c>
      <c r="AH15" s="121">
        <v>30</v>
      </c>
      <c r="AI15" s="122">
        <f t="shared" si="21"/>
        <v>0.391341764741333</v>
      </c>
      <c r="AJ15" s="122"/>
      <c r="AK15" s="122"/>
      <c r="AL15" s="122"/>
      <c r="AM15" s="122"/>
      <c r="AN15" s="131"/>
      <c r="AO15" s="131"/>
      <c r="AP15" s="131"/>
      <c r="AQ15" s="131"/>
      <c r="AR15" s="131"/>
      <c r="AS15" s="131"/>
      <c r="AT15" s="131" t="s">
        <v>229</v>
      </c>
      <c r="AU15" s="131" t="s">
        <v>229</v>
      </c>
      <c r="AV15" s="131" t="s">
        <v>229</v>
      </c>
      <c r="AW15" s="131" t="s">
        <v>229</v>
      </c>
      <c r="AX15" s="131" t="s">
        <v>229</v>
      </c>
      <c r="AY15" s="131" t="s">
        <v>229</v>
      </c>
      <c r="AZ15" s="131" t="s">
        <v>229</v>
      </c>
      <c r="BA15" s="131" t="s">
        <v>229</v>
      </c>
      <c r="BB15" s="131" t="s">
        <v>229</v>
      </c>
      <c r="BC15" s="131" t="s">
        <v>229</v>
      </c>
      <c r="BD15" s="131" t="s">
        <v>229</v>
      </c>
      <c r="BE15" s="131" t="s">
        <v>229</v>
      </c>
      <c r="BF15" s="131" t="s">
        <v>229</v>
      </c>
      <c r="BG15" s="131" t="s">
        <v>229</v>
      </c>
      <c r="BH15" s="131" t="s">
        <v>229</v>
      </c>
      <c r="BI15" s="131" t="s">
        <v>229</v>
      </c>
      <c r="BJ15" s="131" t="s">
        <v>229</v>
      </c>
      <c r="BK15" s="131" t="s">
        <v>229</v>
      </c>
      <c r="BL15" s="131" t="s">
        <v>229</v>
      </c>
      <c r="BM15" s="131" t="s">
        <v>229</v>
      </c>
      <c r="BN15" s="131" t="s">
        <v>229</v>
      </c>
      <c r="BO15" s="131" t="s">
        <v>229</v>
      </c>
      <c r="BP15" s="131" t="s">
        <v>229</v>
      </c>
      <c r="BQ15" s="131" t="s">
        <v>229</v>
      </c>
      <c r="BR15" s="136"/>
      <c r="BS15" s="137" t="s">
        <v>230</v>
      </c>
    </row>
    <row r="16" ht="15.6" spans="1:71">
      <c r="A16" s="100" t="s">
        <v>234</v>
      </c>
      <c r="B16" s="100" t="s">
        <v>232</v>
      </c>
      <c r="C16" s="100"/>
      <c r="D16" s="146" t="s">
        <v>235</v>
      </c>
      <c r="E16" s="104">
        <v>97.09</v>
      </c>
      <c r="F16" s="105">
        <v>135.99</v>
      </c>
      <c r="G16" s="114">
        <f ca="1" t="shared" si="0"/>
        <v>0</v>
      </c>
      <c r="H16" s="114">
        <f ca="1" t="shared" si="1"/>
        <v>0</v>
      </c>
      <c r="I16" s="114">
        <f ca="1" t="shared" si="2"/>
        <v>0</v>
      </c>
      <c r="J16" s="115">
        <f ca="1" t="shared" si="3"/>
        <v>0</v>
      </c>
      <c r="K16" s="104">
        <f t="shared" si="4"/>
        <v>113.325</v>
      </c>
      <c r="L16" s="162">
        <f t="shared" si="5"/>
        <v>0.143260533862784</v>
      </c>
      <c r="M16" s="114">
        <f t="shared" si="6"/>
        <v>16.235</v>
      </c>
      <c r="N16" s="104">
        <f t="shared" si="7"/>
        <v>152.566371681416</v>
      </c>
      <c r="O16" s="104">
        <f t="shared" si="8"/>
        <v>3</v>
      </c>
      <c r="P16" s="100">
        <v>4</v>
      </c>
      <c r="Q16" s="121">
        <v>7.4</v>
      </c>
      <c r="R16" s="122">
        <f t="shared" si="9"/>
        <v>0.082397775260068</v>
      </c>
      <c r="S16" s="115">
        <f t="shared" si="20"/>
        <v>0.0588278549893374</v>
      </c>
      <c r="T16" s="122">
        <f ca="1" t="shared" si="10"/>
        <v>0</v>
      </c>
      <c r="U16" s="122">
        <v>0.01</v>
      </c>
      <c r="V16" s="122">
        <f t="shared" si="11"/>
        <v>0.212350162264347</v>
      </c>
      <c r="W16" s="122">
        <f t="shared" si="12"/>
        <v>0.0308991657225255</v>
      </c>
      <c r="X16" s="116">
        <v>0.1945</v>
      </c>
      <c r="Y16" s="126">
        <v>8</v>
      </c>
      <c r="Z16" s="126">
        <f ca="1">E16*T16</f>
        <v>0</v>
      </c>
      <c r="AA16" s="126">
        <f t="shared" si="13"/>
        <v>0.9709</v>
      </c>
      <c r="AB16" s="104">
        <f t="shared" si="14"/>
        <v>18.884005</v>
      </c>
      <c r="AC16" s="104">
        <v>138.5</v>
      </c>
      <c r="AD16" s="127">
        <f t="shared" si="15"/>
        <v>122.566371681416</v>
      </c>
      <c r="AE16" s="121">
        <f t="shared" si="16"/>
        <v>4.05405405405405</v>
      </c>
      <c r="AF16" s="122">
        <f t="shared" si="17"/>
        <v>0.170594532909582</v>
      </c>
      <c r="AG16" s="122">
        <f t="shared" si="18"/>
        <v>0.00564265261550867</v>
      </c>
      <c r="AH16" s="121">
        <v>30</v>
      </c>
      <c r="AI16" s="122">
        <f ca="1" t="shared" si="21"/>
        <v>0</v>
      </c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 t="s">
        <v>229</v>
      </c>
      <c r="AU16" s="131" t="s">
        <v>229</v>
      </c>
      <c r="AV16" s="131" t="s">
        <v>229</v>
      </c>
      <c r="AW16" s="131" t="s">
        <v>229</v>
      </c>
      <c r="AX16" s="131" t="s">
        <v>229</v>
      </c>
      <c r="AY16" s="131" t="s">
        <v>229</v>
      </c>
      <c r="AZ16" s="131" t="s">
        <v>229</v>
      </c>
      <c r="BA16" s="131" t="s">
        <v>229</v>
      </c>
      <c r="BB16" s="131" t="s">
        <v>229</v>
      </c>
      <c r="BC16" s="131" t="s">
        <v>229</v>
      </c>
      <c r="BD16" s="131" t="s">
        <v>229</v>
      </c>
      <c r="BE16" s="131" t="s">
        <v>229</v>
      </c>
      <c r="BF16" s="131" t="s">
        <v>229</v>
      </c>
      <c r="BG16" s="131" t="s">
        <v>229</v>
      </c>
      <c r="BH16" s="131" t="s">
        <v>229</v>
      </c>
      <c r="BI16" s="131" t="s">
        <v>229</v>
      </c>
      <c r="BJ16" s="131" t="s">
        <v>229</v>
      </c>
      <c r="BK16" s="131" t="s">
        <v>229</v>
      </c>
      <c r="BL16" s="131" t="s">
        <v>229</v>
      </c>
      <c r="BM16" s="131" t="s">
        <v>229</v>
      </c>
      <c r="BN16" s="131" t="s">
        <v>229</v>
      </c>
      <c r="BO16" s="131" t="s">
        <v>229</v>
      </c>
      <c r="BP16" s="131" t="s">
        <v>229</v>
      </c>
      <c r="BQ16" s="131" t="s">
        <v>229</v>
      </c>
      <c r="BR16" s="138" t="e">
        <f>IF(#REF!&lt;E16,1,0)</f>
        <v>#REF!</v>
      </c>
      <c r="BS16" s="137" t="s">
        <v>230</v>
      </c>
    </row>
    <row r="17" ht="15.6" spans="1:71">
      <c r="A17" s="100" t="s">
        <v>236</v>
      </c>
      <c r="B17" s="100" t="s">
        <v>232</v>
      </c>
      <c r="C17" s="100"/>
      <c r="D17" s="146" t="s">
        <v>237</v>
      </c>
      <c r="E17" s="104">
        <v>138.54</v>
      </c>
      <c r="F17" s="105">
        <v>168</v>
      </c>
      <c r="G17" s="114">
        <f ca="1" t="shared" si="0"/>
        <v>0</v>
      </c>
      <c r="H17" s="114">
        <f ca="1" t="shared" si="1"/>
        <v>0</v>
      </c>
      <c r="I17" s="114">
        <f ca="1" t="shared" si="2"/>
        <v>0</v>
      </c>
      <c r="J17" s="115">
        <f ca="1" t="shared" si="3"/>
        <v>0</v>
      </c>
      <c r="K17" s="104">
        <f t="shared" si="4"/>
        <v>140</v>
      </c>
      <c r="L17" s="162">
        <f t="shared" si="5"/>
        <v>0.0104285714285715</v>
      </c>
      <c r="M17" s="114">
        <f t="shared" si="6"/>
        <v>1.46000000000001</v>
      </c>
      <c r="N17" s="104">
        <f t="shared" si="7"/>
        <v>152.566371681416</v>
      </c>
      <c r="O17" s="104">
        <f t="shared" si="8"/>
        <v>3.765</v>
      </c>
      <c r="P17" s="100">
        <v>4</v>
      </c>
      <c r="Q17" s="121">
        <v>1.6</v>
      </c>
      <c r="R17" s="122">
        <f t="shared" si="9"/>
        <v>0.057745055579616</v>
      </c>
      <c r="S17" s="115">
        <f t="shared" si="20"/>
        <v>0.0476190476190476</v>
      </c>
      <c r="T17" s="122">
        <f ca="1" t="shared" si="10"/>
        <v>0</v>
      </c>
      <c r="U17" s="122">
        <v>0.01</v>
      </c>
      <c r="V17" s="122">
        <f t="shared" si="11"/>
        <v>0.688277625962791</v>
      </c>
      <c r="W17" s="122">
        <f t="shared" si="12"/>
        <v>0.0271762667821568</v>
      </c>
      <c r="X17" s="116">
        <v>0.1945</v>
      </c>
      <c r="Y17" s="126">
        <v>8</v>
      </c>
      <c r="Z17" s="126">
        <f ca="1">E17*T17</f>
        <v>0</v>
      </c>
      <c r="AA17" s="126">
        <f t="shared" si="13"/>
        <v>1.3854</v>
      </c>
      <c r="AB17" s="104">
        <f t="shared" si="14"/>
        <v>26.94603</v>
      </c>
      <c r="AC17" s="104">
        <v>138.5</v>
      </c>
      <c r="AD17" s="127">
        <f t="shared" si="15"/>
        <v>122.566371681416</v>
      </c>
      <c r="AE17" s="121">
        <f t="shared" si="16"/>
        <v>18.75</v>
      </c>
      <c r="AF17" s="122">
        <f t="shared" si="17"/>
        <v>0.552937651948066</v>
      </c>
      <c r="AG17" s="122">
        <f t="shared" si="18"/>
        <v>0.0845874837592031</v>
      </c>
      <c r="AH17" s="121">
        <v>30</v>
      </c>
      <c r="AI17" s="122">
        <f ca="1" t="shared" si="21"/>
        <v>0</v>
      </c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 t="s">
        <v>229</v>
      </c>
      <c r="AU17" s="131" t="s">
        <v>229</v>
      </c>
      <c r="AV17" s="131" t="s">
        <v>229</v>
      </c>
      <c r="AW17" s="131" t="s">
        <v>229</v>
      </c>
      <c r="AX17" s="131" t="s">
        <v>229</v>
      </c>
      <c r="AY17" s="131" t="s">
        <v>229</v>
      </c>
      <c r="AZ17" s="131" t="s">
        <v>229</v>
      </c>
      <c r="BA17" s="131" t="s">
        <v>229</v>
      </c>
      <c r="BB17" s="131" t="s">
        <v>229</v>
      </c>
      <c r="BC17" s="131" t="s">
        <v>229</v>
      </c>
      <c r="BD17" s="131" t="s">
        <v>229</v>
      </c>
      <c r="BE17" s="131" t="s">
        <v>229</v>
      </c>
      <c r="BF17" s="131" t="s">
        <v>229</v>
      </c>
      <c r="BG17" s="131" t="s">
        <v>229</v>
      </c>
      <c r="BH17" s="131" t="s">
        <v>229</v>
      </c>
      <c r="BI17" s="131" t="s">
        <v>229</v>
      </c>
      <c r="BJ17" s="131" t="s">
        <v>229</v>
      </c>
      <c r="BK17" s="131" t="s">
        <v>229</v>
      </c>
      <c r="BL17" s="131" t="s">
        <v>229</v>
      </c>
      <c r="BM17" s="131" t="s">
        <v>229</v>
      </c>
      <c r="BN17" s="131" t="s">
        <v>229</v>
      </c>
      <c r="BO17" s="131" t="s">
        <v>229</v>
      </c>
      <c r="BP17" s="131" t="s">
        <v>229</v>
      </c>
      <c r="BQ17" s="131" t="s">
        <v>229</v>
      </c>
      <c r="BR17" s="138" t="e">
        <f>IF(#REF!&lt;E17,1,0)</f>
        <v>#REF!</v>
      </c>
      <c r="BS17" s="137" t="s">
        <v>230</v>
      </c>
    </row>
    <row r="18" ht="15.6" spans="1:71">
      <c r="A18" s="100" t="s">
        <v>238</v>
      </c>
      <c r="B18" s="100" t="s">
        <v>232</v>
      </c>
      <c r="C18" s="100"/>
      <c r="D18" s="146" t="s">
        <v>239</v>
      </c>
      <c r="E18" s="104">
        <v>389.61</v>
      </c>
      <c r="F18" s="105">
        <v>538</v>
      </c>
      <c r="G18" s="114">
        <f ca="1" t="shared" si="0"/>
        <v>0</v>
      </c>
      <c r="H18" s="114">
        <f ca="1" t="shared" si="1"/>
        <v>0</v>
      </c>
      <c r="I18" s="114">
        <f ca="1" t="shared" si="2"/>
        <v>0</v>
      </c>
      <c r="J18" s="115">
        <f ca="1" t="shared" si="3"/>
        <v>0</v>
      </c>
      <c r="K18" s="104">
        <f t="shared" si="4"/>
        <v>448.333333333333</v>
      </c>
      <c r="L18" s="162">
        <f t="shared" si="5"/>
        <v>0.130981412639404</v>
      </c>
      <c r="M18" s="114">
        <f t="shared" si="6"/>
        <v>58.7233333333334</v>
      </c>
      <c r="N18" s="104">
        <f t="shared" si="7"/>
        <v>152.566371681416</v>
      </c>
      <c r="O18" s="104">
        <f t="shared" si="8"/>
        <v>4.625</v>
      </c>
      <c r="P18" s="100">
        <v>4</v>
      </c>
      <c r="Q18" s="121">
        <v>0.6</v>
      </c>
      <c r="R18" s="122">
        <f t="shared" si="9"/>
        <v>0.0205333538666872</v>
      </c>
      <c r="S18" s="115">
        <f t="shared" si="20"/>
        <v>0.0148698884758364</v>
      </c>
      <c r="T18" s="122">
        <f ca="1" t="shared" si="10"/>
        <v>0</v>
      </c>
      <c r="U18" s="122">
        <v>0.01</v>
      </c>
      <c r="V18" s="122">
        <f t="shared" si="11"/>
        <v>0.652645687060633</v>
      </c>
      <c r="W18" s="122">
        <f t="shared" si="12"/>
        <v>0.0118708452041785</v>
      </c>
      <c r="X18" s="116">
        <v>0.1945</v>
      </c>
      <c r="Y18" s="126">
        <v>8</v>
      </c>
      <c r="Z18" s="126">
        <f ca="1">E18*T18</f>
        <v>0</v>
      </c>
      <c r="AA18" s="126">
        <f t="shared" si="13"/>
        <v>3.8961</v>
      </c>
      <c r="AB18" s="104">
        <f t="shared" si="14"/>
        <v>75.779145</v>
      </c>
      <c r="AC18" s="104">
        <v>138.5</v>
      </c>
      <c r="AD18" s="127">
        <f t="shared" si="15"/>
        <v>122.566371681416</v>
      </c>
      <c r="AE18" s="121">
        <f t="shared" si="16"/>
        <v>50</v>
      </c>
      <c r="AF18" s="122">
        <f t="shared" si="17"/>
        <v>0.524312225393838</v>
      </c>
      <c r="AG18" s="122">
        <f t="shared" si="18"/>
        <v>0.213889102777992</v>
      </c>
      <c r="AH18" s="121">
        <v>30</v>
      </c>
      <c r="AI18" s="122">
        <f ca="1" t="shared" si="21"/>
        <v>0</v>
      </c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 t="s">
        <v>229</v>
      </c>
      <c r="AU18" s="131" t="s">
        <v>229</v>
      </c>
      <c r="AV18" s="131" t="s">
        <v>229</v>
      </c>
      <c r="AW18" s="131" t="s">
        <v>229</v>
      </c>
      <c r="AX18" s="131" t="s">
        <v>229</v>
      </c>
      <c r="AY18" s="131" t="s">
        <v>229</v>
      </c>
      <c r="AZ18" s="131" t="s">
        <v>229</v>
      </c>
      <c r="BA18" s="131" t="s">
        <v>229</v>
      </c>
      <c r="BB18" s="131" t="s">
        <v>229</v>
      </c>
      <c r="BC18" s="131" t="s">
        <v>229</v>
      </c>
      <c r="BD18" s="131" t="s">
        <v>229</v>
      </c>
      <c r="BE18" s="131" t="s">
        <v>229</v>
      </c>
      <c r="BF18" s="131" t="s">
        <v>229</v>
      </c>
      <c r="BG18" s="131" t="s">
        <v>229</v>
      </c>
      <c r="BH18" s="131" t="s">
        <v>229</v>
      </c>
      <c r="BI18" s="131" t="s">
        <v>229</v>
      </c>
      <c r="BJ18" s="131" t="s">
        <v>229</v>
      </c>
      <c r="BK18" s="131" t="s">
        <v>229</v>
      </c>
      <c r="BL18" s="131" t="s">
        <v>229</v>
      </c>
      <c r="BM18" s="131" t="s">
        <v>229</v>
      </c>
      <c r="BN18" s="131" t="s">
        <v>229</v>
      </c>
      <c r="BO18" s="131" t="s">
        <v>229</v>
      </c>
      <c r="BP18" s="131" t="s">
        <v>229</v>
      </c>
      <c r="BQ18" s="131" t="s">
        <v>229</v>
      </c>
      <c r="BR18" s="138" t="e">
        <f>IF(#REF!&lt;E18,1,0)</f>
        <v>#REF!</v>
      </c>
      <c r="BS18" s="137" t="s">
        <v>230</v>
      </c>
    </row>
    <row r="19" ht="15.6" spans="1:71">
      <c r="A19" s="100" t="s">
        <v>240</v>
      </c>
      <c r="B19" s="100" t="s">
        <v>232</v>
      </c>
      <c r="C19" s="100"/>
      <c r="D19" s="146" t="s">
        <v>241</v>
      </c>
      <c r="E19" s="103">
        <v>85</v>
      </c>
      <c r="F19" s="105">
        <v>119.99</v>
      </c>
      <c r="G19" s="114">
        <f ca="1" t="shared" si="0"/>
        <v>0</v>
      </c>
      <c r="H19" s="114">
        <f ca="1" t="shared" si="1"/>
        <v>0</v>
      </c>
      <c r="I19" s="114">
        <f ca="1" t="shared" si="2"/>
        <v>0</v>
      </c>
      <c r="J19" s="115">
        <f ca="1" t="shared" si="3"/>
        <v>0</v>
      </c>
      <c r="K19" s="104">
        <f t="shared" si="4"/>
        <v>99.9916666666667</v>
      </c>
      <c r="L19" s="162">
        <f t="shared" si="5"/>
        <v>0.149929160763397</v>
      </c>
      <c r="M19" s="114">
        <f t="shared" si="6"/>
        <v>14.9916666666667</v>
      </c>
      <c r="N19" s="104">
        <f t="shared" si="7"/>
        <v>152.566371681416</v>
      </c>
      <c r="O19" s="104">
        <f t="shared" si="8"/>
        <v>3.8175</v>
      </c>
      <c r="P19" s="100">
        <v>4</v>
      </c>
      <c r="Q19" s="121">
        <v>7.4</v>
      </c>
      <c r="R19" s="122">
        <f t="shared" si="9"/>
        <v>0.0941176470588235</v>
      </c>
      <c r="S19" s="115">
        <f t="shared" si="20"/>
        <v>0.0666722226852238</v>
      </c>
      <c r="T19" s="122">
        <f ca="1" t="shared" si="10"/>
        <v>0</v>
      </c>
      <c r="U19" s="122">
        <v>0.01</v>
      </c>
      <c r="V19" s="122">
        <f t="shared" si="11"/>
        <v>0.242553850049946</v>
      </c>
      <c r="W19" s="122">
        <f t="shared" si="12"/>
        <v>0.0449117647058824</v>
      </c>
      <c r="X19" s="116">
        <v>0.1945</v>
      </c>
      <c r="Y19" s="126">
        <v>8</v>
      </c>
      <c r="Z19" s="126">
        <f ca="1">E19*T19</f>
        <v>0</v>
      </c>
      <c r="AA19" s="126">
        <f t="shared" si="13"/>
        <v>0.85</v>
      </c>
      <c r="AB19" s="104">
        <f t="shared" si="14"/>
        <v>16.5325</v>
      </c>
      <c r="AC19" s="104">
        <v>138.5</v>
      </c>
      <c r="AD19" s="127">
        <f t="shared" si="15"/>
        <v>122.566371681416</v>
      </c>
      <c r="AE19" s="121">
        <f t="shared" si="16"/>
        <v>4.05405405405405</v>
      </c>
      <c r="AF19" s="122">
        <f t="shared" si="17"/>
        <v>0.194859096472839</v>
      </c>
      <c r="AG19" s="122">
        <f t="shared" si="18"/>
        <v>0.00644523696987925</v>
      </c>
      <c r="AH19" s="121">
        <v>30</v>
      </c>
      <c r="AI19" s="122">
        <f ca="1" t="shared" si="21"/>
        <v>0</v>
      </c>
      <c r="AJ19" s="122"/>
      <c r="AK19" s="122"/>
      <c r="AL19" s="122"/>
      <c r="AM19" s="122"/>
      <c r="AN19" s="131"/>
      <c r="AO19" s="131"/>
      <c r="AP19" s="131"/>
      <c r="AQ19" s="131"/>
      <c r="AR19" s="131"/>
      <c r="AS19" s="131"/>
      <c r="AT19" s="131" t="s">
        <v>229</v>
      </c>
      <c r="AU19" s="131" t="s">
        <v>229</v>
      </c>
      <c r="AV19" s="131" t="s">
        <v>229</v>
      </c>
      <c r="AW19" s="131" t="s">
        <v>229</v>
      </c>
      <c r="AX19" s="131" t="s">
        <v>229</v>
      </c>
      <c r="AY19" s="131" t="s">
        <v>229</v>
      </c>
      <c r="AZ19" s="131" t="s">
        <v>229</v>
      </c>
      <c r="BA19" s="131" t="s">
        <v>229</v>
      </c>
      <c r="BB19" s="131" t="s">
        <v>229</v>
      </c>
      <c r="BC19" s="131" t="s">
        <v>229</v>
      </c>
      <c r="BD19" s="131" t="s">
        <v>229</v>
      </c>
      <c r="BE19" s="131" t="s">
        <v>229</v>
      </c>
      <c r="BF19" s="131" t="s">
        <v>229</v>
      </c>
      <c r="BG19" s="131" t="s">
        <v>229</v>
      </c>
      <c r="BH19" s="131" t="s">
        <v>229</v>
      </c>
      <c r="BI19" s="131" t="s">
        <v>229</v>
      </c>
      <c r="BJ19" s="131" t="s">
        <v>229</v>
      </c>
      <c r="BK19" s="131" t="s">
        <v>229</v>
      </c>
      <c r="BL19" s="131" t="s">
        <v>229</v>
      </c>
      <c r="BM19" s="131" t="s">
        <v>229</v>
      </c>
      <c r="BN19" s="131" t="s">
        <v>229</v>
      </c>
      <c r="BO19" s="131" t="s">
        <v>229</v>
      </c>
      <c r="BP19" s="131" t="s">
        <v>229</v>
      </c>
      <c r="BQ19" s="131" t="s">
        <v>229</v>
      </c>
      <c r="BR19" s="138" t="e">
        <f>IF(#REF!&lt;E19,1,0)</f>
        <v>#REF!</v>
      </c>
      <c r="BS19" s="137" t="s">
        <v>230</v>
      </c>
    </row>
    <row r="20" ht="15.6" spans="1:71">
      <c r="A20" s="7"/>
      <c r="B20" s="7"/>
      <c r="C20" s="7"/>
      <c r="D20" s="7"/>
      <c r="E20" s="104"/>
      <c r="F20" s="105"/>
      <c r="G20" s="114">
        <f t="shared" si="0"/>
        <v>0</v>
      </c>
      <c r="H20" s="114"/>
      <c r="I20" s="114"/>
      <c r="J20" s="115"/>
      <c r="K20" s="104"/>
      <c r="L20" s="104"/>
      <c r="M20" s="104"/>
      <c r="N20" s="104"/>
      <c r="O20" s="104"/>
      <c r="P20" s="100"/>
      <c r="Q20" s="121"/>
      <c r="R20" s="122"/>
      <c r="S20" s="115"/>
      <c r="T20" s="122"/>
      <c r="U20" s="122"/>
      <c r="V20" s="122"/>
      <c r="W20" s="122"/>
      <c r="X20" s="116"/>
      <c r="Y20" s="126"/>
      <c r="Z20" s="126"/>
      <c r="AA20" s="126"/>
      <c r="AB20" s="104"/>
      <c r="AC20" s="104"/>
      <c r="AD20" s="127"/>
      <c r="AE20" s="121"/>
      <c r="AF20" s="122"/>
      <c r="AG20" s="122"/>
      <c r="AH20" s="121"/>
      <c r="AI20" s="122"/>
      <c r="AJ20" s="122"/>
      <c r="AK20" s="122"/>
      <c r="AL20" s="122"/>
      <c r="AM20" s="122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8"/>
      <c r="BS20" s="137"/>
    </row>
    <row r="21" ht="15.6" spans="1:71">
      <c r="A21" s="100" t="s">
        <v>127</v>
      </c>
      <c r="B21" s="100" t="s">
        <v>242</v>
      </c>
      <c r="C21" s="100"/>
      <c r="D21" s="146" t="s">
        <v>243</v>
      </c>
      <c r="E21" s="104">
        <v>20.39</v>
      </c>
      <c r="F21" s="105">
        <v>29.99</v>
      </c>
      <c r="G21" s="114">
        <f t="shared" si="0"/>
        <v>25.4915</v>
      </c>
      <c r="H21" s="114">
        <f>F21-Z21</f>
        <v>25.4915</v>
      </c>
      <c r="I21" s="114">
        <f t="shared" ref="I21:I46" si="22">E21-N21/Q21-AB21-Y21-O21-Z21-AA21</f>
        <v>5.18257652572927</v>
      </c>
      <c r="J21" s="115">
        <f t="shared" ref="J21:J46" si="23">I21/E21</f>
        <v>0.254172463253029</v>
      </c>
      <c r="K21" s="104">
        <f t="shared" ref="K21:K46" si="24">F21/1.2</f>
        <v>24.9916666666667</v>
      </c>
      <c r="L21" s="162">
        <f t="shared" ref="L21:L46" si="25">(K21-E21)/K21</f>
        <v>0.184128042680894</v>
      </c>
      <c r="M21" s="114">
        <f t="shared" ref="M21:M46" si="26">F21/1.2-E21</f>
        <v>4.60166666666667</v>
      </c>
      <c r="N21" s="104">
        <f t="shared" ref="N21:N46" si="27">AD21+AH21</f>
        <v>45.7079646017699</v>
      </c>
      <c r="O21" s="104">
        <f>IFERROR(IF(A21="UK",8.95/P21,IF(A21="DE",11.43/P21,IF(A21="FR",15.27/P21,IF(A21="IT",16.34/P21,IF(A21="ES",20.62/P21,IF(A21="NL",12/P21,IF(A21="PL",15.06/P21,IF(A21="SE",18.5/P21,IF(A21="BE",15.27/P21))))))))),0)</f>
        <v>0.165740740740741</v>
      </c>
      <c r="P21" s="137">
        <v>54</v>
      </c>
      <c r="Q21" s="121">
        <v>9</v>
      </c>
      <c r="R21" s="122">
        <v>0.1</v>
      </c>
      <c r="S21" s="115">
        <f t="shared" ref="S21:S46" si="28">Y21/F21</f>
        <v>0.0679893297765922</v>
      </c>
      <c r="T21" s="169">
        <f t="shared" ref="T21:T42" si="29">Z21/E21</f>
        <v>0.220622854340363</v>
      </c>
      <c r="U21" s="122">
        <v>0.01</v>
      </c>
      <c r="V21" s="122">
        <f t="shared" ref="V21:V46" si="30">N21/(E21*Q21)</f>
        <v>0.249076151717999</v>
      </c>
      <c r="W21" s="122">
        <f t="shared" ref="W21:W46" si="31">O21/E21</f>
        <v>0.00812853068860916</v>
      </c>
      <c r="X21" s="116">
        <v>0.158</v>
      </c>
      <c r="Y21" s="126">
        <f>E21*R21</f>
        <v>2.039</v>
      </c>
      <c r="Z21" s="126">
        <f>F21*0.15</f>
        <v>4.4985</v>
      </c>
      <c r="AA21" s="126">
        <f t="shared" ref="AA21:AA46" si="32">E21*U21</f>
        <v>0.2039</v>
      </c>
      <c r="AB21" s="104">
        <f t="shared" ref="AB21:AB46" si="33">E21*X21</f>
        <v>3.22162</v>
      </c>
      <c r="AC21" s="104">
        <v>46</v>
      </c>
      <c r="AD21" s="127">
        <f t="shared" ref="AD21:AD46" si="34">AC21/1.13</f>
        <v>40.7079646017699</v>
      </c>
      <c r="AE21" s="121">
        <f t="shared" ref="AE21:AE30" si="35">4.7/8.5</f>
        <v>0.552941176470588</v>
      </c>
      <c r="AF21" s="122">
        <f t="shared" ref="AF21:AF46" si="36">AD21/(E21*Q21)</f>
        <v>0.221829680136068</v>
      </c>
      <c r="AG21" s="122">
        <f t="shared" ref="AG21:AG46" si="37">AE21/Q21/E21</f>
        <v>0.00301313921023698</v>
      </c>
      <c r="AH21" s="121">
        <v>5</v>
      </c>
      <c r="AI21" s="122">
        <f>(K21-E21+AB21)/(K21-Z21)</f>
        <v>0.381750990167454</v>
      </c>
      <c r="AJ21" s="122"/>
      <c r="AK21" s="122"/>
      <c r="AL21" s="122"/>
      <c r="AM21" s="122"/>
      <c r="AN21" s="131"/>
      <c r="AO21" s="131"/>
      <c r="AP21" s="131"/>
      <c r="AQ21" s="131"/>
      <c r="AR21" s="131"/>
      <c r="AS21" s="131"/>
      <c r="AT21" s="131" t="s">
        <v>229</v>
      </c>
      <c r="AU21" s="131" t="s">
        <v>229</v>
      </c>
      <c r="AV21" s="131" t="s">
        <v>229</v>
      </c>
      <c r="AW21" s="131" t="s">
        <v>229</v>
      </c>
      <c r="AX21" s="131" t="s">
        <v>229</v>
      </c>
      <c r="AY21" s="131" t="s">
        <v>229</v>
      </c>
      <c r="AZ21" s="131" t="s">
        <v>229</v>
      </c>
      <c r="BA21" s="131" t="s">
        <v>229</v>
      </c>
      <c r="BB21" s="131" t="s">
        <v>229</v>
      </c>
      <c r="BC21" s="131" t="s">
        <v>229</v>
      </c>
      <c r="BD21" s="131" t="s">
        <v>229</v>
      </c>
      <c r="BE21" s="131" t="s">
        <v>229</v>
      </c>
      <c r="BF21" s="131" t="s">
        <v>229</v>
      </c>
      <c r="BG21" s="131" t="s">
        <v>229</v>
      </c>
      <c r="BH21" s="131" t="s">
        <v>229</v>
      </c>
      <c r="BI21" s="131" t="s">
        <v>229</v>
      </c>
      <c r="BJ21" s="131" t="s">
        <v>229</v>
      </c>
      <c r="BK21" s="131" t="s">
        <v>229</v>
      </c>
      <c r="BL21" s="131" t="s">
        <v>229</v>
      </c>
      <c r="BM21" s="131" t="s">
        <v>229</v>
      </c>
      <c r="BN21" s="131" t="s">
        <v>229</v>
      </c>
      <c r="BO21" s="131" t="s">
        <v>229</v>
      </c>
      <c r="BP21" s="131" t="s">
        <v>229</v>
      </c>
      <c r="BQ21" s="131" t="s">
        <v>229</v>
      </c>
      <c r="BR21" s="138" t="e">
        <f>IF(#REF!&lt;E21,1,0)</f>
        <v>#REF!</v>
      </c>
      <c r="BS21" s="137" t="s">
        <v>230</v>
      </c>
    </row>
    <row r="22" ht="15.6" spans="1:71">
      <c r="A22" s="100" t="s">
        <v>244</v>
      </c>
      <c r="B22" s="100" t="s">
        <v>242</v>
      </c>
      <c r="C22" s="100"/>
      <c r="D22" s="147" t="s">
        <v>245</v>
      </c>
      <c r="E22" s="104">
        <v>20.39</v>
      </c>
      <c r="F22" s="105">
        <v>29.99</v>
      </c>
      <c r="G22" s="114">
        <f t="shared" si="0"/>
        <v>20.3932</v>
      </c>
      <c r="H22" s="114">
        <f>F22-Z22</f>
        <v>20.3932</v>
      </c>
      <c r="I22" s="114">
        <f t="shared" si="22"/>
        <v>0.0800172664700094</v>
      </c>
      <c r="J22" s="115">
        <f t="shared" si="23"/>
        <v>0.00392433871848991</v>
      </c>
      <c r="K22" s="104">
        <f t="shared" si="24"/>
        <v>24.9916666666667</v>
      </c>
      <c r="L22" s="162">
        <f t="shared" si="25"/>
        <v>0.184128042680894</v>
      </c>
      <c r="M22" s="114">
        <f t="shared" si="26"/>
        <v>4.60166666666667</v>
      </c>
      <c r="N22" s="104">
        <f t="shared" si="27"/>
        <v>45.7079646017699</v>
      </c>
      <c r="O22" s="104">
        <v>0.17</v>
      </c>
      <c r="P22" s="137">
        <v>54</v>
      </c>
      <c r="Q22" s="121">
        <v>9</v>
      </c>
      <c r="R22" s="122">
        <v>0.1</v>
      </c>
      <c r="S22" s="115">
        <f t="shared" si="28"/>
        <v>0.0679893297765922</v>
      </c>
      <c r="T22" s="169">
        <f t="shared" si="29"/>
        <v>0.470662089259441</v>
      </c>
      <c r="U22" s="122">
        <v>0.01</v>
      </c>
      <c r="V22" s="122">
        <f t="shared" si="30"/>
        <v>0.249076151717999</v>
      </c>
      <c r="W22" s="122">
        <f t="shared" si="31"/>
        <v>0.00833742030407062</v>
      </c>
      <c r="X22" s="116">
        <v>0.158</v>
      </c>
      <c r="Y22" s="126">
        <f>E22*R22</f>
        <v>2.039</v>
      </c>
      <c r="Z22" s="126">
        <f>F22*0.32</f>
        <v>9.5968</v>
      </c>
      <c r="AA22" s="126">
        <f t="shared" si="32"/>
        <v>0.2039</v>
      </c>
      <c r="AB22" s="104">
        <f t="shared" si="33"/>
        <v>3.22162</v>
      </c>
      <c r="AC22" s="104">
        <v>46</v>
      </c>
      <c r="AD22" s="127">
        <f t="shared" si="34"/>
        <v>40.7079646017699</v>
      </c>
      <c r="AE22" s="121">
        <f t="shared" si="35"/>
        <v>0.552941176470588</v>
      </c>
      <c r="AF22" s="122">
        <f t="shared" si="36"/>
        <v>0.221829680136068</v>
      </c>
      <c r="AG22" s="122">
        <f t="shared" si="37"/>
        <v>0.00301313921023698</v>
      </c>
      <c r="AH22" s="121">
        <v>5</v>
      </c>
      <c r="AI22" s="122">
        <f>(K22-E22+AB22)/(K22-Z22)</f>
        <v>0.508175019378754</v>
      </c>
      <c r="AJ22" s="122"/>
      <c r="AK22" s="122"/>
      <c r="AL22" s="122"/>
      <c r="AM22" s="122"/>
      <c r="AN22" s="131"/>
      <c r="AO22" s="131"/>
      <c r="AP22" s="131"/>
      <c r="AQ22" s="131"/>
      <c r="AR22" s="131"/>
      <c r="AS22" s="131"/>
      <c r="AT22" s="131" t="s">
        <v>229</v>
      </c>
      <c r="AU22" s="131" t="s">
        <v>229</v>
      </c>
      <c r="AV22" s="131" t="s">
        <v>229</v>
      </c>
      <c r="AW22" s="131" t="s">
        <v>229</v>
      </c>
      <c r="AX22" s="131" t="s">
        <v>229</v>
      </c>
      <c r="AY22" s="131" t="s">
        <v>229</v>
      </c>
      <c r="AZ22" s="131" t="s">
        <v>229</v>
      </c>
      <c r="BA22" s="131" t="s">
        <v>229</v>
      </c>
      <c r="BB22" s="131" t="s">
        <v>229</v>
      </c>
      <c r="BC22" s="131" t="s">
        <v>229</v>
      </c>
      <c r="BD22" s="131" t="s">
        <v>229</v>
      </c>
      <c r="BE22" s="131" t="s">
        <v>229</v>
      </c>
      <c r="BF22" s="131" t="s">
        <v>229</v>
      </c>
      <c r="BG22" s="131" t="s">
        <v>229</v>
      </c>
      <c r="BH22" s="131" t="s">
        <v>229</v>
      </c>
      <c r="BI22" s="131" t="s">
        <v>229</v>
      </c>
      <c r="BJ22" s="131" t="s">
        <v>229</v>
      </c>
      <c r="BK22" s="131" t="s">
        <v>229</v>
      </c>
      <c r="BL22" s="131" t="s">
        <v>229</v>
      </c>
      <c r="BM22" s="131" t="s">
        <v>229</v>
      </c>
      <c r="BN22" s="131" t="s">
        <v>229</v>
      </c>
      <c r="BO22" s="131" t="s">
        <v>229</v>
      </c>
      <c r="BP22" s="131" t="s">
        <v>229</v>
      </c>
      <c r="BQ22" s="131" t="s">
        <v>229</v>
      </c>
      <c r="BR22" s="138" t="e">
        <f>IF(#REF!&lt;E22,1,0)</f>
        <v>#REF!</v>
      </c>
      <c r="BS22" s="137" t="s">
        <v>230</v>
      </c>
    </row>
    <row r="23" ht="15.6" spans="1:71">
      <c r="A23" s="100" t="s">
        <v>127</v>
      </c>
      <c r="B23" s="100" t="s">
        <v>242</v>
      </c>
      <c r="C23" s="100"/>
      <c r="D23" s="146" t="s">
        <v>246</v>
      </c>
      <c r="E23" s="104">
        <v>16.99</v>
      </c>
      <c r="F23" s="105">
        <v>25.19</v>
      </c>
      <c r="G23" s="114">
        <f t="shared" si="0"/>
        <v>25.19</v>
      </c>
      <c r="H23" s="114">
        <f>F23-Z23</f>
        <v>25.19</v>
      </c>
      <c r="I23" s="114">
        <f t="shared" si="22"/>
        <v>7.19227652572927</v>
      </c>
      <c r="J23" s="115">
        <f t="shared" si="23"/>
        <v>0.423324103927561</v>
      </c>
      <c r="K23" s="104">
        <f t="shared" si="24"/>
        <v>20.9916666666667</v>
      </c>
      <c r="L23" s="162">
        <f t="shared" si="25"/>
        <v>0.190631202858277</v>
      </c>
      <c r="M23" s="114">
        <f t="shared" si="26"/>
        <v>4.00166666666667</v>
      </c>
      <c r="N23" s="104">
        <f t="shared" si="27"/>
        <v>45.7079646017699</v>
      </c>
      <c r="O23" s="104">
        <f>IFERROR(IF(A23="UK",8.95/P23,IF(A23="DE",11.43/P23,IF(A23="FR",15.27/P23,IF(A23="IT",16.34/P23,IF(A23="ES",20.62/P23,IF(A23="NL",12/P23,IF(A23="PL",15.06/P23,IF(A23="SE",18.5/P23,IF(A23="BE",15.27/P23))))))))),0)</f>
        <v>0.165740740740741</v>
      </c>
      <c r="P23" s="137">
        <v>54</v>
      </c>
      <c r="Q23" s="121">
        <v>9</v>
      </c>
      <c r="R23" s="122">
        <v>0.1</v>
      </c>
      <c r="S23" s="115">
        <f t="shared" si="28"/>
        <v>0.0674473997618102</v>
      </c>
      <c r="T23" s="169">
        <f t="shared" si="29"/>
        <v>0</v>
      </c>
      <c r="U23" s="122">
        <v>0.01</v>
      </c>
      <c r="V23" s="122">
        <f t="shared" si="30"/>
        <v>0.29892070238552</v>
      </c>
      <c r="W23" s="122">
        <f t="shared" si="31"/>
        <v>0.00975519368691823</v>
      </c>
      <c r="X23" s="116">
        <v>0.158</v>
      </c>
      <c r="Y23" s="126">
        <f>E23*R23</f>
        <v>1.699</v>
      </c>
      <c r="Z23" s="126">
        <v>0</v>
      </c>
      <c r="AA23" s="126">
        <f t="shared" si="32"/>
        <v>0.1699</v>
      </c>
      <c r="AB23" s="104">
        <f t="shared" si="33"/>
        <v>2.68442</v>
      </c>
      <c r="AC23" s="104">
        <v>46</v>
      </c>
      <c r="AD23" s="127">
        <f t="shared" si="34"/>
        <v>40.7079646017699</v>
      </c>
      <c r="AE23" s="121">
        <f t="shared" si="35"/>
        <v>0.552941176470588</v>
      </c>
      <c r="AF23" s="122">
        <f t="shared" si="36"/>
        <v>0.26622172913328</v>
      </c>
      <c r="AG23" s="122">
        <f t="shared" si="37"/>
        <v>0.00361612174789476</v>
      </c>
      <c r="AH23" s="121">
        <v>5</v>
      </c>
      <c r="AI23" s="122">
        <f>(K23-E23+AB23)/(K23-Z23)</f>
        <v>0.318511472806669</v>
      </c>
      <c r="AJ23" s="122"/>
      <c r="AK23" s="122"/>
      <c r="AL23" s="122"/>
      <c r="AM23" s="122"/>
      <c r="AN23" s="131"/>
      <c r="AO23" s="131"/>
      <c r="AP23" s="131"/>
      <c r="AQ23" s="131"/>
      <c r="AR23" s="131"/>
      <c r="AS23" s="131"/>
      <c r="AT23" s="131" t="s">
        <v>229</v>
      </c>
      <c r="AU23" s="131" t="s">
        <v>229</v>
      </c>
      <c r="AV23" s="131" t="s">
        <v>229</v>
      </c>
      <c r="AW23" s="131" t="s">
        <v>229</v>
      </c>
      <c r="AX23" s="131" t="s">
        <v>229</v>
      </c>
      <c r="AY23" s="131" t="s">
        <v>229</v>
      </c>
      <c r="AZ23" s="131" t="s">
        <v>229</v>
      </c>
      <c r="BA23" s="131" t="s">
        <v>229</v>
      </c>
      <c r="BB23" s="131" t="s">
        <v>229</v>
      </c>
      <c r="BC23" s="131" t="s">
        <v>229</v>
      </c>
      <c r="BD23" s="131" t="s">
        <v>229</v>
      </c>
      <c r="BE23" s="131" t="s">
        <v>229</v>
      </c>
      <c r="BF23" s="131" t="s">
        <v>229</v>
      </c>
      <c r="BG23" s="131" t="s">
        <v>229</v>
      </c>
      <c r="BH23" s="131" t="s">
        <v>229</v>
      </c>
      <c r="BI23" s="131" t="s">
        <v>229</v>
      </c>
      <c r="BJ23" s="131" t="s">
        <v>229</v>
      </c>
      <c r="BK23" s="131" t="s">
        <v>229</v>
      </c>
      <c r="BL23" s="131" t="s">
        <v>229</v>
      </c>
      <c r="BM23" s="131" t="s">
        <v>229</v>
      </c>
      <c r="BN23" s="131" t="s">
        <v>229</v>
      </c>
      <c r="BO23" s="131" t="s">
        <v>229</v>
      </c>
      <c r="BP23" s="131" t="s">
        <v>229</v>
      </c>
      <c r="BQ23" s="131" t="s">
        <v>229</v>
      </c>
      <c r="BR23" s="138" t="e">
        <f>IF(#REF!&lt;E23,1,0)</f>
        <v>#REF!</v>
      </c>
      <c r="BS23" s="137" t="s">
        <v>230</v>
      </c>
    </row>
    <row r="24" ht="18.75" customHeight="1" spans="1:71">
      <c r="A24" s="100" t="s">
        <v>244</v>
      </c>
      <c r="B24" s="100" t="s">
        <v>242</v>
      </c>
      <c r="C24" s="100"/>
      <c r="D24" s="147" t="s">
        <v>245</v>
      </c>
      <c r="E24" s="104">
        <v>17.3</v>
      </c>
      <c r="F24" s="105">
        <v>25.49</v>
      </c>
      <c r="G24" s="114">
        <f t="shared" si="0"/>
        <v>20.392</v>
      </c>
      <c r="H24" s="114">
        <f>F24-Z24</f>
        <v>20.392</v>
      </c>
      <c r="I24" s="114">
        <f t="shared" si="22"/>
        <v>2.31693726647001</v>
      </c>
      <c r="J24" s="115">
        <f t="shared" si="23"/>
        <v>0.133927009622544</v>
      </c>
      <c r="K24" s="104">
        <f t="shared" si="24"/>
        <v>21.2416666666667</v>
      </c>
      <c r="L24" s="162">
        <f t="shared" si="25"/>
        <v>0.185562965868968</v>
      </c>
      <c r="M24" s="114">
        <f t="shared" si="26"/>
        <v>3.94166666666667</v>
      </c>
      <c r="N24" s="104">
        <f t="shared" si="27"/>
        <v>45.7079646017699</v>
      </c>
      <c r="O24" s="104">
        <v>0.17</v>
      </c>
      <c r="P24" s="137">
        <v>54</v>
      </c>
      <c r="Q24" s="121">
        <v>9</v>
      </c>
      <c r="R24" s="122">
        <v>0.1</v>
      </c>
      <c r="S24" s="115">
        <f t="shared" si="28"/>
        <v>0.0678697528442527</v>
      </c>
      <c r="T24" s="169">
        <f t="shared" si="29"/>
        <v>0.294682080924855</v>
      </c>
      <c r="U24" s="122">
        <v>0.01</v>
      </c>
      <c r="V24" s="122">
        <f t="shared" si="30"/>
        <v>0.293564319857225</v>
      </c>
      <c r="W24" s="122">
        <f t="shared" si="31"/>
        <v>0.00982658959537572</v>
      </c>
      <c r="X24" s="116">
        <v>0.158</v>
      </c>
      <c r="Y24" s="126">
        <f>E24*R24</f>
        <v>1.73</v>
      </c>
      <c r="Z24" s="126">
        <f>F24*0.2</f>
        <v>5.098</v>
      </c>
      <c r="AA24" s="126">
        <f t="shared" si="32"/>
        <v>0.173</v>
      </c>
      <c r="AB24" s="104">
        <f t="shared" si="33"/>
        <v>2.7334</v>
      </c>
      <c r="AC24" s="104">
        <v>46</v>
      </c>
      <c r="AD24" s="127">
        <f t="shared" si="34"/>
        <v>40.7079646017699</v>
      </c>
      <c r="AE24" s="121">
        <f t="shared" si="35"/>
        <v>0.552941176470588</v>
      </c>
      <c r="AF24" s="122">
        <f t="shared" si="36"/>
        <v>0.26145128196384</v>
      </c>
      <c r="AG24" s="122">
        <f t="shared" si="37"/>
        <v>0.00355132419056255</v>
      </c>
      <c r="AH24" s="121">
        <v>5</v>
      </c>
      <c r="AI24" s="122">
        <f>(K24-E24+AB24)/(K24-Z24)</f>
        <v>0.413478970081146</v>
      </c>
      <c r="AJ24" s="122"/>
      <c r="AK24" s="122"/>
      <c r="AL24" s="122"/>
      <c r="AM24" s="122"/>
      <c r="AN24" s="131"/>
      <c r="AO24" s="131"/>
      <c r="AP24" s="131"/>
      <c r="AQ24" s="131"/>
      <c r="AR24" s="131"/>
      <c r="AS24" s="131"/>
      <c r="AT24" s="131" t="s">
        <v>229</v>
      </c>
      <c r="AU24" s="131" t="s">
        <v>229</v>
      </c>
      <c r="AV24" s="131" t="s">
        <v>229</v>
      </c>
      <c r="AW24" s="131" t="s">
        <v>229</v>
      </c>
      <c r="AX24" s="131" t="s">
        <v>229</v>
      </c>
      <c r="AY24" s="131" t="s">
        <v>229</v>
      </c>
      <c r="AZ24" s="131" t="s">
        <v>229</v>
      </c>
      <c r="BA24" s="131" t="s">
        <v>229</v>
      </c>
      <c r="BB24" s="131" t="s">
        <v>229</v>
      </c>
      <c r="BC24" s="131" t="s">
        <v>229</v>
      </c>
      <c r="BD24" s="131" t="s">
        <v>229</v>
      </c>
      <c r="BE24" s="131" t="s">
        <v>229</v>
      </c>
      <c r="BF24" s="131" t="s">
        <v>229</v>
      </c>
      <c r="BG24" s="131" t="s">
        <v>229</v>
      </c>
      <c r="BH24" s="131" t="s">
        <v>229</v>
      </c>
      <c r="BI24" s="131" t="s">
        <v>229</v>
      </c>
      <c r="BJ24" s="131" t="s">
        <v>229</v>
      </c>
      <c r="BK24" s="131" t="s">
        <v>229</v>
      </c>
      <c r="BL24" s="131" t="s">
        <v>229</v>
      </c>
      <c r="BM24" s="131" t="s">
        <v>229</v>
      </c>
      <c r="BN24" s="131" t="s">
        <v>229</v>
      </c>
      <c r="BO24" s="131" t="s">
        <v>229</v>
      </c>
      <c r="BP24" s="131" t="s">
        <v>229</v>
      </c>
      <c r="BQ24" s="131" t="s">
        <v>229</v>
      </c>
      <c r="BR24" s="138" t="e">
        <f>IF(#REF!&lt;E24,1,0)</f>
        <v>#REF!</v>
      </c>
      <c r="BS24" s="137" t="s">
        <v>230</v>
      </c>
    </row>
    <row r="25" ht="15.6" spans="1:71">
      <c r="A25" s="148" t="s">
        <v>127</v>
      </c>
      <c r="B25" s="148" t="s">
        <v>242</v>
      </c>
      <c r="C25" s="148"/>
      <c r="D25" s="149" t="s">
        <v>247</v>
      </c>
      <c r="E25" s="150">
        <v>19.25</v>
      </c>
      <c r="F25" s="151">
        <v>27.99</v>
      </c>
      <c r="G25" s="114">
        <f t="shared" si="0"/>
        <v>22.9518</v>
      </c>
      <c r="H25" s="114">
        <f>(F25-Z25)/1.2</f>
        <v>19.1265</v>
      </c>
      <c r="I25" s="163">
        <f t="shared" si="22"/>
        <v>2.73339652572927</v>
      </c>
      <c r="J25" s="164">
        <f t="shared" si="23"/>
        <v>0.141994624713209</v>
      </c>
      <c r="K25" s="150">
        <f t="shared" si="24"/>
        <v>23.325</v>
      </c>
      <c r="L25" s="165">
        <f t="shared" si="25"/>
        <v>0.17470525187567</v>
      </c>
      <c r="M25" s="163">
        <f t="shared" si="26"/>
        <v>4.075</v>
      </c>
      <c r="N25" s="150">
        <f t="shared" si="27"/>
        <v>45.7079646017699</v>
      </c>
      <c r="O25" s="150">
        <f>IFERROR(IF(A25="UK",8.95/P25,IF(A25="DE",11.43/P25,IF(A25="FR",15.27/P25,IF(A25="IT",16.34/P25,IF(A25="ES",20.62/P25,IF(A25="NL",12/P25,IF(A25="PL",15.06/P25,IF(A25="SE",18.5/P25,IF(A25="BE",15.27/P25))))))))),0)</f>
        <v>0.165740740740741</v>
      </c>
      <c r="P25" s="152">
        <v>54</v>
      </c>
      <c r="Q25" s="121">
        <v>9</v>
      </c>
      <c r="R25" s="170">
        <v>0.2</v>
      </c>
      <c r="S25" s="164">
        <f t="shared" si="28"/>
        <v>0.107181136120043</v>
      </c>
      <c r="T25" s="170">
        <f t="shared" si="29"/>
        <v>0.261724675324675</v>
      </c>
      <c r="U25" s="170">
        <v>0.01</v>
      </c>
      <c r="V25" s="170">
        <f t="shared" si="30"/>
        <v>0.263826635508051</v>
      </c>
      <c r="W25" s="170">
        <f t="shared" si="31"/>
        <v>0.00860990860990861</v>
      </c>
      <c r="X25" s="165">
        <v>0.158</v>
      </c>
      <c r="Y25" s="173">
        <v>3</v>
      </c>
      <c r="Z25" s="173">
        <f>F25*0.18</f>
        <v>5.0382</v>
      </c>
      <c r="AA25" s="173">
        <f t="shared" si="32"/>
        <v>0.1925</v>
      </c>
      <c r="AB25" s="150">
        <f t="shared" si="33"/>
        <v>3.0415</v>
      </c>
      <c r="AC25" s="150">
        <v>46</v>
      </c>
      <c r="AD25" s="174">
        <f t="shared" si="34"/>
        <v>40.7079646017699</v>
      </c>
      <c r="AE25" s="175">
        <f t="shared" si="35"/>
        <v>0.552941176470588</v>
      </c>
      <c r="AF25" s="170">
        <f t="shared" si="36"/>
        <v>0.234966606648023</v>
      </c>
      <c r="AG25" s="170">
        <f t="shared" si="37"/>
        <v>0.0031915796621679</v>
      </c>
      <c r="AH25" s="121">
        <v>5</v>
      </c>
      <c r="AI25" s="122">
        <f>(H25-E25+AB25)/H25</f>
        <v>0.1525631976577</v>
      </c>
      <c r="AJ25" s="170"/>
      <c r="AK25" s="170"/>
      <c r="AL25" s="170"/>
      <c r="AM25" s="170"/>
      <c r="AN25" s="176"/>
      <c r="AO25" s="176"/>
      <c r="AP25" s="176"/>
      <c r="AQ25" s="176"/>
      <c r="AR25" s="176"/>
      <c r="AS25" s="176"/>
      <c r="AT25" s="176" t="s">
        <v>229</v>
      </c>
      <c r="AU25" s="176" t="s">
        <v>229</v>
      </c>
      <c r="AV25" s="176" t="s">
        <v>229</v>
      </c>
      <c r="AW25" s="176" t="s">
        <v>229</v>
      </c>
      <c r="AX25" s="176" t="s">
        <v>229</v>
      </c>
      <c r="AY25" s="176" t="s">
        <v>229</v>
      </c>
      <c r="AZ25" s="176" t="s">
        <v>229</v>
      </c>
      <c r="BA25" s="176" t="s">
        <v>229</v>
      </c>
      <c r="BB25" s="176" t="s">
        <v>229</v>
      </c>
      <c r="BC25" s="176" t="s">
        <v>229</v>
      </c>
      <c r="BD25" s="176" t="s">
        <v>229</v>
      </c>
      <c r="BE25" s="176" t="s">
        <v>229</v>
      </c>
      <c r="BF25" s="176" t="s">
        <v>229</v>
      </c>
      <c r="BG25" s="176" t="s">
        <v>229</v>
      </c>
      <c r="BH25" s="176" t="s">
        <v>229</v>
      </c>
      <c r="BI25" s="176" t="s">
        <v>229</v>
      </c>
      <c r="BJ25" s="176" t="s">
        <v>229</v>
      </c>
      <c r="BK25" s="176" t="s">
        <v>229</v>
      </c>
      <c r="BL25" s="176" t="s">
        <v>229</v>
      </c>
      <c r="BM25" s="176" t="s">
        <v>229</v>
      </c>
      <c r="BN25" s="176" t="s">
        <v>229</v>
      </c>
      <c r="BO25" s="176" t="s">
        <v>229</v>
      </c>
      <c r="BP25" s="176" t="s">
        <v>229</v>
      </c>
      <c r="BQ25" s="176" t="s">
        <v>229</v>
      </c>
      <c r="BR25" s="179" t="e">
        <f>IF(#REF!&lt;E25,1,0)</f>
        <v>#REF!</v>
      </c>
      <c r="BS25" s="152" t="s">
        <v>230</v>
      </c>
    </row>
    <row r="26" ht="15.6" spans="1:71">
      <c r="A26" s="148" t="s">
        <v>127</v>
      </c>
      <c r="B26" s="148" t="s">
        <v>242</v>
      </c>
      <c r="C26" s="148"/>
      <c r="D26" s="149" t="s">
        <v>243</v>
      </c>
      <c r="E26" s="150">
        <v>19.25</v>
      </c>
      <c r="F26" s="151">
        <v>27.99</v>
      </c>
      <c r="G26" s="114">
        <f t="shared" si="0"/>
        <v>21.8322</v>
      </c>
      <c r="H26" s="114">
        <f>(F26-Z26)/1.2</f>
        <v>18.1935</v>
      </c>
      <c r="I26" s="163">
        <f t="shared" si="22"/>
        <v>1.61379652572927</v>
      </c>
      <c r="J26" s="164">
        <f t="shared" si="23"/>
        <v>0.0838335857521698</v>
      </c>
      <c r="K26" s="150">
        <f t="shared" si="24"/>
        <v>23.325</v>
      </c>
      <c r="L26" s="165">
        <f t="shared" si="25"/>
        <v>0.17470525187567</v>
      </c>
      <c r="M26" s="163">
        <f t="shared" si="26"/>
        <v>4.075</v>
      </c>
      <c r="N26" s="150">
        <f t="shared" si="27"/>
        <v>45.7079646017699</v>
      </c>
      <c r="O26" s="150">
        <f>IFERROR(IF(A26="UK",8.95/P26,IF(A26="DE",11.43/P26,IF(A26="FR",15.27/P26,IF(A26="IT",16.34/P26,IF(A26="ES",20.62/P26,IF(A26="NL",12/P26,IF(A26="PL",15.06/P26,IF(A26="SE",18.5/P26,IF(A26="BE",15.27/P26))))))))),0)</f>
        <v>0.165740740740741</v>
      </c>
      <c r="P26" s="152">
        <v>54</v>
      </c>
      <c r="Q26" s="121">
        <v>9</v>
      </c>
      <c r="R26" s="170">
        <v>0.2</v>
      </c>
      <c r="S26" s="164">
        <f t="shared" si="28"/>
        <v>0.107181136120043</v>
      </c>
      <c r="T26" s="170">
        <f t="shared" si="29"/>
        <v>0.319885714285714</v>
      </c>
      <c r="U26" s="170">
        <v>0.01</v>
      </c>
      <c r="V26" s="170">
        <f t="shared" si="30"/>
        <v>0.263826635508051</v>
      </c>
      <c r="W26" s="170">
        <f t="shared" si="31"/>
        <v>0.00860990860990861</v>
      </c>
      <c r="X26" s="165">
        <v>0.158</v>
      </c>
      <c r="Y26" s="173">
        <v>3</v>
      </c>
      <c r="Z26" s="173">
        <f>F26*0.22</f>
        <v>6.1578</v>
      </c>
      <c r="AA26" s="173">
        <f t="shared" si="32"/>
        <v>0.1925</v>
      </c>
      <c r="AB26" s="150">
        <f t="shared" si="33"/>
        <v>3.0415</v>
      </c>
      <c r="AC26" s="150">
        <v>46</v>
      </c>
      <c r="AD26" s="174">
        <f t="shared" si="34"/>
        <v>40.7079646017699</v>
      </c>
      <c r="AE26" s="175">
        <f t="shared" si="35"/>
        <v>0.552941176470588</v>
      </c>
      <c r="AF26" s="170">
        <f t="shared" si="36"/>
        <v>0.234966606648023</v>
      </c>
      <c r="AG26" s="170">
        <f t="shared" si="37"/>
        <v>0.0031915796621679</v>
      </c>
      <c r="AH26" s="121">
        <v>5</v>
      </c>
      <c r="AI26" s="122">
        <f>(H26-E26+AB26)/H26</f>
        <v>0.109104900101685</v>
      </c>
      <c r="AJ26" s="170"/>
      <c r="AK26" s="170"/>
      <c r="AL26" s="170"/>
      <c r="AM26" s="170"/>
      <c r="AN26" s="176"/>
      <c r="AO26" s="176"/>
      <c r="AP26" s="176"/>
      <c r="AQ26" s="176"/>
      <c r="AR26" s="176"/>
      <c r="AS26" s="176"/>
      <c r="AT26" s="176" t="s">
        <v>229</v>
      </c>
      <c r="AU26" s="176" t="s">
        <v>229</v>
      </c>
      <c r="AV26" s="176" t="s">
        <v>229</v>
      </c>
      <c r="AW26" s="176" t="s">
        <v>229</v>
      </c>
      <c r="AX26" s="176" t="s">
        <v>229</v>
      </c>
      <c r="AY26" s="176" t="s">
        <v>229</v>
      </c>
      <c r="AZ26" s="176" t="s">
        <v>229</v>
      </c>
      <c r="BA26" s="176" t="s">
        <v>229</v>
      </c>
      <c r="BB26" s="176" t="s">
        <v>229</v>
      </c>
      <c r="BC26" s="176" t="s">
        <v>229</v>
      </c>
      <c r="BD26" s="176" t="s">
        <v>229</v>
      </c>
      <c r="BE26" s="176" t="s">
        <v>229</v>
      </c>
      <c r="BF26" s="176" t="s">
        <v>229</v>
      </c>
      <c r="BG26" s="176" t="s">
        <v>229</v>
      </c>
      <c r="BH26" s="176" t="s">
        <v>229</v>
      </c>
      <c r="BI26" s="176" t="s">
        <v>229</v>
      </c>
      <c r="BJ26" s="176" t="s">
        <v>229</v>
      </c>
      <c r="BK26" s="176" t="s">
        <v>229</v>
      </c>
      <c r="BL26" s="176" t="s">
        <v>229</v>
      </c>
      <c r="BM26" s="176" t="s">
        <v>229</v>
      </c>
      <c r="BN26" s="176" t="s">
        <v>229</v>
      </c>
      <c r="BO26" s="176" t="s">
        <v>229</v>
      </c>
      <c r="BP26" s="176" t="s">
        <v>229</v>
      </c>
      <c r="BQ26" s="176" t="s">
        <v>229</v>
      </c>
      <c r="BR26" s="179" t="e">
        <f>IF(#REF!&lt;E26,1,0)</f>
        <v>#REF!</v>
      </c>
      <c r="BS26" s="152" t="s">
        <v>230</v>
      </c>
    </row>
    <row r="27" ht="15.6" spans="1:71">
      <c r="A27" s="152" t="s">
        <v>244</v>
      </c>
      <c r="B27" s="148" t="s">
        <v>242</v>
      </c>
      <c r="C27" s="148"/>
      <c r="D27" s="153" t="s">
        <v>245</v>
      </c>
      <c r="E27" s="150">
        <v>19.25</v>
      </c>
      <c r="F27" s="151">
        <v>27.99</v>
      </c>
      <c r="G27" s="114">
        <f t="shared" si="0"/>
        <v>23.79</v>
      </c>
      <c r="H27" s="114">
        <f>(F27-Z27)/1.2</f>
        <v>19.825</v>
      </c>
      <c r="I27" s="163">
        <f t="shared" si="22"/>
        <v>3.56733726647001</v>
      </c>
      <c r="J27" s="164">
        <f t="shared" si="23"/>
        <v>0.185316221634806</v>
      </c>
      <c r="K27" s="150">
        <f t="shared" si="24"/>
        <v>23.325</v>
      </c>
      <c r="L27" s="165">
        <f t="shared" si="25"/>
        <v>0.17470525187567</v>
      </c>
      <c r="M27" s="163">
        <f t="shared" si="26"/>
        <v>4.075</v>
      </c>
      <c r="N27" s="150">
        <f t="shared" si="27"/>
        <v>45.7079646017699</v>
      </c>
      <c r="O27" s="150">
        <v>0.17</v>
      </c>
      <c r="P27" s="152">
        <v>54</v>
      </c>
      <c r="Q27" s="121">
        <v>9</v>
      </c>
      <c r="R27" s="170">
        <v>0.2</v>
      </c>
      <c r="S27" s="164">
        <f t="shared" si="28"/>
        <v>0.107181136120043</v>
      </c>
      <c r="T27" s="170">
        <f t="shared" si="29"/>
        <v>0.218181818181818</v>
      </c>
      <c r="U27" s="170">
        <v>0.01</v>
      </c>
      <c r="V27" s="170">
        <f t="shared" si="30"/>
        <v>0.263826635508051</v>
      </c>
      <c r="W27" s="170">
        <f t="shared" si="31"/>
        <v>0.00883116883116883</v>
      </c>
      <c r="X27" s="165">
        <v>0.158</v>
      </c>
      <c r="Y27" s="173">
        <v>3</v>
      </c>
      <c r="Z27" s="173">
        <v>4.2</v>
      </c>
      <c r="AA27" s="173">
        <f t="shared" si="32"/>
        <v>0.1925</v>
      </c>
      <c r="AB27" s="150">
        <f t="shared" si="33"/>
        <v>3.0415</v>
      </c>
      <c r="AC27" s="150">
        <v>46</v>
      </c>
      <c r="AD27" s="174">
        <f t="shared" si="34"/>
        <v>40.7079646017699</v>
      </c>
      <c r="AE27" s="175">
        <f t="shared" si="35"/>
        <v>0.552941176470588</v>
      </c>
      <c r="AF27" s="170">
        <f t="shared" si="36"/>
        <v>0.234966606648023</v>
      </c>
      <c r="AG27" s="170">
        <f t="shared" si="37"/>
        <v>0.0031915796621679</v>
      </c>
      <c r="AH27" s="121">
        <v>5</v>
      </c>
      <c r="AI27" s="122">
        <f>(H27-E27+AB27)/H27</f>
        <v>0.182421185372005</v>
      </c>
      <c r="AJ27" s="170"/>
      <c r="AK27" s="170"/>
      <c r="AL27" s="170"/>
      <c r="AM27" s="170"/>
      <c r="AN27" s="176"/>
      <c r="AO27" s="176"/>
      <c r="AP27" s="176"/>
      <c r="AQ27" s="176"/>
      <c r="AR27" s="176"/>
      <c r="AS27" s="176"/>
      <c r="AT27" s="176" t="s">
        <v>229</v>
      </c>
      <c r="AU27" s="176" t="s">
        <v>229</v>
      </c>
      <c r="AV27" s="176" t="s">
        <v>229</v>
      </c>
      <c r="AW27" s="176" t="s">
        <v>229</v>
      </c>
      <c r="AX27" s="176" t="s">
        <v>229</v>
      </c>
      <c r="AY27" s="176" t="s">
        <v>229</v>
      </c>
      <c r="AZ27" s="176" t="s">
        <v>229</v>
      </c>
      <c r="BA27" s="176" t="s">
        <v>229</v>
      </c>
      <c r="BB27" s="176" t="s">
        <v>229</v>
      </c>
      <c r="BC27" s="176" t="s">
        <v>229</v>
      </c>
      <c r="BD27" s="176" t="s">
        <v>229</v>
      </c>
      <c r="BE27" s="176" t="s">
        <v>229</v>
      </c>
      <c r="BF27" s="176" t="s">
        <v>229</v>
      </c>
      <c r="BG27" s="176" t="s">
        <v>229</v>
      </c>
      <c r="BH27" s="176" t="s">
        <v>229</v>
      </c>
      <c r="BI27" s="176" t="s">
        <v>229</v>
      </c>
      <c r="BJ27" s="176" t="s">
        <v>229</v>
      </c>
      <c r="BK27" s="176" t="s">
        <v>229</v>
      </c>
      <c r="BL27" s="176" t="s">
        <v>229</v>
      </c>
      <c r="BM27" s="176" t="s">
        <v>229</v>
      </c>
      <c r="BN27" s="176" t="s">
        <v>229</v>
      </c>
      <c r="BO27" s="176" t="s">
        <v>229</v>
      </c>
      <c r="BP27" s="176" t="s">
        <v>229</v>
      </c>
      <c r="BQ27" s="176" t="s">
        <v>229</v>
      </c>
      <c r="BR27" s="179" t="e">
        <f>IF(#REF!&lt;E27,1,0)</f>
        <v>#REF!</v>
      </c>
      <c r="BS27" s="152" t="s">
        <v>230</v>
      </c>
    </row>
    <row r="28" ht="15.6" spans="1:71">
      <c r="A28" s="100" t="s">
        <v>127</v>
      </c>
      <c r="B28" s="100" t="s">
        <v>242</v>
      </c>
      <c r="C28" s="100"/>
      <c r="D28" s="149" t="s">
        <v>248</v>
      </c>
      <c r="E28" s="104">
        <v>17.6</v>
      </c>
      <c r="F28" s="154">
        <v>25.49</v>
      </c>
      <c r="G28" s="114">
        <f t="shared" si="0"/>
        <v>25.49</v>
      </c>
      <c r="H28" s="114">
        <f t="shared" ref="H28:H42" si="38">F28-Z28</f>
        <v>25.49</v>
      </c>
      <c r="I28" s="114">
        <f t="shared" si="22"/>
        <v>6.39879652572927</v>
      </c>
      <c r="J28" s="115">
        <f t="shared" si="23"/>
        <v>0.363567984416436</v>
      </c>
      <c r="K28" s="104">
        <f t="shared" si="24"/>
        <v>21.2416666666667</v>
      </c>
      <c r="L28" s="162">
        <f t="shared" si="25"/>
        <v>0.171439780306002</v>
      </c>
      <c r="M28" s="114">
        <f t="shared" si="26"/>
        <v>3.64166666666667</v>
      </c>
      <c r="N28" s="104">
        <f t="shared" si="27"/>
        <v>45.7079646017699</v>
      </c>
      <c r="O28" s="104">
        <f t="shared" ref="O28:O46" si="39">IFERROR(IF(A28="UK",8.95/P28,IF(A28="DE",11.43/P28,IF(A28="FR",15.27/P28,IF(A28="IT",16.34/P28,IF(A28="ES",20.62/P28,IF(A28="NL",12/P28,IF(A28="PL",15.06/P28,IF(A28="SE",18.5/P28,IF(A28="BE",15.27/P28))))))))),0)</f>
        <v>0.165740740740741</v>
      </c>
      <c r="P28" s="137">
        <v>54</v>
      </c>
      <c r="Q28" s="121">
        <v>9</v>
      </c>
      <c r="R28" s="122">
        <f t="shared" ref="R28:R42" si="40">Y28/E28</f>
        <v>0.170454545454545</v>
      </c>
      <c r="S28" s="115">
        <f t="shared" si="28"/>
        <v>0.117693213024716</v>
      </c>
      <c r="T28" s="169">
        <f t="shared" si="29"/>
        <v>0</v>
      </c>
      <c r="U28" s="122">
        <v>0.01</v>
      </c>
      <c r="V28" s="122">
        <f t="shared" si="30"/>
        <v>0.288560382586931</v>
      </c>
      <c r="W28" s="122">
        <f t="shared" si="31"/>
        <v>0.00941708754208754</v>
      </c>
      <c r="X28" s="116">
        <v>0.158</v>
      </c>
      <c r="Y28" s="173">
        <v>3</v>
      </c>
      <c r="Z28" s="126">
        <v>0</v>
      </c>
      <c r="AA28" s="126">
        <f t="shared" si="32"/>
        <v>0.176</v>
      </c>
      <c r="AB28" s="104">
        <f t="shared" si="33"/>
        <v>2.7808</v>
      </c>
      <c r="AC28" s="104">
        <v>46</v>
      </c>
      <c r="AD28" s="127">
        <f t="shared" si="34"/>
        <v>40.7079646017699</v>
      </c>
      <c r="AE28" s="121">
        <f t="shared" si="35"/>
        <v>0.552941176470588</v>
      </c>
      <c r="AF28" s="122">
        <f t="shared" si="36"/>
        <v>0.256994726021275</v>
      </c>
      <c r="AG28" s="122">
        <f t="shared" si="37"/>
        <v>0.00349079025549614</v>
      </c>
      <c r="AH28" s="121">
        <v>5</v>
      </c>
      <c r="AI28" s="122">
        <f>(K28-E28+AB28)/(K28-Z28)</f>
        <v>0.302352295017654</v>
      </c>
      <c r="AJ28" s="122"/>
      <c r="AK28" s="122"/>
      <c r="AL28" s="122"/>
      <c r="AM28" s="122"/>
      <c r="AN28" s="131"/>
      <c r="AO28" s="131"/>
      <c r="AP28" s="131"/>
      <c r="AQ28" s="131"/>
      <c r="AR28" s="131"/>
      <c r="AS28" s="131"/>
      <c r="AT28" s="131" t="s">
        <v>229</v>
      </c>
      <c r="AU28" s="131" t="s">
        <v>229</v>
      </c>
      <c r="AV28" s="131" t="s">
        <v>229</v>
      </c>
      <c r="AW28" s="131" t="s">
        <v>229</v>
      </c>
      <c r="AX28" s="131" t="s">
        <v>229</v>
      </c>
      <c r="AY28" s="131" t="s">
        <v>229</v>
      </c>
      <c r="AZ28" s="131" t="s">
        <v>229</v>
      </c>
      <c r="BA28" s="131" t="s">
        <v>229</v>
      </c>
      <c r="BB28" s="131" t="s">
        <v>229</v>
      </c>
      <c r="BC28" s="131" t="s">
        <v>229</v>
      </c>
      <c r="BD28" s="131" t="s">
        <v>229</v>
      </c>
      <c r="BE28" s="131" t="s">
        <v>229</v>
      </c>
      <c r="BF28" s="131" t="s">
        <v>229</v>
      </c>
      <c r="BG28" s="131" t="s">
        <v>229</v>
      </c>
      <c r="BH28" s="131" t="s">
        <v>229</v>
      </c>
      <c r="BI28" s="131" t="s">
        <v>229</v>
      </c>
      <c r="BJ28" s="131" t="s">
        <v>229</v>
      </c>
      <c r="BK28" s="131" t="s">
        <v>229</v>
      </c>
      <c r="BL28" s="131" t="s">
        <v>229</v>
      </c>
      <c r="BM28" s="131" t="s">
        <v>229</v>
      </c>
      <c r="BN28" s="131" t="s">
        <v>229</v>
      </c>
      <c r="BO28" s="131" t="s">
        <v>229</v>
      </c>
      <c r="BP28" s="131" t="s">
        <v>229</v>
      </c>
      <c r="BQ28" s="131" t="s">
        <v>229</v>
      </c>
      <c r="BR28" s="138" t="e">
        <f>IF(#REF!&lt;E28,1,0)</f>
        <v>#REF!</v>
      </c>
      <c r="BS28" s="137" t="s">
        <v>230</v>
      </c>
    </row>
    <row r="29" ht="15.6" spans="1:71">
      <c r="A29" s="137" t="s">
        <v>127</v>
      </c>
      <c r="B29" s="100" t="s">
        <v>242</v>
      </c>
      <c r="C29" s="100"/>
      <c r="D29" s="149" t="s">
        <v>249</v>
      </c>
      <c r="E29" s="104">
        <v>17.6</v>
      </c>
      <c r="F29" s="154">
        <v>25.49</v>
      </c>
      <c r="G29" s="114">
        <f t="shared" si="0"/>
        <v>22.941</v>
      </c>
      <c r="H29" s="114">
        <f t="shared" si="38"/>
        <v>22.941</v>
      </c>
      <c r="I29" s="114">
        <f t="shared" si="22"/>
        <v>3.84979652572927</v>
      </c>
      <c r="J29" s="115">
        <f t="shared" si="23"/>
        <v>0.21873843896189</v>
      </c>
      <c r="K29" s="104">
        <f t="shared" si="24"/>
        <v>21.2416666666667</v>
      </c>
      <c r="L29" s="162">
        <f t="shared" si="25"/>
        <v>0.171439780306002</v>
      </c>
      <c r="M29" s="114">
        <f t="shared" si="26"/>
        <v>3.64166666666667</v>
      </c>
      <c r="N29" s="104">
        <f t="shared" si="27"/>
        <v>45.7079646017699</v>
      </c>
      <c r="O29" s="104">
        <f t="shared" si="39"/>
        <v>0.165740740740741</v>
      </c>
      <c r="P29" s="137">
        <v>54</v>
      </c>
      <c r="Q29" s="121">
        <v>9</v>
      </c>
      <c r="R29" s="122">
        <f t="shared" si="40"/>
        <v>0.170454545454545</v>
      </c>
      <c r="S29" s="115">
        <f t="shared" si="28"/>
        <v>0.117693213024716</v>
      </c>
      <c r="T29" s="169">
        <f t="shared" si="29"/>
        <v>0.144829545454545</v>
      </c>
      <c r="U29" s="122">
        <v>0.01</v>
      </c>
      <c r="V29" s="122">
        <f t="shared" si="30"/>
        <v>0.288560382586931</v>
      </c>
      <c r="W29" s="122">
        <f t="shared" si="31"/>
        <v>0.00941708754208754</v>
      </c>
      <c r="X29" s="116">
        <v>0.158</v>
      </c>
      <c r="Y29" s="173">
        <v>3</v>
      </c>
      <c r="Z29" s="126">
        <f>F29*0.1</f>
        <v>2.549</v>
      </c>
      <c r="AA29" s="126">
        <f t="shared" si="32"/>
        <v>0.176</v>
      </c>
      <c r="AB29" s="104">
        <f t="shared" si="33"/>
        <v>2.7808</v>
      </c>
      <c r="AC29" s="104">
        <v>46</v>
      </c>
      <c r="AD29" s="127">
        <f t="shared" si="34"/>
        <v>40.7079646017699</v>
      </c>
      <c r="AE29" s="121">
        <f t="shared" si="35"/>
        <v>0.552941176470588</v>
      </c>
      <c r="AF29" s="122">
        <f t="shared" si="36"/>
        <v>0.256994726021275</v>
      </c>
      <c r="AG29" s="122">
        <f t="shared" si="37"/>
        <v>0.00349079025549614</v>
      </c>
      <c r="AH29" s="121">
        <v>5</v>
      </c>
      <c r="AI29" s="122">
        <f>(K29-E29+AB29)/(K29-Z29)</f>
        <v>0.343582153429152</v>
      </c>
      <c r="AJ29" s="122"/>
      <c r="AK29" s="122"/>
      <c r="AL29" s="122"/>
      <c r="AM29" s="122"/>
      <c r="AN29" s="131"/>
      <c r="AO29" s="131"/>
      <c r="AP29" s="131"/>
      <c r="AQ29" s="131"/>
      <c r="AR29" s="131"/>
      <c r="AS29" s="131"/>
      <c r="AT29" s="131" t="s">
        <v>229</v>
      </c>
      <c r="AU29" s="131" t="s">
        <v>229</v>
      </c>
      <c r="AV29" s="131" t="s">
        <v>229</v>
      </c>
      <c r="AW29" s="131" t="s">
        <v>229</v>
      </c>
      <c r="AX29" s="131" t="s">
        <v>229</v>
      </c>
      <c r="AY29" s="131" t="s">
        <v>229</v>
      </c>
      <c r="AZ29" s="131" t="s">
        <v>229</v>
      </c>
      <c r="BA29" s="131" t="s">
        <v>229</v>
      </c>
      <c r="BB29" s="131" t="s">
        <v>229</v>
      </c>
      <c r="BC29" s="131" t="s">
        <v>229</v>
      </c>
      <c r="BD29" s="131" t="s">
        <v>229</v>
      </c>
      <c r="BE29" s="131" t="s">
        <v>229</v>
      </c>
      <c r="BF29" s="131" t="s">
        <v>229</v>
      </c>
      <c r="BG29" s="131" t="s">
        <v>229</v>
      </c>
      <c r="BH29" s="131" t="s">
        <v>229</v>
      </c>
      <c r="BI29" s="131" t="s">
        <v>229</v>
      </c>
      <c r="BJ29" s="131" t="s">
        <v>229</v>
      </c>
      <c r="BK29" s="131" t="s">
        <v>229</v>
      </c>
      <c r="BL29" s="131" t="s">
        <v>229</v>
      </c>
      <c r="BM29" s="131" t="s">
        <v>229</v>
      </c>
      <c r="BN29" s="131" t="s">
        <v>229</v>
      </c>
      <c r="BO29" s="131" t="s">
        <v>229</v>
      </c>
      <c r="BP29" s="131" t="s">
        <v>229</v>
      </c>
      <c r="BQ29" s="131" t="s">
        <v>229</v>
      </c>
      <c r="BR29" s="138" t="e">
        <f>IF(#REF!&lt;E29,1,0)</f>
        <v>#REF!</v>
      </c>
      <c r="BS29" s="137" t="s">
        <v>230</v>
      </c>
    </row>
    <row r="30" ht="15.6" spans="1:71">
      <c r="A30" s="100" t="s">
        <v>127</v>
      </c>
      <c r="B30" s="100" t="s">
        <v>242</v>
      </c>
      <c r="C30" s="100"/>
      <c r="D30" s="149" t="s">
        <v>250</v>
      </c>
      <c r="E30" s="104">
        <v>17.6</v>
      </c>
      <c r="F30" s="154">
        <v>25.49</v>
      </c>
      <c r="G30" s="114">
        <f t="shared" si="0"/>
        <v>20.392</v>
      </c>
      <c r="H30" s="114">
        <f t="shared" si="38"/>
        <v>20.392</v>
      </c>
      <c r="I30" s="114">
        <f t="shared" si="22"/>
        <v>1.30079652572927</v>
      </c>
      <c r="J30" s="115">
        <f t="shared" si="23"/>
        <v>0.0739088935073449</v>
      </c>
      <c r="K30" s="104">
        <f t="shared" si="24"/>
        <v>21.2416666666667</v>
      </c>
      <c r="L30" s="162">
        <f t="shared" si="25"/>
        <v>0.171439780306002</v>
      </c>
      <c r="M30" s="114">
        <f t="shared" si="26"/>
        <v>3.64166666666667</v>
      </c>
      <c r="N30" s="104">
        <f t="shared" si="27"/>
        <v>45.7079646017699</v>
      </c>
      <c r="O30" s="104">
        <f t="shared" si="39"/>
        <v>0.165740740740741</v>
      </c>
      <c r="P30" s="137">
        <v>54</v>
      </c>
      <c r="Q30" s="121">
        <v>9</v>
      </c>
      <c r="R30" s="122">
        <f t="shared" si="40"/>
        <v>0.170454545454545</v>
      </c>
      <c r="S30" s="115">
        <f t="shared" si="28"/>
        <v>0.117693213024716</v>
      </c>
      <c r="T30" s="169">
        <f t="shared" si="29"/>
        <v>0.289659090909091</v>
      </c>
      <c r="U30" s="122">
        <v>0.01</v>
      </c>
      <c r="V30" s="122">
        <f t="shared" si="30"/>
        <v>0.288560382586931</v>
      </c>
      <c r="W30" s="122">
        <f t="shared" si="31"/>
        <v>0.00941708754208754</v>
      </c>
      <c r="X30" s="116">
        <v>0.158</v>
      </c>
      <c r="Y30" s="173">
        <v>3</v>
      </c>
      <c r="Z30" s="126">
        <f>F30*0.2</f>
        <v>5.098</v>
      </c>
      <c r="AA30" s="126">
        <f t="shared" si="32"/>
        <v>0.176</v>
      </c>
      <c r="AB30" s="104">
        <f t="shared" si="33"/>
        <v>2.7808</v>
      </c>
      <c r="AC30" s="104">
        <v>46</v>
      </c>
      <c r="AD30" s="127">
        <f t="shared" si="34"/>
        <v>40.7079646017699</v>
      </c>
      <c r="AE30" s="121">
        <f t="shared" si="35"/>
        <v>0.552941176470588</v>
      </c>
      <c r="AF30" s="122">
        <f t="shared" si="36"/>
        <v>0.256994726021275</v>
      </c>
      <c r="AG30" s="122">
        <f t="shared" si="37"/>
        <v>0.00349079025549614</v>
      </c>
      <c r="AH30" s="121">
        <v>5</v>
      </c>
      <c r="AI30" s="122">
        <f>(K30-E30+AB30)/(K30-Z30)</f>
        <v>0.397831967128492</v>
      </c>
      <c r="AJ30" s="122"/>
      <c r="AK30" s="122"/>
      <c r="AL30" s="122"/>
      <c r="AM30" s="122"/>
      <c r="AN30" s="131"/>
      <c r="AO30" s="131"/>
      <c r="AP30" s="131"/>
      <c r="AQ30" s="131"/>
      <c r="AR30" s="131"/>
      <c r="AS30" s="131"/>
      <c r="AT30" s="131" t="s">
        <v>229</v>
      </c>
      <c r="AU30" s="131" t="s">
        <v>229</v>
      </c>
      <c r="AV30" s="131" t="s">
        <v>229</v>
      </c>
      <c r="AW30" s="131" t="s">
        <v>229</v>
      </c>
      <c r="AX30" s="131" t="s">
        <v>229</v>
      </c>
      <c r="AY30" s="131" t="s">
        <v>229</v>
      </c>
      <c r="AZ30" s="131" t="s">
        <v>229</v>
      </c>
      <c r="BA30" s="131" t="s">
        <v>229</v>
      </c>
      <c r="BB30" s="131" t="s">
        <v>229</v>
      </c>
      <c r="BC30" s="131" t="s">
        <v>229</v>
      </c>
      <c r="BD30" s="131" t="s">
        <v>229</v>
      </c>
      <c r="BE30" s="131" t="s">
        <v>229</v>
      </c>
      <c r="BF30" s="131" t="s">
        <v>229</v>
      </c>
      <c r="BG30" s="131" t="s">
        <v>229</v>
      </c>
      <c r="BH30" s="131" t="s">
        <v>229</v>
      </c>
      <c r="BI30" s="131" t="s">
        <v>229</v>
      </c>
      <c r="BJ30" s="131" t="s">
        <v>229</v>
      </c>
      <c r="BK30" s="131" t="s">
        <v>229</v>
      </c>
      <c r="BL30" s="131" t="s">
        <v>229</v>
      </c>
      <c r="BM30" s="131" t="s">
        <v>229</v>
      </c>
      <c r="BN30" s="131" t="s">
        <v>229</v>
      </c>
      <c r="BO30" s="131" t="s">
        <v>229</v>
      </c>
      <c r="BP30" s="131" t="s">
        <v>229</v>
      </c>
      <c r="BQ30" s="131" t="s">
        <v>229</v>
      </c>
      <c r="BR30" s="138" t="e">
        <f>IF(#REF!&lt;E30,1,0)</f>
        <v>#REF!</v>
      </c>
      <c r="BS30" s="137" t="s">
        <v>230</v>
      </c>
    </row>
    <row r="31" ht="15.6" spans="1:71">
      <c r="A31" s="100" t="s">
        <v>107</v>
      </c>
      <c r="B31" s="100" t="s">
        <v>251</v>
      </c>
      <c r="C31" s="100"/>
      <c r="D31" s="149" t="s">
        <v>248</v>
      </c>
      <c r="E31" s="104">
        <v>17.25</v>
      </c>
      <c r="F31" s="105">
        <v>24.99</v>
      </c>
      <c r="G31" s="114">
        <f t="shared" si="0"/>
        <v>24.99</v>
      </c>
      <c r="H31" s="114">
        <f t="shared" si="38"/>
        <v>24.99</v>
      </c>
      <c r="I31" s="114">
        <f t="shared" si="22"/>
        <v>4.33395636012118</v>
      </c>
      <c r="J31" s="115">
        <f t="shared" si="23"/>
        <v>0.251243846963547</v>
      </c>
      <c r="K31" s="104">
        <f t="shared" si="24"/>
        <v>20.825</v>
      </c>
      <c r="L31" s="162">
        <f t="shared" si="25"/>
        <v>0.171668667466987</v>
      </c>
      <c r="M31" s="114">
        <f t="shared" si="26"/>
        <v>3.575</v>
      </c>
      <c r="N31" s="104">
        <f t="shared" si="27"/>
        <v>45.7079646017699</v>
      </c>
      <c r="O31" s="104">
        <f t="shared" si="39"/>
        <v>0.211666666666667</v>
      </c>
      <c r="P31" s="100">
        <v>54</v>
      </c>
      <c r="Q31" s="121">
        <v>7.4</v>
      </c>
      <c r="R31" s="122">
        <f t="shared" si="40"/>
        <v>0.173913043478261</v>
      </c>
      <c r="S31" s="115">
        <f t="shared" si="28"/>
        <v>0.120048019207683</v>
      </c>
      <c r="T31" s="122">
        <f t="shared" si="29"/>
        <v>0</v>
      </c>
      <c r="U31" s="122">
        <v>0.01</v>
      </c>
      <c r="V31" s="122">
        <f t="shared" si="30"/>
        <v>0.358072578157226</v>
      </c>
      <c r="W31" s="122">
        <f t="shared" si="31"/>
        <v>0.0122705314009662</v>
      </c>
      <c r="X31" s="116">
        <v>0.1945</v>
      </c>
      <c r="Y31" s="173">
        <v>3</v>
      </c>
      <c r="Z31" s="126">
        <v>0</v>
      </c>
      <c r="AA31" s="126">
        <f t="shared" si="32"/>
        <v>0.1725</v>
      </c>
      <c r="AB31" s="104">
        <f t="shared" si="33"/>
        <v>3.355125</v>
      </c>
      <c r="AC31" s="104">
        <v>46</v>
      </c>
      <c r="AD31" s="127">
        <f t="shared" si="34"/>
        <v>40.7079646017699</v>
      </c>
      <c r="AE31" s="121">
        <f t="shared" ref="AE31:AE46" si="41">4.1/7.4</f>
        <v>0.554054054054054</v>
      </c>
      <c r="AF31" s="122">
        <f t="shared" si="36"/>
        <v>0.31890297377023</v>
      </c>
      <c r="AG31" s="122">
        <f t="shared" si="37"/>
        <v>0.00434041562126168</v>
      </c>
      <c r="AH31" s="121">
        <v>5</v>
      </c>
      <c r="AI31" s="122">
        <f t="shared" ref="AI31:AI46" si="42">(K31-E31+AB31-Z31)/K31</f>
        <v>0.332779111644658</v>
      </c>
      <c r="AJ31" s="122"/>
      <c r="AK31" s="122"/>
      <c r="AL31" s="122"/>
      <c r="AM31" s="122"/>
      <c r="AN31" s="131"/>
      <c r="AO31" s="131"/>
      <c r="AP31" s="131"/>
      <c r="AQ31" s="131"/>
      <c r="AR31" s="131"/>
      <c r="AS31" s="131"/>
      <c r="AT31" s="131" t="s">
        <v>229</v>
      </c>
      <c r="AU31" s="131" t="s">
        <v>229</v>
      </c>
      <c r="AV31" s="131" t="s">
        <v>229</v>
      </c>
      <c r="AW31" s="131" t="s">
        <v>229</v>
      </c>
      <c r="AX31" s="131" t="s">
        <v>229</v>
      </c>
      <c r="AY31" s="131" t="s">
        <v>229</v>
      </c>
      <c r="AZ31" s="131" t="s">
        <v>229</v>
      </c>
      <c r="BA31" s="131" t="s">
        <v>229</v>
      </c>
      <c r="BB31" s="131" t="s">
        <v>229</v>
      </c>
      <c r="BC31" s="131" t="s">
        <v>229</v>
      </c>
      <c r="BD31" s="131" t="s">
        <v>229</v>
      </c>
      <c r="BE31" s="131" t="s">
        <v>229</v>
      </c>
      <c r="BF31" s="131" t="s">
        <v>229</v>
      </c>
      <c r="BG31" s="131" t="s">
        <v>229</v>
      </c>
      <c r="BH31" s="131" t="s">
        <v>229</v>
      </c>
      <c r="BI31" s="131" t="s">
        <v>229</v>
      </c>
      <c r="BJ31" s="131" t="s">
        <v>229</v>
      </c>
      <c r="BK31" s="131" t="s">
        <v>229</v>
      </c>
      <c r="BL31" s="131" t="s">
        <v>229</v>
      </c>
      <c r="BM31" s="131" t="s">
        <v>229</v>
      </c>
      <c r="BN31" s="131" t="s">
        <v>229</v>
      </c>
      <c r="BO31" s="131" t="s">
        <v>229</v>
      </c>
      <c r="BP31" s="131" t="s">
        <v>229</v>
      </c>
      <c r="BQ31" s="131" t="s">
        <v>229</v>
      </c>
      <c r="BR31" s="138" t="e">
        <f>IF(#REF!&lt;E31,1,0)</f>
        <v>#REF!</v>
      </c>
      <c r="BS31" s="137" t="s">
        <v>230</v>
      </c>
    </row>
    <row r="32" ht="15.6" spans="1:71">
      <c r="A32" s="100" t="s">
        <v>107</v>
      </c>
      <c r="B32" s="100" t="s">
        <v>251</v>
      </c>
      <c r="C32" s="100"/>
      <c r="D32" s="149" t="s">
        <v>249</v>
      </c>
      <c r="E32" s="104">
        <v>17.25</v>
      </c>
      <c r="F32" s="105">
        <v>24.99</v>
      </c>
      <c r="G32" s="114">
        <f t="shared" si="0"/>
        <v>22.491</v>
      </c>
      <c r="H32" s="114">
        <f t="shared" si="38"/>
        <v>22.491</v>
      </c>
      <c r="I32" s="114">
        <f t="shared" si="22"/>
        <v>1.83495636012118</v>
      </c>
      <c r="J32" s="115">
        <f t="shared" si="23"/>
        <v>0.106374281746155</v>
      </c>
      <c r="K32" s="104">
        <f t="shared" si="24"/>
        <v>20.825</v>
      </c>
      <c r="L32" s="162">
        <f t="shared" si="25"/>
        <v>0.171668667466987</v>
      </c>
      <c r="M32" s="114">
        <f t="shared" si="26"/>
        <v>3.575</v>
      </c>
      <c r="N32" s="104">
        <f t="shared" si="27"/>
        <v>45.7079646017699</v>
      </c>
      <c r="O32" s="104">
        <f t="shared" si="39"/>
        <v>0.211666666666667</v>
      </c>
      <c r="P32" s="100">
        <v>54</v>
      </c>
      <c r="Q32" s="121">
        <v>7.4</v>
      </c>
      <c r="R32" s="122">
        <f t="shared" si="40"/>
        <v>0.173913043478261</v>
      </c>
      <c r="S32" s="115">
        <f t="shared" si="28"/>
        <v>0.120048019207683</v>
      </c>
      <c r="T32" s="122">
        <f t="shared" si="29"/>
        <v>0.144869565217391</v>
      </c>
      <c r="U32" s="122">
        <v>0.01</v>
      </c>
      <c r="V32" s="122">
        <f t="shared" si="30"/>
        <v>0.358072578157226</v>
      </c>
      <c r="W32" s="122">
        <f t="shared" si="31"/>
        <v>0.0122705314009662</v>
      </c>
      <c r="X32" s="116">
        <v>0.1945</v>
      </c>
      <c r="Y32" s="173">
        <v>3</v>
      </c>
      <c r="Z32" s="126">
        <f>F32*0.1</f>
        <v>2.499</v>
      </c>
      <c r="AA32" s="126">
        <f t="shared" si="32"/>
        <v>0.1725</v>
      </c>
      <c r="AB32" s="104">
        <f t="shared" si="33"/>
        <v>3.355125</v>
      </c>
      <c r="AC32" s="104">
        <v>46</v>
      </c>
      <c r="AD32" s="127">
        <f t="shared" si="34"/>
        <v>40.7079646017699</v>
      </c>
      <c r="AE32" s="121">
        <f t="shared" si="41"/>
        <v>0.554054054054054</v>
      </c>
      <c r="AF32" s="122">
        <f t="shared" si="36"/>
        <v>0.31890297377023</v>
      </c>
      <c r="AG32" s="122">
        <f t="shared" si="37"/>
        <v>0.00434041562126168</v>
      </c>
      <c r="AH32" s="121">
        <v>5</v>
      </c>
      <c r="AI32" s="122">
        <f t="shared" si="42"/>
        <v>0.212779111644658</v>
      </c>
      <c r="AJ32" s="122"/>
      <c r="AK32" s="122"/>
      <c r="AL32" s="122"/>
      <c r="AM32" s="122"/>
      <c r="AN32" s="131"/>
      <c r="AO32" s="131"/>
      <c r="AP32" s="131"/>
      <c r="AQ32" s="131"/>
      <c r="AR32" s="131"/>
      <c r="AS32" s="131"/>
      <c r="AT32" s="131" t="s">
        <v>229</v>
      </c>
      <c r="AU32" s="131" t="s">
        <v>229</v>
      </c>
      <c r="AV32" s="131" t="s">
        <v>229</v>
      </c>
      <c r="AW32" s="131" t="s">
        <v>229</v>
      </c>
      <c r="AX32" s="131" t="s">
        <v>229</v>
      </c>
      <c r="AY32" s="131" t="s">
        <v>229</v>
      </c>
      <c r="AZ32" s="131" t="s">
        <v>229</v>
      </c>
      <c r="BA32" s="131" t="s">
        <v>229</v>
      </c>
      <c r="BB32" s="131" t="s">
        <v>229</v>
      </c>
      <c r="BC32" s="131" t="s">
        <v>229</v>
      </c>
      <c r="BD32" s="131" t="s">
        <v>229</v>
      </c>
      <c r="BE32" s="131" t="s">
        <v>229</v>
      </c>
      <c r="BF32" s="131" t="s">
        <v>229</v>
      </c>
      <c r="BG32" s="131" t="s">
        <v>229</v>
      </c>
      <c r="BH32" s="131" t="s">
        <v>229</v>
      </c>
      <c r="BI32" s="131" t="s">
        <v>229</v>
      </c>
      <c r="BJ32" s="131" t="s">
        <v>229</v>
      </c>
      <c r="BK32" s="131" t="s">
        <v>229</v>
      </c>
      <c r="BL32" s="131" t="s">
        <v>229</v>
      </c>
      <c r="BM32" s="131" t="s">
        <v>229</v>
      </c>
      <c r="BN32" s="131" t="s">
        <v>229</v>
      </c>
      <c r="BO32" s="131" t="s">
        <v>229</v>
      </c>
      <c r="BP32" s="131" t="s">
        <v>229</v>
      </c>
      <c r="BQ32" s="131" t="s">
        <v>229</v>
      </c>
      <c r="BR32" s="138" t="e">
        <f>IF(E32&lt;#REF!,1,0)</f>
        <v>#REF!</v>
      </c>
      <c r="BS32" s="137" t="s">
        <v>230</v>
      </c>
    </row>
    <row r="33" ht="15.6" spans="1:71">
      <c r="A33" s="100" t="s">
        <v>107</v>
      </c>
      <c r="B33" s="100" t="s">
        <v>251</v>
      </c>
      <c r="C33" s="100"/>
      <c r="D33" s="149" t="s">
        <v>250</v>
      </c>
      <c r="E33" s="104">
        <v>17.25</v>
      </c>
      <c r="F33" s="105">
        <v>24.99</v>
      </c>
      <c r="G33" s="114">
        <f t="shared" si="0"/>
        <v>21.2415</v>
      </c>
      <c r="H33" s="114">
        <f t="shared" si="38"/>
        <v>21.2415</v>
      </c>
      <c r="I33" s="114">
        <f t="shared" si="22"/>
        <v>0.585456360121183</v>
      </c>
      <c r="J33" s="115">
        <f t="shared" si="23"/>
        <v>0.0339394991374599</v>
      </c>
      <c r="K33" s="104">
        <f t="shared" si="24"/>
        <v>20.825</v>
      </c>
      <c r="L33" s="162">
        <f t="shared" si="25"/>
        <v>0.171668667466987</v>
      </c>
      <c r="M33" s="114">
        <f t="shared" si="26"/>
        <v>3.575</v>
      </c>
      <c r="N33" s="104">
        <f t="shared" si="27"/>
        <v>45.7079646017699</v>
      </c>
      <c r="O33" s="104">
        <f t="shared" si="39"/>
        <v>0.211666666666667</v>
      </c>
      <c r="P33" s="100">
        <v>54</v>
      </c>
      <c r="Q33" s="121">
        <v>7.4</v>
      </c>
      <c r="R33" s="122">
        <f t="shared" si="40"/>
        <v>0.173913043478261</v>
      </c>
      <c r="S33" s="115">
        <f t="shared" si="28"/>
        <v>0.120048019207683</v>
      </c>
      <c r="T33" s="122">
        <f t="shared" si="29"/>
        <v>0.217304347826087</v>
      </c>
      <c r="U33" s="122">
        <v>0.01</v>
      </c>
      <c r="V33" s="122">
        <f t="shared" si="30"/>
        <v>0.358072578157226</v>
      </c>
      <c r="W33" s="122">
        <f t="shared" si="31"/>
        <v>0.0122705314009662</v>
      </c>
      <c r="X33" s="116">
        <v>0.1945</v>
      </c>
      <c r="Y33" s="173">
        <v>3</v>
      </c>
      <c r="Z33" s="126">
        <f>F33*0.15</f>
        <v>3.7485</v>
      </c>
      <c r="AA33" s="126">
        <f t="shared" si="32"/>
        <v>0.1725</v>
      </c>
      <c r="AB33" s="104">
        <f t="shared" si="33"/>
        <v>3.355125</v>
      </c>
      <c r="AC33" s="104">
        <v>46</v>
      </c>
      <c r="AD33" s="127">
        <f t="shared" si="34"/>
        <v>40.7079646017699</v>
      </c>
      <c r="AE33" s="121">
        <f t="shared" si="41"/>
        <v>0.554054054054054</v>
      </c>
      <c r="AF33" s="122">
        <f t="shared" si="36"/>
        <v>0.31890297377023</v>
      </c>
      <c r="AG33" s="122">
        <f t="shared" si="37"/>
        <v>0.00434041562126168</v>
      </c>
      <c r="AH33" s="121">
        <v>5</v>
      </c>
      <c r="AI33" s="122">
        <f t="shared" si="42"/>
        <v>0.152779111644658</v>
      </c>
      <c r="AJ33" s="122"/>
      <c r="AK33" s="122"/>
      <c r="AL33" s="122"/>
      <c r="AM33" s="122"/>
      <c r="AN33" s="131"/>
      <c r="AO33" s="131"/>
      <c r="AP33" s="131"/>
      <c r="AQ33" s="131"/>
      <c r="AR33" s="131"/>
      <c r="AS33" s="131"/>
      <c r="AT33" s="131" t="s">
        <v>229</v>
      </c>
      <c r="AU33" s="131" t="s">
        <v>229</v>
      </c>
      <c r="AV33" s="131" t="s">
        <v>229</v>
      </c>
      <c r="AW33" s="131" t="s">
        <v>229</v>
      </c>
      <c r="AX33" s="131" t="s">
        <v>229</v>
      </c>
      <c r="AY33" s="131" t="s">
        <v>229</v>
      </c>
      <c r="AZ33" s="131" t="s">
        <v>229</v>
      </c>
      <c r="BA33" s="131" t="s">
        <v>229</v>
      </c>
      <c r="BB33" s="131" t="s">
        <v>229</v>
      </c>
      <c r="BC33" s="131" t="s">
        <v>229</v>
      </c>
      <c r="BD33" s="131" t="s">
        <v>229</v>
      </c>
      <c r="BE33" s="131" t="s">
        <v>229</v>
      </c>
      <c r="BF33" s="131" t="s">
        <v>229</v>
      </c>
      <c r="BG33" s="131" t="s">
        <v>229</v>
      </c>
      <c r="BH33" s="131" t="s">
        <v>229</v>
      </c>
      <c r="BI33" s="131" t="s">
        <v>229</v>
      </c>
      <c r="BJ33" s="131" t="s">
        <v>229</v>
      </c>
      <c r="BK33" s="131" t="s">
        <v>229</v>
      </c>
      <c r="BL33" s="131" t="s">
        <v>229</v>
      </c>
      <c r="BM33" s="131" t="s">
        <v>229</v>
      </c>
      <c r="BN33" s="131" t="s">
        <v>229</v>
      </c>
      <c r="BO33" s="131" t="s">
        <v>229</v>
      </c>
      <c r="BP33" s="131" t="s">
        <v>229</v>
      </c>
      <c r="BQ33" s="131" t="s">
        <v>229</v>
      </c>
      <c r="BR33" s="138" t="e">
        <f>IF(E33&lt;#REF!,1,0)</f>
        <v>#REF!</v>
      </c>
      <c r="BS33" s="137" t="s">
        <v>230</v>
      </c>
    </row>
    <row r="34" ht="15.6" spans="1:71">
      <c r="A34" s="100" t="s">
        <v>119</v>
      </c>
      <c r="B34" s="100" t="s">
        <v>251</v>
      </c>
      <c r="C34" s="100"/>
      <c r="D34" s="155" t="s">
        <v>248</v>
      </c>
      <c r="E34" s="104">
        <v>17.25</v>
      </c>
      <c r="F34" s="105">
        <v>24.99</v>
      </c>
      <c r="G34" s="114">
        <f t="shared" si="0"/>
        <v>24.99</v>
      </c>
      <c r="H34" s="114">
        <f t="shared" si="38"/>
        <v>24.99</v>
      </c>
      <c r="I34" s="114">
        <f t="shared" si="22"/>
        <v>3.77122024901007</v>
      </c>
      <c r="J34" s="115">
        <f t="shared" si="23"/>
        <v>0.218621463710729</v>
      </c>
      <c r="K34" s="104">
        <f t="shared" si="24"/>
        <v>20.825</v>
      </c>
      <c r="L34" s="162">
        <f t="shared" si="25"/>
        <v>0.171668667466987</v>
      </c>
      <c r="M34" s="114">
        <f t="shared" si="26"/>
        <v>3.575</v>
      </c>
      <c r="N34" s="104">
        <f t="shared" si="27"/>
        <v>45.7079646017699</v>
      </c>
      <c r="O34" s="104">
        <f t="shared" si="39"/>
        <v>0.282777777777778</v>
      </c>
      <c r="P34" s="100">
        <v>54</v>
      </c>
      <c r="Q34" s="121">
        <v>7.4</v>
      </c>
      <c r="R34" s="122">
        <f t="shared" si="40"/>
        <v>0.173913043478261</v>
      </c>
      <c r="S34" s="115">
        <f t="shared" si="28"/>
        <v>0.120048019207683</v>
      </c>
      <c r="T34" s="122">
        <f t="shared" si="29"/>
        <v>0</v>
      </c>
      <c r="U34" s="122">
        <v>0.01</v>
      </c>
      <c r="V34" s="122">
        <f t="shared" si="30"/>
        <v>0.358072578157226</v>
      </c>
      <c r="W34" s="122">
        <f t="shared" si="31"/>
        <v>0.0163929146537842</v>
      </c>
      <c r="X34" s="116">
        <v>0.223</v>
      </c>
      <c r="Y34" s="173">
        <v>3</v>
      </c>
      <c r="Z34" s="126">
        <v>0</v>
      </c>
      <c r="AA34" s="126">
        <f t="shared" si="32"/>
        <v>0.1725</v>
      </c>
      <c r="AB34" s="104">
        <f t="shared" si="33"/>
        <v>3.84675</v>
      </c>
      <c r="AC34" s="104">
        <v>46</v>
      </c>
      <c r="AD34" s="127">
        <f t="shared" si="34"/>
        <v>40.7079646017699</v>
      </c>
      <c r="AE34" s="121">
        <f t="shared" si="41"/>
        <v>0.554054054054054</v>
      </c>
      <c r="AF34" s="122">
        <f t="shared" si="36"/>
        <v>0.31890297377023</v>
      </c>
      <c r="AG34" s="122">
        <f t="shared" si="37"/>
        <v>0.00434041562126168</v>
      </c>
      <c r="AH34" s="121">
        <v>5</v>
      </c>
      <c r="AI34" s="122">
        <f t="shared" si="42"/>
        <v>0.356386554621849</v>
      </c>
      <c r="AJ34" s="122"/>
      <c r="AK34" s="122"/>
      <c r="AL34" s="122"/>
      <c r="AM34" s="122"/>
      <c r="AN34" s="131"/>
      <c r="AO34" s="131"/>
      <c r="AP34" s="131"/>
      <c r="AQ34" s="131"/>
      <c r="AR34" s="131"/>
      <c r="AS34" s="131"/>
      <c r="AT34" s="131" t="s">
        <v>229</v>
      </c>
      <c r="AU34" s="131" t="s">
        <v>229</v>
      </c>
      <c r="AV34" s="131" t="s">
        <v>229</v>
      </c>
      <c r="AW34" s="131" t="s">
        <v>229</v>
      </c>
      <c r="AX34" s="131" t="s">
        <v>229</v>
      </c>
      <c r="AY34" s="131" t="s">
        <v>229</v>
      </c>
      <c r="AZ34" s="131" t="s">
        <v>229</v>
      </c>
      <c r="BA34" s="131" t="s">
        <v>229</v>
      </c>
      <c r="BB34" s="131" t="s">
        <v>229</v>
      </c>
      <c r="BC34" s="131" t="s">
        <v>229</v>
      </c>
      <c r="BD34" s="131" t="s">
        <v>229</v>
      </c>
      <c r="BE34" s="131" t="s">
        <v>229</v>
      </c>
      <c r="BF34" s="131" t="s">
        <v>229</v>
      </c>
      <c r="BG34" s="131" t="s">
        <v>229</v>
      </c>
      <c r="BH34" s="131" t="s">
        <v>229</v>
      </c>
      <c r="BI34" s="131" t="s">
        <v>229</v>
      </c>
      <c r="BJ34" s="131" t="s">
        <v>229</v>
      </c>
      <c r="BK34" s="131" t="s">
        <v>229</v>
      </c>
      <c r="BL34" s="131" t="s">
        <v>229</v>
      </c>
      <c r="BM34" s="131" t="s">
        <v>229</v>
      </c>
      <c r="BN34" s="131" t="s">
        <v>229</v>
      </c>
      <c r="BO34" s="131" t="s">
        <v>229</v>
      </c>
      <c r="BP34" s="131" t="s">
        <v>229</v>
      </c>
      <c r="BQ34" s="131" t="s">
        <v>229</v>
      </c>
      <c r="BR34" s="138" t="e">
        <f>IF(#REF!&lt;E34,1,0)</f>
        <v>#REF!</v>
      </c>
      <c r="BS34" s="137" t="s">
        <v>230</v>
      </c>
    </row>
    <row r="35" ht="15.6" spans="1:71">
      <c r="A35" s="100" t="s">
        <v>119</v>
      </c>
      <c r="B35" s="100" t="s">
        <v>251</v>
      </c>
      <c r="C35" s="100"/>
      <c r="D35" s="155" t="s">
        <v>249</v>
      </c>
      <c r="E35" s="104">
        <v>17.25</v>
      </c>
      <c r="F35" s="105">
        <v>24.99</v>
      </c>
      <c r="G35" s="114">
        <f t="shared" si="0"/>
        <v>22.491</v>
      </c>
      <c r="H35" s="114">
        <f t="shared" si="38"/>
        <v>22.491</v>
      </c>
      <c r="I35" s="114">
        <f t="shared" si="22"/>
        <v>1.27222024901007</v>
      </c>
      <c r="J35" s="115">
        <f t="shared" si="23"/>
        <v>0.0737518984933375</v>
      </c>
      <c r="K35" s="104">
        <f t="shared" si="24"/>
        <v>20.825</v>
      </c>
      <c r="L35" s="162">
        <f t="shared" si="25"/>
        <v>0.171668667466987</v>
      </c>
      <c r="M35" s="114">
        <f t="shared" si="26"/>
        <v>3.575</v>
      </c>
      <c r="N35" s="104">
        <f t="shared" si="27"/>
        <v>45.7079646017699</v>
      </c>
      <c r="O35" s="104">
        <f t="shared" si="39"/>
        <v>0.282777777777778</v>
      </c>
      <c r="P35" s="100">
        <v>54</v>
      </c>
      <c r="Q35" s="121">
        <v>7.4</v>
      </c>
      <c r="R35" s="122">
        <f t="shared" si="40"/>
        <v>0.173913043478261</v>
      </c>
      <c r="S35" s="115">
        <f t="shared" si="28"/>
        <v>0.120048019207683</v>
      </c>
      <c r="T35" s="122">
        <f t="shared" si="29"/>
        <v>0.144869565217391</v>
      </c>
      <c r="U35" s="122">
        <v>0.01</v>
      </c>
      <c r="V35" s="122">
        <f t="shared" si="30"/>
        <v>0.358072578157226</v>
      </c>
      <c r="W35" s="122">
        <f t="shared" si="31"/>
        <v>0.0163929146537842</v>
      </c>
      <c r="X35" s="116">
        <v>0.223</v>
      </c>
      <c r="Y35" s="173">
        <v>3</v>
      </c>
      <c r="Z35" s="126">
        <f>F35*0.1</f>
        <v>2.499</v>
      </c>
      <c r="AA35" s="126">
        <f t="shared" si="32"/>
        <v>0.1725</v>
      </c>
      <c r="AB35" s="104">
        <f t="shared" si="33"/>
        <v>3.84675</v>
      </c>
      <c r="AC35" s="104">
        <v>46</v>
      </c>
      <c r="AD35" s="127">
        <f t="shared" si="34"/>
        <v>40.7079646017699</v>
      </c>
      <c r="AE35" s="121">
        <f t="shared" si="41"/>
        <v>0.554054054054054</v>
      </c>
      <c r="AF35" s="122">
        <f t="shared" si="36"/>
        <v>0.31890297377023</v>
      </c>
      <c r="AG35" s="122">
        <f t="shared" si="37"/>
        <v>0.00434041562126168</v>
      </c>
      <c r="AH35" s="121">
        <v>5</v>
      </c>
      <c r="AI35" s="122">
        <f t="shared" si="42"/>
        <v>0.236386554621849</v>
      </c>
      <c r="AJ35" s="122"/>
      <c r="AK35" s="122"/>
      <c r="AL35" s="122"/>
      <c r="AM35" s="122"/>
      <c r="AN35" s="131"/>
      <c r="AO35" s="131"/>
      <c r="AP35" s="131"/>
      <c r="AQ35" s="131"/>
      <c r="AR35" s="131"/>
      <c r="AS35" s="131"/>
      <c r="AT35" s="131" t="s">
        <v>229</v>
      </c>
      <c r="AU35" s="131" t="s">
        <v>229</v>
      </c>
      <c r="AV35" s="131" t="s">
        <v>229</v>
      </c>
      <c r="AW35" s="131" t="s">
        <v>229</v>
      </c>
      <c r="AX35" s="131" t="s">
        <v>229</v>
      </c>
      <c r="AY35" s="131" t="s">
        <v>229</v>
      </c>
      <c r="AZ35" s="131" t="s">
        <v>229</v>
      </c>
      <c r="BA35" s="131" t="s">
        <v>229</v>
      </c>
      <c r="BB35" s="131" t="s">
        <v>229</v>
      </c>
      <c r="BC35" s="131" t="s">
        <v>229</v>
      </c>
      <c r="BD35" s="131" t="s">
        <v>229</v>
      </c>
      <c r="BE35" s="131" t="s">
        <v>229</v>
      </c>
      <c r="BF35" s="131" t="s">
        <v>229</v>
      </c>
      <c r="BG35" s="131" t="s">
        <v>229</v>
      </c>
      <c r="BH35" s="131" t="s">
        <v>229</v>
      </c>
      <c r="BI35" s="131" t="s">
        <v>229</v>
      </c>
      <c r="BJ35" s="131" t="s">
        <v>229</v>
      </c>
      <c r="BK35" s="131" t="s">
        <v>229</v>
      </c>
      <c r="BL35" s="131" t="s">
        <v>229</v>
      </c>
      <c r="BM35" s="131" t="s">
        <v>229</v>
      </c>
      <c r="BN35" s="131" t="s">
        <v>229</v>
      </c>
      <c r="BO35" s="131" t="s">
        <v>229</v>
      </c>
      <c r="BP35" s="131" t="s">
        <v>229</v>
      </c>
      <c r="BQ35" s="131" t="s">
        <v>229</v>
      </c>
      <c r="BR35" s="138" t="e">
        <f>IF(E35&lt;#REF!,1,0)</f>
        <v>#REF!</v>
      </c>
      <c r="BS35" s="137" t="s">
        <v>230</v>
      </c>
    </row>
    <row r="36" ht="15.6" spans="1:71">
      <c r="A36" s="100" t="s">
        <v>119</v>
      </c>
      <c r="B36" s="100" t="s">
        <v>251</v>
      </c>
      <c r="C36" s="100"/>
      <c r="D36" s="155" t="s">
        <v>250</v>
      </c>
      <c r="E36" s="104">
        <v>17.25</v>
      </c>
      <c r="F36" s="105">
        <v>24.99</v>
      </c>
      <c r="G36" s="114">
        <f t="shared" si="0"/>
        <v>21.2415</v>
      </c>
      <c r="H36" s="114">
        <f t="shared" si="38"/>
        <v>21.2415</v>
      </c>
      <c r="I36" s="114">
        <f t="shared" si="22"/>
        <v>0.0227202490100725</v>
      </c>
      <c r="J36" s="115">
        <f t="shared" si="23"/>
        <v>0.00131711588464188</v>
      </c>
      <c r="K36" s="104">
        <f t="shared" si="24"/>
        <v>20.825</v>
      </c>
      <c r="L36" s="162">
        <f t="shared" si="25"/>
        <v>0.171668667466987</v>
      </c>
      <c r="M36" s="114">
        <f t="shared" si="26"/>
        <v>3.575</v>
      </c>
      <c r="N36" s="104">
        <f t="shared" si="27"/>
        <v>45.7079646017699</v>
      </c>
      <c r="O36" s="104">
        <f t="shared" si="39"/>
        <v>0.282777777777778</v>
      </c>
      <c r="P36" s="100">
        <v>54</v>
      </c>
      <c r="Q36" s="121">
        <v>7.4</v>
      </c>
      <c r="R36" s="122">
        <f t="shared" si="40"/>
        <v>0.173913043478261</v>
      </c>
      <c r="S36" s="115">
        <f t="shared" si="28"/>
        <v>0.120048019207683</v>
      </c>
      <c r="T36" s="122">
        <f t="shared" si="29"/>
        <v>0.217304347826087</v>
      </c>
      <c r="U36" s="122">
        <v>0.01</v>
      </c>
      <c r="V36" s="122">
        <f t="shared" si="30"/>
        <v>0.358072578157226</v>
      </c>
      <c r="W36" s="122">
        <f t="shared" si="31"/>
        <v>0.0163929146537842</v>
      </c>
      <c r="X36" s="116">
        <v>0.223</v>
      </c>
      <c r="Y36" s="173">
        <v>3</v>
      </c>
      <c r="Z36" s="126">
        <f>F36*0.15</f>
        <v>3.7485</v>
      </c>
      <c r="AA36" s="126">
        <f t="shared" si="32"/>
        <v>0.1725</v>
      </c>
      <c r="AB36" s="104">
        <f t="shared" si="33"/>
        <v>3.84675</v>
      </c>
      <c r="AC36" s="104">
        <v>46</v>
      </c>
      <c r="AD36" s="127">
        <f t="shared" si="34"/>
        <v>40.7079646017699</v>
      </c>
      <c r="AE36" s="121">
        <f t="shared" si="41"/>
        <v>0.554054054054054</v>
      </c>
      <c r="AF36" s="122">
        <f t="shared" si="36"/>
        <v>0.31890297377023</v>
      </c>
      <c r="AG36" s="122">
        <f t="shared" si="37"/>
        <v>0.00434041562126168</v>
      </c>
      <c r="AH36" s="121">
        <v>5</v>
      </c>
      <c r="AI36" s="122">
        <f t="shared" si="42"/>
        <v>0.176386554621849</v>
      </c>
      <c r="AJ36" s="122"/>
      <c r="AK36" s="122"/>
      <c r="AL36" s="122"/>
      <c r="AM36" s="122"/>
      <c r="AN36" s="131"/>
      <c r="AO36" s="131"/>
      <c r="AP36" s="131"/>
      <c r="AQ36" s="131"/>
      <c r="AR36" s="131"/>
      <c r="AS36" s="131"/>
      <c r="AT36" s="131" t="s">
        <v>229</v>
      </c>
      <c r="AU36" s="131" t="s">
        <v>229</v>
      </c>
      <c r="AV36" s="131" t="s">
        <v>229</v>
      </c>
      <c r="AW36" s="131" t="s">
        <v>229</v>
      </c>
      <c r="AX36" s="131" t="s">
        <v>229</v>
      </c>
      <c r="AY36" s="131" t="s">
        <v>229</v>
      </c>
      <c r="AZ36" s="131" t="s">
        <v>229</v>
      </c>
      <c r="BA36" s="131" t="s">
        <v>229</v>
      </c>
      <c r="BB36" s="131" t="s">
        <v>229</v>
      </c>
      <c r="BC36" s="131" t="s">
        <v>229</v>
      </c>
      <c r="BD36" s="131" t="s">
        <v>229</v>
      </c>
      <c r="BE36" s="131" t="s">
        <v>229</v>
      </c>
      <c r="BF36" s="131" t="s">
        <v>229</v>
      </c>
      <c r="BG36" s="131" t="s">
        <v>229</v>
      </c>
      <c r="BH36" s="131" t="s">
        <v>229</v>
      </c>
      <c r="BI36" s="131" t="s">
        <v>229</v>
      </c>
      <c r="BJ36" s="131" t="s">
        <v>229</v>
      </c>
      <c r="BK36" s="131" t="s">
        <v>229</v>
      </c>
      <c r="BL36" s="131" t="s">
        <v>229</v>
      </c>
      <c r="BM36" s="131" t="s">
        <v>229</v>
      </c>
      <c r="BN36" s="131" t="s">
        <v>229</v>
      </c>
      <c r="BO36" s="131" t="s">
        <v>229</v>
      </c>
      <c r="BP36" s="131" t="s">
        <v>229</v>
      </c>
      <c r="BQ36" s="131" t="s">
        <v>229</v>
      </c>
      <c r="BR36" s="138" t="e">
        <f>IF(E36&lt;#REF!,1,0)</f>
        <v>#REF!</v>
      </c>
      <c r="BS36" s="137" t="s">
        <v>230</v>
      </c>
    </row>
    <row r="37" ht="15.6" spans="1:71">
      <c r="A37" s="100" t="s">
        <v>121</v>
      </c>
      <c r="B37" s="100" t="s">
        <v>251</v>
      </c>
      <c r="C37" s="100"/>
      <c r="D37" s="155" t="s">
        <v>248</v>
      </c>
      <c r="E37" s="104">
        <v>17.25</v>
      </c>
      <c r="F37" s="105">
        <v>24.99</v>
      </c>
      <c r="G37" s="114">
        <f t="shared" si="0"/>
        <v>24.99</v>
      </c>
      <c r="H37" s="114">
        <f t="shared" si="38"/>
        <v>24.99</v>
      </c>
      <c r="I37" s="114">
        <f t="shared" si="22"/>
        <v>3.98255543419526</v>
      </c>
      <c r="J37" s="115">
        <f t="shared" si="23"/>
        <v>0.230872778793928</v>
      </c>
      <c r="K37" s="104">
        <f t="shared" si="24"/>
        <v>20.825</v>
      </c>
      <c r="L37" s="162">
        <f t="shared" si="25"/>
        <v>0.171668667466987</v>
      </c>
      <c r="M37" s="114">
        <f t="shared" si="26"/>
        <v>3.575</v>
      </c>
      <c r="N37" s="104">
        <f t="shared" si="27"/>
        <v>45.7079646017699</v>
      </c>
      <c r="O37" s="104">
        <f t="shared" si="39"/>
        <v>0.302592592592593</v>
      </c>
      <c r="P37" s="100">
        <v>54</v>
      </c>
      <c r="Q37" s="121">
        <v>7.4</v>
      </c>
      <c r="R37" s="122">
        <f t="shared" si="40"/>
        <v>0.173913043478261</v>
      </c>
      <c r="S37" s="115">
        <f t="shared" si="28"/>
        <v>0.120048019207683</v>
      </c>
      <c r="T37" s="122">
        <f t="shared" si="29"/>
        <v>0</v>
      </c>
      <c r="U37" s="122">
        <v>0.01</v>
      </c>
      <c r="V37" s="122">
        <f t="shared" si="30"/>
        <v>0.358072578157226</v>
      </c>
      <c r="W37" s="122">
        <f t="shared" si="31"/>
        <v>0.0175415995705851</v>
      </c>
      <c r="X37" s="116">
        <v>0.2096</v>
      </c>
      <c r="Y37" s="173">
        <v>3</v>
      </c>
      <c r="Z37" s="126">
        <v>0</v>
      </c>
      <c r="AA37" s="126">
        <f t="shared" si="32"/>
        <v>0.1725</v>
      </c>
      <c r="AB37" s="104">
        <f t="shared" si="33"/>
        <v>3.6156</v>
      </c>
      <c r="AC37" s="104">
        <v>46</v>
      </c>
      <c r="AD37" s="127">
        <f t="shared" si="34"/>
        <v>40.7079646017699</v>
      </c>
      <c r="AE37" s="121">
        <f t="shared" si="41"/>
        <v>0.554054054054054</v>
      </c>
      <c r="AF37" s="122">
        <f t="shared" si="36"/>
        <v>0.31890297377023</v>
      </c>
      <c r="AG37" s="122">
        <f t="shared" si="37"/>
        <v>0.00434041562126168</v>
      </c>
      <c r="AH37" s="121">
        <v>5</v>
      </c>
      <c r="AI37" s="122">
        <f t="shared" si="42"/>
        <v>0.345286914765906</v>
      </c>
      <c r="AJ37" s="122"/>
      <c r="AK37" s="122"/>
      <c r="AL37" s="122"/>
      <c r="AM37" s="122"/>
      <c r="AN37" s="131"/>
      <c r="AO37" s="131"/>
      <c r="AP37" s="131"/>
      <c r="AQ37" s="131"/>
      <c r="AR37" s="131"/>
      <c r="AS37" s="131"/>
      <c r="AT37" s="131" t="s">
        <v>229</v>
      </c>
      <c r="AU37" s="131" t="s">
        <v>229</v>
      </c>
      <c r="AV37" s="131" t="s">
        <v>229</v>
      </c>
      <c r="AW37" s="131" t="s">
        <v>229</v>
      </c>
      <c r="AX37" s="131" t="s">
        <v>229</v>
      </c>
      <c r="AY37" s="131" t="s">
        <v>229</v>
      </c>
      <c r="AZ37" s="131" t="s">
        <v>229</v>
      </c>
      <c r="BA37" s="131" t="s">
        <v>229</v>
      </c>
      <c r="BB37" s="131" t="s">
        <v>229</v>
      </c>
      <c r="BC37" s="131" t="s">
        <v>229</v>
      </c>
      <c r="BD37" s="131" t="s">
        <v>229</v>
      </c>
      <c r="BE37" s="131" t="s">
        <v>229</v>
      </c>
      <c r="BF37" s="131" t="s">
        <v>229</v>
      </c>
      <c r="BG37" s="131" t="s">
        <v>229</v>
      </c>
      <c r="BH37" s="131" t="s">
        <v>229</v>
      </c>
      <c r="BI37" s="131" t="s">
        <v>229</v>
      </c>
      <c r="BJ37" s="131" t="s">
        <v>229</v>
      </c>
      <c r="BK37" s="131" t="s">
        <v>229</v>
      </c>
      <c r="BL37" s="131" t="s">
        <v>229</v>
      </c>
      <c r="BM37" s="131" t="s">
        <v>229</v>
      </c>
      <c r="BN37" s="131" t="s">
        <v>229</v>
      </c>
      <c r="BO37" s="131" t="s">
        <v>229</v>
      </c>
      <c r="BP37" s="131" t="s">
        <v>229</v>
      </c>
      <c r="BQ37" s="131" t="s">
        <v>229</v>
      </c>
      <c r="BR37" s="138" t="e">
        <f>IF(#REF!&lt;E37,1,0)</f>
        <v>#REF!</v>
      </c>
      <c r="BS37" s="137" t="s">
        <v>230</v>
      </c>
    </row>
    <row r="38" ht="15.6" spans="1:71">
      <c r="A38" s="100" t="s">
        <v>121</v>
      </c>
      <c r="B38" s="100" t="s">
        <v>251</v>
      </c>
      <c r="C38" s="100"/>
      <c r="D38" s="155" t="s">
        <v>249</v>
      </c>
      <c r="E38" s="104">
        <v>17.25</v>
      </c>
      <c r="F38" s="105">
        <v>24.99</v>
      </c>
      <c r="G38" s="114">
        <f t="shared" si="0"/>
        <v>22.491</v>
      </c>
      <c r="H38" s="114">
        <f t="shared" si="38"/>
        <v>22.491</v>
      </c>
      <c r="I38" s="114">
        <f t="shared" si="22"/>
        <v>1.48355543419526</v>
      </c>
      <c r="J38" s="115">
        <f t="shared" si="23"/>
        <v>0.0860032135765366</v>
      </c>
      <c r="K38" s="104">
        <f t="shared" si="24"/>
        <v>20.825</v>
      </c>
      <c r="L38" s="162">
        <f t="shared" si="25"/>
        <v>0.171668667466987</v>
      </c>
      <c r="M38" s="114">
        <f t="shared" si="26"/>
        <v>3.575</v>
      </c>
      <c r="N38" s="104">
        <f t="shared" si="27"/>
        <v>45.7079646017699</v>
      </c>
      <c r="O38" s="104">
        <f t="shared" si="39"/>
        <v>0.302592592592593</v>
      </c>
      <c r="P38" s="100">
        <v>54</v>
      </c>
      <c r="Q38" s="121">
        <v>7.4</v>
      </c>
      <c r="R38" s="122">
        <f t="shared" si="40"/>
        <v>0.173913043478261</v>
      </c>
      <c r="S38" s="115">
        <f t="shared" si="28"/>
        <v>0.120048019207683</v>
      </c>
      <c r="T38" s="122">
        <f t="shared" si="29"/>
        <v>0.144869565217391</v>
      </c>
      <c r="U38" s="122">
        <v>0.01</v>
      </c>
      <c r="V38" s="122">
        <f t="shared" si="30"/>
        <v>0.358072578157226</v>
      </c>
      <c r="W38" s="122">
        <f t="shared" si="31"/>
        <v>0.0175415995705851</v>
      </c>
      <c r="X38" s="116">
        <v>0.2096</v>
      </c>
      <c r="Y38" s="173">
        <v>3</v>
      </c>
      <c r="Z38" s="126">
        <f>F38*0.1</f>
        <v>2.499</v>
      </c>
      <c r="AA38" s="126">
        <f t="shared" si="32"/>
        <v>0.1725</v>
      </c>
      <c r="AB38" s="104">
        <f t="shared" si="33"/>
        <v>3.6156</v>
      </c>
      <c r="AC38" s="104">
        <v>46</v>
      </c>
      <c r="AD38" s="127">
        <f t="shared" si="34"/>
        <v>40.7079646017699</v>
      </c>
      <c r="AE38" s="121">
        <f t="shared" si="41"/>
        <v>0.554054054054054</v>
      </c>
      <c r="AF38" s="122">
        <f t="shared" si="36"/>
        <v>0.31890297377023</v>
      </c>
      <c r="AG38" s="122">
        <f t="shared" si="37"/>
        <v>0.00434041562126168</v>
      </c>
      <c r="AH38" s="121">
        <v>5</v>
      </c>
      <c r="AI38" s="122">
        <f t="shared" si="42"/>
        <v>0.225286914765906</v>
      </c>
      <c r="AJ38" s="122"/>
      <c r="AK38" s="122"/>
      <c r="AL38" s="122"/>
      <c r="AM38" s="122"/>
      <c r="AN38" s="131"/>
      <c r="AO38" s="131"/>
      <c r="AP38" s="131"/>
      <c r="AQ38" s="131"/>
      <c r="AR38" s="131"/>
      <c r="AS38" s="131"/>
      <c r="AT38" s="131" t="s">
        <v>229</v>
      </c>
      <c r="AU38" s="131" t="s">
        <v>229</v>
      </c>
      <c r="AV38" s="131" t="s">
        <v>229</v>
      </c>
      <c r="AW38" s="131" t="s">
        <v>229</v>
      </c>
      <c r="AX38" s="131" t="s">
        <v>229</v>
      </c>
      <c r="AY38" s="131" t="s">
        <v>229</v>
      </c>
      <c r="AZ38" s="131" t="s">
        <v>229</v>
      </c>
      <c r="BA38" s="131" t="s">
        <v>229</v>
      </c>
      <c r="BB38" s="131" t="s">
        <v>229</v>
      </c>
      <c r="BC38" s="131" t="s">
        <v>229</v>
      </c>
      <c r="BD38" s="131" t="s">
        <v>229</v>
      </c>
      <c r="BE38" s="131" t="s">
        <v>229</v>
      </c>
      <c r="BF38" s="131" t="s">
        <v>229</v>
      </c>
      <c r="BG38" s="131" t="s">
        <v>229</v>
      </c>
      <c r="BH38" s="131" t="s">
        <v>229</v>
      </c>
      <c r="BI38" s="131" t="s">
        <v>229</v>
      </c>
      <c r="BJ38" s="131" t="s">
        <v>229</v>
      </c>
      <c r="BK38" s="131" t="s">
        <v>229</v>
      </c>
      <c r="BL38" s="131" t="s">
        <v>229</v>
      </c>
      <c r="BM38" s="131" t="s">
        <v>229</v>
      </c>
      <c r="BN38" s="131" t="s">
        <v>229</v>
      </c>
      <c r="BO38" s="131" t="s">
        <v>229</v>
      </c>
      <c r="BP38" s="131" t="s">
        <v>229</v>
      </c>
      <c r="BQ38" s="131" t="s">
        <v>229</v>
      </c>
      <c r="BR38" s="138" t="e">
        <f>IF(E38&lt;#REF!,1,0)</f>
        <v>#REF!</v>
      </c>
      <c r="BS38" s="137" t="s">
        <v>230</v>
      </c>
    </row>
    <row r="39" ht="15.6" spans="1:71">
      <c r="A39" s="100" t="s">
        <v>121</v>
      </c>
      <c r="B39" s="100" t="s">
        <v>251</v>
      </c>
      <c r="C39" s="100"/>
      <c r="D39" s="155" t="s">
        <v>250</v>
      </c>
      <c r="E39" s="104">
        <v>17.25</v>
      </c>
      <c r="F39" s="105">
        <v>24.99</v>
      </c>
      <c r="G39" s="114">
        <f t="shared" si="0"/>
        <v>21.2415</v>
      </c>
      <c r="H39" s="114">
        <f t="shared" si="38"/>
        <v>21.2415</v>
      </c>
      <c r="I39" s="114">
        <f t="shared" si="22"/>
        <v>0.234055434195257</v>
      </c>
      <c r="J39" s="115">
        <f t="shared" si="23"/>
        <v>0.013568430967841</v>
      </c>
      <c r="K39" s="104">
        <f t="shared" si="24"/>
        <v>20.825</v>
      </c>
      <c r="L39" s="162">
        <f t="shared" si="25"/>
        <v>0.171668667466987</v>
      </c>
      <c r="M39" s="114">
        <f t="shared" si="26"/>
        <v>3.575</v>
      </c>
      <c r="N39" s="104">
        <f t="shared" si="27"/>
        <v>45.7079646017699</v>
      </c>
      <c r="O39" s="104">
        <f t="shared" si="39"/>
        <v>0.302592592592593</v>
      </c>
      <c r="P39" s="100">
        <v>54</v>
      </c>
      <c r="Q39" s="121">
        <v>7.4</v>
      </c>
      <c r="R39" s="122">
        <f t="shared" si="40"/>
        <v>0.173913043478261</v>
      </c>
      <c r="S39" s="115">
        <f t="shared" si="28"/>
        <v>0.120048019207683</v>
      </c>
      <c r="T39" s="122">
        <f t="shared" si="29"/>
        <v>0.217304347826087</v>
      </c>
      <c r="U39" s="122">
        <v>0.01</v>
      </c>
      <c r="V39" s="122">
        <f t="shared" si="30"/>
        <v>0.358072578157226</v>
      </c>
      <c r="W39" s="122">
        <f t="shared" si="31"/>
        <v>0.0175415995705851</v>
      </c>
      <c r="X39" s="116">
        <v>0.2096</v>
      </c>
      <c r="Y39" s="173">
        <v>3</v>
      </c>
      <c r="Z39" s="126">
        <f>F39*0.15</f>
        <v>3.7485</v>
      </c>
      <c r="AA39" s="126">
        <f t="shared" si="32"/>
        <v>0.1725</v>
      </c>
      <c r="AB39" s="104">
        <f t="shared" si="33"/>
        <v>3.6156</v>
      </c>
      <c r="AC39" s="104">
        <v>46</v>
      </c>
      <c r="AD39" s="127">
        <f t="shared" si="34"/>
        <v>40.7079646017699</v>
      </c>
      <c r="AE39" s="121">
        <f t="shared" si="41"/>
        <v>0.554054054054054</v>
      </c>
      <c r="AF39" s="122">
        <f t="shared" si="36"/>
        <v>0.31890297377023</v>
      </c>
      <c r="AG39" s="122">
        <f t="shared" si="37"/>
        <v>0.00434041562126168</v>
      </c>
      <c r="AH39" s="121">
        <v>5</v>
      </c>
      <c r="AI39" s="122">
        <f t="shared" si="42"/>
        <v>0.165286914765906</v>
      </c>
      <c r="AJ39" s="122"/>
      <c r="AK39" s="122"/>
      <c r="AL39" s="122"/>
      <c r="AM39" s="122"/>
      <c r="AN39" s="131"/>
      <c r="AO39" s="131"/>
      <c r="AP39" s="131"/>
      <c r="AQ39" s="131"/>
      <c r="AR39" s="131"/>
      <c r="AS39" s="131"/>
      <c r="AT39" s="131" t="s">
        <v>229</v>
      </c>
      <c r="AU39" s="131" t="s">
        <v>229</v>
      </c>
      <c r="AV39" s="131" t="s">
        <v>229</v>
      </c>
      <c r="AW39" s="131" t="s">
        <v>229</v>
      </c>
      <c r="AX39" s="131" t="s">
        <v>229</v>
      </c>
      <c r="AY39" s="131" t="s">
        <v>229</v>
      </c>
      <c r="AZ39" s="131" t="s">
        <v>229</v>
      </c>
      <c r="BA39" s="131" t="s">
        <v>229</v>
      </c>
      <c r="BB39" s="131" t="s">
        <v>229</v>
      </c>
      <c r="BC39" s="131" t="s">
        <v>229</v>
      </c>
      <c r="BD39" s="131" t="s">
        <v>229</v>
      </c>
      <c r="BE39" s="131" t="s">
        <v>229</v>
      </c>
      <c r="BF39" s="131" t="s">
        <v>229</v>
      </c>
      <c r="BG39" s="131" t="s">
        <v>229</v>
      </c>
      <c r="BH39" s="131" t="s">
        <v>229</v>
      </c>
      <c r="BI39" s="131" t="s">
        <v>229</v>
      </c>
      <c r="BJ39" s="131" t="s">
        <v>229</v>
      </c>
      <c r="BK39" s="131" t="s">
        <v>229</v>
      </c>
      <c r="BL39" s="131" t="s">
        <v>229</v>
      </c>
      <c r="BM39" s="131" t="s">
        <v>229</v>
      </c>
      <c r="BN39" s="131" t="s">
        <v>229</v>
      </c>
      <c r="BO39" s="131" t="s">
        <v>229</v>
      </c>
      <c r="BP39" s="131" t="s">
        <v>229</v>
      </c>
      <c r="BQ39" s="131" t="s">
        <v>229</v>
      </c>
      <c r="BR39" s="138" t="e">
        <f>IF(E39&lt;#REF!,1,0)</f>
        <v>#REF!</v>
      </c>
      <c r="BS39" s="137" t="s">
        <v>230</v>
      </c>
    </row>
    <row r="40" ht="15.6" spans="1:71">
      <c r="A40" s="100" t="s">
        <v>124</v>
      </c>
      <c r="B40" s="100" t="s">
        <v>251</v>
      </c>
      <c r="C40" s="100"/>
      <c r="D40" s="155" t="s">
        <v>248</v>
      </c>
      <c r="E40" s="104">
        <v>17.25</v>
      </c>
      <c r="F40" s="105">
        <v>24.99</v>
      </c>
      <c r="G40" s="114">
        <f t="shared" si="0"/>
        <v>24.99</v>
      </c>
      <c r="H40" s="114">
        <f t="shared" si="38"/>
        <v>24.99</v>
      </c>
      <c r="I40" s="114">
        <f t="shared" si="22"/>
        <v>4.248296174936</v>
      </c>
      <c r="J40" s="115">
        <f t="shared" si="23"/>
        <v>0.246278039126724</v>
      </c>
      <c r="K40" s="104">
        <f t="shared" si="24"/>
        <v>20.825</v>
      </c>
      <c r="L40" s="162">
        <f t="shared" si="25"/>
        <v>0.171668667466987</v>
      </c>
      <c r="M40" s="114">
        <f t="shared" si="26"/>
        <v>3.575</v>
      </c>
      <c r="N40" s="104">
        <f t="shared" si="27"/>
        <v>45.7079646017699</v>
      </c>
      <c r="O40" s="104">
        <f t="shared" si="39"/>
        <v>0.381851851851852</v>
      </c>
      <c r="P40" s="100">
        <v>54</v>
      </c>
      <c r="Q40" s="121">
        <v>7.4</v>
      </c>
      <c r="R40" s="122">
        <f t="shared" si="40"/>
        <v>0.173913043478261</v>
      </c>
      <c r="S40" s="115">
        <f t="shared" si="28"/>
        <v>0.120048019207683</v>
      </c>
      <c r="T40" s="122">
        <f t="shared" si="29"/>
        <v>0</v>
      </c>
      <c r="U40" s="122">
        <v>0.01</v>
      </c>
      <c r="V40" s="122">
        <f t="shared" si="30"/>
        <v>0.358072578157226</v>
      </c>
      <c r="W40" s="122">
        <f t="shared" si="31"/>
        <v>0.0221363392377885</v>
      </c>
      <c r="X40" s="116">
        <v>0.1896</v>
      </c>
      <c r="Y40" s="173">
        <v>3</v>
      </c>
      <c r="Z40" s="126">
        <v>0</v>
      </c>
      <c r="AA40" s="126">
        <f t="shared" si="32"/>
        <v>0.1725</v>
      </c>
      <c r="AB40" s="104">
        <f t="shared" si="33"/>
        <v>3.2706</v>
      </c>
      <c r="AC40" s="104">
        <v>46</v>
      </c>
      <c r="AD40" s="127">
        <f t="shared" si="34"/>
        <v>40.7079646017699</v>
      </c>
      <c r="AE40" s="121">
        <f t="shared" si="41"/>
        <v>0.554054054054054</v>
      </c>
      <c r="AF40" s="122">
        <f t="shared" si="36"/>
        <v>0.31890297377023</v>
      </c>
      <c r="AG40" s="122">
        <f t="shared" si="37"/>
        <v>0.00434041562126168</v>
      </c>
      <c r="AH40" s="121">
        <v>5</v>
      </c>
      <c r="AI40" s="122">
        <f t="shared" si="42"/>
        <v>0.328720288115246</v>
      </c>
      <c r="AJ40" s="122"/>
      <c r="AK40" s="122"/>
      <c r="AL40" s="122"/>
      <c r="AM40" s="122"/>
      <c r="AN40" s="131"/>
      <c r="AO40" s="131"/>
      <c r="AP40" s="131"/>
      <c r="AQ40" s="131"/>
      <c r="AR40" s="131"/>
      <c r="AS40" s="131"/>
      <c r="AT40" s="131" t="s">
        <v>229</v>
      </c>
      <c r="AU40" s="131" t="s">
        <v>229</v>
      </c>
      <c r="AV40" s="131" t="s">
        <v>229</v>
      </c>
      <c r="AW40" s="131" t="s">
        <v>229</v>
      </c>
      <c r="AX40" s="131" t="s">
        <v>229</v>
      </c>
      <c r="AY40" s="131" t="s">
        <v>229</v>
      </c>
      <c r="AZ40" s="131" t="s">
        <v>229</v>
      </c>
      <c r="BA40" s="131" t="s">
        <v>229</v>
      </c>
      <c r="BB40" s="131" t="s">
        <v>229</v>
      </c>
      <c r="BC40" s="131" t="s">
        <v>229</v>
      </c>
      <c r="BD40" s="131" t="s">
        <v>229</v>
      </c>
      <c r="BE40" s="131" t="s">
        <v>229</v>
      </c>
      <c r="BF40" s="131" t="s">
        <v>229</v>
      </c>
      <c r="BG40" s="131" t="s">
        <v>229</v>
      </c>
      <c r="BH40" s="131" t="s">
        <v>229</v>
      </c>
      <c r="BI40" s="131" t="s">
        <v>229</v>
      </c>
      <c r="BJ40" s="131" t="s">
        <v>229</v>
      </c>
      <c r="BK40" s="131" t="s">
        <v>229</v>
      </c>
      <c r="BL40" s="131" t="s">
        <v>229</v>
      </c>
      <c r="BM40" s="131" t="s">
        <v>229</v>
      </c>
      <c r="BN40" s="131" t="s">
        <v>229</v>
      </c>
      <c r="BO40" s="131" t="s">
        <v>229</v>
      </c>
      <c r="BP40" s="131" t="s">
        <v>229</v>
      </c>
      <c r="BQ40" s="131" t="s">
        <v>229</v>
      </c>
      <c r="BR40" s="138" t="e">
        <f>IF(#REF!&lt;E40,1,0)</f>
        <v>#REF!</v>
      </c>
      <c r="BS40" s="137" t="s">
        <v>230</v>
      </c>
    </row>
    <row r="41" ht="15.6" spans="1:71">
      <c r="A41" s="100" t="s">
        <v>124</v>
      </c>
      <c r="B41" s="100" t="s">
        <v>251</v>
      </c>
      <c r="C41" s="100"/>
      <c r="D41" s="155" t="s">
        <v>249</v>
      </c>
      <c r="E41" s="104">
        <v>17.25</v>
      </c>
      <c r="F41" s="105">
        <v>24.99</v>
      </c>
      <c r="G41" s="114">
        <f t="shared" si="0"/>
        <v>22.491</v>
      </c>
      <c r="H41" s="114">
        <f t="shared" si="38"/>
        <v>22.491</v>
      </c>
      <c r="I41" s="114">
        <f t="shared" si="22"/>
        <v>1.749296174936</v>
      </c>
      <c r="J41" s="115">
        <f t="shared" si="23"/>
        <v>0.101408473909333</v>
      </c>
      <c r="K41" s="104">
        <f t="shared" si="24"/>
        <v>20.825</v>
      </c>
      <c r="L41" s="162">
        <f t="shared" si="25"/>
        <v>0.171668667466987</v>
      </c>
      <c r="M41" s="114">
        <f t="shared" si="26"/>
        <v>3.575</v>
      </c>
      <c r="N41" s="104">
        <f t="shared" si="27"/>
        <v>45.7079646017699</v>
      </c>
      <c r="O41" s="104">
        <f t="shared" si="39"/>
        <v>0.381851851851852</v>
      </c>
      <c r="P41" s="100">
        <v>54</v>
      </c>
      <c r="Q41" s="121">
        <v>7.4</v>
      </c>
      <c r="R41" s="122">
        <f t="shared" si="40"/>
        <v>0.173913043478261</v>
      </c>
      <c r="S41" s="115">
        <f t="shared" si="28"/>
        <v>0.120048019207683</v>
      </c>
      <c r="T41" s="122">
        <f t="shared" si="29"/>
        <v>0.144869565217391</v>
      </c>
      <c r="U41" s="122">
        <v>0.01</v>
      </c>
      <c r="V41" s="122">
        <f t="shared" si="30"/>
        <v>0.358072578157226</v>
      </c>
      <c r="W41" s="122">
        <f t="shared" si="31"/>
        <v>0.0221363392377885</v>
      </c>
      <c r="X41" s="116">
        <v>0.1896</v>
      </c>
      <c r="Y41" s="173">
        <v>3</v>
      </c>
      <c r="Z41" s="126">
        <f>F41*0.1</f>
        <v>2.499</v>
      </c>
      <c r="AA41" s="126">
        <f t="shared" si="32"/>
        <v>0.1725</v>
      </c>
      <c r="AB41" s="104">
        <f t="shared" si="33"/>
        <v>3.2706</v>
      </c>
      <c r="AC41" s="104">
        <v>46</v>
      </c>
      <c r="AD41" s="127">
        <f t="shared" si="34"/>
        <v>40.7079646017699</v>
      </c>
      <c r="AE41" s="121">
        <f t="shared" si="41"/>
        <v>0.554054054054054</v>
      </c>
      <c r="AF41" s="122">
        <f t="shared" si="36"/>
        <v>0.31890297377023</v>
      </c>
      <c r="AG41" s="122">
        <f t="shared" si="37"/>
        <v>0.00434041562126168</v>
      </c>
      <c r="AH41" s="121">
        <v>5</v>
      </c>
      <c r="AI41" s="122">
        <f t="shared" si="42"/>
        <v>0.208720288115246</v>
      </c>
      <c r="AJ41" s="122"/>
      <c r="AK41" s="122"/>
      <c r="AL41" s="122"/>
      <c r="AM41" s="122"/>
      <c r="AN41" s="131"/>
      <c r="AO41" s="131"/>
      <c r="AP41" s="131"/>
      <c r="AQ41" s="131"/>
      <c r="AR41" s="131"/>
      <c r="AS41" s="131"/>
      <c r="AT41" s="131" t="s">
        <v>229</v>
      </c>
      <c r="AU41" s="131" t="s">
        <v>229</v>
      </c>
      <c r="AV41" s="131" t="s">
        <v>229</v>
      </c>
      <c r="AW41" s="131" t="s">
        <v>229</v>
      </c>
      <c r="AX41" s="131" t="s">
        <v>229</v>
      </c>
      <c r="AY41" s="131" t="s">
        <v>229</v>
      </c>
      <c r="AZ41" s="131" t="s">
        <v>229</v>
      </c>
      <c r="BA41" s="131" t="s">
        <v>229</v>
      </c>
      <c r="BB41" s="131" t="s">
        <v>229</v>
      </c>
      <c r="BC41" s="131" t="s">
        <v>229</v>
      </c>
      <c r="BD41" s="131" t="s">
        <v>229</v>
      </c>
      <c r="BE41" s="131" t="s">
        <v>229</v>
      </c>
      <c r="BF41" s="131" t="s">
        <v>229</v>
      </c>
      <c r="BG41" s="131" t="s">
        <v>229</v>
      </c>
      <c r="BH41" s="131" t="s">
        <v>229</v>
      </c>
      <c r="BI41" s="131" t="s">
        <v>229</v>
      </c>
      <c r="BJ41" s="131" t="s">
        <v>229</v>
      </c>
      <c r="BK41" s="131" t="s">
        <v>229</v>
      </c>
      <c r="BL41" s="131" t="s">
        <v>229</v>
      </c>
      <c r="BM41" s="131" t="s">
        <v>229</v>
      </c>
      <c r="BN41" s="131" t="s">
        <v>229</v>
      </c>
      <c r="BO41" s="131" t="s">
        <v>229</v>
      </c>
      <c r="BP41" s="131" t="s">
        <v>229</v>
      </c>
      <c r="BQ41" s="131" t="s">
        <v>229</v>
      </c>
      <c r="BR41" s="138" t="e">
        <f>IF(E41&lt;#REF!,1,0)</f>
        <v>#REF!</v>
      </c>
      <c r="BS41" s="137" t="s">
        <v>230</v>
      </c>
    </row>
    <row r="42" ht="15.6" spans="1:71">
      <c r="A42" s="100" t="s">
        <v>124</v>
      </c>
      <c r="B42" s="100" t="s">
        <v>251</v>
      </c>
      <c r="C42" s="100"/>
      <c r="D42" s="155" t="s">
        <v>250</v>
      </c>
      <c r="E42" s="104">
        <v>17.25</v>
      </c>
      <c r="F42" s="105">
        <v>24.99</v>
      </c>
      <c r="G42" s="114">
        <f t="shared" si="0"/>
        <v>21.2415</v>
      </c>
      <c r="H42" s="114">
        <f t="shared" si="38"/>
        <v>21.2415</v>
      </c>
      <c r="I42" s="114">
        <f t="shared" si="22"/>
        <v>0.499796174935998</v>
      </c>
      <c r="J42" s="115">
        <f t="shared" si="23"/>
        <v>0.0289736913006376</v>
      </c>
      <c r="K42" s="104">
        <f t="shared" si="24"/>
        <v>20.825</v>
      </c>
      <c r="L42" s="162">
        <f t="shared" si="25"/>
        <v>0.171668667466987</v>
      </c>
      <c r="M42" s="114">
        <f t="shared" si="26"/>
        <v>3.575</v>
      </c>
      <c r="N42" s="104">
        <f t="shared" si="27"/>
        <v>45.7079646017699</v>
      </c>
      <c r="O42" s="104">
        <f t="shared" si="39"/>
        <v>0.381851851851852</v>
      </c>
      <c r="P42" s="100">
        <v>54</v>
      </c>
      <c r="Q42" s="121">
        <v>7.4</v>
      </c>
      <c r="R42" s="122">
        <f t="shared" si="40"/>
        <v>0.173913043478261</v>
      </c>
      <c r="S42" s="115">
        <f t="shared" si="28"/>
        <v>0.120048019207683</v>
      </c>
      <c r="T42" s="122">
        <f t="shared" si="29"/>
        <v>0.217304347826087</v>
      </c>
      <c r="U42" s="122">
        <v>0.01</v>
      </c>
      <c r="V42" s="122">
        <f t="shared" si="30"/>
        <v>0.358072578157226</v>
      </c>
      <c r="W42" s="122">
        <f t="shared" si="31"/>
        <v>0.0221363392377885</v>
      </c>
      <c r="X42" s="116">
        <v>0.1896</v>
      </c>
      <c r="Y42" s="173">
        <v>3</v>
      </c>
      <c r="Z42" s="126">
        <f>F42*0.15</f>
        <v>3.7485</v>
      </c>
      <c r="AA42" s="126">
        <f t="shared" si="32"/>
        <v>0.1725</v>
      </c>
      <c r="AB42" s="104">
        <f t="shared" si="33"/>
        <v>3.2706</v>
      </c>
      <c r="AC42" s="104">
        <v>46</v>
      </c>
      <c r="AD42" s="127">
        <f t="shared" si="34"/>
        <v>40.7079646017699</v>
      </c>
      <c r="AE42" s="121">
        <f t="shared" si="41"/>
        <v>0.554054054054054</v>
      </c>
      <c r="AF42" s="122">
        <f t="shared" si="36"/>
        <v>0.31890297377023</v>
      </c>
      <c r="AG42" s="122">
        <f t="shared" si="37"/>
        <v>0.00434041562126168</v>
      </c>
      <c r="AH42" s="121">
        <v>5</v>
      </c>
      <c r="AI42" s="122">
        <f t="shared" si="42"/>
        <v>0.148720288115246</v>
      </c>
      <c r="AJ42" s="122"/>
      <c r="AK42" s="122"/>
      <c r="AL42" s="122"/>
      <c r="AM42" s="122"/>
      <c r="AN42" s="131"/>
      <c r="AO42" s="131"/>
      <c r="AP42" s="131"/>
      <c r="AQ42" s="131"/>
      <c r="AR42" s="131"/>
      <c r="AS42" s="131"/>
      <c r="AT42" s="131" t="s">
        <v>229</v>
      </c>
      <c r="AU42" s="131" t="s">
        <v>229</v>
      </c>
      <c r="AV42" s="131" t="s">
        <v>229</v>
      </c>
      <c r="AW42" s="131" t="s">
        <v>229</v>
      </c>
      <c r="AX42" s="131" t="s">
        <v>229</v>
      </c>
      <c r="AY42" s="131" t="s">
        <v>229</v>
      </c>
      <c r="AZ42" s="131" t="s">
        <v>229</v>
      </c>
      <c r="BA42" s="131" t="s">
        <v>229</v>
      </c>
      <c r="BB42" s="131" t="s">
        <v>229</v>
      </c>
      <c r="BC42" s="131" t="s">
        <v>229</v>
      </c>
      <c r="BD42" s="131" t="s">
        <v>229</v>
      </c>
      <c r="BE42" s="131" t="s">
        <v>229</v>
      </c>
      <c r="BF42" s="131" t="s">
        <v>229</v>
      </c>
      <c r="BG42" s="131" t="s">
        <v>229</v>
      </c>
      <c r="BH42" s="131" t="s">
        <v>229</v>
      </c>
      <c r="BI42" s="131" t="s">
        <v>229</v>
      </c>
      <c r="BJ42" s="131" t="s">
        <v>229</v>
      </c>
      <c r="BK42" s="131" t="s">
        <v>229</v>
      </c>
      <c r="BL42" s="131" t="s">
        <v>229</v>
      </c>
      <c r="BM42" s="131" t="s">
        <v>229</v>
      </c>
      <c r="BN42" s="131" t="s">
        <v>229</v>
      </c>
      <c r="BO42" s="131" t="s">
        <v>229</v>
      </c>
      <c r="BP42" s="131" t="s">
        <v>229</v>
      </c>
      <c r="BQ42" s="131" t="s">
        <v>229</v>
      </c>
      <c r="BR42" s="138" t="e">
        <f>IF(E42&lt;#REF!,1,0)</f>
        <v>#REF!</v>
      </c>
      <c r="BS42" s="137" t="s">
        <v>230</v>
      </c>
    </row>
    <row r="43" ht="15.6" spans="1:71">
      <c r="A43" s="100" t="s">
        <v>234</v>
      </c>
      <c r="B43" s="100" t="s">
        <v>251</v>
      </c>
      <c r="C43" s="100"/>
      <c r="D43" s="146" t="s">
        <v>252</v>
      </c>
      <c r="E43" s="104">
        <v>21.42</v>
      </c>
      <c r="F43" s="105">
        <v>29.99</v>
      </c>
      <c r="G43" s="114">
        <f t="shared" si="0"/>
        <v>28.919</v>
      </c>
      <c r="H43" s="114"/>
      <c r="I43" s="114">
        <f t="shared" si="22"/>
        <v>8.20946580456563</v>
      </c>
      <c r="J43" s="115">
        <f t="shared" si="23"/>
        <v>0.383261708896621</v>
      </c>
      <c r="K43" s="104">
        <f t="shared" si="24"/>
        <v>24.9916666666667</v>
      </c>
      <c r="L43" s="162">
        <f t="shared" si="25"/>
        <v>0.142914304768256</v>
      </c>
      <c r="M43" s="114">
        <f t="shared" si="26"/>
        <v>3.57166666666667</v>
      </c>
      <c r="N43" s="104">
        <f t="shared" si="27"/>
        <v>45.7079646017699</v>
      </c>
      <c r="O43" s="104">
        <f t="shared" si="39"/>
        <v>0.222222222222222</v>
      </c>
      <c r="P43" s="100">
        <v>54</v>
      </c>
      <c r="Q43" s="121">
        <v>7.4</v>
      </c>
      <c r="R43" s="122">
        <v>0.1</v>
      </c>
      <c r="S43" s="115">
        <f t="shared" si="28"/>
        <v>0.0714238079359787</v>
      </c>
      <c r="T43" s="122">
        <v>0.05</v>
      </c>
      <c r="U43" s="122">
        <v>0.01</v>
      </c>
      <c r="V43" s="122">
        <f t="shared" si="30"/>
        <v>0.288363770924937</v>
      </c>
      <c r="W43" s="122">
        <f t="shared" si="31"/>
        <v>0.0103745201784417</v>
      </c>
      <c r="X43" s="116">
        <v>0.158</v>
      </c>
      <c r="Y43" s="126">
        <f>E43*R43</f>
        <v>2.142</v>
      </c>
      <c r="Z43" s="126">
        <f>E43*T43</f>
        <v>1.071</v>
      </c>
      <c r="AA43" s="126">
        <f t="shared" si="32"/>
        <v>0.2142</v>
      </c>
      <c r="AB43" s="104">
        <f t="shared" si="33"/>
        <v>3.38436</v>
      </c>
      <c r="AC43" s="104">
        <v>46</v>
      </c>
      <c r="AD43" s="127">
        <f t="shared" si="34"/>
        <v>40.7079646017699</v>
      </c>
      <c r="AE43" s="121">
        <f t="shared" si="41"/>
        <v>0.554054054054054</v>
      </c>
      <c r="AF43" s="122">
        <f t="shared" si="36"/>
        <v>0.256819621733729</v>
      </c>
      <c r="AG43" s="122">
        <f t="shared" si="37"/>
        <v>0.00349543274821494</v>
      </c>
      <c r="AH43" s="121">
        <v>5</v>
      </c>
      <c r="AI43" s="122">
        <f t="shared" si="42"/>
        <v>0.235479559853284</v>
      </c>
      <c r="AJ43" s="122"/>
      <c r="AK43" s="122"/>
      <c r="AL43" s="122"/>
      <c r="AM43" s="122"/>
      <c r="AN43" s="131"/>
      <c r="AO43" s="131"/>
      <c r="AP43" s="131"/>
      <c r="AQ43" s="131"/>
      <c r="AR43" s="131"/>
      <c r="AS43" s="131"/>
      <c r="AT43" s="131" t="s">
        <v>229</v>
      </c>
      <c r="AU43" s="131" t="s">
        <v>229</v>
      </c>
      <c r="AV43" s="131" t="s">
        <v>229</v>
      </c>
      <c r="AW43" s="131" t="s">
        <v>229</v>
      </c>
      <c r="AX43" s="131" t="s">
        <v>229</v>
      </c>
      <c r="AY43" s="131" t="s">
        <v>229</v>
      </c>
      <c r="AZ43" s="131" t="s">
        <v>229</v>
      </c>
      <c r="BA43" s="131" t="s">
        <v>229</v>
      </c>
      <c r="BB43" s="131" t="s">
        <v>229</v>
      </c>
      <c r="BC43" s="131" t="s">
        <v>229</v>
      </c>
      <c r="BD43" s="131" t="s">
        <v>229</v>
      </c>
      <c r="BE43" s="131" t="s">
        <v>229</v>
      </c>
      <c r="BF43" s="131" t="s">
        <v>229</v>
      </c>
      <c r="BG43" s="131" t="s">
        <v>229</v>
      </c>
      <c r="BH43" s="131" t="s">
        <v>229</v>
      </c>
      <c r="BI43" s="131" t="s">
        <v>229</v>
      </c>
      <c r="BJ43" s="131" t="s">
        <v>229</v>
      </c>
      <c r="BK43" s="131" t="s">
        <v>229</v>
      </c>
      <c r="BL43" s="131" t="s">
        <v>229</v>
      </c>
      <c r="BM43" s="131" t="s">
        <v>229</v>
      </c>
      <c r="BN43" s="131" t="s">
        <v>229</v>
      </c>
      <c r="BO43" s="131" t="s">
        <v>229</v>
      </c>
      <c r="BP43" s="131" t="s">
        <v>229</v>
      </c>
      <c r="BQ43" s="131" t="s">
        <v>229</v>
      </c>
      <c r="BR43" s="138" t="e">
        <f>IF(#REF!&lt;E43,1,0)</f>
        <v>#REF!</v>
      </c>
      <c r="BS43" s="137" t="s">
        <v>230</v>
      </c>
    </row>
    <row r="44" ht="15.6" spans="1:71">
      <c r="A44" s="100" t="s">
        <v>236</v>
      </c>
      <c r="B44" s="100" t="s">
        <v>251</v>
      </c>
      <c r="C44" s="100"/>
      <c r="D44" s="146" t="s">
        <v>253</v>
      </c>
      <c r="E44" s="104">
        <v>39.42</v>
      </c>
      <c r="F44" s="105">
        <v>48.99</v>
      </c>
      <c r="G44" s="114">
        <f t="shared" si="0"/>
        <v>47.019</v>
      </c>
      <c r="H44" s="114"/>
      <c r="I44" s="114">
        <f t="shared" si="22"/>
        <v>-1.96192676499508</v>
      </c>
      <c r="J44" s="115">
        <f t="shared" si="23"/>
        <v>-0.0497698316842994</v>
      </c>
      <c r="K44" s="104">
        <f t="shared" si="24"/>
        <v>40.825</v>
      </c>
      <c r="L44" s="162">
        <f t="shared" si="25"/>
        <v>0.0344151867728108</v>
      </c>
      <c r="M44" s="114">
        <f t="shared" si="26"/>
        <v>1.405</v>
      </c>
      <c r="N44" s="104">
        <f t="shared" si="27"/>
        <v>45.7079646017699</v>
      </c>
      <c r="O44" s="104">
        <f t="shared" si="39"/>
        <v>0.278888888888889</v>
      </c>
      <c r="P44" s="100">
        <v>54</v>
      </c>
      <c r="Q44" s="121">
        <v>1.6</v>
      </c>
      <c r="R44" s="122">
        <v>0.1</v>
      </c>
      <c r="S44" s="115">
        <f t="shared" si="28"/>
        <v>0.0804654011022658</v>
      </c>
      <c r="T44" s="122">
        <v>0.05</v>
      </c>
      <c r="U44" s="122">
        <v>0.01</v>
      </c>
      <c r="V44" s="122">
        <f t="shared" si="30"/>
        <v>0.7246950247617</v>
      </c>
      <c r="W44" s="122">
        <f t="shared" si="31"/>
        <v>0.00707480692259992</v>
      </c>
      <c r="X44" s="116">
        <v>0.158</v>
      </c>
      <c r="Y44" s="126">
        <f>E44*R44</f>
        <v>3.942</v>
      </c>
      <c r="Z44" s="126">
        <f>E44*T44</f>
        <v>1.971</v>
      </c>
      <c r="AA44" s="126">
        <f t="shared" si="32"/>
        <v>0.3942</v>
      </c>
      <c r="AB44" s="104">
        <f t="shared" si="33"/>
        <v>6.22836</v>
      </c>
      <c r="AC44" s="104">
        <v>46</v>
      </c>
      <c r="AD44" s="127">
        <f t="shared" si="34"/>
        <v>40.7079646017699</v>
      </c>
      <c r="AE44" s="121">
        <f t="shared" si="41"/>
        <v>0.554054054054054</v>
      </c>
      <c r="AF44" s="122">
        <f t="shared" si="36"/>
        <v>0.645420544802288</v>
      </c>
      <c r="AG44" s="122">
        <f t="shared" si="37"/>
        <v>0.00878446940090775</v>
      </c>
      <c r="AH44" s="121">
        <v>5</v>
      </c>
      <c r="AI44" s="122">
        <f t="shared" si="42"/>
        <v>0.138698346601347</v>
      </c>
      <c r="AJ44" s="122"/>
      <c r="AK44" s="122"/>
      <c r="AL44" s="122"/>
      <c r="AM44" s="122"/>
      <c r="AN44" s="131"/>
      <c r="AO44" s="131"/>
      <c r="AP44" s="131"/>
      <c r="AQ44" s="131"/>
      <c r="AR44" s="131"/>
      <c r="AS44" s="131"/>
      <c r="AT44" s="131" t="s">
        <v>229</v>
      </c>
      <c r="AU44" s="131" t="s">
        <v>229</v>
      </c>
      <c r="AV44" s="131" t="s">
        <v>229</v>
      </c>
      <c r="AW44" s="131" t="s">
        <v>229</v>
      </c>
      <c r="AX44" s="131" t="s">
        <v>229</v>
      </c>
      <c r="AY44" s="131" t="s">
        <v>229</v>
      </c>
      <c r="AZ44" s="131" t="s">
        <v>229</v>
      </c>
      <c r="BA44" s="131" t="s">
        <v>229</v>
      </c>
      <c r="BB44" s="131" t="s">
        <v>229</v>
      </c>
      <c r="BC44" s="131" t="s">
        <v>229</v>
      </c>
      <c r="BD44" s="131" t="s">
        <v>229</v>
      </c>
      <c r="BE44" s="131" t="s">
        <v>229</v>
      </c>
      <c r="BF44" s="131" t="s">
        <v>229</v>
      </c>
      <c r="BG44" s="131" t="s">
        <v>229</v>
      </c>
      <c r="BH44" s="131" t="s">
        <v>229</v>
      </c>
      <c r="BI44" s="131" t="s">
        <v>229</v>
      </c>
      <c r="BJ44" s="131" t="s">
        <v>229</v>
      </c>
      <c r="BK44" s="131" t="s">
        <v>229</v>
      </c>
      <c r="BL44" s="131" t="s">
        <v>229</v>
      </c>
      <c r="BM44" s="131" t="s">
        <v>229</v>
      </c>
      <c r="BN44" s="131" t="s">
        <v>229</v>
      </c>
      <c r="BO44" s="131" t="s">
        <v>229</v>
      </c>
      <c r="BP44" s="131" t="s">
        <v>229</v>
      </c>
      <c r="BQ44" s="131" t="s">
        <v>229</v>
      </c>
      <c r="BR44" s="138" t="e">
        <f>IF(#REF!&lt;E44,1,0)</f>
        <v>#REF!</v>
      </c>
      <c r="BS44" s="137" t="s">
        <v>230</v>
      </c>
    </row>
    <row r="45" ht="15.6" spans="1:71">
      <c r="A45" s="100" t="s">
        <v>238</v>
      </c>
      <c r="B45" s="100" t="s">
        <v>251</v>
      </c>
      <c r="C45" s="100"/>
      <c r="D45" s="146" t="s">
        <v>254</v>
      </c>
      <c r="E45" s="104">
        <v>121.42</v>
      </c>
      <c r="F45" s="105">
        <v>149.99</v>
      </c>
      <c r="G45" s="114">
        <f t="shared" si="0"/>
        <v>143.919</v>
      </c>
      <c r="H45" s="114"/>
      <c r="I45" s="114">
        <f t="shared" si="22"/>
        <v>-1.60639359554245</v>
      </c>
      <c r="J45" s="115">
        <f t="shared" si="23"/>
        <v>-0.0132300576144165</v>
      </c>
      <c r="K45" s="104">
        <f t="shared" si="24"/>
        <v>124.991666666667</v>
      </c>
      <c r="L45" s="162">
        <f t="shared" si="25"/>
        <v>0.0285752383492233</v>
      </c>
      <c r="M45" s="114">
        <f t="shared" si="26"/>
        <v>3.57166666666667</v>
      </c>
      <c r="N45" s="104">
        <f t="shared" si="27"/>
        <v>45.7079646017699</v>
      </c>
      <c r="O45" s="104">
        <f t="shared" si="39"/>
        <v>0.342592592592593</v>
      </c>
      <c r="P45" s="100">
        <v>54</v>
      </c>
      <c r="Q45" s="121">
        <v>0.6</v>
      </c>
      <c r="R45" s="122">
        <v>0.1</v>
      </c>
      <c r="S45" s="115">
        <f t="shared" si="28"/>
        <v>0.0809520634708981</v>
      </c>
      <c r="T45" s="122">
        <v>0.05</v>
      </c>
      <c r="U45" s="122">
        <v>0.01</v>
      </c>
      <c r="V45" s="122">
        <f t="shared" si="30"/>
        <v>0.627408507683659</v>
      </c>
      <c r="W45" s="122">
        <f t="shared" si="31"/>
        <v>0.00282154993075764</v>
      </c>
      <c r="X45" s="116">
        <v>0.223</v>
      </c>
      <c r="Y45" s="126">
        <f>E45*R45</f>
        <v>12.142</v>
      </c>
      <c r="Z45" s="126">
        <f>E45*T45</f>
        <v>6.071</v>
      </c>
      <c r="AA45" s="126">
        <f t="shared" si="32"/>
        <v>1.2142</v>
      </c>
      <c r="AB45" s="104">
        <f t="shared" si="33"/>
        <v>27.07666</v>
      </c>
      <c r="AC45" s="104">
        <v>46</v>
      </c>
      <c r="AD45" s="127">
        <f t="shared" si="34"/>
        <v>40.7079646017699</v>
      </c>
      <c r="AE45" s="121">
        <f t="shared" si="41"/>
        <v>0.554054054054054</v>
      </c>
      <c r="AF45" s="122">
        <f t="shared" si="36"/>
        <v>0.558776212070635</v>
      </c>
      <c r="AG45" s="122">
        <f t="shared" si="37"/>
        <v>0.0076052003246864</v>
      </c>
      <c r="AH45" s="121">
        <v>5</v>
      </c>
      <c r="AI45" s="122">
        <f t="shared" si="42"/>
        <v>0.196631722114808</v>
      </c>
      <c r="AJ45" s="122"/>
      <c r="AK45" s="122"/>
      <c r="AL45" s="122"/>
      <c r="AM45" s="122"/>
      <c r="AN45" s="131"/>
      <c r="AO45" s="131"/>
      <c r="AP45" s="131"/>
      <c r="AQ45" s="131"/>
      <c r="AR45" s="131"/>
      <c r="AS45" s="131"/>
      <c r="AT45" s="131" t="s">
        <v>229</v>
      </c>
      <c r="AU45" s="131" t="s">
        <v>229</v>
      </c>
      <c r="AV45" s="131" t="s">
        <v>229</v>
      </c>
      <c r="AW45" s="131" t="s">
        <v>229</v>
      </c>
      <c r="AX45" s="131" t="s">
        <v>229</v>
      </c>
      <c r="AY45" s="131" t="s">
        <v>229</v>
      </c>
      <c r="AZ45" s="131" t="s">
        <v>229</v>
      </c>
      <c r="BA45" s="131" t="s">
        <v>229</v>
      </c>
      <c r="BB45" s="131" t="s">
        <v>229</v>
      </c>
      <c r="BC45" s="131" t="s">
        <v>229</v>
      </c>
      <c r="BD45" s="131" t="s">
        <v>229</v>
      </c>
      <c r="BE45" s="131" t="s">
        <v>229</v>
      </c>
      <c r="BF45" s="131" t="s">
        <v>229</v>
      </c>
      <c r="BG45" s="131" t="s">
        <v>229</v>
      </c>
      <c r="BH45" s="131" t="s">
        <v>229</v>
      </c>
      <c r="BI45" s="131" t="s">
        <v>229</v>
      </c>
      <c r="BJ45" s="131" t="s">
        <v>229</v>
      </c>
      <c r="BK45" s="131" t="s">
        <v>229</v>
      </c>
      <c r="BL45" s="131" t="s">
        <v>229</v>
      </c>
      <c r="BM45" s="131" t="s">
        <v>229</v>
      </c>
      <c r="BN45" s="131" t="s">
        <v>229</v>
      </c>
      <c r="BO45" s="131" t="s">
        <v>229</v>
      </c>
      <c r="BP45" s="131" t="s">
        <v>229</v>
      </c>
      <c r="BQ45" s="131" t="s">
        <v>229</v>
      </c>
      <c r="BR45" s="138" t="e">
        <f>IF(#REF!&lt;E45,1,0)</f>
        <v>#REF!</v>
      </c>
      <c r="BS45" s="137" t="s">
        <v>230</v>
      </c>
    </row>
    <row r="46" ht="15.6" spans="1:71">
      <c r="A46" s="100" t="s">
        <v>240</v>
      </c>
      <c r="B46" s="100" t="s">
        <v>251</v>
      </c>
      <c r="C46" s="100"/>
      <c r="D46" s="146" t="s">
        <v>255</v>
      </c>
      <c r="E46" s="104">
        <v>21.42</v>
      </c>
      <c r="F46" s="105">
        <v>29.99</v>
      </c>
      <c r="G46" s="114">
        <f t="shared" si="0"/>
        <v>28.919</v>
      </c>
      <c r="H46" s="114"/>
      <c r="I46" s="114">
        <f t="shared" si="22"/>
        <v>8.14891024901007</v>
      </c>
      <c r="J46" s="115">
        <f t="shared" si="23"/>
        <v>0.380434652147996</v>
      </c>
      <c r="K46" s="104">
        <f t="shared" si="24"/>
        <v>24.9916666666667</v>
      </c>
      <c r="L46" s="162">
        <f t="shared" si="25"/>
        <v>0.142914304768256</v>
      </c>
      <c r="M46" s="114">
        <f t="shared" si="26"/>
        <v>3.57166666666667</v>
      </c>
      <c r="N46" s="104">
        <f t="shared" si="27"/>
        <v>45.7079646017699</v>
      </c>
      <c r="O46" s="104">
        <f t="shared" si="39"/>
        <v>0.282777777777778</v>
      </c>
      <c r="P46" s="100">
        <v>54</v>
      </c>
      <c r="Q46" s="121">
        <v>7.4</v>
      </c>
      <c r="R46" s="122">
        <v>0.1</v>
      </c>
      <c r="S46" s="115">
        <f t="shared" si="28"/>
        <v>0.0714238079359787</v>
      </c>
      <c r="T46" s="122">
        <v>0.05</v>
      </c>
      <c r="U46" s="122">
        <v>0.01</v>
      </c>
      <c r="V46" s="122">
        <f t="shared" si="30"/>
        <v>0.288363770924937</v>
      </c>
      <c r="W46" s="122">
        <f t="shared" si="31"/>
        <v>0.0132015769270671</v>
      </c>
      <c r="X46" s="116">
        <v>0.158</v>
      </c>
      <c r="Y46" s="126">
        <f>E46*R46</f>
        <v>2.142</v>
      </c>
      <c r="Z46" s="126">
        <f>E46*T46</f>
        <v>1.071</v>
      </c>
      <c r="AA46" s="126">
        <f t="shared" si="32"/>
        <v>0.2142</v>
      </c>
      <c r="AB46" s="104">
        <f t="shared" si="33"/>
        <v>3.38436</v>
      </c>
      <c r="AC46" s="104">
        <v>46</v>
      </c>
      <c r="AD46" s="127">
        <f t="shared" si="34"/>
        <v>40.7079646017699</v>
      </c>
      <c r="AE46" s="121">
        <f t="shared" si="41"/>
        <v>0.554054054054054</v>
      </c>
      <c r="AF46" s="122">
        <f t="shared" si="36"/>
        <v>0.256819621733729</v>
      </c>
      <c r="AG46" s="122">
        <f t="shared" si="37"/>
        <v>0.00349543274821494</v>
      </c>
      <c r="AH46" s="121">
        <v>5</v>
      </c>
      <c r="AI46" s="122">
        <f t="shared" si="42"/>
        <v>0.235479559853284</v>
      </c>
      <c r="AJ46" s="122"/>
      <c r="AK46" s="122"/>
      <c r="AL46" s="122"/>
      <c r="AM46" s="122"/>
      <c r="AN46" s="131"/>
      <c r="AO46" s="131"/>
      <c r="AP46" s="131"/>
      <c r="AQ46" s="131"/>
      <c r="AR46" s="131"/>
      <c r="AS46" s="131"/>
      <c r="AT46" s="131" t="s">
        <v>229</v>
      </c>
      <c r="AU46" s="131" t="s">
        <v>229</v>
      </c>
      <c r="AV46" s="131" t="s">
        <v>229</v>
      </c>
      <c r="AW46" s="131" t="s">
        <v>229</v>
      </c>
      <c r="AX46" s="131" t="s">
        <v>229</v>
      </c>
      <c r="AY46" s="131" t="s">
        <v>229</v>
      </c>
      <c r="AZ46" s="131" t="s">
        <v>229</v>
      </c>
      <c r="BA46" s="131" t="s">
        <v>229</v>
      </c>
      <c r="BB46" s="131" t="s">
        <v>229</v>
      </c>
      <c r="BC46" s="131" t="s">
        <v>229</v>
      </c>
      <c r="BD46" s="131" t="s">
        <v>229</v>
      </c>
      <c r="BE46" s="131" t="s">
        <v>229</v>
      </c>
      <c r="BF46" s="131" t="s">
        <v>229</v>
      </c>
      <c r="BG46" s="131" t="s">
        <v>229</v>
      </c>
      <c r="BH46" s="131" t="s">
        <v>229</v>
      </c>
      <c r="BI46" s="131" t="s">
        <v>229</v>
      </c>
      <c r="BJ46" s="131" t="s">
        <v>229</v>
      </c>
      <c r="BK46" s="131" t="s">
        <v>229</v>
      </c>
      <c r="BL46" s="131" t="s">
        <v>229</v>
      </c>
      <c r="BM46" s="131" t="s">
        <v>229</v>
      </c>
      <c r="BN46" s="131" t="s">
        <v>229</v>
      </c>
      <c r="BO46" s="131" t="s">
        <v>229</v>
      </c>
      <c r="BP46" s="131" t="s">
        <v>229</v>
      </c>
      <c r="BQ46" s="131" t="s">
        <v>229</v>
      </c>
      <c r="BR46" s="138" t="e">
        <f>IF(#REF!&lt;E46,1,0)</f>
        <v>#REF!</v>
      </c>
      <c r="BS46" s="137" t="s">
        <v>230</v>
      </c>
    </row>
    <row r="47" ht="15" spans="1:71">
      <c r="A47" s="7"/>
      <c r="B47" s="7"/>
      <c r="C47" s="7"/>
      <c r="D47" s="7"/>
      <c r="E47" s="7"/>
      <c r="F47" s="7"/>
      <c r="G47" s="114">
        <f t="shared" si="0"/>
        <v>0</v>
      </c>
      <c r="H47" s="7"/>
      <c r="I47" s="7"/>
      <c r="J47" s="7"/>
      <c r="K47" s="7"/>
      <c r="L47" s="7"/>
      <c r="M47" s="7"/>
      <c r="N47" s="10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7"/>
      <c r="AG47" s="122"/>
      <c r="AH47" s="7"/>
      <c r="AI47" s="122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 t="s">
        <v>230</v>
      </c>
    </row>
    <row r="48" ht="15.6" spans="1:71">
      <c r="A48" s="100" t="s">
        <v>127</v>
      </c>
      <c r="B48" s="100" t="s">
        <v>256</v>
      </c>
      <c r="C48" s="100"/>
      <c r="D48" s="156" t="s">
        <v>257</v>
      </c>
      <c r="E48" s="104">
        <v>27.5</v>
      </c>
      <c r="F48" s="105">
        <v>39.99</v>
      </c>
      <c r="G48" s="114">
        <f t="shared" si="0"/>
        <v>38.615</v>
      </c>
      <c r="H48" s="114"/>
      <c r="I48" s="114">
        <f t="shared" ref="I48:I56" si="43">E48-N48/Q48-AB48-Y48-O48-Z48-AA48</f>
        <v>8.16219629051227</v>
      </c>
      <c r="J48" s="115">
        <f t="shared" ref="J48:J56" si="44">I48/E48</f>
        <v>0.29680713783681</v>
      </c>
      <c r="K48" s="104">
        <f t="shared" ref="K48:K56" si="45">F48/1.2</f>
        <v>33.325</v>
      </c>
      <c r="L48" s="162">
        <f t="shared" ref="L48:L56" si="46">(K48-E48)/K48</f>
        <v>0.174793698424606</v>
      </c>
      <c r="M48" s="114">
        <f t="shared" ref="M48:M56" si="47">F48/1.2-E48</f>
        <v>5.825</v>
      </c>
      <c r="N48" s="104">
        <f t="shared" ref="N48:N56" si="48">AD48+AH48</f>
        <v>87.2212389380531</v>
      </c>
      <c r="O48" s="104">
        <f t="shared" ref="O48:O56" si="49">IFERROR(IF(A48="UK",8.95/P48,IF(A48="DE",11.43/P48,IF(A48="FR",15.27/P48,IF(A48="IT",16.34/P48,IF(A48="ES",20.62/P48,IF(A48="NL",12/P48,IF(A48="PL",15.06/P48,IF(A48="SE",18.5/P48,IF(A48="BE",15.27/P48))))))))),0)</f>
        <v>0.331481481481481</v>
      </c>
      <c r="P48" s="137">
        <v>27</v>
      </c>
      <c r="Q48" s="121">
        <v>8.5</v>
      </c>
      <c r="R48" s="122">
        <v>0.1</v>
      </c>
      <c r="S48" s="115">
        <f t="shared" ref="S48:S56" si="50">Y48/F48</f>
        <v>0.0687671917979495</v>
      </c>
      <c r="T48" s="122">
        <v>0.05</v>
      </c>
      <c r="U48" s="122">
        <v>0.01</v>
      </c>
      <c r="V48" s="122">
        <f t="shared" ref="V48:V56" si="51">N48/(E48*Q48)</f>
        <v>0.373138990109318</v>
      </c>
      <c r="W48" s="122">
        <f t="shared" ref="W48:W56" si="52">O48/E48</f>
        <v>0.0120538720538721</v>
      </c>
      <c r="X48" s="116">
        <v>0.158</v>
      </c>
      <c r="Y48" s="126">
        <f t="shared" ref="Y48:Y56" si="53">E48*R48</f>
        <v>2.75</v>
      </c>
      <c r="Z48" s="126">
        <f t="shared" ref="Z48:Z56" si="54">E48*T48</f>
        <v>1.375</v>
      </c>
      <c r="AA48" s="126">
        <f t="shared" ref="AA48:AA56" si="55">E48*U48</f>
        <v>0.275</v>
      </c>
      <c r="AB48" s="104">
        <f t="shared" ref="AB48:AB56" si="56">E48*X48</f>
        <v>4.345</v>
      </c>
      <c r="AC48" s="104">
        <v>85</v>
      </c>
      <c r="AD48" s="127">
        <f t="shared" ref="AD48:AD56" si="57">AC48/1.13</f>
        <v>75.2212389380531</v>
      </c>
      <c r="AE48" s="121">
        <f t="shared" ref="AE48:AE56" si="58">12/7.4</f>
        <v>1.62162162162162</v>
      </c>
      <c r="AF48" s="122">
        <f t="shared" ref="AF48:AF56" si="59">AD48/(E48*Q48)</f>
        <v>0.321802091713596</v>
      </c>
      <c r="AG48" s="122">
        <f t="shared" ref="AG48:AG56" si="60">AE48/Q48/E48</f>
        <v>0.00693741870212458</v>
      </c>
      <c r="AH48" s="121">
        <v>12</v>
      </c>
      <c r="AI48" s="122">
        <f t="shared" ref="AI48:AI56" si="61">(K48-E48+AB48-Z48)/K48</f>
        <v>0.263915978994749</v>
      </c>
      <c r="AJ48" s="122"/>
      <c r="AK48" s="122"/>
      <c r="AL48" s="122"/>
      <c r="AM48" s="122"/>
      <c r="AN48" s="131"/>
      <c r="AO48" s="131"/>
      <c r="AP48" s="131"/>
      <c r="AQ48" s="131"/>
      <c r="AR48" s="131"/>
      <c r="AS48" s="131"/>
      <c r="AT48" s="131" t="s">
        <v>229</v>
      </c>
      <c r="AU48" s="131" t="s">
        <v>229</v>
      </c>
      <c r="AV48" s="131" t="s">
        <v>229</v>
      </c>
      <c r="AW48" s="131" t="s">
        <v>229</v>
      </c>
      <c r="AX48" s="131" t="s">
        <v>229</v>
      </c>
      <c r="AY48" s="131" t="s">
        <v>229</v>
      </c>
      <c r="AZ48" s="131" t="s">
        <v>229</v>
      </c>
      <c r="BA48" s="131" t="s">
        <v>229</v>
      </c>
      <c r="BB48" s="131" t="s">
        <v>229</v>
      </c>
      <c r="BC48" s="131" t="s">
        <v>229</v>
      </c>
      <c r="BD48" s="131" t="s">
        <v>229</v>
      </c>
      <c r="BE48" s="131" t="s">
        <v>229</v>
      </c>
      <c r="BF48" s="131" t="s">
        <v>229</v>
      </c>
      <c r="BG48" s="131" t="s">
        <v>229</v>
      </c>
      <c r="BH48" s="131" t="s">
        <v>229</v>
      </c>
      <c r="BI48" s="131" t="s">
        <v>229</v>
      </c>
      <c r="BJ48" s="131" t="s">
        <v>229</v>
      </c>
      <c r="BK48" s="131" t="s">
        <v>229</v>
      </c>
      <c r="BL48" s="131" t="s">
        <v>229</v>
      </c>
      <c r="BM48" s="131" t="s">
        <v>229</v>
      </c>
      <c r="BN48" s="131" t="s">
        <v>229</v>
      </c>
      <c r="BO48" s="131" t="s">
        <v>229</v>
      </c>
      <c r="BP48" s="131" t="s">
        <v>229</v>
      </c>
      <c r="BQ48" s="131" t="s">
        <v>229</v>
      </c>
      <c r="BR48" s="138" t="e">
        <f>IF(#REF!&lt;E48,1,0)</f>
        <v>#REF!</v>
      </c>
      <c r="BS48" s="137" t="s">
        <v>230</v>
      </c>
    </row>
    <row r="49" ht="15.6" spans="1:71">
      <c r="A49" s="100" t="s">
        <v>107</v>
      </c>
      <c r="B49" s="100" t="s">
        <v>258</v>
      </c>
      <c r="C49" s="100"/>
      <c r="D49" s="156" t="s">
        <v>257</v>
      </c>
      <c r="E49" s="104">
        <v>27.5</v>
      </c>
      <c r="F49" s="105">
        <v>39.99</v>
      </c>
      <c r="G49" s="114">
        <f t="shared" si="0"/>
        <v>38.615</v>
      </c>
      <c r="H49" s="114"/>
      <c r="I49" s="114">
        <f t="shared" si="43"/>
        <v>5.54126275611895</v>
      </c>
      <c r="J49" s="115">
        <f t="shared" si="44"/>
        <v>0.201500463858871</v>
      </c>
      <c r="K49" s="104">
        <f t="shared" si="45"/>
        <v>33.325</v>
      </c>
      <c r="L49" s="162">
        <f t="shared" si="46"/>
        <v>0.174793698424606</v>
      </c>
      <c r="M49" s="114">
        <f t="shared" si="47"/>
        <v>5.825</v>
      </c>
      <c r="N49" s="104">
        <f t="shared" si="48"/>
        <v>87.2212389380531</v>
      </c>
      <c r="O49" s="104">
        <f t="shared" si="49"/>
        <v>0.423333333333333</v>
      </c>
      <c r="P49" s="100">
        <v>27</v>
      </c>
      <c r="Q49" s="121">
        <v>7.4</v>
      </c>
      <c r="R49" s="122">
        <v>0.1</v>
      </c>
      <c r="S49" s="115">
        <f t="shared" si="50"/>
        <v>0.0687671917979495</v>
      </c>
      <c r="T49" s="122">
        <v>0.05</v>
      </c>
      <c r="U49" s="122">
        <v>0.01</v>
      </c>
      <c r="V49" s="122">
        <f t="shared" si="51"/>
        <v>0.42860559674719</v>
      </c>
      <c r="W49" s="122">
        <f t="shared" si="52"/>
        <v>0.0153939393939394</v>
      </c>
      <c r="X49" s="116">
        <v>0.1945</v>
      </c>
      <c r="Y49" s="126">
        <f t="shared" si="53"/>
        <v>2.75</v>
      </c>
      <c r="Z49" s="126">
        <f t="shared" si="54"/>
        <v>1.375</v>
      </c>
      <c r="AA49" s="126">
        <f t="shared" si="55"/>
        <v>0.275</v>
      </c>
      <c r="AB49" s="104">
        <f t="shared" si="56"/>
        <v>5.34875</v>
      </c>
      <c r="AC49" s="104">
        <v>85</v>
      </c>
      <c r="AD49" s="127">
        <f t="shared" si="57"/>
        <v>75.2212389380531</v>
      </c>
      <c r="AE49" s="121">
        <f t="shared" si="58"/>
        <v>1.62162162162162</v>
      </c>
      <c r="AF49" s="122">
        <f t="shared" si="59"/>
        <v>0.369637537779131</v>
      </c>
      <c r="AG49" s="122">
        <f t="shared" si="60"/>
        <v>0.00796865661730527</v>
      </c>
      <c r="AH49" s="121">
        <v>12</v>
      </c>
      <c r="AI49" s="122">
        <f t="shared" si="61"/>
        <v>0.294036009002251</v>
      </c>
      <c r="AJ49" s="122"/>
      <c r="AK49" s="122"/>
      <c r="AL49" s="122"/>
      <c r="AM49" s="122"/>
      <c r="AN49" s="131"/>
      <c r="AO49" s="131"/>
      <c r="AP49" s="131"/>
      <c r="AQ49" s="131"/>
      <c r="AR49" s="131"/>
      <c r="AS49" s="131"/>
      <c r="AT49" s="131" t="s">
        <v>229</v>
      </c>
      <c r="AU49" s="131" t="s">
        <v>229</v>
      </c>
      <c r="AV49" s="131" t="s">
        <v>229</v>
      </c>
      <c r="AW49" s="131" t="s">
        <v>229</v>
      </c>
      <c r="AX49" s="131" t="s">
        <v>229</v>
      </c>
      <c r="AY49" s="131" t="s">
        <v>229</v>
      </c>
      <c r="AZ49" s="131" t="s">
        <v>229</v>
      </c>
      <c r="BA49" s="131" t="s">
        <v>229</v>
      </c>
      <c r="BB49" s="131" t="s">
        <v>229</v>
      </c>
      <c r="BC49" s="131" t="s">
        <v>229</v>
      </c>
      <c r="BD49" s="131" t="s">
        <v>229</v>
      </c>
      <c r="BE49" s="131" t="s">
        <v>229</v>
      </c>
      <c r="BF49" s="131" t="s">
        <v>229</v>
      </c>
      <c r="BG49" s="131" t="s">
        <v>229</v>
      </c>
      <c r="BH49" s="131" t="s">
        <v>229</v>
      </c>
      <c r="BI49" s="131" t="s">
        <v>229</v>
      </c>
      <c r="BJ49" s="131" t="s">
        <v>229</v>
      </c>
      <c r="BK49" s="131" t="s">
        <v>229</v>
      </c>
      <c r="BL49" s="131" t="s">
        <v>229</v>
      </c>
      <c r="BM49" s="131" t="s">
        <v>229</v>
      </c>
      <c r="BN49" s="131" t="s">
        <v>229</v>
      </c>
      <c r="BO49" s="131" t="s">
        <v>229</v>
      </c>
      <c r="BP49" s="131" t="s">
        <v>229</v>
      </c>
      <c r="BQ49" s="131" t="s">
        <v>229</v>
      </c>
      <c r="BR49" s="138" t="e">
        <f>IF(#REF!&lt;E49,1,0)</f>
        <v>#REF!</v>
      </c>
      <c r="BS49" s="137" t="s">
        <v>230</v>
      </c>
    </row>
    <row r="50" ht="15.6" spans="1:71">
      <c r="A50" s="100" t="s">
        <v>119</v>
      </c>
      <c r="B50" s="100" t="s">
        <v>258</v>
      </c>
      <c r="C50" s="100"/>
      <c r="D50" s="156" t="s">
        <v>257</v>
      </c>
      <c r="E50" s="104">
        <v>27.5</v>
      </c>
      <c r="F50" s="105">
        <v>39.99</v>
      </c>
      <c r="G50" s="114">
        <f t="shared" si="0"/>
        <v>38.615</v>
      </c>
      <c r="H50" s="114"/>
      <c r="I50" s="114">
        <f t="shared" si="43"/>
        <v>4.61529053389673</v>
      </c>
      <c r="J50" s="115">
        <f t="shared" si="44"/>
        <v>0.167828746687154</v>
      </c>
      <c r="K50" s="104">
        <f t="shared" si="45"/>
        <v>33.325</v>
      </c>
      <c r="L50" s="162">
        <f t="shared" si="46"/>
        <v>0.174793698424606</v>
      </c>
      <c r="M50" s="114">
        <f t="shared" si="47"/>
        <v>5.825</v>
      </c>
      <c r="N50" s="104">
        <f t="shared" si="48"/>
        <v>87.2212389380531</v>
      </c>
      <c r="O50" s="104">
        <f t="shared" si="49"/>
        <v>0.565555555555556</v>
      </c>
      <c r="P50" s="100">
        <v>27</v>
      </c>
      <c r="Q50" s="121">
        <v>7.4</v>
      </c>
      <c r="R50" s="122">
        <v>0.1</v>
      </c>
      <c r="S50" s="115">
        <f t="shared" si="50"/>
        <v>0.0687671917979495</v>
      </c>
      <c r="T50" s="122">
        <v>0.05</v>
      </c>
      <c r="U50" s="122">
        <v>0.01</v>
      </c>
      <c r="V50" s="122">
        <f t="shared" si="51"/>
        <v>0.42860559674719</v>
      </c>
      <c r="W50" s="122">
        <f t="shared" si="52"/>
        <v>0.0205656565656566</v>
      </c>
      <c r="X50" s="116">
        <v>0.223</v>
      </c>
      <c r="Y50" s="126">
        <f t="shared" si="53"/>
        <v>2.75</v>
      </c>
      <c r="Z50" s="126">
        <f t="shared" si="54"/>
        <v>1.375</v>
      </c>
      <c r="AA50" s="126">
        <f t="shared" si="55"/>
        <v>0.275</v>
      </c>
      <c r="AB50" s="104">
        <f t="shared" si="56"/>
        <v>6.1325</v>
      </c>
      <c r="AC50" s="104">
        <v>85</v>
      </c>
      <c r="AD50" s="127">
        <f t="shared" si="57"/>
        <v>75.2212389380531</v>
      </c>
      <c r="AE50" s="121">
        <f t="shared" si="58"/>
        <v>1.62162162162162</v>
      </c>
      <c r="AF50" s="122">
        <f t="shared" si="59"/>
        <v>0.369637537779131</v>
      </c>
      <c r="AG50" s="122">
        <f t="shared" si="60"/>
        <v>0.00796865661730527</v>
      </c>
      <c r="AH50" s="121">
        <v>12</v>
      </c>
      <c r="AI50" s="122">
        <f t="shared" si="61"/>
        <v>0.317554388597149</v>
      </c>
      <c r="AJ50" s="122"/>
      <c r="AK50" s="122"/>
      <c r="AL50" s="122"/>
      <c r="AM50" s="122"/>
      <c r="AN50" s="131"/>
      <c r="AO50" s="131"/>
      <c r="AP50" s="131"/>
      <c r="AQ50" s="131"/>
      <c r="AR50" s="131"/>
      <c r="AS50" s="131"/>
      <c r="AT50" s="131" t="s">
        <v>229</v>
      </c>
      <c r="AU50" s="131" t="s">
        <v>229</v>
      </c>
      <c r="AV50" s="131" t="s">
        <v>229</v>
      </c>
      <c r="AW50" s="131" t="s">
        <v>229</v>
      </c>
      <c r="AX50" s="131" t="s">
        <v>229</v>
      </c>
      <c r="AY50" s="131" t="s">
        <v>229</v>
      </c>
      <c r="AZ50" s="131" t="s">
        <v>229</v>
      </c>
      <c r="BA50" s="131" t="s">
        <v>229</v>
      </c>
      <c r="BB50" s="131" t="s">
        <v>229</v>
      </c>
      <c r="BC50" s="131" t="s">
        <v>229</v>
      </c>
      <c r="BD50" s="131" t="s">
        <v>229</v>
      </c>
      <c r="BE50" s="131" t="s">
        <v>229</v>
      </c>
      <c r="BF50" s="131" t="s">
        <v>229</v>
      </c>
      <c r="BG50" s="131" t="s">
        <v>229</v>
      </c>
      <c r="BH50" s="131" t="s">
        <v>229</v>
      </c>
      <c r="BI50" s="131" t="s">
        <v>229</v>
      </c>
      <c r="BJ50" s="131" t="s">
        <v>229</v>
      </c>
      <c r="BK50" s="131" t="s">
        <v>229</v>
      </c>
      <c r="BL50" s="131" t="s">
        <v>229</v>
      </c>
      <c r="BM50" s="131" t="s">
        <v>229</v>
      </c>
      <c r="BN50" s="131" t="s">
        <v>229</v>
      </c>
      <c r="BO50" s="131" t="s">
        <v>229</v>
      </c>
      <c r="BP50" s="131" t="s">
        <v>229</v>
      </c>
      <c r="BQ50" s="131" t="s">
        <v>229</v>
      </c>
      <c r="BR50" s="138" t="e">
        <f>IF(#REF!&lt;E50,1,0)</f>
        <v>#REF!</v>
      </c>
      <c r="BS50" s="137" t="s">
        <v>230</v>
      </c>
    </row>
    <row r="51" ht="15.6" spans="1:71">
      <c r="A51" s="100" t="s">
        <v>121</v>
      </c>
      <c r="B51" s="100" t="s">
        <v>258</v>
      </c>
      <c r="C51" s="100"/>
      <c r="D51" s="156" t="s">
        <v>257</v>
      </c>
      <c r="E51" s="104">
        <v>27.5</v>
      </c>
      <c r="F51" s="105">
        <v>39.99</v>
      </c>
      <c r="G51" s="114">
        <f t="shared" si="0"/>
        <v>38.615</v>
      </c>
      <c r="H51" s="114"/>
      <c r="I51" s="114">
        <f t="shared" si="43"/>
        <v>4.9441609042671</v>
      </c>
      <c r="J51" s="115">
        <f t="shared" si="44"/>
        <v>0.179787669246076</v>
      </c>
      <c r="K51" s="104">
        <f t="shared" si="45"/>
        <v>33.325</v>
      </c>
      <c r="L51" s="162">
        <f t="shared" si="46"/>
        <v>0.174793698424606</v>
      </c>
      <c r="M51" s="114">
        <f t="shared" si="47"/>
        <v>5.825</v>
      </c>
      <c r="N51" s="104">
        <f t="shared" si="48"/>
        <v>87.2212389380531</v>
      </c>
      <c r="O51" s="104">
        <f t="shared" si="49"/>
        <v>0.605185185185185</v>
      </c>
      <c r="P51" s="100">
        <v>27</v>
      </c>
      <c r="Q51" s="121">
        <v>7.4</v>
      </c>
      <c r="R51" s="122">
        <v>0.1</v>
      </c>
      <c r="S51" s="115">
        <f t="shared" si="50"/>
        <v>0.0687671917979495</v>
      </c>
      <c r="T51" s="122">
        <v>0.05</v>
      </c>
      <c r="U51" s="122">
        <v>0.01</v>
      </c>
      <c r="V51" s="122">
        <f t="shared" si="51"/>
        <v>0.42860559674719</v>
      </c>
      <c r="W51" s="122">
        <f t="shared" si="52"/>
        <v>0.022006734006734</v>
      </c>
      <c r="X51" s="116">
        <v>0.2096</v>
      </c>
      <c r="Y51" s="126">
        <f t="shared" si="53"/>
        <v>2.75</v>
      </c>
      <c r="Z51" s="126">
        <f t="shared" si="54"/>
        <v>1.375</v>
      </c>
      <c r="AA51" s="126">
        <f t="shared" si="55"/>
        <v>0.275</v>
      </c>
      <c r="AB51" s="104">
        <f t="shared" si="56"/>
        <v>5.764</v>
      </c>
      <c r="AC51" s="104">
        <v>85</v>
      </c>
      <c r="AD51" s="127">
        <f t="shared" si="57"/>
        <v>75.2212389380531</v>
      </c>
      <c r="AE51" s="121">
        <f t="shared" si="58"/>
        <v>1.62162162162162</v>
      </c>
      <c r="AF51" s="122">
        <f t="shared" si="59"/>
        <v>0.369637537779131</v>
      </c>
      <c r="AG51" s="122">
        <f t="shared" si="60"/>
        <v>0.00796865661730527</v>
      </c>
      <c r="AH51" s="121">
        <v>12</v>
      </c>
      <c r="AI51" s="122">
        <f t="shared" si="61"/>
        <v>0.306496624156039</v>
      </c>
      <c r="AJ51" s="122"/>
      <c r="AK51" s="122"/>
      <c r="AL51" s="122"/>
      <c r="AM51" s="122"/>
      <c r="AN51" s="131"/>
      <c r="AO51" s="131"/>
      <c r="AP51" s="131"/>
      <c r="AQ51" s="131"/>
      <c r="AR51" s="131"/>
      <c r="AS51" s="131"/>
      <c r="AT51" s="131" t="s">
        <v>229</v>
      </c>
      <c r="AU51" s="131" t="s">
        <v>229</v>
      </c>
      <c r="AV51" s="131" t="s">
        <v>229</v>
      </c>
      <c r="AW51" s="131" t="s">
        <v>229</v>
      </c>
      <c r="AX51" s="131" t="s">
        <v>229</v>
      </c>
      <c r="AY51" s="131" t="s">
        <v>229</v>
      </c>
      <c r="AZ51" s="131" t="s">
        <v>229</v>
      </c>
      <c r="BA51" s="131" t="s">
        <v>229</v>
      </c>
      <c r="BB51" s="131" t="s">
        <v>229</v>
      </c>
      <c r="BC51" s="131" t="s">
        <v>229</v>
      </c>
      <c r="BD51" s="131" t="s">
        <v>229</v>
      </c>
      <c r="BE51" s="131" t="s">
        <v>229</v>
      </c>
      <c r="BF51" s="131" t="s">
        <v>229</v>
      </c>
      <c r="BG51" s="131" t="s">
        <v>229</v>
      </c>
      <c r="BH51" s="131" t="s">
        <v>229</v>
      </c>
      <c r="BI51" s="131" t="s">
        <v>229</v>
      </c>
      <c r="BJ51" s="131" t="s">
        <v>229</v>
      </c>
      <c r="BK51" s="131" t="s">
        <v>229</v>
      </c>
      <c r="BL51" s="131" t="s">
        <v>229</v>
      </c>
      <c r="BM51" s="131" t="s">
        <v>229</v>
      </c>
      <c r="BN51" s="131" t="s">
        <v>229</v>
      </c>
      <c r="BO51" s="131" t="s">
        <v>229</v>
      </c>
      <c r="BP51" s="131" t="s">
        <v>229</v>
      </c>
      <c r="BQ51" s="131" t="s">
        <v>229</v>
      </c>
      <c r="BR51" s="138" t="e">
        <f>IF(#REF!&lt;E51,1,0)</f>
        <v>#REF!</v>
      </c>
      <c r="BS51" s="137" t="s">
        <v>230</v>
      </c>
    </row>
    <row r="52" ht="15.6" spans="1:71">
      <c r="A52" s="100" t="s">
        <v>124</v>
      </c>
      <c r="B52" s="100" t="s">
        <v>258</v>
      </c>
      <c r="C52" s="100"/>
      <c r="D52" s="156" t="s">
        <v>257</v>
      </c>
      <c r="E52" s="104">
        <v>27.5</v>
      </c>
      <c r="F52" s="105">
        <v>39.99</v>
      </c>
      <c r="G52" s="114">
        <f t="shared" si="0"/>
        <v>38.615</v>
      </c>
      <c r="H52" s="114"/>
      <c r="I52" s="114">
        <f t="shared" si="43"/>
        <v>5.33564238574858</v>
      </c>
      <c r="J52" s="115">
        <f t="shared" si="44"/>
        <v>0.194023359481767</v>
      </c>
      <c r="K52" s="104">
        <f t="shared" si="45"/>
        <v>33.325</v>
      </c>
      <c r="L52" s="162">
        <f t="shared" si="46"/>
        <v>0.174793698424606</v>
      </c>
      <c r="M52" s="114">
        <f t="shared" si="47"/>
        <v>5.825</v>
      </c>
      <c r="N52" s="104">
        <f t="shared" si="48"/>
        <v>87.2212389380531</v>
      </c>
      <c r="O52" s="104">
        <f t="shared" si="49"/>
        <v>0.763703703703704</v>
      </c>
      <c r="P52" s="100">
        <v>27</v>
      </c>
      <c r="Q52" s="121">
        <v>7.4</v>
      </c>
      <c r="R52" s="122">
        <v>0.1</v>
      </c>
      <c r="S52" s="115">
        <f t="shared" si="50"/>
        <v>0.0687671917979495</v>
      </c>
      <c r="T52" s="122">
        <v>0.05</v>
      </c>
      <c r="U52" s="122">
        <v>0.01</v>
      </c>
      <c r="V52" s="122">
        <f t="shared" si="51"/>
        <v>0.42860559674719</v>
      </c>
      <c r="W52" s="122">
        <f t="shared" si="52"/>
        <v>0.0277710437710438</v>
      </c>
      <c r="X52" s="116">
        <v>0.1896</v>
      </c>
      <c r="Y52" s="126">
        <f t="shared" si="53"/>
        <v>2.75</v>
      </c>
      <c r="Z52" s="126">
        <f t="shared" si="54"/>
        <v>1.375</v>
      </c>
      <c r="AA52" s="126">
        <f t="shared" si="55"/>
        <v>0.275</v>
      </c>
      <c r="AB52" s="104">
        <f t="shared" si="56"/>
        <v>5.214</v>
      </c>
      <c r="AC52" s="104">
        <v>85</v>
      </c>
      <c r="AD52" s="127">
        <f t="shared" si="57"/>
        <v>75.2212389380531</v>
      </c>
      <c r="AE52" s="121">
        <f t="shared" si="58"/>
        <v>1.62162162162162</v>
      </c>
      <c r="AF52" s="122">
        <f t="shared" si="59"/>
        <v>0.369637537779131</v>
      </c>
      <c r="AG52" s="122">
        <f t="shared" si="60"/>
        <v>0.00796865661730527</v>
      </c>
      <c r="AH52" s="121">
        <v>12</v>
      </c>
      <c r="AI52" s="122">
        <f t="shared" si="61"/>
        <v>0.289992498124531</v>
      </c>
      <c r="AJ52" s="122"/>
      <c r="AK52" s="122"/>
      <c r="AL52" s="122"/>
      <c r="AM52" s="122"/>
      <c r="AN52" s="131"/>
      <c r="AO52" s="131"/>
      <c r="AP52" s="131"/>
      <c r="AQ52" s="131"/>
      <c r="AR52" s="131"/>
      <c r="AS52" s="131"/>
      <c r="AT52" s="131" t="s">
        <v>229</v>
      </c>
      <c r="AU52" s="131" t="s">
        <v>229</v>
      </c>
      <c r="AV52" s="131" t="s">
        <v>229</v>
      </c>
      <c r="AW52" s="131" t="s">
        <v>229</v>
      </c>
      <c r="AX52" s="131" t="s">
        <v>229</v>
      </c>
      <c r="AY52" s="131" t="s">
        <v>229</v>
      </c>
      <c r="AZ52" s="131" t="s">
        <v>229</v>
      </c>
      <c r="BA52" s="131" t="s">
        <v>229</v>
      </c>
      <c r="BB52" s="131" t="s">
        <v>229</v>
      </c>
      <c r="BC52" s="131" t="s">
        <v>229</v>
      </c>
      <c r="BD52" s="131" t="s">
        <v>229</v>
      </c>
      <c r="BE52" s="131" t="s">
        <v>229</v>
      </c>
      <c r="BF52" s="131" t="s">
        <v>229</v>
      </c>
      <c r="BG52" s="131" t="s">
        <v>229</v>
      </c>
      <c r="BH52" s="131" t="s">
        <v>229</v>
      </c>
      <c r="BI52" s="131" t="s">
        <v>229</v>
      </c>
      <c r="BJ52" s="131" t="s">
        <v>229</v>
      </c>
      <c r="BK52" s="131" t="s">
        <v>229</v>
      </c>
      <c r="BL52" s="131" t="s">
        <v>229</v>
      </c>
      <c r="BM52" s="131" t="s">
        <v>229</v>
      </c>
      <c r="BN52" s="131" t="s">
        <v>229</v>
      </c>
      <c r="BO52" s="131" t="s">
        <v>229</v>
      </c>
      <c r="BP52" s="131" t="s">
        <v>229</v>
      </c>
      <c r="BQ52" s="131" t="s">
        <v>229</v>
      </c>
      <c r="BR52" s="138" t="e">
        <f>IF(#REF!&lt;E52,1,0)</f>
        <v>#REF!</v>
      </c>
      <c r="BS52" s="137" t="s">
        <v>230</v>
      </c>
    </row>
    <row r="53" ht="15.6" spans="1:71">
      <c r="A53" s="100" t="s">
        <v>234</v>
      </c>
      <c r="B53" s="100" t="s">
        <v>258</v>
      </c>
      <c r="C53" s="100"/>
      <c r="D53" s="156" t="s">
        <v>257</v>
      </c>
      <c r="E53" s="104">
        <v>27.5</v>
      </c>
      <c r="F53" s="105">
        <v>39.99</v>
      </c>
      <c r="G53" s="114">
        <f t="shared" si="0"/>
        <v>38.615</v>
      </c>
      <c r="H53" s="114"/>
      <c r="I53" s="114">
        <f t="shared" si="43"/>
        <v>6.52390164500784</v>
      </c>
      <c r="J53" s="115">
        <f t="shared" si="44"/>
        <v>0.237232787091194</v>
      </c>
      <c r="K53" s="104">
        <f t="shared" si="45"/>
        <v>33.325</v>
      </c>
      <c r="L53" s="162">
        <f t="shared" si="46"/>
        <v>0.174793698424606</v>
      </c>
      <c r="M53" s="114">
        <f t="shared" si="47"/>
        <v>5.825</v>
      </c>
      <c r="N53" s="104">
        <f t="shared" si="48"/>
        <v>87.2212389380531</v>
      </c>
      <c r="O53" s="104">
        <f t="shared" si="49"/>
        <v>0.444444444444444</v>
      </c>
      <c r="P53" s="100">
        <v>27</v>
      </c>
      <c r="Q53" s="121">
        <v>7.4</v>
      </c>
      <c r="R53" s="122">
        <v>0.1</v>
      </c>
      <c r="S53" s="115">
        <f t="shared" si="50"/>
        <v>0.0687671917979495</v>
      </c>
      <c r="T53" s="122">
        <v>0.05</v>
      </c>
      <c r="U53" s="122">
        <v>0.01</v>
      </c>
      <c r="V53" s="122">
        <f t="shared" si="51"/>
        <v>0.42860559674719</v>
      </c>
      <c r="W53" s="122">
        <f t="shared" si="52"/>
        <v>0.0161616161616162</v>
      </c>
      <c r="X53" s="116">
        <v>0.158</v>
      </c>
      <c r="Y53" s="126">
        <f t="shared" si="53"/>
        <v>2.75</v>
      </c>
      <c r="Z53" s="126">
        <f t="shared" si="54"/>
        <v>1.375</v>
      </c>
      <c r="AA53" s="126">
        <f t="shared" si="55"/>
        <v>0.275</v>
      </c>
      <c r="AB53" s="104">
        <f t="shared" si="56"/>
        <v>4.345</v>
      </c>
      <c r="AC53" s="104">
        <v>85</v>
      </c>
      <c r="AD53" s="127">
        <f t="shared" si="57"/>
        <v>75.2212389380531</v>
      </c>
      <c r="AE53" s="121">
        <f t="shared" si="58"/>
        <v>1.62162162162162</v>
      </c>
      <c r="AF53" s="122">
        <f t="shared" si="59"/>
        <v>0.369637537779131</v>
      </c>
      <c r="AG53" s="122">
        <f t="shared" si="60"/>
        <v>0.00796865661730527</v>
      </c>
      <c r="AH53" s="121">
        <v>12</v>
      </c>
      <c r="AI53" s="122">
        <f t="shared" si="61"/>
        <v>0.263915978994749</v>
      </c>
      <c r="AJ53" s="122"/>
      <c r="AK53" s="122"/>
      <c r="AL53" s="122"/>
      <c r="AM53" s="122"/>
      <c r="AN53" s="131"/>
      <c r="AO53" s="131"/>
      <c r="AP53" s="131"/>
      <c r="AQ53" s="131"/>
      <c r="AR53" s="131"/>
      <c r="AS53" s="131"/>
      <c r="AT53" s="131" t="s">
        <v>229</v>
      </c>
      <c r="AU53" s="131" t="s">
        <v>229</v>
      </c>
      <c r="AV53" s="131" t="s">
        <v>229</v>
      </c>
      <c r="AW53" s="131" t="s">
        <v>229</v>
      </c>
      <c r="AX53" s="131" t="s">
        <v>229</v>
      </c>
      <c r="AY53" s="131" t="s">
        <v>229</v>
      </c>
      <c r="AZ53" s="131" t="s">
        <v>229</v>
      </c>
      <c r="BA53" s="131" t="s">
        <v>229</v>
      </c>
      <c r="BB53" s="131" t="s">
        <v>229</v>
      </c>
      <c r="BC53" s="131" t="s">
        <v>229</v>
      </c>
      <c r="BD53" s="131" t="s">
        <v>229</v>
      </c>
      <c r="BE53" s="131" t="s">
        <v>229</v>
      </c>
      <c r="BF53" s="131" t="s">
        <v>229</v>
      </c>
      <c r="BG53" s="131" t="s">
        <v>229</v>
      </c>
      <c r="BH53" s="131" t="s">
        <v>229</v>
      </c>
      <c r="BI53" s="131" t="s">
        <v>229</v>
      </c>
      <c r="BJ53" s="131" t="s">
        <v>229</v>
      </c>
      <c r="BK53" s="131" t="s">
        <v>229</v>
      </c>
      <c r="BL53" s="131" t="s">
        <v>229</v>
      </c>
      <c r="BM53" s="131" t="s">
        <v>229</v>
      </c>
      <c r="BN53" s="131" t="s">
        <v>229</v>
      </c>
      <c r="BO53" s="131" t="s">
        <v>229</v>
      </c>
      <c r="BP53" s="131" t="s">
        <v>229</v>
      </c>
      <c r="BQ53" s="131" t="s">
        <v>229</v>
      </c>
      <c r="BR53" s="138" t="e">
        <f>IF(#REF!&lt;E53,1,0)</f>
        <v>#REF!</v>
      </c>
      <c r="BS53" s="137" t="s">
        <v>230</v>
      </c>
    </row>
    <row r="54" ht="15.6" spans="1:71">
      <c r="A54" s="100" t="s">
        <v>236</v>
      </c>
      <c r="B54" s="100" t="s">
        <v>258</v>
      </c>
      <c r="C54" s="100"/>
      <c r="D54" s="156" t="s">
        <v>257</v>
      </c>
      <c r="E54" s="104">
        <v>39.42</v>
      </c>
      <c r="F54" s="105">
        <v>48.99</v>
      </c>
      <c r="G54" s="114">
        <f t="shared" si="0"/>
        <v>47.019</v>
      </c>
      <c r="H54" s="114"/>
      <c r="I54" s="114">
        <f t="shared" si="43"/>
        <v>-28.186612114061</v>
      </c>
      <c r="J54" s="115">
        <f t="shared" si="44"/>
        <v>-0.715033285491146</v>
      </c>
      <c r="K54" s="104">
        <f t="shared" si="45"/>
        <v>40.825</v>
      </c>
      <c r="L54" s="162">
        <f t="shared" si="46"/>
        <v>0.0344151867728108</v>
      </c>
      <c r="M54" s="114">
        <f t="shared" si="47"/>
        <v>1.405</v>
      </c>
      <c r="N54" s="104">
        <f t="shared" si="48"/>
        <v>87.2212389380531</v>
      </c>
      <c r="O54" s="104">
        <f t="shared" si="49"/>
        <v>0.557777777777778</v>
      </c>
      <c r="P54" s="100">
        <v>27</v>
      </c>
      <c r="Q54" s="121">
        <v>1.6</v>
      </c>
      <c r="R54" s="122">
        <v>0.1</v>
      </c>
      <c r="S54" s="115">
        <f t="shared" si="50"/>
        <v>0.0804654011022658</v>
      </c>
      <c r="T54" s="122">
        <v>0.05</v>
      </c>
      <c r="U54" s="122">
        <v>0.01</v>
      </c>
      <c r="V54" s="122">
        <f t="shared" si="51"/>
        <v>1.38288367164595</v>
      </c>
      <c r="W54" s="122">
        <f t="shared" si="52"/>
        <v>0.0141496138451998</v>
      </c>
      <c r="X54" s="116">
        <v>0.158</v>
      </c>
      <c r="Y54" s="126">
        <f t="shared" si="53"/>
        <v>3.942</v>
      </c>
      <c r="Z54" s="126">
        <f t="shared" si="54"/>
        <v>1.971</v>
      </c>
      <c r="AA54" s="126">
        <f t="shared" si="55"/>
        <v>0.3942</v>
      </c>
      <c r="AB54" s="104">
        <f t="shared" si="56"/>
        <v>6.22836</v>
      </c>
      <c r="AC54" s="104">
        <v>85</v>
      </c>
      <c r="AD54" s="127">
        <f t="shared" si="57"/>
        <v>75.2212389380531</v>
      </c>
      <c r="AE54" s="121">
        <f t="shared" si="58"/>
        <v>1.62162162162162</v>
      </c>
      <c r="AF54" s="122">
        <f t="shared" si="59"/>
        <v>1.19262491974336</v>
      </c>
      <c r="AG54" s="122">
        <f t="shared" si="60"/>
        <v>0.0257106421489983</v>
      </c>
      <c r="AH54" s="121">
        <v>12</v>
      </c>
      <c r="AI54" s="122">
        <f t="shared" si="61"/>
        <v>0.138698346601347</v>
      </c>
      <c r="AJ54" s="122"/>
      <c r="AK54" s="122"/>
      <c r="AL54" s="122"/>
      <c r="AM54" s="122"/>
      <c r="AN54" s="131"/>
      <c r="AO54" s="131"/>
      <c r="AP54" s="131"/>
      <c r="AQ54" s="131"/>
      <c r="AR54" s="131"/>
      <c r="AS54" s="131"/>
      <c r="AT54" s="131" t="s">
        <v>229</v>
      </c>
      <c r="AU54" s="131" t="s">
        <v>229</v>
      </c>
      <c r="AV54" s="131" t="s">
        <v>229</v>
      </c>
      <c r="AW54" s="131" t="s">
        <v>229</v>
      </c>
      <c r="AX54" s="131" t="s">
        <v>229</v>
      </c>
      <c r="AY54" s="131" t="s">
        <v>229</v>
      </c>
      <c r="AZ54" s="131" t="s">
        <v>229</v>
      </c>
      <c r="BA54" s="131" t="s">
        <v>229</v>
      </c>
      <c r="BB54" s="131" t="s">
        <v>229</v>
      </c>
      <c r="BC54" s="131" t="s">
        <v>229</v>
      </c>
      <c r="BD54" s="131" t="s">
        <v>229</v>
      </c>
      <c r="BE54" s="131" t="s">
        <v>229</v>
      </c>
      <c r="BF54" s="131" t="s">
        <v>229</v>
      </c>
      <c r="BG54" s="131" t="s">
        <v>229</v>
      </c>
      <c r="BH54" s="131" t="s">
        <v>229</v>
      </c>
      <c r="BI54" s="131" t="s">
        <v>229</v>
      </c>
      <c r="BJ54" s="131" t="s">
        <v>229</v>
      </c>
      <c r="BK54" s="131" t="s">
        <v>229</v>
      </c>
      <c r="BL54" s="131" t="s">
        <v>229</v>
      </c>
      <c r="BM54" s="131" t="s">
        <v>229</v>
      </c>
      <c r="BN54" s="131" t="s">
        <v>229</v>
      </c>
      <c r="BO54" s="131" t="s">
        <v>229</v>
      </c>
      <c r="BP54" s="131" t="s">
        <v>229</v>
      </c>
      <c r="BQ54" s="131" t="s">
        <v>229</v>
      </c>
      <c r="BR54" s="138" t="e">
        <f>IF(#REF!&lt;E54,1,0)</f>
        <v>#REF!</v>
      </c>
      <c r="BS54" s="137" t="s">
        <v>230</v>
      </c>
    </row>
    <row r="55" ht="15.6" spans="1:71">
      <c r="A55" s="100" t="s">
        <v>238</v>
      </c>
      <c r="B55" s="100" t="s">
        <v>258</v>
      </c>
      <c r="C55" s="100"/>
      <c r="D55" s="156" t="s">
        <v>257</v>
      </c>
      <c r="E55" s="104">
        <v>121.42</v>
      </c>
      <c r="F55" s="105">
        <v>149.99</v>
      </c>
      <c r="G55" s="114">
        <f t="shared" si="0"/>
        <v>143.919</v>
      </c>
      <c r="H55" s="114"/>
      <c r="I55" s="114">
        <f t="shared" si="43"/>
        <v>-71.137776748607</v>
      </c>
      <c r="J55" s="115">
        <f t="shared" si="44"/>
        <v>-0.585881870767642</v>
      </c>
      <c r="K55" s="104">
        <f t="shared" si="45"/>
        <v>124.991666666667</v>
      </c>
      <c r="L55" s="162">
        <f t="shared" si="46"/>
        <v>0.0285752383492233</v>
      </c>
      <c r="M55" s="114">
        <f t="shared" si="47"/>
        <v>3.57166666666667</v>
      </c>
      <c r="N55" s="104">
        <f t="shared" si="48"/>
        <v>87.2212389380531</v>
      </c>
      <c r="O55" s="104">
        <f t="shared" si="49"/>
        <v>0.685185185185185</v>
      </c>
      <c r="P55" s="100">
        <v>27</v>
      </c>
      <c r="Q55" s="121">
        <v>0.6</v>
      </c>
      <c r="R55" s="122">
        <v>0.1</v>
      </c>
      <c r="S55" s="115">
        <f t="shared" si="50"/>
        <v>0.0809520634708981</v>
      </c>
      <c r="T55" s="122">
        <v>0.05</v>
      </c>
      <c r="U55" s="122">
        <v>0.01</v>
      </c>
      <c r="V55" s="122">
        <f t="shared" si="51"/>
        <v>1.19723877090613</v>
      </c>
      <c r="W55" s="122">
        <f t="shared" si="52"/>
        <v>0.00564309986151528</v>
      </c>
      <c r="X55" s="116">
        <v>0.223</v>
      </c>
      <c r="Y55" s="126">
        <f t="shared" si="53"/>
        <v>12.142</v>
      </c>
      <c r="Z55" s="126">
        <f t="shared" si="54"/>
        <v>6.071</v>
      </c>
      <c r="AA55" s="126">
        <f t="shared" si="55"/>
        <v>1.2142</v>
      </c>
      <c r="AB55" s="104">
        <f t="shared" si="56"/>
        <v>27.07666</v>
      </c>
      <c r="AC55" s="104">
        <v>85</v>
      </c>
      <c r="AD55" s="127">
        <f t="shared" si="57"/>
        <v>75.2212389380531</v>
      </c>
      <c r="AE55" s="121">
        <f t="shared" si="58"/>
        <v>1.62162162162162</v>
      </c>
      <c r="AF55" s="122">
        <f t="shared" si="59"/>
        <v>1.03252126143487</v>
      </c>
      <c r="AG55" s="122">
        <f t="shared" si="60"/>
        <v>0.0222591229015212</v>
      </c>
      <c r="AH55" s="121">
        <v>12</v>
      </c>
      <c r="AI55" s="122">
        <f t="shared" si="61"/>
        <v>0.196631722114808</v>
      </c>
      <c r="AJ55" s="122"/>
      <c r="AK55" s="122"/>
      <c r="AL55" s="122"/>
      <c r="AM55" s="122"/>
      <c r="AN55" s="131"/>
      <c r="AO55" s="131"/>
      <c r="AP55" s="131"/>
      <c r="AQ55" s="131"/>
      <c r="AR55" s="131"/>
      <c r="AS55" s="131"/>
      <c r="AT55" s="131" t="s">
        <v>229</v>
      </c>
      <c r="AU55" s="131" t="s">
        <v>229</v>
      </c>
      <c r="AV55" s="131" t="s">
        <v>229</v>
      </c>
      <c r="AW55" s="131" t="s">
        <v>229</v>
      </c>
      <c r="AX55" s="131" t="s">
        <v>229</v>
      </c>
      <c r="AY55" s="131" t="s">
        <v>229</v>
      </c>
      <c r="AZ55" s="131" t="s">
        <v>229</v>
      </c>
      <c r="BA55" s="131" t="s">
        <v>229</v>
      </c>
      <c r="BB55" s="131" t="s">
        <v>229</v>
      </c>
      <c r="BC55" s="131" t="s">
        <v>229</v>
      </c>
      <c r="BD55" s="131" t="s">
        <v>229</v>
      </c>
      <c r="BE55" s="131" t="s">
        <v>229</v>
      </c>
      <c r="BF55" s="131" t="s">
        <v>229</v>
      </c>
      <c r="BG55" s="131" t="s">
        <v>229</v>
      </c>
      <c r="BH55" s="131" t="s">
        <v>229</v>
      </c>
      <c r="BI55" s="131" t="s">
        <v>229</v>
      </c>
      <c r="BJ55" s="131" t="s">
        <v>229</v>
      </c>
      <c r="BK55" s="131" t="s">
        <v>229</v>
      </c>
      <c r="BL55" s="131" t="s">
        <v>229</v>
      </c>
      <c r="BM55" s="131" t="s">
        <v>229</v>
      </c>
      <c r="BN55" s="131" t="s">
        <v>229</v>
      </c>
      <c r="BO55" s="131" t="s">
        <v>229</v>
      </c>
      <c r="BP55" s="131" t="s">
        <v>229</v>
      </c>
      <c r="BQ55" s="131" t="s">
        <v>229</v>
      </c>
      <c r="BR55" s="138" t="e">
        <f>IF(#REF!&lt;E55,1,0)</f>
        <v>#REF!</v>
      </c>
      <c r="BS55" s="137" t="s">
        <v>230</v>
      </c>
    </row>
    <row r="56" ht="15.6" spans="1:71">
      <c r="A56" s="100" t="s">
        <v>240</v>
      </c>
      <c r="B56" s="100" t="s">
        <v>258</v>
      </c>
      <c r="C56" s="100"/>
      <c r="D56" s="156" t="s">
        <v>257</v>
      </c>
      <c r="E56" s="104">
        <v>21.42</v>
      </c>
      <c r="F56" s="105">
        <v>39.99</v>
      </c>
      <c r="G56" s="114">
        <f t="shared" si="0"/>
        <v>38.919</v>
      </c>
      <c r="H56" s="114"/>
      <c r="I56" s="114">
        <f t="shared" si="43"/>
        <v>2.25623053389673</v>
      </c>
      <c r="J56" s="115">
        <f t="shared" si="44"/>
        <v>0.105332891405076</v>
      </c>
      <c r="K56" s="104">
        <f t="shared" si="45"/>
        <v>33.325</v>
      </c>
      <c r="L56" s="162">
        <f t="shared" si="46"/>
        <v>0.357239309827457</v>
      </c>
      <c r="M56" s="114">
        <f t="shared" si="47"/>
        <v>11.905</v>
      </c>
      <c r="N56" s="104">
        <f t="shared" si="48"/>
        <v>87.2212389380531</v>
      </c>
      <c r="O56" s="104">
        <f t="shared" si="49"/>
        <v>0.565555555555556</v>
      </c>
      <c r="P56" s="100">
        <v>27</v>
      </c>
      <c r="Q56" s="121">
        <v>7.4</v>
      </c>
      <c r="R56" s="122">
        <v>0.1</v>
      </c>
      <c r="S56" s="115">
        <f t="shared" si="50"/>
        <v>0.0535633908477119</v>
      </c>
      <c r="T56" s="122">
        <v>0.05</v>
      </c>
      <c r="U56" s="122">
        <v>0.01</v>
      </c>
      <c r="V56" s="122">
        <f t="shared" si="51"/>
        <v>0.55026395474079</v>
      </c>
      <c r="W56" s="122">
        <f t="shared" si="52"/>
        <v>0.0264031538541342</v>
      </c>
      <c r="X56" s="116">
        <v>0.158</v>
      </c>
      <c r="Y56" s="126">
        <f t="shared" si="53"/>
        <v>2.142</v>
      </c>
      <c r="Z56" s="126">
        <f t="shared" si="54"/>
        <v>1.071</v>
      </c>
      <c r="AA56" s="126">
        <f t="shared" si="55"/>
        <v>0.2142</v>
      </c>
      <c r="AB56" s="104">
        <f t="shared" si="56"/>
        <v>3.38436</v>
      </c>
      <c r="AC56" s="104">
        <v>85</v>
      </c>
      <c r="AD56" s="127">
        <f t="shared" si="57"/>
        <v>75.2212389380531</v>
      </c>
      <c r="AE56" s="121">
        <f t="shared" si="58"/>
        <v>1.62162162162162</v>
      </c>
      <c r="AF56" s="122">
        <f t="shared" si="59"/>
        <v>0.474557996681891</v>
      </c>
      <c r="AG56" s="122">
        <f t="shared" si="60"/>
        <v>0.0102305348728242</v>
      </c>
      <c r="AH56" s="121">
        <v>12</v>
      </c>
      <c r="AI56" s="122">
        <f t="shared" si="61"/>
        <v>0.426657464366092</v>
      </c>
      <c r="AJ56" s="122"/>
      <c r="AK56" s="122"/>
      <c r="AL56" s="122"/>
      <c r="AM56" s="122"/>
      <c r="AN56" s="131"/>
      <c r="AO56" s="131"/>
      <c r="AP56" s="131"/>
      <c r="AQ56" s="131"/>
      <c r="AR56" s="131"/>
      <c r="AS56" s="131"/>
      <c r="AT56" s="131" t="s">
        <v>229</v>
      </c>
      <c r="AU56" s="131" t="s">
        <v>229</v>
      </c>
      <c r="AV56" s="131" t="s">
        <v>229</v>
      </c>
      <c r="AW56" s="131" t="s">
        <v>229</v>
      </c>
      <c r="AX56" s="131" t="s">
        <v>229</v>
      </c>
      <c r="AY56" s="131" t="s">
        <v>229</v>
      </c>
      <c r="AZ56" s="131" t="s">
        <v>229</v>
      </c>
      <c r="BA56" s="131" t="s">
        <v>229</v>
      </c>
      <c r="BB56" s="131" t="s">
        <v>229</v>
      </c>
      <c r="BC56" s="131" t="s">
        <v>229</v>
      </c>
      <c r="BD56" s="131" t="s">
        <v>229</v>
      </c>
      <c r="BE56" s="131" t="s">
        <v>229</v>
      </c>
      <c r="BF56" s="131" t="s">
        <v>229</v>
      </c>
      <c r="BG56" s="131" t="s">
        <v>229</v>
      </c>
      <c r="BH56" s="131" t="s">
        <v>229</v>
      </c>
      <c r="BI56" s="131" t="s">
        <v>229</v>
      </c>
      <c r="BJ56" s="131" t="s">
        <v>229</v>
      </c>
      <c r="BK56" s="131" t="s">
        <v>229</v>
      </c>
      <c r="BL56" s="131" t="s">
        <v>229</v>
      </c>
      <c r="BM56" s="131" t="s">
        <v>229</v>
      </c>
      <c r="BN56" s="131" t="s">
        <v>229</v>
      </c>
      <c r="BO56" s="131" t="s">
        <v>229</v>
      </c>
      <c r="BP56" s="131" t="s">
        <v>229</v>
      </c>
      <c r="BQ56" s="131" t="s">
        <v>229</v>
      </c>
      <c r="BR56" s="138" t="e">
        <f>IF(#REF!&lt;E56,1,0)</f>
        <v>#REF!</v>
      </c>
      <c r="BS56" s="137" t="s">
        <v>230</v>
      </c>
    </row>
    <row r="57" ht="15" spans="5:71">
      <c r="E57" s="7"/>
      <c r="F57" s="7"/>
      <c r="G57" s="114">
        <f t="shared" si="0"/>
        <v>0</v>
      </c>
      <c r="H57" s="7"/>
      <c r="I57" s="7"/>
      <c r="N57" s="104"/>
      <c r="S57" s="7"/>
      <c r="AE57" s="8"/>
      <c r="AI57" s="122"/>
      <c r="BS57" s="7" t="s">
        <v>230</v>
      </c>
    </row>
    <row r="58" ht="15.6" spans="1:71">
      <c r="A58" s="100" t="s">
        <v>127</v>
      </c>
      <c r="B58" s="100" t="s">
        <v>242</v>
      </c>
      <c r="C58" s="100"/>
      <c r="D58" s="156" t="s">
        <v>257</v>
      </c>
      <c r="E58" s="104">
        <v>34</v>
      </c>
      <c r="F58" s="105">
        <v>49.99</v>
      </c>
      <c r="G58" s="114">
        <f t="shared" si="0"/>
        <v>48.29</v>
      </c>
      <c r="H58" s="114"/>
      <c r="I58" s="114">
        <f t="shared" ref="I58:I66" si="62">E58-N58/Q58-AB58-Y58-O58-Z58-AA58</f>
        <v>12.282858966202</v>
      </c>
      <c r="J58" s="115">
        <f t="shared" ref="J58:J66" si="63">I58/E58</f>
        <v>0.361260557829471</v>
      </c>
      <c r="K58" s="104">
        <f t="shared" ref="K58:K66" si="64">F58/1.2</f>
        <v>41.6583333333333</v>
      </c>
      <c r="L58" s="162">
        <f t="shared" ref="L58:L66" si="65">(K58-E58)/K58</f>
        <v>0.183836767353471</v>
      </c>
      <c r="M58" s="114">
        <f t="shared" ref="M58:M66" si="66">F58/1.2-E58</f>
        <v>7.65833333333334</v>
      </c>
      <c r="N58" s="104">
        <f t="shared" ref="N58:N66" si="67">AD58+AH58</f>
        <v>89.8761061946903</v>
      </c>
      <c r="O58" s="104">
        <f t="shared" ref="O58:O66" si="68">IFERROR(IF(A58="UK",8.95/P58,IF(A58="DE",11.43/P58,IF(A58="FR",15.27/P58,IF(A58="IT",16.34/P58,IF(A58="ES",20.62/P58,IF(A58="NL",12/P58,IF(A58="PL",15.06/P58,IF(A58="SE",18.5/P58,IF(A58="BE",15.27/P58))))))))),0)</f>
        <v>0.331481481481481</v>
      </c>
      <c r="P58" s="137">
        <v>27</v>
      </c>
      <c r="Q58" s="121">
        <v>8.5</v>
      </c>
      <c r="R58" s="122">
        <v>0.1</v>
      </c>
      <c r="S58" s="115">
        <f t="shared" ref="S58:S66" si="69">Y58/F58</f>
        <v>0.0680136027205441</v>
      </c>
      <c r="T58" s="122">
        <v>0.05</v>
      </c>
      <c r="U58" s="122">
        <v>0.01</v>
      </c>
      <c r="V58" s="122">
        <f t="shared" ref="V58:V66" si="70">N58/(E58*Q58)</f>
        <v>0.310989986832838</v>
      </c>
      <c r="W58" s="122">
        <f t="shared" ref="W58:W66" si="71">O58/E58</f>
        <v>0.00974945533769063</v>
      </c>
      <c r="X58" s="116">
        <v>0.158</v>
      </c>
      <c r="Y58" s="126">
        <f t="shared" ref="Y58:Y66" si="72">E58*R58</f>
        <v>3.4</v>
      </c>
      <c r="Z58" s="126">
        <f t="shared" ref="Z58:Z66" si="73">E58*T58</f>
        <v>1.7</v>
      </c>
      <c r="AA58" s="126">
        <f t="shared" ref="AA58:AA66" si="74">E58*U58</f>
        <v>0.34</v>
      </c>
      <c r="AB58" s="104">
        <f t="shared" ref="AB58:AB66" si="75">E58*X58</f>
        <v>5.372</v>
      </c>
      <c r="AC58" s="104">
        <v>88</v>
      </c>
      <c r="AD58" s="127">
        <f t="shared" ref="AD58:AD66" si="76">AC58/1.13</f>
        <v>77.8761061946903</v>
      </c>
      <c r="AE58" s="121">
        <f t="shared" ref="AE58:AE66" si="77">12/7.4</f>
        <v>1.62162162162162</v>
      </c>
      <c r="AF58" s="122">
        <f t="shared" ref="AF58:AF66" si="78">AD58/(E58*Q58)</f>
        <v>0.269467495483357</v>
      </c>
      <c r="AG58" s="122">
        <f t="shared" ref="AG58:AG66" si="79">AE58/Q58/E58</f>
        <v>0.00561114747965959</v>
      </c>
      <c r="AH58" s="121">
        <v>12</v>
      </c>
      <c r="AI58" s="122">
        <f t="shared" ref="AI58:AI66" si="80">(K58-E58+AB58-Z58)/K58</f>
        <v>0.271982396479296</v>
      </c>
      <c r="AJ58" s="122"/>
      <c r="AK58" s="122"/>
      <c r="AL58" s="122"/>
      <c r="AM58" s="122"/>
      <c r="AN58" s="131"/>
      <c r="AO58" s="131"/>
      <c r="AP58" s="131"/>
      <c r="AQ58" s="131"/>
      <c r="AR58" s="131"/>
      <c r="AS58" s="131"/>
      <c r="AT58" s="131" t="s">
        <v>229</v>
      </c>
      <c r="AU58" s="131" t="s">
        <v>229</v>
      </c>
      <c r="AV58" s="131" t="s">
        <v>229</v>
      </c>
      <c r="AW58" s="131" t="s">
        <v>229</v>
      </c>
      <c r="AX58" s="131" t="s">
        <v>229</v>
      </c>
      <c r="AY58" s="131" t="s">
        <v>229</v>
      </c>
      <c r="AZ58" s="131" t="s">
        <v>229</v>
      </c>
      <c r="BA58" s="131" t="s">
        <v>229</v>
      </c>
      <c r="BB58" s="131" t="s">
        <v>229</v>
      </c>
      <c r="BC58" s="131" t="s">
        <v>229</v>
      </c>
      <c r="BD58" s="131" t="s">
        <v>229</v>
      </c>
      <c r="BE58" s="131" t="s">
        <v>229</v>
      </c>
      <c r="BF58" s="131" t="s">
        <v>229</v>
      </c>
      <c r="BG58" s="131" t="s">
        <v>229</v>
      </c>
      <c r="BH58" s="131" t="s">
        <v>229</v>
      </c>
      <c r="BI58" s="131" t="s">
        <v>229</v>
      </c>
      <c r="BJ58" s="131" t="s">
        <v>229</v>
      </c>
      <c r="BK58" s="131" t="s">
        <v>229</v>
      </c>
      <c r="BL58" s="131" t="s">
        <v>229</v>
      </c>
      <c r="BM58" s="131" t="s">
        <v>229</v>
      </c>
      <c r="BN58" s="131" t="s">
        <v>229</v>
      </c>
      <c r="BO58" s="131" t="s">
        <v>229</v>
      </c>
      <c r="BP58" s="131" t="s">
        <v>229</v>
      </c>
      <c r="BQ58" s="131" t="s">
        <v>229</v>
      </c>
      <c r="BR58" s="138" t="e">
        <f>IF(#REF!&lt;E58,1,0)</f>
        <v>#REF!</v>
      </c>
      <c r="BS58" s="137" t="s">
        <v>230</v>
      </c>
    </row>
    <row r="59" ht="15.6" spans="1:71">
      <c r="A59" s="100" t="s">
        <v>107</v>
      </c>
      <c r="B59" s="100" t="s">
        <v>251</v>
      </c>
      <c r="C59" s="100"/>
      <c r="D59" s="156" t="s">
        <v>257</v>
      </c>
      <c r="E59" s="104">
        <v>34</v>
      </c>
      <c r="F59" s="105">
        <v>49.99</v>
      </c>
      <c r="G59" s="114">
        <f t="shared" si="0"/>
        <v>48.29</v>
      </c>
      <c r="H59" s="114"/>
      <c r="I59" s="114">
        <f t="shared" si="62"/>
        <v>9.37824691062744</v>
      </c>
      <c r="J59" s="115">
        <f t="shared" si="63"/>
        <v>0.275830791489042</v>
      </c>
      <c r="K59" s="104">
        <f t="shared" si="64"/>
        <v>41.6583333333333</v>
      </c>
      <c r="L59" s="162">
        <f t="shared" si="65"/>
        <v>0.183836767353471</v>
      </c>
      <c r="M59" s="114">
        <f t="shared" si="66"/>
        <v>7.65833333333334</v>
      </c>
      <c r="N59" s="104">
        <f t="shared" si="67"/>
        <v>89.8761061946903</v>
      </c>
      <c r="O59" s="104">
        <f t="shared" si="68"/>
        <v>0.423333333333333</v>
      </c>
      <c r="P59" s="100">
        <v>27</v>
      </c>
      <c r="Q59" s="121">
        <v>7.4</v>
      </c>
      <c r="R59" s="122">
        <v>0.1</v>
      </c>
      <c r="S59" s="115">
        <f t="shared" si="69"/>
        <v>0.0680136027205441</v>
      </c>
      <c r="T59" s="122">
        <v>0.05</v>
      </c>
      <c r="U59" s="122">
        <v>0.01</v>
      </c>
      <c r="V59" s="122">
        <f t="shared" si="70"/>
        <v>0.357218228118801</v>
      </c>
      <c r="W59" s="122">
        <f t="shared" si="71"/>
        <v>0.0124509803921569</v>
      </c>
      <c r="X59" s="116">
        <v>0.1945</v>
      </c>
      <c r="Y59" s="126">
        <f t="shared" si="72"/>
        <v>3.4</v>
      </c>
      <c r="Z59" s="126">
        <f t="shared" si="73"/>
        <v>1.7</v>
      </c>
      <c r="AA59" s="126">
        <f t="shared" si="74"/>
        <v>0.34</v>
      </c>
      <c r="AB59" s="104">
        <f t="shared" si="75"/>
        <v>6.613</v>
      </c>
      <c r="AC59" s="104">
        <v>88</v>
      </c>
      <c r="AD59" s="127">
        <f t="shared" si="76"/>
        <v>77.8761061946903</v>
      </c>
      <c r="AE59" s="121">
        <f t="shared" si="77"/>
        <v>1.62162162162162</v>
      </c>
      <c r="AF59" s="122">
        <f t="shared" si="78"/>
        <v>0.309523474541694</v>
      </c>
      <c r="AG59" s="122">
        <f t="shared" si="79"/>
        <v>0.00644523696987926</v>
      </c>
      <c r="AH59" s="121">
        <v>12</v>
      </c>
      <c r="AI59" s="122">
        <f t="shared" si="80"/>
        <v>0.301772354470894</v>
      </c>
      <c r="AJ59" s="122"/>
      <c r="AK59" s="122"/>
      <c r="AL59" s="122"/>
      <c r="AM59" s="122"/>
      <c r="AN59" s="131"/>
      <c r="AO59" s="131"/>
      <c r="AP59" s="131"/>
      <c r="AQ59" s="131"/>
      <c r="AR59" s="131"/>
      <c r="AS59" s="131"/>
      <c r="AT59" s="131" t="s">
        <v>229</v>
      </c>
      <c r="AU59" s="131" t="s">
        <v>229</v>
      </c>
      <c r="AV59" s="131" t="s">
        <v>229</v>
      </c>
      <c r="AW59" s="131" t="s">
        <v>229</v>
      </c>
      <c r="AX59" s="131" t="s">
        <v>229</v>
      </c>
      <c r="AY59" s="131" t="s">
        <v>229</v>
      </c>
      <c r="AZ59" s="131" t="s">
        <v>229</v>
      </c>
      <c r="BA59" s="131" t="s">
        <v>229</v>
      </c>
      <c r="BB59" s="131" t="s">
        <v>229</v>
      </c>
      <c r="BC59" s="131" t="s">
        <v>229</v>
      </c>
      <c r="BD59" s="131" t="s">
        <v>229</v>
      </c>
      <c r="BE59" s="131" t="s">
        <v>229</v>
      </c>
      <c r="BF59" s="131" t="s">
        <v>229</v>
      </c>
      <c r="BG59" s="131" t="s">
        <v>229</v>
      </c>
      <c r="BH59" s="131" t="s">
        <v>229</v>
      </c>
      <c r="BI59" s="131" t="s">
        <v>229</v>
      </c>
      <c r="BJ59" s="131" t="s">
        <v>229</v>
      </c>
      <c r="BK59" s="131" t="s">
        <v>229</v>
      </c>
      <c r="BL59" s="131" t="s">
        <v>229</v>
      </c>
      <c r="BM59" s="131" t="s">
        <v>229</v>
      </c>
      <c r="BN59" s="131" t="s">
        <v>229</v>
      </c>
      <c r="BO59" s="131" t="s">
        <v>229</v>
      </c>
      <c r="BP59" s="131" t="s">
        <v>229</v>
      </c>
      <c r="BQ59" s="131" t="s">
        <v>229</v>
      </c>
      <c r="BR59" s="138" t="e">
        <f>IF(#REF!&lt;E59,1,0)</f>
        <v>#REF!</v>
      </c>
      <c r="BS59" s="137" t="s">
        <v>230</v>
      </c>
    </row>
    <row r="60" ht="15.6" spans="1:71">
      <c r="A60" s="100" t="s">
        <v>119</v>
      </c>
      <c r="B60" s="100" t="s">
        <v>251</v>
      </c>
      <c r="C60" s="100"/>
      <c r="D60" s="156" t="s">
        <v>257</v>
      </c>
      <c r="E60" s="104">
        <v>34</v>
      </c>
      <c r="F60" s="105">
        <v>49.99</v>
      </c>
      <c r="G60" s="114">
        <f t="shared" si="0"/>
        <v>48.29</v>
      </c>
      <c r="H60" s="114"/>
      <c r="I60" s="114">
        <f t="shared" si="62"/>
        <v>8.26702468840522</v>
      </c>
      <c r="J60" s="115">
        <f t="shared" si="63"/>
        <v>0.243147784953095</v>
      </c>
      <c r="K60" s="104">
        <f t="shared" si="64"/>
        <v>41.6583333333333</v>
      </c>
      <c r="L60" s="162">
        <f t="shared" si="65"/>
        <v>0.183836767353471</v>
      </c>
      <c r="M60" s="114">
        <f t="shared" si="66"/>
        <v>7.65833333333334</v>
      </c>
      <c r="N60" s="104">
        <f t="shared" si="67"/>
        <v>89.8761061946903</v>
      </c>
      <c r="O60" s="104">
        <f t="shared" si="68"/>
        <v>0.565555555555556</v>
      </c>
      <c r="P60" s="100">
        <v>27</v>
      </c>
      <c r="Q60" s="121">
        <v>7.4</v>
      </c>
      <c r="R60" s="122">
        <v>0.1</v>
      </c>
      <c r="S60" s="115">
        <f t="shared" si="69"/>
        <v>0.0680136027205441</v>
      </c>
      <c r="T60" s="122">
        <v>0.05</v>
      </c>
      <c r="U60" s="122">
        <v>0.01</v>
      </c>
      <c r="V60" s="122">
        <f t="shared" si="70"/>
        <v>0.357218228118801</v>
      </c>
      <c r="W60" s="122">
        <f t="shared" si="71"/>
        <v>0.0166339869281046</v>
      </c>
      <c r="X60" s="116">
        <v>0.223</v>
      </c>
      <c r="Y60" s="126">
        <f t="shared" si="72"/>
        <v>3.4</v>
      </c>
      <c r="Z60" s="126">
        <f t="shared" si="73"/>
        <v>1.7</v>
      </c>
      <c r="AA60" s="126">
        <f t="shared" si="74"/>
        <v>0.34</v>
      </c>
      <c r="AB60" s="104">
        <f t="shared" si="75"/>
        <v>7.582</v>
      </c>
      <c r="AC60" s="104">
        <v>88</v>
      </c>
      <c r="AD60" s="127">
        <f t="shared" si="76"/>
        <v>77.8761061946903</v>
      </c>
      <c r="AE60" s="121">
        <f t="shared" si="77"/>
        <v>1.62162162162162</v>
      </c>
      <c r="AF60" s="122">
        <f t="shared" si="78"/>
        <v>0.309523474541694</v>
      </c>
      <c r="AG60" s="122">
        <f t="shared" si="79"/>
        <v>0.00644523696987926</v>
      </c>
      <c r="AH60" s="121">
        <v>12</v>
      </c>
      <c r="AI60" s="122">
        <f t="shared" si="80"/>
        <v>0.32503300660132</v>
      </c>
      <c r="AJ60" s="122"/>
      <c r="AK60" s="122"/>
      <c r="AL60" s="122"/>
      <c r="AM60" s="122"/>
      <c r="AN60" s="131"/>
      <c r="AO60" s="131"/>
      <c r="AP60" s="131"/>
      <c r="AQ60" s="131"/>
      <c r="AR60" s="131"/>
      <c r="AS60" s="131"/>
      <c r="AT60" s="131" t="s">
        <v>229</v>
      </c>
      <c r="AU60" s="131" t="s">
        <v>229</v>
      </c>
      <c r="AV60" s="131" t="s">
        <v>229</v>
      </c>
      <c r="AW60" s="131" t="s">
        <v>229</v>
      </c>
      <c r="AX60" s="131" t="s">
        <v>229</v>
      </c>
      <c r="AY60" s="131" t="s">
        <v>229</v>
      </c>
      <c r="AZ60" s="131" t="s">
        <v>229</v>
      </c>
      <c r="BA60" s="131" t="s">
        <v>229</v>
      </c>
      <c r="BB60" s="131" t="s">
        <v>229</v>
      </c>
      <c r="BC60" s="131" t="s">
        <v>229</v>
      </c>
      <c r="BD60" s="131" t="s">
        <v>229</v>
      </c>
      <c r="BE60" s="131" t="s">
        <v>229</v>
      </c>
      <c r="BF60" s="131" t="s">
        <v>229</v>
      </c>
      <c r="BG60" s="131" t="s">
        <v>229</v>
      </c>
      <c r="BH60" s="131" t="s">
        <v>229</v>
      </c>
      <c r="BI60" s="131" t="s">
        <v>229</v>
      </c>
      <c r="BJ60" s="131" t="s">
        <v>229</v>
      </c>
      <c r="BK60" s="131" t="s">
        <v>229</v>
      </c>
      <c r="BL60" s="131" t="s">
        <v>229</v>
      </c>
      <c r="BM60" s="131" t="s">
        <v>229</v>
      </c>
      <c r="BN60" s="131" t="s">
        <v>229</v>
      </c>
      <c r="BO60" s="131" t="s">
        <v>229</v>
      </c>
      <c r="BP60" s="131" t="s">
        <v>229</v>
      </c>
      <c r="BQ60" s="131" t="s">
        <v>229</v>
      </c>
      <c r="BR60" s="138" t="e">
        <f>IF(#REF!&lt;E60,1,0)</f>
        <v>#REF!</v>
      </c>
      <c r="BS60" s="137" t="s">
        <v>230</v>
      </c>
    </row>
    <row r="61" ht="15.6" spans="1:71">
      <c r="A61" s="100" t="s">
        <v>121</v>
      </c>
      <c r="B61" s="100" t="s">
        <v>251</v>
      </c>
      <c r="C61" s="100"/>
      <c r="D61" s="156" t="s">
        <v>257</v>
      </c>
      <c r="E61" s="104">
        <v>34</v>
      </c>
      <c r="F61" s="105">
        <v>49.99</v>
      </c>
      <c r="G61" s="114">
        <f t="shared" si="0"/>
        <v>48.29</v>
      </c>
      <c r="H61" s="114"/>
      <c r="I61" s="114">
        <f t="shared" si="62"/>
        <v>8.68299505877559</v>
      </c>
      <c r="J61" s="115">
        <f t="shared" si="63"/>
        <v>0.255382207611047</v>
      </c>
      <c r="K61" s="104">
        <f t="shared" si="64"/>
        <v>41.6583333333333</v>
      </c>
      <c r="L61" s="162">
        <f t="shared" si="65"/>
        <v>0.183836767353471</v>
      </c>
      <c r="M61" s="114">
        <f t="shared" si="66"/>
        <v>7.65833333333334</v>
      </c>
      <c r="N61" s="104">
        <f t="shared" si="67"/>
        <v>89.8761061946903</v>
      </c>
      <c r="O61" s="104">
        <f t="shared" si="68"/>
        <v>0.605185185185185</v>
      </c>
      <c r="P61" s="100">
        <v>27</v>
      </c>
      <c r="Q61" s="121">
        <v>7.4</v>
      </c>
      <c r="R61" s="122">
        <v>0.1</v>
      </c>
      <c r="S61" s="115">
        <f t="shared" si="69"/>
        <v>0.0680136027205441</v>
      </c>
      <c r="T61" s="122">
        <v>0.05</v>
      </c>
      <c r="U61" s="122">
        <v>0.01</v>
      </c>
      <c r="V61" s="122">
        <f t="shared" si="70"/>
        <v>0.357218228118801</v>
      </c>
      <c r="W61" s="122">
        <f t="shared" si="71"/>
        <v>0.0177995642701525</v>
      </c>
      <c r="X61" s="116">
        <v>0.2096</v>
      </c>
      <c r="Y61" s="126">
        <f t="shared" si="72"/>
        <v>3.4</v>
      </c>
      <c r="Z61" s="126">
        <f t="shared" si="73"/>
        <v>1.7</v>
      </c>
      <c r="AA61" s="126">
        <f t="shared" si="74"/>
        <v>0.34</v>
      </c>
      <c r="AB61" s="104">
        <f t="shared" si="75"/>
        <v>7.1264</v>
      </c>
      <c r="AC61" s="104">
        <v>88</v>
      </c>
      <c r="AD61" s="127">
        <f t="shared" si="76"/>
        <v>77.8761061946903</v>
      </c>
      <c r="AE61" s="121">
        <f t="shared" si="77"/>
        <v>1.62162162162162</v>
      </c>
      <c r="AF61" s="122">
        <f t="shared" si="78"/>
        <v>0.309523474541694</v>
      </c>
      <c r="AG61" s="122">
        <f t="shared" si="79"/>
        <v>0.00644523696987926</v>
      </c>
      <c r="AH61" s="121">
        <v>12</v>
      </c>
      <c r="AI61" s="122">
        <f t="shared" si="80"/>
        <v>0.314096419283857</v>
      </c>
      <c r="AJ61" s="122"/>
      <c r="AK61" s="122"/>
      <c r="AL61" s="122"/>
      <c r="AM61" s="122"/>
      <c r="AN61" s="131"/>
      <c r="AO61" s="131"/>
      <c r="AP61" s="131"/>
      <c r="AQ61" s="131"/>
      <c r="AR61" s="131"/>
      <c r="AS61" s="131"/>
      <c r="AT61" s="131" t="s">
        <v>229</v>
      </c>
      <c r="AU61" s="131" t="s">
        <v>229</v>
      </c>
      <c r="AV61" s="131" t="s">
        <v>229</v>
      </c>
      <c r="AW61" s="131" t="s">
        <v>229</v>
      </c>
      <c r="AX61" s="131" t="s">
        <v>229</v>
      </c>
      <c r="AY61" s="131" t="s">
        <v>229</v>
      </c>
      <c r="AZ61" s="131" t="s">
        <v>229</v>
      </c>
      <c r="BA61" s="131" t="s">
        <v>229</v>
      </c>
      <c r="BB61" s="131" t="s">
        <v>229</v>
      </c>
      <c r="BC61" s="131" t="s">
        <v>229</v>
      </c>
      <c r="BD61" s="131" t="s">
        <v>229</v>
      </c>
      <c r="BE61" s="131" t="s">
        <v>229</v>
      </c>
      <c r="BF61" s="131" t="s">
        <v>229</v>
      </c>
      <c r="BG61" s="131" t="s">
        <v>229</v>
      </c>
      <c r="BH61" s="131" t="s">
        <v>229</v>
      </c>
      <c r="BI61" s="131" t="s">
        <v>229</v>
      </c>
      <c r="BJ61" s="131" t="s">
        <v>229</v>
      </c>
      <c r="BK61" s="131" t="s">
        <v>229</v>
      </c>
      <c r="BL61" s="131" t="s">
        <v>229</v>
      </c>
      <c r="BM61" s="131" t="s">
        <v>229</v>
      </c>
      <c r="BN61" s="131" t="s">
        <v>229</v>
      </c>
      <c r="BO61" s="131" t="s">
        <v>229</v>
      </c>
      <c r="BP61" s="131" t="s">
        <v>229</v>
      </c>
      <c r="BQ61" s="131" t="s">
        <v>229</v>
      </c>
      <c r="BR61" s="138" t="e">
        <f>IF(#REF!&lt;E61,1,0)</f>
        <v>#REF!</v>
      </c>
      <c r="BS61" s="137" t="s">
        <v>230</v>
      </c>
    </row>
    <row r="62" ht="15.6" spans="1:71">
      <c r="A62" s="100" t="s">
        <v>124</v>
      </c>
      <c r="B62" s="100" t="s">
        <v>251</v>
      </c>
      <c r="C62" s="100"/>
      <c r="D62" s="156" t="s">
        <v>257</v>
      </c>
      <c r="E62" s="104">
        <v>34</v>
      </c>
      <c r="F62" s="105">
        <v>49.99</v>
      </c>
      <c r="G62" s="114">
        <f t="shared" si="0"/>
        <v>48.29</v>
      </c>
      <c r="H62" s="114"/>
      <c r="I62" s="114">
        <f t="shared" si="62"/>
        <v>9.20447654025707</v>
      </c>
      <c r="J62" s="115">
        <f t="shared" si="63"/>
        <v>0.270719898242855</v>
      </c>
      <c r="K62" s="104">
        <f t="shared" si="64"/>
        <v>41.6583333333333</v>
      </c>
      <c r="L62" s="162">
        <f t="shared" si="65"/>
        <v>0.183836767353471</v>
      </c>
      <c r="M62" s="114">
        <f t="shared" si="66"/>
        <v>7.65833333333334</v>
      </c>
      <c r="N62" s="104">
        <f t="shared" si="67"/>
        <v>89.8761061946903</v>
      </c>
      <c r="O62" s="104">
        <f t="shared" si="68"/>
        <v>0.763703703703704</v>
      </c>
      <c r="P62" s="100">
        <v>27</v>
      </c>
      <c r="Q62" s="121">
        <v>7.4</v>
      </c>
      <c r="R62" s="122">
        <v>0.1</v>
      </c>
      <c r="S62" s="115">
        <f t="shared" si="69"/>
        <v>0.0680136027205441</v>
      </c>
      <c r="T62" s="122">
        <v>0.05</v>
      </c>
      <c r="U62" s="122">
        <v>0.01</v>
      </c>
      <c r="V62" s="122">
        <f t="shared" si="70"/>
        <v>0.357218228118801</v>
      </c>
      <c r="W62" s="122">
        <f t="shared" si="71"/>
        <v>0.0224618736383442</v>
      </c>
      <c r="X62" s="116">
        <v>0.1896</v>
      </c>
      <c r="Y62" s="126">
        <f t="shared" si="72"/>
        <v>3.4</v>
      </c>
      <c r="Z62" s="126">
        <f t="shared" si="73"/>
        <v>1.7</v>
      </c>
      <c r="AA62" s="126">
        <f t="shared" si="74"/>
        <v>0.34</v>
      </c>
      <c r="AB62" s="104">
        <f t="shared" si="75"/>
        <v>6.4464</v>
      </c>
      <c r="AC62" s="104">
        <v>88</v>
      </c>
      <c r="AD62" s="127">
        <f t="shared" si="76"/>
        <v>77.8761061946903</v>
      </c>
      <c r="AE62" s="121">
        <f t="shared" si="77"/>
        <v>1.62162162162162</v>
      </c>
      <c r="AF62" s="122">
        <f t="shared" si="78"/>
        <v>0.309523474541694</v>
      </c>
      <c r="AG62" s="122">
        <f t="shared" si="79"/>
        <v>0.00644523696987926</v>
      </c>
      <c r="AH62" s="121">
        <v>12</v>
      </c>
      <c r="AI62" s="122">
        <f t="shared" si="80"/>
        <v>0.297773154630926</v>
      </c>
      <c r="AJ62" s="122"/>
      <c r="AK62" s="122"/>
      <c r="AL62" s="122"/>
      <c r="AM62" s="122"/>
      <c r="AN62" s="131"/>
      <c r="AO62" s="131"/>
      <c r="AP62" s="131"/>
      <c r="AQ62" s="131"/>
      <c r="AR62" s="131"/>
      <c r="AS62" s="131"/>
      <c r="AT62" s="131" t="s">
        <v>229</v>
      </c>
      <c r="AU62" s="131" t="s">
        <v>229</v>
      </c>
      <c r="AV62" s="131" t="s">
        <v>229</v>
      </c>
      <c r="AW62" s="131" t="s">
        <v>229</v>
      </c>
      <c r="AX62" s="131" t="s">
        <v>229</v>
      </c>
      <c r="AY62" s="131" t="s">
        <v>229</v>
      </c>
      <c r="AZ62" s="131" t="s">
        <v>229</v>
      </c>
      <c r="BA62" s="131" t="s">
        <v>229</v>
      </c>
      <c r="BB62" s="131" t="s">
        <v>229</v>
      </c>
      <c r="BC62" s="131" t="s">
        <v>229</v>
      </c>
      <c r="BD62" s="131" t="s">
        <v>229</v>
      </c>
      <c r="BE62" s="131" t="s">
        <v>229</v>
      </c>
      <c r="BF62" s="131" t="s">
        <v>229</v>
      </c>
      <c r="BG62" s="131" t="s">
        <v>229</v>
      </c>
      <c r="BH62" s="131" t="s">
        <v>229</v>
      </c>
      <c r="BI62" s="131" t="s">
        <v>229</v>
      </c>
      <c r="BJ62" s="131" t="s">
        <v>229</v>
      </c>
      <c r="BK62" s="131" t="s">
        <v>229</v>
      </c>
      <c r="BL62" s="131" t="s">
        <v>229</v>
      </c>
      <c r="BM62" s="131" t="s">
        <v>229</v>
      </c>
      <c r="BN62" s="131" t="s">
        <v>229</v>
      </c>
      <c r="BO62" s="131" t="s">
        <v>229</v>
      </c>
      <c r="BP62" s="131" t="s">
        <v>229</v>
      </c>
      <c r="BQ62" s="131" t="s">
        <v>229</v>
      </c>
      <c r="BR62" s="138" t="e">
        <f>IF(#REF!&lt;E62,1,0)</f>
        <v>#REF!</v>
      </c>
      <c r="BS62" s="137" t="s">
        <v>230</v>
      </c>
    </row>
    <row r="63" ht="15.6" spans="1:71">
      <c r="A63" s="100" t="s">
        <v>234</v>
      </c>
      <c r="B63" s="100" t="s">
        <v>251</v>
      </c>
      <c r="C63" s="100"/>
      <c r="D63" s="156" t="s">
        <v>257</v>
      </c>
      <c r="E63" s="104">
        <v>34</v>
      </c>
      <c r="F63" s="105">
        <v>49.99</v>
      </c>
      <c r="G63" s="114">
        <f t="shared" si="0"/>
        <v>48.29</v>
      </c>
      <c r="H63" s="114"/>
      <c r="I63" s="114">
        <f t="shared" si="62"/>
        <v>10.5981357995163</v>
      </c>
      <c r="J63" s="115">
        <f t="shared" si="63"/>
        <v>0.311709876456363</v>
      </c>
      <c r="K63" s="104">
        <f t="shared" si="64"/>
        <v>41.6583333333333</v>
      </c>
      <c r="L63" s="162">
        <f t="shared" si="65"/>
        <v>0.183836767353471</v>
      </c>
      <c r="M63" s="114">
        <f t="shared" si="66"/>
        <v>7.65833333333334</v>
      </c>
      <c r="N63" s="104">
        <f t="shared" si="67"/>
        <v>89.8761061946903</v>
      </c>
      <c r="O63" s="104">
        <f t="shared" si="68"/>
        <v>0.444444444444444</v>
      </c>
      <c r="P63" s="100">
        <v>27</v>
      </c>
      <c r="Q63" s="121">
        <v>7.4</v>
      </c>
      <c r="R63" s="122">
        <v>0.1</v>
      </c>
      <c r="S63" s="115">
        <f t="shared" si="69"/>
        <v>0.0680136027205441</v>
      </c>
      <c r="T63" s="122">
        <v>0.05</v>
      </c>
      <c r="U63" s="122">
        <v>0.01</v>
      </c>
      <c r="V63" s="122">
        <f t="shared" si="70"/>
        <v>0.357218228118801</v>
      </c>
      <c r="W63" s="122">
        <f t="shared" si="71"/>
        <v>0.0130718954248366</v>
      </c>
      <c r="X63" s="116">
        <v>0.158</v>
      </c>
      <c r="Y63" s="126">
        <f t="shared" si="72"/>
        <v>3.4</v>
      </c>
      <c r="Z63" s="126">
        <f t="shared" si="73"/>
        <v>1.7</v>
      </c>
      <c r="AA63" s="126">
        <f t="shared" si="74"/>
        <v>0.34</v>
      </c>
      <c r="AB63" s="104">
        <f t="shared" si="75"/>
        <v>5.372</v>
      </c>
      <c r="AC63" s="104">
        <v>88</v>
      </c>
      <c r="AD63" s="127">
        <f t="shared" si="76"/>
        <v>77.8761061946903</v>
      </c>
      <c r="AE63" s="121">
        <f t="shared" si="77"/>
        <v>1.62162162162162</v>
      </c>
      <c r="AF63" s="122">
        <f t="shared" si="78"/>
        <v>0.309523474541694</v>
      </c>
      <c r="AG63" s="122">
        <f t="shared" si="79"/>
        <v>0.00644523696987926</v>
      </c>
      <c r="AH63" s="121">
        <v>12</v>
      </c>
      <c r="AI63" s="122">
        <f t="shared" si="80"/>
        <v>0.271982396479296</v>
      </c>
      <c r="AJ63" s="122"/>
      <c r="AK63" s="122"/>
      <c r="AL63" s="122"/>
      <c r="AM63" s="122"/>
      <c r="AN63" s="131"/>
      <c r="AO63" s="131"/>
      <c r="AP63" s="131"/>
      <c r="AQ63" s="131"/>
      <c r="AR63" s="131"/>
      <c r="AS63" s="131"/>
      <c r="AT63" s="131" t="s">
        <v>229</v>
      </c>
      <c r="AU63" s="131" t="s">
        <v>229</v>
      </c>
      <c r="AV63" s="131" t="s">
        <v>229</v>
      </c>
      <c r="AW63" s="131" t="s">
        <v>229</v>
      </c>
      <c r="AX63" s="131" t="s">
        <v>229</v>
      </c>
      <c r="AY63" s="131" t="s">
        <v>229</v>
      </c>
      <c r="AZ63" s="131" t="s">
        <v>229</v>
      </c>
      <c r="BA63" s="131" t="s">
        <v>229</v>
      </c>
      <c r="BB63" s="131" t="s">
        <v>229</v>
      </c>
      <c r="BC63" s="131" t="s">
        <v>229</v>
      </c>
      <c r="BD63" s="131" t="s">
        <v>229</v>
      </c>
      <c r="BE63" s="131" t="s">
        <v>229</v>
      </c>
      <c r="BF63" s="131" t="s">
        <v>229</v>
      </c>
      <c r="BG63" s="131" t="s">
        <v>229</v>
      </c>
      <c r="BH63" s="131" t="s">
        <v>229</v>
      </c>
      <c r="BI63" s="131" t="s">
        <v>229</v>
      </c>
      <c r="BJ63" s="131" t="s">
        <v>229</v>
      </c>
      <c r="BK63" s="131" t="s">
        <v>229</v>
      </c>
      <c r="BL63" s="131" t="s">
        <v>229</v>
      </c>
      <c r="BM63" s="131" t="s">
        <v>229</v>
      </c>
      <c r="BN63" s="131" t="s">
        <v>229</v>
      </c>
      <c r="BO63" s="131" t="s">
        <v>229</v>
      </c>
      <c r="BP63" s="131" t="s">
        <v>229</v>
      </c>
      <c r="BQ63" s="131" t="s">
        <v>229</v>
      </c>
      <c r="BR63" s="138" t="e">
        <f>IF(#REF!&lt;E63,1,0)</f>
        <v>#REF!</v>
      </c>
      <c r="BS63" s="137" t="s">
        <v>230</v>
      </c>
    </row>
    <row r="64" ht="15.6" spans="1:71">
      <c r="A64" s="100" t="s">
        <v>236</v>
      </c>
      <c r="B64" s="100" t="s">
        <v>251</v>
      </c>
      <c r="C64" s="100"/>
      <c r="D64" s="156" t="s">
        <v>257</v>
      </c>
      <c r="E64" s="104">
        <v>39.42</v>
      </c>
      <c r="F64" s="105">
        <v>48.99</v>
      </c>
      <c r="G64" s="114">
        <f t="shared" si="0"/>
        <v>47.019</v>
      </c>
      <c r="H64" s="114"/>
      <c r="I64" s="114">
        <f t="shared" si="62"/>
        <v>-29.8459041494592</v>
      </c>
      <c r="J64" s="115">
        <f t="shared" si="63"/>
        <v>-0.757125929717382</v>
      </c>
      <c r="K64" s="104">
        <f t="shared" si="64"/>
        <v>40.825</v>
      </c>
      <c r="L64" s="162">
        <f t="shared" si="65"/>
        <v>0.0344151867728108</v>
      </c>
      <c r="M64" s="114">
        <f t="shared" si="66"/>
        <v>1.405</v>
      </c>
      <c r="N64" s="104">
        <f t="shared" si="67"/>
        <v>89.8761061946903</v>
      </c>
      <c r="O64" s="104">
        <f t="shared" si="68"/>
        <v>0.557777777777778</v>
      </c>
      <c r="P64" s="100">
        <v>27</v>
      </c>
      <c r="Q64" s="121">
        <v>1.6</v>
      </c>
      <c r="R64" s="122">
        <v>0.1</v>
      </c>
      <c r="S64" s="115">
        <f t="shared" si="69"/>
        <v>0.0804654011022658</v>
      </c>
      <c r="T64" s="122">
        <v>0.05</v>
      </c>
      <c r="U64" s="122">
        <v>0.01</v>
      </c>
      <c r="V64" s="122">
        <f t="shared" si="70"/>
        <v>1.42497631587218</v>
      </c>
      <c r="W64" s="122">
        <f t="shared" si="71"/>
        <v>0.0141496138451998</v>
      </c>
      <c r="X64" s="116">
        <v>0.158</v>
      </c>
      <c r="Y64" s="126">
        <f t="shared" si="72"/>
        <v>3.942</v>
      </c>
      <c r="Z64" s="126">
        <f t="shared" si="73"/>
        <v>1.971</v>
      </c>
      <c r="AA64" s="126">
        <f t="shared" si="74"/>
        <v>0.3942</v>
      </c>
      <c r="AB64" s="104">
        <f t="shared" si="75"/>
        <v>6.22836</v>
      </c>
      <c r="AC64" s="104">
        <v>88</v>
      </c>
      <c r="AD64" s="127">
        <f t="shared" si="76"/>
        <v>77.8761061946903</v>
      </c>
      <c r="AE64" s="121">
        <f t="shared" si="77"/>
        <v>1.62162162162162</v>
      </c>
      <c r="AF64" s="122">
        <f t="shared" si="78"/>
        <v>1.23471756396959</v>
      </c>
      <c r="AG64" s="122">
        <f t="shared" si="79"/>
        <v>0.0257106421489983</v>
      </c>
      <c r="AH64" s="121">
        <v>12</v>
      </c>
      <c r="AI64" s="122">
        <f t="shared" si="80"/>
        <v>0.138698346601347</v>
      </c>
      <c r="AJ64" s="122"/>
      <c r="AK64" s="122"/>
      <c r="AL64" s="122"/>
      <c r="AM64" s="122"/>
      <c r="AN64" s="131"/>
      <c r="AO64" s="131"/>
      <c r="AP64" s="131"/>
      <c r="AQ64" s="131"/>
      <c r="AR64" s="131"/>
      <c r="AS64" s="131"/>
      <c r="AT64" s="131" t="s">
        <v>229</v>
      </c>
      <c r="AU64" s="131" t="s">
        <v>229</v>
      </c>
      <c r="AV64" s="131" t="s">
        <v>229</v>
      </c>
      <c r="AW64" s="131" t="s">
        <v>229</v>
      </c>
      <c r="AX64" s="131" t="s">
        <v>229</v>
      </c>
      <c r="AY64" s="131" t="s">
        <v>229</v>
      </c>
      <c r="AZ64" s="131" t="s">
        <v>229</v>
      </c>
      <c r="BA64" s="131" t="s">
        <v>229</v>
      </c>
      <c r="BB64" s="131" t="s">
        <v>229</v>
      </c>
      <c r="BC64" s="131" t="s">
        <v>229</v>
      </c>
      <c r="BD64" s="131" t="s">
        <v>229</v>
      </c>
      <c r="BE64" s="131" t="s">
        <v>229</v>
      </c>
      <c r="BF64" s="131" t="s">
        <v>229</v>
      </c>
      <c r="BG64" s="131" t="s">
        <v>229</v>
      </c>
      <c r="BH64" s="131" t="s">
        <v>229</v>
      </c>
      <c r="BI64" s="131" t="s">
        <v>229</v>
      </c>
      <c r="BJ64" s="131" t="s">
        <v>229</v>
      </c>
      <c r="BK64" s="131" t="s">
        <v>229</v>
      </c>
      <c r="BL64" s="131" t="s">
        <v>229</v>
      </c>
      <c r="BM64" s="131" t="s">
        <v>229</v>
      </c>
      <c r="BN64" s="131" t="s">
        <v>229</v>
      </c>
      <c r="BO64" s="131" t="s">
        <v>229</v>
      </c>
      <c r="BP64" s="131" t="s">
        <v>229</v>
      </c>
      <c r="BQ64" s="131" t="s">
        <v>229</v>
      </c>
      <c r="BR64" s="138" t="e">
        <f>IF(#REF!&lt;E64,1,0)</f>
        <v>#REF!</v>
      </c>
      <c r="BS64" s="137" t="s">
        <v>230</v>
      </c>
    </row>
    <row r="65" ht="15.6" spans="1:71">
      <c r="A65" s="100" t="s">
        <v>238</v>
      </c>
      <c r="B65" s="100" t="s">
        <v>251</v>
      </c>
      <c r="C65" s="100"/>
      <c r="D65" s="156" t="s">
        <v>257</v>
      </c>
      <c r="E65" s="104">
        <v>121.42</v>
      </c>
      <c r="F65" s="105">
        <v>149.99</v>
      </c>
      <c r="G65" s="114">
        <f t="shared" si="0"/>
        <v>143.919</v>
      </c>
      <c r="H65" s="114"/>
      <c r="I65" s="114">
        <f t="shared" si="62"/>
        <v>-75.562555509669</v>
      </c>
      <c r="J65" s="115">
        <f t="shared" si="63"/>
        <v>-0.622323797641813</v>
      </c>
      <c r="K65" s="104">
        <f t="shared" si="64"/>
        <v>124.991666666667</v>
      </c>
      <c r="L65" s="162">
        <f t="shared" si="65"/>
        <v>0.0285752383492233</v>
      </c>
      <c r="M65" s="114">
        <f t="shared" si="66"/>
        <v>3.57166666666667</v>
      </c>
      <c r="N65" s="104">
        <f t="shared" si="67"/>
        <v>89.8761061946903</v>
      </c>
      <c r="O65" s="104">
        <f t="shared" si="68"/>
        <v>0.685185185185185</v>
      </c>
      <c r="P65" s="100">
        <v>27</v>
      </c>
      <c r="Q65" s="121">
        <v>0.6</v>
      </c>
      <c r="R65" s="122">
        <v>0.1</v>
      </c>
      <c r="S65" s="115">
        <f t="shared" si="69"/>
        <v>0.0809520634708981</v>
      </c>
      <c r="T65" s="122">
        <v>0.05</v>
      </c>
      <c r="U65" s="122">
        <v>0.01</v>
      </c>
      <c r="V65" s="122">
        <f t="shared" si="70"/>
        <v>1.2336806977803</v>
      </c>
      <c r="W65" s="122">
        <f t="shared" si="71"/>
        <v>0.00564309986151528</v>
      </c>
      <c r="X65" s="116">
        <v>0.223</v>
      </c>
      <c r="Y65" s="126">
        <f t="shared" si="72"/>
        <v>12.142</v>
      </c>
      <c r="Z65" s="126">
        <f t="shared" si="73"/>
        <v>6.071</v>
      </c>
      <c r="AA65" s="126">
        <f t="shared" si="74"/>
        <v>1.2142</v>
      </c>
      <c r="AB65" s="104">
        <f t="shared" si="75"/>
        <v>27.07666</v>
      </c>
      <c r="AC65" s="104">
        <v>88</v>
      </c>
      <c r="AD65" s="127">
        <f t="shared" si="76"/>
        <v>77.8761061946903</v>
      </c>
      <c r="AE65" s="121">
        <f t="shared" si="77"/>
        <v>1.62162162162162</v>
      </c>
      <c r="AF65" s="122">
        <f t="shared" si="78"/>
        <v>1.06896318830904</v>
      </c>
      <c r="AG65" s="122">
        <f t="shared" si="79"/>
        <v>0.0222591229015212</v>
      </c>
      <c r="AH65" s="121">
        <v>12</v>
      </c>
      <c r="AI65" s="122">
        <f t="shared" si="80"/>
        <v>0.196631722114808</v>
      </c>
      <c r="AJ65" s="122"/>
      <c r="AK65" s="122"/>
      <c r="AL65" s="122"/>
      <c r="AM65" s="122"/>
      <c r="AN65" s="131"/>
      <c r="AO65" s="131"/>
      <c r="AP65" s="131"/>
      <c r="AQ65" s="131"/>
      <c r="AR65" s="131"/>
      <c r="AS65" s="131"/>
      <c r="AT65" s="131" t="s">
        <v>229</v>
      </c>
      <c r="AU65" s="131" t="s">
        <v>229</v>
      </c>
      <c r="AV65" s="131" t="s">
        <v>229</v>
      </c>
      <c r="AW65" s="131" t="s">
        <v>229</v>
      </c>
      <c r="AX65" s="131" t="s">
        <v>229</v>
      </c>
      <c r="AY65" s="131" t="s">
        <v>229</v>
      </c>
      <c r="AZ65" s="131" t="s">
        <v>229</v>
      </c>
      <c r="BA65" s="131" t="s">
        <v>229</v>
      </c>
      <c r="BB65" s="131" t="s">
        <v>229</v>
      </c>
      <c r="BC65" s="131" t="s">
        <v>229</v>
      </c>
      <c r="BD65" s="131" t="s">
        <v>229</v>
      </c>
      <c r="BE65" s="131" t="s">
        <v>229</v>
      </c>
      <c r="BF65" s="131" t="s">
        <v>229</v>
      </c>
      <c r="BG65" s="131" t="s">
        <v>229</v>
      </c>
      <c r="BH65" s="131" t="s">
        <v>229</v>
      </c>
      <c r="BI65" s="131" t="s">
        <v>229</v>
      </c>
      <c r="BJ65" s="131" t="s">
        <v>229</v>
      </c>
      <c r="BK65" s="131" t="s">
        <v>229</v>
      </c>
      <c r="BL65" s="131" t="s">
        <v>229</v>
      </c>
      <c r="BM65" s="131" t="s">
        <v>229</v>
      </c>
      <c r="BN65" s="131" t="s">
        <v>229</v>
      </c>
      <c r="BO65" s="131" t="s">
        <v>229</v>
      </c>
      <c r="BP65" s="131" t="s">
        <v>229</v>
      </c>
      <c r="BQ65" s="131" t="s">
        <v>229</v>
      </c>
      <c r="BR65" s="138" t="e">
        <f>IF(#REF!&lt;E65,1,0)</f>
        <v>#REF!</v>
      </c>
      <c r="BS65" s="137" t="s">
        <v>230</v>
      </c>
    </row>
    <row r="66" ht="15.6" spans="1:71">
      <c r="A66" s="100" t="s">
        <v>240</v>
      </c>
      <c r="B66" s="100" t="s">
        <v>251</v>
      </c>
      <c r="C66" s="100"/>
      <c r="D66" s="156" t="s">
        <v>257</v>
      </c>
      <c r="E66" s="104">
        <v>21.42</v>
      </c>
      <c r="F66" s="105">
        <v>39.99</v>
      </c>
      <c r="G66" s="114">
        <f t="shared" ref="G66:G90" si="81">(F66-Z66)</f>
        <v>38.919</v>
      </c>
      <c r="H66" s="114"/>
      <c r="I66" s="114">
        <f t="shared" si="62"/>
        <v>1.89746468840522</v>
      </c>
      <c r="J66" s="115">
        <f t="shared" si="63"/>
        <v>0.0885837856398329</v>
      </c>
      <c r="K66" s="104">
        <f t="shared" si="64"/>
        <v>33.325</v>
      </c>
      <c r="L66" s="162">
        <f t="shared" si="65"/>
        <v>0.357239309827457</v>
      </c>
      <c r="M66" s="114">
        <f t="shared" si="66"/>
        <v>11.905</v>
      </c>
      <c r="N66" s="104">
        <f t="shared" si="67"/>
        <v>89.8761061946903</v>
      </c>
      <c r="O66" s="104">
        <f t="shared" si="68"/>
        <v>0.565555555555556</v>
      </c>
      <c r="P66" s="100">
        <v>27</v>
      </c>
      <c r="Q66" s="121">
        <v>7.4</v>
      </c>
      <c r="R66" s="122">
        <v>0.1</v>
      </c>
      <c r="S66" s="115">
        <f t="shared" si="69"/>
        <v>0.0535633908477119</v>
      </c>
      <c r="T66" s="122">
        <v>0.05</v>
      </c>
      <c r="U66" s="122">
        <v>0.01</v>
      </c>
      <c r="V66" s="122">
        <f t="shared" si="70"/>
        <v>0.567013060506033</v>
      </c>
      <c r="W66" s="122">
        <f t="shared" si="71"/>
        <v>0.0264031538541342</v>
      </c>
      <c r="X66" s="116">
        <v>0.158</v>
      </c>
      <c r="Y66" s="126">
        <f t="shared" si="72"/>
        <v>2.142</v>
      </c>
      <c r="Z66" s="126">
        <f t="shared" si="73"/>
        <v>1.071</v>
      </c>
      <c r="AA66" s="126">
        <f t="shared" si="74"/>
        <v>0.2142</v>
      </c>
      <c r="AB66" s="104">
        <f t="shared" si="75"/>
        <v>3.38436</v>
      </c>
      <c r="AC66" s="104">
        <v>88</v>
      </c>
      <c r="AD66" s="127">
        <f t="shared" si="76"/>
        <v>77.8761061946903</v>
      </c>
      <c r="AE66" s="121">
        <f t="shared" si="77"/>
        <v>1.62162162162162</v>
      </c>
      <c r="AF66" s="122">
        <f t="shared" si="78"/>
        <v>0.491307102447134</v>
      </c>
      <c r="AG66" s="122">
        <f t="shared" si="79"/>
        <v>0.0102305348728242</v>
      </c>
      <c r="AH66" s="121">
        <v>12</v>
      </c>
      <c r="AI66" s="122">
        <f t="shared" si="80"/>
        <v>0.426657464366092</v>
      </c>
      <c r="AJ66" s="122"/>
      <c r="AK66" s="122"/>
      <c r="AL66" s="122"/>
      <c r="AM66" s="122"/>
      <c r="AN66" s="131"/>
      <c r="AO66" s="131"/>
      <c r="AP66" s="131"/>
      <c r="AQ66" s="131"/>
      <c r="AR66" s="131"/>
      <c r="AS66" s="131"/>
      <c r="AT66" s="131" t="s">
        <v>229</v>
      </c>
      <c r="AU66" s="131" t="s">
        <v>229</v>
      </c>
      <c r="AV66" s="131" t="s">
        <v>229</v>
      </c>
      <c r="AW66" s="131" t="s">
        <v>229</v>
      </c>
      <c r="AX66" s="131" t="s">
        <v>229</v>
      </c>
      <c r="AY66" s="131" t="s">
        <v>229</v>
      </c>
      <c r="AZ66" s="131" t="s">
        <v>229</v>
      </c>
      <c r="BA66" s="131" t="s">
        <v>229</v>
      </c>
      <c r="BB66" s="131" t="s">
        <v>229</v>
      </c>
      <c r="BC66" s="131" t="s">
        <v>229</v>
      </c>
      <c r="BD66" s="131" t="s">
        <v>229</v>
      </c>
      <c r="BE66" s="131" t="s">
        <v>229</v>
      </c>
      <c r="BF66" s="131" t="s">
        <v>229</v>
      </c>
      <c r="BG66" s="131" t="s">
        <v>229</v>
      </c>
      <c r="BH66" s="131" t="s">
        <v>229</v>
      </c>
      <c r="BI66" s="131" t="s">
        <v>229</v>
      </c>
      <c r="BJ66" s="131" t="s">
        <v>229</v>
      </c>
      <c r="BK66" s="131" t="s">
        <v>229</v>
      </c>
      <c r="BL66" s="131" t="s">
        <v>229</v>
      </c>
      <c r="BM66" s="131" t="s">
        <v>229</v>
      </c>
      <c r="BN66" s="131" t="s">
        <v>229</v>
      </c>
      <c r="BO66" s="131" t="s">
        <v>229</v>
      </c>
      <c r="BP66" s="131" t="s">
        <v>229</v>
      </c>
      <c r="BQ66" s="131" t="s">
        <v>229</v>
      </c>
      <c r="BR66" s="138" t="e">
        <f>IF(#REF!&lt;E66,1,0)</f>
        <v>#REF!</v>
      </c>
      <c r="BS66" s="137" t="s">
        <v>230</v>
      </c>
    </row>
    <row r="67" ht="15" spans="7:71">
      <c r="G67" s="114">
        <f t="shared" si="81"/>
        <v>0</v>
      </c>
      <c r="H67" s="7"/>
      <c r="N67" s="104"/>
      <c r="S67" s="7"/>
      <c r="AE67" s="8"/>
      <c r="AI67" s="122"/>
      <c r="BS67" s="7" t="s">
        <v>230</v>
      </c>
    </row>
    <row r="68" ht="15.6" spans="1:71">
      <c r="A68" s="100" t="s">
        <v>127</v>
      </c>
      <c r="B68" s="100" t="s">
        <v>259</v>
      </c>
      <c r="C68" s="100"/>
      <c r="D68" s="156" t="s">
        <v>260</v>
      </c>
      <c r="E68" s="104">
        <v>100</v>
      </c>
      <c r="F68" s="105">
        <v>139.99</v>
      </c>
      <c r="G68" s="114">
        <f t="shared" si="81"/>
        <v>134.99</v>
      </c>
      <c r="H68" s="114"/>
      <c r="I68" s="114">
        <f>E68-N68/Q68-AB68-Y68-O68-Z68-AA68</f>
        <v>27.3723581467985</v>
      </c>
      <c r="J68" s="115">
        <f>I68/E68</f>
        <v>0.273723581467985</v>
      </c>
      <c r="K68" s="104">
        <f>F68/1.2</f>
        <v>116.658333333333</v>
      </c>
      <c r="L68" s="162">
        <f>(K68-E68)/K68</f>
        <v>0.142795913993857</v>
      </c>
      <c r="M68" s="114">
        <f>F68/1.2-E68</f>
        <v>16.6583333333333</v>
      </c>
      <c r="N68" s="104">
        <f>AD68+AH68</f>
        <v>330.884955752212</v>
      </c>
      <c r="O68" s="104">
        <f>IFERROR(IF(A68="UK",7.6/P68,IF(A68="DE",7.5/P68,IF(A68="FR",14/P68,IF(A68="IT",15/P68,IF(A68="ES",19/P68,IF(A68="NL",12/P68,IF(A68="PL",15.06/P68,IF(A68="SE",18.5/P68,IF(A68="BE",15.27/P68))))))))),0)</f>
        <v>1.9</v>
      </c>
      <c r="P68" s="137">
        <v>4</v>
      </c>
      <c r="Q68" s="121">
        <v>8.5</v>
      </c>
      <c r="R68" s="122">
        <v>0.1</v>
      </c>
      <c r="S68" s="115">
        <f>Y68/F68</f>
        <v>0.0714336738338453</v>
      </c>
      <c r="T68" s="122">
        <v>0.05</v>
      </c>
      <c r="U68" s="122">
        <v>0.01</v>
      </c>
      <c r="V68" s="122">
        <f>N68/(E68*Q68)</f>
        <v>0.389276418532015</v>
      </c>
      <c r="W68" s="122">
        <f>O68/E68</f>
        <v>0.019</v>
      </c>
      <c r="X68" s="116">
        <v>0.158</v>
      </c>
      <c r="Y68" s="126">
        <f>E68*R68</f>
        <v>10</v>
      </c>
      <c r="Z68" s="126">
        <f>E68*T68</f>
        <v>5</v>
      </c>
      <c r="AA68" s="126">
        <f>E68*U68</f>
        <v>1</v>
      </c>
      <c r="AB68" s="104">
        <f>E68*X68</f>
        <v>15.8</v>
      </c>
      <c r="AC68" s="104">
        <v>340</v>
      </c>
      <c r="AD68" s="127">
        <f>AC68/1.13</f>
        <v>300.884955752212</v>
      </c>
      <c r="AE68" s="121">
        <f>30/7.4</f>
        <v>4.05405405405405</v>
      </c>
      <c r="AF68" s="122">
        <f>AD68/(E68*Q68)</f>
        <v>0.353982300884956</v>
      </c>
      <c r="AG68" s="122">
        <f>AE68/Q68/E68</f>
        <v>0.00476947535771065</v>
      </c>
      <c r="AH68" s="121">
        <v>30</v>
      </c>
      <c r="AI68" s="122">
        <f>(K68-E68+AB68-Z68)/K68</f>
        <v>0.23537395528252</v>
      </c>
      <c r="AJ68" s="122"/>
      <c r="AK68" s="122"/>
      <c r="AL68" s="122"/>
      <c r="AM68" s="122"/>
      <c r="AN68" s="131"/>
      <c r="AO68" s="131"/>
      <c r="AP68" s="131"/>
      <c r="AQ68" s="131"/>
      <c r="AR68" s="131"/>
      <c r="AS68" s="131"/>
      <c r="AT68" s="131" t="s">
        <v>229</v>
      </c>
      <c r="AU68" s="131" t="s">
        <v>229</v>
      </c>
      <c r="AV68" s="131" t="s">
        <v>229</v>
      </c>
      <c r="AW68" s="131" t="s">
        <v>229</v>
      </c>
      <c r="AX68" s="131" t="s">
        <v>229</v>
      </c>
      <c r="AY68" s="131" t="s">
        <v>229</v>
      </c>
      <c r="AZ68" s="131" t="s">
        <v>229</v>
      </c>
      <c r="BA68" s="131" t="s">
        <v>229</v>
      </c>
      <c r="BB68" s="131" t="s">
        <v>229</v>
      </c>
      <c r="BC68" s="131" t="s">
        <v>229</v>
      </c>
      <c r="BD68" s="131" t="s">
        <v>229</v>
      </c>
      <c r="BE68" s="131" t="s">
        <v>229</v>
      </c>
      <c r="BF68" s="131" t="s">
        <v>229</v>
      </c>
      <c r="BG68" s="131" t="s">
        <v>229</v>
      </c>
      <c r="BH68" s="131" t="s">
        <v>229</v>
      </c>
      <c r="BI68" s="131" t="s">
        <v>229</v>
      </c>
      <c r="BJ68" s="131" t="s">
        <v>229</v>
      </c>
      <c r="BK68" s="131" t="s">
        <v>229</v>
      </c>
      <c r="BL68" s="131" t="s">
        <v>229</v>
      </c>
      <c r="BM68" s="131" t="s">
        <v>229</v>
      </c>
      <c r="BN68" s="131" t="s">
        <v>229</v>
      </c>
      <c r="BO68" s="131" t="s">
        <v>229</v>
      </c>
      <c r="BP68" s="131" t="s">
        <v>229</v>
      </c>
      <c r="BQ68" s="131" t="s">
        <v>229</v>
      </c>
      <c r="BR68" s="138" t="e">
        <f>IF(#REF!&lt;E68,1,0)</f>
        <v>#REF!</v>
      </c>
      <c r="BS68" s="137" t="s">
        <v>230</v>
      </c>
    </row>
    <row r="69" ht="15.6" spans="1:71">
      <c r="A69" s="100" t="s">
        <v>107</v>
      </c>
      <c r="B69" s="100" t="s">
        <v>259</v>
      </c>
      <c r="C69" s="100"/>
      <c r="D69" s="180" t="s">
        <v>260</v>
      </c>
      <c r="E69" s="104">
        <v>108</v>
      </c>
      <c r="F69" s="105">
        <v>149.99</v>
      </c>
      <c r="G69" s="114">
        <f t="shared" si="81"/>
        <v>144.59</v>
      </c>
      <c r="H69" s="114"/>
      <c r="I69" s="114">
        <f>E69-N69/Q69-AB69-Y69-O69-Z69-AA69</f>
        <v>23.1248167902416</v>
      </c>
      <c r="J69" s="115">
        <f>I69/E69</f>
        <v>0.214118673983718</v>
      </c>
      <c r="K69" s="104">
        <f>F69/1.2</f>
        <v>124.991666666667</v>
      </c>
      <c r="L69" s="162">
        <f>(K69-E69)/K69</f>
        <v>0.135942396159744</v>
      </c>
      <c r="M69" s="114">
        <f>F69/1.2-E69</f>
        <v>16.9916666666667</v>
      </c>
      <c r="N69" s="104">
        <f>AD69+AH69</f>
        <v>330.884955752212</v>
      </c>
      <c r="O69" s="104">
        <f>IFERROR(IF(A69="UK",7.6/P69,IF(A69="DE",7.5/P69,IF(A69="FR",14/P69,IF(A69="IT",15/P69,IF(A69="ES",19/P69,IF(A69="NL",12/P69,IF(A69="PL",15.06/P69,IF(A69="SE",18.5/P69,IF(A69="BE",15.27/P69))))))))),0)</f>
        <v>1.875</v>
      </c>
      <c r="P69" s="100">
        <v>4</v>
      </c>
      <c r="Q69" s="121">
        <v>7.4</v>
      </c>
      <c r="R69" s="122">
        <v>0.1</v>
      </c>
      <c r="S69" s="115">
        <f>Y69/F69</f>
        <v>0.0720048003200213</v>
      </c>
      <c r="T69" s="122">
        <v>0.05</v>
      </c>
      <c r="U69" s="122">
        <v>0.01</v>
      </c>
      <c r="V69" s="122">
        <f>N69/(E69*Q69)</f>
        <v>0.414020214905171</v>
      </c>
      <c r="W69" s="122">
        <f>O69/E69</f>
        <v>0.0173611111111111</v>
      </c>
      <c r="X69" s="116">
        <v>0.1945</v>
      </c>
      <c r="Y69" s="126">
        <f>E69*R69</f>
        <v>10.8</v>
      </c>
      <c r="Z69" s="126">
        <f>E69*T69</f>
        <v>5.4</v>
      </c>
      <c r="AA69" s="126">
        <f>E69*U69</f>
        <v>1.08</v>
      </c>
      <c r="AB69" s="104">
        <f>E69*X69</f>
        <v>21.006</v>
      </c>
      <c r="AC69" s="104">
        <v>340</v>
      </c>
      <c r="AD69" s="127">
        <f>AC69/1.13</f>
        <v>300.884955752212</v>
      </c>
      <c r="AE69" s="121">
        <f>30/7.4</f>
        <v>4.05405405405405</v>
      </c>
      <c r="AF69" s="122">
        <f>AD69/(E69*Q69)</f>
        <v>0.376482677367633</v>
      </c>
      <c r="AG69" s="122">
        <f>AE69/Q69/E69</f>
        <v>0.00507264020777534</v>
      </c>
      <c r="AH69" s="121">
        <v>30</v>
      </c>
      <c r="AI69" s="122">
        <f>(K69-E69+AB69-Z69)/K69</f>
        <v>0.260798719914661</v>
      </c>
      <c r="AJ69" s="122"/>
      <c r="AK69" s="122"/>
      <c r="AL69" s="122"/>
      <c r="AM69" s="122"/>
      <c r="AN69" s="131"/>
      <c r="AO69" s="131"/>
      <c r="AP69" s="131"/>
      <c r="AQ69" s="131"/>
      <c r="AR69" s="131"/>
      <c r="AS69" s="131"/>
      <c r="AT69" s="131" t="s">
        <v>229</v>
      </c>
      <c r="AU69" s="131" t="s">
        <v>229</v>
      </c>
      <c r="AV69" s="131" t="s">
        <v>229</v>
      </c>
      <c r="AW69" s="131" t="s">
        <v>229</v>
      </c>
      <c r="AX69" s="131" t="s">
        <v>229</v>
      </c>
      <c r="AY69" s="131" t="s">
        <v>229</v>
      </c>
      <c r="AZ69" s="131" t="s">
        <v>229</v>
      </c>
      <c r="BA69" s="131" t="s">
        <v>229</v>
      </c>
      <c r="BB69" s="131" t="s">
        <v>229</v>
      </c>
      <c r="BC69" s="131" t="s">
        <v>229</v>
      </c>
      <c r="BD69" s="131" t="s">
        <v>229</v>
      </c>
      <c r="BE69" s="131" t="s">
        <v>229</v>
      </c>
      <c r="BF69" s="131" t="s">
        <v>229</v>
      </c>
      <c r="BG69" s="131" t="s">
        <v>229</v>
      </c>
      <c r="BH69" s="131" t="s">
        <v>229</v>
      </c>
      <c r="BI69" s="131" t="s">
        <v>229</v>
      </c>
      <c r="BJ69" s="131" t="s">
        <v>229</v>
      </c>
      <c r="BK69" s="131" t="s">
        <v>229</v>
      </c>
      <c r="BL69" s="131" t="s">
        <v>229</v>
      </c>
      <c r="BM69" s="131" t="s">
        <v>229</v>
      </c>
      <c r="BN69" s="131" t="s">
        <v>229</v>
      </c>
      <c r="BO69" s="131" t="s">
        <v>229</v>
      </c>
      <c r="BP69" s="131" t="s">
        <v>229</v>
      </c>
      <c r="BQ69" s="131" t="s">
        <v>229</v>
      </c>
      <c r="BR69" s="138" t="e">
        <f>IF(#REF!&lt;E69,1,0)</f>
        <v>#REF!</v>
      </c>
      <c r="BS69" s="137" t="s">
        <v>230</v>
      </c>
    </row>
    <row r="70" ht="15.6" spans="1:71">
      <c r="A70" s="100" t="s">
        <v>119</v>
      </c>
      <c r="B70" s="100" t="s">
        <v>259</v>
      </c>
      <c r="C70" s="100"/>
      <c r="D70" s="180" t="s">
        <v>260</v>
      </c>
      <c r="E70" s="104">
        <v>108</v>
      </c>
      <c r="F70" s="105">
        <v>149.99</v>
      </c>
      <c r="G70" s="114">
        <f t="shared" si="81"/>
        <v>144.59</v>
      </c>
      <c r="H70" s="114"/>
      <c r="I70" s="114">
        <f>E70-N70/Q70-AB70-Y70-O70-Z70-AA70</f>
        <v>18.4218167902416</v>
      </c>
      <c r="J70" s="115">
        <f>I70/E70</f>
        <v>0.170572377687422</v>
      </c>
      <c r="K70" s="104">
        <f>F70/1.2</f>
        <v>124.991666666667</v>
      </c>
      <c r="L70" s="162">
        <f>(K70-E70)/K70</f>
        <v>0.135942396159744</v>
      </c>
      <c r="M70" s="114">
        <f>F70/1.2-E70</f>
        <v>16.9916666666667</v>
      </c>
      <c r="N70" s="104">
        <f>AD70+AH70</f>
        <v>330.884955752212</v>
      </c>
      <c r="O70" s="104">
        <f>IFERROR(IF(A70="UK",7.6/P70,IF(A70="DE",7.5/P70,IF(A70="FR",14/P70,IF(A70="IT",15/P70,IF(A70="ES",19/P70,IF(A70="NL",12/P70,IF(A70="PL",15.06/P70,IF(A70="SE",18.5/P70,IF(A70="BE",15.27/P70))))))))),0)</f>
        <v>3.5</v>
      </c>
      <c r="P70" s="100">
        <v>4</v>
      </c>
      <c r="Q70" s="121">
        <v>7.4</v>
      </c>
      <c r="R70" s="122">
        <v>0.1</v>
      </c>
      <c r="S70" s="115">
        <f>Y70/F70</f>
        <v>0.0720048003200213</v>
      </c>
      <c r="T70" s="122">
        <v>0.05</v>
      </c>
      <c r="U70" s="122">
        <v>0.01</v>
      </c>
      <c r="V70" s="122">
        <f>N70/(E70*Q70)</f>
        <v>0.414020214905171</v>
      </c>
      <c r="W70" s="122">
        <f>O70/E70</f>
        <v>0.0324074074074074</v>
      </c>
      <c r="X70" s="116">
        <v>0.223</v>
      </c>
      <c r="Y70" s="126">
        <f>E70*R70</f>
        <v>10.8</v>
      </c>
      <c r="Z70" s="126">
        <f>E70*T70</f>
        <v>5.4</v>
      </c>
      <c r="AA70" s="126">
        <f>E70*U70</f>
        <v>1.08</v>
      </c>
      <c r="AB70" s="104">
        <f>E70*X70</f>
        <v>24.084</v>
      </c>
      <c r="AC70" s="104">
        <v>340</v>
      </c>
      <c r="AD70" s="127">
        <f>AC70/1.13</f>
        <v>300.884955752212</v>
      </c>
      <c r="AE70" s="121">
        <f>30/7.4</f>
        <v>4.05405405405405</v>
      </c>
      <c r="AF70" s="122">
        <f>AD70/(E70*Q70)</f>
        <v>0.376482677367633</v>
      </c>
      <c r="AG70" s="122">
        <f>AE70/Q70/E70</f>
        <v>0.00507264020777534</v>
      </c>
      <c r="AH70" s="121">
        <v>30</v>
      </c>
      <c r="AI70" s="122">
        <f>(K70-E70+AB70-Z70)/K70</f>
        <v>0.285424361624108</v>
      </c>
      <c r="AJ70" s="122"/>
      <c r="AK70" s="122"/>
      <c r="AL70" s="122"/>
      <c r="AM70" s="122"/>
      <c r="AN70" s="131"/>
      <c r="AO70" s="131"/>
      <c r="AP70" s="131"/>
      <c r="AQ70" s="131"/>
      <c r="AR70" s="131"/>
      <c r="AS70" s="131"/>
      <c r="AT70" s="131" t="s">
        <v>229</v>
      </c>
      <c r="AU70" s="131" t="s">
        <v>229</v>
      </c>
      <c r="AV70" s="131" t="s">
        <v>229</v>
      </c>
      <c r="AW70" s="131" t="s">
        <v>229</v>
      </c>
      <c r="AX70" s="131" t="s">
        <v>229</v>
      </c>
      <c r="AY70" s="131" t="s">
        <v>229</v>
      </c>
      <c r="AZ70" s="131" t="s">
        <v>229</v>
      </c>
      <c r="BA70" s="131" t="s">
        <v>229</v>
      </c>
      <c r="BB70" s="131" t="s">
        <v>229</v>
      </c>
      <c r="BC70" s="131" t="s">
        <v>229</v>
      </c>
      <c r="BD70" s="131" t="s">
        <v>229</v>
      </c>
      <c r="BE70" s="131" t="s">
        <v>229</v>
      </c>
      <c r="BF70" s="131" t="s">
        <v>229</v>
      </c>
      <c r="BG70" s="131" t="s">
        <v>229</v>
      </c>
      <c r="BH70" s="131" t="s">
        <v>229</v>
      </c>
      <c r="BI70" s="131" t="s">
        <v>229</v>
      </c>
      <c r="BJ70" s="131" t="s">
        <v>229</v>
      </c>
      <c r="BK70" s="131" t="s">
        <v>229</v>
      </c>
      <c r="BL70" s="131" t="s">
        <v>229</v>
      </c>
      <c r="BM70" s="131" t="s">
        <v>229</v>
      </c>
      <c r="BN70" s="131" t="s">
        <v>229</v>
      </c>
      <c r="BO70" s="131" t="s">
        <v>229</v>
      </c>
      <c r="BP70" s="131" t="s">
        <v>229</v>
      </c>
      <c r="BQ70" s="131" t="s">
        <v>229</v>
      </c>
      <c r="BR70" s="138" t="e">
        <f>IF(#REF!&lt;E70,1,0)</f>
        <v>#REF!</v>
      </c>
      <c r="BS70" s="137" t="s">
        <v>230</v>
      </c>
    </row>
    <row r="71" ht="15.6" spans="1:71">
      <c r="A71" s="100" t="s">
        <v>121</v>
      </c>
      <c r="B71" s="100" t="s">
        <v>259</v>
      </c>
      <c r="C71" s="100"/>
      <c r="D71" s="180" t="s">
        <v>260</v>
      </c>
      <c r="E71" s="104">
        <v>108</v>
      </c>
      <c r="F71" s="105">
        <v>149.99</v>
      </c>
      <c r="G71" s="114">
        <f t="shared" si="81"/>
        <v>144.59</v>
      </c>
      <c r="H71" s="114"/>
      <c r="I71" s="114">
        <f>E71-N71/Q71-AB71-Y71-O71-Z71-AA71</f>
        <v>19.6190167902416</v>
      </c>
      <c r="J71" s="115">
        <f>I71/E71</f>
        <v>0.181657562872607</v>
      </c>
      <c r="K71" s="104">
        <f>F71/1.2</f>
        <v>124.991666666667</v>
      </c>
      <c r="L71" s="162">
        <f>(K71-E71)/K71</f>
        <v>0.135942396159744</v>
      </c>
      <c r="M71" s="114">
        <f>F71/1.2-E71</f>
        <v>16.9916666666667</v>
      </c>
      <c r="N71" s="104">
        <f>AD71+AH71</f>
        <v>330.884955752212</v>
      </c>
      <c r="O71" s="104">
        <f>IFERROR(IF(A71="UK",7.6/P71,IF(A71="DE",7.5/P71,IF(A71="FR",14/P71,IF(A71="IT",15/P71,IF(A71="ES",19/P71,IF(A71="NL",12/P71,IF(A71="PL",15.06/P71,IF(A71="SE",18.5/P71,IF(A71="BE",15.27/P71))))))))),0)</f>
        <v>3.75</v>
      </c>
      <c r="P71" s="100">
        <v>4</v>
      </c>
      <c r="Q71" s="121">
        <v>7.4</v>
      </c>
      <c r="R71" s="122">
        <v>0.1</v>
      </c>
      <c r="S71" s="115">
        <f>Y71/F71</f>
        <v>0.0720048003200213</v>
      </c>
      <c r="T71" s="122">
        <v>0.05</v>
      </c>
      <c r="U71" s="122">
        <v>0.01</v>
      </c>
      <c r="V71" s="122">
        <f>N71/(E71*Q71)</f>
        <v>0.414020214905171</v>
      </c>
      <c r="W71" s="122">
        <f>O71/E71</f>
        <v>0.0347222222222222</v>
      </c>
      <c r="X71" s="116">
        <v>0.2096</v>
      </c>
      <c r="Y71" s="126">
        <f>E71*R71</f>
        <v>10.8</v>
      </c>
      <c r="Z71" s="126">
        <f>E71*T71</f>
        <v>5.4</v>
      </c>
      <c r="AA71" s="126">
        <f>E71*U71</f>
        <v>1.08</v>
      </c>
      <c r="AB71" s="104">
        <f>E71*X71</f>
        <v>22.6368</v>
      </c>
      <c r="AC71" s="104">
        <v>340</v>
      </c>
      <c r="AD71" s="127">
        <f>AC71/1.13</f>
        <v>300.884955752212</v>
      </c>
      <c r="AE71" s="121">
        <f>30/7.4</f>
        <v>4.05405405405405</v>
      </c>
      <c r="AF71" s="122">
        <f>AD71/(E71*Q71)</f>
        <v>0.376482677367633</v>
      </c>
      <c r="AG71" s="122">
        <f>AE71/Q71/E71</f>
        <v>0.00507264020777534</v>
      </c>
      <c r="AH71" s="121">
        <v>30</v>
      </c>
      <c r="AI71" s="122">
        <f>(K71-E71+AB71-Z71)/K71</f>
        <v>0.273845989732649</v>
      </c>
      <c r="AJ71" s="122"/>
      <c r="AK71" s="122"/>
      <c r="AL71" s="122"/>
      <c r="AM71" s="122"/>
      <c r="AN71" s="131"/>
      <c r="AO71" s="131"/>
      <c r="AP71" s="131"/>
      <c r="AQ71" s="131"/>
      <c r="AR71" s="131"/>
      <c r="AS71" s="131"/>
      <c r="AT71" s="131" t="s">
        <v>229</v>
      </c>
      <c r="AU71" s="131" t="s">
        <v>229</v>
      </c>
      <c r="AV71" s="131" t="s">
        <v>229</v>
      </c>
      <c r="AW71" s="131" t="s">
        <v>229</v>
      </c>
      <c r="AX71" s="131" t="s">
        <v>229</v>
      </c>
      <c r="AY71" s="131" t="s">
        <v>229</v>
      </c>
      <c r="AZ71" s="131" t="s">
        <v>229</v>
      </c>
      <c r="BA71" s="131" t="s">
        <v>229</v>
      </c>
      <c r="BB71" s="131" t="s">
        <v>229</v>
      </c>
      <c r="BC71" s="131" t="s">
        <v>229</v>
      </c>
      <c r="BD71" s="131" t="s">
        <v>229</v>
      </c>
      <c r="BE71" s="131" t="s">
        <v>229</v>
      </c>
      <c r="BF71" s="131" t="s">
        <v>229</v>
      </c>
      <c r="BG71" s="131" t="s">
        <v>229</v>
      </c>
      <c r="BH71" s="131" t="s">
        <v>229</v>
      </c>
      <c r="BI71" s="131" t="s">
        <v>229</v>
      </c>
      <c r="BJ71" s="131" t="s">
        <v>229</v>
      </c>
      <c r="BK71" s="131" t="s">
        <v>229</v>
      </c>
      <c r="BL71" s="131" t="s">
        <v>229</v>
      </c>
      <c r="BM71" s="131" t="s">
        <v>229</v>
      </c>
      <c r="BN71" s="131" t="s">
        <v>229</v>
      </c>
      <c r="BO71" s="131" t="s">
        <v>229</v>
      </c>
      <c r="BP71" s="131" t="s">
        <v>229</v>
      </c>
      <c r="BQ71" s="131" t="s">
        <v>229</v>
      </c>
      <c r="BR71" s="138" t="e">
        <f>IF(#REF!&lt;E71,1,0)</f>
        <v>#REF!</v>
      </c>
      <c r="BS71" s="137" t="s">
        <v>230</v>
      </c>
    </row>
    <row r="72" ht="15.6" spans="1:71">
      <c r="A72" s="100" t="s">
        <v>124</v>
      </c>
      <c r="B72" s="100" t="s">
        <v>259</v>
      </c>
      <c r="C72" s="100"/>
      <c r="D72" s="180" t="s">
        <v>260</v>
      </c>
      <c r="E72" s="104">
        <v>108</v>
      </c>
      <c r="F72" s="105">
        <v>149.99</v>
      </c>
      <c r="G72" s="114">
        <f t="shared" si="81"/>
        <v>144.59</v>
      </c>
      <c r="H72" s="114"/>
      <c r="I72" s="114">
        <f>E72-N72/Q72-AB72-Y72-O72-Z72-AA72</f>
        <v>20.7790167902416</v>
      </c>
      <c r="J72" s="115">
        <f>I72/E72</f>
        <v>0.192398303613348</v>
      </c>
      <c r="K72" s="104">
        <f>F72/1.2</f>
        <v>124.991666666667</v>
      </c>
      <c r="L72" s="162">
        <f>(K72-E72)/K72</f>
        <v>0.135942396159744</v>
      </c>
      <c r="M72" s="114">
        <f>F72/1.2-E72</f>
        <v>16.9916666666667</v>
      </c>
      <c r="N72" s="104">
        <f>AD72+AH72</f>
        <v>330.884955752212</v>
      </c>
      <c r="O72" s="104">
        <f>IFERROR(IF(A72="UK",7.6/P72,IF(A72="DE",7.5/P72,IF(A72="FR",14/P72,IF(A72="IT",15/P72,IF(A72="ES",19/P72,IF(A72="NL",12/P72,IF(A72="PL",15.06/P72,IF(A72="SE",18.5/P72,IF(A72="BE",15.27/P72))))))))),0)</f>
        <v>4.75</v>
      </c>
      <c r="P72" s="100">
        <v>4</v>
      </c>
      <c r="Q72" s="121">
        <v>7.4</v>
      </c>
      <c r="R72" s="122">
        <v>0.1</v>
      </c>
      <c r="S72" s="115">
        <f>Y72/F72</f>
        <v>0.0720048003200213</v>
      </c>
      <c r="T72" s="122">
        <v>0.05</v>
      </c>
      <c r="U72" s="122">
        <v>0.01</v>
      </c>
      <c r="V72" s="122">
        <f>N72/(E72*Q72)</f>
        <v>0.414020214905171</v>
      </c>
      <c r="W72" s="122">
        <f>O72/E72</f>
        <v>0.0439814814814815</v>
      </c>
      <c r="X72" s="116">
        <v>0.1896</v>
      </c>
      <c r="Y72" s="126">
        <f>E72*R72</f>
        <v>10.8</v>
      </c>
      <c r="Z72" s="126">
        <f>E72*T72</f>
        <v>5.4</v>
      </c>
      <c r="AA72" s="126">
        <f>E72*U72</f>
        <v>1.08</v>
      </c>
      <c r="AB72" s="104">
        <f>E72*X72</f>
        <v>20.4768</v>
      </c>
      <c r="AC72" s="104">
        <v>340</v>
      </c>
      <c r="AD72" s="127">
        <f>AC72/1.13</f>
        <v>300.884955752212</v>
      </c>
      <c r="AE72" s="121">
        <f>30/7.4</f>
        <v>4.05405405405405</v>
      </c>
      <c r="AF72" s="122">
        <f>AD72/(E72*Q72)</f>
        <v>0.376482677367633</v>
      </c>
      <c r="AG72" s="122">
        <f>AE72/Q72/E72</f>
        <v>0.00507264020777534</v>
      </c>
      <c r="AH72" s="121">
        <v>30</v>
      </c>
      <c r="AI72" s="122">
        <f>(K72-E72+AB72-Z72)/K72</f>
        <v>0.256564837655844</v>
      </c>
      <c r="AJ72" s="122"/>
      <c r="AK72" s="122"/>
      <c r="AL72" s="122"/>
      <c r="AM72" s="122"/>
      <c r="AN72" s="131"/>
      <c r="AO72" s="131"/>
      <c r="AP72" s="131"/>
      <c r="AQ72" s="131"/>
      <c r="AR72" s="131"/>
      <c r="AS72" s="131"/>
      <c r="AT72" s="131" t="s">
        <v>229</v>
      </c>
      <c r="AU72" s="131" t="s">
        <v>229</v>
      </c>
      <c r="AV72" s="131" t="s">
        <v>229</v>
      </c>
      <c r="AW72" s="131" t="s">
        <v>229</v>
      </c>
      <c r="AX72" s="131" t="s">
        <v>229</v>
      </c>
      <c r="AY72" s="131" t="s">
        <v>229</v>
      </c>
      <c r="AZ72" s="131" t="s">
        <v>229</v>
      </c>
      <c r="BA72" s="131" t="s">
        <v>229</v>
      </c>
      <c r="BB72" s="131" t="s">
        <v>229</v>
      </c>
      <c r="BC72" s="131" t="s">
        <v>229</v>
      </c>
      <c r="BD72" s="131" t="s">
        <v>229</v>
      </c>
      <c r="BE72" s="131" t="s">
        <v>229</v>
      </c>
      <c r="BF72" s="131" t="s">
        <v>229</v>
      </c>
      <c r="BG72" s="131" t="s">
        <v>229</v>
      </c>
      <c r="BH72" s="131" t="s">
        <v>229</v>
      </c>
      <c r="BI72" s="131" t="s">
        <v>229</v>
      </c>
      <c r="BJ72" s="131" t="s">
        <v>229</v>
      </c>
      <c r="BK72" s="131" t="s">
        <v>229</v>
      </c>
      <c r="BL72" s="131" t="s">
        <v>229</v>
      </c>
      <c r="BM72" s="131" t="s">
        <v>229</v>
      </c>
      <c r="BN72" s="131" t="s">
        <v>229</v>
      </c>
      <c r="BO72" s="131" t="s">
        <v>229</v>
      </c>
      <c r="BP72" s="131" t="s">
        <v>229</v>
      </c>
      <c r="BQ72" s="131" t="s">
        <v>229</v>
      </c>
      <c r="BR72" s="138" t="e">
        <f>IF(#REF!&lt;E72,1,0)</f>
        <v>#REF!</v>
      </c>
      <c r="BS72" s="137" t="s">
        <v>230</v>
      </c>
    </row>
    <row r="73" ht="15" spans="7:71">
      <c r="G73" s="114">
        <f t="shared" si="81"/>
        <v>0</v>
      </c>
      <c r="H73" s="7"/>
      <c r="N73" s="104"/>
      <c r="S73" s="7"/>
      <c r="AE73" s="8"/>
      <c r="AI73" s="7"/>
      <c r="BS73" s="7" t="s">
        <v>230</v>
      </c>
    </row>
    <row r="74" ht="15.6" spans="1:71">
      <c r="A74" s="100" t="s">
        <v>127</v>
      </c>
      <c r="B74" s="100"/>
      <c r="C74" s="100"/>
      <c r="D74" s="156" t="s">
        <v>261</v>
      </c>
      <c r="E74" s="104">
        <v>85</v>
      </c>
      <c r="F74" s="105">
        <v>119.99</v>
      </c>
      <c r="G74" s="114">
        <f t="shared" si="81"/>
        <v>115.74</v>
      </c>
      <c r="H74" s="114"/>
      <c r="I74" s="114">
        <f>E74-N74/Q74-AB74-Y74-O74-Z74-AA74</f>
        <v>21.4939545375672</v>
      </c>
      <c r="J74" s="115">
        <f>I74/E74</f>
        <v>0.252870053383144</v>
      </c>
      <c r="K74" s="104">
        <f>F74/1.2</f>
        <v>99.9916666666667</v>
      </c>
      <c r="L74" s="162">
        <f>(K74-E74)/K74</f>
        <v>0.149929160763397</v>
      </c>
      <c r="M74" s="114">
        <f>F74/1.2-E74</f>
        <v>14.9916666666667</v>
      </c>
      <c r="N74" s="104">
        <f>AD74+AH74</f>
        <v>266.838053097345</v>
      </c>
      <c r="O74" s="104">
        <f>IFERROR(IF(A74="UK",7.6/P74,IF(A74="DE",7.5/P74,IF(A74="FR",14/P74,IF(A74="IT",15/P74,IF(A74="ES",19/P74,IF(A74="NL",12/P74,IF(A74="PL",15.06/P74,IF(A74="SE",18.5/P74,IF(A74="BE",15.27/P74))))))))),0)</f>
        <v>2.53333333333333</v>
      </c>
      <c r="P74" s="137">
        <v>3</v>
      </c>
      <c r="Q74" s="121">
        <v>8.5</v>
      </c>
      <c r="R74" s="122">
        <v>0.13</v>
      </c>
      <c r="S74" s="115">
        <f>Y74/F74</f>
        <v>0.0920910075839653</v>
      </c>
      <c r="T74" s="122">
        <v>0.05</v>
      </c>
      <c r="U74" s="122">
        <v>0.01</v>
      </c>
      <c r="V74" s="122">
        <f>N74/(E74*Q74)</f>
        <v>0.369326025048229</v>
      </c>
      <c r="W74" s="122">
        <f>O74/E74</f>
        <v>0.0298039215686275</v>
      </c>
      <c r="X74" s="116">
        <v>0.158</v>
      </c>
      <c r="Y74" s="126">
        <f>E74*R74</f>
        <v>11.05</v>
      </c>
      <c r="Z74" s="126">
        <f>E74*T74</f>
        <v>4.25</v>
      </c>
      <c r="AA74" s="126">
        <f>E74*U74</f>
        <v>0.85</v>
      </c>
      <c r="AB74" s="104">
        <f>E74*X74</f>
        <v>13.43</v>
      </c>
      <c r="AC74" s="104">
        <v>270</v>
      </c>
      <c r="AD74" s="127">
        <f>AC74/1.13</f>
        <v>238.938053097345</v>
      </c>
      <c r="AE74" s="121">
        <f>30/8.5</f>
        <v>3.52941176470588</v>
      </c>
      <c r="AF74" s="122">
        <f>AD74/(E74*Q74)</f>
        <v>0.330710108093211</v>
      </c>
      <c r="AG74" s="122">
        <f>AE74/Q74/E74</f>
        <v>0.00488499898229188</v>
      </c>
      <c r="AH74" s="121">
        <v>27.9</v>
      </c>
      <c r="AI74" s="122">
        <f>(K74-E74+AB74-Z74)/K74</f>
        <v>0.24173681140095</v>
      </c>
      <c r="AJ74" s="122"/>
      <c r="AK74" s="122"/>
      <c r="AL74" s="122"/>
      <c r="AM74" s="122"/>
      <c r="AN74" s="131"/>
      <c r="AO74" s="131"/>
      <c r="AP74" s="131"/>
      <c r="AQ74" s="131"/>
      <c r="AR74" s="131"/>
      <c r="AS74" s="131"/>
      <c r="AT74" s="131" t="s">
        <v>229</v>
      </c>
      <c r="AU74" s="131" t="s">
        <v>229</v>
      </c>
      <c r="AV74" s="131" t="s">
        <v>229</v>
      </c>
      <c r="AW74" s="131" t="s">
        <v>229</v>
      </c>
      <c r="AX74" s="131" t="s">
        <v>229</v>
      </c>
      <c r="AY74" s="131" t="s">
        <v>229</v>
      </c>
      <c r="AZ74" s="131" t="s">
        <v>229</v>
      </c>
      <c r="BA74" s="131" t="s">
        <v>229</v>
      </c>
      <c r="BB74" s="131" t="s">
        <v>229</v>
      </c>
      <c r="BC74" s="131" t="s">
        <v>229</v>
      </c>
      <c r="BD74" s="131" t="s">
        <v>229</v>
      </c>
      <c r="BE74" s="131" t="s">
        <v>229</v>
      </c>
      <c r="BF74" s="131" t="s">
        <v>229</v>
      </c>
      <c r="BG74" s="131" t="s">
        <v>229</v>
      </c>
      <c r="BH74" s="131" t="s">
        <v>229</v>
      </c>
      <c r="BI74" s="131" t="s">
        <v>229</v>
      </c>
      <c r="BJ74" s="131" t="s">
        <v>229</v>
      </c>
      <c r="BK74" s="131" t="s">
        <v>229</v>
      </c>
      <c r="BL74" s="131" t="s">
        <v>229</v>
      </c>
      <c r="BM74" s="131" t="s">
        <v>229</v>
      </c>
      <c r="BN74" s="131" t="s">
        <v>229</v>
      </c>
      <c r="BO74" s="131" t="s">
        <v>229</v>
      </c>
      <c r="BP74" s="131" t="s">
        <v>229</v>
      </c>
      <c r="BQ74" s="131" t="s">
        <v>229</v>
      </c>
      <c r="BR74" s="138" t="e">
        <f>IF(#REF!&lt;E74,1,0)</f>
        <v>#REF!</v>
      </c>
      <c r="BS74" s="137" t="s">
        <v>230</v>
      </c>
    </row>
    <row r="75" ht="15.6" spans="1:71">
      <c r="A75" s="100" t="s">
        <v>107</v>
      </c>
      <c r="B75" s="100"/>
      <c r="C75" s="100"/>
      <c r="D75" s="156" t="s">
        <v>261</v>
      </c>
      <c r="E75" s="104">
        <v>84</v>
      </c>
      <c r="F75" s="105">
        <v>119</v>
      </c>
      <c r="G75" s="114">
        <f t="shared" si="81"/>
        <v>114.8</v>
      </c>
      <c r="H75" s="114"/>
      <c r="I75" s="114">
        <f>E75-N75/Q75-AB75-Y75-O75-Z75-AA75</f>
        <v>13.1428036354939</v>
      </c>
      <c r="J75" s="115">
        <f>I75/E75</f>
        <v>0.156461948041594</v>
      </c>
      <c r="K75" s="104">
        <f>F75/1.2</f>
        <v>99.1666666666667</v>
      </c>
      <c r="L75" s="162">
        <f>(K75-E75)/K75</f>
        <v>0.152941176470588</v>
      </c>
      <c r="M75" s="114">
        <f>F75/1.2-E75</f>
        <v>15.1666666666667</v>
      </c>
      <c r="N75" s="104">
        <f>AD75+AH75</f>
        <v>266.838053097345</v>
      </c>
      <c r="O75" s="104">
        <f>IFERROR(IF(A75="UK",7.6/P75,IF(A75="DE",7.5/P75,IF(A75="FR",14/P75,IF(A75="IT",15/P75,IF(A75="ES",19/P75,IF(A75="NL",12/P75,IF(A75="PL",15.06/P75,IF(A75="SE",18.5/P75,IF(A75="BE",15.27/P75))))))))),0)</f>
        <v>2.5</v>
      </c>
      <c r="P75" s="100">
        <v>3</v>
      </c>
      <c r="Q75" s="121">
        <v>7.4</v>
      </c>
      <c r="R75" s="122">
        <v>0.13</v>
      </c>
      <c r="S75" s="115">
        <f>Y75/F75</f>
        <v>0.0917647058823529</v>
      </c>
      <c r="T75" s="122">
        <v>0.05</v>
      </c>
      <c r="U75" s="122">
        <v>0.01</v>
      </c>
      <c r="V75" s="122">
        <f>N75/(E75*Q75)</f>
        <v>0.429276147196501</v>
      </c>
      <c r="W75" s="122">
        <f>O75/E75</f>
        <v>0.0297619047619048</v>
      </c>
      <c r="X75" s="116">
        <v>0.1945</v>
      </c>
      <c r="Y75" s="126">
        <f>E75*R75</f>
        <v>10.92</v>
      </c>
      <c r="Z75" s="126">
        <f>E75*T75</f>
        <v>4.2</v>
      </c>
      <c r="AA75" s="126">
        <f>E75*U75</f>
        <v>0.84</v>
      </c>
      <c r="AB75" s="104">
        <f>E75*X75</f>
        <v>16.338</v>
      </c>
      <c r="AC75" s="104">
        <v>270</v>
      </c>
      <c r="AD75" s="127">
        <f>AC75/1.13</f>
        <v>238.938053097345</v>
      </c>
      <c r="AE75" s="121">
        <f>27.9/7.4</f>
        <v>3.77027027027027</v>
      </c>
      <c r="AF75" s="122">
        <f>AD75/(E75*Q75)</f>
        <v>0.384391977312331</v>
      </c>
      <c r="AG75" s="122">
        <f>AE75/Q75/E75</f>
        <v>0.00606542836272566</v>
      </c>
      <c r="AH75" s="121">
        <v>27.9</v>
      </c>
      <c r="AI75" s="122">
        <f>(K75-E75+AB75-Z75)/K75</f>
        <v>0.275341176470588</v>
      </c>
      <c r="AJ75" s="122"/>
      <c r="AK75" s="122"/>
      <c r="AL75" s="122"/>
      <c r="AM75" s="122"/>
      <c r="AN75" s="131"/>
      <c r="AO75" s="131"/>
      <c r="AP75" s="131"/>
      <c r="AQ75" s="131"/>
      <c r="AR75" s="131"/>
      <c r="AS75" s="131"/>
      <c r="AT75" s="131" t="s">
        <v>229</v>
      </c>
      <c r="AU75" s="131" t="s">
        <v>229</v>
      </c>
      <c r="AV75" s="131" t="s">
        <v>229</v>
      </c>
      <c r="AW75" s="131" t="s">
        <v>229</v>
      </c>
      <c r="AX75" s="131" t="s">
        <v>229</v>
      </c>
      <c r="AY75" s="131" t="s">
        <v>229</v>
      </c>
      <c r="AZ75" s="131" t="s">
        <v>229</v>
      </c>
      <c r="BA75" s="131" t="s">
        <v>229</v>
      </c>
      <c r="BB75" s="131" t="s">
        <v>229</v>
      </c>
      <c r="BC75" s="131" t="s">
        <v>229</v>
      </c>
      <c r="BD75" s="131" t="s">
        <v>229</v>
      </c>
      <c r="BE75" s="131" t="s">
        <v>229</v>
      </c>
      <c r="BF75" s="131" t="s">
        <v>229</v>
      </c>
      <c r="BG75" s="131" t="s">
        <v>229</v>
      </c>
      <c r="BH75" s="131" t="s">
        <v>229</v>
      </c>
      <c r="BI75" s="131" t="s">
        <v>229</v>
      </c>
      <c r="BJ75" s="131" t="s">
        <v>229</v>
      </c>
      <c r="BK75" s="131" t="s">
        <v>229</v>
      </c>
      <c r="BL75" s="131" t="s">
        <v>229</v>
      </c>
      <c r="BM75" s="131" t="s">
        <v>229</v>
      </c>
      <c r="BN75" s="131" t="s">
        <v>229</v>
      </c>
      <c r="BO75" s="131" t="s">
        <v>229</v>
      </c>
      <c r="BP75" s="131" t="s">
        <v>229</v>
      </c>
      <c r="BQ75" s="131" t="s">
        <v>229</v>
      </c>
      <c r="BR75" s="138" t="e">
        <f>IF(#REF!&lt;E75,1,0)</f>
        <v>#REF!</v>
      </c>
      <c r="BS75" s="137" t="s">
        <v>230</v>
      </c>
    </row>
    <row r="76" ht="15.6" spans="1:71">
      <c r="A76" s="100" t="s">
        <v>119</v>
      </c>
      <c r="B76" s="100"/>
      <c r="C76" s="100"/>
      <c r="D76" s="156" t="s">
        <v>261</v>
      </c>
      <c r="E76" s="104">
        <v>93</v>
      </c>
      <c r="F76" s="105">
        <v>129.99</v>
      </c>
      <c r="G76" s="114">
        <f t="shared" si="81"/>
        <v>125.34</v>
      </c>
      <c r="H76" s="114"/>
      <c r="I76" s="114">
        <f>E76-N76/Q76-AB76-Y76-O76-Z76-AA76</f>
        <v>13.8651369688272</v>
      </c>
      <c r="J76" s="115">
        <f>I76/E76</f>
        <v>0.149087494288465</v>
      </c>
      <c r="K76" s="104">
        <f>F76/1.2</f>
        <v>108.325</v>
      </c>
      <c r="L76" s="162">
        <f>(K76-E76)/K76</f>
        <v>0.141472420955458</v>
      </c>
      <c r="M76" s="114">
        <f>F76/1.2-E76</f>
        <v>15.325</v>
      </c>
      <c r="N76" s="104">
        <f>AD76+AH76</f>
        <v>266.838053097345</v>
      </c>
      <c r="O76" s="104">
        <f>IFERROR(IF(A76="UK",7.6/P76,IF(A76="DE",7.5/P76,IF(A76="FR",14/P76,IF(A76="IT",15/P76,IF(A76="ES",19/P76,IF(A76="NL",12/P76,IF(A76="PL",15.06/P76,IF(A76="SE",18.5/P76,IF(A76="BE",15.27/P76))))))))),0)</f>
        <v>4.66666666666667</v>
      </c>
      <c r="P76" s="100">
        <v>3</v>
      </c>
      <c r="Q76" s="121">
        <v>7.4</v>
      </c>
      <c r="R76" s="122">
        <v>0.13</v>
      </c>
      <c r="S76" s="115">
        <f>Y76/F76</f>
        <v>0.093007154396492</v>
      </c>
      <c r="T76" s="122">
        <v>0.05</v>
      </c>
      <c r="U76" s="122">
        <v>0.01</v>
      </c>
      <c r="V76" s="122">
        <f>N76/(E76*Q76)</f>
        <v>0.387733294242001</v>
      </c>
      <c r="W76" s="122">
        <f>O76/E76</f>
        <v>0.0501792114695341</v>
      </c>
      <c r="X76" s="116">
        <v>0.223</v>
      </c>
      <c r="Y76" s="126">
        <f>E76*R76</f>
        <v>12.09</v>
      </c>
      <c r="Z76" s="126">
        <f>E76*T76</f>
        <v>4.65</v>
      </c>
      <c r="AA76" s="126">
        <f>E76*U76</f>
        <v>0.93</v>
      </c>
      <c r="AB76" s="104">
        <f>E76*X76</f>
        <v>20.739</v>
      </c>
      <c r="AC76" s="104">
        <v>270</v>
      </c>
      <c r="AD76" s="127">
        <f>AC76/1.13</f>
        <v>238.938053097345</v>
      </c>
      <c r="AE76" s="121">
        <f>27.9/7.4</f>
        <v>3.77027027027027</v>
      </c>
      <c r="AF76" s="122">
        <f>AD76/(E76*Q76)</f>
        <v>0.347192753701461</v>
      </c>
      <c r="AG76" s="122">
        <f>AE76/Q76/E76</f>
        <v>0.00547845142439737</v>
      </c>
      <c r="AH76" s="121">
        <v>27.9</v>
      </c>
      <c r="AI76" s="122">
        <f>(K76-E76+AB76-Z76)/K76</f>
        <v>0.289997692130164</v>
      </c>
      <c r="AJ76" s="122"/>
      <c r="AK76" s="122"/>
      <c r="AL76" s="122"/>
      <c r="AM76" s="122"/>
      <c r="AN76" s="131"/>
      <c r="AO76" s="131"/>
      <c r="AP76" s="131"/>
      <c r="AQ76" s="131"/>
      <c r="AR76" s="131"/>
      <c r="AS76" s="131"/>
      <c r="AT76" s="131" t="s">
        <v>229</v>
      </c>
      <c r="AU76" s="131" t="s">
        <v>229</v>
      </c>
      <c r="AV76" s="131" t="s">
        <v>229</v>
      </c>
      <c r="AW76" s="131" t="s">
        <v>229</v>
      </c>
      <c r="AX76" s="131" t="s">
        <v>229</v>
      </c>
      <c r="AY76" s="131" t="s">
        <v>229</v>
      </c>
      <c r="AZ76" s="131" t="s">
        <v>229</v>
      </c>
      <c r="BA76" s="131" t="s">
        <v>229</v>
      </c>
      <c r="BB76" s="131" t="s">
        <v>229</v>
      </c>
      <c r="BC76" s="131" t="s">
        <v>229</v>
      </c>
      <c r="BD76" s="131" t="s">
        <v>229</v>
      </c>
      <c r="BE76" s="131" t="s">
        <v>229</v>
      </c>
      <c r="BF76" s="131" t="s">
        <v>229</v>
      </c>
      <c r="BG76" s="131" t="s">
        <v>229</v>
      </c>
      <c r="BH76" s="131" t="s">
        <v>229</v>
      </c>
      <c r="BI76" s="131" t="s">
        <v>229</v>
      </c>
      <c r="BJ76" s="131" t="s">
        <v>229</v>
      </c>
      <c r="BK76" s="131" t="s">
        <v>229</v>
      </c>
      <c r="BL76" s="131" t="s">
        <v>229</v>
      </c>
      <c r="BM76" s="131" t="s">
        <v>229</v>
      </c>
      <c r="BN76" s="131" t="s">
        <v>229</v>
      </c>
      <c r="BO76" s="131" t="s">
        <v>229</v>
      </c>
      <c r="BP76" s="131" t="s">
        <v>229</v>
      </c>
      <c r="BQ76" s="131" t="s">
        <v>229</v>
      </c>
      <c r="BR76" s="138" t="e">
        <f>IF(#REF!&lt;E76,1,0)</f>
        <v>#REF!</v>
      </c>
      <c r="BS76" s="137" t="s">
        <v>230</v>
      </c>
    </row>
    <row r="77" ht="15.6" spans="1:71">
      <c r="A77" s="100" t="s">
        <v>121</v>
      </c>
      <c r="B77" s="100"/>
      <c r="C77" s="100"/>
      <c r="D77" s="156" t="s">
        <v>261</v>
      </c>
      <c r="E77" s="104">
        <v>93</v>
      </c>
      <c r="F77" s="105">
        <v>129.99</v>
      </c>
      <c r="G77" s="114">
        <f t="shared" si="81"/>
        <v>125.34</v>
      </c>
      <c r="H77" s="114"/>
      <c r="I77" s="114">
        <f>E77-N77/Q77-AB77-Y77-O77-Z77-AA77</f>
        <v>14.7780036354939</v>
      </c>
      <c r="J77" s="115">
        <f>I77/E77</f>
        <v>0.158903264897784</v>
      </c>
      <c r="K77" s="104">
        <f>F77/1.2</f>
        <v>108.325</v>
      </c>
      <c r="L77" s="162">
        <f>(K77-E77)/K77</f>
        <v>0.141472420955458</v>
      </c>
      <c r="M77" s="114">
        <f>F77/1.2-E77</f>
        <v>15.325</v>
      </c>
      <c r="N77" s="104">
        <f>AD77+AH77</f>
        <v>266.838053097345</v>
      </c>
      <c r="O77" s="104">
        <f>IFERROR(IF(A77="UK",7.6/P77,IF(A77="DE",7.5/P77,IF(A77="FR",14/P77,IF(A77="IT",15/P77,IF(A77="ES",19/P77,IF(A77="NL",12/P77,IF(A77="PL",15.06/P77,IF(A77="SE",18.5/P77,IF(A77="BE",15.27/P77))))))))),0)</f>
        <v>5</v>
      </c>
      <c r="P77" s="100">
        <v>3</v>
      </c>
      <c r="Q77" s="121">
        <v>7.4</v>
      </c>
      <c r="R77" s="122">
        <v>0.13</v>
      </c>
      <c r="S77" s="115">
        <f>Y77/F77</f>
        <v>0.093007154396492</v>
      </c>
      <c r="T77" s="122">
        <v>0.05</v>
      </c>
      <c r="U77" s="122">
        <v>0.01</v>
      </c>
      <c r="V77" s="122">
        <f>N77/(E77*Q77)</f>
        <v>0.387733294242001</v>
      </c>
      <c r="W77" s="122">
        <f>O77/E77</f>
        <v>0.0537634408602151</v>
      </c>
      <c r="X77" s="116">
        <v>0.2096</v>
      </c>
      <c r="Y77" s="126">
        <f>E77*R77</f>
        <v>12.09</v>
      </c>
      <c r="Z77" s="126">
        <f>E77*T77</f>
        <v>4.65</v>
      </c>
      <c r="AA77" s="126">
        <f>E77*U77</f>
        <v>0.93</v>
      </c>
      <c r="AB77" s="104">
        <f>E77*X77</f>
        <v>19.4928</v>
      </c>
      <c r="AC77" s="104">
        <v>270</v>
      </c>
      <c r="AD77" s="127">
        <f>AC77/1.13</f>
        <v>238.938053097345</v>
      </c>
      <c r="AE77" s="121">
        <f>27.9/7.4</f>
        <v>3.77027027027027</v>
      </c>
      <c r="AF77" s="122">
        <f>AD77/(E77*Q77)</f>
        <v>0.347192753701461</v>
      </c>
      <c r="AG77" s="122">
        <f>AE77/Q77/E77</f>
        <v>0.00547845142439737</v>
      </c>
      <c r="AH77" s="121">
        <v>27.9</v>
      </c>
      <c r="AI77" s="122">
        <f>(K77-E77+AB77-Z77)/K77</f>
        <v>0.278493422570967</v>
      </c>
      <c r="AJ77" s="122"/>
      <c r="AK77" s="122"/>
      <c r="AL77" s="122"/>
      <c r="AM77" s="122"/>
      <c r="AN77" s="131"/>
      <c r="AO77" s="131"/>
      <c r="AP77" s="131"/>
      <c r="AQ77" s="131"/>
      <c r="AR77" s="131"/>
      <c r="AS77" s="131"/>
      <c r="AT77" s="131" t="s">
        <v>229</v>
      </c>
      <c r="AU77" s="131" t="s">
        <v>229</v>
      </c>
      <c r="AV77" s="131" t="s">
        <v>229</v>
      </c>
      <c r="AW77" s="131" t="s">
        <v>229</v>
      </c>
      <c r="AX77" s="131" t="s">
        <v>229</v>
      </c>
      <c r="AY77" s="131" t="s">
        <v>229</v>
      </c>
      <c r="AZ77" s="131" t="s">
        <v>229</v>
      </c>
      <c r="BA77" s="131" t="s">
        <v>229</v>
      </c>
      <c r="BB77" s="131" t="s">
        <v>229</v>
      </c>
      <c r="BC77" s="131" t="s">
        <v>229</v>
      </c>
      <c r="BD77" s="131" t="s">
        <v>229</v>
      </c>
      <c r="BE77" s="131" t="s">
        <v>229</v>
      </c>
      <c r="BF77" s="131" t="s">
        <v>229</v>
      </c>
      <c r="BG77" s="131" t="s">
        <v>229</v>
      </c>
      <c r="BH77" s="131" t="s">
        <v>229</v>
      </c>
      <c r="BI77" s="131" t="s">
        <v>229</v>
      </c>
      <c r="BJ77" s="131" t="s">
        <v>229</v>
      </c>
      <c r="BK77" s="131" t="s">
        <v>229</v>
      </c>
      <c r="BL77" s="131" t="s">
        <v>229</v>
      </c>
      <c r="BM77" s="131" t="s">
        <v>229</v>
      </c>
      <c r="BN77" s="131" t="s">
        <v>229</v>
      </c>
      <c r="BO77" s="131" t="s">
        <v>229</v>
      </c>
      <c r="BP77" s="131" t="s">
        <v>229</v>
      </c>
      <c r="BQ77" s="131" t="s">
        <v>229</v>
      </c>
      <c r="BR77" s="138" t="e">
        <f>IF(#REF!&lt;E77,1,0)</f>
        <v>#REF!</v>
      </c>
      <c r="BS77" s="137" t="s">
        <v>230</v>
      </c>
    </row>
    <row r="78" ht="15.6" spans="1:71">
      <c r="A78" s="100" t="s">
        <v>124</v>
      </c>
      <c r="B78" s="100"/>
      <c r="C78" s="100"/>
      <c r="D78" s="156" t="s">
        <v>261</v>
      </c>
      <c r="E78" s="104">
        <v>93</v>
      </c>
      <c r="F78" s="105">
        <v>129.99</v>
      </c>
      <c r="G78" s="114">
        <f t="shared" si="81"/>
        <v>125.34</v>
      </c>
      <c r="H78" s="114"/>
      <c r="I78" s="114">
        <f>E78-N78/Q78-AB78-Y78-O78-Z78-AA78</f>
        <v>15.3046703021606</v>
      </c>
      <c r="J78" s="115">
        <f>I78/E78</f>
        <v>0.16456634733506</v>
      </c>
      <c r="K78" s="104">
        <f>F78/1.2</f>
        <v>108.325</v>
      </c>
      <c r="L78" s="162">
        <f>(K78-E78)/K78</f>
        <v>0.141472420955458</v>
      </c>
      <c r="M78" s="114">
        <f>F78/1.2-E78</f>
        <v>15.325</v>
      </c>
      <c r="N78" s="104">
        <f>AD78+AH78</f>
        <v>266.838053097345</v>
      </c>
      <c r="O78" s="104">
        <f>IFERROR(IF(A78="UK",7.6/P78,IF(A78="DE",7.5/P78,IF(A78="FR",14/P78,IF(A78="IT",15/P78,IF(A78="ES",19/P78,IF(A78="NL",12/P78,IF(A78="PL",15.06/P78,IF(A78="SE",18.5/P78,IF(A78="BE",15.27/P78))))))))),0)</f>
        <v>6.33333333333333</v>
      </c>
      <c r="P78" s="100">
        <v>3</v>
      </c>
      <c r="Q78" s="121">
        <v>7.4</v>
      </c>
      <c r="R78" s="122">
        <v>0.13</v>
      </c>
      <c r="S78" s="115">
        <f>Y78/F78</f>
        <v>0.093007154396492</v>
      </c>
      <c r="T78" s="122">
        <v>0.05</v>
      </c>
      <c r="U78" s="122">
        <v>0.01</v>
      </c>
      <c r="V78" s="122">
        <f>N78/(E78*Q78)</f>
        <v>0.387733294242001</v>
      </c>
      <c r="W78" s="122">
        <f>O78/E78</f>
        <v>0.0681003584229391</v>
      </c>
      <c r="X78" s="116">
        <v>0.1896</v>
      </c>
      <c r="Y78" s="126">
        <f>E78*R78</f>
        <v>12.09</v>
      </c>
      <c r="Z78" s="126">
        <f>E78*T78</f>
        <v>4.65</v>
      </c>
      <c r="AA78" s="126">
        <f>E78*U78</f>
        <v>0.93</v>
      </c>
      <c r="AB78" s="104">
        <f>E78*X78</f>
        <v>17.6328</v>
      </c>
      <c r="AC78" s="104">
        <v>270</v>
      </c>
      <c r="AD78" s="127">
        <f>AC78/1.13</f>
        <v>238.938053097345</v>
      </c>
      <c r="AE78" s="121">
        <f>27.9/7.4</f>
        <v>3.77027027027027</v>
      </c>
      <c r="AF78" s="122">
        <f>AD78/(E78*Q78)</f>
        <v>0.347192753701461</v>
      </c>
      <c r="AG78" s="122">
        <f>AE78/Q78/E78</f>
        <v>0.00547845142439737</v>
      </c>
      <c r="AH78" s="121">
        <v>27.9</v>
      </c>
      <c r="AI78" s="122">
        <f>(K78-E78+AB78-Z78)/K78</f>
        <v>0.261322870990076</v>
      </c>
      <c r="AJ78" s="122"/>
      <c r="AK78" s="122"/>
      <c r="AL78" s="122"/>
      <c r="AM78" s="122"/>
      <c r="AN78" s="131"/>
      <c r="AO78" s="131"/>
      <c r="AP78" s="131"/>
      <c r="AQ78" s="131"/>
      <c r="AR78" s="131"/>
      <c r="AS78" s="131"/>
      <c r="AT78" s="131" t="s">
        <v>229</v>
      </c>
      <c r="AU78" s="131" t="s">
        <v>229</v>
      </c>
      <c r="AV78" s="131" t="s">
        <v>229</v>
      </c>
      <c r="AW78" s="131" t="s">
        <v>229</v>
      </c>
      <c r="AX78" s="131" t="s">
        <v>229</v>
      </c>
      <c r="AY78" s="131" t="s">
        <v>229</v>
      </c>
      <c r="AZ78" s="131" t="s">
        <v>229</v>
      </c>
      <c r="BA78" s="131" t="s">
        <v>229</v>
      </c>
      <c r="BB78" s="131" t="s">
        <v>229</v>
      </c>
      <c r="BC78" s="131" t="s">
        <v>229</v>
      </c>
      <c r="BD78" s="131" t="s">
        <v>229</v>
      </c>
      <c r="BE78" s="131" t="s">
        <v>229</v>
      </c>
      <c r="BF78" s="131" t="s">
        <v>229</v>
      </c>
      <c r="BG78" s="131" t="s">
        <v>229</v>
      </c>
      <c r="BH78" s="131" t="s">
        <v>229</v>
      </c>
      <c r="BI78" s="131" t="s">
        <v>229</v>
      </c>
      <c r="BJ78" s="131" t="s">
        <v>229</v>
      </c>
      <c r="BK78" s="131" t="s">
        <v>229</v>
      </c>
      <c r="BL78" s="131" t="s">
        <v>229</v>
      </c>
      <c r="BM78" s="131" t="s">
        <v>229</v>
      </c>
      <c r="BN78" s="131" t="s">
        <v>229</v>
      </c>
      <c r="BO78" s="131" t="s">
        <v>229</v>
      </c>
      <c r="BP78" s="131" t="s">
        <v>229</v>
      </c>
      <c r="BQ78" s="131" t="s">
        <v>229</v>
      </c>
      <c r="BR78" s="138" t="e">
        <f>IF(#REF!&lt;E78,1,0)</f>
        <v>#REF!</v>
      </c>
      <c r="BS78" s="137" t="s">
        <v>230</v>
      </c>
    </row>
    <row r="79" ht="15.6" spans="1:71">
      <c r="A79" s="100"/>
      <c r="B79" s="100"/>
      <c r="C79" s="100"/>
      <c r="D79" s="180"/>
      <c r="E79" s="104"/>
      <c r="F79" s="105"/>
      <c r="G79" s="114">
        <f t="shared" si="81"/>
        <v>0</v>
      </c>
      <c r="H79" s="114"/>
      <c r="I79" s="114"/>
      <c r="J79" s="115"/>
      <c r="K79" s="104"/>
      <c r="L79" s="104"/>
      <c r="M79" s="104"/>
      <c r="N79" s="104"/>
      <c r="O79" s="104"/>
      <c r="P79" s="100"/>
      <c r="Q79" s="121"/>
      <c r="R79" s="122"/>
      <c r="S79" s="115"/>
      <c r="T79" s="122"/>
      <c r="U79" s="122"/>
      <c r="V79" s="122"/>
      <c r="W79" s="122"/>
      <c r="X79" s="116"/>
      <c r="Y79" s="126"/>
      <c r="Z79" s="126"/>
      <c r="AA79" s="126"/>
      <c r="AB79" s="104"/>
      <c r="AC79" s="104"/>
      <c r="AD79" s="127"/>
      <c r="AE79" s="121"/>
      <c r="AF79" s="122"/>
      <c r="AG79" s="122"/>
      <c r="AH79" s="121"/>
      <c r="AI79" s="122"/>
      <c r="AJ79" s="122"/>
      <c r="AK79" s="122"/>
      <c r="AL79" s="122"/>
      <c r="AM79" s="122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8"/>
      <c r="BS79" s="137" t="s">
        <v>230</v>
      </c>
    </row>
    <row r="80" ht="15.6" spans="1:71">
      <c r="A80" s="100" t="s">
        <v>127</v>
      </c>
      <c r="B80" s="100"/>
      <c r="C80" s="100"/>
      <c r="D80" s="156" t="s">
        <v>262</v>
      </c>
      <c r="E80" s="104">
        <v>35.3</v>
      </c>
      <c r="F80" s="105">
        <v>49.99</v>
      </c>
      <c r="G80" s="114">
        <f t="shared" si="81"/>
        <v>48.225</v>
      </c>
      <c r="H80" s="114"/>
      <c r="I80" s="114">
        <f>E80-N80/Q80-AB80-Y80-O80-Z80-AA80</f>
        <v>9.11070242234947</v>
      </c>
      <c r="J80" s="115">
        <f>I80/E80</f>
        <v>0.258093553041062</v>
      </c>
      <c r="K80" s="104">
        <f>F80/1.2</f>
        <v>41.6583333333333</v>
      </c>
      <c r="L80" s="162">
        <f>(K80-E80)/K80</f>
        <v>0.152630526105221</v>
      </c>
      <c r="M80" s="114">
        <f>F80/1.2-E80</f>
        <v>6.35833333333334</v>
      </c>
      <c r="N80" s="104">
        <f>AD80+AH80</f>
        <v>108.445132743363</v>
      </c>
      <c r="O80" s="104">
        <f>IFERROR(IF(A80="UK",7.6/P80,IF(A80="DE",7.5/P80,IF(A80="FR",14/P80,IF(A80="IT",15/P80,IF(A80="ES",19/P80,IF(A80="NL",12/P80,IF(A80="PL",15.06/P80,IF(A80="SE",18.5/P80,IF(A80="BE",15.27/P80))))))))),0)</f>
        <v>1.26666666666667</v>
      </c>
      <c r="P80" s="137">
        <v>6</v>
      </c>
      <c r="Q80" s="121">
        <v>8.5</v>
      </c>
      <c r="R80" s="122">
        <v>0.12</v>
      </c>
      <c r="S80" s="115">
        <f>Y80/F80</f>
        <v>0.0847369473894779</v>
      </c>
      <c r="T80" s="122">
        <v>0.05</v>
      </c>
      <c r="U80" s="122">
        <v>0.01</v>
      </c>
      <c r="V80" s="122">
        <f>N80/(E80*Q80)</f>
        <v>0.361423538554784</v>
      </c>
      <c r="W80" s="122">
        <f>O80/E80</f>
        <v>0.0358829084041549</v>
      </c>
      <c r="X80" s="116">
        <v>0.1646</v>
      </c>
      <c r="Y80" s="126">
        <f>E80*R80</f>
        <v>4.236</v>
      </c>
      <c r="Z80" s="126">
        <f>E80*T80</f>
        <v>1.765</v>
      </c>
      <c r="AA80" s="126">
        <f>E80*U80</f>
        <v>0.353</v>
      </c>
      <c r="AB80" s="104">
        <f>E80*X80</f>
        <v>5.81038</v>
      </c>
      <c r="AC80" s="104">
        <v>110</v>
      </c>
      <c r="AD80" s="127">
        <f>AC80/1.13</f>
        <v>97.3451327433628</v>
      </c>
      <c r="AE80" s="121">
        <f>11.1/8.5</f>
        <v>1.30588235294118</v>
      </c>
      <c r="AF80" s="122">
        <f>AD80/(E80*Q80)</f>
        <v>0.324429704193844</v>
      </c>
      <c r="AG80" s="122">
        <f>AE80/Q80/E80</f>
        <v>0.00435221580716939</v>
      </c>
      <c r="AH80" s="121">
        <v>11.1</v>
      </c>
      <c r="AI80" s="122">
        <f>(K80-E80+AB80-Z80)/K80</f>
        <v>0.249739067813563</v>
      </c>
      <c r="AJ80" s="122"/>
      <c r="AK80" s="122"/>
      <c r="AL80" s="122"/>
      <c r="AM80" s="122"/>
      <c r="AN80" s="131"/>
      <c r="AO80" s="131"/>
      <c r="AP80" s="131"/>
      <c r="AQ80" s="131"/>
      <c r="AR80" s="131"/>
      <c r="AS80" s="131"/>
      <c r="AT80" s="131" t="s">
        <v>229</v>
      </c>
      <c r="AU80" s="131" t="s">
        <v>229</v>
      </c>
      <c r="AV80" s="131" t="s">
        <v>229</v>
      </c>
      <c r="AW80" s="131" t="s">
        <v>229</v>
      </c>
      <c r="AX80" s="131" t="s">
        <v>229</v>
      </c>
      <c r="AY80" s="131" t="s">
        <v>229</v>
      </c>
      <c r="AZ80" s="131" t="s">
        <v>229</v>
      </c>
      <c r="BA80" s="131" t="s">
        <v>229</v>
      </c>
      <c r="BB80" s="131" t="s">
        <v>229</v>
      </c>
      <c r="BC80" s="131" t="s">
        <v>229</v>
      </c>
      <c r="BD80" s="131" t="s">
        <v>229</v>
      </c>
      <c r="BE80" s="131" t="s">
        <v>229</v>
      </c>
      <c r="BF80" s="131" t="s">
        <v>229</v>
      </c>
      <c r="BG80" s="131" t="s">
        <v>229</v>
      </c>
      <c r="BH80" s="131" t="s">
        <v>229</v>
      </c>
      <c r="BI80" s="131" t="s">
        <v>229</v>
      </c>
      <c r="BJ80" s="131" t="s">
        <v>229</v>
      </c>
      <c r="BK80" s="131" t="s">
        <v>229</v>
      </c>
      <c r="BL80" s="131" t="s">
        <v>229</v>
      </c>
      <c r="BM80" s="131" t="s">
        <v>229</v>
      </c>
      <c r="BN80" s="131" t="s">
        <v>229</v>
      </c>
      <c r="BO80" s="131" t="s">
        <v>229</v>
      </c>
      <c r="BP80" s="131" t="s">
        <v>229</v>
      </c>
      <c r="BQ80" s="131" t="s">
        <v>229</v>
      </c>
      <c r="BR80" s="138" t="e">
        <f>IF(#REF!&lt;E80,1,0)</f>
        <v>#REF!</v>
      </c>
      <c r="BS80" s="137" t="s">
        <v>230</v>
      </c>
    </row>
    <row r="81" ht="15.6" spans="1:71">
      <c r="A81" s="100" t="s">
        <v>107</v>
      </c>
      <c r="B81" s="100"/>
      <c r="C81" s="100"/>
      <c r="D81" s="156" t="s">
        <v>262</v>
      </c>
      <c r="E81" s="104">
        <v>38</v>
      </c>
      <c r="F81" s="105">
        <v>54.99</v>
      </c>
      <c r="G81" s="114">
        <f t="shared" si="81"/>
        <v>53.09</v>
      </c>
      <c r="H81" s="114"/>
      <c r="I81" s="114">
        <f>E81-N81/Q81-AB81-Y81-O81-Z81-AA81</f>
        <v>7.86425233197799</v>
      </c>
      <c r="J81" s="115">
        <f>I81/E81</f>
        <v>0.206954008736263</v>
      </c>
      <c r="K81" s="104">
        <f>F81/1.2</f>
        <v>45.825</v>
      </c>
      <c r="L81" s="162">
        <f>(K81-E81)/K81</f>
        <v>0.17075831969449</v>
      </c>
      <c r="M81" s="114">
        <f>F81/1.2-E81</f>
        <v>7.825</v>
      </c>
      <c r="N81" s="104">
        <f>AD81+AH81</f>
        <v>108.445132743363</v>
      </c>
      <c r="O81" s="104">
        <f>IFERROR(IF(A81="UK",7.6/P81,IF(A81="DE",7.5/P81,IF(A81="FR",14/P81,IF(A81="IT",15/P81,IF(A81="ES",19/P81,IF(A81="NL",12/P81,IF(A81="PL",15.06/P81,IF(A81="SE",18.5/P81,IF(A81="BE",15.27/P81))))))))),0)</f>
        <v>1.25</v>
      </c>
      <c r="P81" s="137">
        <v>6</v>
      </c>
      <c r="Q81" s="121">
        <v>7.4</v>
      </c>
      <c r="R81" s="122">
        <v>0.12</v>
      </c>
      <c r="S81" s="115">
        <f>Y81/F81</f>
        <v>0.082924168030551</v>
      </c>
      <c r="T81" s="122">
        <v>0.05</v>
      </c>
      <c r="U81" s="122">
        <v>0.01</v>
      </c>
      <c r="V81" s="122">
        <f>N81/(E81*Q81)</f>
        <v>0.385651254421632</v>
      </c>
      <c r="W81" s="122">
        <f>O81/E81</f>
        <v>0.0328947368421053</v>
      </c>
      <c r="X81" s="116">
        <v>0.1945</v>
      </c>
      <c r="Y81" s="126">
        <f>E81*R81</f>
        <v>4.56</v>
      </c>
      <c r="Z81" s="126">
        <f>E81*T81</f>
        <v>1.9</v>
      </c>
      <c r="AA81" s="126">
        <f>E81*U81</f>
        <v>0.38</v>
      </c>
      <c r="AB81" s="104">
        <f>E81*X81</f>
        <v>7.391</v>
      </c>
      <c r="AC81" s="104">
        <v>110</v>
      </c>
      <c r="AD81" s="127">
        <f>AC81/1.13</f>
        <v>97.3451327433628</v>
      </c>
      <c r="AE81" s="121">
        <f>11.1/7.4</f>
        <v>1.5</v>
      </c>
      <c r="AF81" s="122">
        <f>AD81/(E81*Q81)</f>
        <v>0.346177570211105</v>
      </c>
      <c r="AG81" s="122">
        <f>AE81/Q81/E81</f>
        <v>0.00533428165007112</v>
      </c>
      <c r="AH81" s="121">
        <v>11.1</v>
      </c>
      <c r="AI81" s="122">
        <f>(K81-E81+AB81-Z81)/K81</f>
        <v>0.290583742498636</v>
      </c>
      <c r="AJ81" s="122"/>
      <c r="AK81" s="122"/>
      <c r="AL81" s="122"/>
      <c r="AM81" s="122"/>
      <c r="AN81" s="131"/>
      <c r="AO81" s="131"/>
      <c r="AP81" s="131"/>
      <c r="AQ81" s="131"/>
      <c r="AR81" s="131"/>
      <c r="AS81" s="131"/>
      <c r="AT81" s="131" t="s">
        <v>229</v>
      </c>
      <c r="AU81" s="131" t="s">
        <v>229</v>
      </c>
      <c r="AV81" s="131" t="s">
        <v>229</v>
      </c>
      <c r="AW81" s="131" t="s">
        <v>229</v>
      </c>
      <c r="AX81" s="131" t="s">
        <v>229</v>
      </c>
      <c r="AY81" s="131" t="s">
        <v>229</v>
      </c>
      <c r="AZ81" s="131" t="s">
        <v>229</v>
      </c>
      <c r="BA81" s="131" t="s">
        <v>229</v>
      </c>
      <c r="BB81" s="131" t="s">
        <v>229</v>
      </c>
      <c r="BC81" s="131" t="s">
        <v>229</v>
      </c>
      <c r="BD81" s="131" t="s">
        <v>229</v>
      </c>
      <c r="BE81" s="131" t="s">
        <v>229</v>
      </c>
      <c r="BF81" s="131" t="s">
        <v>229</v>
      </c>
      <c r="BG81" s="131" t="s">
        <v>229</v>
      </c>
      <c r="BH81" s="131" t="s">
        <v>229</v>
      </c>
      <c r="BI81" s="131" t="s">
        <v>229</v>
      </c>
      <c r="BJ81" s="131" t="s">
        <v>229</v>
      </c>
      <c r="BK81" s="131" t="s">
        <v>229</v>
      </c>
      <c r="BL81" s="131" t="s">
        <v>229</v>
      </c>
      <c r="BM81" s="131" t="s">
        <v>229</v>
      </c>
      <c r="BN81" s="131" t="s">
        <v>229</v>
      </c>
      <c r="BO81" s="131" t="s">
        <v>229</v>
      </c>
      <c r="BP81" s="131" t="s">
        <v>229</v>
      </c>
      <c r="BQ81" s="131" t="s">
        <v>229</v>
      </c>
      <c r="BR81" s="138" t="e">
        <f>IF(#REF!&lt;E81,1,0)</f>
        <v>#REF!</v>
      </c>
      <c r="BS81" s="137" t="s">
        <v>230</v>
      </c>
    </row>
    <row r="82" ht="15.6" spans="1:71">
      <c r="A82" s="100" t="s">
        <v>119</v>
      </c>
      <c r="B82" s="100"/>
      <c r="C82" s="100"/>
      <c r="D82" s="156" t="s">
        <v>262</v>
      </c>
      <c r="E82" s="104">
        <v>38</v>
      </c>
      <c r="F82" s="105">
        <v>54.99</v>
      </c>
      <c r="G82" s="114">
        <f t="shared" si="81"/>
        <v>53.09</v>
      </c>
      <c r="H82" s="114"/>
      <c r="I82" s="114">
        <f>E82-N82/Q82-AB82-Y82-O82-Z82-AA82</f>
        <v>5.69791899864466</v>
      </c>
      <c r="J82" s="115">
        <f>I82/E82</f>
        <v>0.149945236806438</v>
      </c>
      <c r="K82" s="104">
        <f>F82/1.2</f>
        <v>45.825</v>
      </c>
      <c r="L82" s="162">
        <f>(K82-E82)/K82</f>
        <v>0.17075831969449</v>
      </c>
      <c r="M82" s="114">
        <f>F82/1.2-E82</f>
        <v>7.825</v>
      </c>
      <c r="N82" s="104">
        <f>AD82+AH82</f>
        <v>108.445132743363</v>
      </c>
      <c r="O82" s="104">
        <f>IFERROR(IF(A82="UK",7.6/P82,IF(A82="DE",7.5/P82,IF(A82="FR",14/P82,IF(A82="IT",15/P82,IF(A82="ES",19/P82,IF(A82="NL",12/P82,IF(A82="PL",15.06/P82,IF(A82="SE",18.5/P82,IF(A82="BE",15.27/P82))))))))),0)</f>
        <v>2.33333333333333</v>
      </c>
      <c r="P82" s="137">
        <v>6</v>
      </c>
      <c r="Q82" s="121">
        <v>7.4</v>
      </c>
      <c r="R82" s="122">
        <v>0.12</v>
      </c>
      <c r="S82" s="115">
        <f>Y82/F82</f>
        <v>0.082924168030551</v>
      </c>
      <c r="T82" s="122">
        <v>0.05</v>
      </c>
      <c r="U82" s="122">
        <v>0.01</v>
      </c>
      <c r="V82" s="122">
        <f>N82/(E82*Q82)</f>
        <v>0.385651254421632</v>
      </c>
      <c r="W82" s="122">
        <f>O82/E82</f>
        <v>0.0614035087719298</v>
      </c>
      <c r="X82" s="116">
        <v>0.223</v>
      </c>
      <c r="Y82" s="126">
        <f>E82*R82</f>
        <v>4.56</v>
      </c>
      <c r="Z82" s="126">
        <f>E82*T82</f>
        <v>1.9</v>
      </c>
      <c r="AA82" s="126">
        <f>E82*U82</f>
        <v>0.38</v>
      </c>
      <c r="AB82" s="104">
        <f>E82*X82</f>
        <v>8.474</v>
      </c>
      <c r="AC82" s="104">
        <v>110</v>
      </c>
      <c r="AD82" s="127">
        <f>AC82/1.13</f>
        <v>97.3451327433628</v>
      </c>
      <c r="AE82" s="121">
        <f>11.1/7.4</f>
        <v>1.5</v>
      </c>
      <c r="AF82" s="122">
        <f>AD82/(E82*Q82)</f>
        <v>0.346177570211105</v>
      </c>
      <c r="AG82" s="122">
        <f>AE82/Q82/E82</f>
        <v>0.00533428165007112</v>
      </c>
      <c r="AH82" s="121">
        <v>11.1</v>
      </c>
      <c r="AI82" s="122">
        <f>(K82-E82+AB82-Z82)/K82</f>
        <v>0.314217130387343</v>
      </c>
      <c r="AJ82" s="122"/>
      <c r="AK82" s="122"/>
      <c r="AL82" s="122"/>
      <c r="AM82" s="122"/>
      <c r="AN82" s="131"/>
      <c r="AO82" s="131"/>
      <c r="AP82" s="131"/>
      <c r="AQ82" s="131"/>
      <c r="AR82" s="131"/>
      <c r="AS82" s="131"/>
      <c r="AT82" s="131" t="s">
        <v>229</v>
      </c>
      <c r="AU82" s="131" t="s">
        <v>229</v>
      </c>
      <c r="AV82" s="131" t="s">
        <v>229</v>
      </c>
      <c r="AW82" s="131" t="s">
        <v>229</v>
      </c>
      <c r="AX82" s="131" t="s">
        <v>229</v>
      </c>
      <c r="AY82" s="131" t="s">
        <v>229</v>
      </c>
      <c r="AZ82" s="131" t="s">
        <v>229</v>
      </c>
      <c r="BA82" s="131" t="s">
        <v>229</v>
      </c>
      <c r="BB82" s="131" t="s">
        <v>229</v>
      </c>
      <c r="BC82" s="131" t="s">
        <v>229</v>
      </c>
      <c r="BD82" s="131" t="s">
        <v>229</v>
      </c>
      <c r="BE82" s="131" t="s">
        <v>229</v>
      </c>
      <c r="BF82" s="131" t="s">
        <v>229</v>
      </c>
      <c r="BG82" s="131" t="s">
        <v>229</v>
      </c>
      <c r="BH82" s="131" t="s">
        <v>229</v>
      </c>
      <c r="BI82" s="131" t="s">
        <v>229</v>
      </c>
      <c r="BJ82" s="131" t="s">
        <v>229</v>
      </c>
      <c r="BK82" s="131" t="s">
        <v>229</v>
      </c>
      <c r="BL82" s="131" t="s">
        <v>229</v>
      </c>
      <c r="BM82" s="131" t="s">
        <v>229</v>
      </c>
      <c r="BN82" s="131" t="s">
        <v>229</v>
      </c>
      <c r="BO82" s="131" t="s">
        <v>229</v>
      </c>
      <c r="BP82" s="131" t="s">
        <v>229</v>
      </c>
      <c r="BQ82" s="131" t="s">
        <v>229</v>
      </c>
      <c r="BR82" s="138" t="e">
        <f>IF(#REF!&lt;E82,1,0)</f>
        <v>#REF!</v>
      </c>
      <c r="BS82" s="137" t="s">
        <v>230</v>
      </c>
    </row>
    <row r="83" ht="15.6" spans="1:71">
      <c r="A83" s="100" t="s">
        <v>121</v>
      </c>
      <c r="B83" s="100"/>
      <c r="C83" s="100"/>
      <c r="D83" s="156" t="s">
        <v>262</v>
      </c>
      <c r="E83" s="104">
        <v>38</v>
      </c>
      <c r="F83" s="105">
        <v>54.99</v>
      </c>
      <c r="G83" s="114">
        <f t="shared" si="81"/>
        <v>53.09</v>
      </c>
      <c r="H83" s="114"/>
      <c r="I83" s="114">
        <f>E83-N83/Q83-AB83-Y83-O83-Z83-AA83</f>
        <v>6.040452331978</v>
      </c>
      <c r="J83" s="115">
        <f>I83/E83</f>
        <v>0.158959271894158</v>
      </c>
      <c r="K83" s="104">
        <f>F83/1.2</f>
        <v>45.825</v>
      </c>
      <c r="L83" s="162">
        <f>(K83-E83)/K83</f>
        <v>0.17075831969449</v>
      </c>
      <c r="M83" s="114">
        <f>F83/1.2-E83</f>
        <v>7.825</v>
      </c>
      <c r="N83" s="104">
        <f>AD83+AH83</f>
        <v>108.445132743363</v>
      </c>
      <c r="O83" s="104">
        <f>IFERROR(IF(A83="UK",7.6/P83,IF(A83="DE",7.5/P83,IF(A83="FR",14/P83,IF(A83="IT",15/P83,IF(A83="ES",19/P83,IF(A83="NL",12/P83,IF(A83="PL",15.06/P83,IF(A83="SE",18.5/P83,IF(A83="BE",15.27/P83))))))))),0)</f>
        <v>2.5</v>
      </c>
      <c r="P83" s="137">
        <v>6</v>
      </c>
      <c r="Q83" s="121">
        <v>7.4</v>
      </c>
      <c r="R83" s="122">
        <v>0.12</v>
      </c>
      <c r="S83" s="115">
        <f>Y83/F83</f>
        <v>0.082924168030551</v>
      </c>
      <c r="T83" s="122">
        <v>0.05</v>
      </c>
      <c r="U83" s="122">
        <v>0.01</v>
      </c>
      <c r="V83" s="122">
        <f>N83/(E83*Q83)</f>
        <v>0.385651254421632</v>
      </c>
      <c r="W83" s="122">
        <f>O83/E83</f>
        <v>0.0657894736842105</v>
      </c>
      <c r="X83" s="116">
        <v>0.2096</v>
      </c>
      <c r="Y83" s="126">
        <f>E83*R83</f>
        <v>4.56</v>
      </c>
      <c r="Z83" s="126">
        <f>E83*T83</f>
        <v>1.9</v>
      </c>
      <c r="AA83" s="126">
        <f>E83*U83</f>
        <v>0.38</v>
      </c>
      <c r="AB83" s="104">
        <f>E83*X83</f>
        <v>7.9648</v>
      </c>
      <c r="AC83" s="104">
        <v>110</v>
      </c>
      <c r="AD83" s="127">
        <f>AC83/1.13</f>
        <v>97.3451327433628</v>
      </c>
      <c r="AE83" s="121">
        <f>11.1/7.4</f>
        <v>1.5</v>
      </c>
      <c r="AF83" s="122">
        <f>AD83/(E83*Q83)</f>
        <v>0.346177570211105</v>
      </c>
      <c r="AG83" s="122">
        <f>AE83/Q83/E83</f>
        <v>0.00533428165007112</v>
      </c>
      <c r="AH83" s="121">
        <v>11.1</v>
      </c>
      <c r="AI83" s="122">
        <f>(K83-E83+AB83-Z83)/K83</f>
        <v>0.303105291871249</v>
      </c>
      <c r="AJ83" s="122"/>
      <c r="AK83" s="122"/>
      <c r="AL83" s="122"/>
      <c r="AM83" s="122"/>
      <c r="AN83" s="131"/>
      <c r="AO83" s="131"/>
      <c r="AP83" s="131"/>
      <c r="AQ83" s="131"/>
      <c r="AR83" s="131"/>
      <c r="AS83" s="131"/>
      <c r="AT83" s="131" t="s">
        <v>229</v>
      </c>
      <c r="AU83" s="131" t="s">
        <v>229</v>
      </c>
      <c r="AV83" s="131" t="s">
        <v>229</v>
      </c>
      <c r="AW83" s="131" t="s">
        <v>229</v>
      </c>
      <c r="AX83" s="131" t="s">
        <v>229</v>
      </c>
      <c r="AY83" s="131" t="s">
        <v>229</v>
      </c>
      <c r="AZ83" s="131" t="s">
        <v>229</v>
      </c>
      <c r="BA83" s="131" t="s">
        <v>229</v>
      </c>
      <c r="BB83" s="131" t="s">
        <v>229</v>
      </c>
      <c r="BC83" s="131" t="s">
        <v>229</v>
      </c>
      <c r="BD83" s="131" t="s">
        <v>229</v>
      </c>
      <c r="BE83" s="131" t="s">
        <v>229</v>
      </c>
      <c r="BF83" s="131" t="s">
        <v>229</v>
      </c>
      <c r="BG83" s="131" t="s">
        <v>229</v>
      </c>
      <c r="BH83" s="131" t="s">
        <v>229</v>
      </c>
      <c r="BI83" s="131" t="s">
        <v>229</v>
      </c>
      <c r="BJ83" s="131" t="s">
        <v>229</v>
      </c>
      <c r="BK83" s="131" t="s">
        <v>229</v>
      </c>
      <c r="BL83" s="131" t="s">
        <v>229</v>
      </c>
      <c r="BM83" s="131" t="s">
        <v>229</v>
      </c>
      <c r="BN83" s="131" t="s">
        <v>229</v>
      </c>
      <c r="BO83" s="131" t="s">
        <v>229</v>
      </c>
      <c r="BP83" s="131" t="s">
        <v>229</v>
      </c>
      <c r="BQ83" s="131" t="s">
        <v>229</v>
      </c>
      <c r="BR83" s="138" t="e">
        <f>IF(#REF!&lt;E83,1,0)</f>
        <v>#REF!</v>
      </c>
      <c r="BS83" s="137" t="s">
        <v>230</v>
      </c>
    </row>
    <row r="84" ht="15.6" spans="1:71">
      <c r="A84" s="100" t="s">
        <v>124</v>
      </c>
      <c r="B84" s="100"/>
      <c r="C84" s="100"/>
      <c r="D84" s="156" t="s">
        <v>262</v>
      </c>
      <c r="E84" s="104">
        <v>38</v>
      </c>
      <c r="F84" s="105">
        <v>54.99</v>
      </c>
      <c r="G84" s="114">
        <f t="shared" si="81"/>
        <v>53.09</v>
      </c>
      <c r="H84" s="114"/>
      <c r="I84" s="114">
        <f>E84-N84/Q84-AB84-Y84-O84-Z84-AA84</f>
        <v>6.13378566531133</v>
      </c>
      <c r="J84" s="115">
        <f>I84/E84</f>
        <v>0.161415412245035</v>
      </c>
      <c r="K84" s="104">
        <f>F84/1.2</f>
        <v>45.825</v>
      </c>
      <c r="L84" s="162">
        <f>(K84-E84)/K84</f>
        <v>0.17075831969449</v>
      </c>
      <c r="M84" s="114">
        <f>F84/1.2-E84</f>
        <v>7.825</v>
      </c>
      <c r="N84" s="104">
        <f>AD84+AH84</f>
        <v>108.445132743363</v>
      </c>
      <c r="O84" s="104">
        <f>IFERROR(IF(A84="UK",7.6/P84,IF(A84="DE",7.5/P84,IF(A84="FR",14/P84,IF(A84="IT",15/P84,IF(A84="ES",19/P84,IF(A84="NL",12/P84,IF(A84="PL",15.06/P84,IF(A84="SE",18.5/P84,IF(A84="BE",15.27/P84))))))))),0)</f>
        <v>3.16666666666667</v>
      </c>
      <c r="P84" s="137">
        <v>6</v>
      </c>
      <c r="Q84" s="121">
        <v>7.4</v>
      </c>
      <c r="R84" s="122">
        <v>0.12</v>
      </c>
      <c r="S84" s="115">
        <f>Y84/F84</f>
        <v>0.082924168030551</v>
      </c>
      <c r="T84" s="122">
        <v>0.05</v>
      </c>
      <c r="U84" s="122">
        <v>0.01</v>
      </c>
      <c r="V84" s="122">
        <f>N84/(E84*Q84)</f>
        <v>0.385651254421632</v>
      </c>
      <c r="W84" s="122">
        <f>O84/E84</f>
        <v>0.0833333333333333</v>
      </c>
      <c r="X84" s="116">
        <v>0.1896</v>
      </c>
      <c r="Y84" s="126">
        <f>E84*R84</f>
        <v>4.56</v>
      </c>
      <c r="Z84" s="126">
        <f>E84*T84</f>
        <v>1.9</v>
      </c>
      <c r="AA84" s="126">
        <f>E84*U84</f>
        <v>0.38</v>
      </c>
      <c r="AB84" s="104">
        <f>E84*X84</f>
        <v>7.2048</v>
      </c>
      <c r="AC84" s="104">
        <v>110</v>
      </c>
      <c r="AD84" s="127">
        <f>AC84/1.13</f>
        <v>97.3451327433628</v>
      </c>
      <c r="AE84" s="121">
        <f>11.1/7.4</f>
        <v>1.5</v>
      </c>
      <c r="AF84" s="122">
        <f>AD84/(E84*Q84)</f>
        <v>0.346177570211105</v>
      </c>
      <c r="AG84" s="122">
        <f>AE84/Q84/E84</f>
        <v>0.00533428165007112</v>
      </c>
      <c r="AH84" s="121">
        <v>11.1</v>
      </c>
      <c r="AI84" s="122">
        <f>(K84-E84+AB84-Z84)/K84</f>
        <v>0.286520458265139</v>
      </c>
      <c r="AJ84" s="122"/>
      <c r="AK84" s="122"/>
      <c r="AL84" s="122"/>
      <c r="AM84" s="122"/>
      <c r="AN84" s="131"/>
      <c r="AO84" s="131"/>
      <c r="AP84" s="131"/>
      <c r="AQ84" s="131"/>
      <c r="AR84" s="131"/>
      <c r="AS84" s="131"/>
      <c r="AT84" s="131" t="s">
        <v>229</v>
      </c>
      <c r="AU84" s="131" t="s">
        <v>229</v>
      </c>
      <c r="AV84" s="131" t="s">
        <v>229</v>
      </c>
      <c r="AW84" s="131" t="s">
        <v>229</v>
      </c>
      <c r="AX84" s="131" t="s">
        <v>229</v>
      </c>
      <c r="AY84" s="131" t="s">
        <v>229</v>
      </c>
      <c r="AZ84" s="131" t="s">
        <v>229</v>
      </c>
      <c r="BA84" s="131" t="s">
        <v>229</v>
      </c>
      <c r="BB84" s="131" t="s">
        <v>229</v>
      </c>
      <c r="BC84" s="131" t="s">
        <v>229</v>
      </c>
      <c r="BD84" s="131" t="s">
        <v>229</v>
      </c>
      <c r="BE84" s="131" t="s">
        <v>229</v>
      </c>
      <c r="BF84" s="131" t="s">
        <v>229</v>
      </c>
      <c r="BG84" s="131" t="s">
        <v>229</v>
      </c>
      <c r="BH84" s="131" t="s">
        <v>229</v>
      </c>
      <c r="BI84" s="131" t="s">
        <v>229</v>
      </c>
      <c r="BJ84" s="131" t="s">
        <v>229</v>
      </c>
      <c r="BK84" s="131" t="s">
        <v>229</v>
      </c>
      <c r="BL84" s="131" t="s">
        <v>229</v>
      </c>
      <c r="BM84" s="131" t="s">
        <v>229</v>
      </c>
      <c r="BN84" s="131" t="s">
        <v>229</v>
      </c>
      <c r="BO84" s="131" t="s">
        <v>229</v>
      </c>
      <c r="BP84" s="131" t="s">
        <v>229</v>
      </c>
      <c r="BQ84" s="131" t="s">
        <v>229</v>
      </c>
      <c r="BR84" s="138" t="e">
        <f>IF(#REF!&lt;E84,1,0)</f>
        <v>#REF!</v>
      </c>
      <c r="BS84" s="137" t="s">
        <v>230</v>
      </c>
    </row>
    <row r="85" ht="15.6" spans="1:71">
      <c r="A85" s="100"/>
      <c r="B85" s="100"/>
      <c r="C85" s="100"/>
      <c r="D85" s="180"/>
      <c r="E85" s="104"/>
      <c r="F85" s="105"/>
      <c r="G85" s="114">
        <f t="shared" si="81"/>
        <v>0</v>
      </c>
      <c r="H85" s="114"/>
      <c r="I85" s="114"/>
      <c r="J85" s="115"/>
      <c r="K85" s="104"/>
      <c r="L85" s="104"/>
      <c r="M85" s="104"/>
      <c r="N85" s="104"/>
      <c r="O85" s="104"/>
      <c r="P85" s="100"/>
      <c r="Q85" s="121"/>
      <c r="R85" s="122"/>
      <c r="S85" s="115"/>
      <c r="T85" s="122"/>
      <c r="U85" s="122"/>
      <c r="V85" s="122"/>
      <c r="W85" s="122"/>
      <c r="X85" s="116"/>
      <c r="Y85" s="126"/>
      <c r="Z85" s="126"/>
      <c r="AA85" s="126"/>
      <c r="AB85" s="104"/>
      <c r="AC85" s="104"/>
      <c r="AD85" s="127"/>
      <c r="AE85" s="121"/>
      <c r="AF85" s="122"/>
      <c r="AG85" s="122"/>
      <c r="AH85" s="121"/>
      <c r="AI85" s="122"/>
      <c r="AJ85" s="122"/>
      <c r="AK85" s="122"/>
      <c r="AL85" s="122"/>
      <c r="AM85" s="122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8"/>
      <c r="BS85" s="137" t="s">
        <v>230</v>
      </c>
    </row>
    <row r="86" ht="15.6" spans="1:71">
      <c r="A86" s="100" t="s">
        <v>127</v>
      </c>
      <c r="B86" s="100"/>
      <c r="C86" s="100"/>
      <c r="D86" s="156" t="s">
        <v>263</v>
      </c>
      <c r="E86" s="104">
        <v>33.99</v>
      </c>
      <c r="F86" s="105">
        <v>49.99</v>
      </c>
      <c r="G86" s="114">
        <f t="shared" si="81"/>
        <v>48.2905</v>
      </c>
      <c r="H86" s="114"/>
      <c r="I86" s="114">
        <f>E86-N86/Q86-AB86-Y86-O86-Z86-AA86</f>
        <v>10.1244232432432</v>
      </c>
      <c r="J86" s="115">
        <f>I86/E86</f>
        <v>0.297864761495829</v>
      </c>
      <c r="K86" s="104">
        <f>F86/1.2</f>
        <v>41.6583333333333</v>
      </c>
      <c r="L86" s="162">
        <f>(K86-E86)/K86</f>
        <v>0.184076815363073</v>
      </c>
      <c r="M86" s="114">
        <f>F86/1.2-E86</f>
        <v>7.66833333333334</v>
      </c>
      <c r="N86" s="104">
        <f>AD86+AH86</f>
        <v>68.5</v>
      </c>
      <c r="O86" s="104">
        <f>IFERROR(IF(A86="UK",7.6/P86,IF(A86="DE",7.5/P86,IF(A86="FR",14/P86,IF(A86="IT",15/P86,IF(A86="ES",19/P86,IF(A86="NL",12/P86,IF(A86="PL",15.06/P86,IF(A86="SE",18.5/P86,IF(A86="BE",15.27/P86))))))))),0)</f>
        <v>3.8</v>
      </c>
      <c r="P86" s="100">
        <v>2</v>
      </c>
      <c r="Q86" s="121">
        <v>7.4</v>
      </c>
      <c r="R86" s="122">
        <v>0.1</v>
      </c>
      <c r="S86" s="115">
        <f>Y86/F86</f>
        <v>0.067993598719744</v>
      </c>
      <c r="T86" s="122">
        <v>0.05</v>
      </c>
      <c r="U86" s="122">
        <v>0.01</v>
      </c>
      <c r="V86" s="122">
        <f>N86/(E86*Q86)</f>
        <v>0.272337650978428</v>
      </c>
      <c r="W86" s="122">
        <f>O86/E86</f>
        <v>0.111797587525743</v>
      </c>
      <c r="X86" s="116">
        <v>0.158</v>
      </c>
      <c r="Y86" s="126">
        <f>E86*R86</f>
        <v>3.399</v>
      </c>
      <c r="Z86" s="126">
        <f>E86*T86</f>
        <v>1.6995</v>
      </c>
      <c r="AA86" s="126">
        <f>E86*U86</f>
        <v>0.3399</v>
      </c>
      <c r="AB86" s="104">
        <f>E86*X86</f>
        <v>5.37042</v>
      </c>
      <c r="AC86" s="104">
        <v>73.45</v>
      </c>
      <c r="AD86" s="127">
        <f>73.45/1.13</f>
        <v>65</v>
      </c>
      <c r="AE86" s="121">
        <f>3.5/7.4</f>
        <v>0.472972972972973</v>
      </c>
      <c r="AF86" s="122">
        <f>AD86/(E86*Q86)</f>
        <v>0.258422588519676</v>
      </c>
      <c r="AG86" s="122">
        <f>AE86/Q86/E86</f>
        <v>0.00188041384577727</v>
      </c>
      <c r="AH86" s="121">
        <v>3.5</v>
      </c>
      <c r="AI86" s="122">
        <f>(K86-E86+AB86-Z86)/K86</f>
        <v>0.272196519303861</v>
      </c>
      <c r="AJ86" s="122"/>
      <c r="AK86" s="122"/>
      <c r="AL86" s="122"/>
      <c r="AM86" s="122"/>
      <c r="AN86" s="131"/>
      <c r="AO86" s="131"/>
      <c r="AP86" s="131"/>
      <c r="AQ86" s="131"/>
      <c r="AR86" s="131"/>
      <c r="AS86" s="131"/>
      <c r="AT86" s="131" t="s">
        <v>229</v>
      </c>
      <c r="AU86" s="131" t="s">
        <v>229</v>
      </c>
      <c r="AV86" s="131" t="s">
        <v>229</v>
      </c>
      <c r="AW86" s="131" t="s">
        <v>229</v>
      </c>
      <c r="AX86" s="131" t="s">
        <v>229</v>
      </c>
      <c r="AY86" s="131" t="s">
        <v>229</v>
      </c>
      <c r="AZ86" s="131" t="s">
        <v>229</v>
      </c>
      <c r="BA86" s="131" t="s">
        <v>229</v>
      </c>
      <c r="BB86" s="131" t="s">
        <v>229</v>
      </c>
      <c r="BC86" s="131" t="s">
        <v>229</v>
      </c>
      <c r="BD86" s="131" t="s">
        <v>229</v>
      </c>
      <c r="BE86" s="131" t="s">
        <v>229</v>
      </c>
      <c r="BF86" s="131" t="s">
        <v>229</v>
      </c>
      <c r="BG86" s="131" t="s">
        <v>229</v>
      </c>
      <c r="BH86" s="131" t="s">
        <v>229</v>
      </c>
      <c r="BI86" s="131" t="s">
        <v>229</v>
      </c>
      <c r="BJ86" s="131" t="s">
        <v>229</v>
      </c>
      <c r="BK86" s="131" t="s">
        <v>229</v>
      </c>
      <c r="BL86" s="131" t="s">
        <v>229</v>
      </c>
      <c r="BM86" s="131" t="s">
        <v>229</v>
      </c>
      <c r="BN86" s="131" t="s">
        <v>229</v>
      </c>
      <c r="BO86" s="131" t="s">
        <v>229</v>
      </c>
      <c r="BP86" s="131" t="s">
        <v>229</v>
      </c>
      <c r="BQ86" s="131" t="s">
        <v>229</v>
      </c>
      <c r="BR86" s="138" t="e">
        <f>IF(#REF!&lt;E86,1,0)</f>
        <v>#REF!</v>
      </c>
      <c r="BS86" s="137" t="s">
        <v>230</v>
      </c>
    </row>
    <row r="87" ht="15.6" spans="1:71">
      <c r="A87" s="100" t="s">
        <v>107</v>
      </c>
      <c r="B87" s="100"/>
      <c r="C87" s="100"/>
      <c r="D87" s="180" t="s">
        <v>263</v>
      </c>
      <c r="E87" s="104">
        <v>33.99</v>
      </c>
      <c r="F87" s="105">
        <v>49.99</v>
      </c>
      <c r="G87" s="114">
        <f t="shared" si="81"/>
        <v>48.2905</v>
      </c>
      <c r="H87" s="114"/>
      <c r="I87" s="114">
        <f>E87-N87/Q87-AB87-Y87-O87-Z87-AA87</f>
        <v>8.93378824324324</v>
      </c>
      <c r="J87" s="115">
        <f>I87/E87</f>
        <v>0.262835782384326</v>
      </c>
      <c r="K87" s="104">
        <f>F87/1.2</f>
        <v>41.6583333333333</v>
      </c>
      <c r="L87" s="162">
        <f>(K87-E87)/K87</f>
        <v>0.184076815363073</v>
      </c>
      <c r="M87" s="114">
        <f>F87/1.2-E87</f>
        <v>7.66833333333334</v>
      </c>
      <c r="N87" s="104">
        <f>AD87+AH87</f>
        <v>68.5</v>
      </c>
      <c r="O87" s="104">
        <f>IFERROR(IF(A87="UK",7.6/P87,IF(A87="DE",7.5/P87,IF(A87="FR",14/P87,IF(A87="IT",15/P87,IF(A87="ES",19/P87,IF(A87="NL",12/P87,IF(A87="PL",15.06/P87,IF(A87="SE",18.5/P87,IF(A87="BE",15.27/P87))))))))),0)</f>
        <v>3.75</v>
      </c>
      <c r="P87" s="100">
        <v>2</v>
      </c>
      <c r="Q87" s="121">
        <v>7.4</v>
      </c>
      <c r="R87" s="122">
        <v>0.1</v>
      </c>
      <c r="S87" s="115">
        <f>Y87/F87</f>
        <v>0.067993598719744</v>
      </c>
      <c r="T87" s="122">
        <v>0.05</v>
      </c>
      <c r="U87" s="122">
        <v>0.01</v>
      </c>
      <c r="V87" s="122">
        <f>N87/(E87*Q87)</f>
        <v>0.272337650978428</v>
      </c>
      <c r="W87" s="122">
        <f>O87/E87</f>
        <v>0.110326566637246</v>
      </c>
      <c r="X87" s="116">
        <v>0.1945</v>
      </c>
      <c r="Y87" s="126">
        <f>E87*R87</f>
        <v>3.399</v>
      </c>
      <c r="Z87" s="126">
        <f>E87*T87</f>
        <v>1.6995</v>
      </c>
      <c r="AA87" s="126">
        <f>E87*U87</f>
        <v>0.3399</v>
      </c>
      <c r="AB87" s="104">
        <f>E87*X87</f>
        <v>6.611055</v>
      </c>
      <c r="AC87" s="104">
        <v>73.45</v>
      </c>
      <c r="AD87" s="127">
        <f>73.45/1.13</f>
        <v>65</v>
      </c>
      <c r="AE87" s="121">
        <f>3.5/7.4</f>
        <v>0.472972972972973</v>
      </c>
      <c r="AF87" s="122">
        <f>AD87/(E87*Q87)</f>
        <v>0.258422588519676</v>
      </c>
      <c r="AG87" s="122">
        <f>AE87/Q87/E87</f>
        <v>0.00188041384577727</v>
      </c>
      <c r="AH87" s="121">
        <v>3.5</v>
      </c>
      <c r="AI87" s="122">
        <f>(K87-E87+AB87-Z87)/K87</f>
        <v>0.301977715543109</v>
      </c>
      <c r="AJ87" s="122"/>
      <c r="AK87" s="122"/>
      <c r="AL87" s="122"/>
      <c r="AM87" s="122"/>
      <c r="AN87" s="131"/>
      <c r="AO87" s="131"/>
      <c r="AP87" s="131"/>
      <c r="AQ87" s="131"/>
      <c r="AR87" s="131"/>
      <c r="AS87" s="131"/>
      <c r="AT87" s="131" t="s">
        <v>229</v>
      </c>
      <c r="AU87" s="131" t="s">
        <v>229</v>
      </c>
      <c r="AV87" s="131" t="s">
        <v>229</v>
      </c>
      <c r="AW87" s="131" t="s">
        <v>229</v>
      </c>
      <c r="AX87" s="131" t="s">
        <v>229</v>
      </c>
      <c r="AY87" s="131" t="s">
        <v>229</v>
      </c>
      <c r="AZ87" s="131" t="s">
        <v>229</v>
      </c>
      <c r="BA87" s="131" t="s">
        <v>229</v>
      </c>
      <c r="BB87" s="131" t="s">
        <v>229</v>
      </c>
      <c r="BC87" s="131" t="s">
        <v>229</v>
      </c>
      <c r="BD87" s="131" t="s">
        <v>229</v>
      </c>
      <c r="BE87" s="131" t="s">
        <v>229</v>
      </c>
      <c r="BF87" s="131" t="s">
        <v>229</v>
      </c>
      <c r="BG87" s="131" t="s">
        <v>229</v>
      </c>
      <c r="BH87" s="131" t="s">
        <v>229</v>
      </c>
      <c r="BI87" s="131" t="s">
        <v>229</v>
      </c>
      <c r="BJ87" s="131" t="s">
        <v>229</v>
      </c>
      <c r="BK87" s="131" t="s">
        <v>229</v>
      </c>
      <c r="BL87" s="131" t="s">
        <v>229</v>
      </c>
      <c r="BM87" s="131" t="s">
        <v>229</v>
      </c>
      <c r="BN87" s="131" t="s">
        <v>229</v>
      </c>
      <c r="BO87" s="131" t="s">
        <v>229</v>
      </c>
      <c r="BP87" s="131" t="s">
        <v>229</v>
      </c>
      <c r="BQ87" s="131" t="s">
        <v>229</v>
      </c>
      <c r="BR87" s="138" t="e">
        <f>IF(#REF!&lt;E87,1,0)</f>
        <v>#REF!</v>
      </c>
      <c r="BS87" s="137" t="s">
        <v>230</v>
      </c>
    </row>
    <row r="88" ht="15.6" spans="1:71">
      <c r="A88" s="100" t="s">
        <v>119</v>
      </c>
      <c r="B88" s="100"/>
      <c r="C88" s="100"/>
      <c r="D88" s="180" t="s">
        <v>263</v>
      </c>
      <c r="E88" s="104">
        <v>33.99</v>
      </c>
      <c r="F88" s="105">
        <v>49.99</v>
      </c>
      <c r="G88" s="114">
        <f t="shared" si="81"/>
        <v>48.2905</v>
      </c>
      <c r="H88" s="114"/>
      <c r="I88" s="114">
        <f>E88-N88/Q88-AB88-Y88-O88-Z88-AA88</f>
        <v>4.71507324324324</v>
      </c>
      <c r="J88" s="115">
        <f>I88/E88</f>
        <v>0.138719424632046</v>
      </c>
      <c r="K88" s="104">
        <f>F88/1.2</f>
        <v>41.6583333333333</v>
      </c>
      <c r="L88" s="162">
        <f>(K88-E88)/K88</f>
        <v>0.184076815363073</v>
      </c>
      <c r="M88" s="114">
        <f>F88/1.2-E88</f>
        <v>7.66833333333334</v>
      </c>
      <c r="N88" s="104">
        <f>AD88+AH88</f>
        <v>68.5</v>
      </c>
      <c r="O88" s="104">
        <f>IFERROR(IF(A88="UK",7.6/P88,IF(A88="DE",7.5/P88,IF(A88="FR",14/P88,IF(A88="IT",15/P88,IF(A88="ES",19/P88,IF(A88="NL",12/P88,IF(A88="PL",15.06/P88,IF(A88="SE",18.5/P88,IF(A88="BE",15.27/P88))))))))),0)</f>
        <v>7</v>
      </c>
      <c r="P88" s="100">
        <v>2</v>
      </c>
      <c r="Q88" s="121">
        <v>7.4</v>
      </c>
      <c r="R88" s="122">
        <v>0.1</v>
      </c>
      <c r="S88" s="115">
        <f>Y88/F88</f>
        <v>0.067993598719744</v>
      </c>
      <c r="T88" s="122">
        <v>0.05</v>
      </c>
      <c r="U88" s="122">
        <v>0.01</v>
      </c>
      <c r="V88" s="122">
        <f>N88/(E88*Q88)</f>
        <v>0.272337650978428</v>
      </c>
      <c r="W88" s="122">
        <f>O88/E88</f>
        <v>0.205942924389526</v>
      </c>
      <c r="X88" s="116">
        <v>0.223</v>
      </c>
      <c r="Y88" s="126">
        <f>E88*R88</f>
        <v>3.399</v>
      </c>
      <c r="Z88" s="126">
        <f>E88*T88</f>
        <v>1.6995</v>
      </c>
      <c r="AA88" s="126">
        <f>E88*U88</f>
        <v>0.3399</v>
      </c>
      <c r="AB88" s="104">
        <f>E88*X88</f>
        <v>7.57977</v>
      </c>
      <c r="AC88" s="104">
        <v>73.45</v>
      </c>
      <c r="AD88" s="127">
        <f>73.45/1.13</f>
        <v>65</v>
      </c>
      <c r="AE88" s="121">
        <f>3.5/7.4</f>
        <v>0.472972972972973</v>
      </c>
      <c r="AF88" s="122">
        <f>AD88/(E88*Q88)</f>
        <v>0.258422588519676</v>
      </c>
      <c r="AG88" s="122">
        <f>AE88/Q88/E88</f>
        <v>0.00188041384577727</v>
      </c>
      <c r="AH88" s="121">
        <v>3.5</v>
      </c>
      <c r="AI88" s="122">
        <f>(K88-E88+AB88-Z88)/K88</f>
        <v>0.325231526305261</v>
      </c>
      <c r="AJ88" s="122"/>
      <c r="AK88" s="122"/>
      <c r="AL88" s="122"/>
      <c r="AM88" s="122"/>
      <c r="AN88" s="131"/>
      <c r="AO88" s="131"/>
      <c r="AP88" s="131"/>
      <c r="AQ88" s="131"/>
      <c r="AR88" s="131"/>
      <c r="AS88" s="131"/>
      <c r="AT88" s="131" t="s">
        <v>229</v>
      </c>
      <c r="AU88" s="131" t="s">
        <v>229</v>
      </c>
      <c r="AV88" s="131" t="s">
        <v>229</v>
      </c>
      <c r="AW88" s="131" t="s">
        <v>229</v>
      </c>
      <c r="AX88" s="131" t="s">
        <v>229</v>
      </c>
      <c r="AY88" s="131" t="s">
        <v>229</v>
      </c>
      <c r="AZ88" s="131" t="s">
        <v>229</v>
      </c>
      <c r="BA88" s="131" t="s">
        <v>229</v>
      </c>
      <c r="BB88" s="131" t="s">
        <v>229</v>
      </c>
      <c r="BC88" s="131" t="s">
        <v>229</v>
      </c>
      <c r="BD88" s="131" t="s">
        <v>229</v>
      </c>
      <c r="BE88" s="131" t="s">
        <v>229</v>
      </c>
      <c r="BF88" s="131" t="s">
        <v>229</v>
      </c>
      <c r="BG88" s="131" t="s">
        <v>229</v>
      </c>
      <c r="BH88" s="131" t="s">
        <v>229</v>
      </c>
      <c r="BI88" s="131" t="s">
        <v>229</v>
      </c>
      <c r="BJ88" s="131" t="s">
        <v>229</v>
      </c>
      <c r="BK88" s="131" t="s">
        <v>229</v>
      </c>
      <c r="BL88" s="131" t="s">
        <v>229</v>
      </c>
      <c r="BM88" s="131" t="s">
        <v>229</v>
      </c>
      <c r="BN88" s="131" t="s">
        <v>229</v>
      </c>
      <c r="BO88" s="131" t="s">
        <v>229</v>
      </c>
      <c r="BP88" s="131" t="s">
        <v>229</v>
      </c>
      <c r="BQ88" s="131" t="s">
        <v>229</v>
      </c>
      <c r="BR88" s="138" t="e">
        <f>IF(#REF!&lt;E88,1,0)</f>
        <v>#REF!</v>
      </c>
      <c r="BS88" s="137" t="s">
        <v>230</v>
      </c>
    </row>
    <row r="89" ht="15.6" spans="1:71">
      <c r="A89" s="100" t="s">
        <v>121</v>
      </c>
      <c r="B89" s="100"/>
      <c r="C89" s="100"/>
      <c r="D89" s="180" t="s">
        <v>263</v>
      </c>
      <c r="E89" s="104">
        <v>33.99</v>
      </c>
      <c r="F89" s="105">
        <v>49.99</v>
      </c>
      <c r="G89" s="114">
        <f t="shared" si="81"/>
        <v>48.2905</v>
      </c>
      <c r="H89" s="114"/>
      <c r="I89" s="114">
        <f>E89-N89/Q89-AB89-Y89-O89-Z89-AA89</f>
        <v>4.67053924324324</v>
      </c>
      <c r="J89" s="115">
        <f>I89/E89</f>
        <v>0.13740921574708</v>
      </c>
      <c r="K89" s="104">
        <f>F89/1.2</f>
        <v>41.6583333333333</v>
      </c>
      <c r="L89" s="162">
        <f>(K89-E89)/K89</f>
        <v>0.184076815363073</v>
      </c>
      <c r="M89" s="114">
        <f>F89/1.2-E89</f>
        <v>7.66833333333334</v>
      </c>
      <c r="N89" s="104">
        <f>AD89+AH89</f>
        <v>68.5</v>
      </c>
      <c r="O89" s="104">
        <f>IFERROR(IF(A89="UK",7.6/P89,IF(A89="DE",7.5/P89,IF(A89="FR",14/P89,IF(A89="IT",15/P89,IF(A89="ES",19/P89,IF(A89="NL",12/P89,IF(A89="PL",15.06/P89,IF(A89="SE",18.5/P89,IF(A89="BE",15.27/P89))))))))),0)</f>
        <v>7.5</v>
      </c>
      <c r="P89" s="100">
        <v>2</v>
      </c>
      <c r="Q89" s="121">
        <v>7.4</v>
      </c>
      <c r="R89" s="122">
        <v>0.1</v>
      </c>
      <c r="S89" s="115">
        <f>Y89/F89</f>
        <v>0.067993598719744</v>
      </c>
      <c r="T89" s="122">
        <v>0.05</v>
      </c>
      <c r="U89" s="122">
        <v>0.01</v>
      </c>
      <c r="V89" s="122">
        <f>N89/(E89*Q89)</f>
        <v>0.272337650978428</v>
      </c>
      <c r="W89" s="122">
        <f>O89/E89</f>
        <v>0.220653133274492</v>
      </c>
      <c r="X89" s="116">
        <v>0.2096</v>
      </c>
      <c r="Y89" s="126">
        <f>E89*R89</f>
        <v>3.399</v>
      </c>
      <c r="Z89" s="126">
        <f>E89*T89</f>
        <v>1.6995</v>
      </c>
      <c r="AA89" s="126">
        <f>E89*U89</f>
        <v>0.3399</v>
      </c>
      <c r="AB89" s="104">
        <f>E89*X89</f>
        <v>7.124304</v>
      </c>
      <c r="AC89" s="104">
        <v>73.45</v>
      </c>
      <c r="AD89" s="127">
        <f>73.45/1.13</f>
        <v>65</v>
      </c>
      <c r="AE89" s="121">
        <f>3.5/7.4</f>
        <v>0.472972972972973</v>
      </c>
      <c r="AF89" s="122">
        <f>AD89/(E89*Q89)</f>
        <v>0.258422588519676</v>
      </c>
      <c r="AG89" s="122">
        <f>AE89/Q89/E89</f>
        <v>0.00188041384577727</v>
      </c>
      <c r="AH89" s="121">
        <v>3.5</v>
      </c>
      <c r="AI89" s="122">
        <f>(K89-E89+AB89-Z89)/K89</f>
        <v>0.314298155631126</v>
      </c>
      <c r="AJ89" s="122"/>
      <c r="AK89" s="122"/>
      <c r="AL89" s="122"/>
      <c r="AM89" s="122"/>
      <c r="AN89" s="131"/>
      <c r="AO89" s="131"/>
      <c r="AP89" s="131"/>
      <c r="AQ89" s="131"/>
      <c r="AR89" s="131"/>
      <c r="AS89" s="131"/>
      <c r="AT89" s="131" t="s">
        <v>229</v>
      </c>
      <c r="AU89" s="131" t="s">
        <v>229</v>
      </c>
      <c r="AV89" s="131" t="s">
        <v>229</v>
      </c>
      <c r="AW89" s="131" t="s">
        <v>229</v>
      </c>
      <c r="AX89" s="131" t="s">
        <v>229</v>
      </c>
      <c r="AY89" s="131" t="s">
        <v>229</v>
      </c>
      <c r="AZ89" s="131" t="s">
        <v>229</v>
      </c>
      <c r="BA89" s="131" t="s">
        <v>229</v>
      </c>
      <c r="BB89" s="131" t="s">
        <v>229</v>
      </c>
      <c r="BC89" s="131" t="s">
        <v>229</v>
      </c>
      <c r="BD89" s="131" t="s">
        <v>229</v>
      </c>
      <c r="BE89" s="131" t="s">
        <v>229</v>
      </c>
      <c r="BF89" s="131" t="s">
        <v>229</v>
      </c>
      <c r="BG89" s="131" t="s">
        <v>229</v>
      </c>
      <c r="BH89" s="131" t="s">
        <v>229</v>
      </c>
      <c r="BI89" s="131" t="s">
        <v>229</v>
      </c>
      <c r="BJ89" s="131" t="s">
        <v>229</v>
      </c>
      <c r="BK89" s="131" t="s">
        <v>229</v>
      </c>
      <c r="BL89" s="131" t="s">
        <v>229</v>
      </c>
      <c r="BM89" s="131" t="s">
        <v>229</v>
      </c>
      <c r="BN89" s="131" t="s">
        <v>229</v>
      </c>
      <c r="BO89" s="131" t="s">
        <v>229</v>
      </c>
      <c r="BP89" s="131" t="s">
        <v>229</v>
      </c>
      <c r="BQ89" s="131" t="s">
        <v>229</v>
      </c>
      <c r="BR89" s="138" t="e">
        <f>IF(#REF!&lt;E89,1,0)</f>
        <v>#REF!</v>
      </c>
      <c r="BS89" s="137" t="s">
        <v>230</v>
      </c>
    </row>
    <row r="90" ht="15.6" spans="1:71">
      <c r="A90" s="100" t="s">
        <v>124</v>
      </c>
      <c r="B90" s="100"/>
      <c r="C90" s="100"/>
      <c r="D90" s="180" t="s">
        <v>263</v>
      </c>
      <c r="E90" s="104">
        <v>33.99</v>
      </c>
      <c r="F90" s="105">
        <v>49.99</v>
      </c>
      <c r="G90" s="114">
        <f t="shared" si="81"/>
        <v>48.2905</v>
      </c>
      <c r="H90" s="114"/>
      <c r="I90" s="114">
        <f>E90-N90/Q90-AB90-Y90-O90-Z90-AA90</f>
        <v>3.35033924324324</v>
      </c>
      <c r="J90" s="115">
        <f>I90/E90</f>
        <v>0.0985683802072151</v>
      </c>
      <c r="K90" s="104">
        <f>F90/1.2</f>
        <v>41.6583333333333</v>
      </c>
      <c r="L90" s="162">
        <f>(K90-E90)/K90</f>
        <v>0.184076815363073</v>
      </c>
      <c r="M90" s="114">
        <f>F90/1.2-E90</f>
        <v>7.66833333333334</v>
      </c>
      <c r="N90" s="104">
        <f>AD90+AH90</f>
        <v>68.5</v>
      </c>
      <c r="O90" s="104">
        <f>IFERROR(IF(A90="UK",7.6/P90,IF(A90="DE",7.5/P90,IF(A90="FR",14/P90,IF(A90="IT",15/P90,IF(A90="ES",19/P90,IF(A90="NL",12/P90,IF(A90="PL",15.06/P90,IF(A90="SE",18.5/P90,IF(A90="BE",15.27/P90))))))))),0)</f>
        <v>9.5</v>
      </c>
      <c r="P90" s="100">
        <v>2</v>
      </c>
      <c r="Q90" s="121">
        <v>7.4</v>
      </c>
      <c r="R90" s="122">
        <v>0.1</v>
      </c>
      <c r="S90" s="115">
        <f>Y90/F90</f>
        <v>0.067993598719744</v>
      </c>
      <c r="T90" s="122">
        <v>0.05</v>
      </c>
      <c r="U90" s="122">
        <v>0.01</v>
      </c>
      <c r="V90" s="122">
        <f>N90/(E90*Q90)</f>
        <v>0.272337650978428</v>
      </c>
      <c r="W90" s="122">
        <f>O90/E90</f>
        <v>0.279493968814357</v>
      </c>
      <c r="X90" s="116">
        <v>0.1896</v>
      </c>
      <c r="Y90" s="126">
        <f>E90*R90</f>
        <v>3.399</v>
      </c>
      <c r="Z90" s="126">
        <f>E90*T90</f>
        <v>1.6995</v>
      </c>
      <c r="AA90" s="126">
        <f>E90*U90</f>
        <v>0.3399</v>
      </c>
      <c r="AB90" s="104">
        <f>E90*X90</f>
        <v>6.444504</v>
      </c>
      <c r="AC90" s="104">
        <v>73.45</v>
      </c>
      <c r="AD90" s="127">
        <f>73.45/1.13</f>
        <v>65</v>
      </c>
      <c r="AE90" s="121">
        <f>3.5/7.4</f>
        <v>0.472972972972973</v>
      </c>
      <c r="AF90" s="122">
        <f>AD90/(E90*Q90)</f>
        <v>0.258422588519676</v>
      </c>
      <c r="AG90" s="122">
        <f>AE90/Q90/E90</f>
        <v>0.00188041384577727</v>
      </c>
      <c r="AH90" s="121">
        <v>3.5</v>
      </c>
      <c r="AI90" s="122">
        <f>(K90-E90+AB90-Z90)/K90</f>
        <v>0.297979691938388</v>
      </c>
      <c r="AJ90" s="122"/>
      <c r="AK90" s="122"/>
      <c r="AL90" s="122"/>
      <c r="AM90" s="122"/>
      <c r="AN90" s="131"/>
      <c r="AO90" s="131"/>
      <c r="AP90" s="131"/>
      <c r="AQ90" s="131"/>
      <c r="AR90" s="131"/>
      <c r="AS90" s="131"/>
      <c r="AT90" s="131" t="s">
        <v>229</v>
      </c>
      <c r="AU90" s="131" t="s">
        <v>229</v>
      </c>
      <c r="AV90" s="131" t="s">
        <v>229</v>
      </c>
      <c r="AW90" s="131" t="s">
        <v>229</v>
      </c>
      <c r="AX90" s="131" t="s">
        <v>229</v>
      </c>
      <c r="AY90" s="131" t="s">
        <v>229</v>
      </c>
      <c r="AZ90" s="131" t="s">
        <v>229</v>
      </c>
      <c r="BA90" s="131" t="s">
        <v>229</v>
      </c>
      <c r="BB90" s="131" t="s">
        <v>229</v>
      </c>
      <c r="BC90" s="131" t="s">
        <v>229</v>
      </c>
      <c r="BD90" s="131" t="s">
        <v>229</v>
      </c>
      <c r="BE90" s="131" t="s">
        <v>229</v>
      </c>
      <c r="BF90" s="131" t="s">
        <v>229</v>
      </c>
      <c r="BG90" s="131" t="s">
        <v>229</v>
      </c>
      <c r="BH90" s="131" t="s">
        <v>229</v>
      </c>
      <c r="BI90" s="131" t="s">
        <v>229</v>
      </c>
      <c r="BJ90" s="131" t="s">
        <v>229</v>
      </c>
      <c r="BK90" s="131" t="s">
        <v>229</v>
      </c>
      <c r="BL90" s="131" t="s">
        <v>229</v>
      </c>
      <c r="BM90" s="131" t="s">
        <v>229</v>
      </c>
      <c r="BN90" s="131" t="s">
        <v>229</v>
      </c>
      <c r="BO90" s="131" t="s">
        <v>229</v>
      </c>
      <c r="BP90" s="131" t="s">
        <v>229</v>
      </c>
      <c r="BQ90" s="131" t="s">
        <v>229</v>
      </c>
      <c r="BR90" s="138" t="e">
        <f>IF(#REF!&lt;E90,1,0)</f>
        <v>#REF!</v>
      </c>
      <c r="BS90" s="137" t="s">
        <v>230</v>
      </c>
    </row>
    <row r="91" spans="7:35">
      <c r="G91" s="7"/>
      <c r="H91" s="7"/>
      <c r="S91" s="7"/>
      <c r="AE91" s="8"/>
      <c r="AI91" s="7"/>
    </row>
    <row r="92" spans="7:35">
      <c r="G92" s="7"/>
      <c r="H92" s="7"/>
      <c r="S92" s="7"/>
      <c r="AE92" s="8"/>
      <c r="AI92" s="7"/>
    </row>
    <row r="93" spans="7:35">
      <c r="G93" s="7"/>
      <c r="H93" s="7"/>
      <c r="S93" s="7"/>
      <c r="AE93" s="8"/>
      <c r="AI93" s="7"/>
    </row>
    <row r="94" spans="7:35">
      <c r="G94" s="7"/>
      <c r="H94" s="7"/>
      <c r="S94" s="7"/>
      <c r="AE94" s="8"/>
      <c r="AI94" s="7"/>
    </row>
    <row r="95" spans="7:35">
      <c r="G95" s="7"/>
      <c r="H95" s="7"/>
      <c r="S95" s="7"/>
      <c r="AE95" s="8"/>
      <c r="AI95" s="7"/>
    </row>
    <row r="96" spans="7:35">
      <c r="G96" s="7"/>
      <c r="H96" s="7"/>
      <c r="S96" s="7"/>
      <c r="AE96" s="8"/>
      <c r="AI96" s="7"/>
    </row>
    <row r="97" spans="7:35">
      <c r="G97" s="7"/>
      <c r="H97" s="7"/>
      <c r="S97" s="7"/>
      <c r="AE97" s="8"/>
      <c r="AI97" s="7"/>
    </row>
    <row r="98" spans="7:35">
      <c r="G98" s="7"/>
      <c r="H98" s="7"/>
      <c r="S98" s="7"/>
      <c r="AE98" s="8"/>
      <c r="AI98" s="7"/>
    </row>
    <row r="99" spans="7:35">
      <c r="G99" s="7"/>
      <c r="H99" s="7"/>
      <c r="S99" s="7"/>
      <c r="AE99" s="8"/>
      <c r="AI99" s="7"/>
    </row>
    <row r="100" spans="7:35">
      <c r="G100" s="7"/>
      <c r="H100" s="7"/>
      <c r="S100" s="7"/>
      <c r="AE100" s="8"/>
      <c r="AI100" s="7"/>
    </row>
    <row r="101" spans="7:35">
      <c r="G101" s="7"/>
      <c r="H101" s="7"/>
      <c r="S101" s="7"/>
      <c r="AE101" s="8"/>
      <c r="AI101" s="7"/>
    </row>
    <row r="102" spans="7:35">
      <c r="G102" s="7"/>
      <c r="H102" s="7"/>
      <c r="S102" s="7"/>
      <c r="AE102" s="8"/>
      <c r="AI102" s="7"/>
    </row>
    <row r="103" spans="7:35">
      <c r="G103" s="7"/>
      <c r="H103" s="7"/>
      <c r="S103" s="7"/>
      <c r="AE103" s="8"/>
      <c r="AI103" s="7"/>
    </row>
    <row r="104" spans="7:35">
      <c r="G104" s="7"/>
      <c r="H104" s="7"/>
      <c r="S104" s="7"/>
      <c r="AE104" s="8"/>
      <c r="AI104" s="7"/>
    </row>
    <row r="105" spans="7:35">
      <c r="G105" s="7"/>
      <c r="H105" s="7"/>
      <c r="S105" s="7"/>
      <c r="AE105" s="8"/>
      <c r="AI105" s="7"/>
    </row>
    <row r="106" spans="7:35">
      <c r="G106" s="7"/>
      <c r="H106" s="7"/>
      <c r="S106" s="7"/>
      <c r="AE106" s="8"/>
      <c r="AI106" s="7"/>
    </row>
    <row r="107" spans="7:35">
      <c r="G107" s="7"/>
      <c r="H107" s="7"/>
      <c r="S107" s="7"/>
      <c r="AE107" s="8"/>
      <c r="AI107" s="7"/>
    </row>
    <row r="108" spans="7:35">
      <c r="G108" s="7"/>
      <c r="H108" s="7"/>
      <c r="S108" s="7"/>
      <c r="AE108" s="8"/>
      <c r="AI108" s="7"/>
    </row>
    <row r="109" spans="7:35">
      <c r="G109" s="7"/>
      <c r="H109" s="7"/>
      <c r="S109" s="7"/>
      <c r="AE109" s="8"/>
      <c r="AI109" s="7"/>
    </row>
    <row r="110" spans="7:35">
      <c r="G110" s="7"/>
      <c r="H110" s="7"/>
      <c r="S110" s="7"/>
      <c r="AE110" s="8"/>
      <c r="AI110" s="7"/>
    </row>
    <row r="111" spans="7:35">
      <c r="G111" s="7"/>
      <c r="H111" s="7"/>
      <c r="S111" s="7"/>
      <c r="AE111" s="8"/>
      <c r="AI111" s="7"/>
    </row>
    <row r="112" spans="7:35">
      <c r="G112" s="7"/>
      <c r="H112" s="7"/>
      <c r="S112" s="7"/>
      <c r="AE112" s="8"/>
      <c r="AI112" s="7"/>
    </row>
    <row r="113" spans="7:35">
      <c r="G113" s="7"/>
      <c r="H113" s="7"/>
      <c r="S113" s="7"/>
      <c r="AE113" s="8"/>
      <c r="AI113" s="7"/>
    </row>
    <row r="114" spans="7:35">
      <c r="G114" s="7"/>
      <c r="H114" s="7"/>
      <c r="S114" s="7"/>
      <c r="AE114" s="8"/>
      <c r="AI114" s="7"/>
    </row>
    <row r="115" spans="7:35">
      <c r="G115" s="7"/>
      <c r="H115" s="7"/>
      <c r="S115" s="7"/>
      <c r="AE115" s="8"/>
      <c r="AI115" s="7"/>
    </row>
    <row r="116" spans="7:35">
      <c r="G116" s="7"/>
      <c r="H116" s="7"/>
      <c r="S116" s="7"/>
      <c r="AE116" s="8"/>
      <c r="AI116" s="7"/>
    </row>
    <row r="117" spans="7:35">
      <c r="G117" s="7"/>
      <c r="H117" s="7"/>
      <c r="S117" s="7"/>
      <c r="AE117" s="8"/>
      <c r="AI117" s="7"/>
    </row>
    <row r="118" spans="7:35">
      <c r="G118" s="7"/>
      <c r="H118" s="7"/>
      <c r="S118" s="7"/>
      <c r="AE118" s="8"/>
      <c r="AI118" s="7"/>
    </row>
    <row r="119" spans="7:35">
      <c r="G119" s="7"/>
      <c r="H119" s="7"/>
      <c r="S119" s="7"/>
      <c r="AE119" s="8"/>
      <c r="AI119" s="7"/>
    </row>
    <row r="120" spans="7:35">
      <c r="G120" s="7"/>
      <c r="H120" s="7"/>
      <c r="S120" s="7"/>
      <c r="AE120" s="8"/>
      <c r="AI120" s="7"/>
    </row>
    <row r="121" spans="7:35">
      <c r="G121" s="7"/>
      <c r="H121" s="7"/>
      <c r="S121" s="7"/>
      <c r="AE121" s="8"/>
      <c r="AI121" s="7"/>
    </row>
    <row r="122" spans="7:35">
      <c r="G122" s="7"/>
      <c r="H122" s="7"/>
      <c r="S122" s="7"/>
      <c r="AE122" s="8"/>
      <c r="AI122" s="7"/>
    </row>
    <row r="123" spans="7:35">
      <c r="G123" s="7"/>
      <c r="H123" s="7"/>
      <c r="S123" s="7"/>
      <c r="AE123" s="8"/>
      <c r="AI123" s="7"/>
    </row>
    <row r="124" spans="7:35">
      <c r="G124" s="7"/>
      <c r="H124" s="7"/>
      <c r="S124" s="7"/>
      <c r="AE124" s="8"/>
      <c r="AI124" s="7"/>
    </row>
    <row r="125" spans="7:35">
      <c r="G125" s="7"/>
      <c r="H125" s="7"/>
      <c r="S125" s="7"/>
      <c r="AE125" s="8"/>
      <c r="AI125" s="7"/>
    </row>
    <row r="126" spans="7:35">
      <c r="G126" s="7"/>
      <c r="H126" s="7"/>
      <c r="S126" s="7"/>
      <c r="AE126" s="8"/>
      <c r="AI126" s="7"/>
    </row>
    <row r="127" spans="7:35">
      <c r="G127" s="7"/>
      <c r="H127" s="7"/>
      <c r="S127" s="7"/>
      <c r="AE127" s="8"/>
      <c r="AI127" s="7"/>
    </row>
    <row r="128" spans="7:35">
      <c r="G128" s="7"/>
      <c r="H128" s="7"/>
      <c r="S128" s="7"/>
      <c r="AE128" s="8"/>
      <c r="AI128" s="7"/>
    </row>
    <row r="129" spans="7:35">
      <c r="G129" s="7"/>
      <c r="H129" s="7"/>
      <c r="S129" s="7"/>
      <c r="AE129" s="8"/>
      <c r="AI129" s="7"/>
    </row>
    <row r="130" spans="7:35">
      <c r="G130" s="7"/>
      <c r="H130" s="7"/>
      <c r="S130" s="7"/>
      <c r="AE130" s="8"/>
      <c r="AI130" s="7"/>
    </row>
    <row r="131" spans="7:35">
      <c r="G131" s="7"/>
      <c r="H131" s="7"/>
      <c r="S131" s="7"/>
      <c r="AE131" s="8"/>
      <c r="AI131" s="7"/>
    </row>
    <row r="132" spans="7:35">
      <c r="G132" s="7"/>
      <c r="H132" s="7"/>
      <c r="S132" s="7"/>
      <c r="AE132" s="8"/>
      <c r="AI132" s="7"/>
    </row>
    <row r="133" spans="7:35">
      <c r="G133" s="7"/>
      <c r="H133" s="7"/>
      <c r="S133" s="7"/>
      <c r="AE133" s="8"/>
      <c r="AI133" s="7"/>
    </row>
    <row r="134" spans="7:35">
      <c r="G134" s="7"/>
      <c r="H134" s="7"/>
      <c r="S134" s="7"/>
      <c r="AE134" s="8"/>
      <c r="AI134" s="7"/>
    </row>
    <row r="135" spans="7:35">
      <c r="G135" s="7"/>
      <c r="H135" s="7"/>
      <c r="S135" s="7"/>
      <c r="AE135" s="8"/>
      <c r="AI135" s="7"/>
    </row>
    <row r="136" spans="7:35">
      <c r="G136" s="7"/>
      <c r="H136" s="7"/>
      <c r="S136" s="7"/>
      <c r="AE136" s="8"/>
      <c r="AI136" s="7"/>
    </row>
    <row r="137" spans="7:35">
      <c r="G137" s="7"/>
      <c r="H137" s="7"/>
      <c r="S137" s="7"/>
      <c r="AE137" s="8"/>
      <c r="AI137" s="7"/>
    </row>
    <row r="138" spans="7:35">
      <c r="G138" s="7"/>
      <c r="H138" s="7"/>
      <c r="S138" s="7"/>
      <c r="AE138" s="8"/>
      <c r="AI138" s="7"/>
    </row>
    <row r="139" spans="7:35">
      <c r="G139" s="7"/>
      <c r="H139" s="7"/>
      <c r="S139" s="7"/>
      <c r="AE139" s="8"/>
      <c r="AI139" s="7"/>
    </row>
    <row r="140" spans="7:35">
      <c r="G140" s="7"/>
      <c r="H140" s="7"/>
      <c r="S140" s="7"/>
      <c r="AE140" s="8"/>
      <c r="AI140" s="7"/>
    </row>
    <row r="141" spans="7:35">
      <c r="G141" s="7"/>
      <c r="H141" s="7"/>
      <c r="S141" s="7"/>
      <c r="AE141" s="8"/>
      <c r="AI141" s="7"/>
    </row>
    <row r="142" spans="7:35">
      <c r="G142" s="7"/>
      <c r="H142" s="7"/>
      <c r="S142" s="7"/>
      <c r="AE142" s="8"/>
      <c r="AI142" s="7"/>
    </row>
    <row r="143" spans="7:35">
      <c r="G143" s="7"/>
      <c r="H143" s="7"/>
      <c r="S143" s="7"/>
      <c r="AE143" s="8"/>
      <c r="AI143" s="7"/>
    </row>
    <row r="144" spans="7:35">
      <c r="G144" s="7"/>
      <c r="H144" s="7"/>
      <c r="S144" s="7"/>
      <c r="AE144" s="8"/>
      <c r="AI144" s="7"/>
    </row>
    <row r="145" spans="7:35">
      <c r="G145" s="7"/>
      <c r="H145" s="7"/>
      <c r="S145" s="7"/>
      <c r="AE145" s="8"/>
      <c r="AI145" s="7"/>
    </row>
    <row r="146" spans="7:35">
      <c r="G146" s="7"/>
      <c r="H146" s="7"/>
      <c r="S146" s="7"/>
      <c r="AE146" s="8"/>
      <c r="AI146" s="7"/>
    </row>
    <row r="147" spans="7:35">
      <c r="G147" s="7"/>
      <c r="H147" s="7"/>
      <c r="S147" s="7"/>
      <c r="AE147" s="8"/>
      <c r="AI147" s="7"/>
    </row>
    <row r="148" spans="7:35">
      <c r="G148" s="7"/>
      <c r="H148" s="7"/>
      <c r="S148" s="7"/>
      <c r="AE148" s="8"/>
      <c r="AI148" s="7"/>
    </row>
    <row r="149" spans="7:35">
      <c r="G149" s="7"/>
      <c r="H149" s="7"/>
      <c r="S149" s="7"/>
      <c r="AE149" s="8"/>
      <c r="AI149" s="7"/>
    </row>
    <row r="150" spans="7:35">
      <c r="G150" s="7"/>
      <c r="H150" s="7"/>
      <c r="S150" s="7"/>
      <c r="AE150" s="8"/>
      <c r="AI150" s="7"/>
    </row>
    <row r="151" spans="7:35">
      <c r="G151" s="7"/>
      <c r="H151" s="7"/>
      <c r="S151" s="7"/>
      <c r="AE151" s="8"/>
      <c r="AI151" s="7"/>
    </row>
    <row r="152" spans="7:35">
      <c r="G152" s="7"/>
      <c r="H152" s="7"/>
      <c r="S152" s="7"/>
      <c r="AE152" s="8"/>
      <c r="AI152" s="7"/>
    </row>
    <row r="153" spans="7:35">
      <c r="G153" s="7"/>
      <c r="H153" s="7"/>
      <c r="S153" s="7"/>
      <c r="AE153" s="8"/>
      <c r="AI153" s="7"/>
    </row>
    <row r="154" spans="7:35">
      <c r="G154" s="7"/>
      <c r="H154" s="7"/>
      <c r="S154" s="7"/>
      <c r="AE154" s="8"/>
      <c r="AI154" s="7"/>
    </row>
    <row r="155" spans="7:35">
      <c r="G155" s="7"/>
      <c r="H155" s="7"/>
      <c r="S155" s="7"/>
      <c r="AE155" s="8"/>
      <c r="AI155" s="7"/>
    </row>
    <row r="156" spans="7:35">
      <c r="G156" s="7"/>
      <c r="H156" s="7"/>
      <c r="S156" s="7"/>
      <c r="AE156" s="8"/>
      <c r="AI156" s="7"/>
    </row>
    <row r="157" spans="7:35">
      <c r="G157" s="7"/>
      <c r="H157" s="7"/>
      <c r="S157" s="7"/>
      <c r="AE157" s="8"/>
      <c r="AI157" s="7"/>
    </row>
    <row r="158" spans="7:35">
      <c r="G158" s="7"/>
      <c r="H158" s="7"/>
      <c r="S158" s="7"/>
      <c r="AE158" s="8"/>
      <c r="AI158" s="7"/>
    </row>
    <row r="159" spans="7:35">
      <c r="G159" s="7"/>
      <c r="H159" s="7"/>
      <c r="S159" s="7"/>
      <c r="AE159" s="8"/>
      <c r="AI159" s="7"/>
    </row>
    <row r="160" spans="7:35">
      <c r="G160" s="7"/>
      <c r="H160" s="7"/>
      <c r="S160" s="7"/>
      <c r="AE160" s="8"/>
      <c r="AI160" s="7"/>
    </row>
    <row r="161" spans="7:35">
      <c r="G161" s="7"/>
      <c r="H161" s="7"/>
      <c r="S161" s="7"/>
      <c r="AE161" s="8"/>
      <c r="AI161" s="7"/>
    </row>
    <row r="162" spans="7:35">
      <c r="G162" s="7"/>
      <c r="H162" s="7"/>
      <c r="S162" s="7"/>
      <c r="AE162" s="8"/>
      <c r="AI162" s="7"/>
    </row>
    <row r="163" spans="7:35">
      <c r="G163" s="7"/>
      <c r="H163" s="7"/>
      <c r="S163" s="7"/>
      <c r="AE163" s="8"/>
      <c r="AI163" s="7"/>
    </row>
    <row r="164" spans="7:35">
      <c r="G164" s="7"/>
      <c r="H164" s="7"/>
      <c r="S164" s="7"/>
      <c r="AE164" s="8"/>
      <c r="AI164" s="7"/>
    </row>
    <row r="165" spans="7:35">
      <c r="G165" s="7"/>
      <c r="H165" s="7"/>
      <c r="S165" s="7"/>
      <c r="AE165" s="8"/>
      <c r="AI165" s="7"/>
    </row>
    <row r="166" spans="7:35">
      <c r="G166" s="7"/>
      <c r="H166" s="7"/>
      <c r="S166" s="7"/>
      <c r="AE166" s="8"/>
      <c r="AI166" s="7"/>
    </row>
    <row r="167" spans="7:35">
      <c r="G167" s="7"/>
      <c r="H167" s="7"/>
      <c r="S167" s="7"/>
      <c r="AE167" s="8"/>
      <c r="AI167" s="7"/>
    </row>
    <row r="168" spans="7:35">
      <c r="G168" s="7"/>
      <c r="H168" s="7"/>
      <c r="S168" s="7"/>
      <c r="AE168" s="8"/>
      <c r="AI168" s="7"/>
    </row>
    <row r="169" spans="7:35">
      <c r="G169" s="7"/>
      <c r="H169" s="7"/>
      <c r="S169" s="7"/>
      <c r="AE169" s="8"/>
      <c r="AI169" s="7"/>
    </row>
    <row r="170" spans="7:35">
      <c r="G170" s="7"/>
      <c r="H170" s="7"/>
      <c r="S170" s="7"/>
      <c r="AE170" s="8"/>
      <c r="AI170" s="7"/>
    </row>
    <row r="171" spans="7:35">
      <c r="G171" s="7"/>
      <c r="H171" s="7"/>
      <c r="S171" s="7"/>
      <c r="AE171" s="8"/>
      <c r="AI171" s="7"/>
    </row>
    <row r="172" spans="7:35">
      <c r="G172" s="7"/>
      <c r="H172" s="7"/>
      <c r="S172" s="7"/>
      <c r="AE172" s="8"/>
      <c r="AI172" s="7"/>
    </row>
    <row r="173" spans="7:35">
      <c r="G173" s="7"/>
      <c r="H173" s="7"/>
      <c r="S173" s="7"/>
      <c r="AE173" s="8"/>
      <c r="AI173" s="7"/>
    </row>
    <row r="174" spans="7:35">
      <c r="G174" s="7"/>
      <c r="H174" s="7"/>
      <c r="S174" s="7"/>
      <c r="AE174" s="8"/>
      <c r="AI174" s="7"/>
    </row>
    <row r="175" spans="7:35">
      <c r="G175" s="7"/>
      <c r="H175" s="7"/>
      <c r="S175" s="7"/>
      <c r="AE175" s="8"/>
      <c r="AI175" s="7"/>
    </row>
    <row r="176" spans="7:35">
      <c r="G176" s="7"/>
      <c r="H176" s="7"/>
      <c r="S176" s="7"/>
      <c r="AE176" s="8"/>
      <c r="AI176" s="7"/>
    </row>
    <row r="177" spans="7:35">
      <c r="G177" s="7"/>
      <c r="H177" s="7"/>
      <c r="S177" s="7"/>
      <c r="AE177" s="8"/>
      <c r="AI177" s="7"/>
    </row>
    <row r="178" spans="7:35">
      <c r="G178" s="7"/>
      <c r="H178" s="7"/>
      <c r="S178" s="7"/>
      <c r="AE178" s="8"/>
      <c r="AI178" s="7"/>
    </row>
    <row r="179" spans="7:35">
      <c r="G179" s="7"/>
      <c r="H179" s="7"/>
      <c r="S179" s="7"/>
      <c r="AE179" s="8"/>
      <c r="AI179" s="7"/>
    </row>
    <row r="180" spans="7:35">
      <c r="G180" s="7"/>
      <c r="H180" s="7"/>
      <c r="S180" s="7"/>
      <c r="AE180" s="8"/>
      <c r="AI180" s="7"/>
    </row>
    <row r="181" spans="7:35">
      <c r="G181" s="7"/>
      <c r="H181" s="7"/>
      <c r="S181" s="7"/>
      <c r="AE181" s="8"/>
      <c r="AI181" s="7"/>
    </row>
    <row r="182" spans="7:35">
      <c r="G182" s="7"/>
      <c r="H182" s="7"/>
      <c r="S182" s="7"/>
      <c r="AE182" s="8"/>
      <c r="AI182" s="7"/>
    </row>
    <row r="183" spans="7:35">
      <c r="G183" s="7"/>
      <c r="H183" s="7"/>
      <c r="S183" s="7"/>
      <c r="AE183" s="8"/>
      <c r="AI183" s="7"/>
    </row>
    <row r="184" spans="7:35">
      <c r="G184" s="7"/>
      <c r="H184" s="7"/>
      <c r="S184" s="7"/>
      <c r="AE184" s="8"/>
      <c r="AI184" s="7"/>
    </row>
    <row r="185" spans="7:35">
      <c r="G185" s="7"/>
      <c r="H185" s="7"/>
      <c r="S185" s="7"/>
      <c r="AE185" s="8"/>
      <c r="AI185" s="7"/>
    </row>
    <row r="186" spans="7:35">
      <c r="G186" s="7"/>
      <c r="H186" s="7"/>
      <c r="S186" s="7"/>
      <c r="AE186" s="8"/>
      <c r="AI186" s="7"/>
    </row>
    <row r="187" spans="7:35">
      <c r="G187" s="7"/>
      <c r="H187" s="7"/>
      <c r="S187" s="7"/>
      <c r="AE187" s="8"/>
      <c r="AI187" s="7"/>
    </row>
    <row r="188" spans="7:35">
      <c r="G188" s="7"/>
      <c r="H188" s="7"/>
      <c r="S188" s="7"/>
      <c r="AE188" s="8"/>
      <c r="AI188" s="7"/>
    </row>
    <row r="189" spans="7:35">
      <c r="G189" s="7"/>
      <c r="H189" s="7"/>
      <c r="S189" s="7"/>
      <c r="AE189" s="8"/>
      <c r="AI189" s="7"/>
    </row>
    <row r="190" spans="7:35">
      <c r="G190" s="7"/>
      <c r="H190" s="7"/>
      <c r="S190" s="7"/>
      <c r="AE190" s="8"/>
      <c r="AI190" s="7"/>
    </row>
    <row r="191" spans="7:35">
      <c r="G191" s="7"/>
      <c r="H191" s="7"/>
      <c r="S191" s="7"/>
      <c r="AE191" s="8"/>
      <c r="AI191" s="7"/>
    </row>
    <row r="192" spans="7:35">
      <c r="G192" s="7"/>
      <c r="H192" s="7"/>
      <c r="S192" s="7"/>
      <c r="AE192" s="8"/>
      <c r="AI192" s="7"/>
    </row>
    <row r="193" spans="7:35">
      <c r="G193" s="7"/>
      <c r="H193" s="7"/>
      <c r="S193" s="7"/>
      <c r="AE193" s="8"/>
      <c r="AI193" s="7"/>
    </row>
    <row r="194" spans="7:35">
      <c r="G194" s="7"/>
      <c r="H194" s="7"/>
      <c r="S194" s="7"/>
      <c r="AE194" s="8"/>
      <c r="AI194" s="7"/>
    </row>
    <row r="195" spans="7:35">
      <c r="G195" s="7"/>
      <c r="H195" s="7"/>
      <c r="S195" s="7"/>
      <c r="AE195" s="8"/>
      <c r="AI195" s="7"/>
    </row>
    <row r="196" spans="7:35">
      <c r="G196" s="7"/>
      <c r="H196" s="7"/>
      <c r="S196" s="7"/>
      <c r="AE196" s="8"/>
      <c r="AI196" s="7"/>
    </row>
    <row r="197" spans="7:35">
      <c r="G197" s="7"/>
      <c r="H197" s="7"/>
      <c r="S197" s="7"/>
      <c r="AE197" s="8"/>
      <c r="AI197" s="7"/>
    </row>
    <row r="198" spans="7:35">
      <c r="G198" s="7"/>
      <c r="H198" s="7"/>
      <c r="S198" s="7"/>
      <c r="AE198" s="8"/>
      <c r="AI198" s="7"/>
    </row>
    <row r="199" spans="7:35">
      <c r="G199" s="7"/>
      <c r="H199" s="7"/>
      <c r="S199" s="7"/>
      <c r="AE199" s="8"/>
      <c r="AI199" s="7"/>
    </row>
    <row r="200" spans="7:35">
      <c r="G200" s="7"/>
      <c r="H200" s="7"/>
      <c r="S200" s="7"/>
      <c r="AE200" s="8"/>
      <c r="AI200" s="7"/>
    </row>
    <row r="201" spans="7:35">
      <c r="G201" s="7"/>
      <c r="H201" s="7"/>
      <c r="S201" s="7"/>
      <c r="AE201" s="8"/>
      <c r="AI201" s="7"/>
    </row>
    <row r="202" spans="7:35">
      <c r="G202" s="7"/>
      <c r="H202" s="7"/>
      <c r="S202" s="7"/>
      <c r="AE202" s="8"/>
      <c r="AI202" s="7"/>
    </row>
    <row r="203" spans="7:35">
      <c r="G203" s="7"/>
      <c r="H203" s="7"/>
      <c r="S203" s="7"/>
      <c r="AE203" s="8"/>
      <c r="AI203" s="7"/>
    </row>
    <row r="204" spans="7:35">
      <c r="G204" s="7"/>
      <c r="H204" s="7"/>
      <c r="S204" s="7"/>
      <c r="AE204" s="8"/>
      <c r="AI204" s="7"/>
    </row>
    <row r="205" spans="7:35">
      <c r="G205" s="7"/>
      <c r="H205" s="7"/>
      <c r="S205" s="7"/>
      <c r="AE205" s="8"/>
      <c r="AI205" s="7"/>
    </row>
    <row r="206" spans="7:35">
      <c r="G206" s="7"/>
      <c r="H206" s="7"/>
      <c r="S206" s="7"/>
      <c r="AE206" s="8"/>
      <c r="AI206" s="7"/>
    </row>
    <row r="207" spans="7:35">
      <c r="G207" s="7"/>
      <c r="H207" s="7"/>
      <c r="S207" s="7"/>
      <c r="AE207" s="8"/>
      <c r="AI207" s="7"/>
    </row>
    <row r="208" spans="7:35">
      <c r="G208" s="7"/>
      <c r="H208" s="7"/>
      <c r="S208" s="7"/>
      <c r="AE208" s="8"/>
      <c r="AI208" s="7"/>
    </row>
    <row r="209" spans="7:35">
      <c r="G209" s="7"/>
      <c r="H209" s="7"/>
      <c r="S209" s="7"/>
      <c r="AE209" s="8"/>
      <c r="AI209" s="7"/>
    </row>
    <row r="210" spans="7:35">
      <c r="G210" s="7"/>
      <c r="H210" s="7"/>
      <c r="S210" s="7"/>
      <c r="AE210" s="8"/>
      <c r="AI210" s="7"/>
    </row>
    <row r="211" spans="7:35">
      <c r="G211" s="7"/>
      <c r="H211" s="7"/>
      <c r="S211" s="7"/>
      <c r="AE211" s="8"/>
      <c r="AI211" s="7"/>
    </row>
    <row r="212" spans="7:35">
      <c r="G212" s="7"/>
      <c r="H212" s="7"/>
      <c r="S212" s="7"/>
      <c r="AE212" s="8"/>
      <c r="AI212" s="7"/>
    </row>
    <row r="213" spans="7:35">
      <c r="G213" s="7"/>
      <c r="H213" s="7"/>
      <c r="S213" s="7"/>
      <c r="AE213" s="8"/>
      <c r="AI213" s="7"/>
    </row>
    <row r="214" spans="7:35">
      <c r="G214" s="7"/>
      <c r="H214" s="7"/>
      <c r="S214" s="7"/>
      <c r="AE214" s="8"/>
      <c r="AI214" s="7"/>
    </row>
    <row r="215" spans="7:35">
      <c r="G215" s="7"/>
      <c r="H215" s="7"/>
      <c r="S215" s="7"/>
      <c r="AE215" s="8"/>
      <c r="AI215" s="7"/>
    </row>
    <row r="216" spans="7:35">
      <c r="G216" s="7"/>
      <c r="H216" s="7"/>
      <c r="S216" s="7"/>
      <c r="AE216" s="8"/>
      <c r="AI216" s="7"/>
    </row>
    <row r="217" spans="7:35">
      <c r="G217" s="7"/>
      <c r="H217" s="7"/>
      <c r="S217" s="7"/>
      <c r="AE217" s="8"/>
      <c r="AI217" s="7"/>
    </row>
    <row r="218" spans="7:35">
      <c r="G218" s="7"/>
      <c r="H218" s="7"/>
      <c r="S218" s="7"/>
      <c r="AE218" s="8"/>
      <c r="AI218" s="7"/>
    </row>
    <row r="219" spans="7:35">
      <c r="G219" s="7"/>
      <c r="H219" s="7"/>
      <c r="S219" s="7"/>
      <c r="AE219" s="8"/>
      <c r="AI219" s="7"/>
    </row>
    <row r="220" spans="7:35">
      <c r="G220" s="7"/>
      <c r="H220" s="7"/>
      <c r="S220" s="7"/>
      <c r="AE220" s="8"/>
      <c r="AI220" s="7"/>
    </row>
    <row r="221" spans="7:35">
      <c r="G221" s="7"/>
      <c r="H221" s="7"/>
      <c r="S221" s="7"/>
      <c r="AE221" s="8"/>
      <c r="AI221" s="7"/>
    </row>
    <row r="222" spans="7:35">
      <c r="G222" s="7"/>
      <c r="H222" s="7"/>
      <c r="S222" s="7"/>
      <c r="AE222" s="8"/>
      <c r="AI222" s="7"/>
    </row>
    <row r="223" spans="7:35">
      <c r="G223" s="7"/>
      <c r="H223" s="7"/>
      <c r="S223" s="7"/>
      <c r="AE223" s="8"/>
      <c r="AI223" s="7"/>
    </row>
    <row r="224" spans="7:35">
      <c r="G224" s="7"/>
      <c r="H224" s="7"/>
      <c r="S224" s="7"/>
      <c r="AE224" s="8"/>
      <c r="AI224" s="7"/>
    </row>
    <row r="225" spans="7:35">
      <c r="G225" s="7"/>
      <c r="H225" s="7"/>
      <c r="S225" s="7"/>
      <c r="AE225" s="8"/>
      <c r="AI225" s="7"/>
    </row>
    <row r="226" spans="7:35">
      <c r="G226" s="7"/>
      <c r="H226" s="7"/>
      <c r="S226" s="7"/>
      <c r="AE226" s="8"/>
      <c r="AI226" s="7"/>
    </row>
    <row r="227" spans="7:35">
      <c r="G227" s="7"/>
      <c r="H227" s="7"/>
      <c r="S227" s="7"/>
      <c r="AE227" s="8"/>
      <c r="AI227" s="7"/>
    </row>
    <row r="228" spans="7:35">
      <c r="G228" s="7"/>
      <c r="H228" s="7"/>
      <c r="S228" s="7"/>
      <c r="AE228" s="8"/>
      <c r="AI228" s="7"/>
    </row>
    <row r="229" spans="7:35">
      <c r="G229" s="7"/>
      <c r="H229" s="7"/>
      <c r="S229" s="7"/>
      <c r="AE229" s="8"/>
      <c r="AI229" s="7"/>
    </row>
    <row r="230" spans="7:35">
      <c r="G230" s="7"/>
      <c r="H230" s="7"/>
      <c r="S230" s="7"/>
      <c r="AE230" s="8"/>
      <c r="AI230" s="7"/>
    </row>
    <row r="231" spans="7:35">
      <c r="G231" s="7"/>
      <c r="H231" s="7"/>
      <c r="S231" s="7"/>
      <c r="AE231" s="8"/>
      <c r="AI231" s="7"/>
    </row>
    <row r="232" spans="7:35">
      <c r="G232" s="7"/>
      <c r="H232" s="7"/>
      <c r="S232" s="7"/>
      <c r="AE232" s="8"/>
      <c r="AI232" s="7"/>
    </row>
    <row r="233" spans="7:35">
      <c r="G233" s="7"/>
      <c r="H233" s="7"/>
      <c r="S233" s="7"/>
      <c r="AE233" s="8"/>
      <c r="AI233" s="7"/>
    </row>
    <row r="234" spans="7:35">
      <c r="G234" s="7"/>
      <c r="H234" s="7"/>
      <c r="S234" s="7"/>
      <c r="AE234" s="8"/>
      <c r="AI234" s="7"/>
    </row>
    <row r="235" spans="7:35">
      <c r="G235" s="7"/>
      <c r="H235" s="7"/>
      <c r="S235" s="7"/>
      <c r="AE235" s="8"/>
      <c r="AI235" s="7"/>
    </row>
    <row r="236" spans="7:35">
      <c r="G236" s="7"/>
      <c r="H236" s="7"/>
      <c r="S236" s="7"/>
      <c r="AE236" s="8"/>
      <c r="AI236" s="7"/>
    </row>
    <row r="237" spans="7:35">
      <c r="G237" s="7"/>
      <c r="H237" s="7"/>
      <c r="S237" s="7"/>
      <c r="AE237" s="8"/>
      <c r="AI237" s="7"/>
    </row>
    <row r="238" spans="7:35">
      <c r="G238" s="7"/>
      <c r="H238" s="7"/>
      <c r="S238" s="7"/>
      <c r="AE238" s="8"/>
      <c r="AI238" s="7"/>
    </row>
    <row r="239" spans="7:35">
      <c r="G239" s="7"/>
      <c r="H239" s="7"/>
      <c r="S239" s="7"/>
      <c r="AE239" s="8"/>
      <c r="AI239" s="7"/>
    </row>
    <row r="240" spans="7:35">
      <c r="G240" s="7"/>
      <c r="H240" s="7"/>
      <c r="S240" s="7"/>
      <c r="AE240" s="8"/>
      <c r="AI240" s="7"/>
    </row>
  </sheetData>
  <autoFilter xmlns:etc="http://www.wps.cn/officeDocument/2017/etCustomData" ref="A1:BS240" etc:filterBottomFollowUsedRange="0">
    <extLst/>
  </autoFilter>
  <conditionalFormatting sqref="J2:J3">
    <cfRule type="cellIs" dxfId="1" priority="83" operator="lessThanOrEqual">
      <formula>0</formula>
    </cfRule>
    <cfRule type="cellIs" dxfId="1" priority="139" operator="lessThanOrEqual">
      <formula>0</formula>
    </cfRule>
  </conditionalFormatting>
  <conditionalFormatting sqref="G1:J1 N1:O1 Y1">
    <cfRule type="cellIs" dxfId="1" priority="79" operator="lessThanOrEqual">
      <formula>0</formula>
    </cfRule>
  </conditionalFormatting>
  <conditionalFormatting sqref="G2:G90 H2:I46 H48:J56 H58:J66 H68:J72 H74:J90 J16:J46 Y20:Y46 Y48:AA56 Y58:AA66 Y68:AA72 Y74:AA90 Z16:Z27 Z43:Z46 AA16:AA46">
    <cfRule type="cellIs" dxfId="1" priority="113" operator="lessThanOrEqual">
      <formula>0</formula>
    </cfRule>
  </conditionalFormatting>
  <conditionalFormatting sqref="J2:J3 Y2:Y19 Z2:Z15 Z28:Z42 AA2:AA3">
    <cfRule type="cellIs" dxfId="1" priority="97" operator="lessThanOrEqual">
      <formula>0</formula>
    </cfRule>
  </conditionalFormatting>
  <conditionalFormatting sqref="J4:J15 J19:J46 J48:J56 J58:J66 J68:J72 J74:J90 Y20:Y46 Y48:AA56 Y58:AA66 Y68:AA72 Y74:AA90 Z19:Z27 Z43:Z46 AA4:AA15 AA19:AA46">
    <cfRule type="cellIs" dxfId="1" priority="5" operator="lessThanOrEqual">
      <formula>0</formula>
    </cfRule>
  </conditionalFormatting>
  <conditionalFormatting sqref="J16:J46 J48:J56 J58:J66 J68:J72 J74:J90 Y20:Y46 Y48:AA56 Y58:AA66 Y68:AA72 Y74:AA90 Z16:Z27 Z43:Z46 AA16:AA46">
    <cfRule type="cellIs" dxfId="1" priority="4" operator="lessThanOrEqual">
      <formula>0</formula>
    </cfRule>
    <cfRule type="cellIs" dxfId="1" priority="19" operator="lessThanOrEqual">
      <formula>0</formula>
    </cfRule>
    <cfRule type="cellIs" dxfId="1" priority="34" operator="lessThanOrEqual">
      <formula>0</formula>
    </cfRule>
    <cfRule type="cellIs" dxfId="1" priority="36" operator="lessThanOrEqual">
      <formula>0</formula>
    </cfRule>
    <cfRule type="cellIs" dxfId="1" priority="38" operator="lessThanOrEqual">
      <formula>0</formula>
    </cfRule>
    <cfRule type="cellIs" dxfId="1" priority="58" operator="lessThanOrEqual">
      <formula>0</formula>
    </cfRule>
    <cfRule type="cellIs" dxfId="1" priority="66" operator="lessThanOrEqual">
      <formula>0</formula>
    </cfRule>
    <cfRule type="cellIs" dxfId="1" priority="76" operator="lessThanOrEqual">
      <formula>0</formula>
    </cfRule>
    <cfRule type="cellIs" dxfId="1" priority="101" operator="lessThanOrEqual">
      <formula>0</formula>
    </cfRule>
    <cfRule type="cellIs" dxfId="1" priority="103" operator="lessThanOrEqual">
      <formula>0</formula>
    </cfRule>
    <cfRule type="cellIs" dxfId="1" priority="117" operator="lessThanOrEqual">
      <formula>0</formula>
    </cfRule>
    <cfRule type="cellIs" dxfId="1" priority="123" operator="lessThanOrEqual">
      <formula>0</formula>
    </cfRule>
    <cfRule type="cellIs" dxfId="1" priority="124" operator="lessThanOrEqual">
      <formula>0</formula>
    </cfRule>
    <cfRule type="cellIs" dxfId="1" priority="130" operator="lessThanOrEqual">
      <formula>0</formula>
    </cfRule>
    <cfRule type="cellIs" dxfId="1" priority="141" operator="lessThanOrEqual">
      <formula>0</formula>
    </cfRule>
  </conditionalFormatting>
  <conditionalFormatting sqref="J16:J46 J48:J56 J58:J66 J68:J72 J74:J90">
    <cfRule type="cellIs" dxfId="1" priority="7" operator="lessThanOrEqual">
      <formula>0</formula>
    </cfRule>
    <cfRule type="cellIs" dxfId="1" priority="9" operator="lessThanOrEqual">
      <formula>0</formula>
    </cfRule>
    <cfRule type="cellIs" dxfId="1" priority="20" operator="lessThanOrEqual">
      <formula>0</formula>
    </cfRule>
    <cfRule type="cellIs" dxfId="1" priority="22" operator="lessThanOrEqual">
      <formula>0</formula>
    </cfRule>
    <cfRule type="cellIs" dxfId="1" priority="27" operator="lessThanOrEqual">
      <formula>0</formula>
    </cfRule>
    <cfRule type="cellIs" dxfId="1" priority="35" operator="lessThanOrEqual">
      <formula>0</formula>
    </cfRule>
    <cfRule type="cellIs" dxfId="1" priority="40" operator="lessThanOrEqual">
      <formula>0</formula>
    </cfRule>
    <cfRule type="cellIs" dxfId="1" priority="55" operator="lessThanOrEqual">
      <formula>0</formula>
    </cfRule>
    <cfRule type="cellIs" dxfId="1" priority="57" operator="lessThanOrEqual">
      <formula>0</formula>
    </cfRule>
    <cfRule type="cellIs" dxfId="1" priority="64" operator="lessThanOrEqual">
      <formula>0</formula>
    </cfRule>
    <cfRule type="cellIs" dxfId="1" priority="92" operator="lessThanOrEqual">
      <formula>0</formula>
    </cfRule>
    <cfRule type="cellIs" dxfId="1" priority="100" operator="lessThanOrEqual">
      <formula>0</formula>
    </cfRule>
    <cfRule type="cellIs" dxfId="1" priority="106" operator="lessThanOrEqual">
      <formula>0</formula>
    </cfRule>
    <cfRule type="cellIs" dxfId="1" priority="119" operator="lessThanOrEqual">
      <formula>0</formula>
    </cfRule>
    <cfRule type="cellIs" dxfId="1" priority="122" operator="lessThanOrEqual">
      <formula>0</formula>
    </cfRule>
    <cfRule type="cellIs" dxfId="1" priority="134" operator="lessThanOrEqual">
      <formula>0</formula>
    </cfRule>
  </conditionalFormatting>
  <conditionalFormatting sqref="J18:J46 J48:J56 J58:J66 J68:J72 J74:J90">
    <cfRule type="cellIs" dxfId="1" priority="1" operator="lessThanOrEqual">
      <formula>0</formula>
    </cfRule>
    <cfRule type="cellIs" dxfId="1" priority="8" operator="lessThanOrEqual">
      <formula>0</formula>
    </cfRule>
    <cfRule type="cellIs" dxfId="1" priority="10" operator="lessThanOrEqual">
      <formula>0</formula>
    </cfRule>
    <cfRule type="cellIs" dxfId="1" priority="11" operator="lessThanOrEqual">
      <formula>0</formula>
    </cfRule>
    <cfRule type="cellIs" dxfId="1" priority="12" operator="lessThanOrEqual">
      <formula>0</formula>
    </cfRule>
    <cfRule type="cellIs" dxfId="1" priority="17" operator="lessThanOrEqual">
      <formula>0</formula>
    </cfRule>
    <cfRule type="cellIs" dxfId="1" priority="18" operator="lessThanOrEqual">
      <formula>0</formula>
    </cfRule>
    <cfRule type="cellIs" dxfId="1" priority="21" operator="lessThanOrEqual">
      <formula>0</formula>
    </cfRule>
    <cfRule type="cellIs" dxfId="1" priority="26" operator="lessThanOrEqual">
      <formula>0</formula>
    </cfRule>
    <cfRule type="cellIs" dxfId="1" priority="29" operator="lessThanOrEqual">
      <formula>0</formula>
    </cfRule>
    <cfRule type="cellIs" dxfId="1" priority="32" operator="lessThanOrEqual">
      <formula>0</formula>
    </cfRule>
    <cfRule type="cellIs" dxfId="1" priority="41" operator="lessThanOrEqual">
      <formula>0</formula>
    </cfRule>
    <cfRule type="cellIs" dxfId="1" priority="42" operator="lessThanOrEqual">
      <formula>0</formula>
    </cfRule>
    <cfRule type="cellIs" dxfId="1" priority="45" operator="lessThanOrEqual">
      <formula>0</formula>
    </cfRule>
    <cfRule type="cellIs" dxfId="1" priority="46" operator="lessThanOrEqual">
      <formula>0</formula>
    </cfRule>
    <cfRule type="cellIs" dxfId="1" priority="49" operator="lessThanOrEqual">
      <formula>0</formula>
    </cfRule>
    <cfRule type="cellIs" dxfId="1" priority="50" operator="lessThanOrEqual">
      <formula>0</formula>
    </cfRule>
    <cfRule type="cellIs" dxfId="1" priority="53" operator="lessThanOrEqual">
      <formula>0</formula>
    </cfRule>
    <cfRule type="cellIs" dxfId="1" priority="56" operator="lessThanOrEqual">
      <formula>0</formula>
    </cfRule>
    <cfRule type="cellIs" dxfId="1" priority="60" operator="lessThanOrEqual">
      <formula>0</formula>
    </cfRule>
    <cfRule type="cellIs" dxfId="1" priority="63" operator="lessThanOrEqual">
      <formula>0</formula>
    </cfRule>
    <cfRule type="cellIs" dxfId="1" priority="65" operator="lessThanOrEqual">
      <formula>0</formula>
    </cfRule>
    <cfRule type="cellIs" dxfId="1" priority="67" operator="lessThanOrEqual">
      <formula>0</formula>
    </cfRule>
    <cfRule type="cellIs" dxfId="1" priority="68" operator="lessThanOrEqual">
      <formula>0</formula>
    </cfRule>
    <cfRule type="cellIs" dxfId="1" priority="69" operator="lessThanOrEqual">
      <formula>0</formula>
    </cfRule>
    <cfRule type="cellIs" dxfId="1" priority="70" operator="lessThanOrEqual">
      <formula>0</formula>
    </cfRule>
    <cfRule type="cellIs" dxfId="1" priority="72" operator="lessThanOrEqual">
      <formula>0</formula>
    </cfRule>
    <cfRule type="cellIs" dxfId="1" priority="77" operator="lessThanOrEqual">
      <formula>0</formula>
    </cfRule>
    <cfRule type="cellIs" dxfId="1" priority="80" operator="lessThanOrEqual">
      <formula>0</formula>
    </cfRule>
    <cfRule type="cellIs" dxfId="1" priority="82" operator="lessThanOrEqual">
      <formula>0</formula>
    </cfRule>
    <cfRule type="cellIs" dxfId="1" priority="84" operator="lessThanOrEqual">
      <formula>0</formula>
    </cfRule>
    <cfRule type="cellIs" dxfId="1" priority="85" operator="lessThanOrEqual">
      <formula>0</formula>
    </cfRule>
    <cfRule type="cellIs" dxfId="1" priority="88" operator="lessThanOrEqual">
      <formula>0</formula>
    </cfRule>
    <cfRule type="cellIs" dxfId="1" priority="90" operator="lessThanOrEqual">
      <formula>0</formula>
    </cfRule>
    <cfRule type="cellIs" dxfId="1" priority="91" operator="lessThanOrEqual">
      <formula>0</formula>
    </cfRule>
    <cfRule type="cellIs" dxfId="1" priority="93" operator="lessThanOrEqual">
      <formula>0</formula>
    </cfRule>
    <cfRule type="cellIs" dxfId="1" priority="96" operator="lessThanOrEqual">
      <formula>0</formula>
    </cfRule>
    <cfRule type="cellIs" dxfId="1" priority="99" operator="lessThanOrEqual">
      <formula>0</formula>
    </cfRule>
    <cfRule type="cellIs" dxfId="1" priority="104" operator="lessThanOrEqual">
      <formula>0</formula>
    </cfRule>
    <cfRule type="cellIs" dxfId="1" priority="105" operator="lessThanOrEqual">
      <formula>0</formula>
    </cfRule>
    <cfRule type="cellIs" dxfId="1" priority="111" operator="lessThanOrEqual">
      <formula>0</formula>
    </cfRule>
    <cfRule type="cellIs" dxfId="1" priority="112" operator="lessThanOrEqual">
      <formula>0</formula>
    </cfRule>
    <cfRule type="cellIs" dxfId="1" priority="114" operator="lessThanOrEqual">
      <formula>0</formula>
    </cfRule>
    <cfRule type="cellIs" dxfId="1" priority="115" operator="lessThanOrEqual">
      <formula>0</formula>
    </cfRule>
    <cfRule type="cellIs" dxfId="1" priority="121" operator="lessThanOrEqual">
      <formula>0</formula>
    </cfRule>
    <cfRule type="cellIs" dxfId="1" priority="126" operator="lessThanOrEqual">
      <formula>0</formula>
    </cfRule>
    <cfRule type="cellIs" dxfId="1" priority="128" operator="lessThanOrEqual">
      <formula>0</formula>
    </cfRule>
    <cfRule type="cellIs" dxfId="1" priority="129" operator="lessThanOrEqual">
      <formula>0</formula>
    </cfRule>
    <cfRule type="cellIs" dxfId="1" priority="131" operator="lessThanOrEqual">
      <formula>0</formula>
    </cfRule>
    <cfRule type="cellIs" dxfId="1" priority="132" operator="lessThanOrEqual">
      <formula>0</formula>
    </cfRule>
    <cfRule type="cellIs" dxfId="1" priority="133" operator="lessThanOrEqual">
      <formula>0</formula>
    </cfRule>
    <cfRule type="cellIs" dxfId="1" priority="135" operator="lessThanOrEqual">
      <formula>0</formula>
    </cfRule>
    <cfRule type="cellIs" dxfId="1" priority="137" operator="lessThanOrEqual">
      <formula>0</formula>
    </cfRule>
    <cfRule type="cellIs" dxfId="1" priority="142" operator="lessThanOrEqual">
      <formula>0</formula>
    </cfRule>
  </conditionalFormatting>
  <conditionalFormatting sqref="J18:J46 J48:J56 J58:J66 J68:J72 J74:J90 Y20:Y46 Y48:AA56 Y58:AA66 Y68:AA72 Y74:AA90 Z18:Z27 Z43:Z46 AA18:AA46">
    <cfRule type="cellIs" dxfId="1" priority="2" operator="lessThanOrEqual">
      <formula>0</formula>
    </cfRule>
    <cfRule type="cellIs" dxfId="1" priority="3" operator="lessThanOrEqual">
      <formula>0</formula>
    </cfRule>
    <cfRule type="cellIs" dxfId="1" priority="6" operator="lessThanOrEqual">
      <formula>0</formula>
    </cfRule>
    <cfRule type="cellIs" dxfId="1" priority="13" operator="lessThanOrEqual">
      <formula>0</formula>
    </cfRule>
    <cfRule type="cellIs" dxfId="1" priority="14" operator="lessThanOrEqual">
      <formula>0</formula>
    </cfRule>
    <cfRule type="cellIs" dxfId="1" priority="15" operator="lessThanOrEqual">
      <formula>0</formula>
    </cfRule>
    <cfRule type="cellIs" dxfId="1" priority="16" operator="lessThanOrEqual">
      <formula>0</formula>
    </cfRule>
    <cfRule type="cellIs" dxfId="1" priority="23" operator="lessThanOrEqual">
      <formula>0</formula>
    </cfRule>
    <cfRule type="cellIs" dxfId="1" priority="24" operator="lessThanOrEqual">
      <formula>0</formula>
    </cfRule>
    <cfRule type="cellIs" dxfId="1" priority="25" operator="lessThanOrEqual">
      <formula>0</formula>
    </cfRule>
    <cfRule type="cellIs" dxfId="1" priority="28" operator="lessThanOrEqual">
      <formula>0</formula>
    </cfRule>
    <cfRule type="cellIs" dxfId="1" priority="30" operator="lessThanOrEqual">
      <formula>0</formula>
    </cfRule>
    <cfRule type="cellIs" dxfId="1" priority="31" operator="lessThanOrEqual">
      <formula>0</formula>
    </cfRule>
    <cfRule type="cellIs" dxfId="1" priority="33" operator="lessThanOrEqual">
      <formula>0</formula>
    </cfRule>
    <cfRule type="cellIs" dxfId="1" priority="37" operator="lessThanOrEqual">
      <formula>0</formula>
    </cfRule>
    <cfRule type="cellIs" dxfId="1" priority="39" operator="lessThanOrEqual">
      <formula>0</formula>
    </cfRule>
    <cfRule type="cellIs" dxfId="1" priority="43" operator="lessThanOrEqual">
      <formula>0</formula>
    </cfRule>
    <cfRule type="cellIs" dxfId="1" priority="44" operator="lessThanOrEqual">
      <formula>0</formula>
    </cfRule>
    <cfRule type="cellIs" dxfId="1" priority="47" operator="lessThanOrEqual">
      <formula>0</formula>
    </cfRule>
    <cfRule type="cellIs" dxfId="1" priority="48" operator="lessThanOrEqual">
      <formula>0</formula>
    </cfRule>
    <cfRule type="cellIs" dxfId="1" priority="51" operator="lessThanOrEqual">
      <formula>0</formula>
    </cfRule>
    <cfRule type="cellIs" dxfId="1" priority="52" operator="lessThanOrEqual">
      <formula>0</formula>
    </cfRule>
    <cfRule type="cellIs" dxfId="1" priority="54" operator="lessThanOrEqual">
      <formula>0</formula>
    </cfRule>
    <cfRule type="cellIs" dxfId="1" priority="59" operator="lessThanOrEqual">
      <formula>0</formula>
    </cfRule>
    <cfRule type="cellIs" dxfId="1" priority="61" operator="lessThanOrEqual">
      <formula>0</formula>
    </cfRule>
    <cfRule type="cellIs" dxfId="1" priority="62" operator="lessThanOrEqual">
      <formula>0</formula>
    </cfRule>
    <cfRule type="cellIs" dxfId="1" priority="71" operator="lessThanOrEqual">
      <formula>0</formula>
    </cfRule>
    <cfRule type="cellIs" dxfId="1" priority="73" operator="lessThanOrEqual">
      <formula>0</formula>
    </cfRule>
    <cfRule type="cellIs" dxfId="1" priority="74" operator="lessThanOrEqual">
      <formula>0</formula>
    </cfRule>
    <cfRule type="cellIs" dxfId="1" priority="75" operator="lessThanOrEqual">
      <formula>0</formula>
    </cfRule>
    <cfRule type="cellIs" dxfId="1" priority="78" operator="lessThanOrEqual">
      <formula>0</formula>
    </cfRule>
    <cfRule type="cellIs" dxfId="1" priority="81" operator="lessThanOrEqual">
      <formula>0</formula>
    </cfRule>
    <cfRule type="cellIs" dxfId="1" priority="86" operator="lessThanOrEqual">
      <formula>0</formula>
    </cfRule>
    <cfRule type="cellIs" dxfId="1" priority="87" operator="lessThanOrEqual">
      <formula>0</formula>
    </cfRule>
    <cfRule type="cellIs" dxfId="1" priority="89" operator="lessThanOrEqual">
      <formula>0</formula>
    </cfRule>
    <cfRule type="cellIs" dxfId="1" priority="94" operator="lessThanOrEqual">
      <formula>0</formula>
    </cfRule>
    <cfRule type="cellIs" dxfId="1" priority="95" operator="lessThanOrEqual">
      <formula>0</formula>
    </cfRule>
    <cfRule type="cellIs" dxfId="1" priority="98" operator="lessThanOrEqual">
      <formula>0</formula>
    </cfRule>
    <cfRule type="cellIs" dxfId="1" priority="102" operator="lessThanOrEqual">
      <formula>0</formula>
    </cfRule>
    <cfRule type="cellIs" dxfId="1" priority="107" operator="lessThanOrEqual">
      <formula>0</formula>
    </cfRule>
    <cfRule type="cellIs" dxfId="1" priority="108" operator="lessThanOrEqual">
      <formula>0</formula>
    </cfRule>
    <cfRule type="cellIs" dxfId="1" priority="109" operator="lessThanOrEqual">
      <formula>0</formula>
    </cfRule>
    <cfRule type="cellIs" dxfId="1" priority="110" operator="lessThanOrEqual">
      <formula>0</formula>
    </cfRule>
    <cfRule type="cellIs" dxfId="1" priority="116" operator="lessThanOrEqual">
      <formula>0</formula>
    </cfRule>
    <cfRule type="cellIs" dxfId="1" priority="118" operator="lessThanOrEqual">
      <formula>0</formula>
    </cfRule>
    <cfRule type="cellIs" dxfId="1" priority="120" operator="lessThanOrEqual">
      <formula>0</formula>
    </cfRule>
    <cfRule type="cellIs" dxfId="1" priority="125" operator="lessThanOrEqual">
      <formula>0</formula>
    </cfRule>
    <cfRule type="cellIs" dxfId="1" priority="127" operator="lessThanOrEqual">
      <formula>0</formula>
    </cfRule>
    <cfRule type="cellIs" dxfId="1" priority="136" operator="lessThanOrEqual">
      <formula>0</formula>
    </cfRule>
    <cfRule type="cellIs" dxfId="1" priority="138" operator="lessThanOrEqual">
      <formula>0</formula>
    </cfRule>
    <cfRule type="cellIs" dxfId="1" priority="140" operator="lessThanOrEqual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E2" sqref="E2:E10"/>
    </sheetView>
  </sheetViews>
  <sheetFormatPr defaultColWidth="17" defaultRowHeight="11.4"/>
  <cols>
    <col min="1" max="72" width="16.59375" customWidth="1"/>
  </cols>
  <sheetData>
    <row r="1" ht="62.4" spans="1:72">
      <c r="A1" s="95" t="s">
        <v>197</v>
      </c>
      <c r="B1" s="96" t="s">
        <v>47</v>
      </c>
      <c r="C1" s="96" t="s">
        <v>45</v>
      </c>
      <c r="D1" s="95" t="s">
        <v>48</v>
      </c>
      <c r="E1" s="95" t="s">
        <v>264</v>
      </c>
      <c r="F1" s="97" t="s">
        <v>265</v>
      </c>
      <c r="G1" s="98" t="s">
        <v>266</v>
      </c>
      <c r="H1" s="99" t="s">
        <v>267</v>
      </c>
      <c r="I1" s="99" t="s">
        <v>268</v>
      </c>
      <c r="J1" s="106" t="s">
        <v>198</v>
      </c>
      <c r="K1" s="107" t="s">
        <v>199</v>
      </c>
      <c r="L1" s="108" t="s">
        <v>53</v>
      </c>
      <c r="M1" s="109" t="s">
        <v>33</v>
      </c>
      <c r="N1" s="110" t="s">
        <v>202</v>
      </c>
      <c r="O1" s="111" t="s">
        <v>54</v>
      </c>
      <c r="P1" s="112" t="s">
        <v>56</v>
      </c>
      <c r="Q1" s="117" t="s">
        <v>57</v>
      </c>
      <c r="R1" s="108" t="s">
        <v>269</v>
      </c>
      <c r="S1" s="118" t="s">
        <v>5</v>
      </c>
      <c r="T1" s="95" t="s">
        <v>23</v>
      </c>
      <c r="U1" s="119" t="s">
        <v>59</v>
      </c>
      <c r="V1" s="119" t="s">
        <v>60</v>
      </c>
      <c r="W1" s="119" t="s">
        <v>61</v>
      </c>
      <c r="X1" s="120" t="s">
        <v>62</v>
      </c>
      <c r="Y1" s="120" t="s">
        <v>41</v>
      </c>
      <c r="Z1" s="119" t="s">
        <v>63</v>
      </c>
      <c r="AA1" s="123" t="s">
        <v>64</v>
      </c>
      <c r="AB1" s="123" t="s">
        <v>65</v>
      </c>
      <c r="AC1" s="123" t="s">
        <v>66</v>
      </c>
      <c r="AD1" s="123" t="s">
        <v>67</v>
      </c>
      <c r="AE1" s="124" t="s">
        <v>68</v>
      </c>
      <c r="AF1" s="125" t="s">
        <v>69</v>
      </c>
      <c r="AG1" s="124" t="s">
        <v>270</v>
      </c>
      <c r="AH1" s="128" t="s">
        <v>71</v>
      </c>
      <c r="AI1" s="128" t="s">
        <v>40</v>
      </c>
      <c r="AJ1" s="129" t="s">
        <v>70</v>
      </c>
      <c r="AK1" s="130" t="s">
        <v>271</v>
      </c>
      <c r="AL1" s="130" t="s">
        <v>213</v>
      </c>
      <c r="AM1" s="130" t="s">
        <v>214</v>
      </c>
      <c r="AN1" s="130" t="s">
        <v>215</v>
      </c>
      <c r="AO1" s="130" t="s">
        <v>216</v>
      </c>
      <c r="AP1" s="130" t="s">
        <v>217</v>
      </c>
      <c r="AQ1" s="130" t="s">
        <v>218</v>
      </c>
      <c r="AR1" s="130" t="s">
        <v>219</v>
      </c>
      <c r="AS1" s="130" t="s">
        <v>220</v>
      </c>
      <c r="AT1" s="130" t="s">
        <v>221</v>
      </c>
      <c r="AU1" s="132" t="s">
        <v>222</v>
      </c>
      <c r="AV1" s="132" t="s">
        <v>223</v>
      </c>
      <c r="AW1" s="132" t="s">
        <v>224</v>
      </c>
      <c r="AX1" s="132" t="s">
        <v>213</v>
      </c>
      <c r="AY1" s="132" t="s">
        <v>214</v>
      </c>
      <c r="AZ1" s="132" t="s">
        <v>215</v>
      </c>
      <c r="BA1" s="133" t="s">
        <v>216</v>
      </c>
      <c r="BB1" s="133" t="s">
        <v>217</v>
      </c>
      <c r="BC1" s="133" t="s">
        <v>218</v>
      </c>
      <c r="BD1" s="133" t="s">
        <v>219</v>
      </c>
      <c r="BE1" s="133" t="s">
        <v>220</v>
      </c>
      <c r="BF1" s="133" t="s">
        <v>221</v>
      </c>
      <c r="BG1" s="134" t="s">
        <v>225</v>
      </c>
      <c r="BH1" s="134" t="s">
        <v>223</v>
      </c>
      <c r="BI1" s="134" t="s">
        <v>224</v>
      </c>
      <c r="BJ1" s="134" t="s">
        <v>213</v>
      </c>
      <c r="BK1" s="134" t="s">
        <v>214</v>
      </c>
      <c r="BL1" s="134" t="s">
        <v>215</v>
      </c>
      <c r="BM1" s="128" t="s">
        <v>216</v>
      </c>
      <c r="BN1" s="128" t="s">
        <v>217</v>
      </c>
      <c r="BO1" s="128" t="s">
        <v>218</v>
      </c>
      <c r="BP1" s="128" t="s">
        <v>219</v>
      </c>
      <c r="BQ1" s="128" t="s">
        <v>220</v>
      </c>
      <c r="BR1" s="128" t="s">
        <v>221</v>
      </c>
      <c r="BS1" s="135" t="s">
        <v>226</v>
      </c>
      <c r="BT1" s="100" t="s">
        <v>46</v>
      </c>
    </row>
    <row r="2" ht="15.6" spans="1:72">
      <c r="A2" s="100" t="s">
        <v>127</v>
      </c>
      <c r="B2" s="100"/>
      <c r="C2" s="100"/>
      <c r="D2" s="101"/>
      <c r="E2" s="102"/>
      <c r="F2" s="103">
        <v>17.29</v>
      </c>
      <c r="G2" s="103">
        <v>24.92</v>
      </c>
      <c r="H2" s="104" t="e">
        <f t="shared" ref="H2:H10" si="0">INDEX(#NULL!,MATCH(1,(#NULL!=A2)*(#NULL!=C2),0))</f>
        <v>#NULL!</v>
      </c>
      <c r="I2" s="104" t="e">
        <f t="shared" ref="I2:I10" si="1">H2=J2</f>
        <v>#NULL!</v>
      </c>
      <c r="J2" s="113">
        <v>17.3</v>
      </c>
      <c r="K2" s="103">
        <v>24.99</v>
      </c>
      <c r="L2" s="114">
        <f t="shared" ref="L2:L10" si="2">J2-Q2/T2-AD2-AA2-R2-AB2-AC2</f>
        <v>3.53749673347215</v>
      </c>
      <c r="M2" s="115">
        <f t="shared" ref="M2:M10" si="3">L2/J2</f>
        <v>0.204479579969488</v>
      </c>
      <c r="N2" s="104">
        <f t="shared" ref="N2:N10" si="4">K2/1.2</f>
        <v>20.825</v>
      </c>
      <c r="O2" s="116">
        <f t="shared" ref="O2:O10" si="5">(N2-J2)/N2</f>
        <v>0.169267707082833</v>
      </c>
      <c r="P2" s="114">
        <f t="shared" ref="P2:P10" si="6">K2/1.2-J2</f>
        <v>3.525</v>
      </c>
      <c r="Q2" s="104">
        <f t="shared" ref="Q2:Q10" si="7">AF2+AG2</f>
        <v>65.4646902654867</v>
      </c>
      <c r="R2" s="104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100">
        <v>16</v>
      </c>
      <c r="T2" s="121">
        <v>8.5</v>
      </c>
      <c r="U2" s="122">
        <v>0.05</v>
      </c>
      <c r="V2" s="122">
        <v>0.1</v>
      </c>
      <c r="W2" s="122">
        <v>0.01</v>
      </c>
      <c r="X2" s="122">
        <f t="shared" ref="X2:X10" si="9">Q2/(J2*T2)</f>
        <v>0.44518660500161</v>
      </c>
      <c r="Y2" s="122">
        <f t="shared" ref="Y2:Y10" si="10">R2/J2</f>
        <v>0.0323338150289017</v>
      </c>
      <c r="Z2" s="116">
        <v>0.158</v>
      </c>
      <c r="AA2" s="126">
        <f t="shared" ref="AA2:AA10" si="11">J2*U2</f>
        <v>0.865</v>
      </c>
      <c r="AB2" s="126">
        <f t="shared" ref="AB2:AB10" si="12">J2*V2</f>
        <v>1.73</v>
      </c>
      <c r="AC2" s="126">
        <f t="shared" ref="AC2:AC10" si="13">J2*W2</f>
        <v>0.173</v>
      </c>
      <c r="AD2" s="104">
        <f t="shared" ref="AD2:AD10" si="14">J2*Z2</f>
        <v>2.7334</v>
      </c>
      <c r="AE2" s="104">
        <f>61+2.5</f>
        <v>63.5</v>
      </c>
      <c r="AF2" s="127">
        <f t="shared" ref="AF2:AF10" si="15">AE2/1.13</f>
        <v>56.1946902654867</v>
      </c>
      <c r="AG2" s="121">
        <v>9.27</v>
      </c>
      <c r="AH2" s="122">
        <f t="shared" ref="AH2:AH10" si="16">AF2/(J2*T2)</f>
        <v>0.382146822614667</v>
      </c>
      <c r="AI2" s="122">
        <f t="shared" ref="AI2:AI10" si="17">AG2/T2/J2</f>
        <v>0.0630397823869432</v>
      </c>
      <c r="AJ2" s="121">
        <v>9.27</v>
      </c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31" t="s">
        <v>229</v>
      </c>
      <c r="AV2" s="131" t="s">
        <v>229</v>
      </c>
      <c r="AW2" s="131" t="s">
        <v>229</v>
      </c>
      <c r="AX2" s="131" t="s">
        <v>229</v>
      </c>
      <c r="AY2" s="131" t="s">
        <v>229</v>
      </c>
      <c r="AZ2" s="131" t="s">
        <v>229</v>
      </c>
      <c r="BA2" s="131" t="s">
        <v>229</v>
      </c>
      <c r="BB2" s="131" t="s">
        <v>229</v>
      </c>
      <c r="BC2" s="131" t="s">
        <v>229</v>
      </c>
      <c r="BD2" s="131" t="s">
        <v>229</v>
      </c>
      <c r="BE2" s="131" t="s">
        <v>229</v>
      </c>
      <c r="BF2" s="131" t="s">
        <v>229</v>
      </c>
      <c r="BG2" s="131" t="s">
        <v>229</v>
      </c>
      <c r="BH2" s="131" t="s">
        <v>229</v>
      </c>
      <c r="BI2" s="131" t="s">
        <v>229</v>
      </c>
      <c r="BJ2" s="131" t="s">
        <v>229</v>
      </c>
      <c r="BK2" s="131" t="s">
        <v>229</v>
      </c>
      <c r="BL2" s="131" t="s">
        <v>229</v>
      </c>
      <c r="BM2" s="131" t="s">
        <v>229</v>
      </c>
      <c r="BN2" s="131" t="s">
        <v>229</v>
      </c>
      <c r="BO2" s="131" t="s">
        <v>229</v>
      </c>
      <c r="BP2" s="131" t="s">
        <v>229</v>
      </c>
      <c r="BQ2" s="131" t="s">
        <v>229</v>
      </c>
      <c r="BR2" s="131" t="s">
        <v>229</v>
      </c>
      <c r="BS2" s="136"/>
      <c r="BT2" s="137" t="s">
        <v>230</v>
      </c>
    </row>
    <row r="3" ht="15.6" spans="1:72">
      <c r="A3" s="100" t="s">
        <v>107</v>
      </c>
      <c r="B3" s="100"/>
      <c r="C3" s="100"/>
      <c r="D3" s="101"/>
      <c r="E3" s="102"/>
      <c r="F3" s="103">
        <v>20.33</v>
      </c>
      <c r="G3" s="103">
        <v>29.99</v>
      </c>
      <c r="H3" s="104" t="e">
        <f t="shared" si="0"/>
        <v>#NULL!</v>
      </c>
      <c r="I3" s="104" t="e">
        <f t="shared" si="1"/>
        <v>#NULL!</v>
      </c>
      <c r="J3" s="103">
        <v>20.33</v>
      </c>
      <c r="K3" s="103">
        <v>29.99</v>
      </c>
      <c r="L3" s="114">
        <f t="shared" si="2"/>
        <v>4.43279528581679</v>
      </c>
      <c r="M3" s="115">
        <f t="shared" si="3"/>
        <v>0.218042070133634</v>
      </c>
      <c r="N3" s="104">
        <f t="shared" si="4"/>
        <v>24.9916666666667</v>
      </c>
      <c r="O3" s="116">
        <f t="shared" si="5"/>
        <v>0.186528842947649</v>
      </c>
      <c r="P3" s="114">
        <f t="shared" si="6"/>
        <v>4.66166666666667</v>
      </c>
      <c r="Q3" s="104">
        <f t="shared" si="7"/>
        <v>62.7823008849558</v>
      </c>
      <c r="R3" s="104">
        <f t="shared" si="8"/>
        <v>0.714375</v>
      </c>
      <c r="S3" s="100">
        <v>16</v>
      </c>
      <c r="T3" s="121">
        <v>7.4</v>
      </c>
      <c r="U3" s="122">
        <v>0.05</v>
      </c>
      <c r="V3" s="122">
        <v>0.1</v>
      </c>
      <c r="W3" s="122">
        <v>0.01</v>
      </c>
      <c r="X3" s="122">
        <f t="shared" si="9"/>
        <v>0.417318972660266</v>
      </c>
      <c r="Y3" s="122">
        <f t="shared" si="10"/>
        <v>0.0351389572060994</v>
      </c>
      <c r="Z3" s="116">
        <v>0.1695</v>
      </c>
      <c r="AA3" s="126">
        <f t="shared" si="11"/>
        <v>1.0165</v>
      </c>
      <c r="AB3" s="126">
        <f t="shared" si="12"/>
        <v>2.033</v>
      </c>
      <c r="AC3" s="126">
        <f t="shared" si="13"/>
        <v>0.2033</v>
      </c>
      <c r="AD3" s="104">
        <f t="shared" si="14"/>
        <v>3.445935</v>
      </c>
      <c r="AE3" s="104">
        <v>61</v>
      </c>
      <c r="AF3" s="127">
        <f t="shared" si="15"/>
        <v>53.9823008849558</v>
      </c>
      <c r="AG3" s="127">
        <v>8.8</v>
      </c>
      <c r="AH3" s="122">
        <f t="shared" si="16"/>
        <v>0.358824669207773</v>
      </c>
      <c r="AI3" s="122">
        <f t="shared" si="17"/>
        <v>0.0584943034524933</v>
      </c>
      <c r="AJ3" s="127">
        <v>8.8</v>
      </c>
      <c r="AK3" s="122"/>
      <c r="AL3" s="122"/>
      <c r="AM3" s="122"/>
      <c r="AN3" s="122"/>
      <c r="AO3" s="131"/>
      <c r="AP3" s="131"/>
      <c r="AQ3" s="131"/>
      <c r="AR3" s="131"/>
      <c r="AS3" s="131"/>
      <c r="AT3" s="131"/>
      <c r="AU3" s="131" t="s">
        <v>229</v>
      </c>
      <c r="AV3" s="131" t="s">
        <v>229</v>
      </c>
      <c r="AW3" s="131" t="s">
        <v>229</v>
      </c>
      <c r="AX3" s="131" t="s">
        <v>229</v>
      </c>
      <c r="AY3" s="131" t="s">
        <v>229</v>
      </c>
      <c r="AZ3" s="131" t="s">
        <v>229</v>
      </c>
      <c r="BA3" s="131" t="s">
        <v>229</v>
      </c>
      <c r="BB3" s="131" t="s">
        <v>229</v>
      </c>
      <c r="BC3" s="131" t="s">
        <v>229</v>
      </c>
      <c r="BD3" s="131" t="s">
        <v>229</v>
      </c>
      <c r="BE3" s="131" t="s">
        <v>229</v>
      </c>
      <c r="BF3" s="131" t="s">
        <v>229</v>
      </c>
      <c r="BG3" s="131" t="s">
        <v>229</v>
      </c>
      <c r="BH3" s="131" t="s">
        <v>229</v>
      </c>
      <c r="BI3" s="131" t="s">
        <v>229</v>
      </c>
      <c r="BJ3" s="131" t="s">
        <v>229</v>
      </c>
      <c r="BK3" s="131" t="s">
        <v>229</v>
      </c>
      <c r="BL3" s="131" t="s">
        <v>229</v>
      </c>
      <c r="BM3" s="131" t="s">
        <v>229</v>
      </c>
      <c r="BN3" s="131" t="s">
        <v>229</v>
      </c>
      <c r="BO3" s="131" t="s">
        <v>229</v>
      </c>
      <c r="BP3" s="131" t="s">
        <v>229</v>
      </c>
      <c r="BQ3" s="131" t="s">
        <v>229</v>
      </c>
      <c r="BR3" s="131" t="s">
        <v>229</v>
      </c>
      <c r="BS3" s="136"/>
      <c r="BT3" s="137" t="s">
        <v>230</v>
      </c>
    </row>
    <row r="4" ht="15.6" spans="1:72">
      <c r="A4" s="100" t="s">
        <v>119</v>
      </c>
      <c r="B4" s="100"/>
      <c r="C4" s="100"/>
      <c r="D4" s="101"/>
      <c r="E4" s="102"/>
      <c r="F4" s="103">
        <v>20.65</v>
      </c>
      <c r="G4" s="103">
        <v>29.99</v>
      </c>
      <c r="H4" s="104" t="e">
        <f t="shared" si="0"/>
        <v>#NULL!</v>
      </c>
      <c r="I4" s="104" t="e">
        <f t="shared" si="1"/>
        <v>#NULL!</v>
      </c>
      <c r="J4" s="103">
        <v>20.65</v>
      </c>
      <c r="K4" s="103">
        <v>29.99</v>
      </c>
      <c r="L4" s="114">
        <f t="shared" si="2"/>
        <v>3.81883028581679</v>
      </c>
      <c r="M4" s="115">
        <f t="shared" si="3"/>
        <v>0.184931248707835</v>
      </c>
      <c r="N4" s="104">
        <f t="shared" si="4"/>
        <v>24.9916666666667</v>
      </c>
      <c r="O4" s="116">
        <f t="shared" si="5"/>
        <v>0.173724574858286</v>
      </c>
      <c r="P4" s="114">
        <f t="shared" si="6"/>
        <v>4.34166666666667</v>
      </c>
      <c r="Q4" s="104">
        <f t="shared" si="7"/>
        <v>62.7823008849558</v>
      </c>
      <c r="R4" s="104">
        <f t="shared" si="8"/>
        <v>0.954375</v>
      </c>
      <c r="S4" s="100">
        <v>16</v>
      </c>
      <c r="T4" s="121">
        <v>7.4</v>
      </c>
      <c r="U4" s="122">
        <v>0.05</v>
      </c>
      <c r="V4" s="122">
        <v>0.1</v>
      </c>
      <c r="W4" s="122">
        <v>0.01</v>
      </c>
      <c r="X4" s="122">
        <f t="shared" si="9"/>
        <v>0.410852044270373</v>
      </c>
      <c r="Y4" s="122">
        <f t="shared" si="10"/>
        <v>0.0462167070217918</v>
      </c>
      <c r="Z4" s="116">
        <v>0.198</v>
      </c>
      <c r="AA4" s="126">
        <f t="shared" si="11"/>
        <v>1.0325</v>
      </c>
      <c r="AB4" s="126">
        <f t="shared" si="12"/>
        <v>2.065</v>
      </c>
      <c r="AC4" s="126">
        <f t="shared" si="13"/>
        <v>0.2065</v>
      </c>
      <c r="AD4" s="104">
        <f t="shared" si="14"/>
        <v>4.0887</v>
      </c>
      <c r="AE4" s="104">
        <v>61</v>
      </c>
      <c r="AF4" s="127">
        <f t="shared" si="15"/>
        <v>53.9823008849558</v>
      </c>
      <c r="AG4" s="127">
        <v>8.8</v>
      </c>
      <c r="AH4" s="122">
        <f t="shared" si="16"/>
        <v>0.35326419007235</v>
      </c>
      <c r="AI4" s="122">
        <f t="shared" si="17"/>
        <v>0.0575878541980237</v>
      </c>
      <c r="AJ4" s="127">
        <v>8.8</v>
      </c>
      <c r="AK4" s="122"/>
      <c r="AL4" s="122"/>
      <c r="AM4" s="122"/>
      <c r="AN4" s="122"/>
      <c r="AO4" s="131"/>
      <c r="AP4" s="131"/>
      <c r="AQ4" s="131"/>
      <c r="AR4" s="131"/>
      <c r="AS4" s="131"/>
      <c r="AT4" s="131"/>
      <c r="AU4" s="131" t="s">
        <v>229</v>
      </c>
      <c r="AV4" s="131" t="s">
        <v>229</v>
      </c>
      <c r="AW4" s="131" t="s">
        <v>229</v>
      </c>
      <c r="AX4" s="131" t="s">
        <v>229</v>
      </c>
      <c r="AY4" s="131" t="s">
        <v>229</v>
      </c>
      <c r="AZ4" s="131" t="s">
        <v>229</v>
      </c>
      <c r="BA4" s="131" t="s">
        <v>229</v>
      </c>
      <c r="BB4" s="131" t="s">
        <v>229</v>
      </c>
      <c r="BC4" s="131" t="s">
        <v>229</v>
      </c>
      <c r="BD4" s="131" t="s">
        <v>229</v>
      </c>
      <c r="BE4" s="131" t="s">
        <v>229</v>
      </c>
      <c r="BF4" s="131" t="s">
        <v>229</v>
      </c>
      <c r="BG4" s="131" t="s">
        <v>229</v>
      </c>
      <c r="BH4" s="131" t="s">
        <v>229</v>
      </c>
      <c r="BI4" s="131" t="s">
        <v>229</v>
      </c>
      <c r="BJ4" s="131" t="s">
        <v>229</v>
      </c>
      <c r="BK4" s="131" t="s">
        <v>229</v>
      </c>
      <c r="BL4" s="131" t="s">
        <v>229</v>
      </c>
      <c r="BM4" s="131" t="s">
        <v>229</v>
      </c>
      <c r="BN4" s="131" t="s">
        <v>229</v>
      </c>
      <c r="BO4" s="131" t="s">
        <v>229</v>
      </c>
      <c r="BP4" s="131" t="s">
        <v>229</v>
      </c>
      <c r="BQ4" s="131" t="s">
        <v>229</v>
      </c>
      <c r="BR4" s="131" t="s">
        <v>229</v>
      </c>
      <c r="BS4" s="136"/>
      <c r="BT4" s="137" t="s">
        <v>230</v>
      </c>
    </row>
    <row r="5" ht="15.6" spans="1:72">
      <c r="A5" s="100" t="s">
        <v>121</v>
      </c>
      <c r="B5" s="100"/>
      <c r="C5" s="100"/>
      <c r="D5" s="101"/>
      <c r="E5" s="102"/>
      <c r="F5" s="103">
        <v>20.99</v>
      </c>
      <c r="G5" s="103">
        <v>29.99</v>
      </c>
      <c r="H5" s="104" t="e">
        <f t="shared" si="0"/>
        <v>#NULL!</v>
      </c>
      <c r="I5" s="104" t="e">
        <f t="shared" si="1"/>
        <v>#NULL!</v>
      </c>
      <c r="J5" s="103">
        <v>20.99</v>
      </c>
      <c r="K5" s="103">
        <v>29.99</v>
      </c>
      <c r="L5" s="114">
        <f t="shared" si="2"/>
        <v>4.25150128581679</v>
      </c>
      <c r="M5" s="115">
        <f t="shared" si="3"/>
        <v>0.202548894036055</v>
      </c>
      <c r="N5" s="104">
        <f t="shared" si="4"/>
        <v>24.9916666666667</v>
      </c>
      <c r="O5" s="116">
        <f t="shared" si="5"/>
        <v>0.160120040013338</v>
      </c>
      <c r="P5" s="114">
        <f t="shared" si="6"/>
        <v>4.00166666666667</v>
      </c>
      <c r="Q5" s="104">
        <f t="shared" si="7"/>
        <v>62.7823008849558</v>
      </c>
      <c r="R5" s="104">
        <f t="shared" si="8"/>
        <v>1.02125</v>
      </c>
      <c r="S5" s="100">
        <v>16</v>
      </c>
      <c r="T5" s="121">
        <v>7.4</v>
      </c>
      <c r="U5" s="122">
        <v>0.05</v>
      </c>
      <c r="V5" s="122">
        <v>0.1</v>
      </c>
      <c r="W5" s="122">
        <v>0.01</v>
      </c>
      <c r="X5" s="122">
        <f t="shared" si="9"/>
        <v>0.404196984953941</v>
      </c>
      <c r="Y5" s="122">
        <f t="shared" si="10"/>
        <v>0.0486541210100048</v>
      </c>
      <c r="Z5" s="116">
        <v>0.1846</v>
      </c>
      <c r="AA5" s="126">
        <f t="shared" si="11"/>
        <v>1.0495</v>
      </c>
      <c r="AB5" s="126">
        <f t="shared" si="12"/>
        <v>2.099</v>
      </c>
      <c r="AC5" s="126">
        <f t="shared" si="13"/>
        <v>0.2099</v>
      </c>
      <c r="AD5" s="104">
        <f t="shared" si="14"/>
        <v>3.874754</v>
      </c>
      <c r="AE5" s="104">
        <v>61</v>
      </c>
      <c r="AF5" s="127">
        <f t="shared" si="15"/>
        <v>53.9823008849558</v>
      </c>
      <c r="AG5" s="127">
        <v>8.8</v>
      </c>
      <c r="AH5" s="122">
        <f t="shared" si="16"/>
        <v>0.347541949737686</v>
      </c>
      <c r="AI5" s="122">
        <f t="shared" si="17"/>
        <v>0.0566550352162549</v>
      </c>
      <c r="AJ5" s="127">
        <v>8.8</v>
      </c>
      <c r="AK5" s="115"/>
      <c r="AL5" s="115"/>
      <c r="AM5" s="115"/>
      <c r="AN5" s="115"/>
      <c r="AO5" s="131"/>
      <c r="AP5" s="131"/>
      <c r="AQ5" s="131"/>
      <c r="AR5" s="131"/>
      <c r="AS5" s="131"/>
      <c r="AT5" s="131"/>
      <c r="AU5" s="131" t="s">
        <v>229</v>
      </c>
      <c r="AV5" s="131" t="s">
        <v>229</v>
      </c>
      <c r="AW5" s="131" t="s">
        <v>229</v>
      </c>
      <c r="AX5" s="131" t="s">
        <v>229</v>
      </c>
      <c r="AY5" s="131" t="s">
        <v>229</v>
      </c>
      <c r="AZ5" s="131" t="s">
        <v>229</v>
      </c>
      <c r="BA5" s="131" t="s">
        <v>229</v>
      </c>
      <c r="BB5" s="131" t="s">
        <v>229</v>
      </c>
      <c r="BC5" s="131" t="s">
        <v>229</v>
      </c>
      <c r="BD5" s="131" t="s">
        <v>229</v>
      </c>
      <c r="BE5" s="131" t="s">
        <v>229</v>
      </c>
      <c r="BF5" s="131" t="s">
        <v>229</v>
      </c>
      <c r="BG5" s="131" t="s">
        <v>229</v>
      </c>
      <c r="BH5" s="131" t="s">
        <v>229</v>
      </c>
      <c r="BI5" s="131" t="s">
        <v>229</v>
      </c>
      <c r="BJ5" s="131" t="s">
        <v>229</v>
      </c>
      <c r="BK5" s="131" t="s">
        <v>229</v>
      </c>
      <c r="BL5" s="131" t="s">
        <v>229</v>
      </c>
      <c r="BM5" s="131" t="s">
        <v>229</v>
      </c>
      <c r="BN5" s="131" t="s">
        <v>229</v>
      </c>
      <c r="BO5" s="131" t="s">
        <v>229</v>
      </c>
      <c r="BP5" s="131" t="s">
        <v>229</v>
      </c>
      <c r="BQ5" s="131" t="s">
        <v>229</v>
      </c>
      <c r="BR5" s="131" t="s">
        <v>229</v>
      </c>
      <c r="BS5" s="136"/>
      <c r="BT5" s="137" t="s">
        <v>230</v>
      </c>
    </row>
    <row r="6" ht="15.6" spans="1:72">
      <c r="A6" s="100" t="s">
        <v>124</v>
      </c>
      <c r="B6" s="100"/>
      <c r="C6" s="100"/>
      <c r="D6" s="101"/>
      <c r="E6" s="102"/>
      <c r="F6" s="103">
        <v>20.99</v>
      </c>
      <c r="G6" s="103">
        <v>29.99</v>
      </c>
      <c r="H6" s="104" t="e">
        <f t="shared" si="0"/>
        <v>#NULL!</v>
      </c>
      <c r="I6" s="104" t="e">
        <f t="shared" si="1"/>
        <v>#NULL!</v>
      </c>
      <c r="J6" s="103">
        <v>20.99</v>
      </c>
      <c r="K6" s="103">
        <v>29.99</v>
      </c>
      <c r="L6" s="114">
        <f t="shared" si="2"/>
        <v>4.40380128581679</v>
      </c>
      <c r="M6" s="115">
        <f t="shared" si="3"/>
        <v>0.209804730148489</v>
      </c>
      <c r="N6" s="104">
        <f t="shared" si="4"/>
        <v>24.9916666666667</v>
      </c>
      <c r="O6" s="116">
        <f t="shared" si="5"/>
        <v>0.160120040013338</v>
      </c>
      <c r="P6" s="114">
        <f t="shared" si="6"/>
        <v>4.00166666666667</v>
      </c>
      <c r="Q6" s="104">
        <f t="shared" si="7"/>
        <v>62.7823008849558</v>
      </c>
      <c r="R6" s="104">
        <f t="shared" si="8"/>
        <v>1.28875</v>
      </c>
      <c r="S6" s="100">
        <v>16</v>
      </c>
      <c r="T6" s="121">
        <v>7.4</v>
      </c>
      <c r="U6" s="122">
        <v>0.05</v>
      </c>
      <c r="V6" s="122">
        <v>0.1</v>
      </c>
      <c r="W6" s="122">
        <v>0.01</v>
      </c>
      <c r="X6" s="122">
        <f t="shared" si="9"/>
        <v>0.404196984953941</v>
      </c>
      <c r="Y6" s="122">
        <f t="shared" si="10"/>
        <v>0.0613982848975703</v>
      </c>
      <c r="Z6" s="116">
        <v>0.1646</v>
      </c>
      <c r="AA6" s="126">
        <f t="shared" si="11"/>
        <v>1.0495</v>
      </c>
      <c r="AB6" s="126">
        <f t="shared" si="12"/>
        <v>2.099</v>
      </c>
      <c r="AC6" s="126">
        <f t="shared" si="13"/>
        <v>0.2099</v>
      </c>
      <c r="AD6" s="104">
        <f t="shared" si="14"/>
        <v>3.454954</v>
      </c>
      <c r="AE6" s="104">
        <v>61</v>
      </c>
      <c r="AF6" s="127">
        <f t="shared" si="15"/>
        <v>53.9823008849558</v>
      </c>
      <c r="AG6" s="127">
        <v>8.8</v>
      </c>
      <c r="AH6" s="122">
        <f t="shared" si="16"/>
        <v>0.347541949737686</v>
      </c>
      <c r="AI6" s="122">
        <f t="shared" si="17"/>
        <v>0.0566550352162549</v>
      </c>
      <c r="AJ6" s="127">
        <v>8.8</v>
      </c>
      <c r="AK6" s="122"/>
      <c r="AL6" s="122"/>
      <c r="AM6" s="122"/>
      <c r="AN6" s="122"/>
      <c r="AO6" s="131"/>
      <c r="AP6" s="131"/>
      <c r="AQ6" s="131"/>
      <c r="AR6" s="131"/>
      <c r="AS6" s="131"/>
      <c r="AT6" s="131"/>
      <c r="AU6" s="131" t="s">
        <v>229</v>
      </c>
      <c r="AV6" s="131" t="s">
        <v>229</v>
      </c>
      <c r="AW6" s="131" t="s">
        <v>229</v>
      </c>
      <c r="AX6" s="131" t="s">
        <v>229</v>
      </c>
      <c r="AY6" s="131" t="s">
        <v>229</v>
      </c>
      <c r="AZ6" s="131" t="s">
        <v>229</v>
      </c>
      <c r="BA6" s="131" t="s">
        <v>229</v>
      </c>
      <c r="BB6" s="131" t="s">
        <v>229</v>
      </c>
      <c r="BC6" s="131" t="s">
        <v>229</v>
      </c>
      <c r="BD6" s="131" t="s">
        <v>229</v>
      </c>
      <c r="BE6" s="131" t="s">
        <v>229</v>
      </c>
      <c r="BF6" s="131" t="s">
        <v>229</v>
      </c>
      <c r="BG6" s="131" t="s">
        <v>229</v>
      </c>
      <c r="BH6" s="131" t="s">
        <v>229</v>
      </c>
      <c r="BI6" s="131" t="s">
        <v>229</v>
      </c>
      <c r="BJ6" s="131" t="s">
        <v>229</v>
      </c>
      <c r="BK6" s="131" t="s">
        <v>229</v>
      </c>
      <c r="BL6" s="131" t="s">
        <v>229</v>
      </c>
      <c r="BM6" s="131" t="s">
        <v>229</v>
      </c>
      <c r="BN6" s="131" t="s">
        <v>229</v>
      </c>
      <c r="BO6" s="131" t="s">
        <v>229</v>
      </c>
      <c r="BP6" s="131" t="s">
        <v>229</v>
      </c>
      <c r="BQ6" s="131" t="s">
        <v>229</v>
      </c>
      <c r="BR6" s="131" t="s">
        <v>229</v>
      </c>
      <c r="BS6" s="136"/>
      <c r="BT6" s="137" t="s">
        <v>230</v>
      </c>
    </row>
    <row r="7" ht="15.6" spans="1:72">
      <c r="A7" s="100" t="s">
        <v>234</v>
      </c>
      <c r="B7" s="100"/>
      <c r="C7" s="100"/>
      <c r="D7" s="101"/>
      <c r="E7" s="102"/>
      <c r="F7" s="104">
        <v>48</v>
      </c>
      <c r="G7" s="105">
        <v>66.99</v>
      </c>
      <c r="H7" s="104" t="e">
        <f t="shared" si="0"/>
        <v>#NULL!</v>
      </c>
      <c r="I7" s="104" t="e">
        <f t="shared" si="1"/>
        <v>#NULL!</v>
      </c>
      <c r="J7" s="104">
        <v>22</v>
      </c>
      <c r="K7" s="105">
        <v>35</v>
      </c>
      <c r="L7" s="114">
        <f t="shared" si="2"/>
        <v>5.76990528581679</v>
      </c>
      <c r="M7" s="115">
        <f t="shared" si="3"/>
        <v>0.262268422082581</v>
      </c>
      <c r="N7" s="104">
        <f t="shared" si="4"/>
        <v>29.1666666666667</v>
      </c>
      <c r="O7" s="116">
        <f t="shared" si="5"/>
        <v>0.245714285714286</v>
      </c>
      <c r="P7" s="114">
        <f t="shared" si="6"/>
        <v>7.16666666666667</v>
      </c>
      <c r="Q7" s="104">
        <f t="shared" si="7"/>
        <v>62.7823008849558</v>
      </c>
      <c r="R7" s="104">
        <f t="shared" si="8"/>
        <v>0.75</v>
      </c>
      <c r="S7" s="100">
        <v>16</v>
      </c>
      <c r="T7" s="121">
        <v>7.4</v>
      </c>
      <c r="U7" s="122">
        <v>0.05</v>
      </c>
      <c r="V7" s="122">
        <v>0.1</v>
      </c>
      <c r="W7" s="122">
        <v>0.01</v>
      </c>
      <c r="X7" s="122">
        <f t="shared" si="9"/>
        <v>0.38564066882651</v>
      </c>
      <c r="Y7" s="122">
        <f t="shared" si="10"/>
        <v>0.0340909090909091</v>
      </c>
      <c r="Z7" s="116">
        <v>0.158</v>
      </c>
      <c r="AA7" s="126">
        <f t="shared" si="11"/>
        <v>1.1</v>
      </c>
      <c r="AB7" s="126">
        <f t="shared" si="12"/>
        <v>2.2</v>
      </c>
      <c r="AC7" s="126">
        <f t="shared" si="13"/>
        <v>0.22</v>
      </c>
      <c r="AD7" s="104">
        <f t="shared" si="14"/>
        <v>3.476</v>
      </c>
      <c r="AE7" s="104">
        <v>61</v>
      </c>
      <c r="AF7" s="127">
        <f t="shared" si="15"/>
        <v>53.9823008849558</v>
      </c>
      <c r="AG7" s="127">
        <v>8.8</v>
      </c>
      <c r="AH7" s="122">
        <f t="shared" si="16"/>
        <v>0.331586614772455</v>
      </c>
      <c r="AI7" s="122">
        <f t="shared" si="17"/>
        <v>0.0540540540540541</v>
      </c>
      <c r="AJ7" s="127">
        <v>8.8</v>
      </c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 t="s">
        <v>229</v>
      </c>
      <c r="AV7" s="131" t="s">
        <v>229</v>
      </c>
      <c r="AW7" s="131" t="s">
        <v>229</v>
      </c>
      <c r="AX7" s="131" t="s">
        <v>229</v>
      </c>
      <c r="AY7" s="131" t="s">
        <v>229</v>
      </c>
      <c r="AZ7" s="131" t="s">
        <v>229</v>
      </c>
      <c r="BA7" s="131" t="s">
        <v>229</v>
      </c>
      <c r="BB7" s="131" t="s">
        <v>229</v>
      </c>
      <c r="BC7" s="131" t="s">
        <v>229</v>
      </c>
      <c r="BD7" s="131" t="s">
        <v>229</v>
      </c>
      <c r="BE7" s="131" t="s">
        <v>229</v>
      </c>
      <c r="BF7" s="131" t="s">
        <v>229</v>
      </c>
      <c r="BG7" s="131" t="s">
        <v>229</v>
      </c>
      <c r="BH7" s="131" t="s">
        <v>229</v>
      </c>
      <c r="BI7" s="131" t="s">
        <v>229</v>
      </c>
      <c r="BJ7" s="131" t="s">
        <v>229</v>
      </c>
      <c r="BK7" s="131" t="s">
        <v>229</v>
      </c>
      <c r="BL7" s="131" t="s">
        <v>229</v>
      </c>
      <c r="BM7" s="131" t="s">
        <v>229</v>
      </c>
      <c r="BN7" s="131" t="s">
        <v>229</v>
      </c>
      <c r="BO7" s="131" t="s">
        <v>229</v>
      </c>
      <c r="BP7" s="131" t="s">
        <v>229</v>
      </c>
      <c r="BQ7" s="131" t="s">
        <v>229</v>
      </c>
      <c r="BR7" s="131" t="s">
        <v>229</v>
      </c>
      <c r="BS7" s="138" t="e">
        <f>IF(H7&lt;J7,1,0)</f>
        <v>#NULL!</v>
      </c>
      <c r="BT7" s="137" t="s">
        <v>230</v>
      </c>
    </row>
    <row r="8" ht="15.6" spans="1:72">
      <c r="A8" s="100" t="s">
        <v>236</v>
      </c>
      <c r="B8" s="100"/>
      <c r="C8" s="100"/>
      <c r="D8" s="101"/>
      <c r="E8" s="102"/>
      <c r="F8" s="104">
        <v>209.99</v>
      </c>
      <c r="G8" s="105">
        <v>329</v>
      </c>
      <c r="H8" s="104" t="e">
        <f t="shared" si="0"/>
        <v>#NULL!</v>
      </c>
      <c r="I8" s="104" t="e">
        <f t="shared" si="1"/>
        <v>#NULL!</v>
      </c>
      <c r="J8" s="104">
        <v>99</v>
      </c>
      <c r="K8" s="105">
        <v>168</v>
      </c>
      <c r="L8" s="114">
        <f t="shared" si="2"/>
        <v>27.3378119469027</v>
      </c>
      <c r="M8" s="115">
        <f t="shared" si="3"/>
        <v>0.276139514615178</v>
      </c>
      <c r="N8" s="104">
        <f t="shared" si="4"/>
        <v>140</v>
      </c>
      <c r="O8" s="116">
        <f t="shared" si="5"/>
        <v>0.292857142857143</v>
      </c>
      <c r="P8" s="114">
        <f t="shared" si="6"/>
        <v>41</v>
      </c>
      <c r="Q8" s="104">
        <f t="shared" si="7"/>
        <v>62.7823008849558</v>
      </c>
      <c r="R8" s="104">
        <f t="shared" si="8"/>
        <v>0.94125</v>
      </c>
      <c r="S8" s="100">
        <v>16</v>
      </c>
      <c r="T8" s="121">
        <v>1.6</v>
      </c>
      <c r="U8" s="122">
        <v>0.05</v>
      </c>
      <c r="V8" s="122">
        <v>0.1</v>
      </c>
      <c r="W8" s="122">
        <v>0.01</v>
      </c>
      <c r="X8" s="122">
        <f t="shared" si="9"/>
        <v>0.396352909627246</v>
      </c>
      <c r="Y8" s="122">
        <f t="shared" si="10"/>
        <v>0.00950757575757576</v>
      </c>
      <c r="Z8" s="116">
        <v>0.158</v>
      </c>
      <c r="AA8" s="126">
        <f t="shared" si="11"/>
        <v>4.95</v>
      </c>
      <c r="AB8" s="126">
        <f t="shared" si="12"/>
        <v>9.9</v>
      </c>
      <c r="AC8" s="126">
        <f t="shared" si="13"/>
        <v>0.99</v>
      </c>
      <c r="AD8" s="104">
        <f t="shared" si="14"/>
        <v>15.642</v>
      </c>
      <c r="AE8" s="104">
        <v>61</v>
      </c>
      <c r="AF8" s="127">
        <f t="shared" si="15"/>
        <v>53.9823008849558</v>
      </c>
      <c r="AG8" s="127">
        <v>8.8</v>
      </c>
      <c r="AH8" s="122">
        <f t="shared" si="16"/>
        <v>0.34079735407169</v>
      </c>
      <c r="AI8" s="122">
        <f t="shared" si="17"/>
        <v>0.0555555555555556</v>
      </c>
      <c r="AJ8" s="127">
        <v>8.8</v>
      </c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 t="s">
        <v>229</v>
      </c>
      <c r="AV8" s="131" t="s">
        <v>229</v>
      </c>
      <c r="AW8" s="131" t="s">
        <v>229</v>
      </c>
      <c r="AX8" s="131" t="s">
        <v>229</v>
      </c>
      <c r="AY8" s="131" t="s">
        <v>229</v>
      </c>
      <c r="AZ8" s="131" t="s">
        <v>229</v>
      </c>
      <c r="BA8" s="131" t="s">
        <v>229</v>
      </c>
      <c r="BB8" s="131" t="s">
        <v>229</v>
      </c>
      <c r="BC8" s="131" t="s">
        <v>229</v>
      </c>
      <c r="BD8" s="131" t="s">
        <v>229</v>
      </c>
      <c r="BE8" s="131" t="s">
        <v>229</v>
      </c>
      <c r="BF8" s="131" t="s">
        <v>229</v>
      </c>
      <c r="BG8" s="131" t="s">
        <v>229</v>
      </c>
      <c r="BH8" s="131" t="s">
        <v>229</v>
      </c>
      <c r="BI8" s="131" t="s">
        <v>229</v>
      </c>
      <c r="BJ8" s="131" t="s">
        <v>229</v>
      </c>
      <c r="BK8" s="131" t="s">
        <v>229</v>
      </c>
      <c r="BL8" s="131" t="s">
        <v>229</v>
      </c>
      <c r="BM8" s="131" t="s">
        <v>229</v>
      </c>
      <c r="BN8" s="131" t="s">
        <v>229</v>
      </c>
      <c r="BO8" s="131" t="s">
        <v>229</v>
      </c>
      <c r="BP8" s="131" t="s">
        <v>229</v>
      </c>
      <c r="BQ8" s="131" t="s">
        <v>229</v>
      </c>
      <c r="BR8" s="131" t="s">
        <v>229</v>
      </c>
      <c r="BS8" s="138" t="e">
        <f>IF(H8&lt;J8,1,0)</f>
        <v>#NULL!</v>
      </c>
      <c r="BT8" s="137" t="s">
        <v>230</v>
      </c>
    </row>
    <row r="9" ht="15.6" spans="1:72">
      <c r="A9" s="100" t="s">
        <v>238</v>
      </c>
      <c r="B9" s="100"/>
      <c r="C9" s="100"/>
      <c r="D9" s="101"/>
      <c r="E9" s="102"/>
      <c r="F9" s="104">
        <v>474.5115</v>
      </c>
      <c r="G9" s="105">
        <v>720.76</v>
      </c>
      <c r="H9" s="104" t="e">
        <f t="shared" si="0"/>
        <v>#NULL!</v>
      </c>
      <c r="I9" s="104" t="e">
        <f t="shared" si="1"/>
        <v>#NULL!</v>
      </c>
      <c r="J9" s="104">
        <v>270</v>
      </c>
      <c r="K9" s="105">
        <v>538</v>
      </c>
      <c r="L9" s="114">
        <f t="shared" si="2"/>
        <v>60.796581858407</v>
      </c>
      <c r="M9" s="115">
        <f t="shared" si="3"/>
        <v>0.225172525401508</v>
      </c>
      <c r="N9" s="104">
        <f t="shared" si="4"/>
        <v>448.333333333333</v>
      </c>
      <c r="O9" s="116">
        <f t="shared" si="5"/>
        <v>0.397769516728625</v>
      </c>
      <c r="P9" s="114">
        <f t="shared" si="6"/>
        <v>178.333333333333</v>
      </c>
      <c r="Q9" s="104">
        <f t="shared" si="7"/>
        <v>62.7823008849558</v>
      </c>
      <c r="R9" s="104">
        <f t="shared" si="8"/>
        <v>1.15625</v>
      </c>
      <c r="S9" s="100">
        <v>16</v>
      </c>
      <c r="T9" s="121">
        <v>0.6</v>
      </c>
      <c r="U9" s="122">
        <v>0.05</v>
      </c>
      <c r="V9" s="122">
        <v>0.1</v>
      </c>
      <c r="W9" s="122">
        <v>0.01</v>
      </c>
      <c r="X9" s="122">
        <f t="shared" si="9"/>
        <v>0.387545067191085</v>
      </c>
      <c r="Y9" s="122">
        <f t="shared" si="10"/>
        <v>0.00428240740740741</v>
      </c>
      <c r="Z9" s="116">
        <v>0.223</v>
      </c>
      <c r="AA9" s="126">
        <f t="shared" si="11"/>
        <v>13.5</v>
      </c>
      <c r="AB9" s="126">
        <f t="shared" si="12"/>
        <v>27</v>
      </c>
      <c r="AC9" s="126">
        <f t="shared" si="13"/>
        <v>2.7</v>
      </c>
      <c r="AD9" s="104">
        <f t="shared" si="14"/>
        <v>60.21</v>
      </c>
      <c r="AE9" s="104">
        <v>61</v>
      </c>
      <c r="AF9" s="127">
        <f t="shared" si="15"/>
        <v>53.9823008849558</v>
      </c>
      <c r="AG9" s="127">
        <v>8.8</v>
      </c>
      <c r="AH9" s="122">
        <f t="shared" si="16"/>
        <v>0.333224079536764</v>
      </c>
      <c r="AI9" s="122">
        <f t="shared" si="17"/>
        <v>0.054320987654321</v>
      </c>
      <c r="AJ9" s="127">
        <v>8.8</v>
      </c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 t="s">
        <v>229</v>
      </c>
      <c r="AV9" s="131" t="s">
        <v>229</v>
      </c>
      <c r="AW9" s="131" t="s">
        <v>229</v>
      </c>
      <c r="AX9" s="131" t="s">
        <v>229</v>
      </c>
      <c r="AY9" s="131" t="s">
        <v>229</v>
      </c>
      <c r="AZ9" s="131" t="s">
        <v>229</v>
      </c>
      <c r="BA9" s="131" t="s">
        <v>229</v>
      </c>
      <c r="BB9" s="131" t="s">
        <v>229</v>
      </c>
      <c r="BC9" s="131" t="s">
        <v>229</v>
      </c>
      <c r="BD9" s="131" t="s">
        <v>229</v>
      </c>
      <c r="BE9" s="131" t="s">
        <v>229</v>
      </c>
      <c r="BF9" s="131" t="s">
        <v>229</v>
      </c>
      <c r="BG9" s="131" t="s">
        <v>229</v>
      </c>
      <c r="BH9" s="131" t="s">
        <v>229</v>
      </c>
      <c r="BI9" s="131" t="s">
        <v>229</v>
      </c>
      <c r="BJ9" s="131" t="s">
        <v>229</v>
      </c>
      <c r="BK9" s="131" t="s">
        <v>229</v>
      </c>
      <c r="BL9" s="131" t="s">
        <v>229</v>
      </c>
      <c r="BM9" s="131" t="s">
        <v>229</v>
      </c>
      <c r="BN9" s="131" t="s">
        <v>229</v>
      </c>
      <c r="BO9" s="131" t="s">
        <v>229</v>
      </c>
      <c r="BP9" s="131" t="s">
        <v>229</v>
      </c>
      <c r="BQ9" s="131" t="s">
        <v>229</v>
      </c>
      <c r="BR9" s="131" t="s">
        <v>229</v>
      </c>
      <c r="BS9" s="138" t="e">
        <f>IF(H9&lt;J9,1,0)</f>
        <v>#NULL!</v>
      </c>
      <c r="BT9" s="137" t="s">
        <v>230</v>
      </c>
    </row>
    <row r="10" ht="15.6" spans="1:72">
      <c r="A10" s="100" t="s">
        <v>240</v>
      </c>
      <c r="B10" s="100"/>
      <c r="C10" s="100"/>
      <c r="D10" s="101"/>
      <c r="E10" s="102"/>
      <c r="F10" s="104">
        <f>G10*0.7</f>
        <v>23.0923</v>
      </c>
      <c r="G10" s="105">
        <v>32.989</v>
      </c>
      <c r="H10" s="104" t="e">
        <f t="shared" si="0"/>
        <v>#NULL!</v>
      </c>
      <c r="I10" s="104" t="e">
        <f t="shared" si="1"/>
        <v>#NULL!</v>
      </c>
      <c r="J10" s="104">
        <v>23.09</v>
      </c>
      <c r="K10" s="105">
        <v>32.989</v>
      </c>
      <c r="L10" s="114">
        <f t="shared" si="2"/>
        <v>6.07801028581679</v>
      </c>
      <c r="M10" s="115">
        <f t="shared" si="3"/>
        <v>0.263231281325976</v>
      </c>
      <c r="N10" s="104">
        <f t="shared" si="4"/>
        <v>27.4908333333333</v>
      </c>
      <c r="O10" s="116">
        <f t="shared" si="5"/>
        <v>0.16008366425172</v>
      </c>
      <c r="P10" s="114">
        <f t="shared" si="6"/>
        <v>4.40083333333333</v>
      </c>
      <c r="Q10" s="104">
        <f t="shared" si="7"/>
        <v>62.7823008849558</v>
      </c>
      <c r="R10" s="104">
        <f t="shared" si="8"/>
        <v>0.954375</v>
      </c>
      <c r="S10" s="100">
        <v>16</v>
      </c>
      <c r="T10" s="121">
        <v>7.4</v>
      </c>
      <c r="U10" s="122">
        <v>0.06</v>
      </c>
      <c r="V10" s="122">
        <v>0.1</v>
      </c>
      <c r="W10" s="122">
        <v>0.01</v>
      </c>
      <c r="X10" s="122">
        <f t="shared" si="9"/>
        <v>0.367435890609927</v>
      </c>
      <c r="Y10" s="122">
        <f t="shared" si="10"/>
        <v>0.041332828064097</v>
      </c>
      <c r="Z10" s="116">
        <v>0.158</v>
      </c>
      <c r="AA10" s="126">
        <f t="shared" si="11"/>
        <v>1.3854</v>
      </c>
      <c r="AB10" s="126">
        <f t="shared" si="12"/>
        <v>2.309</v>
      </c>
      <c r="AC10" s="126">
        <f t="shared" si="13"/>
        <v>0.2309</v>
      </c>
      <c r="AD10" s="104">
        <f t="shared" si="14"/>
        <v>3.64822</v>
      </c>
      <c r="AE10" s="104">
        <v>61</v>
      </c>
      <c r="AF10" s="127">
        <f t="shared" si="15"/>
        <v>53.9823008849558</v>
      </c>
      <c r="AG10" s="127">
        <v>8.8</v>
      </c>
      <c r="AH10" s="122">
        <f t="shared" si="16"/>
        <v>0.315933543741621</v>
      </c>
      <c r="AI10" s="122">
        <f t="shared" si="17"/>
        <v>0.0515023468683062</v>
      </c>
      <c r="AJ10" s="127">
        <v>8.8</v>
      </c>
      <c r="AK10" s="122"/>
      <c r="AL10" s="122"/>
      <c r="AM10" s="122"/>
      <c r="AN10" s="122"/>
      <c r="AO10" s="131"/>
      <c r="AP10" s="131"/>
      <c r="AQ10" s="131"/>
      <c r="AR10" s="131"/>
      <c r="AS10" s="131"/>
      <c r="AT10" s="131"/>
      <c r="AU10" s="131" t="s">
        <v>229</v>
      </c>
      <c r="AV10" s="131" t="s">
        <v>229</v>
      </c>
      <c r="AW10" s="131" t="s">
        <v>229</v>
      </c>
      <c r="AX10" s="131" t="s">
        <v>229</v>
      </c>
      <c r="AY10" s="131" t="s">
        <v>229</v>
      </c>
      <c r="AZ10" s="131" t="s">
        <v>229</v>
      </c>
      <c r="BA10" s="131" t="s">
        <v>229</v>
      </c>
      <c r="BB10" s="131" t="s">
        <v>229</v>
      </c>
      <c r="BC10" s="131" t="s">
        <v>229</v>
      </c>
      <c r="BD10" s="131" t="s">
        <v>229</v>
      </c>
      <c r="BE10" s="131" t="s">
        <v>229</v>
      </c>
      <c r="BF10" s="131" t="s">
        <v>229</v>
      </c>
      <c r="BG10" s="131" t="s">
        <v>229</v>
      </c>
      <c r="BH10" s="131" t="s">
        <v>229</v>
      </c>
      <c r="BI10" s="131" t="s">
        <v>229</v>
      </c>
      <c r="BJ10" s="131" t="s">
        <v>229</v>
      </c>
      <c r="BK10" s="131" t="s">
        <v>229</v>
      </c>
      <c r="BL10" s="131" t="s">
        <v>229</v>
      </c>
      <c r="BM10" s="131" t="s">
        <v>229</v>
      </c>
      <c r="BN10" s="131" t="s">
        <v>229</v>
      </c>
      <c r="BO10" s="131" t="s">
        <v>229</v>
      </c>
      <c r="BP10" s="131" t="s">
        <v>229</v>
      </c>
      <c r="BQ10" s="131" t="s">
        <v>229</v>
      </c>
      <c r="BR10" s="131" t="s">
        <v>229</v>
      </c>
      <c r="BS10" s="138" t="e">
        <f>IF(H10&lt;J10,1,0)</f>
        <v>#NULL!</v>
      </c>
      <c r="BT10" s="137" t="s">
        <v>230</v>
      </c>
    </row>
    <row r="11" ht="15.6" spans="1:72">
      <c r="A11" s="100"/>
      <c r="B11" s="100"/>
      <c r="C11" s="100"/>
      <c r="D11" s="101"/>
      <c r="E11" s="102"/>
      <c r="F11" s="104"/>
      <c r="G11" s="105"/>
      <c r="H11" s="104"/>
      <c r="I11" s="104"/>
      <c r="J11" s="104"/>
      <c r="K11" s="105"/>
      <c r="L11" s="114"/>
      <c r="M11" s="115"/>
      <c r="N11" s="104"/>
      <c r="O11" s="116"/>
      <c r="P11" s="114"/>
      <c r="Q11" s="104"/>
      <c r="R11" s="104"/>
      <c r="S11" s="100"/>
      <c r="T11" s="121"/>
      <c r="U11" s="122"/>
      <c r="V11" s="122"/>
      <c r="W11" s="122"/>
      <c r="X11" s="122"/>
      <c r="Y11" s="122"/>
      <c r="Z11" s="116"/>
      <c r="AA11" s="126"/>
      <c r="AB11" s="126"/>
      <c r="AC11" s="126"/>
      <c r="AD11" s="104"/>
      <c r="AE11" s="104"/>
      <c r="AF11" s="127"/>
      <c r="AG11" s="127"/>
      <c r="AH11" s="122"/>
      <c r="AI11" s="122"/>
      <c r="AJ11" s="127"/>
      <c r="AK11" s="122"/>
      <c r="AL11" s="122"/>
      <c r="AM11" s="122"/>
      <c r="AN11" s="122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8"/>
      <c r="BT11" s="137"/>
    </row>
    <row r="12" ht="15.6" spans="1:72">
      <c r="A12" s="100"/>
      <c r="B12" s="100"/>
      <c r="C12" s="100"/>
      <c r="D12" s="101"/>
      <c r="E12" s="102"/>
      <c r="F12" s="104"/>
      <c r="G12" s="105"/>
      <c r="H12" s="104"/>
      <c r="I12" s="104"/>
      <c r="J12" s="104"/>
      <c r="K12" s="105"/>
      <c r="L12" s="114"/>
      <c r="M12" s="115"/>
      <c r="N12" s="104"/>
      <c r="O12" s="116"/>
      <c r="P12" s="114"/>
      <c r="Q12" s="104"/>
      <c r="R12" s="104"/>
      <c r="S12" s="100"/>
      <c r="T12" s="121"/>
      <c r="U12" s="122"/>
      <c r="V12" s="122"/>
      <c r="W12" s="122"/>
      <c r="X12" s="122"/>
      <c r="Y12" s="122"/>
      <c r="Z12" s="116"/>
      <c r="AA12" s="126"/>
      <c r="AB12" s="126"/>
      <c r="AC12" s="126"/>
      <c r="AD12" s="104"/>
      <c r="AE12" s="104"/>
      <c r="AF12" s="127"/>
      <c r="AG12" s="127"/>
      <c r="AH12" s="122"/>
      <c r="AI12" s="122"/>
      <c r="AJ12" s="127"/>
      <c r="AK12" s="122"/>
      <c r="AL12" s="122"/>
      <c r="AM12" s="122"/>
      <c r="AN12" s="122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8"/>
      <c r="BT12" s="137"/>
    </row>
    <row r="13" ht="15.6" spans="1:72">
      <c r="A13" s="100"/>
      <c r="B13" s="100"/>
      <c r="C13" s="100"/>
      <c r="D13" s="101"/>
      <c r="E13" s="102"/>
      <c r="F13" s="104"/>
      <c r="G13" s="105"/>
      <c r="H13" s="104"/>
      <c r="I13" s="104"/>
      <c r="J13" s="104"/>
      <c r="K13" s="105"/>
      <c r="L13" s="114"/>
      <c r="M13" s="115"/>
      <c r="N13" s="104"/>
      <c r="O13" s="116"/>
      <c r="P13" s="114"/>
      <c r="Q13" s="104"/>
      <c r="R13" s="104"/>
      <c r="S13" s="100"/>
      <c r="T13" s="121"/>
      <c r="U13" s="122"/>
      <c r="V13" s="122"/>
      <c r="W13" s="122"/>
      <c r="X13" s="122"/>
      <c r="Y13" s="122"/>
      <c r="Z13" s="116"/>
      <c r="AA13" s="126"/>
      <c r="AB13" s="126"/>
      <c r="AC13" s="126"/>
      <c r="AD13" s="104"/>
      <c r="AE13" s="104"/>
      <c r="AF13" s="127"/>
      <c r="AG13" s="127"/>
      <c r="AH13" s="122"/>
      <c r="AI13" s="122"/>
      <c r="AJ13" s="127"/>
      <c r="AK13" s="122"/>
      <c r="AL13" s="122"/>
      <c r="AM13" s="122"/>
      <c r="AN13" s="122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8"/>
      <c r="BT13" s="137"/>
    </row>
    <row r="14" ht="15.6" spans="1:72">
      <c r="A14" s="100"/>
      <c r="B14" s="100"/>
      <c r="C14" s="100"/>
      <c r="D14" s="101"/>
      <c r="E14" s="102"/>
      <c r="F14" s="104"/>
      <c r="G14" s="105"/>
      <c r="H14" s="104"/>
      <c r="I14" s="104"/>
      <c r="J14" s="104"/>
      <c r="K14" s="105"/>
      <c r="L14" s="114"/>
      <c r="M14" s="115"/>
      <c r="N14" s="104"/>
      <c r="O14" s="116"/>
      <c r="P14" s="114"/>
      <c r="Q14" s="104"/>
      <c r="R14" s="104"/>
      <c r="S14" s="100"/>
      <c r="T14" s="121"/>
      <c r="U14" s="122"/>
      <c r="V14" s="122"/>
      <c r="W14" s="122"/>
      <c r="X14" s="122"/>
      <c r="Y14" s="122"/>
      <c r="Z14" s="116"/>
      <c r="AA14" s="126"/>
      <c r="AB14" s="126"/>
      <c r="AC14" s="126"/>
      <c r="AD14" s="104"/>
      <c r="AE14" s="104"/>
      <c r="AF14" s="127"/>
      <c r="AG14" s="127"/>
      <c r="AH14" s="122"/>
      <c r="AI14" s="122"/>
      <c r="AJ14" s="127"/>
      <c r="AK14" s="122"/>
      <c r="AL14" s="122"/>
      <c r="AM14" s="122"/>
      <c r="AN14" s="122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8"/>
      <c r="BT14" s="137"/>
    </row>
    <row r="15" ht="15.6" spans="1:72">
      <c r="A15" s="100"/>
      <c r="B15" s="100"/>
      <c r="C15" s="100"/>
      <c r="D15" s="101"/>
      <c r="E15" s="102"/>
      <c r="F15" s="104"/>
      <c r="G15" s="105"/>
      <c r="H15" s="104"/>
      <c r="I15" s="104"/>
      <c r="J15" s="104"/>
      <c r="K15" s="105"/>
      <c r="L15" s="114"/>
      <c r="M15" s="115"/>
      <c r="N15" s="104"/>
      <c r="O15" s="116"/>
      <c r="P15" s="114"/>
      <c r="Q15" s="104"/>
      <c r="R15" s="104"/>
      <c r="S15" s="100"/>
      <c r="T15" s="121"/>
      <c r="U15" s="122"/>
      <c r="V15" s="122"/>
      <c r="W15" s="122"/>
      <c r="X15" s="122"/>
      <c r="Y15" s="122"/>
      <c r="Z15" s="116"/>
      <c r="AA15" s="126"/>
      <c r="AB15" s="126"/>
      <c r="AC15" s="126"/>
      <c r="AD15" s="104"/>
      <c r="AE15" s="104"/>
      <c r="AF15" s="127"/>
      <c r="AG15" s="127"/>
      <c r="AH15" s="122"/>
      <c r="AI15" s="122"/>
      <c r="AJ15" s="127"/>
      <c r="AK15" s="122"/>
      <c r="AL15" s="122"/>
      <c r="AM15" s="122"/>
      <c r="AN15" s="122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8"/>
      <c r="BT15" s="137"/>
    </row>
    <row r="16" ht="15.6" spans="1:72">
      <c r="A16" s="100"/>
      <c r="B16" s="100"/>
      <c r="C16" s="100"/>
      <c r="D16" s="101"/>
      <c r="E16" s="102"/>
      <c r="F16" s="104"/>
      <c r="G16" s="105"/>
      <c r="H16" s="104"/>
      <c r="I16" s="104"/>
      <c r="J16" s="104"/>
      <c r="K16" s="105"/>
      <c r="L16" s="114"/>
      <c r="M16" s="115"/>
      <c r="N16" s="104"/>
      <c r="O16" s="116"/>
      <c r="P16" s="114"/>
      <c r="Q16" s="104"/>
      <c r="R16" s="104"/>
      <c r="S16" s="100"/>
      <c r="T16" s="121"/>
      <c r="U16" s="122"/>
      <c r="V16" s="122"/>
      <c r="W16" s="122"/>
      <c r="X16" s="122"/>
      <c r="Y16" s="122"/>
      <c r="Z16" s="116"/>
      <c r="AA16" s="126"/>
      <c r="AB16" s="126"/>
      <c r="AC16" s="126"/>
      <c r="AD16" s="104"/>
      <c r="AE16" s="104"/>
      <c r="AF16" s="127"/>
      <c r="AG16" s="127"/>
      <c r="AH16" s="122"/>
      <c r="AI16" s="122"/>
      <c r="AJ16" s="127"/>
      <c r="AK16" s="122"/>
      <c r="AL16" s="122"/>
      <c r="AM16" s="122"/>
      <c r="AN16" s="122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8"/>
      <c r="BT16" s="137"/>
    </row>
    <row r="17" ht="15.6" spans="1:72">
      <c r="A17" s="100"/>
      <c r="B17" s="100"/>
      <c r="C17" s="100"/>
      <c r="D17" s="101"/>
      <c r="E17" s="102"/>
      <c r="F17" s="104"/>
      <c r="G17" s="105"/>
      <c r="H17" s="104"/>
      <c r="I17" s="104"/>
      <c r="J17" s="104"/>
      <c r="K17" s="105"/>
      <c r="L17" s="114"/>
      <c r="M17" s="115"/>
      <c r="N17" s="104"/>
      <c r="O17" s="116"/>
      <c r="P17" s="114"/>
      <c r="Q17" s="104"/>
      <c r="R17" s="104"/>
      <c r="S17" s="100"/>
      <c r="T17" s="121"/>
      <c r="U17" s="122"/>
      <c r="V17" s="122"/>
      <c r="W17" s="122"/>
      <c r="X17" s="122"/>
      <c r="Y17" s="122"/>
      <c r="Z17" s="116"/>
      <c r="AA17" s="126"/>
      <c r="AB17" s="126"/>
      <c r="AC17" s="126"/>
      <c r="AD17" s="104"/>
      <c r="AE17" s="104"/>
      <c r="AF17" s="127"/>
      <c r="AG17" s="127"/>
      <c r="AH17" s="122"/>
      <c r="AI17" s="122"/>
      <c r="AJ17" s="127"/>
      <c r="AK17" s="122"/>
      <c r="AL17" s="122"/>
      <c r="AM17" s="122"/>
      <c r="AN17" s="122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8"/>
      <c r="BT17" s="137"/>
    </row>
    <row r="18" ht="15.6" spans="1:72">
      <c r="A18" s="100"/>
      <c r="B18" s="100"/>
      <c r="C18" s="100"/>
      <c r="D18" s="101"/>
      <c r="E18" s="102"/>
      <c r="F18" s="104"/>
      <c r="G18" s="105"/>
      <c r="H18" s="104"/>
      <c r="I18" s="104"/>
      <c r="J18" s="104"/>
      <c r="K18" s="105"/>
      <c r="L18" s="114"/>
      <c r="M18" s="115"/>
      <c r="N18" s="104"/>
      <c r="O18" s="116"/>
      <c r="P18" s="114"/>
      <c r="Q18" s="104"/>
      <c r="R18" s="104"/>
      <c r="S18" s="100"/>
      <c r="T18" s="121"/>
      <c r="U18" s="122"/>
      <c r="V18" s="122"/>
      <c r="W18" s="122"/>
      <c r="X18" s="122"/>
      <c r="Y18" s="122"/>
      <c r="Z18" s="116"/>
      <c r="AA18" s="126"/>
      <c r="AB18" s="126"/>
      <c r="AC18" s="126"/>
      <c r="AD18" s="104"/>
      <c r="AE18" s="104"/>
      <c r="AF18" s="127"/>
      <c r="AG18" s="127"/>
      <c r="AH18" s="122"/>
      <c r="AI18" s="122"/>
      <c r="AJ18" s="127"/>
      <c r="AK18" s="122"/>
      <c r="AL18" s="122"/>
      <c r="AM18" s="122"/>
      <c r="AN18" s="122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8"/>
      <c r="BT18" s="137"/>
    </row>
    <row r="19" ht="15.6" spans="1:72">
      <c r="A19" s="100"/>
      <c r="B19" s="100"/>
      <c r="C19" s="100"/>
      <c r="D19" s="101"/>
      <c r="E19" s="102"/>
      <c r="F19" s="104"/>
      <c r="G19" s="105"/>
      <c r="H19" s="104"/>
      <c r="I19" s="104"/>
      <c r="J19" s="104"/>
      <c r="K19" s="105"/>
      <c r="L19" s="114"/>
      <c r="M19" s="115"/>
      <c r="N19" s="104"/>
      <c r="O19" s="116"/>
      <c r="P19" s="114"/>
      <c r="Q19" s="104"/>
      <c r="R19" s="104"/>
      <c r="S19" s="100"/>
      <c r="T19" s="121"/>
      <c r="U19" s="122"/>
      <c r="V19" s="122"/>
      <c r="W19" s="122"/>
      <c r="X19" s="122"/>
      <c r="Y19" s="122"/>
      <c r="Z19" s="116"/>
      <c r="AA19" s="126"/>
      <c r="AB19" s="126"/>
      <c r="AC19" s="126"/>
      <c r="AD19" s="104"/>
      <c r="AE19" s="104"/>
      <c r="AF19" s="127"/>
      <c r="AG19" s="127"/>
      <c r="AH19" s="122"/>
      <c r="AI19" s="122"/>
      <c r="AJ19" s="127"/>
      <c r="AK19" s="122"/>
      <c r="AL19" s="122"/>
      <c r="AM19" s="122"/>
      <c r="AN19" s="122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8"/>
      <c r="BT19" s="137"/>
    </row>
    <row r="20" ht="15.6" spans="1:72">
      <c r="A20" s="100"/>
      <c r="B20" s="100"/>
      <c r="C20" s="100"/>
      <c r="D20" s="101"/>
      <c r="E20" s="102"/>
      <c r="F20" s="104"/>
      <c r="G20" s="105"/>
      <c r="H20" s="104"/>
      <c r="I20" s="104"/>
      <c r="J20" s="104"/>
      <c r="K20" s="105"/>
      <c r="L20" s="114"/>
      <c r="M20" s="115"/>
      <c r="N20" s="104"/>
      <c r="O20" s="116"/>
      <c r="P20" s="114"/>
      <c r="Q20" s="104"/>
      <c r="R20" s="104"/>
      <c r="S20" s="100"/>
      <c r="T20" s="121"/>
      <c r="U20" s="122"/>
      <c r="V20" s="122"/>
      <c r="W20" s="122"/>
      <c r="X20" s="122"/>
      <c r="Y20" s="122"/>
      <c r="Z20" s="116"/>
      <c r="AA20" s="126"/>
      <c r="AB20" s="126"/>
      <c r="AC20" s="126"/>
      <c r="AD20" s="104"/>
      <c r="AE20" s="104"/>
      <c r="AF20" s="127"/>
      <c r="AG20" s="127"/>
      <c r="AH20" s="122"/>
      <c r="AI20" s="122"/>
      <c r="AJ20" s="127"/>
      <c r="AK20" s="122"/>
      <c r="AL20" s="122"/>
      <c r="AM20" s="122"/>
      <c r="AN20" s="122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8"/>
      <c r="BT20" s="137"/>
    </row>
  </sheetData>
  <conditionalFormatting sqref="M2">
    <cfRule type="cellIs" dxfId="1" priority="50" operator="lessThanOrEqual">
      <formula>0</formula>
    </cfRule>
    <cfRule type="cellIs" dxfId="1" priority="107" operator="lessThanOrEqual">
      <formula>0</formula>
    </cfRule>
  </conditionalFormatting>
  <conditionalFormatting sqref="M7:M20">
    <cfRule type="cellIs" dxfId="1" priority="2" operator="lessThanOrEqual">
      <formula>0</formula>
    </cfRule>
    <cfRule type="cellIs" dxfId="1" priority="7" operator="lessThanOrEqual">
      <formula>0</formula>
    </cfRule>
    <cfRule type="cellIs" dxfId="1" priority="20" operator="lessThanOrEqual">
      <formula>0</formula>
    </cfRule>
    <cfRule type="cellIs" dxfId="1" priority="28" operator="lessThanOrEqual">
      <formula>0</formula>
    </cfRule>
    <cfRule type="cellIs" dxfId="1" priority="29" operator="lessThanOrEqual">
      <formula>0</formula>
    </cfRule>
    <cfRule type="cellIs" dxfId="1" priority="30" operator="lessThanOrEqual">
      <formula>0</formula>
    </cfRule>
    <cfRule type="cellIs" dxfId="1" priority="35" operator="lessThanOrEqual">
      <formula>0</formula>
    </cfRule>
    <cfRule type="cellIs" dxfId="1" priority="51" operator="lessThanOrEqual">
      <formula>0</formula>
    </cfRule>
    <cfRule type="cellIs" dxfId="1" priority="60" operator="lessThanOrEqual">
      <formula>0</formula>
    </cfRule>
    <cfRule type="cellIs" dxfId="1" priority="64" operator="lessThanOrEqual">
      <formula>0</formula>
    </cfRule>
    <cfRule type="cellIs" dxfId="1" priority="114" operator="lessThanOrEqual">
      <formula>0</formula>
    </cfRule>
    <cfRule type="cellIs" dxfId="1" priority="116" operator="lessThanOrEqual">
      <formula>0</formula>
    </cfRule>
    <cfRule type="cellIs" dxfId="1" priority="122" operator="lessThanOrEqual">
      <formula>0</formula>
    </cfRule>
    <cfRule type="cellIs" dxfId="1" priority="125" operator="lessThanOrEqual">
      <formula>0</formula>
    </cfRule>
    <cfRule type="cellIs" dxfId="1" priority="137" operator="lessThanOrEqual">
      <formula>0</formula>
    </cfRule>
    <cfRule type="cellIs" dxfId="1" priority="141" operator="lessThanOrEqual">
      <formula>0</formula>
    </cfRule>
  </conditionalFormatting>
  <conditionalFormatting sqref="M9:M20">
    <cfRule type="cellIs" dxfId="1" priority="1" operator="lessThanOrEqual">
      <formula>0</formula>
    </cfRule>
    <cfRule type="cellIs" dxfId="1" priority="4" operator="lessThanOrEqual">
      <formula>0</formula>
    </cfRule>
    <cfRule type="cellIs" dxfId="1" priority="5" operator="lessThanOrEqual">
      <formula>0</formula>
    </cfRule>
    <cfRule type="cellIs" dxfId="1" priority="6" operator="lessThanOrEqual">
      <formula>0</formula>
    </cfRule>
    <cfRule type="cellIs" dxfId="1" priority="11" operator="lessThanOrEqual">
      <formula>0</formula>
    </cfRule>
    <cfRule type="cellIs" dxfId="1" priority="12" operator="lessThanOrEqual">
      <formula>0</formula>
    </cfRule>
    <cfRule type="cellIs" dxfId="1" priority="14" operator="lessThanOrEqual">
      <formula>0</formula>
    </cfRule>
    <cfRule type="cellIs" dxfId="1" priority="21" operator="lessThanOrEqual">
      <formula>0</formula>
    </cfRule>
    <cfRule type="cellIs" dxfId="1" priority="23" operator="lessThanOrEqual">
      <formula>0</formula>
    </cfRule>
    <cfRule type="cellIs" dxfId="1" priority="25" operator="lessThanOrEqual">
      <formula>0</formula>
    </cfRule>
    <cfRule type="cellIs" dxfId="1" priority="32" operator="lessThanOrEqual">
      <formula>0</formula>
    </cfRule>
    <cfRule type="cellIs" dxfId="1" priority="33" operator="lessThanOrEqual">
      <formula>0</formula>
    </cfRule>
    <cfRule type="cellIs" dxfId="1" priority="38" operator="lessThanOrEqual">
      <formula>0</formula>
    </cfRule>
    <cfRule type="cellIs" dxfId="1" priority="39" operator="lessThanOrEqual">
      <formula>0</formula>
    </cfRule>
    <cfRule type="cellIs" dxfId="1" priority="42" operator="lessThanOrEqual">
      <formula>0</formula>
    </cfRule>
    <cfRule type="cellIs" dxfId="1" priority="45" operator="lessThanOrEqual">
      <formula>0</formula>
    </cfRule>
    <cfRule type="cellIs" dxfId="1" priority="57" operator="lessThanOrEqual">
      <formula>0</formula>
    </cfRule>
    <cfRule type="cellIs" dxfId="1" priority="59" operator="lessThanOrEqual">
      <formula>0</formula>
    </cfRule>
    <cfRule type="cellIs" dxfId="1" priority="61" operator="lessThanOrEqual">
      <formula>0</formula>
    </cfRule>
    <cfRule type="cellIs" dxfId="1" priority="66" operator="lessThanOrEqual">
      <formula>0</formula>
    </cfRule>
    <cfRule type="cellIs" dxfId="1" priority="68" operator="lessThanOrEqual">
      <formula>0</formula>
    </cfRule>
    <cfRule type="cellIs" dxfId="1" priority="69" operator="lessThanOrEqual">
      <formula>0</formula>
    </cfRule>
    <cfRule type="cellIs" dxfId="1" priority="71" operator="lessThanOrEqual">
      <formula>0</formula>
    </cfRule>
    <cfRule type="cellIs" dxfId="1" priority="72" operator="lessThanOrEqual">
      <formula>0</formula>
    </cfRule>
    <cfRule type="cellIs" dxfId="1" priority="73" operator="lessThanOrEqual">
      <formula>0</formula>
    </cfRule>
    <cfRule type="cellIs" dxfId="1" priority="75" operator="lessThanOrEqual">
      <formula>0</formula>
    </cfRule>
    <cfRule type="cellIs" dxfId="1" priority="76" operator="lessThanOrEqual">
      <formula>0</formula>
    </cfRule>
    <cfRule type="cellIs" dxfId="1" priority="77" operator="lessThanOrEqual">
      <formula>0</formula>
    </cfRule>
    <cfRule type="cellIs" dxfId="1" priority="79" operator="lessThanOrEqual">
      <formula>0</formula>
    </cfRule>
    <cfRule type="cellIs" dxfId="1" priority="87" operator="lessThanOrEqual">
      <formula>0</formula>
    </cfRule>
    <cfRule type="cellIs" dxfId="1" priority="88" operator="lessThanOrEqual">
      <formula>0</formula>
    </cfRule>
    <cfRule type="cellIs" dxfId="1" priority="90" operator="lessThanOrEqual">
      <formula>0</formula>
    </cfRule>
    <cfRule type="cellIs" dxfId="1" priority="91" operator="lessThanOrEqual">
      <formula>0</formula>
    </cfRule>
    <cfRule type="cellIs" dxfId="1" priority="93" operator="lessThanOrEqual">
      <formula>0</formula>
    </cfRule>
    <cfRule type="cellIs" dxfId="1" priority="95" operator="lessThanOrEqual">
      <formula>0</formula>
    </cfRule>
    <cfRule type="cellIs" dxfId="1" priority="98" operator="lessThanOrEqual">
      <formula>0</formula>
    </cfRule>
    <cfRule type="cellIs" dxfId="1" priority="100" operator="lessThanOrEqual">
      <formula>0</formula>
    </cfRule>
    <cfRule type="cellIs" dxfId="1" priority="104" operator="lessThanOrEqual">
      <formula>0</formula>
    </cfRule>
    <cfRule type="cellIs" dxfId="1" priority="106" operator="lessThanOrEqual">
      <formula>0</formula>
    </cfRule>
    <cfRule type="cellIs" dxfId="1" priority="108" operator="lessThanOrEqual">
      <formula>0</formula>
    </cfRule>
    <cfRule type="cellIs" dxfId="1" priority="109" operator="lessThanOrEqual">
      <formula>0</formula>
    </cfRule>
    <cfRule type="cellIs" dxfId="1" priority="110" operator="lessThanOrEqual">
      <formula>0</formula>
    </cfRule>
    <cfRule type="cellIs" dxfId="1" priority="112" operator="lessThanOrEqual">
      <formula>0</formula>
    </cfRule>
    <cfRule type="cellIs" dxfId="1" priority="113" operator="lessThanOrEqual">
      <formula>0</formula>
    </cfRule>
    <cfRule type="cellIs" dxfId="1" priority="115" operator="lessThanOrEqual">
      <formula>0</formula>
    </cfRule>
    <cfRule type="cellIs" dxfId="1" priority="117" operator="lessThanOrEqual">
      <formula>0</formula>
    </cfRule>
    <cfRule type="cellIs" dxfId="1" priority="119" operator="lessThanOrEqual">
      <formula>0</formula>
    </cfRule>
    <cfRule type="cellIs" dxfId="1" priority="124" operator="lessThanOrEqual">
      <formula>0</formula>
    </cfRule>
    <cfRule type="cellIs" dxfId="1" priority="128" operator="lessThanOrEqual">
      <formula>0</formula>
    </cfRule>
    <cfRule type="cellIs" dxfId="1" priority="130" operator="lessThanOrEqual">
      <formula>0</formula>
    </cfRule>
    <cfRule type="cellIs" dxfId="1" priority="131" operator="lessThanOrEqual">
      <formula>0</formula>
    </cfRule>
    <cfRule type="cellIs" dxfId="1" priority="132" operator="lessThanOrEqual">
      <formula>0</formula>
    </cfRule>
    <cfRule type="cellIs" dxfId="1" priority="140" operator="lessThanOrEqual">
      <formula>0</formula>
    </cfRule>
    <cfRule type="cellIs" dxfId="1" priority="142" operator="lessThanOrEqual">
      <formula>0</formula>
    </cfRule>
  </conditionalFormatting>
  <conditionalFormatting sqref="L1:M1 Q1:R1 AA1">
    <cfRule type="cellIs" dxfId="1" priority="89" operator="lessThanOrEqual">
      <formula>0</formula>
    </cfRule>
  </conditionalFormatting>
  <conditionalFormatting sqref="L2:L20 M7:M20 AA7:AC20">
    <cfRule type="cellIs" dxfId="1" priority="99" operator="lessThanOrEqual">
      <formula>0</formula>
    </cfRule>
  </conditionalFormatting>
  <conditionalFormatting sqref="M2 AA2:AC2">
    <cfRule type="cellIs" dxfId="1" priority="67" operator="lessThanOrEqual">
      <formula>0</formula>
    </cfRule>
  </conditionalFormatting>
  <conditionalFormatting sqref="M3:M6 M10:M20 AA3:AC6 AA10:AC20">
    <cfRule type="cellIs" dxfId="1" priority="40" operator="lessThanOrEqual">
      <formula>0</formula>
    </cfRule>
  </conditionalFormatting>
  <conditionalFormatting sqref="M7:M20 AA7:AC20">
    <cfRule type="cellIs" dxfId="1" priority="8" operator="lessThanOrEqual">
      <formula>0</formula>
    </cfRule>
    <cfRule type="cellIs" dxfId="1" priority="13" operator="lessThanOrEqual">
      <formula>0</formula>
    </cfRule>
    <cfRule type="cellIs" dxfId="1" priority="18" operator="lessThanOrEqual">
      <formula>0</formula>
    </cfRule>
    <cfRule type="cellIs" dxfId="1" priority="44" operator="lessThanOrEqual">
      <formula>0</formula>
    </cfRule>
    <cfRule type="cellIs" dxfId="1" priority="48" operator="lessThanOrEqual">
      <formula>0</formula>
    </cfRule>
    <cfRule type="cellIs" dxfId="1" priority="52" operator="lessThanOrEqual">
      <formula>0</formula>
    </cfRule>
    <cfRule type="cellIs" dxfId="1" priority="54" operator="lessThanOrEqual">
      <formula>0</formula>
    </cfRule>
    <cfRule type="cellIs" dxfId="1" priority="55" operator="lessThanOrEqual">
      <formula>0</formula>
    </cfRule>
    <cfRule type="cellIs" dxfId="1" priority="74" operator="lessThanOrEqual">
      <formula>0</formula>
    </cfRule>
    <cfRule type="cellIs" dxfId="1" priority="83" operator="lessThanOrEqual">
      <formula>0</formula>
    </cfRule>
    <cfRule type="cellIs" dxfId="1" priority="84" operator="lessThanOrEqual">
      <formula>0</formula>
    </cfRule>
    <cfRule type="cellIs" dxfId="1" priority="96" operator="lessThanOrEqual">
      <formula>0</formula>
    </cfRule>
    <cfRule type="cellIs" dxfId="1" priority="111" operator="lessThanOrEqual">
      <formula>0</formula>
    </cfRule>
    <cfRule type="cellIs" dxfId="1" priority="120" operator="lessThanOrEqual">
      <formula>0</formula>
    </cfRule>
    <cfRule type="cellIs" dxfId="1" priority="123" operator="lessThanOrEqual">
      <formula>0</formula>
    </cfRule>
  </conditionalFormatting>
  <conditionalFormatting sqref="M9:M20 AA9:AC20">
    <cfRule type="cellIs" dxfId="1" priority="3" operator="lessThanOrEqual">
      <formula>0</formula>
    </cfRule>
    <cfRule type="cellIs" dxfId="1" priority="9" operator="lessThanOrEqual">
      <formula>0</formula>
    </cfRule>
    <cfRule type="cellIs" dxfId="1" priority="10" operator="lessThanOrEqual">
      <formula>0</formula>
    </cfRule>
    <cfRule type="cellIs" dxfId="1" priority="15" operator="lessThanOrEqual">
      <formula>0</formula>
    </cfRule>
    <cfRule type="cellIs" dxfId="1" priority="16" operator="lessThanOrEqual">
      <formula>0</formula>
    </cfRule>
    <cfRule type="cellIs" dxfId="1" priority="17" operator="lessThanOrEqual">
      <formula>0</formula>
    </cfRule>
    <cfRule type="cellIs" dxfId="1" priority="19" operator="lessThanOrEqual">
      <formula>0</formula>
    </cfRule>
    <cfRule type="cellIs" dxfId="1" priority="22" operator="lessThanOrEqual">
      <formula>0</formula>
    </cfRule>
    <cfRule type="cellIs" dxfId="1" priority="24" operator="lessThanOrEqual">
      <formula>0</formula>
    </cfRule>
    <cfRule type="cellIs" dxfId="1" priority="26" operator="lessThanOrEqual">
      <formula>0</formula>
    </cfRule>
    <cfRule type="cellIs" dxfId="1" priority="27" operator="lessThanOrEqual">
      <formula>0</formula>
    </cfRule>
    <cfRule type="cellIs" dxfId="1" priority="31" operator="lessThanOrEqual">
      <formula>0</formula>
    </cfRule>
    <cfRule type="cellIs" dxfId="1" priority="34" operator="lessThanOrEqual">
      <formula>0</formula>
    </cfRule>
    <cfRule type="cellIs" dxfId="1" priority="36" operator="lessThanOrEqual">
      <formula>0</formula>
    </cfRule>
    <cfRule type="cellIs" dxfId="1" priority="37" operator="lessThanOrEqual">
      <formula>0</formula>
    </cfRule>
    <cfRule type="cellIs" dxfId="1" priority="41" operator="lessThanOrEqual">
      <formula>0</formula>
    </cfRule>
    <cfRule type="cellIs" dxfId="1" priority="43" operator="lessThanOrEqual">
      <formula>0</formula>
    </cfRule>
    <cfRule type="cellIs" dxfId="1" priority="46" operator="lessThanOrEqual">
      <formula>0</formula>
    </cfRule>
    <cfRule type="cellIs" dxfId="1" priority="47" operator="lessThanOrEqual">
      <formula>0</formula>
    </cfRule>
    <cfRule type="cellIs" dxfId="1" priority="49" operator="lessThanOrEqual">
      <formula>0</formula>
    </cfRule>
    <cfRule type="cellIs" dxfId="1" priority="53" operator="lessThanOrEqual">
      <formula>0</formula>
    </cfRule>
    <cfRule type="cellIs" dxfId="1" priority="56" operator="lessThanOrEqual">
      <formula>0</formula>
    </cfRule>
    <cfRule type="cellIs" dxfId="1" priority="58" operator="lessThanOrEqual">
      <formula>0</formula>
    </cfRule>
    <cfRule type="cellIs" dxfId="1" priority="62" operator="lessThanOrEqual">
      <formula>0</formula>
    </cfRule>
    <cfRule type="cellIs" dxfId="1" priority="63" operator="lessThanOrEqual">
      <formula>0</formula>
    </cfRule>
    <cfRule type="cellIs" dxfId="1" priority="65" operator="lessThanOrEqual">
      <formula>0</formula>
    </cfRule>
    <cfRule type="cellIs" dxfId="1" priority="70" operator="lessThanOrEqual">
      <formula>0</formula>
    </cfRule>
    <cfRule type="cellIs" dxfId="1" priority="78" operator="lessThanOrEqual">
      <formula>0</formula>
    </cfRule>
    <cfRule type="cellIs" dxfId="1" priority="80" operator="lessThanOrEqual">
      <formula>0</formula>
    </cfRule>
    <cfRule type="cellIs" dxfId="1" priority="81" operator="lessThanOrEqual">
      <formula>0</formula>
    </cfRule>
    <cfRule type="cellIs" dxfId="1" priority="82" operator="lessThanOrEqual">
      <formula>0</formula>
    </cfRule>
    <cfRule type="cellIs" dxfId="1" priority="85" operator="lessThanOrEqual">
      <formula>0</formula>
    </cfRule>
    <cfRule type="cellIs" dxfId="1" priority="86" operator="lessThanOrEqual">
      <formula>0</formula>
    </cfRule>
    <cfRule type="cellIs" dxfId="1" priority="92" operator="lessThanOrEqual">
      <formula>0</formula>
    </cfRule>
    <cfRule type="cellIs" dxfId="1" priority="94" operator="lessThanOrEqual">
      <formula>0</formula>
    </cfRule>
    <cfRule type="cellIs" dxfId="1" priority="97" operator="lessThanOrEqual">
      <formula>0</formula>
    </cfRule>
    <cfRule type="cellIs" dxfId="1" priority="101" operator="lessThanOrEqual">
      <formula>0</formula>
    </cfRule>
    <cfRule type="cellIs" dxfId="1" priority="102" operator="lessThanOrEqual">
      <formula>0</formula>
    </cfRule>
    <cfRule type="cellIs" dxfId="1" priority="103" operator="lessThanOrEqual">
      <formula>0</formula>
    </cfRule>
    <cfRule type="cellIs" dxfId="1" priority="105" operator="lessThanOrEqual">
      <formula>0</formula>
    </cfRule>
    <cfRule type="cellIs" dxfId="1" priority="118" operator="lessThanOrEqual">
      <formula>0</formula>
    </cfRule>
    <cfRule type="cellIs" dxfId="1" priority="121" operator="lessThanOrEqual">
      <formula>0</formula>
    </cfRule>
    <cfRule type="cellIs" dxfId="1" priority="126" operator="lessThanOrEqual">
      <formula>0</formula>
    </cfRule>
    <cfRule type="cellIs" dxfId="1" priority="127" operator="lessThanOrEqual">
      <formula>0</formula>
    </cfRule>
    <cfRule type="cellIs" dxfId="1" priority="129" operator="lessThanOrEqual">
      <formula>0</formula>
    </cfRule>
    <cfRule type="cellIs" dxfId="1" priority="133" operator="lessThanOrEqual">
      <formula>0</formula>
    </cfRule>
    <cfRule type="cellIs" dxfId="1" priority="134" operator="lessThanOrEqual">
      <formula>0</formula>
    </cfRule>
    <cfRule type="cellIs" dxfId="1" priority="135" operator="lessThanOrEqual">
      <formula>0</formula>
    </cfRule>
    <cfRule type="cellIs" dxfId="1" priority="136" operator="lessThanOrEqual">
      <formula>0</formula>
    </cfRule>
    <cfRule type="cellIs" dxfId="1" priority="138" operator="lessThanOrEqual">
      <formula>0</formula>
    </cfRule>
    <cfRule type="cellIs" dxfId="1" priority="139" operator="lessThanOrEqual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D1" sqref="D$1:D$1048576"/>
    </sheetView>
  </sheetViews>
  <sheetFormatPr defaultColWidth="17" defaultRowHeight="11.4"/>
  <cols>
    <col min="1" max="72" width="16.59375" customWidth="1"/>
  </cols>
  <sheetData>
    <row r="1" ht="62.4" spans="1:72">
      <c r="A1" s="95" t="s">
        <v>197</v>
      </c>
      <c r="B1" s="96" t="s">
        <v>47</v>
      </c>
      <c r="C1" s="96" t="s">
        <v>45</v>
      </c>
      <c r="D1" s="95" t="s">
        <v>48</v>
      </c>
      <c r="E1" s="95" t="s">
        <v>264</v>
      </c>
      <c r="F1" s="97" t="s">
        <v>265</v>
      </c>
      <c r="G1" s="98" t="s">
        <v>266</v>
      </c>
      <c r="H1" s="99" t="s">
        <v>267</v>
      </c>
      <c r="I1" s="99" t="s">
        <v>268</v>
      </c>
      <c r="J1" s="106" t="s">
        <v>198</v>
      </c>
      <c r="K1" s="107" t="s">
        <v>199</v>
      </c>
      <c r="L1" s="108" t="s">
        <v>53</v>
      </c>
      <c r="M1" s="109" t="s">
        <v>33</v>
      </c>
      <c r="N1" s="110" t="s">
        <v>202</v>
      </c>
      <c r="O1" s="111" t="s">
        <v>54</v>
      </c>
      <c r="P1" s="112" t="s">
        <v>56</v>
      </c>
      <c r="Q1" s="117" t="s">
        <v>57</v>
      </c>
      <c r="R1" s="108" t="s">
        <v>269</v>
      </c>
      <c r="S1" s="118" t="s">
        <v>5</v>
      </c>
      <c r="T1" s="95" t="s">
        <v>23</v>
      </c>
      <c r="U1" s="119" t="s">
        <v>59</v>
      </c>
      <c r="V1" s="119" t="s">
        <v>60</v>
      </c>
      <c r="W1" s="119" t="s">
        <v>61</v>
      </c>
      <c r="X1" s="120" t="s">
        <v>62</v>
      </c>
      <c r="Y1" s="120" t="s">
        <v>41</v>
      </c>
      <c r="Z1" s="119" t="s">
        <v>63</v>
      </c>
      <c r="AA1" s="123" t="s">
        <v>64</v>
      </c>
      <c r="AB1" s="123" t="s">
        <v>65</v>
      </c>
      <c r="AC1" s="123" t="s">
        <v>66</v>
      </c>
      <c r="AD1" s="123" t="s">
        <v>67</v>
      </c>
      <c r="AE1" s="124" t="s">
        <v>68</v>
      </c>
      <c r="AF1" s="125" t="s">
        <v>69</v>
      </c>
      <c r="AG1" s="124" t="s">
        <v>270</v>
      </c>
      <c r="AH1" s="128" t="s">
        <v>71</v>
      </c>
      <c r="AI1" s="128" t="s">
        <v>40</v>
      </c>
      <c r="AJ1" s="129" t="s">
        <v>70</v>
      </c>
      <c r="AK1" s="130" t="s">
        <v>271</v>
      </c>
      <c r="AL1" s="130" t="s">
        <v>213</v>
      </c>
      <c r="AM1" s="130" t="s">
        <v>214</v>
      </c>
      <c r="AN1" s="130" t="s">
        <v>215</v>
      </c>
      <c r="AO1" s="130" t="s">
        <v>216</v>
      </c>
      <c r="AP1" s="130" t="s">
        <v>217</v>
      </c>
      <c r="AQ1" s="130" t="s">
        <v>218</v>
      </c>
      <c r="AR1" s="130" t="s">
        <v>219</v>
      </c>
      <c r="AS1" s="130" t="s">
        <v>220</v>
      </c>
      <c r="AT1" s="130" t="s">
        <v>221</v>
      </c>
      <c r="AU1" s="132" t="s">
        <v>222</v>
      </c>
      <c r="AV1" s="132" t="s">
        <v>223</v>
      </c>
      <c r="AW1" s="132" t="s">
        <v>224</v>
      </c>
      <c r="AX1" s="132" t="s">
        <v>213</v>
      </c>
      <c r="AY1" s="132" t="s">
        <v>214</v>
      </c>
      <c r="AZ1" s="132" t="s">
        <v>215</v>
      </c>
      <c r="BA1" s="133" t="s">
        <v>216</v>
      </c>
      <c r="BB1" s="133" t="s">
        <v>217</v>
      </c>
      <c r="BC1" s="133" t="s">
        <v>218</v>
      </c>
      <c r="BD1" s="133" t="s">
        <v>219</v>
      </c>
      <c r="BE1" s="133" t="s">
        <v>220</v>
      </c>
      <c r="BF1" s="133" t="s">
        <v>221</v>
      </c>
      <c r="BG1" s="134" t="s">
        <v>225</v>
      </c>
      <c r="BH1" s="134" t="s">
        <v>223</v>
      </c>
      <c r="BI1" s="134" t="s">
        <v>224</v>
      </c>
      <c r="BJ1" s="134" t="s">
        <v>213</v>
      </c>
      <c r="BK1" s="134" t="s">
        <v>214</v>
      </c>
      <c r="BL1" s="134" t="s">
        <v>215</v>
      </c>
      <c r="BM1" s="128" t="s">
        <v>216</v>
      </c>
      <c r="BN1" s="128" t="s">
        <v>217</v>
      </c>
      <c r="BO1" s="128" t="s">
        <v>218</v>
      </c>
      <c r="BP1" s="128" t="s">
        <v>219</v>
      </c>
      <c r="BQ1" s="128" t="s">
        <v>220</v>
      </c>
      <c r="BR1" s="128" t="s">
        <v>221</v>
      </c>
      <c r="BS1" s="135" t="s">
        <v>226</v>
      </c>
      <c r="BT1" s="100" t="s">
        <v>46</v>
      </c>
    </row>
    <row r="2" ht="15.6" spans="1:72">
      <c r="A2" s="100" t="s">
        <v>127</v>
      </c>
      <c r="B2" s="100" t="s">
        <v>227</v>
      </c>
      <c r="C2" s="100"/>
      <c r="D2" s="101" t="s">
        <v>272</v>
      </c>
      <c r="E2" s="102"/>
      <c r="F2" s="103">
        <v>17.29</v>
      </c>
      <c r="G2" s="103">
        <v>24.92</v>
      </c>
      <c r="H2" s="104" t="e">
        <f t="shared" ref="H2:H10" si="0">INDEX(#NULL!,MATCH(1,(#NULL!=A2)*(#NULL!=C2),0))</f>
        <v>#NULL!</v>
      </c>
      <c r="I2" s="104" t="e">
        <f t="shared" ref="I2:I10" si="1">H2=J2</f>
        <v>#NULL!</v>
      </c>
      <c r="J2" s="113">
        <v>17.3</v>
      </c>
      <c r="K2" s="103">
        <v>24.99</v>
      </c>
      <c r="L2" s="114">
        <f t="shared" ref="L2:L10" si="2">J2-Q2/T2-AD2-AA2-R2-AB2-AC2</f>
        <v>3.53749673347215</v>
      </c>
      <c r="M2" s="115">
        <f t="shared" ref="M2:M10" si="3">L2/J2</f>
        <v>0.204479579969488</v>
      </c>
      <c r="N2" s="104">
        <f t="shared" ref="N2:N10" si="4">K2/1.2</f>
        <v>20.825</v>
      </c>
      <c r="O2" s="116">
        <f t="shared" ref="O2:O10" si="5">(N2-J2)/N2</f>
        <v>0.169267707082833</v>
      </c>
      <c r="P2" s="114">
        <f t="shared" ref="P2:P10" si="6">K2/1.2-J2</f>
        <v>3.525</v>
      </c>
      <c r="Q2" s="104">
        <f t="shared" ref="Q2:Q10" si="7">AF2+AG2</f>
        <v>65.4646902654867</v>
      </c>
      <c r="R2" s="104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100">
        <v>16</v>
      </c>
      <c r="T2" s="121">
        <v>8.5</v>
      </c>
      <c r="U2" s="122">
        <v>0.05</v>
      </c>
      <c r="V2" s="122">
        <v>0.1</v>
      </c>
      <c r="W2" s="122">
        <v>0.01</v>
      </c>
      <c r="X2" s="122">
        <f t="shared" ref="X2:X10" si="9">Q2/(J2*T2)</f>
        <v>0.44518660500161</v>
      </c>
      <c r="Y2" s="122">
        <f t="shared" ref="Y2:Y10" si="10">R2/J2</f>
        <v>0.0323338150289017</v>
      </c>
      <c r="Z2" s="116">
        <v>0.158</v>
      </c>
      <c r="AA2" s="126">
        <f t="shared" ref="AA2:AA10" si="11">J2*U2</f>
        <v>0.865</v>
      </c>
      <c r="AB2" s="126">
        <f t="shared" ref="AB2:AB10" si="12">J2*V2</f>
        <v>1.73</v>
      </c>
      <c r="AC2" s="126">
        <f t="shared" ref="AC2:AC10" si="13">J2*W2</f>
        <v>0.173</v>
      </c>
      <c r="AD2" s="104">
        <f t="shared" ref="AD2:AD10" si="14">J2*Z2</f>
        <v>2.7334</v>
      </c>
      <c r="AE2" s="104">
        <f>61+2.5</f>
        <v>63.5</v>
      </c>
      <c r="AF2" s="127">
        <f t="shared" ref="AF2:AF10" si="15">AE2/1.13</f>
        <v>56.1946902654867</v>
      </c>
      <c r="AG2" s="121">
        <v>9.27</v>
      </c>
      <c r="AH2" s="122">
        <f t="shared" ref="AH2:AH10" si="16">AF2/(J2*T2)</f>
        <v>0.382146822614667</v>
      </c>
      <c r="AI2" s="122">
        <f t="shared" ref="AI2:AI10" si="17">AG2/T2/J2</f>
        <v>0.0630397823869432</v>
      </c>
      <c r="AJ2" s="121">
        <v>9.27</v>
      </c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31" t="s">
        <v>229</v>
      </c>
      <c r="AV2" s="131" t="s">
        <v>229</v>
      </c>
      <c r="AW2" s="131" t="s">
        <v>229</v>
      </c>
      <c r="AX2" s="131" t="s">
        <v>229</v>
      </c>
      <c r="AY2" s="131" t="s">
        <v>229</v>
      </c>
      <c r="AZ2" s="131" t="s">
        <v>229</v>
      </c>
      <c r="BA2" s="131" t="s">
        <v>229</v>
      </c>
      <c r="BB2" s="131" t="s">
        <v>229</v>
      </c>
      <c r="BC2" s="131" t="s">
        <v>229</v>
      </c>
      <c r="BD2" s="131" t="s">
        <v>229</v>
      </c>
      <c r="BE2" s="131" t="s">
        <v>229</v>
      </c>
      <c r="BF2" s="131" t="s">
        <v>229</v>
      </c>
      <c r="BG2" s="131" t="s">
        <v>229</v>
      </c>
      <c r="BH2" s="131" t="s">
        <v>229</v>
      </c>
      <c r="BI2" s="131" t="s">
        <v>229</v>
      </c>
      <c r="BJ2" s="131" t="s">
        <v>229</v>
      </c>
      <c r="BK2" s="131" t="s">
        <v>229</v>
      </c>
      <c r="BL2" s="131" t="s">
        <v>229</v>
      </c>
      <c r="BM2" s="131" t="s">
        <v>229</v>
      </c>
      <c r="BN2" s="131" t="s">
        <v>229</v>
      </c>
      <c r="BO2" s="131" t="s">
        <v>229</v>
      </c>
      <c r="BP2" s="131" t="s">
        <v>229</v>
      </c>
      <c r="BQ2" s="131" t="s">
        <v>229</v>
      </c>
      <c r="BR2" s="131" t="s">
        <v>229</v>
      </c>
      <c r="BS2" s="136"/>
      <c r="BT2" s="137" t="s">
        <v>230</v>
      </c>
    </row>
    <row r="3" ht="15.6" spans="1:72">
      <c r="A3" s="100" t="s">
        <v>107</v>
      </c>
      <c r="B3" s="100" t="s">
        <v>232</v>
      </c>
      <c r="C3" s="100"/>
      <c r="D3" s="101" t="s">
        <v>273</v>
      </c>
      <c r="E3" s="102"/>
      <c r="F3" s="103">
        <v>20.33</v>
      </c>
      <c r="G3" s="103">
        <v>29.99</v>
      </c>
      <c r="H3" s="104" t="e">
        <f t="shared" si="0"/>
        <v>#NULL!</v>
      </c>
      <c r="I3" s="104" t="e">
        <f t="shared" si="1"/>
        <v>#NULL!</v>
      </c>
      <c r="J3" s="103">
        <v>20.33</v>
      </c>
      <c r="K3" s="103">
        <v>29.99</v>
      </c>
      <c r="L3" s="114">
        <f t="shared" si="2"/>
        <v>4.43279528581679</v>
      </c>
      <c r="M3" s="115">
        <f t="shared" si="3"/>
        <v>0.218042070133634</v>
      </c>
      <c r="N3" s="104">
        <f t="shared" si="4"/>
        <v>24.9916666666667</v>
      </c>
      <c r="O3" s="116">
        <f t="shared" si="5"/>
        <v>0.186528842947649</v>
      </c>
      <c r="P3" s="114">
        <f t="shared" si="6"/>
        <v>4.66166666666667</v>
      </c>
      <c r="Q3" s="104">
        <f t="shared" si="7"/>
        <v>62.7823008849558</v>
      </c>
      <c r="R3" s="104">
        <f t="shared" si="8"/>
        <v>0.714375</v>
      </c>
      <c r="S3" s="100">
        <v>16</v>
      </c>
      <c r="T3" s="121">
        <v>7.4</v>
      </c>
      <c r="U3" s="122">
        <v>0.05</v>
      </c>
      <c r="V3" s="122">
        <v>0.1</v>
      </c>
      <c r="W3" s="122">
        <v>0.01</v>
      </c>
      <c r="X3" s="122">
        <f t="shared" si="9"/>
        <v>0.417318972660266</v>
      </c>
      <c r="Y3" s="122">
        <f t="shared" si="10"/>
        <v>0.0351389572060994</v>
      </c>
      <c r="Z3" s="116">
        <v>0.1695</v>
      </c>
      <c r="AA3" s="126">
        <f t="shared" si="11"/>
        <v>1.0165</v>
      </c>
      <c r="AB3" s="126">
        <f t="shared" si="12"/>
        <v>2.033</v>
      </c>
      <c r="AC3" s="126">
        <f t="shared" si="13"/>
        <v>0.2033</v>
      </c>
      <c r="AD3" s="104">
        <f t="shared" si="14"/>
        <v>3.445935</v>
      </c>
      <c r="AE3" s="104">
        <v>61</v>
      </c>
      <c r="AF3" s="127">
        <f t="shared" si="15"/>
        <v>53.9823008849558</v>
      </c>
      <c r="AG3" s="127">
        <v>8.8</v>
      </c>
      <c r="AH3" s="122">
        <f t="shared" si="16"/>
        <v>0.358824669207773</v>
      </c>
      <c r="AI3" s="122">
        <f t="shared" si="17"/>
        <v>0.0584943034524933</v>
      </c>
      <c r="AJ3" s="127">
        <v>8.8</v>
      </c>
      <c r="AK3" s="122"/>
      <c r="AL3" s="122"/>
      <c r="AM3" s="122"/>
      <c r="AN3" s="122"/>
      <c r="AO3" s="131"/>
      <c r="AP3" s="131"/>
      <c r="AQ3" s="131"/>
      <c r="AR3" s="131"/>
      <c r="AS3" s="131"/>
      <c r="AT3" s="131"/>
      <c r="AU3" s="131" t="s">
        <v>229</v>
      </c>
      <c r="AV3" s="131" t="s">
        <v>229</v>
      </c>
      <c r="AW3" s="131" t="s">
        <v>229</v>
      </c>
      <c r="AX3" s="131" t="s">
        <v>229</v>
      </c>
      <c r="AY3" s="131" t="s">
        <v>229</v>
      </c>
      <c r="AZ3" s="131" t="s">
        <v>229</v>
      </c>
      <c r="BA3" s="131" t="s">
        <v>229</v>
      </c>
      <c r="BB3" s="131" t="s">
        <v>229</v>
      </c>
      <c r="BC3" s="131" t="s">
        <v>229</v>
      </c>
      <c r="BD3" s="131" t="s">
        <v>229</v>
      </c>
      <c r="BE3" s="131" t="s">
        <v>229</v>
      </c>
      <c r="BF3" s="131" t="s">
        <v>229</v>
      </c>
      <c r="BG3" s="131" t="s">
        <v>229</v>
      </c>
      <c r="BH3" s="131" t="s">
        <v>229</v>
      </c>
      <c r="BI3" s="131" t="s">
        <v>229</v>
      </c>
      <c r="BJ3" s="131" t="s">
        <v>229</v>
      </c>
      <c r="BK3" s="131" t="s">
        <v>229</v>
      </c>
      <c r="BL3" s="131" t="s">
        <v>229</v>
      </c>
      <c r="BM3" s="131" t="s">
        <v>229</v>
      </c>
      <c r="BN3" s="131" t="s">
        <v>229</v>
      </c>
      <c r="BO3" s="131" t="s">
        <v>229</v>
      </c>
      <c r="BP3" s="131" t="s">
        <v>229</v>
      </c>
      <c r="BQ3" s="131" t="s">
        <v>229</v>
      </c>
      <c r="BR3" s="131" t="s">
        <v>229</v>
      </c>
      <c r="BS3" s="136"/>
      <c r="BT3" s="137" t="s">
        <v>230</v>
      </c>
    </row>
    <row r="4" ht="15.6" spans="1:72">
      <c r="A4" s="100" t="s">
        <v>119</v>
      </c>
      <c r="B4" s="100" t="s">
        <v>232</v>
      </c>
      <c r="C4" s="100"/>
      <c r="D4" s="101" t="s">
        <v>274</v>
      </c>
      <c r="E4" s="102"/>
      <c r="F4" s="103">
        <v>20.65</v>
      </c>
      <c r="G4" s="103">
        <v>29.99</v>
      </c>
      <c r="H4" s="104" t="e">
        <f t="shared" si="0"/>
        <v>#NULL!</v>
      </c>
      <c r="I4" s="104" t="e">
        <f t="shared" si="1"/>
        <v>#NULL!</v>
      </c>
      <c r="J4" s="103">
        <v>20.65</v>
      </c>
      <c r="K4" s="103">
        <v>29.99</v>
      </c>
      <c r="L4" s="114">
        <f t="shared" si="2"/>
        <v>3.81883028581679</v>
      </c>
      <c r="M4" s="115">
        <f t="shared" si="3"/>
        <v>0.184931248707835</v>
      </c>
      <c r="N4" s="104">
        <f t="shared" si="4"/>
        <v>24.9916666666667</v>
      </c>
      <c r="O4" s="116">
        <f t="shared" si="5"/>
        <v>0.173724574858286</v>
      </c>
      <c r="P4" s="114">
        <f t="shared" si="6"/>
        <v>4.34166666666667</v>
      </c>
      <c r="Q4" s="104">
        <f t="shared" si="7"/>
        <v>62.7823008849558</v>
      </c>
      <c r="R4" s="104">
        <f t="shared" si="8"/>
        <v>0.954375</v>
      </c>
      <c r="S4" s="100">
        <v>16</v>
      </c>
      <c r="T4" s="121">
        <v>7.4</v>
      </c>
      <c r="U4" s="122">
        <v>0.05</v>
      </c>
      <c r="V4" s="122">
        <v>0.1</v>
      </c>
      <c r="W4" s="122">
        <v>0.01</v>
      </c>
      <c r="X4" s="122">
        <f t="shared" si="9"/>
        <v>0.410852044270373</v>
      </c>
      <c r="Y4" s="122">
        <f t="shared" si="10"/>
        <v>0.0462167070217918</v>
      </c>
      <c r="Z4" s="116">
        <v>0.198</v>
      </c>
      <c r="AA4" s="126">
        <f t="shared" si="11"/>
        <v>1.0325</v>
      </c>
      <c r="AB4" s="126">
        <f t="shared" si="12"/>
        <v>2.065</v>
      </c>
      <c r="AC4" s="126">
        <f t="shared" si="13"/>
        <v>0.2065</v>
      </c>
      <c r="AD4" s="104">
        <f t="shared" si="14"/>
        <v>4.0887</v>
      </c>
      <c r="AE4" s="104">
        <v>61</v>
      </c>
      <c r="AF4" s="127">
        <f t="shared" si="15"/>
        <v>53.9823008849558</v>
      </c>
      <c r="AG4" s="127">
        <v>8.8</v>
      </c>
      <c r="AH4" s="122">
        <f t="shared" si="16"/>
        <v>0.35326419007235</v>
      </c>
      <c r="AI4" s="122">
        <f t="shared" si="17"/>
        <v>0.0575878541980237</v>
      </c>
      <c r="AJ4" s="127">
        <v>8.8</v>
      </c>
      <c r="AK4" s="122"/>
      <c r="AL4" s="122"/>
      <c r="AM4" s="122"/>
      <c r="AN4" s="122"/>
      <c r="AO4" s="131"/>
      <c r="AP4" s="131"/>
      <c r="AQ4" s="131"/>
      <c r="AR4" s="131"/>
      <c r="AS4" s="131"/>
      <c r="AT4" s="131"/>
      <c r="AU4" s="131" t="s">
        <v>229</v>
      </c>
      <c r="AV4" s="131" t="s">
        <v>229</v>
      </c>
      <c r="AW4" s="131" t="s">
        <v>229</v>
      </c>
      <c r="AX4" s="131" t="s">
        <v>229</v>
      </c>
      <c r="AY4" s="131" t="s">
        <v>229</v>
      </c>
      <c r="AZ4" s="131" t="s">
        <v>229</v>
      </c>
      <c r="BA4" s="131" t="s">
        <v>229</v>
      </c>
      <c r="BB4" s="131" t="s">
        <v>229</v>
      </c>
      <c r="BC4" s="131" t="s">
        <v>229</v>
      </c>
      <c r="BD4" s="131" t="s">
        <v>229</v>
      </c>
      <c r="BE4" s="131" t="s">
        <v>229</v>
      </c>
      <c r="BF4" s="131" t="s">
        <v>229</v>
      </c>
      <c r="BG4" s="131" t="s">
        <v>229</v>
      </c>
      <c r="BH4" s="131" t="s">
        <v>229</v>
      </c>
      <c r="BI4" s="131" t="s">
        <v>229</v>
      </c>
      <c r="BJ4" s="131" t="s">
        <v>229</v>
      </c>
      <c r="BK4" s="131" t="s">
        <v>229</v>
      </c>
      <c r="BL4" s="131" t="s">
        <v>229</v>
      </c>
      <c r="BM4" s="131" t="s">
        <v>229</v>
      </c>
      <c r="BN4" s="131" t="s">
        <v>229</v>
      </c>
      <c r="BO4" s="131" t="s">
        <v>229</v>
      </c>
      <c r="BP4" s="131" t="s">
        <v>229</v>
      </c>
      <c r="BQ4" s="131" t="s">
        <v>229</v>
      </c>
      <c r="BR4" s="131" t="s">
        <v>229</v>
      </c>
      <c r="BS4" s="136"/>
      <c r="BT4" s="137" t="s">
        <v>230</v>
      </c>
    </row>
    <row r="5" ht="15.6" spans="1:72">
      <c r="A5" s="100" t="s">
        <v>121</v>
      </c>
      <c r="B5" s="100" t="s">
        <v>232</v>
      </c>
      <c r="C5" s="100"/>
      <c r="D5" s="101" t="s">
        <v>275</v>
      </c>
      <c r="E5" s="102"/>
      <c r="F5" s="103">
        <v>20.99</v>
      </c>
      <c r="G5" s="103">
        <v>29.99</v>
      </c>
      <c r="H5" s="104" t="e">
        <f t="shared" si="0"/>
        <v>#NULL!</v>
      </c>
      <c r="I5" s="104" t="e">
        <f t="shared" si="1"/>
        <v>#NULL!</v>
      </c>
      <c r="J5" s="103">
        <v>20.99</v>
      </c>
      <c r="K5" s="103">
        <v>29.99</v>
      </c>
      <c r="L5" s="114">
        <f t="shared" si="2"/>
        <v>4.25150128581679</v>
      </c>
      <c r="M5" s="115">
        <f t="shared" si="3"/>
        <v>0.202548894036055</v>
      </c>
      <c r="N5" s="104">
        <f t="shared" si="4"/>
        <v>24.9916666666667</v>
      </c>
      <c r="O5" s="116">
        <f t="shared" si="5"/>
        <v>0.160120040013338</v>
      </c>
      <c r="P5" s="114">
        <f t="shared" si="6"/>
        <v>4.00166666666667</v>
      </c>
      <c r="Q5" s="104">
        <f t="shared" si="7"/>
        <v>62.7823008849558</v>
      </c>
      <c r="R5" s="104">
        <f t="shared" si="8"/>
        <v>1.02125</v>
      </c>
      <c r="S5" s="100">
        <v>16</v>
      </c>
      <c r="T5" s="121">
        <v>7.4</v>
      </c>
      <c r="U5" s="122">
        <v>0.05</v>
      </c>
      <c r="V5" s="122">
        <v>0.1</v>
      </c>
      <c r="W5" s="122">
        <v>0.01</v>
      </c>
      <c r="X5" s="122">
        <f t="shared" si="9"/>
        <v>0.404196984953941</v>
      </c>
      <c r="Y5" s="122">
        <f t="shared" si="10"/>
        <v>0.0486541210100048</v>
      </c>
      <c r="Z5" s="116">
        <v>0.1846</v>
      </c>
      <c r="AA5" s="126">
        <f t="shared" si="11"/>
        <v>1.0495</v>
      </c>
      <c r="AB5" s="126">
        <f t="shared" si="12"/>
        <v>2.099</v>
      </c>
      <c r="AC5" s="126">
        <f t="shared" si="13"/>
        <v>0.2099</v>
      </c>
      <c r="AD5" s="104">
        <f t="shared" si="14"/>
        <v>3.874754</v>
      </c>
      <c r="AE5" s="104">
        <v>61</v>
      </c>
      <c r="AF5" s="127">
        <f t="shared" si="15"/>
        <v>53.9823008849558</v>
      </c>
      <c r="AG5" s="127">
        <v>8.8</v>
      </c>
      <c r="AH5" s="122">
        <f t="shared" si="16"/>
        <v>0.347541949737686</v>
      </c>
      <c r="AI5" s="122">
        <f t="shared" si="17"/>
        <v>0.0566550352162549</v>
      </c>
      <c r="AJ5" s="127">
        <v>8.8</v>
      </c>
      <c r="AK5" s="115"/>
      <c r="AL5" s="115"/>
      <c r="AM5" s="115"/>
      <c r="AN5" s="115"/>
      <c r="AO5" s="131"/>
      <c r="AP5" s="131"/>
      <c r="AQ5" s="131"/>
      <c r="AR5" s="131"/>
      <c r="AS5" s="131"/>
      <c r="AT5" s="131"/>
      <c r="AU5" s="131" t="s">
        <v>229</v>
      </c>
      <c r="AV5" s="131" t="s">
        <v>229</v>
      </c>
      <c r="AW5" s="131" t="s">
        <v>229</v>
      </c>
      <c r="AX5" s="131" t="s">
        <v>229</v>
      </c>
      <c r="AY5" s="131" t="s">
        <v>229</v>
      </c>
      <c r="AZ5" s="131" t="s">
        <v>229</v>
      </c>
      <c r="BA5" s="131" t="s">
        <v>229</v>
      </c>
      <c r="BB5" s="131" t="s">
        <v>229</v>
      </c>
      <c r="BC5" s="131" t="s">
        <v>229</v>
      </c>
      <c r="BD5" s="131" t="s">
        <v>229</v>
      </c>
      <c r="BE5" s="131" t="s">
        <v>229</v>
      </c>
      <c r="BF5" s="131" t="s">
        <v>229</v>
      </c>
      <c r="BG5" s="131" t="s">
        <v>229</v>
      </c>
      <c r="BH5" s="131" t="s">
        <v>229</v>
      </c>
      <c r="BI5" s="131" t="s">
        <v>229</v>
      </c>
      <c r="BJ5" s="131" t="s">
        <v>229</v>
      </c>
      <c r="BK5" s="131" t="s">
        <v>229</v>
      </c>
      <c r="BL5" s="131" t="s">
        <v>229</v>
      </c>
      <c r="BM5" s="131" t="s">
        <v>229</v>
      </c>
      <c r="BN5" s="131" t="s">
        <v>229</v>
      </c>
      <c r="BO5" s="131" t="s">
        <v>229</v>
      </c>
      <c r="BP5" s="131" t="s">
        <v>229</v>
      </c>
      <c r="BQ5" s="131" t="s">
        <v>229</v>
      </c>
      <c r="BR5" s="131" t="s">
        <v>229</v>
      </c>
      <c r="BS5" s="136"/>
      <c r="BT5" s="137" t="s">
        <v>230</v>
      </c>
    </row>
    <row r="6" ht="15.6" spans="1:72">
      <c r="A6" s="100" t="s">
        <v>124</v>
      </c>
      <c r="B6" s="100" t="s">
        <v>232</v>
      </c>
      <c r="C6" s="100"/>
      <c r="D6" s="101" t="s">
        <v>276</v>
      </c>
      <c r="E6" s="102"/>
      <c r="F6" s="103">
        <v>20.99</v>
      </c>
      <c r="G6" s="103">
        <v>29.99</v>
      </c>
      <c r="H6" s="104" t="e">
        <f t="shared" si="0"/>
        <v>#NULL!</v>
      </c>
      <c r="I6" s="104" t="e">
        <f t="shared" si="1"/>
        <v>#NULL!</v>
      </c>
      <c r="J6" s="103">
        <v>20.99</v>
      </c>
      <c r="K6" s="103">
        <v>29.99</v>
      </c>
      <c r="L6" s="114">
        <f t="shared" si="2"/>
        <v>4.40380128581679</v>
      </c>
      <c r="M6" s="115">
        <f t="shared" si="3"/>
        <v>0.209804730148489</v>
      </c>
      <c r="N6" s="104">
        <f t="shared" si="4"/>
        <v>24.9916666666667</v>
      </c>
      <c r="O6" s="116">
        <f t="shared" si="5"/>
        <v>0.160120040013338</v>
      </c>
      <c r="P6" s="114">
        <f t="shared" si="6"/>
        <v>4.00166666666667</v>
      </c>
      <c r="Q6" s="104">
        <f t="shared" si="7"/>
        <v>62.7823008849558</v>
      </c>
      <c r="R6" s="104">
        <f t="shared" si="8"/>
        <v>1.28875</v>
      </c>
      <c r="S6" s="100">
        <v>16</v>
      </c>
      <c r="T6" s="121">
        <v>7.4</v>
      </c>
      <c r="U6" s="122">
        <v>0.05</v>
      </c>
      <c r="V6" s="122">
        <v>0.1</v>
      </c>
      <c r="W6" s="122">
        <v>0.01</v>
      </c>
      <c r="X6" s="122">
        <f t="shared" si="9"/>
        <v>0.404196984953941</v>
      </c>
      <c r="Y6" s="122">
        <f t="shared" si="10"/>
        <v>0.0613982848975703</v>
      </c>
      <c r="Z6" s="116">
        <v>0.1646</v>
      </c>
      <c r="AA6" s="126">
        <f t="shared" si="11"/>
        <v>1.0495</v>
      </c>
      <c r="AB6" s="126">
        <f t="shared" si="12"/>
        <v>2.099</v>
      </c>
      <c r="AC6" s="126">
        <f t="shared" si="13"/>
        <v>0.2099</v>
      </c>
      <c r="AD6" s="104">
        <f t="shared" si="14"/>
        <v>3.454954</v>
      </c>
      <c r="AE6" s="104">
        <v>61</v>
      </c>
      <c r="AF6" s="127">
        <f t="shared" si="15"/>
        <v>53.9823008849558</v>
      </c>
      <c r="AG6" s="127">
        <v>8.8</v>
      </c>
      <c r="AH6" s="122">
        <f t="shared" si="16"/>
        <v>0.347541949737686</v>
      </c>
      <c r="AI6" s="122">
        <f t="shared" si="17"/>
        <v>0.0566550352162549</v>
      </c>
      <c r="AJ6" s="127">
        <v>8.8</v>
      </c>
      <c r="AK6" s="122"/>
      <c r="AL6" s="122"/>
      <c r="AM6" s="122"/>
      <c r="AN6" s="122"/>
      <c r="AO6" s="131"/>
      <c r="AP6" s="131"/>
      <c r="AQ6" s="131"/>
      <c r="AR6" s="131"/>
      <c r="AS6" s="131"/>
      <c r="AT6" s="131"/>
      <c r="AU6" s="131" t="s">
        <v>229</v>
      </c>
      <c r="AV6" s="131" t="s">
        <v>229</v>
      </c>
      <c r="AW6" s="131" t="s">
        <v>229</v>
      </c>
      <c r="AX6" s="131" t="s">
        <v>229</v>
      </c>
      <c r="AY6" s="131" t="s">
        <v>229</v>
      </c>
      <c r="AZ6" s="131" t="s">
        <v>229</v>
      </c>
      <c r="BA6" s="131" t="s">
        <v>229</v>
      </c>
      <c r="BB6" s="131" t="s">
        <v>229</v>
      </c>
      <c r="BC6" s="131" t="s">
        <v>229</v>
      </c>
      <c r="BD6" s="131" t="s">
        <v>229</v>
      </c>
      <c r="BE6" s="131" t="s">
        <v>229</v>
      </c>
      <c r="BF6" s="131" t="s">
        <v>229</v>
      </c>
      <c r="BG6" s="131" t="s">
        <v>229</v>
      </c>
      <c r="BH6" s="131" t="s">
        <v>229</v>
      </c>
      <c r="BI6" s="131" t="s">
        <v>229</v>
      </c>
      <c r="BJ6" s="131" t="s">
        <v>229</v>
      </c>
      <c r="BK6" s="131" t="s">
        <v>229</v>
      </c>
      <c r="BL6" s="131" t="s">
        <v>229</v>
      </c>
      <c r="BM6" s="131" t="s">
        <v>229</v>
      </c>
      <c r="BN6" s="131" t="s">
        <v>229</v>
      </c>
      <c r="BO6" s="131" t="s">
        <v>229</v>
      </c>
      <c r="BP6" s="131" t="s">
        <v>229</v>
      </c>
      <c r="BQ6" s="131" t="s">
        <v>229</v>
      </c>
      <c r="BR6" s="131" t="s">
        <v>229</v>
      </c>
      <c r="BS6" s="136"/>
      <c r="BT6" s="137" t="s">
        <v>230</v>
      </c>
    </row>
    <row r="7" ht="15.6" spans="1:72">
      <c r="A7" s="100" t="s">
        <v>234</v>
      </c>
      <c r="B7" s="100" t="s">
        <v>232</v>
      </c>
      <c r="C7" s="100"/>
      <c r="D7" s="101" t="s">
        <v>277</v>
      </c>
      <c r="E7" s="102"/>
      <c r="F7" s="104">
        <v>48</v>
      </c>
      <c r="G7" s="105">
        <v>66.99</v>
      </c>
      <c r="H7" s="104" t="e">
        <f t="shared" si="0"/>
        <v>#NULL!</v>
      </c>
      <c r="I7" s="104" t="e">
        <f t="shared" si="1"/>
        <v>#NULL!</v>
      </c>
      <c r="J7" s="104">
        <v>22</v>
      </c>
      <c r="K7" s="105">
        <v>35</v>
      </c>
      <c r="L7" s="114">
        <f t="shared" si="2"/>
        <v>5.76990528581679</v>
      </c>
      <c r="M7" s="115">
        <f t="shared" si="3"/>
        <v>0.262268422082581</v>
      </c>
      <c r="N7" s="104">
        <f t="shared" si="4"/>
        <v>29.1666666666667</v>
      </c>
      <c r="O7" s="116">
        <f t="shared" si="5"/>
        <v>0.245714285714286</v>
      </c>
      <c r="P7" s="114">
        <f t="shared" si="6"/>
        <v>7.16666666666667</v>
      </c>
      <c r="Q7" s="104">
        <f t="shared" si="7"/>
        <v>62.7823008849558</v>
      </c>
      <c r="R7" s="104">
        <f t="shared" si="8"/>
        <v>0.75</v>
      </c>
      <c r="S7" s="100">
        <v>16</v>
      </c>
      <c r="T7" s="121">
        <v>7.4</v>
      </c>
      <c r="U7" s="122">
        <v>0.05</v>
      </c>
      <c r="V7" s="122">
        <v>0.1</v>
      </c>
      <c r="W7" s="122">
        <v>0.01</v>
      </c>
      <c r="X7" s="122">
        <f t="shared" si="9"/>
        <v>0.38564066882651</v>
      </c>
      <c r="Y7" s="122">
        <f t="shared" si="10"/>
        <v>0.0340909090909091</v>
      </c>
      <c r="Z7" s="116">
        <v>0.158</v>
      </c>
      <c r="AA7" s="126">
        <f t="shared" si="11"/>
        <v>1.1</v>
      </c>
      <c r="AB7" s="126">
        <f t="shared" si="12"/>
        <v>2.2</v>
      </c>
      <c r="AC7" s="126">
        <f t="shared" si="13"/>
        <v>0.22</v>
      </c>
      <c r="AD7" s="104">
        <f t="shared" si="14"/>
        <v>3.476</v>
      </c>
      <c r="AE7" s="104">
        <v>61</v>
      </c>
      <c r="AF7" s="127">
        <f t="shared" si="15"/>
        <v>53.9823008849558</v>
      </c>
      <c r="AG7" s="127">
        <v>8.8</v>
      </c>
      <c r="AH7" s="122">
        <f t="shared" si="16"/>
        <v>0.331586614772455</v>
      </c>
      <c r="AI7" s="122">
        <f t="shared" si="17"/>
        <v>0.0540540540540541</v>
      </c>
      <c r="AJ7" s="127">
        <v>8.8</v>
      </c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 t="s">
        <v>229</v>
      </c>
      <c r="AV7" s="131" t="s">
        <v>229</v>
      </c>
      <c r="AW7" s="131" t="s">
        <v>229</v>
      </c>
      <c r="AX7" s="131" t="s">
        <v>229</v>
      </c>
      <c r="AY7" s="131" t="s">
        <v>229</v>
      </c>
      <c r="AZ7" s="131" t="s">
        <v>229</v>
      </c>
      <c r="BA7" s="131" t="s">
        <v>229</v>
      </c>
      <c r="BB7" s="131" t="s">
        <v>229</v>
      </c>
      <c r="BC7" s="131" t="s">
        <v>229</v>
      </c>
      <c r="BD7" s="131" t="s">
        <v>229</v>
      </c>
      <c r="BE7" s="131" t="s">
        <v>229</v>
      </c>
      <c r="BF7" s="131" t="s">
        <v>229</v>
      </c>
      <c r="BG7" s="131" t="s">
        <v>229</v>
      </c>
      <c r="BH7" s="131" t="s">
        <v>229</v>
      </c>
      <c r="BI7" s="131" t="s">
        <v>229</v>
      </c>
      <c r="BJ7" s="131" t="s">
        <v>229</v>
      </c>
      <c r="BK7" s="131" t="s">
        <v>229</v>
      </c>
      <c r="BL7" s="131" t="s">
        <v>229</v>
      </c>
      <c r="BM7" s="131" t="s">
        <v>229</v>
      </c>
      <c r="BN7" s="131" t="s">
        <v>229</v>
      </c>
      <c r="BO7" s="131" t="s">
        <v>229</v>
      </c>
      <c r="BP7" s="131" t="s">
        <v>229</v>
      </c>
      <c r="BQ7" s="131" t="s">
        <v>229</v>
      </c>
      <c r="BR7" s="131" t="s">
        <v>229</v>
      </c>
      <c r="BS7" s="138" t="e">
        <f>IF(H7&lt;J7,1,0)</f>
        <v>#NULL!</v>
      </c>
      <c r="BT7" s="137" t="s">
        <v>230</v>
      </c>
    </row>
    <row r="8" ht="15.6" spans="1:72">
      <c r="A8" s="100" t="s">
        <v>236</v>
      </c>
      <c r="B8" s="100" t="s">
        <v>232</v>
      </c>
      <c r="C8" s="100"/>
      <c r="D8" s="101" t="s">
        <v>278</v>
      </c>
      <c r="E8" s="102"/>
      <c r="F8" s="104">
        <v>209.99</v>
      </c>
      <c r="G8" s="105">
        <v>329</v>
      </c>
      <c r="H8" s="104" t="e">
        <f t="shared" si="0"/>
        <v>#NULL!</v>
      </c>
      <c r="I8" s="104" t="e">
        <f t="shared" si="1"/>
        <v>#NULL!</v>
      </c>
      <c r="J8" s="104">
        <v>99</v>
      </c>
      <c r="K8" s="105">
        <v>168</v>
      </c>
      <c r="L8" s="114">
        <f t="shared" si="2"/>
        <v>27.3378119469027</v>
      </c>
      <c r="M8" s="115">
        <f t="shared" si="3"/>
        <v>0.276139514615178</v>
      </c>
      <c r="N8" s="104">
        <f t="shared" si="4"/>
        <v>140</v>
      </c>
      <c r="O8" s="116">
        <f t="shared" si="5"/>
        <v>0.292857142857143</v>
      </c>
      <c r="P8" s="114">
        <f t="shared" si="6"/>
        <v>41</v>
      </c>
      <c r="Q8" s="104">
        <f t="shared" si="7"/>
        <v>62.7823008849558</v>
      </c>
      <c r="R8" s="104">
        <f t="shared" si="8"/>
        <v>0.94125</v>
      </c>
      <c r="S8" s="100">
        <v>16</v>
      </c>
      <c r="T8" s="121">
        <v>1.6</v>
      </c>
      <c r="U8" s="122">
        <v>0.05</v>
      </c>
      <c r="V8" s="122">
        <v>0.1</v>
      </c>
      <c r="W8" s="122">
        <v>0.01</v>
      </c>
      <c r="X8" s="122">
        <f t="shared" si="9"/>
        <v>0.396352909627246</v>
      </c>
      <c r="Y8" s="122">
        <f t="shared" si="10"/>
        <v>0.00950757575757576</v>
      </c>
      <c r="Z8" s="116">
        <v>0.158</v>
      </c>
      <c r="AA8" s="126">
        <f t="shared" si="11"/>
        <v>4.95</v>
      </c>
      <c r="AB8" s="126">
        <f t="shared" si="12"/>
        <v>9.9</v>
      </c>
      <c r="AC8" s="126">
        <f t="shared" si="13"/>
        <v>0.99</v>
      </c>
      <c r="AD8" s="104">
        <f t="shared" si="14"/>
        <v>15.642</v>
      </c>
      <c r="AE8" s="104">
        <v>61</v>
      </c>
      <c r="AF8" s="127">
        <f t="shared" si="15"/>
        <v>53.9823008849558</v>
      </c>
      <c r="AG8" s="127">
        <v>8.8</v>
      </c>
      <c r="AH8" s="122">
        <f t="shared" si="16"/>
        <v>0.34079735407169</v>
      </c>
      <c r="AI8" s="122">
        <f t="shared" si="17"/>
        <v>0.0555555555555556</v>
      </c>
      <c r="AJ8" s="127">
        <v>8.8</v>
      </c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 t="s">
        <v>229</v>
      </c>
      <c r="AV8" s="131" t="s">
        <v>229</v>
      </c>
      <c r="AW8" s="131" t="s">
        <v>229</v>
      </c>
      <c r="AX8" s="131" t="s">
        <v>229</v>
      </c>
      <c r="AY8" s="131" t="s">
        <v>229</v>
      </c>
      <c r="AZ8" s="131" t="s">
        <v>229</v>
      </c>
      <c r="BA8" s="131" t="s">
        <v>229</v>
      </c>
      <c r="BB8" s="131" t="s">
        <v>229</v>
      </c>
      <c r="BC8" s="131" t="s">
        <v>229</v>
      </c>
      <c r="BD8" s="131" t="s">
        <v>229</v>
      </c>
      <c r="BE8" s="131" t="s">
        <v>229</v>
      </c>
      <c r="BF8" s="131" t="s">
        <v>229</v>
      </c>
      <c r="BG8" s="131" t="s">
        <v>229</v>
      </c>
      <c r="BH8" s="131" t="s">
        <v>229</v>
      </c>
      <c r="BI8" s="131" t="s">
        <v>229</v>
      </c>
      <c r="BJ8" s="131" t="s">
        <v>229</v>
      </c>
      <c r="BK8" s="131" t="s">
        <v>229</v>
      </c>
      <c r="BL8" s="131" t="s">
        <v>229</v>
      </c>
      <c r="BM8" s="131" t="s">
        <v>229</v>
      </c>
      <c r="BN8" s="131" t="s">
        <v>229</v>
      </c>
      <c r="BO8" s="131" t="s">
        <v>229</v>
      </c>
      <c r="BP8" s="131" t="s">
        <v>229</v>
      </c>
      <c r="BQ8" s="131" t="s">
        <v>229</v>
      </c>
      <c r="BR8" s="131" t="s">
        <v>229</v>
      </c>
      <c r="BS8" s="138" t="e">
        <f>IF(H8&lt;J8,1,0)</f>
        <v>#NULL!</v>
      </c>
      <c r="BT8" s="137" t="s">
        <v>230</v>
      </c>
    </row>
    <row r="9" ht="15.6" spans="1:72">
      <c r="A9" s="100" t="s">
        <v>238</v>
      </c>
      <c r="B9" s="100" t="s">
        <v>232</v>
      </c>
      <c r="C9" s="100"/>
      <c r="D9" s="101" t="s">
        <v>279</v>
      </c>
      <c r="E9" s="102"/>
      <c r="F9" s="104">
        <v>474.5115</v>
      </c>
      <c r="G9" s="105">
        <v>720.76</v>
      </c>
      <c r="H9" s="104" t="e">
        <f t="shared" si="0"/>
        <v>#NULL!</v>
      </c>
      <c r="I9" s="104" t="e">
        <f t="shared" si="1"/>
        <v>#NULL!</v>
      </c>
      <c r="J9" s="104">
        <v>270</v>
      </c>
      <c r="K9" s="105">
        <v>538</v>
      </c>
      <c r="L9" s="114">
        <f t="shared" si="2"/>
        <v>60.796581858407</v>
      </c>
      <c r="M9" s="115">
        <f t="shared" si="3"/>
        <v>0.225172525401508</v>
      </c>
      <c r="N9" s="104">
        <f t="shared" si="4"/>
        <v>448.333333333333</v>
      </c>
      <c r="O9" s="116">
        <f t="shared" si="5"/>
        <v>0.397769516728625</v>
      </c>
      <c r="P9" s="114">
        <f t="shared" si="6"/>
        <v>178.333333333333</v>
      </c>
      <c r="Q9" s="104">
        <f t="shared" si="7"/>
        <v>62.7823008849558</v>
      </c>
      <c r="R9" s="104">
        <f t="shared" si="8"/>
        <v>1.15625</v>
      </c>
      <c r="S9" s="100">
        <v>16</v>
      </c>
      <c r="T9" s="121">
        <v>0.6</v>
      </c>
      <c r="U9" s="122">
        <v>0.05</v>
      </c>
      <c r="V9" s="122">
        <v>0.1</v>
      </c>
      <c r="W9" s="122">
        <v>0.01</v>
      </c>
      <c r="X9" s="122">
        <f t="shared" si="9"/>
        <v>0.387545067191085</v>
      </c>
      <c r="Y9" s="122">
        <f t="shared" si="10"/>
        <v>0.00428240740740741</v>
      </c>
      <c r="Z9" s="116">
        <v>0.223</v>
      </c>
      <c r="AA9" s="126">
        <f t="shared" si="11"/>
        <v>13.5</v>
      </c>
      <c r="AB9" s="126">
        <f t="shared" si="12"/>
        <v>27</v>
      </c>
      <c r="AC9" s="126">
        <f t="shared" si="13"/>
        <v>2.7</v>
      </c>
      <c r="AD9" s="104">
        <f t="shared" si="14"/>
        <v>60.21</v>
      </c>
      <c r="AE9" s="104">
        <v>61</v>
      </c>
      <c r="AF9" s="127">
        <f t="shared" si="15"/>
        <v>53.9823008849558</v>
      </c>
      <c r="AG9" s="127">
        <v>8.8</v>
      </c>
      <c r="AH9" s="122">
        <f t="shared" si="16"/>
        <v>0.333224079536764</v>
      </c>
      <c r="AI9" s="122">
        <f t="shared" si="17"/>
        <v>0.054320987654321</v>
      </c>
      <c r="AJ9" s="127">
        <v>8.8</v>
      </c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 t="s">
        <v>229</v>
      </c>
      <c r="AV9" s="131" t="s">
        <v>229</v>
      </c>
      <c r="AW9" s="131" t="s">
        <v>229</v>
      </c>
      <c r="AX9" s="131" t="s">
        <v>229</v>
      </c>
      <c r="AY9" s="131" t="s">
        <v>229</v>
      </c>
      <c r="AZ9" s="131" t="s">
        <v>229</v>
      </c>
      <c r="BA9" s="131" t="s">
        <v>229</v>
      </c>
      <c r="BB9" s="131" t="s">
        <v>229</v>
      </c>
      <c r="BC9" s="131" t="s">
        <v>229</v>
      </c>
      <c r="BD9" s="131" t="s">
        <v>229</v>
      </c>
      <c r="BE9" s="131" t="s">
        <v>229</v>
      </c>
      <c r="BF9" s="131" t="s">
        <v>229</v>
      </c>
      <c r="BG9" s="131" t="s">
        <v>229</v>
      </c>
      <c r="BH9" s="131" t="s">
        <v>229</v>
      </c>
      <c r="BI9" s="131" t="s">
        <v>229</v>
      </c>
      <c r="BJ9" s="131" t="s">
        <v>229</v>
      </c>
      <c r="BK9" s="131" t="s">
        <v>229</v>
      </c>
      <c r="BL9" s="131" t="s">
        <v>229</v>
      </c>
      <c r="BM9" s="131" t="s">
        <v>229</v>
      </c>
      <c r="BN9" s="131" t="s">
        <v>229</v>
      </c>
      <c r="BO9" s="131" t="s">
        <v>229</v>
      </c>
      <c r="BP9" s="131" t="s">
        <v>229</v>
      </c>
      <c r="BQ9" s="131" t="s">
        <v>229</v>
      </c>
      <c r="BR9" s="131" t="s">
        <v>229</v>
      </c>
      <c r="BS9" s="138" t="e">
        <f>IF(H9&lt;J9,1,0)</f>
        <v>#NULL!</v>
      </c>
      <c r="BT9" s="137" t="s">
        <v>230</v>
      </c>
    </row>
    <row r="10" ht="15.6" spans="1:72">
      <c r="A10" s="100" t="s">
        <v>240</v>
      </c>
      <c r="B10" s="100" t="s">
        <v>232</v>
      </c>
      <c r="C10" s="100"/>
      <c r="D10" s="101" t="s">
        <v>280</v>
      </c>
      <c r="E10" s="102"/>
      <c r="F10" s="104">
        <f>G10*0.7</f>
        <v>23.0923</v>
      </c>
      <c r="G10" s="105">
        <v>32.989</v>
      </c>
      <c r="H10" s="104" t="e">
        <f t="shared" si="0"/>
        <v>#NULL!</v>
      </c>
      <c r="I10" s="104" t="e">
        <f t="shared" si="1"/>
        <v>#NULL!</v>
      </c>
      <c r="J10" s="104">
        <v>23.09</v>
      </c>
      <c r="K10" s="105">
        <v>32.989</v>
      </c>
      <c r="L10" s="114">
        <f t="shared" si="2"/>
        <v>6.07801028581679</v>
      </c>
      <c r="M10" s="115">
        <f t="shared" si="3"/>
        <v>0.263231281325976</v>
      </c>
      <c r="N10" s="104">
        <f t="shared" si="4"/>
        <v>27.4908333333333</v>
      </c>
      <c r="O10" s="116">
        <f t="shared" si="5"/>
        <v>0.16008366425172</v>
      </c>
      <c r="P10" s="114">
        <f t="shared" si="6"/>
        <v>4.40083333333333</v>
      </c>
      <c r="Q10" s="104">
        <f t="shared" si="7"/>
        <v>62.7823008849558</v>
      </c>
      <c r="R10" s="104">
        <f t="shared" si="8"/>
        <v>0.954375</v>
      </c>
      <c r="S10" s="100">
        <v>16</v>
      </c>
      <c r="T10" s="121">
        <v>7.4</v>
      </c>
      <c r="U10" s="122">
        <v>0.06</v>
      </c>
      <c r="V10" s="122">
        <v>0.1</v>
      </c>
      <c r="W10" s="122">
        <v>0.01</v>
      </c>
      <c r="X10" s="122">
        <f t="shared" si="9"/>
        <v>0.367435890609927</v>
      </c>
      <c r="Y10" s="122">
        <f t="shared" si="10"/>
        <v>0.041332828064097</v>
      </c>
      <c r="Z10" s="116">
        <v>0.158</v>
      </c>
      <c r="AA10" s="126">
        <f t="shared" si="11"/>
        <v>1.3854</v>
      </c>
      <c r="AB10" s="126">
        <f t="shared" si="12"/>
        <v>2.309</v>
      </c>
      <c r="AC10" s="126">
        <f t="shared" si="13"/>
        <v>0.2309</v>
      </c>
      <c r="AD10" s="104">
        <f t="shared" si="14"/>
        <v>3.64822</v>
      </c>
      <c r="AE10" s="104">
        <v>61</v>
      </c>
      <c r="AF10" s="127">
        <f t="shared" si="15"/>
        <v>53.9823008849558</v>
      </c>
      <c r="AG10" s="127">
        <v>8.8</v>
      </c>
      <c r="AH10" s="122">
        <f t="shared" si="16"/>
        <v>0.315933543741621</v>
      </c>
      <c r="AI10" s="122">
        <f t="shared" si="17"/>
        <v>0.0515023468683062</v>
      </c>
      <c r="AJ10" s="127">
        <v>8.8</v>
      </c>
      <c r="AK10" s="122"/>
      <c r="AL10" s="122"/>
      <c r="AM10" s="122"/>
      <c r="AN10" s="122"/>
      <c r="AO10" s="131"/>
      <c r="AP10" s="131"/>
      <c r="AQ10" s="131"/>
      <c r="AR10" s="131"/>
      <c r="AS10" s="131"/>
      <c r="AT10" s="131"/>
      <c r="AU10" s="131" t="s">
        <v>229</v>
      </c>
      <c r="AV10" s="131" t="s">
        <v>229</v>
      </c>
      <c r="AW10" s="131" t="s">
        <v>229</v>
      </c>
      <c r="AX10" s="131" t="s">
        <v>229</v>
      </c>
      <c r="AY10" s="131" t="s">
        <v>229</v>
      </c>
      <c r="AZ10" s="131" t="s">
        <v>229</v>
      </c>
      <c r="BA10" s="131" t="s">
        <v>229</v>
      </c>
      <c r="BB10" s="131" t="s">
        <v>229</v>
      </c>
      <c r="BC10" s="131" t="s">
        <v>229</v>
      </c>
      <c r="BD10" s="131" t="s">
        <v>229</v>
      </c>
      <c r="BE10" s="131" t="s">
        <v>229</v>
      </c>
      <c r="BF10" s="131" t="s">
        <v>229</v>
      </c>
      <c r="BG10" s="131" t="s">
        <v>229</v>
      </c>
      <c r="BH10" s="131" t="s">
        <v>229</v>
      </c>
      <c r="BI10" s="131" t="s">
        <v>229</v>
      </c>
      <c r="BJ10" s="131" t="s">
        <v>229</v>
      </c>
      <c r="BK10" s="131" t="s">
        <v>229</v>
      </c>
      <c r="BL10" s="131" t="s">
        <v>229</v>
      </c>
      <c r="BM10" s="131" t="s">
        <v>229</v>
      </c>
      <c r="BN10" s="131" t="s">
        <v>229</v>
      </c>
      <c r="BO10" s="131" t="s">
        <v>229</v>
      </c>
      <c r="BP10" s="131" t="s">
        <v>229</v>
      </c>
      <c r="BQ10" s="131" t="s">
        <v>229</v>
      </c>
      <c r="BR10" s="131" t="s">
        <v>229</v>
      </c>
      <c r="BS10" s="138" t="e">
        <f>IF(H10&lt;J10,1,0)</f>
        <v>#NULL!</v>
      </c>
      <c r="BT10" s="137" t="s">
        <v>230</v>
      </c>
    </row>
    <row r="11" ht="15.6" spans="1:72">
      <c r="A11" s="100"/>
      <c r="B11" s="100"/>
      <c r="C11" s="100"/>
      <c r="D11" s="101"/>
      <c r="E11" s="102"/>
      <c r="F11" s="104"/>
      <c r="G11" s="105"/>
      <c r="H11" s="104"/>
      <c r="I11" s="104"/>
      <c r="J11" s="104"/>
      <c r="K11" s="105"/>
      <c r="L11" s="114"/>
      <c r="M11" s="115"/>
      <c r="N11" s="104"/>
      <c r="O11" s="116"/>
      <c r="P11" s="114"/>
      <c r="Q11" s="104"/>
      <c r="R11" s="104"/>
      <c r="S11" s="100"/>
      <c r="T11" s="121"/>
      <c r="U11" s="122"/>
      <c r="V11" s="122"/>
      <c r="W11" s="122"/>
      <c r="X11" s="122"/>
      <c r="Y11" s="122"/>
      <c r="Z11" s="116"/>
      <c r="AA11" s="126"/>
      <c r="AB11" s="126"/>
      <c r="AC11" s="126"/>
      <c r="AD11" s="104"/>
      <c r="AE11" s="104"/>
      <c r="AF11" s="127"/>
      <c r="AG11" s="127"/>
      <c r="AH11" s="122"/>
      <c r="AI11" s="122"/>
      <c r="AJ11" s="127"/>
      <c r="AK11" s="122"/>
      <c r="AL11" s="122"/>
      <c r="AM11" s="122"/>
      <c r="AN11" s="122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8"/>
      <c r="BT11" s="137"/>
    </row>
    <row r="12" ht="15.6" spans="1:72">
      <c r="A12" s="100" t="s">
        <v>127</v>
      </c>
      <c r="B12" s="100" t="s">
        <v>242</v>
      </c>
      <c r="C12" s="100"/>
      <c r="D12" s="101" t="s">
        <v>246</v>
      </c>
      <c r="E12" s="102"/>
      <c r="F12" s="104">
        <f t="shared" ref="F12:F20" si="18">G12*0.7</f>
        <v>23.0923</v>
      </c>
      <c r="G12" s="105">
        <v>32.989</v>
      </c>
      <c r="H12" s="104" t="e">
        <f t="shared" ref="H12:H20" si="19">INDEX(#NULL!,MATCH(1,(#NULL!=A12)*(#NULL!=C12),0))</f>
        <v>#NULL!</v>
      </c>
      <c r="I12" s="104" t="e">
        <f t="shared" ref="I12:I20" si="20">H12=J12</f>
        <v>#NULL!</v>
      </c>
      <c r="J12" s="104">
        <v>23.09</v>
      </c>
      <c r="K12" s="105">
        <v>32.989</v>
      </c>
      <c r="L12" s="114">
        <f t="shared" ref="L12:L20" si="21">J12-Q12/T12-AD12-AA12-R12-AB12-AC12</f>
        <v>6.47301028581679</v>
      </c>
      <c r="M12" s="115">
        <f t="shared" ref="M12:M20" si="22">L12/J12</f>
        <v>0.280338254041437</v>
      </c>
      <c r="N12" s="104">
        <f t="shared" ref="N12:N20" si="23">K12/1.2</f>
        <v>27.4908333333333</v>
      </c>
      <c r="O12" s="116">
        <f t="shared" ref="O12:O20" si="24">(N12-J12)/N12</f>
        <v>0.16008366425172</v>
      </c>
      <c r="P12" s="114">
        <f t="shared" ref="P12:P20" si="25">K12/1.2-J12</f>
        <v>4.40083333333333</v>
      </c>
      <c r="Q12" s="104">
        <f t="shared" ref="Q12:Q20" si="26">AF12+AG12</f>
        <v>62.7823008849558</v>
      </c>
      <c r="R12" s="104">
        <f t="shared" ref="R12:R20" si="27">IFERROR(IF(A12="UK",8.95/S12,IF(A12="DE",11.43/S12,IF(A12="FR",15.27/S12,IF(A12="IT",16.34/S12,IF(A12="ES",20.62/S12,IF(A12="NL",12/S12,IF(A12="PL",15.06/S12,IF(A12="SE",18.5/S12,IF(A12="BE",15.27/S12))))))))),0)</f>
        <v>0.559375</v>
      </c>
      <c r="S12" s="100">
        <v>16</v>
      </c>
      <c r="T12" s="121">
        <v>7.4</v>
      </c>
      <c r="U12" s="122">
        <v>0.06</v>
      </c>
      <c r="V12" s="122">
        <v>0.1</v>
      </c>
      <c r="W12" s="122">
        <v>0.01</v>
      </c>
      <c r="X12" s="122">
        <f t="shared" ref="X12:X20" si="28">Q12/(J12*T12)</f>
        <v>0.367435890609927</v>
      </c>
      <c r="Y12" s="122">
        <f t="shared" ref="Y12:Y20" si="29">R12/J12</f>
        <v>0.0242258553486358</v>
      </c>
      <c r="Z12" s="116">
        <v>0.158</v>
      </c>
      <c r="AA12" s="126">
        <f t="shared" ref="AA12:AA20" si="30">J12*U12</f>
        <v>1.3854</v>
      </c>
      <c r="AB12" s="126">
        <f t="shared" ref="AB12:AB20" si="31">J12*V12</f>
        <v>2.309</v>
      </c>
      <c r="AC12" s="126">
        <f t="shared" ref="AC12:AC20" si="32">J12*W12</f>
        <v>0.2309</v>
      </c>
      <c r="AD12" s="104">
        <f t="shared" ref="AD12:AD20" si="33">J12*Z12</f>
        <v>3.64822</v>
      </c>
      <c r="AE12" s="104">
        <v>61</v>
      </c>
      <c r="AF12" s="127">
        <f t="shared" ref="AF12:AF20" si="34">AE12/1.13</f>
        <v>53.9823008849558</v>
      </c>
      <c r="AG12" s="127">
        <v>8.8</v>
      </c>
      <c r="AH12" s="122">
        <f t="shared" ref="AH12:AH20" si="35">AF12/(J12*T12)</f>
        <v>0.315933543741621</v>
      </c>
      <c r="AI12" s="122">
        <f t="shared" ref="AI12:AI20" si="36">AG12/T12/J12</f>
        <v>0.0515023468683062</v>
      </c>
      <c r="AJ12" s="127">
        <v>8.8</v>
      </c>
      <c r="AK12" s="122"/>
      <c r="AL12" s="122"/>
      <c r="AM12" s="122"/>
      <c r="AN12" s="122"/>
      <c r="AO12" s="131"/>
      <c r="AP12" s="131"/>
      <c r="AQ12" s="131"/>
      <c r="AR12" s="131"/>
      <c r="AS12" s="131"/>
      <c r="AT12" s="131"/>
      <c r="AU12" s="131" t="s">
        <v>229</v>
      </c>
      <c r="AV12" s="131" t="s">
        <v>229</v>
      </c>
      <c r="AW12" s="131" t="s">
        <v>229</v>
      </c>
      <c r="AX12" s="131" t="s">
        <v>229</v>
      </c>
      <c r="AY12" s="131" t="s">
        <v>229</v>
      </c>
      <c r="AZ12" s="131" t="s">
        <v>229</v>
      </c>
      <c r="BA12" s="131" t="s">
        <v>229</v>
      </c>
      <c r="BB12" s="131" t="s">
        <v>229</v>
      </c>
      <c r="BC12" s="131" t="s">
        <v>229</v>
      </c>
      <c r="BD12" s="131" t="s">
        <v>229</v>
      </c>
      <c r="BE12" s="131" t="s">
        <v>229</v>
      </c>
      <c r="BF12" s="131" t="s">
        <v>229</v>
      </c>
      <c r="BG12" s="131" t="s">
        <v>229</v>
      </c>
      <c r="BH12" s="131" t="s">
        <v>229</v>
      </c>
      <c r="BI12" s="131" t="s">
        <v>229</v>
      </c>
      <c r="BJ12" s="131" t="s">
        <v>229</v>
      </c>
      <c r="BK12" s="131" t="s">
        <v>229</v>
      </c>
      <c r="BL12" s="131" t="s">
        <v>229</v>
      </c>
      <c r="BM12" s="131" t="s">
        <v>229</v>
      </c>
      <c r="BN12" s="131" t="s">
        <v>229</v>
      </c>
      <c r="BO12" s="131" t="s">
        <v>229</v>
      </c>
      <c r="BP12" s="131" t="s">
        <v>229</v>
      </c>
      <c r="BQ12" s="131" t="s">
        <v>229</v>
      </c>
      <c r="BR12" s="131" t="s">
        <v>229</v>
      </c>
      <c r="BS12" s="138" t="e">
        <f t="shared" ref="BS12:BS20" si="37">IF(H12&lt;J12,1,0)</f>
        <v>#NULL!</v>
      </c>
      <c r="BT12" s="137" t="s">
        <v>230</v>
      </c>
    </row>
    <row r="13" ht="15.6" spans="1:72">
      <c r="A13" s="100" t="s">
        <v>107</v>
      </c>
      <c r="B13" s="100" t="s">
        <v>251</v>
      </c>
      <c r="C13" s="100"/>
      <c r="D13" s="101" t="s">
        <v>281</v>
      </c>
      <c r="E13" s="102"/>
      <c r="F13" s="104">
        <f t="shared" si="18"/>
        <v>23.0923</v>
      </c>
      <c r="G13" s="105">
        <v>32.989</v>
      </c>
      <c r="H13" s="104" t="e">
        <f t="shared" si="19"/>
        <v>#NULL!</v>
      </c>
      <c r="I13" s="104" t="e">
        <f t="shared" si="20"/>
        <v>#NULL!</v>
      </c>
      <c r="J13" s="104">
        <v>23.09</v>
      </c>
      <c r="K13" s="105">
        <v>32.989</v>
      </c>
      <c r="L13" s="114">
        <f t="shared" si="21"/>
        <v>6.31801028581679</v>
      </c>
      <c r="M13" s="115">
        <f t="shared" si="22"/>
        <v>0.273625391330307</v>
      </c>
      <c r="N13" s="104">
        <f t="shared" si="23"/>
        <v>27.4908333333333</v>
      </c>
      <c r="O13" s="116">
        <f t="shared" si="24"/>
        <v>0.16008366425172</v>
      </c>
      <c r="P13" s="114">
        <f t="shared" si="25"/>
        <v>4.40083333333333</v>
      </c>
      <c r="Q13" s="104">
        <f t="shared" si="26"/>
        <v>62.7823008849558</v>
      </c>
      <c r="R13" s="104">
        <f t="shared" si="27"/>
        <v>0.714375</v>
      </c>
      <c r="S13" s="100">
        <v>16</v>
      </c>
      <c r="T13" s="121">
        <v>7.4</v>
      </c>
      <c r="U13" s="122">
        <v>0.06</v>
      </c>
      <c r="V13" s="122">
        <v>0.1</v>
      </c>
      <c r="W13" s="122">
        <v>0.01</v>
      </c>
      <c r="X13" s="122">
        <f t="shared" si="28"/>
        <v>0.367435890609927</v>
      </c>
      <c r="Y13" s="122">
        <f t="shared" si="29"/>
        <v>0.0309387180597661</v>
      </c>
      <c r="Z13" s="116">
        <v>0.158</v>
      </c>
      <c r="AA13" s="126">
        <f t="shared" si="30"/>
        <v>1.3854</v>
      </c>
      <c r="AB13" s="126">
        <f t="shared" si="31"/>
        <v>2.309</v>
      </c>
      <c r="AC13" s="126">
        <f t="shared" si="32"/>
        <v>0.2309</v>
      </c>
      <c r="AD13" s="104">
        <f t="shared" si="33"/>
        <v>3.64822</v>
      </c>
      <c r="AE13" s="104">
        <v>61</v>
      </c>
      <c r="AF13" s="127">
        <f t="shared" si="34"/>
        <v>53.9823008849558</v>
      </c>
      <c r="AG13" s="127">
        <v>8.8</v>
      </c>
      <c r="AH13" s="122">
        <f t="shared" si="35"/>
        <v>0.315933543741621</v>
      </c>
      <c r="AI13" s="122">
        <f t="shared" si="36"/>
        <v>0.0515023468683062</v>
      </c>
      <c r="AJ13" s="127">
        <v>8.8</v>
      </c>
      <c r="AK13" s="122"/>
      <c r="AL13" s="122"/>
      <c r="AM13" s="122"/>
      <c r="AN13" s="122"/>
      <c r="AO13" s="131"/>
      <c r="AP13" s="131"/>
      <c r="AQ13" s="131"/>
      <c r="AR13" s="131"/>
      <c r="AS13" s="131"/>
      <c r="AT13" s="131"/>
      <c r="AU13" s="131" t="s">
        <v>229</v>
      </c>
      <c r="AV13" s="131" t="s">
        <v>229</v>
      </c>
      <c r="AW13" s="131" t="s">
        <v>229</v>
      </c>
      <c r="AX13" s="131" t="s">
        <v>229</v>
      </c>
      <c r="AY13" s="131" t="s">
        <v>229</v>
      </c>
      <c r="AZ13" s="131" t="s">
        <v>229</v>
      </c>
      <c r="BA13" s="131" t="s">
        <v>229</v>
      </c>
      <c r="BB13" s="131" t="s">
        <v>229</v>
      </c>
      <c r="BC13" s="131" t="s">
        <v>229</v>
      </c>
      <c r="BD13" s="131" t="s">
        <v>229</v>
      </c>
      <c r="BE13" s="131" t="s">
        <v>229</v>
      </c>
      <c r="BF13" s="131" t="s">
        <v>229</v>
      </c>
      <c r="BG13" s="131" t="s">
        <v>229</v>
      </c>
      <c r="BH13" s="131" t="s">
        <v>229</v>
      </c>
      <c r="BI13" s="131" t="s">
        <v>229</v>
      </c>
      <c r="BJ13" s="131" t="s">
        <v>229</v>
      </c>
      <c r="BK13" s="131" t="s">
        <v>229</v>
      </c>
      <c r="BL13" s="131" t="s">
        <v>229</v>
      </c>
      <c r="BM13" s="131" t="s">
        <v>229</v>
      </c>
      <c r="BN13" s="131" t="s">
        <v>229</v>
      </c>
      <c r="BO13" s="131" t="s">
        <v>229</v>
      </c>
      <c r="BP13" s="131" t="s">
        <v>229</v>
      </c>
      <c r="BQ13" s="131" t="s">
        <v>229</v>
      </c>
      <c r="BR13" s="131" t="s">
        <v>229</v>
      </c>
      <c r="BS13" s="138" t="e">
        <f t="shared" si="37"/>
        <v>#NULL!</v>
      </c>
      <c r="BT13" s="137" t="s">
        <v>230</v>
      </c>
    </row>
    <row r="14" ht="15.6" spans="1:72">
      <c r="A14" s="100" t="s">
        <v>119</v>
      </c>
      <c r="B14" s="100" t="s">
        <v>251</v>
      </c>
      <c r="C14" s="100"/>
      <c r="D14" s="101" t="s">
        <v>282</v>
      </c>
      <c r="E14" s="102"/>
      <c r="F14" s="104">
        <f t="shared" si="18"/>
        <v>23.0923</v>
      </c>
      <c r="G14" s="105">
        <v>32.989</v>
      </c>
      <c r="H14" s="104" t="e">
        <f t="shared" si="19"/>
        <v>#NULL!</v>
      </c>
      <c r="I14" s="104" t="e">
        <f t="shared" si="20"/>
        <v>#NULL!</v>
      </c>
      <c r="J14" s="104">
        <v>23.09</v>
      </c>
      <c r="K14" s="105">
        <v>32.989</v>
      </c>
      <c r="L14" s="114">
        <f t="shared" si="21"/>
        <v>6.07801028581679</v>
      </c>
      <c r="M14" s="115">
        <f t="shared" si="22"/>
        <v>0.263231281325976</v>
      </c>
      <c r="N14" s="104">
        <f t="shared" si="23"/>
        <v>27.4908333333333</v>
      </c>
      <c r="O14" s="116">
        <f t="shared" si="24"/>
        <v>0.16008366425172</v>
      </c>
      <c r="P14" s="114">
        <f t="shared" si="25"/>
        <v>4.40083333333333</v>
      </c>
      <c r="Q14" s="104">
        <f t="shared" si="26"/>
        <v>62.7823008849558</v>
      </c>
      <c r="R14" s="104">
        <f t="shared" si="27"/>
        <v>0.954375</v>
      </c>
      <c r="S14" s="100">
        <v>16</v>
      </c>
      <c r="T14" s="121">
        <v>7.4</v>
      </c>
      <c r="U14" s="122">
        <v>0.06</v>
      </c>
      <c r="V14" s="122">
        <v>0.1</v>
      </c>
      <c r="W14" s="122">
        <v>0.01</v>
      </c>
      <c r="X14" s="122">
        <f t="shared" si="28"/>
        <v>0.367435890609927</v>
      </c>
      <c r="Y14" s="122">
        <f t="shared" si="29"/>
        <v>0.041332828064097</v>
      </c>
      <c r="Z14" s="116">
        <v>0.158</v>
      </c>
      <c r="AA14" s="126">
        <f t="shared" si="30"/>
        <v>1.3854</v>
      </c>
      <c r="AB14" s="126">
        <f t="shared" si="31"/>
        <v>2.309</v>
      </c>
      <c r="AC14" s="126">
        <f t="shared" si="32"/>
        <v>0.2309</v>
      </c>
      <c r="AD14" s="104">
        <f t="shared" si="33"/>
        <v>3.64822</v>
      </c>
      <c r="AE14" s="104">
        <v>61</v>
      </c>
      <c r="AF14" s="127">
        <f t="shared" si="34"/>
        <v>53.9823008849558</v>
      </c>
      <c r="AG14" s="127">
        <v>8.8</v>
      </c>
      <c r="AH14" s="122">
        <f t="shared" si="35"/>
        <v>0.315933543741621</v>
      </c>
      <c r="AI14" s="122">
        <f t="shared" si="36"/>
        <v>0.0515023468683062</v>
      </c>
      <c r="AJ14" s="127">
        <v>8.8</v>
      </c>
      <c r="AK14" s="122"/>
      <c r="AL14" s="122"/>
      <c r="AM14" s="122"/>
      <c r="AN14" s="122"/>
      <c r="AO14" s="131"/>
      <c r="AP14" s="131"/>
      <c r="AQ14" s="131"/>
      <c r="AR14" s="131"/>
      <c r="AS14" s="131"/>
      <c r="AT14" s="131"/>
      <c r="AU14" s="131" t="s">
        <v>229</v>
      </c>
      <c r="AV14" s="131" t="s">
        <v>229</v>
      </c>
      <c r="AW14" s="131" t="s">
        <v>229</v>
      </c>
      <c r="AX14" s="131" t="s">
        <v>229</v>
      </c>
      <c r="AY14" s="131" t="s">
        <v>229</v>
      </c>
      <c r="AZ14" s="131" t="s">
        <v>229</v>
      </c>
      <c r="BA14" s="131" t="s">
        <v>229</v>
      </c>
      <c r="BB14" s="131" t="s">
        <v>229</v>
      </c>
      <c r="BC14" s="131" t="s">
        <v>229</v>
      </c>
      <c r="BD14" s="131" t="s">
        <v>229</v>
      </c>
      <c r="BE14" s="131" t="s">
        <v>229</v>
      </c>
      <c r="BF14" s="131" t="s">
        <v>229</v>
      </c>
      <c r="BG14" s="131" t="s">
        <v>229</v>
      </c>
      <c r="BH14" s="131" t="s">
        <v>229</v>
      </c>
      <c r="BI14" s="131" t="s">
        <v>229</v>
      </c>
      <c r="BJ14" s="131" t="s">
        <v>229</v>
      </c>
      <c r="BK14" s="131" t="s">
        <v>229</v>
      </c>
      <c r="BL14" s="131" t="s">
        <v>229</v>
      </c>
      <c r="BM14" s="131" t="s">
        <v>229</v>
      </c>
      <c r="BN14" s="131" t="s">
        <v>229</v>
      </c>
      <c r="BO14" s="131" t="s">
        <v>229</v>
      </c>
      <c r="BP14" s="131" t="s">
        <v>229</v>
      </c>
      <c r="BQ14" s="131" t="s">
        <v>229</v>
      </c>
      <c r="BR14" s="131" t="s">
        <v>229</v>
      </c>
      <c r="BS14" s="138" t="e">
        <f t="shared" si="37"/>
        <v>#NULL!</v>
      </c>
      <c r="BT14" s="137" t="s">
        <v>230</v>
      </c>
    </row>
    <row r="15" ht="15.6" spans="1:72">
      <c r="A15" s="100" t="s">
        <v>121</v>
      </c>
      <c r="B15" s="100" t="s">
        <v>251</v>
      </c>
      <c r="C15" s="100"/>
      <c r="D15" s="101" t="s">
        <v>283</v>
      </c>
      <c r="E15" s="102"/>
      <c r="F15" s="104">
        <f t="shared" si="18"/>
        <v>23.0923</v>
      </c>
      <c r="G15" s="105">
        <v>32.989</v>
      </c>
      <c r="H15" s="104" t="e">
        <f t="shared" si="19"/>
        <v>#NULL!</v>
      </c>
      <c r="I15" s="104" t="e">
        <f t="shared" si="20"/>
        <v>#NULL!</v>
      </c>
      <c r="J15" s="104">
        <v>23.09</v>
      </c>
      <c r="K15" s="105">
        <v>32.989</v>
      </c>
      <c r="L15" s="114">
        <f t="shared" si="21"/>
        <v>6.01113528581679</v>
      </c>
      <c r="M15" s="115">
        <f t="shared" si="22"/>
        <v>0.260335005882061</v>
      </c>
      <c r="N15" s="104">
        <f t="shared" si="23"/>
        <v>27.4908333333333</v>
      </c>
      <c r="O15" s="116">
        <f t="shared" si="24"/>
        <v>0.16008366425172</v>
      </c>
      <c r="P15" s="114">
        <f t="shared" si="25"/>
        <v>4.40083333333333</v>
      </c>
      <c r="Q15" s="104">
        <f t="shared" si="26"/>
        <v>62.7823008849558</v>
      </c>
      <c r="R15" s="104">
        <f t="shared" si="27"/>
        <v>1.02125</v>
      </c>
      <c r="S15" s="100">
        <v>16</v>
      </c>
      <c r="T15" s="121">
        <v>7.4</v>
      </c>
      <c r="U15" s="122">
        <v>0.06</v>
      </c>
      <c r="V15" s="122">
        <v>0.1</v>
      </c>
      <c r="W15" s="122">
        <v>0.01</v>
      </c>
      <c r="X15" s="122">
        <f t="shared" si="28"/>
        <v>0.367435890609927</v>
      </c>
      <c r="Y15" s="122">
        <f t="shared" si="29"/>
        <v>0.0442291035080121</v>
      </c>
      <c r="Z15" s="116">
        <v>0.158</v>
      </c>
      <c r="AA15" s="126">
        <f t="shared" si="30"/>
        <v>1.3854</v>
      </c>
      <c r="AB15" s="126">
        <f t="shared" si="31"/>
        <v>2.309</v>
      </c>
      <c r="AC15" s="126">
        <f t="shared" si="32"/>
        <v>0.2309</v>
      </c>
      <c r="AD15" s="104">
        <f t="shared" si="33"/>
        <v>3.64822</v>
      </c>
      <c r="AE15" s="104">
        <v>61</v>
      </c>
      <c r="AF15" s="127">
        <f t="shared" si="34"/>
        <v>53.9823008849558</v>
      </c>
      <c r="AG15" s="127">
        <v>8.8</v>
      </c>
      <c r="AH15" s="122">
        <f t="shared" si="35"/>
        <v>0.315933543741621</v>
      </c>
      <c r="AI15" s="122">
        <f t="shared" si="36"/>
        <v>0.0515023468683062</v>
      </c>
      <c r="AJ15" s="127">
        <v>8.8</v>
      </c>
      <c r="AK15" s="122"/>
      <c r="AL15" s="122"/>
      <c r="AM15" s="122"/>
      <c r="AN15" s="122"/>
      <c r="AO15" s="131"/>
      <c r="AP15" s="131"/>
      <c r="AQ15" s="131"/>
      <c r="AR15" s="131"/>
      <c r="AS15" s="131"/>
      <c r="AT15" s="131"/>
      <c r="AU15" s="131" t="s">
        <v>229</v>
      </c>
      <c r="AV15" s="131" t="s">
        <v>229</v>
      </c>
      <c r="AW15" s="131" t="s">
        <v>229</v>
      </c>
      <c r="AX15" s="131" t="s">
        <v>229</v>
      </c>
      <c r="AY15" s="131" t="s">
        <v>229</v>
      </c>
      <c r="AZ15" s="131" t="s">
        <v>229</v>
      </c>
      <c r="BA15" s="131" t="s">
        <v>229</v>
      </c>
      <c r="BB15" s="131" t="s">
        <v>229</v>
      </c>
      <c r="BC15" s="131" t="s">
        <v>229</v>
      </c>
      <c r="BD15" s="131" t="s">
        <v>229</v>
      </c>
      <c r="BE15" s="131" t="s">
        <v>229</v>
      </c>
      <c r="BF15" s="131" t="s">
        <v>229</v>
      </c>
      <c r="BG15" s="131" t="s">
        <v>229</v>
      </c>
      <c r="BH15" s="131" t="s">
        <v>229</v>
      </c>
      <c r="BI15" s="131" t="s">
        <v>229</v>
      </c>
      <c r="BJ15" s="131" t="s">
        <v>229</v>
      </c>
      <c r="BK15" s="131" t="s">
        <v>229</v>
      </c>
      <c r="BL15" s="131" t="s">
        <v>229</v>
      </c>
      <c r="BM15" s="131" t="s">
        <v>229</v>
      </c>
      <c r="BN15" s="131" t="s">
        <v>229</v>
      </c>
      <c r="BO15" s="131" t="s">
        <v>229</v>
      </c>
      <c r="BP15" s="131" t="s">
        <v>229</v>
      </c>
      <c r="BQ15" s="131" t="s">
        <v>229</v>
      </c>
      <c r="BR15" s="131" t="s">
        <v>229</v>
      </c>
      <c r="BS15" s="138" t="e">
        <f t="shared" si="37"/>
        <v>#NULL!</v>
      </c>
      <c r="BT15" s="137" t="s">
        <v>230</v>
      </c>
    </row>
    <row r="16" ht="15.6" spans="1:72">
      <c r="A16" s="100" t="s">
        <v>124</v>
      </c>
      <c r="B16" s="100" t="s">
        <v>251</v>
      </c>
      <c r="C16" s="100"/>
      <c r="D16" s="101" t="s">
        <v>284</v>
      </c>
      <c r="E16" s="102"/>
      <c r="F16" s="104">
        <f t="shared" si="18"/>
        <v>23.0923</v>
      </c>
      <c r="G16" s="105">
        <v>32.989</v>
      </c>
      <c r="H16" s="104" t="e">
        <f t="shared" si="19"/>
        <v>#NULL!</v>
      </c>
      <c r="I16" s="104" t="e">
        <f t="shared" si="20"/>
        <v>#NULL!</v>
      </c>
      <c r="J16" s="104">
        <v>23.09</v>
      </c>
      <c r="K16" s="105">
        <v>32.989</v>
      </c>
      <c r="L16" s="114">
        <f t="shared" si="21"/>
        <v>5.74363528581679</v>
      </c>
      <c r="M16" s="115">
        <f t="shared" si="22"/>
        <v>0.2487499041064</v>
      </c>
      <c r="N16" s="104">
        <f t="shared" si="23"/>
        <v>27.4908333333333</v>
      </c>
      <c r="O16" s="116">
        <f t="shared" si="24"/>
        <v>0.16008366425172</v>
      </c>
      <c r="P16" s="114">
        <f t="shared" si="25"/>
        <v>4.40083333333333</v>
      </c>
      <c r="Q16" s="104">
        <f t="shared" si="26"/>
        <v>62.7823008849558</v>
      </c>
      <c r="R16" s="104">
        <f t="shared" si="27"/>
        <v>1.28875</v>
      </c>
      <c r="S16" s="100">
        <v>16</v>
      </c>
      <c r="T16" s="121">
        <v>7.4</v>
      </c>
      <c r="U16" s="122">
        <v>0.06</v>
      </c>
      <c r="V16" s="122">
        <v>0.1</v>
      </c>
      <c r="W16" s="122">
        <v>0.01</v>
      </c>
      <c r="X16" s="122">
        <f t="shared" si="28"/>
        <v>0.367435890609927</v>
      </c>
      <c r="Y16" s="122">
        <f t="shared" si="29"/>
        <v>0.0558142052836726</v>
      </c>
      <c r="Z16" s="116">
        <v>0.158</v>
      </c>
      <c r="AA16" s="126">
        <f t="shared" si="30"/>
        <v>1.3854</v>
      </c>
      <c r="AB16" s="126">
        <f t="shared" si="31"/>
        <v>2.309</v>
      </c>
      <c r="AC16" s="126">
        <f t="shared" si="32"/>
        <v>0.2309</v>
      </c>
      <c r="AD16" s="104">
        <f t="shared" si="33"/>
        <v>3.64822</v>
      </c>
      <c r="AE16" s="104">
        <v>61</v>
      </c>
      <c r="AF16" s="127">
        <f t="shared" si="34"/>
        <v>53.9823008849558</v>
      </c>
      <c r="AG16" s="127">
        <v>8.8</v>
      </c>
      <c r="AH16" s="122">
        <f t="shared" si="35"/>
        <v>0.315933543741621</v>
      </c>
      <c r="AI16" s="122">
        <f t="shared" si="36"/>
        <v>0.0515023468683062</v>
      </c>
      <c r="AJ16" s="127">
        <v>8.8</v>
      </c>
      <c r="AK16" s="122"/>
      <c r="AL16" s="122"/>
      <c r="AM16" s="122"/>
      <c r="AN16" s="122"/>
      <c r="AO16" s="131"/>
      <c r="AP16" s="131"/>
      <c r="AQ16" s="131"/>
      <c r="AR16" s="131"/>
      <c r="AS16" s="131"/>
      <c r="AT16" s="131"/>
      <c r="AU16" s="131" t="s">
        <v>229</v>
      </c>
      <c r="AV16" s="131" t="s">
        <v>229</v>
      </c>
      <c r="AW16" s="131" t="s">
        <v>229</v>
      </c>
      <c r="AX16" s="131" t="s">
        <v>229</v>
      </c>
      <c r="AY16" s="131" t="s">
        <v>229</v>
      </c>
      <c r="AZ16" s="131" t="s">
        <v>229</v>
      </c>
      <c r="BA16" s="131" t="s">
        <v>229</v>
      </c>
      <c r="BB16" s="131" t="s">
        <v>229</v>
      </c>
      <c r="BC16" s="131" t="s">
        <v>229</v>
      </c>
      <c r="BD16" s="131" t="s">
        <v>229</v>
      </c>
      <c r="BE16" s="131" t="s">
        <v>229</v>
      </c>
      <c r="BF16" s="131" t="s">
        <v>229</v>
      </c>
      <c r="BG16" s="131" t="s">
        <v>229</v>
      </c>
      <c r="BH16" s="131" t="s">
        <v>229</v>
      </c>
      <c r="BI16" s="131" t="s">
        <v>229</v>
      </c>
      <c r="BJ16" s="131" t="s">
        <v>229</v>
      </c>
      <c r="BK16" s="131" t="s">
        <v>229</v>
      </c>
      <c r="BL16" s="131" t="s">
        <v>229</v>
      </c>
      <c r="BM16" s="131" t="s">
        <v>229</v>
      </c>
      <c r="BN16" s="131" t="s">
        <v>229</v>
      </c>
      <c r="BO16" s="131" t="s">
        <v>229</v>
      </c>
      <c r="BP16" s="131" t="s">
        <v>229</v>
      </c>
      <c r="BQ16" s="131" t="s">
        <v>229</v>
      </c>
      <c r="BR16" s="131" t="s">
        <v>229</v>
      </c>
      <c r="BS16" s="138" t="e">
        <f t="shared" si="37"/>
        <v>#NULL!</v>
      </c>
      <c r="BT16" s="137" t="s">
        <v>230</v>
      </c>
    </row>
    <row r="17" ht="15.6" spans="1:72">
      <c r="A17" s="100" t="s">
        <v>234</v>
      </c>
      <c r="B17" s="100" t="s">
        <v>251</v>
      </c>
      <c r="C17" s="100"/>
      <c r="D17" s="101" t="s">
        <v>252</v>
      </c>
      <c r="E17" s="102"/>
      <c r="F17" s="104">
        <f t="shared" si="18"/>
        <v>23.0923</v>
      </c>
      <c r="G17" s="105">
        <v>32.989</v>
      </c>
      <c r="H17" s="104" t="e">
        <f t="shared" si="19"/>
        <v>#NULL!</v>
      </c>
      <c r="I17" s="104" t="e">
        <f t="shared" si="20"/>
        <v>#NULL!</v>
      </c>
      <c r="J17" s="104">
        <v>23.09</v>
      </c>
      <c r="K17" s="105">
        <v>32.989</v>
      </c>
      <c r="L17" s="114">
        <f t="shared" si="21"/>
        <v>6.28238528581679</v>
      </c>
      <c r="M17" s="115">
        <f t="shared" si="22"/>
        <v>0.272082515626539</v>
      </c>
      <c r="N17" s="104">
        <f t="shared" si="23"/>
        <v>27.4908333333333</v>
      </c>
      <c r="O17" s="116">
        <f t="shared" si="24"/>
        <v>0.16008366425172</v>
      </c>
      <c r="P17" s="114">
        <f t="shared" si="25"/>
        <v>4.40083333333333</v>
      </c>
      <c r="Q17" s="104">
        <f t="shared" si="26"/>
        <v>62.7823008849558</v>
      </c>
      <c r="R17" s="104">
        <f t="shared" si="27"/>
        <v>0.75</v>
      </c>
      <c r="S17" s="100">
        <v>16</v>
      </c>
      <c r="T17" s="121">
        <v>7.4</v>
      </c>
      <c r="U17" s="122">
        <v>0.06</v>
      </c>
      <c r="V17" s="122">
        <v>0.1</v>
      </c>
      <c r="W17" s="122">
        <v>0.01</v>
      </c>
      <c r="X17" s="122">
        <f t="shared" si="28"/>
        <v>0.367435890609927</v>
      </c>
      <c r="Y17" s="122">
        <f t="shared" si="29"/>
        <v>0.032481593763534</v>
      </c>
      <c r="Z17" s="116">
        <v>0.158</v>
      </c>
      <c r="AA17" s="126">
        <f t="shared" si="30"/>
        <v>1.3854</v>
      </c>
      <c r="AB17" s="126">
        <f t="shared" si="31"/>
        <v>2.309</v>
      </c>
      <c r="AC17" s="126">
        <f t="shared" si="32"/>
        <v>0.2309</v>
      </c>
      <c r="AD17" s="104">
        <f t="shared" si="33"/>
        <v>3.64822</v>
      </c>
      <c r="AE17" s="104">
        <v>61</v>
      </c>
      <c r="AF17" s="127">
        <f t="shared" si="34"/>
        <v>53.9823008849558</v>
      </c>
      <c r="AG17" s="127">
        <v>8.8</v>
      </c>
      <c r="AH17" s="122">
        <f t="shared" si="35"/>
        <v>0.315933543741621</v>
      </c>
      <c r="AI17" s="122">
        <f t="shared" si="36"/>
        <v>0.0515023468683062</v>
      </c>
      <c r="AJ17" s="127">
        <v>8.8</v>
      </c>
      <c r="AK17" s="122"/>
      <c r="AL17" s="122"/>
      <c r="AM17" s="122"/>
      <c r="AN17" s="122"/>
      <c r="AO17" s="131"/>
      <c r="AP17" s="131"/>
      <c r="AQ17" s="131"/>
      <c r="AR17" s="131"/>
      <c r="AS17" s="131"/>
      <c r="AT17" s="131"/>
      <c r="AU17" s="131" t="s">
        <v>229</v>
      </c>
      <c r="AV17" s="131" t="s">
        <v>229</v>
      </c>
      <c r="AW17" s="131" t="s">
        <v>229</v>
      </c>
      <c r="AX17" s="131" t="s">
        <v>229</v>
      </c>
      <c r="AY17" s="131" t="s">
        <v>229</v>
      </c>
      <c r="AZ17" s="131" t="s">
        <v>229</v>
      </c>
      <c r="BA17" s="131" t="s">
        <v>229</v>
      </c>
      <c r="BB17" s="131" t="s">
        <v>229</v>
      </c>
      <c r="BC17" s="131" t="s">
        <v>229</v>
      </c>
      <c r="BD17" s="131" t="s">
        <v>229</v>
      </c>
      <c r="BE17" s="131" t="s">
        <v>229</v>
      </c>
      <c r="BF17" s="131" t="s">
        <v>229</v>
      </c>
      <c r="BG17" s="131" t="s">
        <v>229</v>
      </c>
      <c r="BH17" s="131" t="s">
        <v>229</v>
      </c>
      <c r="BI17" s="131" t="s">
        <v>229</v>
      </c>
      <c r="BJ17" s="131" t="s">
        <v>229</v>
      </c>
      <c r="BK17" s="131" t="s">
        <v>229</v>
      </c>
      <c r="BL17" s="131" t="s">
        <v>229</v>
      </c>
      <c r="BM17" s="131" t="s">
        <v>229</v>
      </c>
      <c r="BN17" s="131" t="s">
        <v>229</v>
      </c>
      <c r="BO17" s="131" t="s">
        <v>229</v>
      </c>
      <c r="BP17" s="131" t="s">
        <v>229</v>
      </c>
      <c r="BQ17" s="131" t="s">
        <v>229</v>
      </c>
      <c r="BR17" s="131" t="s">
        <v>229</v>
      </c>
      <c r="BS17" s="138" t="e">
        <f t="shared" si="37"/>
        <v>#NULL!</v>
      </c>
      <c r="BT17" s="137" t="s">
        <v>230</v>
      </c>
    </row>
    <row r="18" ht="15.6" spans="1:72">
      <c r="A18" s="100" t="s">
        <v>236</v>
      </c>
      <c r="B18" s="100" t="s">
        <v>251</v>
      </c>
      <c r="C18" s="100"/>
      <c r="D18" s="101" t="s">
        <v>253</v>
      </c>
      <c r="E18" s="102"/>
      <c r="F18" s="104">
        <f t="shared" si="18"/>
        <v>23.0923</v>
      </c>
      <c r="G18" s="105">
        <v>32.989</v>
      </c>
      <c r="H18" s="104" t="e">
        <f t="shared" si="19"/>
        <v>#NULL!</v>
      </c>
      <c r="I18" s="104" t="e">
        <f t="shared" si="20"/>
        <v>#NULL!</v>
      </c>
      <c r="J18" s="104">
        <v>23.09</v>
      </c>
      <c r="K18" s="105">
        <v>32.989</v>
      </c>
      <c r="L18" s="114">
        <f t="shared" si="21"/>
        <v>6.09113528581679</v>
      </c>
      <c r="M18" s="115">
        <f t="shared" si="22"/>
        <v>0.263799709216838</v>
      </c>
      <c r="N18" s="104">
        <f t="shared" si="23"/>
        <v>27.4908333333333</v>
      </c>
      <c r="O18" s="116">
        <f t="shared" si="24"/>
        <v>0.16008366425172</v>
      </c>
      <c r="P18" s="114">
        <f t="shared" si="25"/>
        <v>4.40083333333333</v>
      </c>
      <c r="Q18" s="104">
        <f t="shared" si="26"/>
        <v>62.7823008849558</v>
      </c>
      <c r="R18" s="104">
        <f t="shared" si="27"/>
        <v>0.94125</v>
      </c>
      <c r="S18" s="100">
        <v>16</v>
      </c>
      <c r="T18" s="121">
        <v>7.4</v>
      </c>
      <c r="U18" s="122">
        <v>0.06</v>
      </c>
      <c r="V18" s="122">
        <v>0.1</v>
      </c>
      <c r="W18" s="122">
        <v>0.01</v>
      </c>
      <c r="X18" s="122">
        <f t="shared" si="28"/>
        <v>0.367435890609927</v>
      </c>
      <c r="Y18" s="122">
        <f t="shared" si="29"/>
        <v>0.0407644001732352</v>
      </c>
      <c r="Z18" s="116">
        <v>0.158</v>
      </c>
      <c r="AA18" s="126">
        <f t="shared" si="30"/>
        <v>1.3854</v>
      </c>
      <c r="AB18" s="126">
        <f t="shared" si="31"/>
        <v>2.309</v>
      </c>
      <c r="AC18" s="126">
        <f t="shared" si="32"/>
        <v>0.2309</v>
      </c>
      <c r="AD18" s="104">
        <f t="shared" si="33"/>
        <v>3.64822</v>
      </c>
      <c r="AE18" s="104">
        <v>61</v>
      </c>
      <c r="AF18" s="127">
        <f t="shared" si="34"/>
        <v>53.9823008849558</v>
      </c>
      <c r="AG18" s="127">
        <v>8.8</v>
      </c>
      <c r="AH18" s="122">
        <f t="shared" si="35"/>
        <v>0.315933543741621</v>
      </c>
      <c r="AI18" s="122">
        <f t="shared" si="36"/>
        <v>0.0515023468683062</v>
      </c>
      <c r="AJ18" s="127">
        <v>8.8</v>
      </c>
      <c r="AK18" s="122"/>
      <c r="AL18" s="122"/>
      <c r="AM18" s="122"/>
      <c r="AN18" s="122"/>
      <c r="AO18" s="131"/>
      <c r="AP18" s="131"/>
      <c r="AQ18" s="131"/>
      <c r="AR18" s="131"/>
      <c r="AS18" s="131"/>
      <c r="AT18" s="131"/>
      <c r="AU18" s="131" t="s">
        <v>229</v>
      </c>
      <c r="AV18" s="131" t="s">
        <v>229</v>
      </c>
      <c r="AW18" s="131" t="s">
        <v>229</v>
      </c>
      <c r="AX18" s="131" t="s">
        <v>229</v>
      </c>
      <c r="AY18" s="131" t="s">
        <v>229</v>
      </c>
      <c r="AZ18" s="131" t="s">
        <v>229</v>
      </c>
      <c r="BA18" s="131" t="s">
        <v>229</v>
      </c>
      <c r="BB18" s="131" t="s">
        <v>229</v>
      </c>
      <c r="BC18" s="131" t="s">
        <v>229</v>
      </c>
      <c r="BD18" s="131" t="s">
        <v>229</v>
      </c>
      <c r="BE18" s="131" t="s">
        <v>229</v>
      </c>
      <c r="BF18" s="131" t="s">
        <v>229</v>
      </c>
      <c r="BG18" s="131" t="s">
        <v>229</v>
      </c>
      <c r="BH18" s="131" t="s">
        <v>229</v>
      </c>
      <c r="BI18" s="131" t="s">
        <v>229</v>
      </c>
      <c r="BJ18" s="131" t="s">
        <v>229</v>
      </c>
      <c r="BK18" s="131" t="s">
        <v>229</v>
      </c>
      <c r="BL18" s="131" t="s">
        <v>229</v>
      </c>
      <c r="BM18" s="131" t="s">
        <v>229</v>
      </c>
      <c r="BN18" s="131" t="s">
        <v>229</v>
      </c>
      <c r="BO18" s="131" t="s">
        <v>229</v>
      </c>
      <c r="BP18" s="131" t="s">
        <v>229</v>
      </c>
      <c r="BQ18" s="131" t="s">
        <v>229</v>
      </c>
      <c r="BR18" s="131" t="s">
        <v>229</v>
      </c>
      <c r="BS18" s="138" t="e">
        <f t="shared" si="37"/>
        <v>#NULL!</v>
      </c>
      <c r="BT18" s="137" t="s">
        <v>230</v>
      </c>
    </row>
    <row r="19" ht="15.6" spans="1:72">
      <c r="A19" s="100" t="s">
        <v>238</v>
      </c>
      <c r="B19" s="100" t="s">
        <v>251</v>
      </c>
      <c r="C19" s="100"/>
      <c r="D19" s="101" t="s">
        <v>254</v>
      </c>
      <c r="E19" s="102"/>
      <c r="F19" s="104">
        <f t="shared" si="18"/>
        <v>23.0923</v>
      </c>
      <c r="G19" s="105">
        <v>32.989</v>
      </c>
      <c r="H19" s="104" t="e">
        <f t="shared" si="19"/>
        <v>#NULL!</v>
      </c>
      <c r="I19" s="104" t="e">
        <f t="shared" si="20"/>
        <v>#NULL!</v>
      </c>
      <c r="J19" s="104">
        <v>23.09</v>
      </c>
      <c r="K19" s="105">
        <v>32.989</v>
      </c>
      <c r="L19" s="114">
        <f t="shared" si="21"/>
        <v>5.87613528581679</v>
      </c>
      <c r="M19" s="115">
        <f t="shared" si="22"/>
        <v>0.254488319004625</v>
      </c>
      <c r="N19" s="104">
        <f t="shared" si="23"/>
        <v>27.4908333333333</v>
      </c>
      <c r="O19" s="116">
        <f t="shared" si="24"/>
        <v>0.16008366425172</v>
      </c>
      <c r="P19" s="114">
        <f t="shared" si="25"/>
        <v>4.40083333333333</v>
      </c>
      <c r="Q19" s="104">
        <f t="shared" si="26"/>
        <v>62.7823008849558</v>
      </c>
      <c r="R19" s="104">
        <f t="shared" si="27"/>
        <v>1.15625</v>
      </c>
      <c r="S19" s="100">
        <v>16</v>
      </c>
      <c r="T19" s="121">
        <v>7.4</v>
      </c>
      <c r="U19" s="122">
        <v>0.06</v>
      </c>
      <c r="V19" s="122">
        <v>0.1</v>
      </c>
      <c r="W19" s="122">
        <v>0.01</v>
      </c>
      <c r="X19" s="122">
        <f t="shared" si="28"/>
        <v>0.367435890609927</v>
      </c>
      <c r="Y19" s="122">
        <f t="shared" si="29"/>
        <v>0.0500757903854482</v>
      </c>
      <c r="Z19" s="116">
        <v>0.158</v>
      </c>
      <c r="AA19" s="126">
        <f t="shared" si="30"/>
        <v>1.3854</v>
      </c>
      <c r="AB19" s="126">
        <f t="shared" si="31"/>
        <v>2.309</v>
      </c>
      <c r="AC19" s="126">
        <f t="shared" si="32"/>
        <v>0.2309</v>
      </c>
      <c r="AD19" s="104">
        <f t="shared" si="33"/>
        <v>3.64822</v>
      </c>
      <c r="AE19" s="104">
        <v>61</v>
      </c>
      <c r="AF19" s="127">
        <f t="shared" si="34"/>
        <v>53.9823008849558</v>
      </c>
      <c r="AG19" s="127">
        <v>8.8</v>
      </c>
      <c r="AH19" s="122">
        <f t="shared" si="35"/>
        <v>0.315933543741621</v>
      </c>
      <c r="AI19" s="122">
        <f t="shared" si="36"/>
        <v>0.0515023468683062</v>
      </c>
      <c r="AJ19" s="127">
        <v>8.8</v>
      </c>
      <c r="AK19" s="122"/>
      <c r="AL19" s="122"/>
      <c r="AM19" s="122"/>
      <c r="AN19" s="122"/>
      <c r="AO19" s="131"/>
      <c r="AP19" s="131"/>
      <c r="AQ19" s="131"/>
      <c r="AR19" s="131"/>
      <c r="AS19" s="131"/>
      <c r="AT19" s="131"/>
      <c r="AU19" s="131" t="s">
        <v>229</v>
      </c>
      <c r="AV19" s="131" t="s">
        <v>229</v>
      </c>
      <c r="AW19" s="131" t="s">
        <v>229</v>
      </c>
      <c r="AX19" s="131" t="s">
        <v>229</v>
      </c>
      <c r="AY19" s="131" t="s">
        <v>229</v>
      </c>
      <c r="AZ19" s="131" t="s">
        <v>229</v>
      </c>
      <c r="BA19" s="131" t="s">
        <v>229</v>
      </c>
      <c r="BB19" s="131" t="s">
        <v>229</v>
      </c>
      <c r="BC19" s="131" t="s">
        <v>229</v>
      </c>
      <c r="BD19" s="131" t="s">
        <v>229</v>
      </c>
      <c r="BE19" s="131" t="s">
        <v>229</v>
      </c>
      <c r="BF19" s="131" t="s">
        <v>229</v>
      </c>
      <c r="BG19" s="131" t="s">
        <v>229</v>
      </c>
      <c r="BH19" s="131" t="s">
        <v>229</v>
      </c>
      <c r="BI19" s="131" t="s">
        <v>229</v>
      </c>
      <c r="BJ19" s="131" t="s">
        <v>229</v>
      </c>
      <c r="BK19" s="131" t="s">
        <v>229</v>
      </c>
      <c r="BL19" s="131" t="s">
        <v>229</v>
      </c>
      <c r="BM19" s="131" t="s">
        <v>229</v>
      </c>
      <c r="BN19" s="131" t="s">
        <v>229</v>
      </c>
      <c r="BO19" s="131" t="s">
        <v>229</v>
      </c>
      <c r="BP19" s="131" t="s">
        <v>229</v>
      </c>
      <c r="BQ19" s="131" t="s">
        <v>229</v>
      </c>
      <c r="BR19" s="131" t="s">
        <v>229</v>
      </c>
      <c r="BS19" s="138" t="e">
        <f t="shared" si="37"/>
        <v>#NULL!</v>
      </c>
      <c r="BT19" s="137" t="s">
        <v>230</v>
      </c>
    </row>
    <row r="20" ht="15.6" spans="1:72">
      <c r="A20" s="100" t="s">
        <v>240</v>
      </c>
      <c r="B20" s="100" t="s">
        <v>251</v>
      </c>
      <c r="C20" s="100"/>
      <c r="D20" s="101" t="s">
        <v>255</v>
      </c>
      <c r="E20" s="102"/>
      <c r="F20" s="104">
        <f t="shared" si="18"/>
        <v>23.0923</v>
      </c>
      <c r="G20" s="105">
        <v>32.989</v>
      </c>
      <c r="H20" s="104" t="e">
        <f t="shared" si="19"/>
        <v>#NULL!</v>
      </c>
      <c r="I20" s="104" t="e">
        <f t="shared" si="20"/>
        <v>#NULL!</v>
      </c>
      <c r="J20" s="104">
        <v>23.09</v>
      </c>
      <c r="K20" s="105">
        <v>32.989</v>
      </c>
      <c r="L20" s="114">
        <f t="shared" si="21"/>
        <v>6.07801028581679</v>
      </c>
      <c r="M20" s="115">
        <f t="shared" si="22"/>
        <v>0.263231281325976</v>
      </c>
      <c r="N20" s="104">
        <f t="shared" si="23"/>
        <v>27.4908333333333</v>
      </c>
      <c r="O20" s="116">
        <f t="shared" si="24"/>
        <v>0.16008366425172</v>
      </c>
      <c r="P20" s="114">
        <f t="shared" si="25"/>
        <v>4.40083333333333</v>
      </c>
      <c r="Q20" s="104">
        <f t="shared" si="26"/>
        <v>62.7823008849558</v>
      </c>
      <c r="R20" s="104">
        <f t="shared" si="27"/>
        <v>0.954375</v>
      </c>
      <c r="S20" s="100">
        <v>16</v>
      </c>
      <c r="T20" s="121">
        <v>7.4</v>
      </c>
      <c r="U20" s="122">
        <v>0.06</v>
      </c>
      <c r="V20" s="122">
        <v>0.1</v>
      </c>
      <c r="W20" s="122">
        <v>0.01</v>
      </c>
      <c r="X20" s="122">
        <f t="shared" si="28"/>
        <v>0.367435890609927</v>
      </c>
      <c r="Y20" s="122">
        <f t="shared" si="29"/>
        <v>0.041332828064097</v>
      </c>
      <c r="Z20" s="116">
        <v>0.158</v>
      </c>
      <c r="AA20" s="126">
        <f t="shared" si="30"/>
        <v>1.3854</v>
      </c>
      <c r="AB20" s="126">
        <f t="shared" si="31"/>
        <v>2.309</v>
      </c>
      <c r="AC20" s="126">
        <f t="shared" si="32"/>
        <v>0.2309</v>
      </c>
      <c r="AD20" s="104">
        <f t="shared" si="33"/>
        <v>3.64822</v>
      </c>
      <c r="AE20" s="104">
        <v>61</v>
      </c>
      <c r="AF20" s="127">
        <f t="shared" si="34"/>
        <v>53.9823008849558</v>
      </c>
      <c r="AG20" s="127">
        <v>8.8</v>
      </c>
      <c r="AH20" s="122">
        <f t="shared" si="35"/>
        <v>0.315933543741621</v>
      </c>
      <c r="AI20" s="122">
        <f t="shared" si="36"/>
        <v>0.0515023468683062</v>
      </c>
      <c r="AJ20" s="127">
        <v>8.8</v>
      </c>
      <c r="AK20" s="122"/>
      <c r="AL20" s="122"/>
      <c r="AM20" s="122"/>
      <c r="AN20" s="122"/>
      <c r="AO20" s="131"/>
      <c r="AP20" s="131"/>
      <c r="AQ20" s="131"/>
      <c r="AR20" s="131"/>
      <c r="AS20" s="131"/>
      <c r="AT20" s="131"/>
      <c r="AU20" s="131" t="s">
        <v>229</v>
      </c>
      <c r="AV20" s="131" t="s">
        <v>229</v>
      </c>
      <c r="AW20" s="131" t="s">
        <v>229</v>
      </c>
      <c r="AX20" s="131" t="s">
        <v>229</v>
      </c>
      <c r="AY20" s="131" t="s">
        <v>229</v>
      </c>
      <c r="AZ20" s="131" t="s">
        <v>229</v>
      </c>
      <c r="BA20" s="131" t="s">
        <v>229</v>
      </c>
      <c r="BB20" s="131" t="s">
        <v>229</v>
      </c>
      <c r="BC20" s="131" t="s">
        <v>229</v>
      </c>
      <c r="BD20" s="131" t="s">
        <v>229</v>
      </c>
      <c r="BE20" s="131" t="s">
        <v>229</v>
      </c>
      <c r="BF20" s="131" t="s">
        <v>229</v>
      </c>
      <c r="BG20" s="131" t="s">
        <v>229</v>
      </c>
      <c r="BH20" s="131" t="s">
        <v>229</v>
      </c>
      <c r="BI20" s="131" t="s">
        <v>229</v>
      </c>
      <c r="BJ20" s="131" t="s">
        <v>229</v>
      </c>
      <c r="BK20" s="131" t="s">
        <v>229</v>
      </c>
      <c r="BL20" s="131" t="s">
        <v>229</v>
      </c>
      <c r="BM20" s="131" t="s">
        <v>229</v>
      </c>
      <c r="BN20" s="131" t="s">
        <v>229</v>
      </c>
      <c r="BO20" s="131" t="s">
        <v>229</v>
      </c>
      <c r="BP20" s="131" t="s">
        <v>229</v>
      </c>
      <c r="BQ20" s="131" t="s">
        <v>229</v>
      </c>
      <c r="BR20" s="131" t="s">
        <v>229</v>
      </c>
      <c r="BS20" s="138" t="e">
        <f t="shared" si="37"/>
        <v>#NULL!</v>
      </c>
      <c r="BT20" s="137" t="s">
        <v>230</v>
      </c>
    </row>
  </sheetData>
  <conditionalFormatting sqref="M2">
    <cfRule type="cellIs" dxfId="1" priority="80" operator="lessThanOrEqual">
      <formula>0</formula>
    </cfRule>
    <cfRule type="cellIs" dxfId="1" priority="130" operator="lessThanOrEqual">
      <formula>0</formula>
    </cfRule>
  </conditionalFormatting>
  <conditionalFormatting sqref="M7:M20">
    <cfRule type="cellIs" dxfId="1" priority="3" operator="lessThanOrEqual">
      <formula>0</formula>
    </cfRule>
    <cfRule type="cellIs" dxfId="1" priority="10" operator="lessThanOrEqual">
      <formula>0</formula>
    </cfRule>
    <cfRule type="cellIs" dxfId="1" priority="16" operator="lessThanOrEqual">
      <formula>0</formula>
    </cfRule>
    <cfRule type="cellIs" dxfId="1" priority="34" operator="lessThanOrEqual">
      <formula>0</formula>
    </cfRule>
    <cfRule type="cellIs" dxfId="1" priority="40" operator="lessThanOrEqual">
      <formula>0</formula>
    </cfRule>
    <cfRule type="cellIs" dxfId="1" priority="43" operator="lessThanOrEqual">
      <formula>0</formula>
    </cfRule>
    <cfRule type="cellIs" dxfId="1" priority="68" operator="lessThanOrEqual">
      <formula>0</formula>
    </cfRule>
    <cfRule type="cellIs" dxfId="1" priority="78" operator="lessThanOrEqual">
      <formula>0</formula>
    </cfRule>
    <cfRule type="cellIs" dxfId="1" priority="82" operator="lessThanOrEqual">
      <formula>0</formula>
    </cfRule>
    <cfRule type="cellIs" dxfId="1" priority="86" operator="lessThanOrEqual">
      <formula>0</formula>
    </cfRule>
    <cfRule type="cellIs" dxfId="1" priority="90" operator="lessThanOrEqual">
      <formula>0</formula>
    </cfRule>
    <cfRule type="cellIs" dxfId="1" priority="105" operator="lessThanOrEqual">
      <formula>0</formula>
    </cfRule>
    <cfRule type="cellIs" dxfId="1" priority="113" operator="lessThanOrEqual">
      <formula>0</formula>
    </cfRule>
    <cfRule type="cellIs" dxfId="1" priority="118" operator="lessThanOrEqual">
      <formula>0</formula>
    </cfRule>
    <cfRule type="cellIs" dxfId="1" priority="125" operator="lessThanOrEqual">
      <formula>0</formula>
    </cfRule>
    <cfRule type="cellIs" dxfId="1" priority="142" operator="lessThanOrEqual">
      <formula>0</formula>
    </cfRule>
  </conditionalFormatting>
  <conditionalFormatting sqref="M9:M20">
    <cfRule type="cellIs" dxfId="1" priority="1" operator="lessThanOrEqual">
      <formula>0</formula>
    </cfRule>
    <cfRule type="cellIs" dxfId="1" priority="2" operator="lessThanOrEqual">
      <formula>0</formula>
    </cfRule>
    <cfRule type="cellIs" dxfId="1" priority="4" operator="lessThanOrEqual">
      <formula>0</formula>
    </cfRule>
    <cfRule type="cellIs" dxfId="1" priority="7" operator="lessThanOrEqual">
      <formula>0</formula>
    </cfRule>
    <cfRule type="cellIs" dxfId="1" priority="19" operator="lessThanOrEqual">
      <formula>0</formula>
    </cfRule>
    <cfRule type="cellIs" dxfId="1" priority="28" operator="lessThanOrEqual">
      <formula>0</formula>
    </cfRule>
    <cfRule type="cellIs" dxfId="1" priority="32" operator="lessThanOrEqual">
      <formula>0</formula>
    </cfRule>
    <cfRule type="cellIs" dxfId="1" priority="33" operator="lessThanOrEqual">
      <formula>0</formula>
    </cfRule>
    <cfRule type="cellIs" dxfId="1" priority="35" operator="lessThanOrEqual">
      <formula>0</formula>
    </cfRule>
    <cfRule type="cellIs" dxfId="1" priority="39" operator="lessThanOrEqual">
      <formula>0</formula>
    </cfRule>
    <cfRule type="cellIs" dxfId="1" priority="41" operator="lessThanOrEqual">
      <formula>0</formula>
    </cfRule>
    <cfRule type="cellIs" dxfId="1" priority="42" operator="lessThanOrEqual">
      <formula>0</formula>
    </cfRule>
    <cfRule type="cellIs" dxfId="1" priority="44" operator="lessThanOrEqual">
      <formula>0</formula>
    </cfRule>
    <cfRule type="cellIs" dxfId="1" priority="45" operator="lessThanOrEqual">
      <formula>0</formula>
    </cfRule>
    <cfRule type="cellIs" dxfId="1" priority="48" operator="lessThanOrEqual">
      <formula>0</formula>
    </cfRule>
    <cfRule type="cellIs" dxfId="1" priority="51" operator="lessThanOrEqual">
      <formula>0</formula>
    </cfRule>
    <cfRule type="cellIs" dxfId="1" priority="52" operator="lessThanOrEqual">
      <formula>0</formula>
    </cfRule>
    <cfRule type="cellIs" dxfId="1" priority="55" operator="lessThanOrEqual">
      <formula>0</formula>
    </cfRule>
    <cfRule type="cellIs" dxfId="1" priority="56" operator="lessThanOrEqual">
      <formula>0</formula>
    </cfRule>
    <cfRule type="cellIs" dxfId="1" priority="58" operator="lessThanOrEqual">
      <formula>0</formula>
    </cfRule>
    <cfRule type="cellIs" dxfId="1" priority="59" operator="lessThanOrEqual">
      <formula>0</formula>
    </cfRule>
    <cfRule type="cellIs" dxfId="1" priority="62" operator="lessThanOrEqual">
      <formula>0</formula>
    </cfRule>
    <cfRule type="cellIs" dxfId="1" priority="65" operator="lessThanOrEqual">
      <formula>0</formula>
    </cfRule>
    <cfRule type="cellIs" dxfId="1" priority="66" operator="lessThanOrEqual">
      <formula>0</formula>
    </cfRule>
    <cfRule type="cellIs" dxfId="1" priority="69" operator="lessThanOrEqual">
      <formula>0</formula>
    </cfRule>
    <cfRule type="cellIs" dxfId="1" priority="70" operator="lessThanOrEqual">
      <formula>0</formula>
    </cfRule>
    <cfRule type="cellIs" dxfId="1" priority="71" operator="lessThanOrEqual">
      <formula>0</formula>
    </cfRule>
    <cfRule type="cellIs" dxfId="1" priority="76" operator="lessThanOrEqual">
      <formula>0</formula>
    </cfRule>
    <cfRule type="cellIs" dxfId="1" priority="79" operator="lessThanOrEqual">
      <formula>0</formula>
    </cfRule>
    <cfRule type="cellIs" dxfId="1" priority="81" operator="lessThanOrEqual">
      <formula>0</formula>
    </cfRule>
    <cfRule type="cellIs" dxfId="1" priority="83" operator="lessThanOrEqual">
      <formula>0</formula>
    </cfRule>
    <cfRule type="cellIs" dxfId="1" priority="84" operator="lessThanOrEqual">
      <formula>0</formula>
    </cfRule>
    <cfRule type="cellIs" dxfId="1" priority="88" operator="lessThanOrEqual">
      <formula>0</formula>
    </cfRule>
    <cfRule type="cellIs" dxfId="1" priority="92" operator="lessThanOrEqual">
      <formula>0</formula>
    </cfRule>
    <cfRule type="cellIs" dxfId="1" priority="94" operator="lessThanOrEqual">
      <formula>0</formula>
    </cfRule>
    <cfRule type="cellIs" dxfId="1" priority="95" operator="lessThanOrEqual">
      <formula>0</formula>
    </cfRule>
    <cfRule type="cellIs" dxfId="1" priority="96" operator="lessThanOrEqual">
      <formula>0</formula>
    </cfRule>
    <cfRule type="cellIs" dxfId="1" priority="99" operator="lessThanOrEqual">
      <formula>0</formula>
    </cfRule>
    <cfRule type="cellIs" dxfId="1" priority="101" operator="lessThanOrEqual">
      <formula>0</formula>
    </cfRule>
    <cfRule type="cellIs" dxfId="1" priority="102" operator="lessThanOrEqual">
      <formula>0</formula>
    </cfRule>
    <cfRule type="cellIs" dxfId="1" priority="104" operator="lessThanOrEqual">
      <formula>0</formula>
    </cfRule>
    <cfRule type="cellIs" dxfId="1" priority="106" operator="lessThanOrEqual">
      <formula>0</formula>
    </cfRule>
    <cfRule type="cellIs" dxfId="1" priority="112" operator="lessThanOrEqual">
      <formula>0</formula>
    </cfRule>
    <cfRule type="cellIs" dxfId="1" priority="115" operator="lessThanOrEqual">
      <formula>0</formula>
    </cfRule>
    <cfRule type="cellIs" dxfId="1" priority="119" operator="lessThanOrEqual">
      <formula>0</formula>
    </cfRule>
    <cfRule type="cellIs" dxfId="1" priority="121" operator="lessThanOrEqual">
      <formula>0</formula>
    </cfRule>
    <cfRule type="cellIs" dxfId="1" priority="122" operator="lessThanOrEqual">
      <formula>0</formula>
    </cfRule>
    <cfRule type="cellIs" dxfId="1" priority="123" operator="lessThanOrEqual">
      <formula>0</formula>
    </cfRule>
    <cfRule type="cellIs" dxfId="1" priority="126" operator="lessThanOrEqual">
      <formula>0</formula>
    </cfRule>
    <cfRule type="cellIs" dxfId="1" priority="129" operator="lessThanOrEqual">
      <formula>0</formula>
    </cfRule>
    <cfRule type="cellIs" dxfId="1" priority="132" operator="lessThanOrEqual">
      <formula>0</formula>
    </cfRule>
    <cfRule type="cellIs" dxfId="1" priority="135" operator="lessThanOrEqual">
      <formula>0</formula>
    </cfRule>
    <cfRule type="cellIs" dxfId="1" priority="136" operator="lessThanOrEqual">
      <formula>0</formula>
    </cfRule>
    <cfRule type="cellIs" dxfId="1" priority="140" operator="lessThanOrEqual">
      <formula>0</formula>
    </cfRule>
  </conditionalFormatting>
  <conditionalFormatting sqref="L1:M1 Q1:R1 AA1">
    <cfRule type="cellIs" dxfId="1" priority="128" operator="lessThanOrEqual">
      <formula>0</formula>
    </cfRule>
  </conditionalFormatting>
  <conditionalFormatting sqref="L2:L20 M7:M20 AA7:AC20">
    <cfRule type="cellIs" dxfId="1" priority="30" operator="lessThanOrEqual">
      <formula>0</formula>
    </cfRule>
  </conditionalFormatting>
  <conditionalFormatting sqref="M2 AA2:AC2">
    <cfRule type="cellIs" dxfId="1" priority="37" operator="lessThanOrEqual">
      <formula>0</formula>
    </cfRule>
  </conditionalFormatting>
  <conditionalFormatting sqref="M3:M6 M10:M20 AA3:AC6 AA10:AC20">
    <cfRule type="cellIs" dxfId="1" priority="114" operator="lessThanOrEqual">
      <formula>0</formula>
    </cfRule>
  </conditionalFormatting>
  <conditionalFormatting sqref="M7:M20 AA7:AC20">
    <cfRule type="cellIs" dxfId="1" priority="11" operator="lessThanOrEqual">
      <formula>0</formula>
    </cfRule>
    <cfRule type="cellIs" dxfId="1" priority="15" operator="lessThanOrEqual">
      <formula>0</formula>
    </cfRule>
    <cfRule type="cellIs" dxfId="1" priority="17" operator="lessThanOrEqual">
      <formula>0</formula>
    </cfRule>
    <cfRule type="cellIs" dxfId="1" priority="24" operator="lessThanOrEqual">
      <formula>0</formula>
    </cfRule>
    <cfRule type="cellIs" dxfId="1" priority="27" operator="lessThanOrEqual">
      <formula>0</formula>
    </cfRule>
    <cfRule type="cellIs" dxfId="1" priority="57" operator="lessThanOrEqual">
      <formula>0</formula>
    </cfRule>
    <cfRule type="cellIs" dxfId="1" priority="89" operator="lessThanOrEqual">
      <formula>0</formula>
    </cfRule>
    <cfRule type="cellIs" dxfId="1" priority="91" operator="lessThanOrEqual">
      <formula>0</formula>
    </cfRule>
    <cfRule type="cellIs" dxfId="1" priority="97" operator="lessThanOrEqual">
      <formula>0</formula>
    </cfRule>
    <cfRule type="cellIs" dxfId="1" priority="108" operator="lessThanOrEqual">
      <formula>0</formula>
    </cfRule>
    <cfRule type="cellIs" dxfId="1" priority="116" operator="lessThanOrEqual">
      <formula>0</formula>
    </cfRule>
    <cfRule type="cellIs" dxfId="1" priority="117" operator="lessThanOrEqual">
      <formula>0</formula>
    </cfRule>
    <cfRule type="cellIs" dxfId="1" priority="131" operator="lessThanOrEqual">
      <formula>0</formula>
    </cfRule>
    <cfRule type="cellIs" dxfId="1" priority="134" operator="lessThanOrEqual">
      <formula>0</formula>
    </cfRule>
    <cfRule type="cellIs" dxfId="1" priority="138" operator="lessThanOrEqual">
      <formula>0</formula>
    </cfRule>
  </conditionalFormatting>
  <conditionalFormatting sqref="M9:M20 AA9:AC20">
    <cfRule type="cellIs" dxfId="1" priority="5" operator="lessThanOrEqual">
      <formula>0</formula>
    </cfRule>
    <cfRule type="cellIs" dxfId="1" priority="6" operator="lessThanOrEqual">
      <formula>0</formula>
    </cfRule>
    <cfRule type="cellIs" dxfId="1" priority="8" operator="lessThanOrEqual">
      <formula>0</formula>
    </cfRule>
    <cfRule type="cellIs" dxfId="1" priority="9" operator="lessThanOrEqual">
      <formula>0</formula>
    </cfRule>
    <cfRule type="cellIs" dxfId="1" priority="12" operator="lessThanOrEqual">
      <formula>0</formula>
    </cfRule>
    <cfRule type="cellIs" dxfId="1" priority="13" operator="lessThanOrEqual">
      <formula>0</formula>
    </cfRule>
    <cfRule type="cellIs" dxfId="1" priority="14" operator="lessThanOrEqual">
      <formula>0</formula>
    </cfRule>
    <cfRule type="cellIs" dxfId="1" priority="18" operator="lessThanOrEqual">
      <formula>0</formula>
    </cfRule>
    <cfRule type="cellIs" dxfId="1" priority="20" operator="lessThanOrEqual">
      <formula>0</formula>
    </cfRule>
    <cfRule type="cellIs" dxfId="1" priority="21" operator="lessThanOrEqual">
      <formula>0</formula>
    </cfRule>
    <cfRule type="cellIs" dxfId="1" priority="22" operator="lessThanOrEqual">
      <formula>0</formula>
    </cfRule>
    <cfRule type="cellIs" dxfId="1" priority="23" operator="lessThanOrEqual">
      <formula>0</formula>
    </cfRule>
    <cfRule type="cellIs" dxfId="1" priority="25" operator="lessThanOrEqual">
      <formula>0</formula>
    </cfRule>
    <cfRule type="cellIs" dxfId="1" priority="26" operator="lessThanOrEqual">
      <formula>0</formula>
    </cfRule>
    <cfRule type="cellIs" dxfId="1" priority="29" operator="lessThanOrEqual">
      <formula>0</formula>
    </cfRule>
    <cfRule type="cellIs" dxfId="1" priority="31" operator="lessThanOrEqual">
      <formula>0</formula>
    </cfRule>
    <cfRule type="cellIs" dxfId="1" priority="36" operator="lessThanOrEqual">
      <formula>0</formula>
    </cfRule>
    <cfRule type="cellIs" dxfId="1" priority="38" operator="lessThanOrEqual">
      <formula>0</formula>
    </cfRule>
    <cfRule type="cellIs" dxfId="1" priority="46" operator="lessThanOrEqual">
      <formula>0</formula>
    </cfRule>
    <cfRule type="cellIs" dxfId="1" priority="47" operator="lessThanOrEqual">
      <formula>0</formula>
    </cfRule>
    <cfRule type="cellIs" dxfId="1" priority="49" operator="lessThanOrEqual">
      <formula>0</formula>
    </cfRule>
    <cfRule type="cellIs" dxfId="1" priority="50" operator="lessThanOrEqual">
      <formula>0</formula>
    </cfRule>
    <cfRule type="cellIs" dxfId="1" priority="53" operator="lessThanOrEqual">
      <formula>0</formula>
    </cfRule>
    <cfRule type="cellIs" dxfId="1" priority="54" operator="lessThanOrEqual">
      <formula>0</formula>
    </cfRule>
    <cfRule type="cellIs" dxfId="1" priority="60" operator="lessThanOrEqual">
      <formula>0</formula>
    </cfRule>
    <cfRule type="cellIs" dxfId="1" priority="61" operator="lessThanOrEqual">
      <formula>0</formula>
    </cfRule>
    <cfRule type="cellIs" dxfId="1" priority="63" operator="lessThanOrEqual">
      <formula>0</formula>
    </cfRule>
    <cfRule type="cellIs" dxfId="1" priority="64" operator="lessThanOrEqual">
      <formula>0</formula>
    </cfRule>
    <cfRule type="cellIs" dxfId="1" priority="67" operator="lessThanOrEqual">
      <formula>0</formula>
    </cfRule>
    <cfRule type="cellIs" dxfId="1" priority="72" operator="lessThanOrEqual">
      <formula>0</formula>
    </cfRule>
    <cfRule type="cellIs" dxfId="1" priority="73" operator="lessThanOrEqual">
      <formula>0</formula>
    </cfRule>
    <cfRule type="cellIs" dxfId="1" priority="74" operator="lessThanOrEqual">
      <formula>0</formula>
    </cfRule>
    <cfRule type="cellIs" dxfId="1" priority="75" operator="lessThanOrEqual">
      <formula>0</formula>
    </cfRule>
    <cfRule type="cellIs" dxfId="1" priority="77" operator="lessThanOrEqual">
      <formula>0</formula>
    </cfRule>
    <cfRule type="cellIs" dxfId="1" priority="85" operator="lessThanOrEqual">
      <formula>0</formula>
    </cfRule>
    <cfRule type="cellIs" dxfId="1" priority="87" operator="lessThanOrEqual">
      <formula>0</formula>
    </cfRule>
    <cfRule type="cellIs" dxfId="1" priority="93" operator="lessThanOrEqual">
      <formula>0</formula>
    </cfRule>
    <cfRule type="cellIs" dxfId="1" priority="98" operator="lessThanOrEqual">
      <formula>0</formula>
    </cfRule>
    <cfRule type="cellIs" dxfId="1" priority="100" operator="lessThanOrEqual">
      <formula>0</formula>
    </cfRule>
    <cfRule type="cellIs" dxfId="1" priority="103" operator="lessThanOrEqual">
      <formula>0</formula>
    </cfRule>
    <cfRule type="cellIs" dxfId="1" priority="107" operator="lessThanOrEqual">
      <formula>0</formula>
    </cfRule>
    <cfRule type="cellIs" dxfId="1" priority="109" operator="lessThanOrEqual">
      <formula>0</formula>
    </cfRule>
    <cfRule type="cellIs" dxfId="1" priority="110" operator="lessThanOrEqual">
      <formula>0</formula>
    </cfRule>
    <cfRule type="cellIs" dxfId="1" priority="111" operator="lessThanOrEqual">
      <formula>0</formula>
    </cfRule>
    <cfRule type="cellIs" dxfId="1" priority="120" operator="lessThanOrEqual">
      <formula>0</formula>
    </cfRule>
    <cfRule type="cellIs" dxfId="1" priority="124" operator="lessThanOrEqual">
      <formula>0</formula>
    </cfRule>
    <cfRule type="cellIs" dxfId="1" priority="127" operator="lessThanOrEqual">
      <formula>0</formula>
    </cfRule>
    <cfRule type="cellIs" dxfId="1" priority="133" operator="lessThanOrEqual">
      <formula>0</formula>
    </cfRule>
    <cfRule type="cellIs" dxfId="1" priority="137" operator="lessThanOrEqual">
      <formula>0</formula>
    </cfRule>
    <cfRule type="cellIs" dxfId="1" priority="139" operator="lessThanOrEqual">
      <formula>0</formula>
    </cfRule>
    <cfRule type="cellIs" dxfId="1" priority="141" operator="lessThanOrEqual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showGridLines="0" workbookViewId="0">
      <selection activeCell="A1" sqref="A1"/>
    </sheetView>
  </sheetViews>
  <sheetFormatPr defaultColWidth="17" defaultRowHeight="11.4"/>
  <cols>
    <col min="1" max="1" width="5.76041666666667" customWidth="1"/>
    <col min="2" max="2" width="8.72916666666667" customWidth="1"/>
    <col min="3" max="9" width="14.3229166666667" customWidth="1"/>
    <col min="10" max="10" width="26.1875" customWidth="1"/>
    <col min="11" max="11" width="3.13541666666667" customWidth="1"/>
    <col min="12" max="18" width="9.60416666666667" customWidth="1"/>
    <col min="19" max="19" width="3.13541666666667" customWidth="1"/>
    <col min="20" max="20" width="13.1041666666667" customWidth="1"/>
  </cols>
  <sheetData>
    <row r="1" ht="11.25" customHeight="1" spans="1:20">
      <c r="A1" s="54"/>
      <c r="B1" s="54"/>
      <c r="C1" s="54"/>
      <c r="D1" s="55"/>
      <c r="E1" s="55"/>
      <c r="F1" s="55"/>
      <c r="G1" s="54"/>
      <c r="H1" s="54"/>
      <c r="I1" s="54"/>
      <c r="J1" s="54"/>
      <c r="K1" s="54"/>
      <c r="L1" s="54"/>
      <c r="M1" s="64"/>
      <c r="N1" s="64"/>
      <c r="O1" s="64"/>
      <c r="P1" s="64"/>
      <c r="Q1" s="64"/>
      <c r="R1" s="64"/>
      <c r="S1" s="64"/>
      <c r="T1" s="54"/>
    </row>
    <row r="2" ht="45" customHeight="1" spans="1:20">
      <c r="A2" s="54"/>
      <c r="B2" s="56" t="s">
        <v>285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64"/>
      <c r="T2" s="54"/>
    </row>
    <row r="3" ht="11.25" customHeight="1" spans="1:20">
      <c r="A3" s="54"/>
      <c r="B3" s="54"/>
      <c r="C3" s="54"/>
      <c r="D3" s="55"/>
      <c r="E3" s="55"/>
      <c r="F3" s="55"/>
      <c r="G3" s="54"/>
      <c r="H3" s="54"/>
      <c r="I3" s="54"/>
      <c r="J3" s="54"/>
      <c r="K3" s="54"/>
      <c r="L3" s="54"/>
      <c r="M3" s="64"/>
      <c r="N3" s="64"/>
      <c r="O3" s="64"/>
      <c r="P3" s="64"/>
      <c r="Q3" s="64"/>
      <c r="R3" s="64"/>
      <c r="S3" s="64"/>
      <c r="T3" s="54"/>
    </row>
    <row r="4" ht="23.25" customHeight="1" spans="1:20">
      <c r="A4" s="54"/>
      <c r="B4" s="57" t="s">
        <v>286</v>
      </c>
      <c r="C4" s="57" t="s">
        <v>287</v>
      </c>
      <c r="D4" s="58" t="s">
        <v>288</v>
      </c>
      <c r="E4" s="58" t="s">
        <v>289</v>
      </c>
      <c r="F4" s="58" t="s">
        <v>290</v>
      </c>
      <c r="G4" s="57" t="s">
        <v>291</v>
      </c>
      <c r="H4" s="57" t="s">
        <v>292</v>
      </c>
      <c r="I4" s="57" t="s">
        <v>293</v>
      </c>
      <c r="J4" s="57" t="s">
        <v>38</v>
      </c>
      <c r="K4" s="54"/>
      <c r="L4" s="65"/>
      <c r="M4" s="66"/>
      <c r="N4" s="66"/>
      <c r="O4" s="67"/>
      <c r="P4" s="67"/>
      <c r="Q4" s="67"/>
      <c r="R4" s="85"/>
      <c r="S4" s="64"/>
      <c r="T4" s="54"/>
    </row>
    <row r="5" ht="20.25" customHeight="1" spans="1:20">
      <c r="A5" s="54"/>
      <c r="B5" s="59">
        <v>1</v>
      </c>
      <c r="C5" s="59" t="s">
        <v>294</v>
      </c>
      <c r="D5" s="60">
        <v>44350</v>
      </c>
      <c r="E5" s="60">
        <v>44356</v>
      </c>
      <c r="F5" s="59">
        <f ca="1" t="shared" ref="F5:F14" si="0">IF(TODAY()-D5&lt;0,0,TODAY()-D5)</f>
        <v>1505</v>
      </c>
      <c r="G5" s="59">
        <f ca="1" t="shared" ref="G5:G14" si="1">IF(E5&lt;TODAY(),0,E5-TODAY())</f>
        <v>0</v>
      </c>
      <c r="H5" s="59" t="s">
        <v>295</v>
      </c>
      <c r="I5" s="59" t="s">
        <v>296</v>
      </c>
      <c r="J5" s="59"/>
      <c r="K5" s="54"/>
      <c r="L5" s="68">
        <v>2025</v>
      </c>
      <c r="M5" s="69"/>
      <c r="N5" s="70">
        <v>3</v>
      </c>
      <c r="O5" s="71"/>
      <c r="P5" s="72"/>
      <c r="Q5" s="72"/>
      <c r="R5" s="86"/>
      <c r="S5" s="64"/>
      <c r="T5" s="54"/>
    </row>
    <row r="6" ht="20.25" customHeight="1" spans="1:20">
      <c r="A6" s="54"/>
      <c r="B6" s="61">
        <v>2</v>
      </c>
      <c r="C6" s="61" t="s">
        <v>297</v>
      </c>
      <c r="D6" s="62">
        <v>44351</v>
      </c>
      <c r="E6" s="62">
        <v>44359</v>
      </c>
      <c r="F6" s="61">
        <f ca="1" t="shared" si="0"/>
        <v>1504</v>
      </c>
      <c r="G6" s="61">
        <f ca="1" t="shared" si="1"/>
        <v>0</v>
      </c>
      <c r="H6" s="61" t="s">
        <v>295</v>
      </c>
      <c r="I6" s="61" t="s">
        <v>298</v>
      </c>
      <c r="J6" s="61"/>
      <c r="K6" s="54"/>
      <c r="L6" s="73">
        <v>3</v>
      </c>
      <c r="M6" s="74" t="s">
        <v>299</v>
      </c>
      <c r="N6" s="74" t="s">
        <v>300</v>
      </c>
      <c r="O6" s="74" t="s">
        <v>301</v>
      </c>
      <c r="P6" s="74" t="s">
        <v>302</v>
      </c>
      <c r="Q6" s="74" t="s">
        <v>303</v>
      </c>
      <c r="R6" s="87" t="s">
        <v>304</v>
      </c>
      <c r="S6" s="88"/>
      <c r="T6" s="54"/>
    </row>
    <row r="7" ht="20.25" customHeight="1" spans="1:20">
      <c r="A7" s="54"/>
      <c r="B7" s="59">
        <v>3</v>
      </c>
      <c r="C7" s="59" t="s">
        <v>305</v>
      </c>
      <c r="D7" s="60">
        <v>44353</v>
      </c>
      <c r="E7" s="60">
        <v>44363</v>
      </c>
      <c r="F7" s="59">
        <f ca="1" t="shared" si="0"/>
        <v>1502</v>
      </c>
      <c r="G7" s="59">
        <f ca="1" t="shared" si="1"/>
        <v>0</v>
      </c>
      <c r="H7" s="59" t="s">
        <v>295</v>
      </c>
      <c r="I7" s="59" t="s">
        <v>306</v>
      </c>
      <c r="J7" s="59"/>
      <c r="K7" s="54"/>
      <c r="L7" s="75">
        <f>DATE($C$39,$D$39,1)-WEEKDAY(DATE(M36,N36,1),2)</f>
        <v>45711</v>
      </c>
      <c r="M7" s="76">
        <f t="shared" ref="M7:R7" si="2">L7+1</f>
        <v>45712</v>
      </c>
      <c r="N7" s="76">
        <f t="shared" si="2"/>
        <v>45713</v>
      </c>
      <c r="O7" s="76">
        <f t="shared" si="2"/>
        <v>45714</v>
      </c>
      <c r="P7" s="76">
        <f t="shared" si="2"/>
        <v>45715</v>
      </c>
      <c r="Q7" s="76">
        <f t="shared" si="2"/>
        <v>45716</v>
      </c>
      <c r="R7" s="89">
        <f t="shared" si="2"/>
        <v>45717</v>
      </c>
      <c r="S7" s="90"/>
      <c r="T7" s="54"/>
    </row>
    <row r="8" ht="20.25" customHeight="1" spans="1:20">
      <c r="A8" s="54"/>
      <c r="B8" s="61">
        <v>4</v>
      </c>
      <c r="C8" s="61" t="s">
        <v>307</v>
      </c>
      <c r="D8" s="62">
        <v>44353</v>
      </c>
      <c r="E8" s="62">
        <v>44363</v>
      </c>
      <c r="F8" s="61">
        <f ca="1" t="shared" si="0"/>
        <v>1502</v>
      </c>
      <c r="G8" s="61">
        <f ca="1" t="shared" si="1"/>
        <v>0</v>
      </c>
      <c r="H8" s="61" t="s">
        <v>295</v>
      </c>
      <c r="I8" s="61" t="s">
        <v>296</v>
      </c>
      <c r="J8" s="61"/>
      <c r="K8" s="54"/>
      <c r="L8" s="75">
        <f>R7+1</f>
        <v>45718</v>
      </c>
      <c r="M8" s="76">
        <f t="shared" ref="M8:R8" si="3">L8+1</f>
        <v>45719</v>
      </c>
      <c r="N8" s="76">
        <f t="shared" si="3"/>
        <v>45720</v>
      </c>
      <c r="O8" s="76">
        <f t="shared" si="3"/>
        <v>45721</v>
      </c>
      <c r="P8" s="76">
        <f t="shared" si="3"/>
        <v>45722</v>
      </c>
      <c r="Q8" s="76">
        <f t="shared" si="3"/>
        <v>45723</v>
      </c>
      <c r="R8" s="89">
        <f t="shared" si="3"/>
        <v>45724</v>
      </c>
      <c r="S8" s="90"/>
      <c r="T8" s="54"/>
    </row>
    <row r="9" ht="20.25" customHeight="1" spans="1:20">
      <c r="A9" s="54"/>
      <c r="B9" s="59">
        <v>5</v>
      </c>
      <c r="C9" s="59" t="s">
        <v>308</v>
      </c>
      <c r="D9" s="60">
        <v>44354</v>
      </c>
      <c r="E9" s="60">
        <v>44366</v>
      </c>
      <c r="F9" s="59">
        <f ca="1" t="shared" si="0"/>
        <v>1501</v>
      </c>
      <c r="G9" s="59">
        <f ca="1" t="shared" si="1"/>
        <v>0</v>
      </c>
      <c r="H9" s="59" t="s">
        <v>295</v>
      </c>
      <c r="I9" s="59" t="s">
        <v>298</v>
      </c>
      <c r="J9" s="59"/>
      <c r="K9" s="54"/>
      <c r="L9" s="75">
        <f>R8+1</f>
        <v>45725</v>
      </c>
      <c r="M9" s="76">
        <f t="shared" ref="M9:R9" si="4">L9+1</f>
        <v>45726</v>
      </c>
      <c r="N9" s="76">
        <f t="shared" si="4"/>
        <v>45727</v>
      </c>
      <c r="O9" s="76">
        <f t="shared" si="4"/>
        <v>45728</v>
      </c>
      <c r="P9" s="76">
        <f t="shared" si="4"/>
        <v>45729</v>
      </c>
      <c r="Q9" s="76">
        <f t="shared" si="4"/>
        <v>45730</v>
      </c>
      <c r="R9" s="89">
        <f t="shared" si="4"/>
        <v>45731</v>
      </c>
      <c r="S9" s="90"/>
      <c r="T9" s="54"/>
    </row>
    <row r="10" ht="20.25" customHeight="1" spans="1:20">
      <c r="A10" s="54"/>
      <c r="B10" s="61">
        <v>6</v>
      </c>
      <c r="C10" s="61" t="s">
        <v>309</v>
      </c>
      <c r="D10" s="62">
        <v>44355</v>
      </c>
      <c r="E10" s="62">
        <v>44368</v>
      </c>
      <c r="F10" s="61">
        <f ca="1" t="shared" si="0"/>
        <v>1500</v>
      </c>
      <c r="G10" s="61">
        <f ca="1" t="shared" si="1"/>
        <v>0</v>
      </c>
      <c r="H10" s="61" t="s">
        <v>295</v>
      </c>
      <c r="I10" s="61" t="s">
        <v>298</v>
      </c>
      <c r="J10" s="61"/>
      <c r="K10" s="54"/>
      <c r="L10" s="75">
        <f>R9+1</f>
        <v>45732</v>
      </c>
      <c r="M10" s="76">
        <f t="shared" ref="M10:R10" si="5">L10+1</f>
        <v>45733</v>
      </c>
      <c r="N10" s="76">
        <f t="shared" si="5"/>
        <v>45734</v>
      </c>
      <c r="O10" s="76">
        <f t="shared" si="5"/>
        <v>45735</v>
      </c>
      <c r="P10" s="76">
        <f t="shared" si="5"/>
        <v>45736</v>
      </c>
      <c r="Q10" s="76">
        <f t="shared" si="5"/>
        <v>45737</v>
      </c>
      <c r="R10" s="89">
        <f t="shared" si="5"/>
        <v>45738</v>
      </c>
      <c r="S10" s="90"/>
      <c r="T10" s="54"/>
    </row>
    <row r="11" ht="20.25" customHeight="1" spans="1:20">
      <c r="A11" s="54"/>
      <c r="B11" s="59">
        <v>7</v>
      </c>
      <c r="C11" s="59" t="s">
        <v>310</v>
      </c>
      <c r="D11" s="60">
        <v>44356</v>
      </c>
      <c r="E11" s="60">
        <v>44371</v>
      </c>
      <c r="F11" s="59">
        <f ca="1" t="shared" si="0"/>
        <v>1499</v>
      </c>
      <c r="G11" s="59">
        <f ca="1" t="shared" si="1"/>
        <v>0</v>
      </c>
      <c r="H11" s="59" t="s">
        <v>295</v>
      </c>
      <c r="I11" s="59" t="s">
        <v>306</v>
      </c>
      <c r="J11" s="59"/>
      <c r="K11" s="54"/>
      <c r="L11" s="75">
        <f>R10+1</f>
        <v>45739</v>
      </c>
      <c r="M11" s="76">
        <f t="shared" ref="M11:R11" si="6">L11+1</f>
        <v>45740</v>
      </c>
      <c r="N11" s="76">
        <f t="shared" si="6"/>
        <v>45741</v>
      </c>
      <c r="O11" s="76">
        <f t="shared" si="6"/>
        <v>45742</v>
      </c>
      <c r="P11" s="76">
        <f t="shared" si="6"/>
        <v>45743</v>
      </c>
      <c r="Q11" s="76">
        <f t="shared" si="6"/>
        <v>45744</v>
      </c>
      <c r="R11" s="89">
        <f t="shared" si="6"/>
        <v>45745</v>
      </c>
      <c r="S11" s="90"/>
      <c r="T11" s="54"/>
    </row>
    <row r="12" ht="20.25" customHeight="1" spans="1:20">
      <c r="A12" s="54"/>
      <c r="B12" s="61">
        <v>8</v>
      </c>
      <c r="C12" s="61" t="s">
        <v>311</v>
      </c>
      <c r="D12" s="62">
        <v>44359</v>
      </c>
      <c r="E12" s="62">
        <v>44378</v>
      </c>
      <c r="F12" s="61">
        <f ca="1" t="shared" si="0"/>
        <v>1496</v>
      </c>
      <c r="G12" s="61">
        <f ca="1" t="shared" si="1"/>
        <v>0</v>
      </c>
      <c r="H12" s="61" t="s">
        <v>295</v>
      </c>
      <c r="I12" s="61" t="s">
        <v>306</v>
      </c>
      <c r="J12" s="61"/>
      <c r="K12" s="54"/>
      <c r="L12" s="75">
        <f>R11+1</f>
        <v>45746</v>
      </c>
      <c r="M12" s="76">
        <f t="shared" ref="M12:R12" si="7">L12+1</f>
        <v>45747</v>
      </c>
      <c r="N12" s="76">
        <f t="shared" si="7"/>
        <v>45748</v>
      </c>
      <c r="O12" s="76">
        <f t="shared" si="7"/>
        <v>45749</v>
      </c>
      <c r="P12" s="76">
        <f t="shared" si="7"/>
        <v>45750</v>
      </c>
      <c r="Q12" s="76">
        <f t="shared" si="7"/>
        <v>45751</v>
      </c>
      <c r="R12" s="89">
        <f t="shared" si="7"/>
        <v>45752</v>
      </c>
      <c r="S12" s="90"/>
      <c r="T12" s="54"/>
    </row>
    <row r="13" ht="20.25" customHeight="1" spans="1:20">
      <c r="A13" s="54"/>
      <c r="B13" s="59">
        <v>9</v>
      </c>
      <c r="C13" s="59" t="s">
        <v>312</v>
      </c>
      <c r="D13" s="60">
        <v>44363</v>
      </c>
      <c r="E13" s="60">
        <v>44376</v>
      </c>
      <c r="F13" s="59">
        <f ca="1" t="shared" si="0"/>
        <v>1492</v>
      </c>
      <c r="G13" s="59">
        <f ca="1" t="shared" si="1"/>
        <v>0</v>
      </c>
      <c r="H13" s="59" t="s">
        <v>295</v>
      </c>
      <c r="I13" s="59" t="s">
        <v>296</v>
      </c>
      <c r="J13" s="59"/>
      <c r="K13" s="54"/>
      <c r="L13" s="77"/>
      <c r="M13" s="78"/>
      <c r="N13" s="78"/>
      <c r="O13" s="78"/>
      <c r="P13" s="78"/>
      <c r="Q13" s="78"/>
      <c r="R13" s="91"/>
      <c r="S13" s="92"/>
      <c r="T13" s="54"/>
    </row>
    <row r="14" ht="20.25" customHeight="1" spans="1:20">
      <c r="A14" s="54"/>
      <c r="B14" s="61">
        <v>10</v>
      </c>
      <c r="C14" s="61" t="s">
        <v>313</v>
      </c>
      <c r="D14" s="62">
        <v>44370</v>
      </c>
      <c r="E14" s="62">
        <v>44377</v>
      </c>
      <c r="F14" s="61">
        <f ca="1" t="shared" si="0"/>
        <v>1485</v>
      </c>
      <c r="G14" s="61">
        <f ca="1" t="shared" si="1"/>
        <v>0</v>
      </c>
      <c r="H14" s="61" t="s">
        <v>295</v>
      </c>
      <c r="I14" s="61" t="s">
        <v>298</v>
      </c>
      <c r="J14" s="61"/>
      <c r="K14" s="54"/>
      <c r="L14" s="64"/>
      <c r="M14" s="64"/>
      <c r="N14" s="64"/>
      <c r="O14" s="64"/>
      <c r="P14" s="64"/>
      <c r="Q14" s="64"/>
      <c r="R14" s="64"/>
      <c r="S14" s="64"/>
      <c r="T14" s="54"/>
    </row>
    <row r="15" ht="20.25" customHeight="1" spans="12:19">
      <c r="L15" s="79" t="s">
        <v>314</v>
      </c>
      <c r="M15" s="79"/>
      <c r="N15" s="79"/>
      <c r="O15" s="79"/>
      <c r="P15" s="79"/>
      <c r="Q15" s="79"/>
      <c r="R15" s="79"/>
      <c r="S15" s="64"/>
    </row>
    <row r="16" ht="20.25" customHeight="1" spans="12:19">
      <c r="L16" s="79"/>
      <c r="M16" s="79"/>
      <c r="N16" s="79"/>
      <c r="O16" s="79"/>
      <c r="P16" s="79"/>
      <c r="Q16" s="79"/>
      <c r="R16" s="79"/>
      <c r="S16" s="64"/>
    </row>
    <row r="17" ht="24.75" customHeight="1" spans="10:20">
      <c r="J17" s="54"/>
      <c r="K17" s="54"/>
      <c r="L17" s="80" t="s">
        <v>315</v>
      </c>
      <c r="M17" s="81"/>
      <c r="N17" s="81"/>
      <c r="O17" s="81"/>
      <c r="P17" s="81"/>
      <c r="Q17" s="81"/>
      <c r="R17" s="93" t="b">
        <v>1</v>
      </c>
      <c r="S17" s="64"/>
      <c r="T17" s="54"/>
    </row>
    <row r="18" ht="24.75" customHeight="1" spans="10:20">
      <c r="J18" s="54"/>
      <c r="K18" s="54"/>
      <c r="L18" s="82" t="s">
        <v>316</v>
      </c>
      <c r="M18" s="83"/>
      <c r="N18" s="83"/>
      <c r="O18" s="83"/>
      <c r="P18" s="83"/>
      <c r="Q18" s="83"/>
      <c r="R18" s="93" t="b">
        <v>0</v>
      </c>
      <c r="S18" s="64"/>
      <c r="T18" s="54"/>
    </row>
    <row r="19" ht="24.75" customHeight="1" spans="12:20">
      <c r="L19" s="82" t="s">
        <v>317</v>
      </c>
      <c r="M19" s="83"/>
      <c r="N19" s="83"/>
      <c r="O19" s="83"/>
      <c r="P19" s="83"/>
      <c r="Q19" s="83"/>
      <c r="R19" s="93" t="b">
        <v>0</v>
      </c>
      <c r="S19" s="64"/>
      <c r="T19" s="54"/>
    </row>
    <row r="20" ht="24.75" customHeight="1" spans="12:20">
      <c r="L20" s="82" t="s">
        <v>318</v>
      </c>
      <c r="M20" s="83"/>
      <c r="N20" s="83"/>
      <c r="O20" s="83"/>
      <c r="P20" s="83"/>
      <c r="Q20" s="83"/>
      <c r="R20" s="93" t="b">
        <v>0</v>
      </c>
      <c r="S20" s="64"/>
      <c r="T20" s="54"/>
    </row>
    <row r="21" ht="24.75" customHeight="1" spans="12:20">
      <c r="L21" s="82"/>
      <c r="M21" s="83"/>
      <c r="N21" s="83"/>
      <c r="O21" s="83"/>
      <c r="P21" s="83"/>
      <c r="Q21" s="83"/>
      <c r="R21" s="93" t="b">
        <v>0</v>
      </c>
      <c r="S21" s="64"/>
      <c r="T21" s="54"/>
    </row>
    <row r="22" ht="24.75" customHeight="1" spans="12:20">
      <c r="L22" s="82"/>
      <c r="M22" s="83"/>
      <c r="N22" s="83"/>
      <c r="O22" s="83"/>
      <c r="P22" s="83"/>
      <c r="Q22" s="83"/>
      <c r="R22" s="93" t="b">
        <v>0</v>
      </c>
      <c r="S22" s="64"/>
      <c r="T22" s="54"/>
    </row>
    <row r="23" ht="24.75" customHeight="1" spans="12:20">
      <c r="L23" s="82"/>
      <c r="M23" s="83"/>
      <c r="N23" s="83"/>
      <c r="O23" s="83"/>
      <c r="P23" s="83"/>
      <c r="Q23" s="83"/>
      <c r="R23" s="94" t="b">
        <v>0</v>
      </c>
      <c r="S23" s="64"/>
      <c r="T23" s="54"/>
    </row>
    <row r="24" ht="24.75" customHeight="1" spans="12:20">
      <c r="L24" s="82"/>
      <c r="M24" s="83"/>
      <c r="N24" s="83"/>
      <c r="O24" s="83"/>
      <c r="P24" s="83"/>
      <c r="Q24" s="83"/>
      <c r="R24" s="94" t="b">
        <v>0</v>
      </c>
      <c r="S24" s="64"/>
      <c r="T24" s="54"/>
    </row>
    <row r="25" ht="24.75" customHeight="1" spans="12:20">
      <c r="L25" s="82"/>
      <c r="M25" s="83"/>
      <c r="N25" s="83"/>
      <c r="O25" s="83"/>
      <c r="P25" s="83"/>
      <c r="Q25" s="83"/>
      <c r="R25" s="94" t="b">
        <v>0</v>
      </c>
      <c r="S25" s="64"/>
      <c r="T25" s="54"/>
    </row>
    <row r="26" ht="24.75" customHeight="1" spans="12:20">
      <c r="L26" s="82"/>
      <c r="M26" s="83"/>
      <c r="N26" s="83"/>
      <c r="O26" s="83"/>
      <c r="P26" s="83"/>
      <c r="Q26" s="83"/>
      <c r="R26" s="94" t="b">
        <v>0</v>
      </c>
      <c r="S26" s="64"/>
      <c r="T26" s="54"/>
    </row>
    <row r="27" ht="24.75" customHeight="1" spans="12:20">
      <c r="L27" s="82"/>
      <c r="M27" s="83"/>
      <c r="N27" s="83"/>
      <c r="O27" s="83"/>
      <c r="P27" s="83"/>
      <c r="Q27" s="83"/>
      <c r="R27" s="94" t="b">
        <v>0</v>
      </c>
      <c r="S27" s="64"/>
      <c r="T27" s="54"/>
    </row>
    <row r="28" ht="20.25" customHeight="1" spans="12:19">
      <c r="L28" s="64"/>
      <c r="M28" s="64"/>
      <c r="N28" s="64"/>
      <c r="O28" s="64"/>
      <c r="P28" s="64"/>
      <c r="Q28" s="64"/>
      <c r="R28" s="64"/>
      <c r="S28" s="64"/>
    </row>
    <row r="29" ht="20.25" customHeight="1" spans="12:19">
      <c r="L29" s="64"/>
      <c r="M29" s="64"/>
      <c r="N29" s="64"/>
      <c r="O29" s="64"/>
      <c r="P29" s="64"/>
      <c r="Q29" s="64"/>
      <c r="R29" s="64"/>
      <c r="S29" s="64"/>
    </row>
    <row r="30" ht="20.25" customHeight="1" spans="12:19">
      <c r="L30" s="64"/>
      <c r="M30" s="64"/>
      <c r="N30" s="64"/>
      <c r="O30" s="64"/>
      <c r="P30" s="64"/>
      <c r="Q30" s="64"/>
      <c r="R30" s="64"/>
      <c r="S30" s="64"/>
    </row>
    <row r="31" ht="20.25" customHeight="1" spans="12:19">
      <c r="L31" s="64"/>
      <c r="M31" s="64"/>
      <c r="N31" s="64"/>
      <c r="O31" s="64"/>
      <c r="P31" s="64"/>
      <c r="Q31" s="64"/>
      <c r="R31" s="64"/>
      <c r="S31" s="64"/>
    </row>
    <row r="32" ht="20.25" customHeight="1" spans="12:19">
      <c r="L32" s="64"/>
      <c r="M32" s="64"/>
      <c r="N32" s="64"/>
      <c r="O32" s="64"/>
      <c r="P32" s="64"/>
      <c r="Q32" s="64"/>
      <c r="R32" s="64"/>
      <c r="S32" s="64"/>
    </row>
    <row r="33" ht="20.25" customHeight="1" spans="12:19">
      <c r="L33" s="64"/>
      <c r="M33" s="64"/>
      <c r="N33" s="64"/>
      <c r="O33" s="64"/>
      <c r="P33" s="64"/>
      <c r="Q33" s="64"/>
      <c r="R33" s="64"/>
      <c r="S33" s="64"/>
    </row>
    <row r="34" ht="20.25" customHeight="1" spans="12:19">
      <c r="L34" s="64"/>
      <c r="M34" s="64"/>
      <c r="N34" s="64"/>
      <c r="O34" s="64"/>
      <c r="P34" s="64"/>
      <c r="Q34" s="64"/>
      <c r="R34" s="64"/>
      <c r="S34" s="64"/>
    </row>
    <row r="35" ht="19.5" customHeight="1" spans="12:19">
      <c r="L35" s="64"/>
      <c r="M35" s="64"/>
      <c r="N35" s="64"/>
      <c r="O35" s="64"/>
      <c r="P35" s="64"/>
      <c r="Q35" s="64"/>
      <c r="R35" s="64"/>
      <c r="S35" s="64"/>
    </row>
    <row r="36" ht="20.25" customHeight="1" spans="12:20">
      <c r="L36" s="84"/>
      <c r="M36" s="84">
        <f>L5</f>
        <v>2025</v>
      </c>
      <c r="N36" s="63">
        <f>N5</f>
        <v>3</v>
      </c>
      <c r="O36" s="84"/>
      <c r="P36" s="84"/>
      <c r="Q36" s="84"/>
      <c r="R36" s="84"/>
      <c r="S36" s="84"/>
      <c r="T36" s="63"/>
    </row>
    <row r="37" ht="20.25" customHeight="1" spans="12:19">
      <c r="L37" s="64"/>
      <c r="M37" s="64"/>
      <c r="N37" s="64"/>
      <c r="O37" s="64"/>
      <c r="P37" s="64"/>
      <c r="Q37" s="64"/>
      <c r="R37" s="64"/>
      <c r="S37" s="64"/>
    </row>
    <row r="38" ht="20.25" customHeight="1" spans="12:19">
      <c r="L38" s="64"/>
      <c r="M38" s="64"/>
      <c r="N38" s="64"/>
      <c r="O38" s="64"/>
      <c r="P38" s="64"/>
      <c r="Q38" s="64"/>
      <c r="R38" s="64"/>
      <c r="S38" s="64"/>
    </row>
    <row r="39" ht="20.25" customHeight="1" spans="1:20">
      <c r="A39" s="63"/>
      <c r="B39" s="63"/>
      <c r="C39" s="63">
        <f>L5</f>
        <v>2025</v>
      </c>
      <c r="D39" s="63">
        <f>N5</f>
        <v>3</v>
      </c>
      <c r="E39" s="63"/>
      <c r="F39" s="63"/>
      <c r="G39" s="63"/>
      <c r="H39" s="63"/>
      <c r="I39" s="63"/>
      <c r="J39" s="63"/>
      <c r="K39" s="63"/>
      <c r="L39" s="64"/>
      <c r="M39" s="64"/>
      <c r="N39" s="64"/>
      <c r="O39" s="64"/>
      <c r="P39" s="64"/>
      <c r="Q39" s="64"/>
      <c r="R39" s="64"/>
      <c r="S39" s="64"/>
      <c r="T39" s="54"/>
    </row>
    <row r="40" ht="20.25" customHeight="1" spans="12:19">
      <c r="L40" s="64"/>
      <c r="M40" s="64"/>
      <c r="N40" s="64"/>
      <c r="O40" s="64"/>
      <c r="P40" s="64"/>
      <c r="Q40" s="64"/>
      <c r="R40" s="64"/>
      <c r="S40" s="64"/>
    </row>
    <row r="41" ht="20.25" customHeight="1" spans="12:19">
      <c r="L41" s="64"/>
      <c r="M41" s="64"/>
      <c r="N41" s="64"/>
      <c r="O41" s="64"/>
      <c r="P41" s="64"/>
      <c r="Q41" s="64"/>
      <c r="R41" s="64"/>
      <c r="S41" s="64"/>
    </row>
    <row r="42" ht="20.25" customHeight="1" spans="12:19">
      <c r="L42" s="64"/>
      <c r="M42" s="64"/>
      <c r="N42" s="64"/>
      <c r="O42" s="64"/>
      <c r="P42" s="64"/>
      <c r="Q42" s="64"/>
      <c r="R42" s="64"/>
      <c r="S42" s="64"/>
    </row>
    <row r="43" ht="20.25" customHeight="1" spans="12:19">
      <c r="L43" s="64"/>
      <c r="M43" s="64"/>
      <c r="N43" s="64"/>
      <c r="O43" s="64"/>
      <c r="P43" s="64"/>
      <c r="Q43" s="64"/>
      <c r="R43" s="64"/>
      <c r="S43" s="64"/>
    </row>
    <row r="44" ht="20.25" customHeight="1" spans="12:19">
      <c r="L44" s="64"/>
      <c r="M44" s="64"/>
      <c r="N44" s="64"/>
      <c r="O44" s="64"/>
      <c r="P44" s="64"/>
      <c r="Q44" s="64"/>
      <c r="R44" s="64"/>
      <c r="S44" s="64"/>
    </row>
    <row r="45" ht="20.25" customHeight="1" spans="12:19">
      <c r="L45" s="64"/>
      <c r="M45" s="64"/>
      <c r="N45" s="64"/>
      <c r="O45" s="64"/>
      <c r="P45" s="64"/>
      <c r="Q45" s="64"/>
      <c r="R45" s="64"/>
      <c r="S45" s="64"/>
    </row>
    <row r="46" ht="20.25" customHeight="1" spans="12:19">
      <c r="L46" s="64"/>
      <c r="M46" s="64"/>
      <c r="N46" s="64"/>
      <c r="O46" s="64"/>
      <c r="P46" s="64"/>
      <c r="Q46" s="64"/>
      <c r="R46" s="64"/>
      <c r="S46" s="64"/>
    </row>
    <row r="47" ht="20.25" customHeight="1" spans="12:19">
      <c r="L47" s="64"/>
      <c r="M47" s="64"/>
      <c r="N47" s="64"/>
      <c r="O47" s="64"/>
      <c r="P47" s="64"/>
      <c r="Q47" s="64"/>
      <c r="R47" s="64"/>
      <c r="S47" s="64"/>
    </row>
    <row r="48" ht="20.25" customHeight="1" spans="12:19">
      <c r="L48" s="64"/>
      <c r="M48" s="64"/>
      <c r="N48" s="64"/>
      <c r="O48" s="64"/>
      <c r="P48" s="64"/>
      <c r="Q48" s="64"/>
      <c r="R48" s="64"/>
      <c r="S48" s="64"/>
    </row>
    <row r="49" ht="20.25" customHeight="1" spans="12:19">
      <c r="L49" s="64"/>
      <c r="M49" s="64"/>
      <c r="N49" s="64"/>
      <c r="O49" s="64"/>
      <c r="P49" s="64"/>
      <c r="Q49" s="64"/>
      <c r="R49" s="64"/>
      <c r="S49" s="64"/>
    </row>
    <row r="50" ht="20.25" customHeight="1" spans="12:19">
      <c r="L50" s="64"/>
      <c r="M50" s="64"/>
      <c r="N50" s="64"/>
      <c r="O50" s="64"/>
      <c r="P50" s="64"/>
      <c r="Q50" s="64"/>
      <c r="R50" s="64"/>
      <c r="S50" s="64"/>
    </row>
    <row r="51" ht="20.25" customHeight="1" spans="12:19">
      <c r="L51" s="64"/>
      <c r="M51" s="64"/>
      <c r="N51" s="64"/>
      <c r="O51" s="64"/>
      <c r="P51" s="64"/>
      <c r="Q51" s="64"/>
      <c r="R51" s="64"/>
      <c r="S51" s="64"/>
    </row>
    <row r="52" ht="20.25" customHeight="1" spans="12:19">
      <c r="L52" s="64"/>
      <c r="M52" s="64"/>
      <c r="N52" s="64"/>
      <c r="O52" s="64"/>
      <c r="P52" s="64"/>
      <c r="Q52" s="64"/>
      <c r="R52" s="64"/>
      <c r="S52" s="64"/>
    </row>
    <row r="53" ht="20.25" customHeight="1" spans="12:19">
      <c r="L53" s="64"/>
      <c r="M53" s="64"/>
      <c r="N53" s="64"/>
      <c r="O53" s="64"/>
      <c r="P53" s="64"/>
      <c r="Q53" s="64"/>
      <c r="R53" s="64"/>
      <c r="S53" s="64"/>
    </row>
    <row r="54" ht="20.25" customHeight="1" spans="12:19">
      <c r="L54" s="64"/>
      <c r="M54" s="64"/>
      <c r="N54" s="64"/>
      <c r="O54" s="64"/>
      <c r="P54" s="64"/>
      <c r="Q54" s="64"/>
      <c r="R54" s="64"/>
      <c r="S54" s="64"/>
    </row>
    <row r="55" ht="20.25" customHeight="1" spans="12:19">
      <c r="L55" s="64"/>
      <c r="M55" s="64"/>
      <c r="N55" s="64"/>
      <c r="O55" s="64"/>
      <c r="P55" s="64"/>
      <c r="Q55" s="64"/>
      <c r="R55" s="64"/>
      <c r="S55" s="64"/>
    </row>
    <row r="56" ht="20.25" customHeight="1" spans="12:19">
      <c r="L56" s="64"/>
      <c r="M56" s="64"/>
      <c r="N56" s="64"/>
      <c r="O56" s="64"/>
      <c r="P56" s="64"/>
      <c r="Q56" s="64"/>
      <c r="R56" s="64"/>
      <c r="S56" s="64"/>
    </row>
    <row r="57" ht="20.25" customHeight="1" spans="12:19">
      <c r="L57" s="64"/>
      <c r="M57" s="64"/>
      <c r="N57" s="64"/>
      <c r="O57" s="64"/>
      <c r="P57" s="64"/>
      <c r="Q57" s="64"/>
      <c r="R57" s="64"/>
      <c r="S57" s="64"/>
    </row>
    <row r="58" ht="20.25" customHeight="1" spans="12:19">
      <c r="L58" s="64"/>
      <c r="M58" s="64"/>
      <c r="N58" s="64"/>
      <c r="O58" s="64"/>
      <c r="P58" s="64"/>
      <c r="Q58" s="64"/>
      <c r="R58" s="64"/>
      <c r="S58" s="64"/>
    </row>
    <row r="59" ht="20.25" customHeight="1" spans="12:19">
      <c r="L59" s="64"/>
      <c r="M59" s="64"/>
      <c r="N59" s="64"/>
      <c r="O59" s="64"/>
      <c r="P59" s="64"/>
      <c r="Q59" s="64"/>
      <c r="R59" s="64"/>
      <c r="S59" s="64"/>
    </row>
    <row r="60" ht="20.25" customHeight="1" spans="12:19">
      <c r="L60" s="64"/>
      <c r="M60" s="64"/>
      <c r="N60" s="64"/>
      <c r="O60" s="64"/>
      <c r="P60" s="64"/>
      <c r="Q60" s="64"/>
      <c r="R60" s="64"/>
      <c r="S60" s="64"/>
    </row>
  </sheetData>
  <mergeCells count="14">
    <mergeCell ref="B2:R2"/>
    <mergeCell ref="L5:M5"/>
    <mergeCell ref="L17:Q17"/>
    <mergeCell ref="L18:Q18"/>
    <mergeCell ref="L19:Q19"/>
    <mergeCell ref="L20:Q20"/>
    <mergeCell ref="L21:Q21"/>
    <mergeCell ref="L22:Q22"/>
    <mergeCell ref="L23:Q23"/>
    <mergeCell ref="L24:Q24"/>
    <mergeCell ref="L25:Q25"/>
    <mergeCell ref="L26:Q26"/>
    <mergeCell ref="L27:Q27"/>
    <mergeCell ref="L15:R16"/>
  </mergeCells>
  <conditionalFormatting sqref="L6:R6">
    <cfRule type="expression" dxfId="2" priority="6">
      <formula>MONTH(L6)&lt;&gt;$D$39</formula>
    </cfRule>
  </conditionalFormatting>
  <conditionalFormatting sqref="I5:I14">
    <cfRule type="containsText" dxfId="3" priority="2" operator="between" text="日常">
      <formula>NOT(ISERROR(SEARCH("日常",I5)))</formula>
    </cfRule>
    <cfRule type="containsText" dxfId="4" priority="3" operator="between" text="中等">
      <formula>NOT(ISERROR(SEARCH("中等",I5)))</formula>
    </cfRule>
    <cfRule type="containsText" dxfId="5" priority="4" operator="between" text="重要">
      <formula>NOT(ISERROR(SEARCH("重要",I5)))</formula>
    </cfRule>
  </conditionalFormatting>
  <conditionalFormatting sqref="L17:L27">
    <cfRule type="expression" dxfId="6" priority="7">
      <formula>$R17=TRUE</formula>
    </cfRule>
  </conditionalFormatting>
  <conditionalFormatting sqref="L7:S12">
    <cfRule type="expression" dxfId="2" priority="1">
      <formula>MONTH(L7)&lt;&gt;$D$39</formula>
    </cfRule>
  </conditionalFormatting>
  <conditionalFormatting sqref="L7:R12">
    <cfRule type="expression" dxfId="7" priority="5">
      <formula>$L$7:$R$12=TODAY()</formula>
    </cfRule>
  </conditionalFormatting>
  <dataValidations count="1">
    <dataValidation type="list" allowBlank="1" showErrorMessage="1" error="输入一个列表中的值" sqref="I5:I14" errorStyle="warning" showDropDown="1">
      <formula1>"重要,中等,日常"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B15" sqref="B15"/>
    </sheetView>
  </sheetViews>
  <sheetFormatPr defaultColWidth="17" defaultRowHeight="11.4" outlineLevelRow="4"/>
  <cols>
    <col min="1" max="1" width="38.59375" customWidth="1"/>
    <col min="2" max="18" width="16.59375" customWidth="1"/>
  </cols>
  <sheetData>
    <row r="1" spans="1:1">
      <c r="A1" s="7" t="s">
        <v>319</v>
      </c>
    </row>
    <row r="2" spans="1:1">
      <c r="A2" s="7" t="s">
        <v>320</v>
      </c>
    </row>
    <row r="4" spans="1:1">
      <c r="A4" s="7" t="s">
        <v>321</v>
      </c>
    </row>
    <row r="5" spans="1:1">
      <c r="A5" s="7" t="s">
        <v>322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6"/>
  <sheetViews>
    <sheetView topLeftCell="A18" workbookViewId="0">
      <pane xSplit="4" topLeftCell="V1" activePane="topRight" state="frozen"/>
      <selection/>
      <selection pane="topRight" activeCell="AB31" sqref="AB31"/>
    </sheetView>
  </sheetViews>
  <sheetFormatPr defaultColWidth="17" defaultRowHeight="11.4"/>
  <cols>
    <col min="1" max="1" width="13.2708333333333" customWidth="1"/>
    <col min="2" max="2" width="15.1875" customWidth="1"/>
    <col min="3" max="3" width="21.6458333333333" customWidth="1"/>
    <col min="4" max="4" width="14.84375" customWidth="1"/>
    <col min="5" max="5" width="10.6458333333333" customWidth="1"/>
    <col min="6" max="6" width="12.0520833333333" customWidth="1"/>
    <col min="7" max="7" width="16.59375" customWidth="1"/>
    <col min="8" max="8" width="6.625" customWidth="1"/>
    <col min="9" max="9" width="9.94791666666667" customWidth="1"/>
    <col min="10" max="10" width="12.5729166666667" customWidth="1"/>
    <col min="11" max="11" width="9.60416666666667" customWidth="1"/>
    <col min="12" max="15" width="16.59375" customWidth="1"/>
    <col min="16" max="16" width="20.0833333333333" customWidth="1"/>
    <col min="17" max="17" width="39.4583333333333" customWidth="1"/>
    <col min="18" max="20" width="16.59375" customWidth="1"/>
    <col min="21" max="21" width="52.625" customWidth="1"/>
    <col min="22" max="22" width="57.375" customWidth="1"/>
    <col min="23" max="23" width="35.7916666666667" customWidth="1"/>
    <col min="24" max="24" width="16.59375" customWidth="1"/>
    <col min="25" max="25" width="12.9166666666667" customWidth="1"/>
    <col min="26" max="27" width="11.5208333333333" customWidth="1"/>
    <col min="28" max="72" width="16.59375" customWidth="1"/>
    <col min="73" max="73" width="26.5416666666667" customWidth="1"/>
    <col min="74" max="74" width="20.9479166666667" customWidth="1"/>
    <col min="75" max="75" width="20.6041666666667" customWidth="1"/>
    <col min="76" max="77" width="16.59375" customWidth="1"/>
  </cols>
  <sheetData>
    <row r="1" ht="44" customHeight="1" spans="1:77">
      <c r="A1" s="17" t="s">
        <v>47</v>
      </c>
      <c r="B1" s="17" t="s">
        <v>45</v>
      </c>
      <c r="C1" s="18" t="s">
        <v>48</v>
      </c>
      <c r="D1" s="18" t="s">
        <v>323</v>
      </c>
      <c r="E1" s="18" t="s">
        <v>324</v>
      </c>
      <c r="F1" s="18" t="s">
        <v>325</v>
      </c>
      <c r="G1" s="18" t="s">
        <v>326</v>
      </c>
      <c r="H1" s="18" t="s">
        <v>197</v>
      </c>
      <c r="I1" s="18" t="s">
        <v>327</v>
      </c>
      <c r="J1" s="18" t="s">
        <v>328</v>
      </c>
      <c r="K1" s="18" t="s">
        <v>329</v>
      </c>
      <c r="L1" s="18" t="s">
        <v>330</v>
      </c>
      <c r="M1" s="18" t="s">
        <v>331</v>
      </c>
      <c r="N1" s="18" t="s">
        <v>332</v>
      </c>
      <c r="O1" s="26" t="s">
        <v>333</v>
      </c>
      <c r="P1" s="18" t="s">
        <v>334</v>
      </c>
      <c r="Q1" s="26" t="s">
        <v>335</v>
      </c>
      <c r="R1" s="17" t="s">
        <v>336</v>
      </c>
      <c r="S1" s="38" t="s">
        <v>337</v>
      </c>
      <c r="T1" s="18" t="s">
        <v>338</v>
      </c>
      <c r="U1" s="17" t="s">
        <v>339</v>
      </c>
      <c r="V1" s="17" t="s">
        <v>340</v>
      </c>
      <c r="W1" s="18" t="s">
        <v>341</v>
      </c>
      <c r="X1" s="18" t="s">
        <v>342</v>
      </c>
      <c r="Y1" s="18" t="s">
        <v>343</v>
      </c>
      <c r="Z1" s="18" t="s">
        <v>344</v>
      </c>
      <c r="AA1" s="18" t="s">
        <v>345</v>
      </c>
      <c r="AB1" s="17" t="s">
        <v>346</v>
      </c>
      <c r="AC1" s="18" t="s">
        <v>347</v>
      </c>
      <c r="AD1" s="18" t="s">
        <v>348</v>
      </c>
      <c r="AE1" s="18" t="s">
        <v>349</v>
      </c>
      <c r="AF1" s="18" t="s">
        <v>350</v>
      </c>
      <c r="AG1" s="18" t="s">
        <v>351</v>
      </c>
      <c r="AH1" s="17" t="s">
        <v>352</v>
      </c>
      <c r="AI1" s="17" t="s">
        <v>353</v>
      </c>
      <c r="AJ1" s="17" t="s">
        <v>354</v>
      </c>
      <c r="AK1" s="17" t="s">
        <v>355</v>
      </c>
      <c r="AL1" s="17" t="s">
        <v>356</v>
      </c>
      <c r="AM1" s="17" t="s">
        <v>357</v>
      </c>
      <c r="AN1" s="17" t="s">
        <v>358</v>
      </c>
      <c r="AO1" s="17" t="s">
        <v>359</v>
      </c>
      <c r="AP1" s="17" t="s">
        <v>352</v>
      </c>
      <c r="AQ1" s="17" t="s">
        <v>360</v>
      </c>
      <c r="AR1" s="17" t="s">
        <v>361</v>
      </c>
      <c r="AS1" s="17" t="s">
        <v>362</v>
      </c>
      <c r="AT1" s="17" t="s">
        <v>363</v>
      </c>
      <c r="AU1" s="18" t="s">
        <v>364</v>
      </c>
      <c r="AV1" s="18" t="s">
        <v>365</v>
      </c>
      <c r="AW1" s="18" t="s">
        <v>366</v>
      </c>
      <c r="AX1" s="18" t="s">
        <v>367</v>
      </c>
      <c r="AY1" s="18" t="s">
        <v>368</v>
      </c>
      <c r="AZ1" s="18" t="s">
        <v>369</v>
      </c>
      <c r="BA1" s="18" t="s">
        <v>370</v>
      </c>
      <c r="BB1" s="18" t="s">
        <v>371</v>
      </c>
      <c r="BC1" s="18" t="s">
        <v>372</v>
      </c>
      <c r="BD1" s="18" t="s">
        <v>373</v>
      </c>
      <c r="BE1" s="18" t="s">
        <v>374</v>
      </c>
      <c r="BF1" s="18" t="s">
        <v>375</v>
      </c>
      <c r="BG1" s="18" t="s">
        <v>376</v>
      </c>
      <c r="BH1" s="18" t="s">
        <v>377</v>
      </c>
      <c r="BI1" s="18" t="s">
        <v>378</v>
      </c>
      <c r="BJ1" s="18" t="s">
        <v>379</v>
      </c>
      <c r="BK1" s="18" t="s">
        <v>380</v>
      </c>
      <c r="BL1" s="18" t="s">
        <v>381</v>
      </c>
      <c r="BM1" s="18" t="s">
        <v>382</v>
      </c>
      <c r="BN1" s="18" t="s">
        <v>383</v>
      </c>
      <c r="BO1" s="18" t="s">
        <v>384</v>
      </c>
      <c r="BP1" s="17" t="s">
        <v>385</v>
      </c>
      <c r="BQ1" s="18" t="s">
        <v>386</v>
      </c>
      <c r="BR1" s="18" t="s">
        <v>387</v>
      </c>
      <c r="BS1" s="18" t="s">
        <v>388</v>
      </c>
      <c r="BT1" s="18" t="s">
        <v>389</v>
      </c>
      <c r="BU1" s="50" t="s">
        <v>390</v>
      </c>
      <c r="BV1" s="51" t="s">
        <v>391</v>
      </c>
      <c r="BW1" s="52" t="s">
        <v>392</v>
      </c>
      <c r="BX1" s="17" t="s">
        <v>393</v>
      </c>
      <c r="BY1" s="17" t="s">
        <v>394</v>
      </c>
    </row>
    <row r="2" spans="1:77">
      <c r="A2" s="19"/>
      <c r="B2" s="19"/>
      <c r="C2" s="20" t="s">
        <v>395</v>
      </c>
      <c r="D2" s="21">
        <v>45734</v>
      </c>
      <c r="E2" s="19" t="s">
        <v>396</v>
      </c>
      <c r="F2" s="9" t="s">
        <v>397</v>
      </c>
      <c r="G2" s="9"/>
      <c r="H2" s="20" t="s">
        <v>107</v>
      </c>
      <c r="I2" s="20" t="s">
        <v>398</v>
      </c>
      <c r="J2" s="20" t="s">
        <v>398</v>
      </c>
      <c r="K2" s="19" t="s">
        <v>398</v>
      </c>
      <c r="L2" s="27" t="s">
        <v>399</v>
      </c>
      <c r="M2" s="20" t="s">
        <v>400</v>
      </c>
      <c r="N2" s="20" t="s">
        <v>401</v>
      </c>
      <c r="O2" s="28" t="s">
        <v>402</v>
      </c>
      <c r="P2" s="19" t="s">
        <v>403</v>
      </c>
      <c r="Q2" s="28" t="s">
        <v>404</v>
      </c>
      <c r="R2" s="39" t="s">
        <v>405</v>
      </c>
      <c r="S2" s="40" t="s">
        <v>406</v>
      </c>
      <c r="T2" s="20" t="s">
        <v>400</v>
      </c>
      <c r="U2" s="20"/>
      <c r="V2" s="40" t="s">
        <v>407</v>
      </c>
      <c r="W2" s="20" t="s">
        <v>408</v>
      </c>
      <c r="X2" s="19"/>
      <c r="Y2" s="45">
        <v>1432</v>
      </c>
      <c r="Z2" s="21">
        <v>45767</v>
      </c>
      <c r="AA2" s="21">
        <v>45777</v>
      </c>
      <c r="AB2" s="21">
        <v>45784</v>
      </c>
      <c r="AC2" s="19" t="s">
        <v>398</v>
      </c>
      <c r="AD2" s="19" t="s">
        <v>398</v>
      </c>
      <c r="AE2" s="19" t="s">
        <v>398</v>
      </c>
      <c r="AF2" s="19" t="s">
        <v>398</v>
      </c>
      <c r="AG2" s="21">
        <v>45754</v>
      </c>
      <c r="AH2" s="21"/>
      <c r="AI2" s="48" t="s">
        <v>409</v>
      </c>
      <c r="AJ2" s="21">
        <v>45776</v>
      </c>
      <c r="AK2" s="48"/>
      <c r="AL2" s="20" t="s">
        <v>410</v>
      </c>
      <c r="AM2" s="19"/>
      <c r="AN2" s="19"/>
      <c r="AO2" s="20">
        <v>5</v>
      </c>
      <c r="AP2" s="21">
        <v>45776</v>
      </c>
      <c r="AQ2" s="19"/>
      <c r="AR2" s="20">
        <v>5</v>
      </c>
      <c r="AS2" s="19"/>
      <c r="AT2" s="19"/>
      <c r="AU2" s="19" t="s">
        <v>398</v>
      </c>
      <c r="AV2" s="19" t="s">
        <v>398</v>
      </c>
      <c r="AW2" s="21">
        <v>45777</v>
      </c>
      <c r="AX2" s="19" t="s">
        <v>398</v>
      </c>
      <c r="AY2" s="21">
        <v>45748</v>
      </c>
      <c r="AZ2" s="21">
        <v>45765</v>
      </c>
      <c r="BA2" s="19" t="s">
        <v>398</v>
      </c>
      <c r="BB2" s="19" t="s">
        <v>398</v>
      </c>
      <c r="BC2" s="19" t="s">
        <v>403</v>
      </c>
      <c r="BD2" s="19" t="s">
        <v>403</v>
      </c>
      <c r="BE2" s="19" t="s">
        <v>398</v>
      </c>
      <c r="BF2" s="19" t="s">
        <v>398</v>
      </c>
      <c r="BG2" s="19" t="s">
        <v>398</v>
      </c>
      <c r="BH2" s="19" t="s">
        <v>403</v>
      </c>
      <c r="BI2" s="19" t="s">
        <v>398</v>
      </c>
      <c r="BJ2" s="19" t="s">
        <v>403</v>
      </c>
      <c r="BK2" s="19" t="s">
        <v>398</v>
      </c>
      <c r="BL2" s="19" t="s">
        <v>398</v>
      </c>
      <c r="BM2" s="49">
        <v>1</v>
      </c>
      <c r="BN2" s="19" t="s">
        <v>403</v>
      </c>
      <c r="BO2" s="19" t="s">
        <v>403</v>
      </c>
      <c r="BP2" s="19" t="s">
        <v>398</v>
      </c>
      <c r="BQ2" s="19" t="s">
        <v>398</v>
      </c>
      <c r="BR2" s="19" t="s">
        <v>398</v>
      </c>
      <c r="BS2" s="19" t="s">
        <v>398</v>
      </c>
      <c r="BT2" s="19" t="s">
        <v>398</v>
      </c>
      <c r="BU2" s="53" t="s">
        <v>411</v>
      </c>
      <c r="BV2" s="20" t="s">
        <v>412</v>
      </c>
      <c r="BW2" s="31" t="s">
        <v>392</v>
      </c>
      <c r="BX2" s="44" t="s">
        <v>413</v>
      </c>
      <c r="BY2" s="44" t="s">
        <v>414</v>
      </c>
    </row>
    <row r="3" spans="1:77">
      <c r="A3" s="19"/>
      <c r="B3" s="19"/>
      <c r="C3" s="20" t="s">
        <v>415</v>
      </c>
      <c r="D3" s="21">
        <v>45734</v>
      </c>
      <c r="E3" s="19" t="s">
        <v>396</v>
      </c>
      <c r="F3" s="9" t="s">
        <v>397</v>
      </c>
      <c r="G3" s="9"/>
      <c r="H3" s="20" t="s">
        <v>127</v>
      </c>
      <c r="I3" s="29" t="s">
        <v>398</v>
      </c>
      <c r="J3" s="19" t="s">
        <v>398</v>
      </c>
      <c r="K3" s="19" t="s">
        <v>398</v>
      </c>
      <c r="L3" s="27" t="s">
        <v>399</v>
      </c>
      <c r="M3" s="20" t="s">
        <v>400</v>
      </c>
      <c r="N3" s="19" t="s">
        <v>401</v>
      </c>
      <c r="O3" s="28" t="s">
        <v>416</v>
      </c>
      <c r="P3" s="19" t="s">
        <v>403</v>
      </c>
      <c r="Q3" s="28" t="s">
        <v>417</v>
      </c>
      <c r="R3" s="19" t="s">
        <v>400</v>
      </c>
      <c r="S3" s="41"/>
      <c r="T3" s="20" t="s">
        <v>400</v>
      </c>
      <c r="U3" s="20"/>
      <c r="V3" s="42" t="s">
        <v>407</v>
      </c>
      <c r="W3" s="19" t="s">
        <v>418</v>
      </c>
      <c r="X3" s="19"/>
      <c r="Y3" s="45">
        <v>2270</v>
      </c>
      <c r="Z3" s="21">
        <v>45767</v>
      </c>
      <c r="AA3" s="21">
        <v>45777</v>
      </c>
      <c r="AB3" s="21">
        <v>45784</v>
      </c>
      <c r="AC3" s="19" t="s">
        <v>398</v>
      </c>
      <c r="AD3" s="19" t="s">
        <v>398</v>
      </c>
      <c r="AE3" s="19" t="s">
        <v>398</v>
      </c>
      <c r="AF3" s="19" t="s">
        <v>398</v>
      </c>
      <c r="AG3" s="21">
        <v>45754</v>
      </c>
      <c r="AH3" s="21"/>
      <c r="AI3" s="48" t="s">
        <v>409</v>
      </c>
      <c r="AJ3" s="21">
        <v>45776</v>
      </c>
      <c r="AK3" s="48"/>
      <c r="AL3" s="27" t="s">
        <v>410</v>
      </c>
      <c r="AM3" s="27"/>
      <c r="AN3" s="27"/>
      <c r="AO3" s="19">
        <v>5</v>
      </c>
      <c r="AP3" s="21">
        <v>45776</v>
      </c>
      <c r="AQ3" s="19"/>
      <c r="AR3" s="19">
        <v>5</v>
      </c>
      <c r="AS3" s="19"/>
      <c r="AT3" s="19"/>
      <c r="AU3" s="19" t="s">
        <v>398</v>
      </c>
      <c r="AV3" s="19" t="s">
        <v>398</v>
      </c>
      <c r="AW3" s="21">
        <v>45777</v>
      </c>
      <c r="AX3" s="19" t="s">
        <v>398</v>
      </c>
      <c r="AY3" s="21">
        <v>45748</v>
      </c>
      <c r="AZ3" s="21">
        <v>45765</v>
      </c>
      <c r="BA3" s="19" t="s">
        <v>398</v>
      </c>
      <c r="BB3" s="19" t="s">
        <v>398</v>
      </c>
      <c r="BC3" s="19" t="s">
        <v>403</v>
      </c>
      <c r="BD3" s="19" t="s">
        <v>403</v>
      </c>
      <c r="BE3" s="19" t="s">
        <v>398</v>
      </c>
      <c r="BF3" s="19" t="s">
        <v>398</v>
      </c>
      <c r="BG3" s="19" t="s">
        <v>398</v>
      </c>
      <c r="BH3" s="19" t="s">
        <v>403</v>
      </c>
      <c r="BI3" s="19" t="s">
        <v>398</v>
      </c>
      <c r="BJ3" s="19" t="s">
        <v>403</v>
      </c>
      <c r="BK3" s="19" t="s">
        <v>398</v>
      </c>
      <c r="BL3" s="19" t="s">
        <v>398</v>
      </c>
      <c r="BM3" s="49">
        <v>1</v>
      </c>
      <c r="BN3" s="19" t="s">
        <v>403</v>
      </c>
      <c r="BO3" s="19" t="s">
        <v>403</v>
      </c>
      <c r="BP3" s="19" t="s">
        <v>398</v>
      </c>
      <c r="BQ3" s="19" t="s">
        <v>398</v>
      </c>
      <c r="BR3" s="19" t="s">
        <v>398</v>
      </c>
      <c r="BS3" s="19" t="s">
        <v>398</v>
      </c>
      <c r="BT3" s="19" t="s">
        <v>398</v>
      </c>
      <c r="BU3" s="53" t="s">
        <v>411</v>
      </c>
      <c r="BV3" s="19" t="s">
        <v>412</v>
      </c>
      <c r="BW3" s="53" t="s">
        <v>419</v>
      </c>
      <c r="BX3" s="44" t="s">
        <v>413</v>
      </c>
      <c r="BY3" s="44" t="s">
        <v>414</v>
      </c>
    </row>
    <row r="4" spans="1:77">
      <c r="A4" s="8"/>
      <c r="B4" s="8"/>
      <c r="C4" s="8"/>
      <c r="D4" s="21"/>
      <c r="E4" s="19"/>
      <c r="F4" s="9"/>
      <c r="G4" s="9"/>
      <c r="H4" s="20"/>
      <c r="I4" s="29"/>
      <c r="J4" s="19"/>
      <c r="K4" s="19"/>
      <c r="L4" s="19"/>
      <c r="M4" s="19"/>
      <c r="N4" s="19"/>
      <c r="O4" s="22"/>
      <c r="P4" s="19"/>
      <c r="Q4" s="41"/>
      <c r="R4" s="19" t="s">
        <v>400</v>
      </c>
      <c r="S4" s="43"/>
      <c r="T4" s="19"/>
      <c r="U4" s="20"/>
      <c r="V4" s="42" t="s">
        <v>407</v>
      </c>
      <c r="W4" s="8"/>
      <c r="X4" s="8"/>
      <c r="Y4" s="8"/>
      <c r="Z4" s="21"/>
      <c r="AA4" s="21"/>
      <c r="AB4" s="21"/>
      <c r="AC4" s="19"/>
      <c r="AD4" s="19"/>
      <c r="AE4" s="19"/>
      <c r="AF4" s="19"/>
      <c r="AG4" s="21"/>
      <c r="AH4" s="21"/>
      <c r="AI4" s="48"/>
      <c r="AJ4" s="21"/>
      <c r="AK4" s="48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21"/>
      <c r="AX4" s="19"/>
      <c r="AY4" s="21"/>
      <c r="AZ4" s="21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49"/>
      <c r="BN4" s="19"/>
      <c r="BO4" s="19"/>
      <c r="BP4" s="19"/>
      <c r="BQ4" s="19"/>
      <c r="BR4" s="19"/>
      <c r="BS4" s="19"/>
      <c r="BT4" s="19"/>
      <c r="BU4" s="53" t="s">
        <v>411</v>
      </c>
      <c r="BV4" s="19"/>
      <c r="BW4" s="53" t="s">
        <v>419</v>
      </c>
      <c r="BX4" s="44" t="s">
        <v>413</v>
      </c>
      <c r="BY4" s="44" t="s">
        <v>414</v>
      </c>
    </row>
    <row r="5" spans="1:77">
      <c r="A5" s="8"/>
      <c r="B5" s="9"/>
      <c r="C5" s="8" t="s">
        <v>420</v>
      </c>
      <c r="D5" s="21">
        <v>45734</v>
      </c>
      <c r="E5" s="19" t="s">
        <v>396</v>
      </c>
      <c r="F5" s="9" t="s">
        <v>397</v>
      </c>
      <c r="G5" s="9"/>
      <c r="H5" s="8" t="s">
        <v>107</v>
      </c>
      <c r="I5" s="29" t="s">
        <v>398</v>
      </c>
      <c r="J5" s="19" t="s">
        <v>398</v>
      </c>
      <c r="K5" s="8" t="s">
        <v>398</v>
      </c>
      <c r="L5" s="27" t="s">
        <v>399</v>
      </c>
      <c r="M5" s="8" t="s">
        <v>400</v>
      </c>
      <c r="N5" s="29" t="s">
        <v>401</v>
      </c>
      <c r="O5" s="30" t="s">
        <v>402</v>
      </c>
      <c r="P5" s="8" t="s">
        <v>403</v>
      </c>
      <c r="Q5" s="30" t="s">
        <v>404</v>
      </c>
      <c r="R5" s="44" t="s">
        <v>405</v>
      </c>
      <c r="S5" s="28" t="s">
        <v>406</v>
      </c>
      <c r="T5" s="8" t="s">
        <v>400</v>
      </c>
      <c r="U5" s="20"/>
      <c r="V5" s="42" t="s">
        <v>407</v>
      </c>
      <c r="W5" s="8" t="s">
        <v>421</v>
      </c>
      <c r="X5" s="8"/>
      <c r="Y5" s="46">
        <v>1432</v>
      </c>
      <c r="Z5" s="21">
        <v>45767</v>
      </c>
      <c r="AA5" s="21">
        <v>45777</v>
      </c>
      <c r="AB5" s="21">
        <v>45784</v>
      </c>
      <c r="AC5" s="19" t="s">
        <v>398</v>
      </c>
      <c r="AD5" s="19" t="s">
        <v>398</v>
      </c>
      <c r="AE5" s="19" t="s">
        <v>398</v>
      </c>
      <c r="AF5" s="19" t="s">
        <v>398</v>
      </c>
      <c r="AG5" s="21">
        <v>45754</v>
      </c>
      <c r="AH5" s="21"/>
      <c r="AI5" s="48" t="s">
        <v>409</v>
      </c>
      <c r="AJ5" s="21">
        <v>45776</v>
      </c>
      <c r="AK5" s="48"/>
      <c r="AL5" s="27" t="s">
        <v>410</v>
      </c>
      <c r="AM5" s="27"/>
      <c r="AN5" s="27"/>
      <c r="AO5" s="19">
        <v>5</v>
      </c>
      <c r="AP5" s="21">
        <v>45769</v>
      </c>
      <c r="AQ5" s="19"/>
      <c r="AR5" s="19">
        <v>5</v>
      </c>
      <c r="AS5" s="19"/>
      <c r="AT5" s="19"/>
      <c r="AU5" s="19" t="s">
        <v>398</v>
      </c>
      <c r="AV5" s="19" t="s">
        <v>398</v>
      </c>
      <c r="AW5" s="21">
        <v>45777</v>
      </c>
      <c r="AX5" s="19" t="s">
        <v>398</v>
      </c>
      <c r="AY5" s="21">
        <v>45748</v>
      </c>
      <c r="AZ5" s="21">
        <v>45765</v>
      </c>
      <c r="BA5" s="19" t="s">
        <v>398</v>
      </c>
      <c r="BB5" s="19" t="s">
        <v>398</v>
      </c>
      <c r="BC5" s="19" t="s">
        <v>403</v>
      </c>
      <c r="BD5" s="19" t="s">
        <v>403</v>
      </c>
      <c r="BE5" s="19" t="s">
        <v>398</v>
      </c>
      <c r="BF5" s="19" t="s">
        <v>398</v>
      </c>
      <c r="BG5" s="19" t="s">
        <v>398</v>
      </c>
      <c r="BH5" s="19" t="s">
        <v>403</v>
      </c>
      <c r="BI5" s="19" t="s">
        <v>398</v>
      </c>
      <c r="BJ5" s="19" t="s">
        <v>403</v>
      </c>
      <c r="BK5" s="19" t="s">
        <v>398</v>
      </c>
      <c r="BL5" s="19" t="s">
        <v>398</v>
      </c>
      <c r="BM5" s="49">
        <v>1</v>
      </c>
      <c r="BN5" s="19" t="s">
        <v>403</v>
      </c>
      <c r="BO5" s="19" t="s">
        <v>403</v>
      </c>
      <c r="BP5" s="19" t="s">
        <v>398</v>
      </c>
      <c r="BQ5" s="19" t="s">
        <v>398</v>
      </c>
      <c r="BR5" s="19" t="s">
        <v>398</v>
      </c>
      <c r="BS5" s="19" t="s">
        <v>398</v>
      </c>
      <c r="BT5" s="19" t="s">
        <v>398</v>
      </c>
      <c r="BU5" s="53" t="s">
        <v>411</v>
      </c>
      <c r="BV5" s="19" t="s">
        <v>412</v>
      </c>
      <c r="BW5" s="53" t="s">
        <v>419</v>
      </c>
      <c r="BX5" s="44" t="s">
        <v>413</v>
      </c>
      <c r="BY5" s="44" t="s">
        <v>414</v>
      </c>
    </row>
    <row r="6" spans="1:77">
      <c r="A6" s="8"/>
      <c r="B6" s="9"/>
      <c r="C6" s="8" t="s">
        <v>422</v>
      </c>
      <c r="D6" s="21">
        <v>45734</v>
      </c>
      <c r="E6" s="19" t="s">
        <v>396</v>
      </c>
      <c r="F6" s="9" t="s">
        <v>397</v>
      </c>
      <c r="G6" s="9"/>
      <c r="H6" s="8" t="s">
        <v>127</v>
      </c>
      <c r="I6" s="29" t="s">
        <v>398</v>
      </c>
      <c r="J6" s="19" t="s">
        <v>398</v>
      </c>
      <c r="K6" s="8" t="s">
        <v>398</v>
      </c>
      <c r="L6" s="27" t="s">
        <v>399</v>
      </c>
      <c r="M6" s="8" t="s">
        <v>400</v>
      </c>
      <c r="N6" s="29" t="s">
        <v>401</v>
      </c>
      <c r="O6" s="30" t="s">
        <v>416</v>
      </c>
      <c r="P6" s="31" t="s">
        <v>403</v>
      </c>
      <c r="Q6" s="30" t="s">
        <v>417</v>
      </c>
      <c r="R6" s="19" t="s">
        <v>400</v>
      </c>
      <c r="S6" s="22"/>
      <c r="T6" s="8" t="s">
        <v>400</v>
      </c>
      <c r="U6" s="20"/>
      <c r="V6" s="42" t="s">
        <v>407</v>
      </c>
      <c r="W6" s="9" t="s">
        <v>423</v>
      </c>
      <c r="X6" s="9"/>
      <c r="Y6" s="46">
        <v>2270</v>
      </c>
      <c r="Z6" s="21">
        <v>45767</v>
      </c>
      <c r="AA6" s="21">
        <v>45777</v>
      </c>
      <c r="AB6" s="21">
        <v>45784</v>
      </c>
      <c r="AC6" s="19" t="s">
        <v>398</v>
      </c>
      <c r="AD6" s="19" t="s">
        <v>398</v>
      </c>
      <c r="AE6" s="19" t="s">
        <v>398</v>
      </c>
      <c r="AF6" s="19" t="s">
        <v>398</v>
      </c>
      <c r="AG6" s="21">
        <v>45754</v>
      </c>
      <c r="AH6" s="21"/>
      <c r="AI6" s="48" t="s">
        <v>409</v>
      </c>
      <c r="AJ6" s="21">
        <v>45776</v>
      </c>
      <c r="AK6" s="48"/>
      <c r="AL6" s="27" t="s">
        <v>410</v>
      </c>
      <c r="AM6" s="27"/>
      <c r="AN6" s="27"/>
      <c r="AO6" s="19">
        <v>5</v>
      </c>
      <c r="AP6" s="21">
        <v>45769</v>
      </c>
      <c r="AQ6" s="19"/>
      <c r="AR6" s="19">
        <v>5</v>
      </c>
      <c r="AS6" s="19"/>
      <c r="AT6" s="19"/>
      <c r="AU6" s="19" t="s">
        <v>398</v>
      </c>
      <c r="AV6" s="19" t="s">
        <v>398</v>
      </c>
      <c r="AW6" s="21">
        <v>45777</v>
      </c>
      <c r="AX6" s="19" t="s">
        <v>398</v>
      </c>
      <c r="AY6" s="21">
        <v>45748</v>
      </c>
      <c r="AZ6" s="21">
        <v>45765</v>
      </c>
      <c r="BA6" s="19" t="s">
        <v>398</v>
      </c>
      <c r="BB6" s="19" t="s">
        <v>398</v>
      </c>
      <c r="BC6" s="19" t="s">
        <v>403</v>
      </c>
      <c r="BD6" s="19" t="s">
        <v>403</v>
      </c>
      <c r="BE6" s="19" t="s">
        <v>398</v>
      </c>
      <c r="BF6" s="19" t="s">
        <v>398</v>
      </c>
      <c r="BG6" s="19" t="s">
        <v>398</v>
      </c>
      <c r="BH6" s="19" t="s">
        <v>403</v>
      </c>
      <c r="BI6" s="19" t="s">
        <v>398</v>
      </c>
      <c r="BJ6" s="19" t="s">
        <v>403</v>
      </c>
      <c r="BK6" s="19" t="s">
        <v>398</v>
      </c>
      <c r="BL6" s="19" t="s">
        <v>398</v>
      </c>
      <c r="BM6" s="49">
        <v>1</v>
      </c>
      <c r="BN6" s="19" t="s">
        <v>403</v>
      </c>
      <c r="BO6" s="19" t="s">
        <v>403</v>
      </c>
      <c r="BP6" s="19" t="s">
        <v>398</v>
      </c>
      <c r="BQ6" s="19" t="s">
        <v>398</v>
      </c>
      <c r="BR6" s="19" t="s">
        <v>398</v>
      </c>
      <c r="BS6" s="19" t="s">
        <v>398</v>
      </c>
      <c r="BT6" s="19" t="s">
        <v>398</v>
      </c>
      <c r="BU6" s="53" t="s">
        <v>411</v>
      </c>
      <c r="BV6" s="19" t="s">
        <v>412</v>
      </c>
      <c r="BW6" s="53" t="s">
        <v>419</v>
      </c>
      <c r="BX6" s="44" t="s">
        <v>413</v>
      </c>
      <c r="BY6" s="44" t="s">
        <v>414</v>
      </c>
    </row>
    <row r="7" spans="1:77">
      <c r="A7" s="8"/>
      <c r="B7" s="8"/>
      <c r="C7" s="8"/>
      <c r="D7" s="21"/>
      <c r="E7" s="19"/>
      <c r="F7" s="8"/>
      <c r="G7" s="8"/>
      <c r="H7" s="8"/>
      <c r="I7" s="8"/>
      <c r="J7" s="8"/>
      <c r="K7" s="8"/>
      <c r="L7" s="8"/>
      <c r="M7" s="8"/>
      <c r="N7" s="8"/>
      <c r="O7" s="22"/>
      <c r="P7" s="8"/>
      <c r="Q7" s="41"/>
      <c r="R7" s="19" t="s">
        <v>400</v>
      </c>
      <c r="S7" s="24"/>
      <c r="T7" s="9"/>
      <c r="U7" s="9"/>
      <c r="V7" s="24"/>
      <c r="W7" s="9"/>
      <c r="X7" s="9"/>
      <c r="Y7" s="8"/>
      <c r="Z7" s="21"/>
      <c r="AA7" s="21"/>
      <c r="AB7" s="21"/>
      <c r="AC7" s="19"/>
      <c r="AD7" s="19"/>
      <c r="AE7" s="19"/>
      <c r="AF7" s="19"/>
      <c r="AG7" s="21"/>
      <c r="AH7" s="21"/>
      <c r="AI7" s="19"/>
      <c r="AJ7" s="19"/>
      <c r="AK7" s="19"/>
      <c r="AL7" s="19"/>
      <c r="AM7" s="19"/>
      <c r="AN7" s="19"/>
      <c r="AO7" s="19"/>
      <c r="AP7" s="21"/>
      <c r="AQ7" s="19"/>
      <c r="AR7" s="19"/>
      <c r="AS7" s="19"/>
      <c r="AT7" s="19"/>
      <c r="AU7" s="19"/>
      <c r="AV7" s="19"/>
      <c r="AW7" s="19"/>
      <c r="AX7" s="19"/>
      <c r="AY7" s="21">
        <v>45748</v>
      </c>
      <c r="AZ7" s="21">
        <v>45765</v>
      </c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49"/>
      <c r="BN7" s="19"/>
      <c r="BO7" s="19"/>
      <c r="BP7" s="19"/>
      <c r="BQ7" s="19"/>
      <c r="BR7" s="19"/>
      <c r="BS7" s="19"/>
      <c r="BT7" s="19"/>
      <c r="BU7" s="53" t="s">
        <v>411</v>
      </c>
      <c r="BV7" s="19"/>
      <c r="BW7" s="53" t="s">
        <v>419</v>
      </c>
      <c r="BX7" s="44" t="s">
        <v>413</v>
      </c>
      <c r="BY7" s="44" t="s">
        <v>414</v>
      </c>
    </row>
    <row r="8" spans="1:77">
      <c r="A8" s="8"/>
      <c r="B8" s="9"/>
      <c r="C8" s="8" t="s">
        <v>424</v>
      </c>
      <c r="D8" s="21">
        <v>45734</v>
      </c>
      <c r="E8" s="19" t="s">
        <v>396</v>
      </c>
      <c r="F8" s="9" t="s">
        <v>397</v>
      </c>
      <c r="G8" s="9"/>
      <c r="H8" s="8" t="s">
        <v>107</v>
      </c>
      <c r="I8" s="8" t="s">
        <v>398</v>
      </c>
      <c r="J8" s="19" t="s">
        <v>398</v>
      </c>
      <c r="K8" s="8" t="s">
        <v>398</v>
      </c>
      <c r="L8" s="27" t="s">
        <v>399</v>
      </c>
      <c r="M8" s="32" t="s">
        <v>425</v>
      </c>
      <c r="N8" s="29" t="s">
        <v>401</v>
      </c>
      <c r="O8" s="28" t="s">
        <v>426</v>
      </c>
      <c r="P8" s="31" t="s">
        <v>403</v>
      </c>
      <c r="Q8" s="28" t="s">
        <v>427</v>
      </c>
      <c r="R8" s="44" t="s">
        <v>428</v>
      </c>
      <c r="S8" s="28" t="s">
        <v>429</v>
      </c>
      <c r="T8" s="8" t="s">
        <v>400</v>
      </c>
      <c r="U8" s="32" t="s">
        <v>430</v>
      </c>
      <c r="V8" s="28" t="s">
        <v>431</v>
      </c>
      <c r="W8" s="9" t="s">
        <v>432</v>
      </c>
      <c r="X8" s="9"/>
      <c r="Y8" s="47">
        <v>3360</v>
      </c>
      <c r="Z8" s="21">
        <v>45761</v>
      </c>
      <c r="AA8" s="21">
        <v>45794</v>
      </c>
      <c r="AB8" s="21">
        <v>45802</v>
      </c>
      <c r="AC8" s="19" t="s">
        <v>398</v>
      </c>
      <c r="AD8" s="19" t="s">
        <v>398</v>
      </c>
      <c r="AE8" s="19" t="s">
        <v>398</v>
      </c>
      <c r="AF8" s="19" t="s">
        <v>398</v>
      </c>
      <c r="AG8" s="21">
        <v>45761</v>
      </c>
      <c r="AH8" s="21">
        <v>45769</v>
      </c>
      <c r="AI8" s="19" t="s">
        <v>433</v>
      </c>
      <c r="AJ8" s="21">
        <v>45776</v>
      </c>
      <c r="AK8" s="19"/>
      <c r="AL8" s="27" t="s">
        <v>410</v>
      </c>
      <c r="AM8" s="27"/>
      <c r="AN8" s="27"/>
      <c r="AO8" s="19">
        <v>5</v>
      </c>
      <c r="AP8" s="21">
        <v>45769</v>
      </c>
      <c r="AQ8" s="19"/>
      <c r="AR8" s="19">
        <v>5</v>
      </c>
      <c r="AS8" s="19"/>
      <c r="AT8" s="19"/>
      <c r="AU8" s="19" t="s">
        <v>398</v>
      </c>
      <c r="AV8" s="19" t="s">
        <v>398</v>
      </c>
      <c r="AW8" s="19" t="s">
        <v>398</v>
      </c>
      <c r="AX8" s="19" t="s">
        <v>398</v>
      </c>
      <c r="AY8" s="21">
        <v>45748</v>
      </c>
      <c r="AZ8" s="21">
        <v>45765</v>
      </c>
      <c r="BA8" s="19" t="s">
        <v>398</v>
      </c>
      <c r="BB8" s="19" t="s">
        <v>398</v>
      </c>
      <c r="BC8" s="19" t="s">
        <v>403</v>
      </c>
      <c r="BD8" s="19" t="s">
        <v>403</v>
      </c>
      <c r="BE8" s="19" t="s">
        <v>398</v>
      </c>
      <c r="BF8" s="19" t="s">
        <v>398</v>
      </c>
      <c r="BG8" s="19" t="s">
        <v>398</v>
      </c>
      <c r="BH8" s="19" t="s">
        <v>403</v>
      </c>
      <c r="BI8" s="19" t="s">
        <v>398</v>
      </c>
      <c r="BJ8" s="19" t="s">
        <v>403</v>
      </c>
      <c r="BK8" s="19" t="s">
        <v>398</v>
      </c>
      <c r="BL8" s="19" t="s">
        <v>398</v>
      </c>
      <c r="BM8" s="49">
        <v>1</v>
      </c>
      <c r="BN8" s="19" t="s">
        <v>403</v>
      </c>
      <c r="BO8" s="19" t="s">
        <v>403</v>
      </c>
      <c r="BP8" s="19" t="s">
        <v>398</v>
      </c>
      <c r="BQ8" s="19" t="s">
        <v>398</v>
      </c>
      <c r="BR8" s="19" t="s">
        <v>398</v>
      </c>
      <c r="BS8" s="19" t="s">
        <v>398</v>
      </c>
      <c r="BT8" s="19" t="s">
        <v>398</v>
      </c>
      <c r="BU8" s="53" t="s">
        <v>411</v>
      </c>
      <c r="BV8" s="19" t="s">
        <v>412</v>
      </c>
      <c r="BW8" s="53" t="s">
        <v>419</v>
      </c>
      <c r="BX8" s="44" t="s">
        <v>413</v>
      </c>
      <c r="BY8" s="44" t="s">
        <v>414</v>
      </c>
    </row>
    <row r="9" spans="1:77">
      <c r="A9" s="8"/>
      <c r="B9" s="9"/>
      <c r="C9" s="8" t="s">
        <v>434</v>
      </c>
      <c r="D9" s="21">
        <v>45734</v>
      </c>
      <c r="E9" s="19" t="s">
        <v>396</v>
      </c>
      <c r="F9" s="9" t="s">
        <v>397</v>
      </c>
      <c r="G9" s="9"/>
      <c r="H9" s="8" t="s">
        <v>127</v>
      </c>
      <c r="I9" s="31" t="s">
        <v>398</v>
      </c>
      <c r="J9" s="19" t="s">
        <v>398</v>
      </c>
      <c r="K9" s="8" t="s">
        <v>398</v>
      </c>
      <c r="L9" s="27" t="s">
        <v>399</v>
      </c>
      <c r="M9" s="33" t="s">
        <v>425</v>
      </c>
      <c r="N9" s="29" t="s">
        <v>401</v>
      </c>
      <c r="O9" s="28" t="s">
        <v>435</v>
      </c>
      <c r="P9" s="31" t="s">
        <v>403</v>
      </c>
      <c r="Q9" s="28" t="s">
        <v>436</v>
      </c>
      <c r="R9" s="44" t="s">
        <v>405</v>
      </c>
      <c r="S9" s="28" t="s">
        <v>429</v>
      </c>
      <c r="T9" s="8" t="s">
        <v>400</v>
      </c>
      <c r="U9" s="32" t="s">
        <v>430</v>
      </c>
      <c r="V9" s="28" t="s">
        <v>437</v>
      </c>
      <c r="W9" s="8" t="s">
        <v>438</v>
      </c>
      <c r="X9" s="9"/>
      <c r="Y9" s="47">
        <v>2160</v>
      </c>
      <c r="Z9" s="21">
        <v>45761</v>
      </c>
      <c r="AA9" s="21">
        <v>45794</v>
      </c>
      <c r="AB9" s="21">
        <v>45802</v>
      </c>
      <c r="AC9" s="19" t="s">
        <v>398</v>
      </c>
      <c r="AD9" s="19" t="s">
        <v>398</v>
      </c>
      <c r="AE9" s="19" t="s">
        <v>398</v>
      </c>
      <c r="AF9" s="19" t="s">
        <v>398</v>
      </c>
      <c r="AG9" s="21">
        <v>45761</v>
      </c>
      <c r="AH9" s="21">
        <v>45769</v>
      </c>
      <c r="AI9" s="19" t="s">
        <v>433</v>
      </c>
      <c r="AJ9" s="21">
        <v>45776</v>
      </c>
      <c r="AK9" s="19"/>
      <c r="AL9" s="27" t="s">
        <v>410</v>
      </c>
      <c r="AM9" s="27"/>
      <c r="AN9" s="27"/>
      <c r="AO9" s="19">
        <v>5</v>
      </c>
      <c r="AP9" s="21">
        <v>45769</v>
      </c>
      <c r="AQ9" s="19"/>
      <c r="AR9" s="19">
        <v>5</v>
      </c>
      <c r="AS9" s="19"/>
      <c r="AT9" s="19"/>
      <c r="AU9" s="19" t="s">
        <v>398</v>
      </c>
      <c r="AV9" s="19" t="s">
        <v>398</v>
      </c>
      <c r="AW9" s="19" t="s">
        <v>398</v>
      </c>
      <c r="AX9" s="19" t="s">
        <v>398</v>
      </c>
      <c r="AY9" s="21">
        <v>45748</v>
      </c>
      <c r="AZ9" s="21">
        <v>45765</v>
      </c>
      <c r="BA9" s="19" t="s">
        <v>398</v>
      </c>
      <c r="BB9" s="19" t="s">
        <v>398</v>
      </c>
      <c r="BC9" s="19" t="s">
        <v>403</v>
      </c>
      <c r="BD9" s="19" t="s">
        <v>403</v>
      </c>
      <c r="BE9" s="19" t="s">
        <v>398</v>
      </c>
      <c r="BF9" s="19" t="s">
        <v>398</v>
      </c>
      <c r="BG9" s="19" t="s">
        <v>398</v>
      </c>
      <c r="BH9" s="19" t="s">
        <v>403</v>
      </c>
      <c r="BI9" s="19" t="s">
        <v>398</v>
      </c>
      <c r="BJ9" s="19" t="s">
        <v>403</v>
      </c>
      <c r="BK9" s="19" t="s">
        <v>398</v>
      </c>
      <c r="BL9" s="19" t="s">
        <v>398</v>
      </c>
      <c r="BM9" s="49">
        <v>1</v>
      </c>
      <c r="BN9" s="19" t="s">
        <v>403</v>
      </c>
      <c r="BO9" s="19" t="s">
        <v>403</v>
      </c>
      <c r="BP9" s="19" t="s">
        <v>398</v>
      </c>
      <c r="BQ9" s="19" t="s">
        <v>398</v>
      </c>
      <c r="BR9" s="19" t="s">
        <v>398</v>
      </c>
      <c r="BS9" s="19" t="s">
        <v>398</v>
      </c>
      <c r="BT9" s="19" t="s">
        <v>398</v>
      </c>
      <c r="BU9" s="53" t="s">
        <v>411</v>
      </c>
      <c r="BV9" s="19" t="s">
        <v>412</v>
      </c>
      <c r="BW9" s="53" t="s">
        <v>419</v>
      </c>
      <c r="BX9" s="44" t="s">
        <v>413</v>
      </c>
      <c r="BY9" s="44" t="s">
        <v>414</v>
      </c>
    </row>
    <row r="10" spans="1:7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22"/>
      <c r="P10" s="8"/>
      <c r="Q10" s="22"/>
      <c r="R10" s="19" t="s">
        <v>400</v>
      </c>
      <c r="S10" s="28" t="s">
        <v>429</v>
      </c>
      <c r="T10" s="9"/>
      <c r="U10" s="32" t="s">
        <v>430</v>
      </c>
      <c r="V10" s="24"/>
      <c r="W10" s="9"/>
      <c r="X10" s="9"/>
      <c r="Y10" s="8"/>
      <c r="Z10" s="21"/>
      <c r="AA10" s="8"/>
      <c r="AB10" s="8"/>
      <c r="AC10" s="19"/>
      <c r="AD10" s="19"/>
      <c r="AE10" s="19"/>
      <c r="AF10" s="19"/>
      <c r="AG10" s="21"/>
      <c r="AH10" s="21"/>
      <c r="AI10" s="19"/>
      <c r="AJ10" s="19"/>
      <c r="AK10" s="19"/>
      <c r="AL10" s="19"/>
      <c r="AM10" s="19"/>
      <c r="AN10" s="19"/>
      <c r="AO10" s="19">
        <v>5</v>
      </c>
      <c r="AP10" s="21">
        <v>45769</v>
      </c>
      <c r="AQ10" s="19"/>
      <c r="AR10" s="19">
        <v>5</v>
      </c>
      <c r="AS10" s="19"/>
      <c r="AT10" s="19"/>
      <c r="AU10" s="19"/>
      <c r="AV10" s="19"/>
      <c r="AW10" s="19"/>
      <c r="AX10" s="19"/>
      <c r="AY10" s="21">
        <v>45748</v>
      </c>
      <c r="AZ10" s="21">
        <v>45765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49"/>
      <c r="BN10" s="19"/>
      <c r="BO10" s="19"/>
      <c r="BP10" s="19"/>
      <c r="BQ10" s="19"/>
      <c r="BR10" s="19"/>
      <c r="BS10" s="19"/>
      <c r="BT10" s="19"/>
      <c r="BU10" s="53" t="s">
        <v>411</v>
      </c>
      <c r="BV10" s="19"/>
      <c r="BW10" s="53" t="s">
        <v>419</v>
      </c>
      <c r="BX10" s="44" t="s">
        <v>413</v>
      </c>
      <c r="BY10" s="44" t="s">
        <v>414</v>
      </c>
    </row>
    <row r="11" spans="1:77">
      <c r="A11" s="19"/>
      <c r="B11" s="19"/>
      <c r="C11" s="20" t="s">
        <v>439</v>
      </c>
      <c r="D11" s="21">
        <v>45734</v>
      </c>
      <c r="E11" s="19" t="s">
        <v>396</v>
      </c>
      <c r="F11" s="9" t="s">
        <v>397</v>
      </c>
      <c r="G11" s="9"/>
      <c r="H11" s="8" t="s">
        <v>107</v>
      </c>
      <c r="I11" s="29" t="s">
        <v>398</v>
      </c>
      <c r="J11" s="19" t="s">
        <v>398</v>
      </c>
      <c r="K11" s="8" t="s">
        <v>398</v>
      </c>
      <c r="L11" s="8" t="s">
        <v>399</v>
      </c>
      <c r="M11" s="8" t="s">
        <v>400</v>
      </c>
      <c r="N11" s="8" t="s">
        <v>403</v>
      </c>
      <c r="O11" s="34" t="s">
        <v>440</v>
      </c>
      <c r="P11" s="31" t="s">
        <v>403</v>
      </c>
      <c r="Q11" s="22" t="s">
        <v>441</v>
      </c>
      <c r="R11" s="19" t="s">
        <v>400</v>
      </c>
      <c r="S11" s="28" t="s">
        <v>429</v>
      </c>
      <c r="T11" s="8" t="s">
        <v>400</v>
      </c>
      <c r="U11" s="32" t="s">
        <v>430</v>
      </c>
      <c r="V11" s="42" t="s">
        <v>407</v>
      </c>
      <c r="W11" s="8" t="s">
        <v>442</v>
      </c>
      <c r="X11" s="9"/>
      <c r="Y11" s="46">
        <v>1080</v>
      </c>
      <c r="Z11" s="21">
        <v>45754</v>
      </c>
      <c r="AA11" s="21">
        <v>45784</v>
      </c>
      <c r="AB11" s="21">
        <v>45784</v>
      </c>
      <c r="AC11" s="19" t="s">
        <v>398</v>
      </c>
      <c r="AD11" s="19" t="s">
        <v>398</v>
      </c>
      <c r="AE11" s="19" t="s">
        <v>398</v>
      </c>
      <c r="AF11" s="19" t="s">
        <v>398</v>
      </c>
      <c r="AG11" s="21">
        <v>45742</v>
      </c>
      <c r="AH11" s="21">
        <v>45769</v>
      </c>
      <c r="AI11" s="20" t="s">
        <v>400</v>
      </c>
      <c r="AJ11" s="21">
        <v>45776</v>
      </c>
      <c r="AK11" s="19"/>
      <c r="AL11" s="20" t="s">
        <v>400</v>
      </c>
      <c r="AM11" s="19"/>
      <c r="AN11" s="19"/>
      <c r="AO11" s="19">
        <v>5</v>
      </c>
      <c r="AP11" s="21">
        <v>45769</v>
      </c>
      <c r="AQ11" s="19"/>
      <c r="AR11" s="19">
        <v>5</v>
      </c>
      <c r="AS11" s="19"/>
      <c r="AT11" s="19"/>
      <c r="AU11" s="19" t="s">
        <v>398</v>
      </c>
      <c r="AV11" s="19" t="s">
        <v>398</v>
      </c>
      <c r="AW11" s="19" t="s">
        <v>398</v>
      </c>
      <c r="AX11" s="19" t="s">
        <v>398</v>
      </c>
      <c r="AY11" s="21">
        <v>45748</v>
      </c>
      <c r="AZ11" s="21">
        <v>45765</v>
      </c>
      <c r="BA11" s="19" t="s">
        <v>398</v>
      </c>
      <c r="BB11" s="19" t="s">
        <v>398</v>
      </c>
      <c r="BC11" s="19" t="s">
        <v>403</v>
      </c>
      <c r="BD11" s="19" t="s">
        <v>403</v>
      </c>
      <c r="BE11" s="19" t="s">
        <v>398</v>
      </c>
      <c r="BF11" s="19" t="s">
        <v>398</v>
      </c>
      <c r="BG11" s="19" t="s">
        <v>398</v>
      </c>
      <c r="BH11" s="19" t="s">
        <v>403</v>
      </c>
      <c r="BI11" s="19" t="s">
        <v>398</v>
      </c>
      <c r="BJ11" s="19" t="s">
        <v>403</v>
      </c>
      <c r="BK11" s="19" t="s">
        <v>398</v>
      </c>
      <c r="BL11" s="19" t="s">
        <v>398</v>
      </c>
      <c r="BM11" s="49">
        <v>1</v>
      </c>
      <c r="BN11" s="19" t="s">
        <v>403</v>
      </c>
      <c r="BO11" s="19" t="s">
        <v>403</v>
      </c>
      <c r="BP11" s="19" t="s">
        <v>398</v>
      </c>
      <c r="BQ11" s="19" t="s">
        <v>398</v>
      </c>
      <c r="BR11" s="19" t="s">
        <v>398</v>
      </c>
      <c r="BS11" s="19" t="s">
        <v>398</v>
      </c>
      <c r="BT11" s="19" t="s">
        <v>398</v>
      </c>
      <c r="BU11" s="53" t="s">
        <v>411</v>
      </c>
      <c r="BV11" s="19" t="s">
        <v>412</v>
      </c>
      <c r="BW11" s="53" t="s">
        <v>419</v>
      </c>
      <c r="BX11" s="44" t="s">
        <v>413</v>
      </c>
      <c r="BY11" s="44" t="s">
        <v>414</v>
      </c>
    </row>
    <row r="12" spans="1:77">
      <c r="A12" s="19"/>
      <c r="B12" s="19"/>
      <c r="C12" s="20" t="s">
        <v>439</v>
      </c>
      <c r="D12" s="21">
        <v>45734</v>
      </c>
      <c r="E12" s="19" t="s">
        <v>396</v>
      </c>
      <c r="F12" s="9" t="s">
        <v>397</v>
      </c>
      <c r="G12" s="9"/>
      <c r="H12" s="8" t="s">
        <v>107</v>
      </c>
      <c r="I12" s="29"/>
      <c r="J12" s="19"/>
      <c r="K12" s="9"/>
      <c r="L12" s="9"/>
      <c r="M12" s="8" t="s">
        <v>400</v>
      </c>
      <c r="N12" s="9"/>
      <c r="O12" s="35"/>
      <c r="P12" s="31"/>
      <c r="Q12" s="22" t="s">
        <v>441</v>
      </c>
      <c r="R12" s="19" t="s">
        <v>400</v>
      </c>
      <c r="S12" s="28" t="s">
        <v>429</v>
      </c>
      <c r="T12" s="9"/>
      <c r="U12" s="32" t="s">
        <v>430</v>
      </c>
      <c r="V12" s="42" t="s">
        <v>407</v>
      </c>
      <c r="W12" s="8" t="s">
        <v>443</v>
      </c>
      <c r="X12" s="9"/>
      <c r="Y12" s="8">
        <v>1800</v>
      </c>
      <c r="Z12" s="21"/>
      <c r="AA12" s="21"/>
      <c r="AB12" s="21"/>
      <c r="AC12" s="19"/>
      <c r="AD12" s="19"/>
      <c r="AE12" s="19"/>
      <c r="AF12" s="19"/>
      <c r="AG12" s="21"/>
      <c r="AH12" s="21">
        <v>45769</v>
      </c>
      <c r="AI12" s="19" t="s">
        <v>400</v>
      </c>
      <c r="AJ12" s="21">
        <v>45776</v>
      </c>
      <c r="AK12" s="19"/>
      <c r="AL12" s="19" t="s">
        <v>400</v>
      </c>
      <c r="AM12" s="19"/>
      <c r="AN12" s="19"/>
      <c r="AO12" s="19">
        <v>5</v>
      </c>
      <c r="AP12" s="21">
        <v>45769</v>
      </c>
      <c r="AQ12" s="19"/>
      <c r="AR12" s="19">
        <v>5</v>
      </c>
      <c r="AS12" s="19"/>
      <c r="AT12" s="19"/>
      <c r="AU12" s="19"/>
      <c r="AV12" s="19"/>
      <c r="AW12" s="19"/>
      <c r="AX12" s="19"/>
      <c r="AY12" s="21"/>
      <c r="AZ12" s="21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49"/>
      <c r="BN12" s="19"/>
      <c r="BO12" s="19"/>
      <c r="BP12" s="19"/>
      <c r="BQ12" s="19"/>
      <c r="BR12" s="19"/>
      <c r="BS12" s="19"/>
      <c r="BT12" s="19"/>
      <c r="BU12" s="53" t="s">
        <v>411</v>
      </c>
      <c r="BV12" s="19" t="s">
        <v>412</v>
      </c>
      <c r="BW12" s="53" t="s">
        <v>419</v>
      </c>
      <c r="BX12" s="44" t="s">
        <v>413</v>
      </c>
      <c r="BY12" s="44" t="s">
        <v>414</v>
      </c>
    </row>
    <row r="13" spans="1:77">
      <c r="A13" s="19"/>
      <c r="B13" s="19"/>
      <c r="C13" s="20" t="s">
        <v>444</v>
      </c>
      <c r="D13" s="21">
        <v>45734</v>
      </c>
      <c r="E13" s="19" t="s">
        <v>396</v>
      </c>
      <c r="F13" s="9" t="s">
        <v>397</v>
      </c>
      <c r="G13" s="9"/>
      <c r="H13" s="8" t="s">
        <v>127</v>
      </c>
      <c r="I13" s="29" t="s">
        <v>398</v>
      </c>
      <c r="J13" s="19" t="s">
        <v>398</v>
      </c>
      <c r="K13" s="9" t="s">
        <v>398</v>
      </c>
      <c r="L13" s="9" t="s">
        <v>399</v>
      </c>
      <c r="M13" s="8" t="s">
        <v>400</v>
      </c>
      <c r="N13" s="9" t="s">
        <v>403</v>
      </c>
      <c r="O13" s="34" t="s">
        <v>440</v>
      </c>
      <c r="P13" s="31" t="s">
        <v>403</v>
      </c>
      <c r="Q13" s="22" t="s">
        <v>441</v>
      </c>
      <c r="R13" s="19" t="s">
        <v>400</v>
      </c>
      <c r="S13" s="28" t="s">
        <v>429</v>
      </c>
      <c r="T13" s="9" t="s">
        <v>400</v>
      </c>
      <c r="U13" s="32" t="s">
        <v>430</v>
      </c>
      <c r="V13" s="42" t="s">
        <v>407</v>
      </c>
      <c r="W13" s="8" t="s">
        <v>445</v>
      </c>
      <c r="X13" s="9"/>
      <c r="Y13" s="46">
        <v>5540</v>
      </c>
      <c r="Z13" s="21">
        <v>45754</v>
      </c>
      <c r="AA13" s="21">
        <v>45794</v>
      </c>
      <c r="AB13" s="21">
        <v>45794</v>
      </c>
      <c r="AC13" s="19" t="s">
        <v>398</v>
      </c>
      <c r="AD13" s="19" t="s">
        <v>398</v>
      </c>
      <c r="AE13" s="19" t="s">
        <v>398</v>
      </c>
      <c r="AF13" s="19" t="s">
        <v>398</v>
      </c>
      <c r="AG13" s="21">
        <v>45742</v>
      </c>
      <c r="AH13" s="21">
        <v>45769</v>
      </c>
      <c r="AI13" s="19" t="s">
        <v>400</v>
      </c>
      <c r="AJ13" s="21">
        <v>45776</v>
      </c>
      <c r="AK13" s="19"/>
      <c r="AL13" s="19" t="s">
        <v>400</v>
      </c>
      <c r="AM13" s="19"/>
      <c r="AN13" s="19"/>
      <c r="AO13" s="19">
        <v>5</v>
      </c>
      <c r="AP13" s="21">
        <v>45769</v>
      </c>
      <c r="AQ13" s="19"/>
      <c r="AR13" s="19">
        <v>5</v>
      </c>
      <c r="AS13" s="19"/>
      <c r="AT13" s="19"/>
      <c r="AU13" s="19" t="s">
        <v>398</v>
      </c>
      <c r="AV13" s="19" t="s">
        <v>398</v>
      </c>
      <c r="AW13" s="19" t="s">
        <v>398</v>
      </c>
      <c r="AX13" s="19" t="s">
        <v>398</v>
      </c>
      <c r="AY13" s="21">
        <v>45748</v>
      </c>
      <c r="AZ13" s="21">
        <v>45765</v>
      </c>
      <c r="BA13" s="19" t="s">
        <v>398</v>
      </c>
      <c r="BB13" s="19" t="s">
        <v>398</v>
      </c>
      <c r="BC13" s="19" t="s">
        <v>403</v>
      </c>
      <c r="BD13" s="19" t="s">
        <v>403</v>
      </c>
      <c r="BE13" s="19" t="s">
        <v>398</v>
      </c>
      <c r="BF13" s="19" t="s">
        <v>398</v>
      </c>
      <c r="BG13" s="19" t="s">
        <v>398</v>
      </c>
      <c r="BH13" s="19" t="s">
        <v>403</v>
      </c>
      <c r="BI13" s="19" t="s">
        <v>398</v>
      </c>
      <c r="BJ13" s="19" t="s">
        <v>403</v>
      </c>
      <c r="BK13" s="19" t="s">
        <v>398</v>
      </c>
      <c r="BL13" s="19" t="s">
        <v>398</v>
      </c>
      <c r="BM13" s="49">
        <v>1</v>
      </c>
      <c r="BN13" s="19" t="s">
        <v>403</v>
      </c>
      <c r="BO13" s="19" t="s">
        <v>403</v>
      </c>
      <c r="BP13" s="19" t="s">
        <v>398</v>
      </c>
      <c r="BQ13" s="19" t="s">
        <v>398</v>
      </c>
      <c r="BR13" s="19" t="s">
        <v>398</v>
      </c>
      <c r="BS13" s="19" t="s">
        <v>398</v>
      </c>
      <c r="BT13" s="19" t="s">
        <v>398</v>
      </c>
      <c r="BU13" s="53" t="s">
        <v>411</v>
      </c>
      <c r="BV13" s="19" t="s">
        <v>412</v>
      </c>
      <c r="BW13" s="53" t="s">
        <v>419</v>
      </c>
      <c r="BX13" s="44" t="s">
        <v>413</v>
      </c>
      <c r="BY13" s="44" t="s">
        <v>414</v>
      </c>
    </row>
    <row r="14" spans="1:77">
      <c r="A14" s="8"/>
      <c r="B14" s="9"/>
      <c r="C14" s="8" t="s">
        <v>446</v>
      </c>
      <c r="D14" s="21">
        <v>45734</v>
      </c>
      <c r="E14" s="19" t="s">
        <v>396</v>
      </c>
      <c r="F14" s="9" t="s">
        <v>397</v>
      </c>
      <c r="G14" s="9"/>
      <c r="H14" s="9" t="s">
        <v>107</v>
      </c>
      <c r="I14" s="29" t="s">
        <v>398</v>
      </c>
      <c r="J14" s="19" t="s">
        <v>398</v>
      </c>
      <c r="K14" s="9" t="s">
        <v>398</v>
      </c>
      <c r="L14" s="9" t="s">
        <v>399</v>
      </c>
      <c r="M14" s="8" t="s">
        <v>400</v>
      </c>
      <c r="N14" s="9" t="s">
        <v>403</v>
      </c>
      <c r="O14" s="34" t="s">
        <v>440</v>
      </c>
      <c r="P14" s="31" t="s">
        <v>403</v>
      </c>
      <c r="Q14" s="22" t="s">
        <v>441</v>
      </c>
      <c r="R14" s="19" t="s">
        <v>400</v>
      </c>
      <c r="S14" s="28" t="s">
        <v>429</v>
      </c>
      <c r="T14" s="9" t="s">
        <v>400</v>
      </c>
      <c r="U14" s="32" t="s">
        <v>430</v>
      </c>
      <c r="V14" s="42" t="s">
        <v>407</v>
      </c>
      <c r="W14" s="8" t="s">
        <v>447</v>
      </c>
      <c r="X14" s="9"/>
      <c r="Y14" s="46">
        <v>1080</v>
      </c>
      <c r="Z14" s="21">
        <v>45754</v>
      </c>
      <c r="AA14" s="21">
        <v>45784</v>
      </c>
      <c r="AB14" s="21">
        <v>45784</v>
      </c>
      <c r="AC14" s="19" t="s">
        <v>398</v>
      </c>
      <c r="AD14" s="19" t="s">
        <v>398</v>
      </c>
      <c r="AE14" s="19" t="s">
        <v>398</v>
      </c>
      <c r="AF14" s="19" t="s">
        <v>398</v>
      </c>
      <c r="AG14" s="21">
        <v>45742</v>
      </c>
      <c r="AH14" s="21">
        <v>45769</v>
      </c>
      <c r="AI14" s="19" t="s">
        <v>400</v>
      </c>
      <c r="AJ14" s="21">
        <v>45776</v>
      </c>
      <c r="AK14" s="19"/>
      <c r="AL14" s="19" t="s">
        <v>400</v>
      </c>
      <c r="AM14" s="19"/>
      <c r="AN14" s="19"/>
      <c r="AO14" s="19">
        <v>5</v>
      </c>
      <c r="AP14" s="21">
        <v>45769</v>
      </c>
      <c r="AQ14" s="19"/>
      <c r="AR14" s="19">
        <v>5</v>
      </c>
      <c r="AS14" s="19"/>
      <c r="AT14" s="19"/>
      <c r="AU14" s="19" t="s">
        <v>398</v>
      </c>
      <c r="AV14" s="19" t="s">
        <v>398</v>
      </c>
      <c r="AW14" s="19" t="s">
        <v>398</v>
      </c>
      <c r="AX14" s="19" t="s">
        <v>398</v>
      </c>
      <c r="AY14" s="21">
        <v>45748</v>
      </c>
      <c r="AZ14" s="21">
        <v>45765</v>
      </c>
      <c r="BA14" s="19" t="s">
        <v>398</v>
      </c>
      <c r="BB14" s="19" t="s">
        <v>398</v>
      </c>
      <c r="BC14" s="19" t="s">
        <v>403</v>
      </c>
      <c r="BD14" s="19" t="s">
        <v>403</v>
      </c>
      <c r="BE14" s="19" t="s">
        <v>398</v>
      </c>
      <c r="BF14" s="19" t="s">
        <v>398</v>
      </c>
      <c r="BG14" s="19" t="s">
        <v>398</v>
      </c>
      <c r="BH14" s="19" t="s">
        <v>403</v>
      </c>
      <c r="BI14" s="19" t="s">
        <v>398</v>
      </c>
      <c r="BJ14" s="19" t="s">
        <v>403</v>
      </c>
      <c r="BK14" s="19" t="s">
        <v>398</v>
      </c>
      <c r="BL14" s="19" t="s">
        <v>398</v>
      </c>
      <c r="BM14" s="49">
        <v>1</v>
      </c>
      <c r="BN14" s="19" t="s">
        <v>403</v>
      </c>
      <c r="BO14" s="19" t="s">
        <v>403</v>
      </c>
      <c r="BP14" s="19" t="s">
        <v>398</v>
      </c>
      <c r="BQ14" s="19" t="s">
        <v>398</v>
      </c>
      <c r="BR14" s="19" t="s">
        <v>398</v>
      </c>
      <c r="BS14" s="19" t="s">
        <v>398</v>
      </c>
      <c r="BT14" s="19" t="s">
        <v>398</v>
      </c>
      <c r="BU14" s="53" t="s">
        <v>411</v>
      </c>
      <c r="BV14" s="19" t="s">
        <v>412</v>
      </c>
      <c r="BW14" s="53" t="s">
        <v>419</v>
      </c>
      <c r="BX14" s="44" t="s">
        <v>413</v>
      </c>
      <c r="BY14" s="44" t="s">
        <v>414</v>
      </c>
    </row>
    <row r="15" spans="1:77">
      <c r="A15" s="8"/>
      <c r="B15" s="9"/>
      <c r="C15" s="8" t="s">
        <v>446</v>
      </c>
      <c r="D15" s="21">
        <v>45734</v>
      </c>
      <c r="E15" s="19" t="s">
        <v>396</v>
      </c>
      <c r="F15" s="9" t="s">
        <v>397</v>
      </c>
      <c r="G15" s="9"/>
      <c r="H15" s="9" t="s">
        <v>107</v>
      </c>
      <c r="I15" s="29"/>
      <c r="J15" s="19"/>
      <c r="K15" s="9"/>
      <c r="L15" s="9"/>
      <c r="M15" s="8"/>
      <c r="N15" s="9"/>
      <c r="O15" s="35"/>
      <c r="P15" s="31"/>
      <c r="Q15" s="22" t="s">
        <v>441</v>
      </c>
      <c r="R15" s="19" t="s">
        <v>400</v>
      </c>
      <c r="S15" s="28" t="s">
        <v>429</v>
      </c>
      <c r="T15" s="9"/>
      <c r="U15" s="32" t="s">
        <v>430</v>
      </c>
      <c r="V15" s="42" t="s">
        <v>407</v>
      </c>
      <c r="W15" s="8" t="s">
        <v>448</v>
      </c>
      <c r="X15" s="9"/>
      <c r="Y15" s="8">
        <v>1000</v>
      </c>
      <c r="Z15" s="21"/>
      <c r="AA15" s="21"/>
      <c r="AB15" s="21"/>
      <c r="AC15" s="19"/>
      <c r="AD15" s="19"/>
      <c r="AE15" s="19"/>
      <c r="AF15" s="19"/>
      <c r="AG15" s="21"/>
      <c r="AH15" s="21"/>
      <c r="AI15" s="19" t="s">
        <v>400</v>
      </c>
      <c r="AJ15" s="19"/>
      <c r="AK15" s="19"/>
      <c r="AL15" s="19" t="s">
        <v>400</v>
      </c>
      <c r="AM15" s="19"/>
      <c r="AN15" s="19"/>
      <c r="AO15" s="19">
        <v>5</v>
      </c>
      <c r="AP15" s="21">
        <v>45769</v>
      </c>
      <c r="AQ15" s="19"/>
      <c r="AR15" s="19">
        <v>5</v>
      </c>
      <c r="AS15" s="19"/>
      <c r="AT15" s="19"/>
      <c r="AU15" s="19"/>
      <c r="AV15" s="19"/>
      <c r="AW15" s="19"/>
      <c r="AX15" s="19"/>
      <c r="AY15" s="21"/>
      <c r="AZ15" s="21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49"/>
      <c r="BN15" s="19"/>
      <c r="BO15" s="19"/>
      <c r="BP15" s="19"/>
      <c r="BQ15" s="19"/>
      <c r="BR15" s="19"/>
      <c r="BS15" s="19"/>
      <c r="BT15" s="19"/>
      <c r="BU15" s="53" t="s">
        <v>411</v>
      </c>
      <c r="BV15" s="19" t="s">
        <v>412</v>
      </c>
      <c r="BW15" s="53" t="s">
        <v>419</v>
      </c>
      <c r="BX15" s="44" t="s">
        <v>413</v>
      </c>
      <c r="BY15" s="44" t="s">
        <v>414</v>
      </c>
    </row>
    <row r="16" spans="1:77">
      <c r="A16" s="8"/>
      <c r="B16" s="9"/>
      <c r="C16" s="8" t="s">
        <v>449</v>
      </c>
      <c r="D16" s="21">
        <v>45734</v>
      </c>
      <c r="E16" s="19" t="s">
        <v>396</v>
      </c>
      <c r="F16" s="9" t="s">
        <v>397</v>
      </c>
      <c r="G16" s="9"/>
      <c r="H16" s="9" t="s">
        <v>127</v>
      </c>
      <c r="I16" s="29" t="s">
        <v>398</v>
      </c>
      <c r="J16" s="19" t="s">
        <v>398</v>
      </c>
      <c r="K16" s="9" t="s">
        <v>398</v>
      </c>
      <c r="L16" s="9" t="s">
        <v>399</v>
      </c>
      <c r="M16" s="8" t="s">
        <v>400</v>
      </c>
      <c r="N16" s="9" t="s">
        <v>403</v>
      </c>
      <c r="O16" s="34" t="s">
        <v>440</v>
      </c>
      <c r="P16" s="31" t="s">
        <v>403</v>
      </c>
      <c r="Q16" s="22" t="s">
        <v>441</v>
      </c>
      <c r="R16" s="19" t="s">
        <v>400</v>
      </c>
      <c r="S16" s="28" t="s">
        <v>429</v>
      </c>
      <c r="T16" s="9" t="s">
        <v>400</v>
      </c>
      <c r="U16" s="32" t="s">
        <v>430</v>
      </c>
      <c r="V16" s="42" t="s">
        <v>407</v>
      </c>
      <c r="W16" s="8" t="s">
        <v>450</v>
      </c>
      <c r="X16" s="9"/>
      <c r="Y16" s="46">
        <v>540</v>
      </c>
      <c r="Z16" s="21">
        <v>45754</v>
      </c>
      <c r="AA16" s="21">
        <v>45784</v>
      </c>
      <c r="AB16" s="21">
        <v>45784</v>
      </c>
      <c r="AC16" s="19" t="s">
        <v>398</v>
      </c>
      <c r="AD16" s="19" t="s">
        <v>398</v>
      </c>
      <c r="AE16" s="19" t="s">
        <v>398</v>
      </c>
      <c r="AF16" s="19" t="s">
        <v>398</v>
      </c>
      <c r="AG16" s="21">
        <v>45742</v>
      </c>
      <c r="AH16" s="21">
        <v>45769</v>
      </c>
      <c r="AI16" s="19" t="s">
        <v>400</v>
      </c>
      <c r="AJ16" s="21">
        <v>45776</v>
      </c>
      <c r="AK16" s="19"/>
      <c r="AL16" s="19" t="s">
        <v>400</v>
      </c>
      <c r="AM16" s="19"/>
      <c r="AN16" s="19"/>
      <c r="AO16" s="19">
        <v>5</v>
      </c>
      <c r="AP16" s="21">
        <v>45769</v>
      </c>
      <c r="AQ16" s="19"/>
      <c r="AR16" s="19">
        <v>5</v>
      </c>
      <c r="AS16" s="19"/>
      <c r="AT16" s="19"/>
      <c r="AU16" s="19" t="s">
        <v>398</v>
      </c>
      <c r="AV16" s="19" t="s">
        <v>398</v>
      </c>
      <c r="AW16" s="19" t="s">
        <v>398</v>
      </c>
      <c r="AX16" s="19" t="s">
        <v>398</v>
      </c>
      <c r="AY16" s="21">
        <v>45748</v>
      </c>
      <c r="AZ16" s="21">
        <v>45765</v>
      </c>
      <c r="BA16" s="19" t="s">
        <v>398</v>
      </c>
      <c r="BB16" s="19" t="s">
        <v>398</v>
      </c>
      <c r="BC16" s="19" t="s">
        <v>403</v>
      </c>
      <c r="BD16" s="19" t="s">
        <v>403</v>
      </c>
      <c r="BE16" s="19" t="s">
        <v>398</v>
      </c>
      <c r="BF16" s="19" t="s">
        <v>398</v>
      </c>
      <c r="BG16" s="19" t="s">
        <v>398</v>
      </c>
      <c r="BH16" s="19" t="s">
        <v>403</v>
      </c>
      <c r="BI16" s="19" t="s">
        <v>398</v>
      </c>
      <c r="BJ16" s="19" t="s">
        <v>403</v>
      </c>
      <c r="BK16" s="19" t="s">
        <v>398</v>
      </c>
      <c r="BL16" s="19" t="s">
        <v>398</v>
      </c>
      <c r="BM16" s="49">
        <v>1</v>
      </c>
      <c r="BN16" s="19" t="s">
        <v>403</v>
      </c>
      <c r="BO16" s="19" t="s">
        <v>403</v>
      </c>
      <c r="BP16" s="19" t="s">
        <v>398</v>
      </c>
      <c r="BQ16" s="19" t="s">
        <v>398</v>
      </c>
      <c r="BR16" s="19" t="s">
        <v>398</v>
      </c>
      <c r="BS16" s="19" t="s">
        <v>398</v>
      </c>
      <c r="BT16" s="19" t="s">
        <v>398</v>
      </c>
      <c r="BU16" s="53" t="s">
        <v>411</v>
      </c>
      <c r="BV16" s="19" t="s">
        <v>412</v>
      </c>
      <c r="BW16" s="53" t="s">
        <v>419</v>
      </c>
      <c r="BX16" s="44" t="s">
        <v>413</v>
      </c>
      <c r="BY16" s="44" t="s">
        <v>414</v>
      </c>
    </row>
    <row r="17" spans="1:77">
      <c r="A17" s="8"/>
      <c r="B17" s="9"/>
      <c r="C17" s="8" t="s">
        <v>451</v>
      </c>
      <c r="D17" s="21">
        <v>45734</v>
      </c>
      <c r="E17" s="19" t="s">
        <v>396</v>
      </c>
      <c r="F17" s="9" t="s">
        <v>397</v>
      </c>
      <c r="G17" s="9"/>
      <c r="H17" s="9" t="s">
        <v>107</v>
      </c>
      <c r="I17" s="31" t="s">
        <v>398</v>
      </c>
      <c r="J17" s="19" t="s">
        <v>398</v>
      </c>
      <c r="K17" s="9" t="s">
        <v>398</v>
      </c>
      <c r="L17" s="9" t="s">
        <v>399</v>
      </c>
      <c r="M17" s="33" t="s">
        <v>425</v>
      </c>
      <c r="N17" s="9" t="s">
        <v>403</v>
      </c>
      <c r="O17" s="34" t="s">
        <v>440</v>
      </c>
      <c r="P17" s="31" t="s">
        <v>403</v>
      </c>
      <c r="Q17" s="22" t="s">
        <v>441</v>
      </c>
      <c r="R17" s="19" t="s">
        <v>400</v>
      </c>
      <c r="S17" s="28" t="s">
        <v>429</v>
      </c>
      <c r="T17" s="9" t="s">
        <v>400</v>
      </c>
      <c r="U17" s="32" t="s">
        <v>430</v>
      </c>
      <c r="V17" s="30" t="s">
        <v>431</v>
      </c>
      <c r="W17" s="8" t="s">
        <v>452</v>
      </c>
      <c r="X17" s="9"/>
      <c r="Y17" s="8">
        <v>1000</v>
      </c>
      <c r="Z17" s="21"/>
      <c r="AA17" s="21"/>
      <c r="AB17" s="21"/>
      <c r="AC17" s="19" t="s">
        <v>398</v>
      </c>
      <c r="AD17" s="19" t="s">
        <v>398</v>
      </c>
      <c r="AE17" s="19" t="s">
        <v>398</v>
      </c>
      <c r="AF17" s="19" t="s">
        <v>398</v>
      </c>
      <c r="AG17" s="21">
        <v>45761</v>
      </c>
      <c r="AH17" s="21">
        <v>45769</v>
      </c>
      <c r="AI17" s="19" t="s">
        <v>400</v>
      </c>
      <c r="AJ17" s="21">
        <v>45776</v>
      </c>
      <c r="AK17" s="19"/>
      <c r="AL17" s="19" t="s">
        <v>400</v>
      </c>
      <c r="AM17" s="19"/>
      <c r="AN17" s="19"/>
      <c r="AO17" s="19">
        <v>5</v>
      </c>
      <c r="AP17" s="21">
        <v>45769</v>
      </c>
      <c r="AQ17" s="19"/>
      <c r="AR17" s="19">
        <v>5</v>
      </c>
      <c r="AS17" s="19"/>
      <c r="AT17" s="19"/>
      <c r="AU17" s="19" t="s">
        <v>398</v>
      </c>
      <c r="AV17" s="19" t="s">
        <v>398</v>
      </c>
      <c r="AW17" s="19" t="s">
        <v>398</v>
      </c>
      <c r="AX17" s="19" t="s">
        <v>398</v>
      </c>
      <c r="AY17" s="21">
        <v>45748</v>
      </c>
      <c r="AZ17" s="21">
        <v>45765</v>
      </c>
      <c r="BA17" s="19" t="s">
        <v>398</v>
      </c>
      <c r="BB17" s="19" t="s">
        <v>398</v>
      </c>
      <c r="BC17" s="19" t="s">
        <v>403</v>
      </c>
      <c r="BD17" s="19" t="s">
        <v>403</v>
      </c>
      <c r="BE17" s="19" t="s">
        <v>398</v>
      </c>
      <c r="BF17" s="19" t="s">
        <v>398</v>
      </c>
      <c r="BG17" s="19" t="s">
        <v>398</v>
      </c>
      <c r="BH17" s="19" t="s">
        <v>403</v>
      </c>
      <c r="BI17" s="19" t="s">
        <v>398</v>
      </c>
      <c r="BJ17" s="19" t="s">
        <v>403</v>
      </c>
      <c r="BK17" s="19" t="s">
        <v>398</v>
      </c>
      <c r="BL17" s="19" t="s">
        <v>398</v>
      </c>
      <c r="BM17" s="49">
        <v>1</v>
      </c>
      <c r="BN17" s="19" t="s">
        <v>403</v>
      </c>
      <c r="BO17" s="19" t="s">
        <v>403</v>
      </c>
      <c r="BP17" s="19" t="s">
        <v>398</v>
      </c>
      <c r="BQ17" s="19" t="s">
        <v>398</v>
      </c>
      <c r="BR17" s="19" t="s">
        <v>398</v>
      </c>
      <c r="BS17" s="19" t="s">
        <v>398</v>
      </c>
      <c r="BT17" s="19" t="s">
        <v>398</v>
      </c>
      <c r="BU17" s="53" t="s">
        <v>411</v>
      </c>
      <c r="BV17" s="19" t="s">
        <v>412</v>
      </c>
      <c r="BW17" s="53" t="s">
        <v>419</v>
      </c>
      <c r="BX17" s="44" t="s">
        <v>413</v>
      </c>
      <c r="BY17" s="44" t="s">
        <v>414</v>
      </c>
    </row>
    <row r="18" spans="1:77">
      <c r="A18" s="8"/>
      <c r="B18" s="9"/>
      <c r="C18" s="8" t="s">
        <v>451</v>
      </c>
      <c r="D18" s="21">
        <v>45734</v>
      </c>
      <c r="E18" s="19" t="s">
        <v>396</v>
      </c>
      <c r="F18" s="9" t="s">
        <v>397</v>
      </c>
      <c r="G18" s="9"/>
      <c r="H18" s="9" t="s">
        <v>107</v>
      </c>
      <c r="I18" s="31"/>
      <c r="J18" s="19"/>
      <c r="K18" s="9"/>
      <c r="L18" s="9"/>
      <c r="M18" s="33"/>
      <c r="N18" s="9"/>
      <c r="O18" s="35"/>
      <c r="P18" s="31"/>
      <c r="Q18" s="22" t="s">
        <v>441</v>
      </c>
      <c r="R18" s="19" t="s">
        <v>400</v>
      </c>
      <c r="S18" s="28" t="s">
        <v>429</v>
      </c>
      <c r="T18" s="9"/>
      <c r="U18" s="32" t="s">
        <v>430</v>
      </c>
      <c r="V18" s="30" t="s">
        <v>431</v>
      </c>
      <c r="W18" s="8" t="s">
        <v>453</v>
      </c>
      <c r="X18" s="9"/>
      <c r="Y18" s="47">
        <v>1140</v>
      </c>
      <c r="Z18" s="21">
        <v>45761</v>
      </c>
      <c r="AA18" s="21">
        <v>45808</v>
      </c>
      <c r="AB18" s="21">
        <v>45808</v>
      </c>
      <c r="AC18" s="19"/>
      <c r="AD18" s="19"/>
      <c r="AE18" s="19"/>
      <c r="AF18" s="19" t="s">
        <v>398</v>
      </c>
      <c r="AG18" s="21">
        <v>45761</v>
      </c>
      <c r="AH18" s="21">
        <v>45769</v>
      </c>
      <c r="AI18" s="19" t="s">
        <v>400</v>
      </c>
      <c r="AJ18" s="21">
        <v>45776</v>
      </c>
      <c r="AK18" s="19"/>
      <c r="AL18" s="19" t="s">
        <v>400</v>
      </c>
      <c r="AM18" s="19"/>
      <c r="AN18" s="19"/>
      <c r="AO18" s="19">
        <v>5</v>
      </c>
      <c r="AP18" s="21">
        <v>45769</v>
      </c>
      <c r="AQ18" s="19"/>
      <c r="AR18" s="19">
        <v>5</v>
      </c>
      <c r="AS18" s="19"/>
      <c r="AT18" s="19"/>
      <c r="AU18" s="19"/>
      <c r="AV18" s="19"/>
      <c r="AW18" s="19"/>
      <c r="AX18" s="19"/>
      <c r="AY18" s="21"/>
      <c r="AZ18" s="21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49"/>
      <c r="BN18" s="19"/>
      <c r="BO18" s="19"/>
      <c r="BP18" s="19"/>
      <c r="BQ18" s="19"/>
      <c r="BR18" s="19"/>
      <c r="BS18" s="19"/>
      <c r="BT18" s="19"/>
      <c r="BU18" s="53" t="s">
        <v>411</v>
      </c>
      <c r="BV18" s="19" t="s">
        <v>412</v>
      </c>
      <c r="BW18" s="53" t="s">
        <v>419</v>
      </c>
      <c r="BX18" s="44" t="s">
        <v>413</v>
      </c>
      <c r="BY18" s="44" t="s">
        <v>414</v>
      </c>
    </row>
    <row r="19" spans="1:77">
      <c r="A19" s="8"/>
      <c r="B19" s="9"/>
      <c r="C19" s="8" t="s">
        <v>454</v>
      </c>
      <c r="D19" s="21">
        <v>45734</v>
      </c>
      <c r="E19" s="19" t="s">
        <v>396</v>
      </c>
      <c r="F19" s="9" t="s">
        <v>397</v>
      </c>
      <c r="G19" s="9"/>
      <c r="H19" s="9" t="s">
        <v>127</v>
      </c>
      <c r="I19" s="31" t="s">
        <v>398</v>
      </c>
      <c r="J19" s="19" t="s">
        <v>398</v>
      </c>
      <c r="K19" s="9" t="s">
        <v>398</v>
      </c>
      <c r="L19" s="9" t="s">
        <v>399</v>
      </c>
      <c r="M19" s="33" t="s">
        <v>425</v>
      </c>
      <c r="N19" s="9" t="s">
        <v>403</v>
      </c>
      <c r="O19" s="34" t="s">
        <v>440</v>
      </c>
      <c r="P19" s="31"/>
      <c r="Q19" s="22" t="s">
        <v>441</v>
      </c>
      <c r="R19" s="19" t="s">
        <v>400</v>
      </c>
      <c r="S19" s="28" t="s">
        <v>429</v>
      </c>
      <c r="T19" s="9" t="s">
        <v>400</v>
      </c>
      <c r="U19" s="32" t="s">
        <v>430</v>
      </c>
      <c r="V19" s="30" t="s">
        <v>431</v>
      </c>
      <c r="W19" s="8" t="s">
        <v>455</v>
      </c>
      <c r="X19" s="9"/>
      <c r="Y19" s="47">
        <v>340</v>
      </c>
      <c r="Z19" s="21">
        <v>45761</v>
      </c>
      <c r="AA19" s="21">
        <v>45808</v>
      </c>
      <c r="AB19" s="21">
        <v>45808</v>
      </c>
      <c r="AC19" s="19" t="s">
        <v>398</v>
      </c>
      <c r="AD19" s="19" t="s">
        <v>398</v>
      </c>
      <c r="AE19" s="19" t="s">
        <v>398</v>
      </c>
      <c r="AF19" s="19" t="s">
        <v>398</v>
      </c>
      <c r="AG19" s="21">
        <v>45761</v>
      </c>
      <c r="AH19" s="21">
        <v>45769</v>
      </c>
      <c r="AI19" s="19" t="s">
        <v>400</v>
      </c>
      <c r="AJ19" s="21">
        <v>45776</v>
      </c>
      <c r="AK19" s="19"/>
      <c r="AL19" s="19" t="s">
        <v>400</v>
      </c>
      <c r="AM19" s="19"/>
      <c r="AN19" s="19"/>
      <c r="AO19" s="19">
        <v>5</v>
      </c>
      <c r="AP19" s="21">
        <v>45769</v>
      </c>
      <c r="AQ19" s="19"/>
      <c r="AR19" s="19">
        <v>5</v>
      </c>
      <c r="AS19" s="19"/>
      <c r="AT19" s="19"/>
      <c r="AU19" s="19" t="s">
        <v>398</v>
      </c>
      <c r="AV19" s="19" t="s">
        <v>398</v>
      </c>
      <c r="AW19" s="19" t="s">
        <v>398</v>
      </c>
      <c r="AX19" s="19" t="s">
        <v>398</v>
      </c>
      <c r="AY19" s="21">
        <v>45748</v>
      </c>
      <c r="AZ19" s="21">
        <v>45765</v>
      </c>
      <c r="BA19" s="19" t="s">
        <v>398</v>
      </c>
      <c r="BB19" s="19" t="s">
        <v>398</v>
      </c>
      <c r="BC19" s="19" t="s">
        <v>403</v>
      </c>
      <c r="BD19" s="19" t="s">
        <v>403</v>
      </c>
      <c r="BE19" s="19" t="s">
        <v>398</v>
      </c>
      <c r="BF19" s="19" t="s">
        <v>398</v>
      </c>
      <c r="BG19" s="19" t="s">
        <v>398</v>
      </c>
      <c r="BH19" s="19" t="s">
        <v>403</v>
      </c>
      <c r="BI19" s="19" t="s">
        <v>398</v>
      </c>
      <c r="BJ19" s="19" t="s">
        <v>403</v>
      </c>
      <c r="BK19" s="19" t="s">
        <v>398</v>
      </c>
      <c r="BL19" s="19" t="s">
        <v>398</v>
      </c>
      <c r="BM19" s="49">
        <v>1</v>
      </c>
      <c r="BN19" s="19" t="s">
        <v>403</v>
      </c>
      <c r="BO19" s="19" t="s">
        <v>403</v>
      </c>
      <c r="BP19" s="19" t="s">
        <v>398</v>
      </c>
      <c r="BQ19" s="19" t="s">
        <v>398</v>
      </c>
      <c r="BR19" s="19" t="s">
        <v>398</v>
      </c>
      <c r="BS19" s="19" t="s">
        <v>398</v>
      </c>
      <c r="BT19" s="19" t="s">
        <v>398</v>
      </c>
      <c r="BU19" s="53" t="s">
        <v>411</v>
      </c>
      <c r="BV19" s="19" t="s">
        <v>412</v>
      </c>
      <c r="BW19" s="53" t="s">
        <v>419</v>
      </c>
      <c r="BX19" s="44" t="s">
        <v>413</v>
      </c>
      <c r="BY19" s="44" t="s">
        <v>414</v>
      </c>
    </row>
    <row r="20" spans="1:7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22"/>
      <c r="P20" s="31"/>
      <c r="Q20" s="22"/>
      <c r="R20" s="22"/>
      <c r="S20" s="28" t="s">
        <v>429</v>
      </c>
      <c r="T20" s="9"/>
      <c r="U20" s="32" t="s">
        <v>430</v>
      </c>
      <c r="V20" s="30" t="s">
        <v>431</v>
      </c>
      <c r="W20" s="8"/>
      <c r="X20" s="8"/>
      <c r="Y20" s="47">
        <v>340</v>
      </c>
      <c r="Z20" s="21">
        <v>45761</v>
      </c>
      <c r="AA20" s="21">
        <v>45808</v>
      </c>
      <c r="AB20" s="21">
        <v>45808</v>
      </c>
      <c r="AC20" s="8"/>
      <c r="AD20" s="8"/>
      <c r="AE20" s="8"/>
      <c r="AF20" s="8"/>
      <c r="AG20" s="21">
        <v>45761</v>
      </c>
      <c r="AH20" s="21">
        <v>45769</v>
      </c>
      <c r="AI20" s="19" t="s">
        <v>400</v>
      </c>
      <c r="AJ20" s="21">
        <v>45776</v>
      </c>
      <c r="AK20" s="19"/>
      <c r="AL20" s="19"/>
      <c r="AM20" s="19"/>
      <c r="AN20" s="19"/>
      <c r="AO20" s="19">
        <v>5</v>
      </c>
      <c r="AP20" s="21">
        <v>45769</v>
      </c>
      <c r="AQ20" s="19"/>
      <c r="AR20" s="19">
        <v>5</v>
      </c>
      <c r="AS20" s="8"/>
      <c r="AT20" s="8"/>
      <c r="AU20" s="19" t="s">
        <v>398</v>
      </c>
      <c r="AV20" s="19" t="s">
        <v>398</v>
      </c>
      <c r="AW20" s="19" t="s">
        <v>398</v>
      </c>
      <c r="AX20" s="19" t="s">
        <v>398</v>
      </c>
      <c r="AY20" s="21"/>
      <c r="AZ20" s="21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49"/>
      <c r="BN20" s="19"/>
      <c r="BO20" s="19"/>
      <c r="BP20" s="19"/>
      <c r="BQ20" s="19"/>
      <c r="BR20" s="19"/>
      <c r="BS20" s="19"/>
      <c r="BT20" s="19"/>
      <c r="BU20" s="53" t="s">
        <v>411</v>
      </c>
      <c r="BV20" s="19" t="s">
        <v>412</v>
      </c>
      <c r="BW20" s="53" t="s">
        <v>419</v>
      </c>
      <c r="BX20" s="44" t="s">
        <v>413</v>
      </c>
      <c r="BY20" s="44" t="s">
        <v>414</v>
      </c>
    </row>
    <row r="21" spans="1:77">
      <c r="A21" s="8"/>
      <c r="B21" s="8"/>
      <c r="C21" s="22" t="s">
        <v>456</v>
      </c>
      <c r="D21" s="23">
        <v>45743</v>
      </c>
      <c r="E21" s="19" t="s">
        <v>396</v>
      </c>
      <c r="F21" s="9" t="s">
        <v>397</v>
      </c>
      <c r="G21" s="9"/>
      <c r="H21" s="8" t="s">
        <v>107</v>
      </c>
      <c r="I21" s="29" t="s">
        <v>398</v>
      </c>
      <c r="J21" s="19" t="s">
        <v>398</v>
      </c>
      <c r="K21" s="8" t="s">
        <v>398</v>
      </c>
      <c r="L21" s="9" t="s">
        <v>399</v>
      </c>
      <c r="M21" s="32" t="s">
        <v>457</v>
      </c>
      <c r="N21" s="8" t="s">
        <v>399</v>
      </c>
      <c r="O21" s="28" t="s">
        <v>458</v>
      </c>
      <c r="P21" s="31"/>
      <c r="Q21" s="22" t="s">
        <v>441</v>
      </c>
      <c r="R21" s="32" t="s">
        <v>459</v>
      </c>
      <c r="S21" s="28" t="s">
        <v>429</v>
      </c>
      <c r="T21" s="9" t="s">
        <v>400</v>
      </c>
      <c r="U21" s="32" t="s">
        <v>430</v>
      </c>
      <c r="V21" s="30" t="s">
        <v>431</v>
      </c>
      <c r="W21" s="9" t="s">
        <v>456</v>
      </c>
      <c r="X21" s="8"/>
      <c r="Y21" s="47">
        <v>340</v>
      </c>
      <c r="Z21" s="21">
        <v>45761</v>
      </c>
      <c r="AA21" s="21">
        <v>45808</v>
      </c>
      <c r="AB21" s="21">
        <v>45808</v>
      </c>
      <c r="AC21" s="19" t="s">
        <v>398</v>
      </c>
      <c r="AD21" s="19" t="s">
        <v>398</v>
      </c>
      <c r="AE21" s="19" t="s">
        <v>398</v>
      </c>
      <c r="AF21" s="8" t="s">
        <v>398</v>
      </c>
      <c r="AG21" s="21">
        <v>45761</v>
      </c>
      <c r="AH21" s="21">
        <v>45769</v>
      </c>
      <c r="AI21" s="19" t="s">
        <v>400</v>
      </c>
      <c r="AJ21" s="21">
        <v>45776</v>
      </c>
      <c r="AK21" s="19"/>
      <c r="AL21" s="19" t="s">
        <v>400</v>
      </c>
      <c r="AM21" s="19"/>
      <c r="AN21" s="19"/>
      <c r="AO21" s="19">
        <v>5</v>
      </c>
      <c r="AP21" s="21">
        <v>45769</v>
      </c>
      <c r="AQ21" s="19"/>
      <c r="AR21" s="19">
        <v>5</v>
      </c>
      <c r="AS21" s="19"/>
      <c r="AT21" s="19"/>
      <c r="AU21" s="19" t="s">
        <v>398</v>
      </c>
      <c r="AV21" s="19" t="s">
        <v>398</v>
      </c>
      <c r="AW21" s="19" t="s">
        <v>398</v>
      </c>
      <c r="AX21" s="19" t="s">
        <v>398</v>
      </c>
      <c r="AY21" s="21">
        <v>45748</v>
      </c>
      <c r="AZ21" s="21">
        <v>45765</v>
      </c>
      <c r="BA21" s="19" t="s">
        <v>398</v>
      </c>
      <c r="BB21" s="19" t="s">
        <v>398</v>
      </c>
      <c r="BC21" s="19" t="s">
        <v>403</v>
      </c>
      <c r="BD21" s="19" t="s">
        <v>403</v>
      </c>
      <c r="BE21" s="19" t="s">
        <v>398</v>
      </c>
      <c r="BF21" s="19" t="s">
        <v>398</v>
      </c>
      <c r="BG21" s="19" t="s">
        <v>398</v>
      </c>
      <c r="BH21" s="19" t="s">
        <v>403</v>
      </c>
      <c r="BI21" s="19" t="s">
        <v>398</v>
      </c>
      <c r="BJ21" s="19" t="s">
        <v>403</v>
      </c>
      <c r="BK21" s="19" t="s">
        <v>398</v>
      </c>
      <c r="BL21" s="19" t="s">
        <v>398</v>
      </c>
      <c r="BM21" s="49">
        <v>1</v>
      </c>
      <c r="BN21" s="19" t="s">
        <v>403</v>
      </c>
      <c r="BO21" s="19" t="s">
        <v>403</v>
      </c>
      <c r="BP21" s="19" t="s">
        <v>398</v>
      </c>
      <c r="BQ21" s="19" t="s">
        <v>398</v>
      </c>
      <c r="BR21" s="19" t="s">
        <v>398</v>
      </c>
      <c r="BS21" s="19" t="s">
        <v>398</v>
      </c>
      <c r="BT21" s="19" t="s">
        <v>398</v>
      </c>
      <c r="BU21" s="53" t="s">
        <v>411</v>
      </c>
      <c r="BV21" s="19" t="s">
        <v>412</v>
      </c>
      <c r="BW21" s="53" t="s">
        <v>419</v>
      </c>
      <c r="BX21" s="44" t="s">
        <v>413</v>
      </c>
      <c r="BY21" s="44" t="s">
        <v>414</v>
      </c>
    </row>
    <row r="22" spans="1:77">
      <c r="A22" s="8"/>
      <c r="B22" s="8"/>
      <c r="C22" s="22" t="s">
        <v>460</v>
      </c>
      <c r="D22" s="23">
        <v>45743</v>
      </c>
      <c r="E22" s="19" t="s">
        <v>396</v>
      </c>
      <c r="F22" s="9" t="s">
        <v>397</v>
      </c>
      <c r="G22" s="9"/>
      <c r="H22" s="9" t="s">
        <v>127</v>
      </c>
      <c r="I22" s="29" t="s">
        <v>398</v>
      </c>
      <c r="J22" s="19" t="s">
        <v>398</v>
      </c>
      <c r="K22" s="9" t="s">
        <v>398</v>
      </c>
      <c r="L22" s="9" t="s">
        <v>399</v>
      </c>
      <c r="M22" s="32" t="s">
        <v>457</v>
      </c>
      <c r="N22" s="8" t="s">
        <v>399</v>
      </c>
      <c r="O22" s="28" t="s">
        <v>458</v>
      </c>
      <c r="P22" s="31"/>
      <c r="Q22" s="22" t="s">
        <v>441</v>
      </c>
      <c r="R22" s="22"/>
      <c r="S22" s="28" t="s">
        <v>429</v>
      </c>
      <c r="T22" s="9" t="s">
        <v>400</v>
      </c>
      <c r="U22" s="32" t="s">
        <v>430</v>
      </c>
      <c r="V22" s="30" t="s">
        <v>431</v>
      </c>
      <c r="W22" s="9" t="s">
        <v>460</v>
      </c>
      <c r="X22" s="8"/>
      <c r="Y22" s="47">
        <v>340</v>
      </c>
      <c r="Z22" s="21">
        <v>45761</v>
      </c>
      <c r="AA22" s="21">
        <v>45808</v>
      </c>
      <c r="AB22" s="21">
        <v>45808</v>
      </c>
      <c r="AC22" s="19" t="s">
        <v>398</v>
      </c>
      <c r="AD22" s="19" t="s">
        <v>398</v>
      </c>
      <c r="AE22" s="19" t="s">
        <v>398</v>
      </c>
      <c r="AF22" s="9" t="s">
        <v>398</v>
      </c>
      <c r="AG22" s="21">
        <v>45761</v>
      </c>
      <c r="AH22" s="21">
        <v>45769</v>
      </c>
      <c r="AI22" s="19" t="s">
        <v>400</v>
      </c>
      <c r="AJ22" s="21">
        <v>45776</v>
      </c>
      <c r="AK22" s="19"/>
      <c r="AL22" s="19" t="s">
        <v>400</v>
      </c>
      <c r="AM22" s="19"/>
      <c r="AN22" s="19"/>
      <c r="AO22" s="19">
        <v>5</v>
      </c>
      <c r="AP22" s="21">
        <v>45769</v>
      </c>
      <c r="AQ22" s="19"/>
      <c r="AR22" s="19">
        <v>5</v>
      </c>
      <c r="AS22" s="19"/>
      <c r="AT22" s="19"/>
      <c r="AU22" s="19" t="s">
        <v>398</v>
      </c>
      <c r="AV22" s="19" t="s">
        <v>398</v>
      </c>
      <c r="AW22" s="19" t="s">
        <v>398</v>
      </c>
      <c r="AX22" s="19" t="s">
        <v>398</v>
      </c>
      <c r="AY22" s="21">
        <v>45748</v>
      </c>
      <c r="AZ22" s="21">
        <v>45765</v>
      </c>
      <c r="BA22" s="19" t="s">
        <v>398</v>
      </c>
      <c r="BB22" s="19" t="s">
        <v>398</v>
      </c>
      <c r="BC22" s="19" t="s">
        <v>403</v>
      </c>
      <c r="BD22" s="19" t="s">
        <v>403</v>
      </c>
      <c r="BE22" s="19" t="s">
        <v>398</v>
      </c>
      <c r="BF22" s="19" t="s">
        <v>398</v>
      </c>
      <c r="BG22" s="19" t="s">
        <v>398</v>
      </c>
      <c r="BH22" s="19" t="s">
        <v>403</v>
      </c>
      <c r="BI22" s="19" t="s">
        <v>398</v>
      </c>
      <c r="BJ22" s="19" t="s">
        <v>403</v>
      </c>
      <c r="BK22" s="19" t="s">
        <v>398</v>
      </c>
      <c r="BL22" s="19" t="s">
        <v>398</v>
      </c>
      <c r="BM22" s="49">
        <v>1</v>
      </c>
      <c r="BN22" s="19" t="s">
        <v>403</v>
      </c>
      <c r="BO22" s="19" t="s">
        <v>403</v>
      </c>
      <c r="BP22" s="19" t="s">
        <v>398</v>
      </c>
      <c r="BQ22" s="19" t="s">
        <v>398</v>
      </c>
      <c r="BR22" s="19" t="s">
        <v>398</v>
      </c>
      <c r="BS22" s="19" t="s">
        <v>398</v>
      </c>
      <c r="BT22" s="19" t="s">
        <v>398</v>
      </c>
      <c r="BU22" s="53" t="s">
        <v>411</v>
      </c>
      <c r="BV22" s="19" t="s">
        <v>412</v>
      </c>
      <c r="BW22" s="53" t="s">
        <v>419</v>
      </c>
      <c r="BX22" s="44" t="s">
        <v>413</v>
      </c>
      <c r="BY22" s="44" t="s">
        <v>414</v>
      </c>
    </row>
    <row r="23" spans="1:77">
      <c r="A23" s="8"/>
      <c r="B23" s="8"/>
      <c r="C23" s="22" t="s">
        <v>461</v>
      </c>
      <c r="D23" s="23">
        <v>45749</v>
      </c>
      <c r="E23" s="19" t="s">
        <v>396</v>
      </c>
      <c r="F23" s="9" t="s">
        <v>397</v>
      </c>
      <c r="G23" s="9"/>
      <c r="H23" s="8" t="s">
        <v>107</v>
      </c>
      <c r="I23" s="36" t="s">
        <v>398</v>
      </c>
      <c r="J23" s="19" t="s">
        <v>398</v>
      </c>
      <c r="K23" s="8" t="s">
        <v>398</v>
      </c>
      <c r="L23" s="9" t="s">
        <v>399</v>
      </c>
      <c r="M23" s="32" t="s">
        <v>462</v>
      </c>
      <c r="N23" s="8" t="s">
        <v>399</v>
      </c>
      <c r="O23" s="28" t="s">
        <v>458</v>
      </c>
      <c r="P23" s="31"/>
      <c r="Q23" s="22" t="s">
        <v>441</v>
      </c>
      <c r="R23" s="32" t="s">
        <v>463</v>
      </c>
      <c r="S23" s="28" t="s">
        <v>429</v>
      </c>
      <c r="T23" s="9" t="s">
        <v>400</v>
      </c>
      <c r="U23" s="32" t="s">
        <v>430</v>
      </c>
      <c r="V23" s="30" t="s">
        <v>431</v>
      </c>
      <c r="W23" s="8" t="s">
        <v>461</v>
      </c>
      <c r="X23" s="8"/>
      <c r="Y23" s="47">
        <v>340</v>
      </c>
      <c r="Z23" s="21">
        <v>45761</v>
      </c>
      <c r="AA23" s="21">
        <v>45808</v>
      </c>
      <c r="AB23" s="21">
        <v>45808</v>
      </c>
      <c r="AC23" s="19" t="s">
        <v>398</v>
      </c>
      <c r="AD23" s="19" t="s">
        <v>398</v>
      </c>
      <c r="AE23" s="19" t="s">
        <v>398</v>
      </c>
      <c r="AF23" s="9" t="s">
        <v>398</v>
      </c>
      <c r="AG23" s="21">
        <v>45761</v>
      </c>
      <c r="AH23" s="21">
        <v>45769</v>
      </c>
      <c r="AI23" s="19" t="s">
        <v>400</v>
      </c>
      <c r="AJ23" s="21">
        <v>45776</v>
      </c>
      <c r="AK23" s="19"/>
      <c r="AL23" s="19" t="s">
        <v>400</v>
      </c>
      <c r="AM23" s="19"/>
      <c r="AN23" s="19"/>
      <c r="AO23" s="19">
        <v>5</v>
      </c>
      <c r="AP23" s="21">
        <v>45769</v>
      </c>
      <c r="AQ23" s="19"/>
      <c r="AR23" s="19">
        <v>5</v>
      </c>
      <c r="AS23" s="19"/>
      <c r="AT23" s="19"/>
      <c r="AU23" s="19" t="s">
        <v>398</v>
      </c>
      <c r="AV23" s="19" t="s">
        <v>398</v>
      </c>
      <c r="AW23" s="19" t="s">
        <v>398</v>
      </c>
      <c r="AX23" s="19" t="s">
        <v>398</v>
      </c>
      <c r="AY23" s="21">
        <v>45748</v>
      </c>
      <c r="AZ23" s="21">
        <v>45765</v>
      </c>
      <c r="BA23" s="19" t="s">
        <v>398</v>
      </c>
      <c r="BB23" s="19" t="s">
        <v>398</v>
      </c>
      <c r="BC23" s="19" t="s">
        <v>403</v>
      </c>
      <c r="BD23" s="19" t="s">
        <v>403</v>
      </c>
      <c r="BE23" s="19" t="s">
        <v>398</v>
      </c>
      <c r="BF23" s="19" t="s">
        <v>398</v>
      </c>
      <c r="BG23" s="19" t="s">
        <v>398</v>
      </c>
      <c r="BH23" s="19" t="s">
        <v>403</v>
      </c>
      <c r="BI23" s="19" t="s">
        <v>398</v>
      </c>
      <c r="BJ23" s="19" t="s">
        <v>403</v>
      </c>
      <c r="BK23" s="19" t="s">
        <v>398</v>
      </c>
      <c r="BL23" s="19" t="s">
        <v>398</v>
      </c>
      <c r="BM23" s="49">
        <v>1</v>
      </c>
      <c r="BN23" s="19" t="s">
        <v>403</v>
      </c>
      <c r="BO23" s="19" t="s">
        <v>403</v>
      </c>
      <c r="BP23" s="19" t="s">
        <v>398</v>
      </c>
      <c r="BQ23" s="19" t="s">
        <v>398</v>
      </c>
      <c r="BR23" s="19" t="s">
        <v>398</v>
      </c>
      <c r="BS23" s="19" t="s">
        <v>398</v>
      </c>
      <c r="BT23" s="19" t="s">
        <v>398</v>
      </c>
      <c r="BU23" s="53" t="s">
        <v>411</v>
      </c>
      <c r="BV23" s="19" t="s">
        <v>412</v>
      </c>
      <c r="BW23" s="53" t="s">
        <v>419</v>
      </c>
      <c r="BX23" s="44" t="s">
        <v>413</v>
      </c>
      <c r="BY23" s="44" t="s">
        <v>414</v>
      </c>
    </row>
    <row r="24" spans="1:77">
      <c r="A24" s="8"/>
      <c r="B24" s="8"/>
      <c r="C24" s="22" t="s">
        <v>464</v>
      </c>
      <c r="D24" s="23">
        <v>45749</v>
      </c>
      <c r="E24" s="19" t="s">
        <v>396</v>
      </c>
      <c r="F24" s="9" t="s">
        <v>397</v>
      </c>
      <c r="G24" s="9"/>
      <c r="H24" s="9" t="s">
        <v>127</v>
      </c>
      <c r="I24" s="29" t="s">
        <v>398</v>
      </c>
      <c r="J24" s="19" t="s">
        <v>398</v>
      </c>
      <c r="K24" s="9" t="s">
        <v>398</v>
      </c>
      <c r="L24" s="9" t="s">
        <v>399</v>
      </c>
      <c r="M24" s="32" t="s">
        <v>462</v>
      </c>
      <c r="N24" s="8" t="s">
        <v>399</v>
      </c>
      <c r="O24" s="28" t="s">
        <v>458</v>
      </c>
      <c r="P24" s="31"/>
      <c r="Q24" s="22" t="s">
        <v>441</v>
      </c>
      <c r="R24" s="22"/>
      <c r="S24" s="28" t="s">
        <v>429</v>
      </c>
      <c r="T24" s="9" t="s">
        <v>400</v>
      </c>
      <c r="U24" s="32" t="s">
        <v>430</v>
      </c>
      <c r="V24" s="30" t="s">
        <v>431</v>
      </c>
      <c r="W24" s="8" t="s">
        <v>464</v>
      </c>
      <c r="X24" s="8"/>
      <c r="Y24" s="47">
        <v>340</v>
      </c>
      <c r="Z24" s="21">
        <v>45761</v>
      </c>
      <c r="AA24" s="21">
        <v>45808</v>
      </c>
      <c r="AB24" s="21">
        <v>45808</v>
      </c>
      <c r="AC24" s="19" t="s">
        <v>398</v>
      </c>
      <c r="AD24" s="19" t="s">
        <v>398</v>
      </c>
      <c r="AE24" s="19" t="s">
        <v>398</v>
      </c>
      <c r="AF24" s="9" t="s">
        <v>398</v>
      </c>
      <c r="AG24" s="21">
        <v>45761</v>
      </c>
      <c r="AH24" s="21">
        <v>45769</v>
      </c>
      <c r="AI24" s="19" t="s">
        <v>400</v>
      </c>
      <c r="AJ24" s="21">
        <v>45776</v>
      </c>
      <c r="AK24" s="19"/>
      <c r="AL24" s="19" t="s">
        <v>400</v>
      </c>
      <c r="AM24" s="19"/>
      <c r="AN24" s="19"/>
      <c r="AO24" s="19">
        <v>5</v>
      </c>
      <c r="AP24" s="21">
        <v>45769</v>
      </c>
      <c r="AQ24" s="19"/>
      <c r="AR24" s="19">
        <v>5</v>
      </c>
      <c r="AS24" s="19"/>
      <c r="AT24" s="19"/>
      <c r="AU24" s="19" t="s">
        <v>398</v>
      </c>
      <c r="AV24" s="19" t="s">
        <v>398</v>
      </c>
      <c r="AW24" s="19" t="s">
        <v>398</v>
      </c>
      <c r="AX24" s="19" t="s">
        <v>398</v>
      </c>
      <c r="AY24" s="21">
        <v>45748</v>
      </c>
      <c r="AZ24" s="21">
        <v>45765</v>
      </c>
      <c r="BA24" s="19" t="s">
        <v>398</v>
      </c>
      <c r="BB24" s="19" t="s">
        <v>398</v>
      </c>
      <c r="BC24" s="19" t="s">
        <v>403</v>
      </c>
      <c r="BD24" s="19" t="s">
        <v>403</v>
      </c>
      <c r="BE24" s="19" t="s">
        <v>398</v>
      </c>
      <c r="BF24" s="19" t="s">
        <v>398</v>
      </c>
      <c r="BG24" s="19" t="s">
        <v>398</v>
      </c>
      <c r="BH24" s="19" t="s">
        <v>403</v>
      </c>
      <c r="BI24" s="19" t="s">
        <v>398</v>
      </c>
      <c r="BJ24" s="19" t="s">
        <v>403</v>
      </c>
      <c r="BK24" s="19" t="s">
        <v>398</v>
      </c>
      <c r="BL24" s="19" t="s">
        <v>398</v>
      </c>
      <c r="BM24" s="49">
        <v>1</v>
      </c>
      <c r="BN24" s="19" t="s">
        <v>403</v>
      </c>
      <c r="BO24" s="19" t="s">
        <v>403</v>
      </c>
      <c r="BP24" s="19" t="s">
        <v>398</v>
      </c>
      <c r="BQ24" s="19" t="s">
        <v>398</v>
      </c>
      <c r="BR24" s="19" t="s">
        <v>398</v>
      </c>
      <c r="BS24" s="19" t="s">
        <v>398</v>
      </c>
      <c r="BT24" s="19" t="s">
        <v>398</v>
      </c>
      <c r="BU24" s="53" t="s">
        <v>411</v>
      </c>
      <c r="BV24" s="19" t="s">
        <v>412</v>
      </c>
      <c r="BW24" s="53" t="s">
        <v>419</v>
      </c>
      <c r="BX24" s="44" t="s">
        <v>413</v>
      </c>
      <c r="BY24" s="44" t="s">
        <v>414</v>
      </c>
    </row>
    <row r="25" spans="1:77">
      <c r="A25" s="8"/>
      <c r="B25" s="8"/>
      <c r="C25" s="24"/>
      <c r="D25" s="23"/>
      <c r="E25" s="19"/>
      <c r="F25" s="9"/>
      <c r="G25" s="9"/>
      <c r="H25" s="9"/>
      <c r="I25" s="29"/>
      <c r="J25" s="19"/>
      <c r="K25" s="9"/>
      <c r="L25" s="9"/>
      <c r="M25" s="33"/>
      <c r="N25" s="8"/>
      <c r="O25" s="28" t="s">
        <v>458</v>
      </c>
      <c r="P25" s="31"/>
      <c r="Q25" s="22"/>
      <c r="R25" s="30"/>
      <c r="S25" s="28" t="s">
        <v>429</v>
      </c>
      <c r="T25" s="9" t="s">
        <v>400</v>
      </c>
      <c r="U25" s="32" t="s">
        <v>430</v>
      </c>
      <c r="V25" s="30" t="s">
        <v>431</v>
      </c>
      <c r="W25" s="8"/>
      <c r="X25" s="8"/>
      <c r="Y25" s="47"/>
      <c r="Z25" s="21"/>
      <c r="AA25" s="21"/>
      <c r="AB25" s="21"/>
      <c r="AC25" s="8"/>
      <c r="AD25" s="8"/>
      <c r="AE25" s="8"/>
      <c r="AF25" s="8"/>
      <c r="AG25" s="21">
        <v>45761</v>
      </c>
      <c r="AH25" s="21">
        <v>45769</v>
      </c>
      <c r="AI25" s="19" t="s">
        <v>400</v>
      </c>
      <c r="AJ25" s="21">
        <v>45776</v>
      </c>
      <c r="AK25" s="19"/>
      <c r="AL25" s="19" t="s">
        <v>400</v>
      </c>
      <c r="AM25" s="19"/>
      <c r="AN25" s="19"/>
      <c r="AO25" s="19">
        <v>5</v>
      </c>
      <c r="AP25" s="21">
        <v>45769</v>
      </c>
      <c r="AQ25" s="19"/>
      <c r="AR25" s="19">
        <v>5</v>
      </c>
      <c r="AS25" s="8"/>
      <c r="AT25" s="8"/>
      <c r="AU25" s="19" t="s">
        <v>398</v>
      </c>
      <c r="AV25" s="19" t="s">
        <v>398</v>
      </c>
      <c r="AW25" s="19" t="s">
        <v>398</v>
      </c>
      <c r="AX25" s="19" t="s">
        <v>398</v>
      </c>
      <c r="AY25" s="21">
        <v>45748</v>
      </c>
      <c r="AZ25" s="21">
        <v>45765</v>
      </c>
      <c r="BA25" s="19" t="s">
        <v>398</v>
      </c>
      <c r="BB25" s="19" t="s">
        <v>398</v>
      </c>
      <c r="BC25" s="19" t="s">
        <v>403</v>
      </c>
      <c r="BD25" s="19" t="s">
        <v>403</v>
      </c>
      <c r="BE25" s="19" t="s">
        <v>398</v>
      </c>
      <c r="BF25" s="19" t="s">
        <v>398</v>
      </c>
      <c r="BG25" s="19" t="s">
        <v>398</v>
      </c>
      <c r="BH25" s="19" t="s">
        <v>403</v>
      </c>
      <c r="BI25" s="19" t="s">
        <v>398</v>
      </c>
      <c r="BJ25" s="19" t="s">
        <v>403</v>
      </c>
      <c r="BK25" s="19" t="s">
        <v>398</v>
      </c>
      <c r="BL25" s="19" t="s">
        <v>398</v>
      </c>
      <c r="BM25" s="49">
        <v>1</v>
      </c>
      <c r="BN25" s="19" t="s">
        <v>403</v>
      </c>
      <c r="BO25" s="19" t="s">
        <v>403</v>
      </c>
      <c r="BP25" s="19" t="s">
        <v>398</v>
      </c>
      <c r="BQ25" s="19" t="s">
        <v>398</v>
      </c>
      <c r="BR25" s="19" t="s">
        <v>398</v>
      </c>
      <c r="BS25" s="19" t="s">
        <v>398</v>
      </c>
      <c r="BT25" s="19" t="s">
        <v>398</v>
      </c>
      <c r="BU25" s="53" t="s">
        <v>411</v>
      </c>
      <c r="BV25" s="19" t="s">
        <v>412</v>
      </c>
      <c r="BW25" s="53" t="s">
        <v>419</v>
      </c>
      <c r="BX25" s="44" t="s">
        <v>413</v>
      </c>
      <c r="BY25" s="44" t="s">
        <v>414</v>
      </c>
    </row>
    <row r="26" spans="1:77">
      <c r="A26" s="8"/>
      <c r="B26" s="8"/>
      <c r="C26" s="22" t="s">
        <v>465</v>
      </c>
      <c r="D26" s="23">
        <v>45754</v>
      </c>
      <c r="E26" s="19" t="s">
        <v>396</v>
      </c>
      <c r="F26" s="9" t="s">
        <v>397</v>
      </c>
      <c r="G26" s="9"/>
      <c r="H26" s="8" t="s">
        <v>107</v>
      </c>
      <c r="I26" s="29" t="s">
        <v>398</v>
      </c>
      <c r="J26" s="19" t="s">
        <v>398</v>
      </c>
      <c r="K26" s="9" t="s">
        <v>398</v>
      </c>
      <c r="L26" s="9" t="s">
        <v>399</v>
      </c>
      <c r="M26" s="32" t="s">
        <v>466</v>
      </c>
      <c r="N26" s="8" t="s">
        <v>399</v>
      </c>
      <c r="O26" s="28" t="s">
        <v>467</v>
      </c>
      <c r="P26" s="31"/>
      <c r="Q26" s="28" t="s">
        <v>468</v>
      </c>
      <c r="R26" s="28" t="s">
        <v>469</v>
      </c>
      <c r="S26" s="28" t="s">
        <v>429</v>
      </c>
      <c r="T26" s="9" t="s">
        <v>400</v>
      </c>
      <c r="U26" s="32" t="s">
        <v>430</v>
      </c>
      <c r="V26" s="30" t="s">
        <v>431</v>
      </c>
      <c r="W26" s="9" t="s">
        <v>465</v>
      </c>
      <c r="X26" s="8"/>
      <c r="Y26" s="47">
        <v>340</v>
      </c>
      <c r="Z26" s="21">
        <v>45761</v>
      </c>
      <c r="AA26" s="21">
        <v>45808</v>
      </c>
      <c r="AB26" s="21">
        <v>45808</v>
      </c>
      <c r="AC26" s="8" t="s">
        <v>398</v>
      </c>
      <c r="AD26" s="8" t="s">
        <v>398</v>
      </c>
      <c r="AE26" s="8" t="s">
        <v>398</v>
      </c>
      <c r="AF26" s="8" t="s">
        <v>398</v>
      </c>
      <c r="AG26" s="21">
        <v>45761</v>
      </c>
      <c r="AH26" s="21">
        <v>45769</v>
      </c>
      <c r="AI26" s="19" t="s">
        <v>400</v>
      </c>
      <c r="AJ26" s="21">
        <v>45776</v>
      </c>
      <c r="AK26" s="19"/>
      <c r="AL26" s="19" t="s">
        <v>400</v>
      </c>
      <c r="AM26" s="19"/>
      <c r="AN26" s="19"/>
      <c r="AO26" s="19">
        <v>5</v>
      </c>
      <c r="AP26" s="21">
        <v>45769</v>
      </c>
      <c r="AQ26" s="19"/>
      <c r="AR26" s="19">
        <v>5</v>
      </c>
      <c r="AS26" s="8"/>
      <c r="AT26" s="8"/>
      <c r="AU26" s="19" t="s">
        <v>398</v>
      </c>
      <c r="AV26" s="19" t="s">
        <v>398</v>
      </c>
      <c r="AW26" s="19" t="s">
        <v>398</v>
      </c>
      <c r="AX26" s="19" t="s">
        <v>398</v>
      </c>
      <c r="AY26" s="21">
        <v>45748</v>
      </c>
      <c r="AZ26" s="21">
        <v>45765</v>
      </c>
      <c r="BA26" s="19" t="s">
        <v>398</v>
      </c>
      <c r="BB26" s="19" t="s">
        <v>398</v>
      </c>
      <c r="BC26" s="19" t="s">
        <v>403</v>
      </c>
      <c r="BD26" s="19" t="s">
        <v>403</v>
      </c>
      <c r="BE26" s="19" t="s">
        <v>398</v>
      </c>
      <c r="BF26" s="19" t="s">
        <v>398</v>
      </c>
      <c r="BG26" s="19" t="s">
        <v>398</v>
      </c>
      <c r="BH26" s="19" t="s">
        <v>403</v>
      </c>
      <c r="BI26" s="19" t="s">
        <v>398</v>
      </c>
      <c r="BJ26" s="19" t="s">
        <v>403</v>
      </c>
      <c r="BK26" s="19" t="s">
        <v>398</v>
      </c>
      <c r="BL26" s="19" t="s">
        <v>398</v>
      </c>
      <c r="BM26" s="49">
        <v>1</v>
      </c>
      <c r="BN26" s="19" t="s">
        <v>403</v>
      </c>
      <c r="BO26" s="19" t="s">
        <v>403</v>
      </c>
      <c r="BP26" s="19" t="s">
        <v>398</v>
      </c>
      <c r="BQ26" s="19" t="s">
        <v>398</v>
      </c>
      <c r="BR26" s="19" t="s">
        <v>398</v>
      </c>
      <c r="BS26" s="19" t="s">
        <v>398</v>
      </c>
      <c r="BT26" s="19" t="s">
        <v>398</v>
      </c>
      <c r="BU26" s="53" t="s">
        <v>411</v>
      </c>
      <c r="BV26" s="19" t="s">
        <v>412</v>
      </c>
      <c r="BW26" s="53" t="s">
        <v>419</v>
      </c>
      <c r="BX26" s="44" t="s">
        <v>413</v>
      </c>
      <c r="BY26" s="44" t="s">
        <v>414</v>
      </c>
    </row>
    <row r="27" spans="1:77">
      <c r="A27" s="8"/>
      <c r="B27" s="8"/>
      <c r="C27" s="22" t="s">
        <v>470</v>
      </c>
      <c r="D27" s="23">
        <v>45754</v>
      </c>
      <c r="E27" s="19" t="s">
        <v>396</v>
      </c>
      <c r="F27" s="9" t="s">
        <v>397</v>
      </c>
      <c r="G27" s="9"/>
      <c r="H27" s="9" t="s">
        <v>127</v>
      </c>
      <c r="I27" s="29" t="s">
        <v>398</v>
      </c>
      <c r="J27" s="19" t="s">
        <v>398</v>
      </c>
      <c r="K27" s="9" t="s">
        <v>398</v>
      </c>
      <c r="L27" s="9"/>
      <c r="M27" s="33" t="s">
        <v>466</v>
      </c>
      <c r="N27" s="8"/>
      <c r="O27" s="30"/>
      <c r="P27" s="31"/>
      <c r="Q27" s="28" t="s">
        <v>471</v>
      </c>
      <c r="R27" s="30" t="s">
        <v>469</v>
      </c>
      <c r="S27" s="28" t="s">
        <v>429</v>
      </c>
      <c r="T27" s="9" t="s">
        <v>400</v>
      </c>
      <c r="U27" s="32" t="s">
        <v>430</v>
      </c>
      <c r="V27" s="30" t="s">
        <v>431</v>
      </c>
      <c r="W27" s="9" t="s">
        <v>470</v>
      </c>
      <c r="X27" s="8"/>
      <c r="Y27" s="47">
        <v>340</v>
      </c>
      <c r="Z27" s="21">
        <v>45761</v>
      </c>
      <c r="AA27" s="21">
        <v>45808</v>
      </c>
      <c r="AB27" s="21">
        <v>45808</v>
      </c>
      <c r="AC27" s="9" t="s">
        <v>398</v>
      </c>
      <c r="AD27" s="9" t="s">
        <v>398</v>
      </c>
      <c r="AE27" s="9" t="s">
        <v>398</v>
      </c>
      <c r="AF27" s="9" t="s">
        <v>398</v>
      </c>
      <c r="AG27" s="21">
        <v>45761</v>
      </c>
      <c r="AH27" s="21">
        <v>45769</v>
      </c>
      <c r="AI27" s="19" t="s">
        <v>400</v>
      </c>
      <c r="AJ27" s="21">
        <v>45776</v>
      </c>
      <c r="AK27" s="19"/>
      <c r="AL27" s="19" t="s">
        <v>400</v>
      </c>
      <c r="AM27" s="19"/>
      <c r="AN27" s="19"/>
      <c r="AO27" s="19">
        <v>5</v>
      </c>
      <c r="AP27" s="21">
        <v>45769</v>
      </c>
      <c r="AQ27" s="19"/>
      <c r="AR27" s="19">
        <v>5</v>
      </c>
      <c r="AS27" s="9"/>
      <c r="AT27" s="9"/>
      <c r="AU27" s="19" t="s">
        <v>398</v>
      </c>
      <c r="AV27" s="19" t="s">
        <v>398</v>
      </c>
      <c r="AW27" s="19" t="s">
        <v>398</v>
      </c>
      <c r="AX27" s="19" t="s">
        <v>398</v>
      </c>
      <c r="AY27" s="21">
        <v>45748</v>
      </c>
      <c r="AZ27" s="21">
        <v>45765</v>
      </c>
      <c r="BA27" s="19" t="s">
        <v>398</v>
      </c>
      <c r="BB27" s="19" t="s">
        <v>398</v>
      </c>
      <c r="BC27" s="19" t="s">
        <v>403</v>
      </c>
      <c r="BD27" s="19" t="s">
        <v>403</v>
      </c>
      <c r="BE27" s="19" t="s">
        <v>398</v>
      </c>
      <c r="BF27" s="19" t="s">
        <v>398</v>
      </c>
      <c r="BG27" s="19" t="s">
        <v>398</v>
      </c>
      <c r="BH27" s="19" t="s">
        <v>403</v>
      </c>
      <c r="BI27" s="19" t="s">
        <v>398</v>
      </c>
      <c r="BJ27" s="19" t="s">
        <v>403</v>
      </c>
      <c r="BK27" s="19" t="s">
        <v>398</v>
      </c>
      <c r="BL27" s="19" t="s">
        <v>398</v>
      </c>
      <c r="BM27" s="49">
        <v>1</v>
      </c>
      <c r="BN27" s="19" t="s">
        <v>403</v>
      </c>
      <c r="BO27" s="19" t="s">
        <v>403</v>
      </c>
      <c r="BP27" s="19" t="s">
        <v>398</v>
      </c>
      <c r="BQ27" s="19" t="s">
        <v>398</v>
      </c>
      <c r="BR27" s="19" t="s">
        <v>398</v>
      </c>
      <c r="BS27" s="19" t="s">
        <v>398</v>
      </c>
      <c r="BT27" s="19" t="s">
        <v>398</v>
      </c>
      <c r="BU27" s="53" t="s">
        <v>411</v>
      </c>
      <c r="BV27" s="19" t="s">
        <v>412</v>
      </c>
      <c r="BW27" s="53" t="s">
        <v>419</v>
      </c>
      <c r="BX27" s="44" t="s">
        <v>413</v>
      </c>
      <c r="BY27" s="44" t="s">
        <v>414</v>
      </c>
    </row>
    <row r="28" spans="1:77">
      <c r="A28" s="8"/>
      <c r="B28" s="8"/>
      <c r="C28" s="22" t="s">
        <v>472</v>
      </c>
      <c r="D28" s="23">
        <v>45754</v>
      </c>
      <c r="E28" s="19" t="s">
        <v>396</v>
      </c>
      <c r="F28" s="9" t="s">
        <v>397</v>
      </c>
      <c r="G28" s="9"/>
      <c r="H28" s="8" t="s">
        <v>107</v>
      </c>
      <c r="I28" s="29" t="s">
        <v>398</v>
      </c>
      <c r="J28" s="19" t="s">
        <v>398</v>
      </c>
      <c r="K28" s="9" t="s">
        <v>398</v>
      </c>
      <c r="L28" s="9" t="s">
        <v>399</v>
      </c>
      <c r="M28" s="33" t="s">
        <v>466</v>
      </c>
      <c r="N28" s="8" t="s">
        <v>399</v>
      </c>
      <c r="O28" s="30" t="s">
        <v>467</v>
      </c>
      <c r="P28" s="31"/>
      <c r="Q28" s="28" t="s">
        <v>468</v>
      </c>
      <c r="R28" s="30" t="s">
        <v>469</v>
      </c>
      <c r="S28" s="28" t="s">
        <v>429</v>
      </c>
      <c r="T28" s="9" t="s">
        <v>400</v>
      </c>
      <c r="U28" s="32" t="s">
        <v>430</v>
      </c>
      <c r="V28" s="30" t="s">
        <v>431</v>
      </c>
      <c r="W28" s="8" t="s">
        <v>472</v>
      </c>
      <c r="X28" s="8"/>
      <c r="Y28" s="47">
        <v>340</v>
      </c>
      <c r="Z28" s="21">
        <v>45761</v>
      </c>
      <c r="AA28" s="21">
        <v>45808</v>
      </c>
      <c r="AB28" s="21">
        <v>45808</v>
      </c>
      <c r="AC28" s="9" t="s">
        <v>398</v>
      </c>
      <c r="AD28" s="9" t="s">
        <v>398</v>
      </c>
      <c r="AE28" s="9" t="s">
        <v>398</v>
      </c>
      <c r="AF28" s="9" t="s">
        <v>398</v>
      </c>
      <c r="AG28" s="21">
        <v>45761</v>
      </c>
      <c r="AH28" s="21">
        <v>45769</v>
      </c>
      <c r="AI28" s="19" t="s">
        <v>400</v>
      </c>
      <c r="AJ28" s="21">
        <v>45776</v>
      </c>
      <c r="AK28" s="19"/>
      <c r="AL28" s="19" t="s">
        <v>400</v>
      </c>
      <c r="AM28" s="19"/>
      <c r="AN28" s="19"/>
      <c r="AO28" s="19">
        <v>5</v>
      </c>
      <c r="AP28" s="21">
        <v>45769</v>
      </c>
      <c r="AQ28" s="19"/>
      <c r="AR28" s="19">
        <v>5</v>
      </c>
      <c r="AS28" s="9"/>
      <c r="AT28" s="9"/>
      <c r="AU28" s="19" t="s">
        <v>398</v>
      </c>
      <c r="AV28" s="19" t="s">
        <v>398</v>
      </c>
      <c r="AW28" s="19" t="s">
        <v>398</v>
      </c>
      <c r="AX28" s="19" t="s">
        <v>398</v>
      </c>
      <c r="AY28" s="21">
        <v>45748</v>
      </c>
      <c r="AZ28" s="21">
        <v>45765</v>
      </c>
      <c r="BA28" s="19" t="s">
        <v>398</v>
      </c>
      <c r="BB28" s="19" t="s">
        <v>398</v>
      </c>
      <c r="BC28" s="19" t="s">
        <v>403</v>
      </c>
      <c r="BD28" s="19" t="s">
        <v>403</v>
      </c>
      <c r="BE28" s="19" t="s">
        <v>398</v>
      </c>
      <c r="BF28" s="19" t="s">
        <v>398</v>
      </c>
      <c r="BG28" s="19" t="s">
        <v>398</v>
      </c>
      <c r="BH28" s="19" t="s">
        <v>403</v>
      </c>
      <c r="BI28" s="19" t="s">
        <v>398</v>
      </c>
      <c r="BJ28" s="19" t="s">
        <v>403</v>
      </c>
      <c r="BK28" s="19" t="s">
        <v>398</v>
      </c>
      <c r="BL28" s="19" t="s">
        <v>398</v>
      </c>
      <c r="BM28" s="49">
        <v>1</v>
      </c>
      <c r="BN28" s="19" t="s">
        <v>403</v>
      </c>
      <c r="BO28" s="19" t="s">
        <v>403</v>
      </c>
      <c r="BP28" s="19" t="s">
        <v>398</v>
      </c>
      <c r="BQ28" s="19" t="s">
        <v>398</v>
      </c>
      <c r="BR28" s="19" t="s">
        <v>398</v>
      </c>
      <c r="BS28" s="19" t="s">
        <v>398</v>
      </c>
      <c r="BT28" s="19" t="s">
        <v>398</v>
      </c>
      <c r="BU28" s="53" t="s">
        <v>411</v>
      </c>
      <c r="BV28" s="19" t="s">
        <v>412</v>
      </c>
      <c r="BW28" s="53" t="s">
        <v>419</v>
      </c>
      <c r="BX28" s="44" t="s">
        <v>413</v>
      </c>
      <c r="BY28" s="44" t="s">
        <v>414</v>
      </c>
    </row>
    <row r="29" spans="1:77">
      <c r="A29" s="8"/>
      <c r="B29" s="8"/>
      <c r="C29" s="22" t="s">
        <v>473</v>
      </c>
      <c r="D29" s="23">
        <v>45754</v>
      </c>
      <c r="E29" s="19" t="s">
        <v>396</v>
      </c>
      <c r="F29" s="9" t="s">
        <v>397</v>
      </c>
      <c r="G29" s="9"/>
      <c r="H29" s="9" t="s">
        <v>127</v>
      </c>
      <c r="I29" s="29" t="s">
        <v>398</v>
      </c>
      <c r="J29" s="19" t="s">
        <v>398</v>
      </c>
      <c r="K29" s="9" t="s">
        <v>398</v>
      </c>
      <c r="L29" s="9"/>
      <c r="M29" s="33" t="s">
        <v>466</v>
      </c>
      <c r="N29" s="8"/>
      <c r="O29" s="30" t="s">
        <v>467</v>
      </c>
      <c r="P29" s="31"/>
      <c r="Q29" s="28" t="s">
        <v>471</v>
      </c>
      <c r="R29" s="30" t="s">
        <v>469</v>
      </c>
      <c r="S29" s="28" t="s">
        <v>429</v>
      </c>
      <c r="T29" s="9" t="s">
        <v>400</v>
      </c>
      <c r="U29" s="32" t="s">
        <v>430</v>
      </c>
      <c r="V29" s="30" t="s">
        <v>431</v>
      </c>
      <c r="W29" s="8" t="s">
        <v>473</v>
      </c>
      <c r="X29" s="8"/>
      <c r="Y29" s="47">
        <v>340</v>
      </c>
      <c r="Z29" s="21">
        <v>45761</v>
      </c>
      <c r="AA29" s="21">
        <v>45808</v>
      </c>
      <c r="AB29" s="21">
        <v>45808</v>
      </c>
      <c r="AC29" s="9" t="s">
        <v>398</v>
      </c>
      <c r="AD29" s="9" t="s">
        <v>398</v>
      </c>
      <c r="AE29" s="9" t="s">
        <v>398</v>
      </c>
      <c r="AF29" s="9" t="s">
        <v>398</v>
      </c>
      <c r="AG29" s="21">
        <v>45761</v>
      </c>
      <c r="AH29" s="21">
        <v>45769</v>
      </c>
      <c r="AI29" s="19" t="s">
        <v>400</v>
      </c>
      <c r="AJ29" s="21">
        <v>45776</v>
      </c>
      <c r="AK29" s="19"/>
      <c r="AL29" s="19" t="s">
        <v>400</v>
      </c>
      <c r="AM29" s="19"/>
      <c r="AN29" s="19"/>
      <c r="AO29" s="19">
        <v>5</v>
      </c>
      <c r="AP29" s="21">
        <v>45769</v>
      </c>
      <c r="AQ29" s="19"/>
      <c r="AR29" s="19">
        <v>5</v>
      </c>
      <c r="AS29" s="9"/>
      <c r="AT29" s="9"/>
      <c r="AU29" s="19" t="s">
        <v>398</v>
      </c>
      <c r="AV29" s="19" t="s">
        <v>398</v>
      </c>
      <c r="AW29" s="19" t="s">
        <v>398</v>
      </c>
      <c r="AX29" s="19" t="s">
        <v>398</v>
      </c>
      <c r="AY29" s="21">
        <v>45748</v>
      </c>
      <c r="AZ29" s="21">
        <v>45765</v>
      </c>
      <c r="BA29" s="19" t="s">
        <v>398</v>
      </c>
      <c r="BB29" s="19" t="s">
        <v>398</v>
      </c>
      <c r="BC29" s="19" t="s">
        <v>403</v>
      </c>
      <c r="BD29" s="19" t="s">
        <v>403</v>
      </c>
      <c r="BE29" s="19" t="s">
        <v>398</v>
      </c>
      <c r="BF29" s="19" t="s">
        <v>398</v>
      </c>
      <c r="BG29" s="19" t="s">
        <v>398</v>
      </c>
      <c r="BH29" s="19" t="s">
        <v>403</v>
      </c>
      <c r="BI29" s="19" t="s">
        <v>398</v>
      </c>
      <c r="BJ29" s="19" t="s">
        <v>403</v>
      </c>
      <c r="BK29" s="19" t="s">
        <v>398</v>
      </c>
      <c r="BL29" s="19" t="s">
        <v>398</v>
      </c>
      <c r="BM29" s="49">
        <v>1</v>
      </c>
      <c r="BN29" s="19" t="s">
        <v>403</v>
      </c>
      <c r="BO29" s="19" t="s">
        <v>403</v>
      </c>
      <c r="BP29" s="19" t="s">
        <v>398</v>
      </c>
      <c r="BQ29" s="19" t="s">
        <v>398</v>
      </c>
      <c r="BR29" s="19" t="s">
        <v>398</v>
      </c>
      <c r="BS29" s="19" t="s">
        <v>398</v>
      </c>
      <c r="BT29" s="19" t="s">
        <v>398</v>
      </c>
      <c r="BU29" s="53" t="s">
        <v>411</v>
      </c>
      <c r="BV29" s="19" t="s">
        <v>412</v>
      </c>
      <c r="BW29" s="53" t="s">
        <v>419</v>
      </c>
      <c r="BX29" s="44" t="s">
        <v>413</v>
      </c>
      <c r="BY29" s="44" t="s">
        <v>414</v>
      </c>
    </row>
    <row r="30" spans="1:77">
      <c r="A30" s="8"/>
      <c r="B30" s="8"/>
      <c r="C30" s="8"/>
      <c r="D30" s="23"/>
      <c r="E30" s="19"/>
      <c r="F30" s="9"/>
      <c r="G30" s="9"/>
      <c r="H30" s="8"/>
      <c r="I30" s="29"/>
      <c r="J30" s="19"/>
      <c r="K30" s="9"/>
      <c r="L30" s="8"/>
      <c r="M30" s="8"/>
      <c r="N30" s="8"/>
      <c r="O30" s="30" t="s">
        <v>467</v>
      </c>
      <c r="P30" s="31"/>
      <c r="Q30" s="28" t="s">
        <v>471</v>
      </c>
      <c r="R30" s="22"/>
      <c r="S30" s="28" t="s">
        <v>429</v>
      </c>
      <c r="T30" s="9" t="s">
        <v>400</v>
      </c>
      <c r="U30" s="32" t="s">
        <v>430</v>
      </c>
      <c r="V30" s="30" t="s">
        <v>431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9">
        <v>5</v>
      </c>
      <c r="AP30" s="21">
        <v>45769</v>
      </c>
      <c r="AQ30" s="19"/>
      <c r="AR30" s="19">
        <v>5</v>
      </c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spans="1:77">
      <c r="A31" s="8"/>
      <c r="B31" s="8"/>
      <c r="C31" s="8"/>
      <c r="D31" s="23"/>
      <c r="E31" s="19"/>
      <c r="F31" s="9"/>
      <c r="G31" s="9"/>
      <c r="H31" s="9"/>
      <c r="I31" s="29"/>
      <c r="J31" s="19"/>
      <c r="K31" s="9"/>
      <c r="L31" s="8"/>
      <c r="M31" s="8"/>
      <c r="N31" s="8"/>
      <c r="O31" s="30" t="s">
        <v>467</v>
      </c>
      <c r="P31" s="31"/>
      <c r="Q31" s="28" t="s">
        <v>471</v>
      </c>
      <c r="R31" s="22"/>
      <c r="S31" s="28" t="s">
        <v>429</v>
      </c>
      <c r="T31" s="9" t="s">
        <v>400</v>
      </c>
      <c r="U31" s="32" t="s">
        <v>430</v>
      </c>
      <c r="V31" s="30" t="s">
        <v>431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9">
        <v>5</v>
      </c>
      <c r="AP31" s="21">
        <v>45769</v>
      </c>
      <c r="AQ31" s="19"/>
      <c r="AR31" s="19">
        <v>5</v>
      </c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1:77">
      <c r="A32" s="8"/>
      <c r="B32" s="8"/>
      <c r="C32" s="8" t="s">
        <v>474</v>
      </c>
      <c r="D32" s="23">
        <v>45758</v>
      </c>
      <c r="E32" s="19" t="s">
        <v>396</v>
      </c>
      <c r="F32" s="9" t="s">
        <v>397</v>
      </c>
      <c r="G32" s="9"/>
      <c r="H32" s="8" t="s">
        <v>107</v>
      </c>
      <c r="I32" s="29" t="s">
        <v>398</v>
      </c>
      <c r="J32" s="19" t="s">
        <v>398</v>
      </c>
      <c r="K32" s="9" t="s">
        <v>398</v>
      </c>
      <c r="L32" s="9" t="s">
        <v>399</v>
      </c>
      <c r="M32" s="8"/>
      <c r="N32" s="9" t="s">
        <v>399</v>
      </c>
      <c r="O32" s="30" t="s">
        <v>467</v>
      </c>
      <c r="P32" s="31"/>
      <c r="Q32" s="28" t="s">
        <v>471</v>
      </c>
      <c r="R32" s="8"/>
      <c r="S32" s="28" t="s">
        <v>429</v>
      </c>
      <c r="T32" s="9" t="s">
        <v>400</v>
      </c>
      <c r="U32" s="32" t="s">
        <v>430</v>
      </c>
      <c r="V32" s="30" t="s">
        <v>431</v>
      </c>
      <c r="W32" s="8" t="s">
        <v>474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9">
        <v>5</v>
      </c>
      <c r="AP32" s="21">
        <v>45769</v>
      </c>
      <c r="AQ32" s="19"/>
      <c r="AR32" s="19">
        <v>5</v>
      </c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spans="1:77">
      <c r="A33" s="8"/>
      <c r="B33" s="8"/>
      <c r="C33" s="8" t="s">
        <v>475</v>
      </c>
      <c r="D33" s="23">
        <v>45758</v>
      </c>
      <c r="E33" s="19" t="s">
        <v>396</v>
      </c>
      <c r="F33" s="9" t="s">
        <v>397</v>
      </c>
      <c r="G33" s="9"/>
      <c r="H33" s="9" t="s">
        <v>127</v>
      </c>
      <c r="I33" s="29" t="s">
        <v>398</v>
      </c>
      <c r="J33" s="19" t="s">
        <v>398</v>
      </c>
      <c r="K33" s="9" t="s">
        <v>398</v>
      </c>
      <c r="L33" s="9" t="s">
        <v>399</v>
      </c>
      <c r="M33" s="8"/>
      <c r="N33" s="9" t="s">
        <v>399</v>
      </c>
      <c r="O33" s="30" t="s">
        <v>467</v>
      </c>
      <c r="P33" s="31"/>
      <c r="Q33" s="28" t="s">
        <v>471</v>
      </c>
      <c r="R33" s="8"/>
      <c r="S33" s="28" t="s">
        <v>429</v>
      </c>
      <c r="T33" s="9" t="s">
        <v>400</v>
      </c>
      <c r="U33" s="32" t="s">
        <v>430</v>
      </c>
      <c r="V33" s="30" t="s">
        <v>431</v>
      </c>
      <c r="W33" s="8" t="s">
        <v>475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9">
        <v>5</v>
      </c>
      <c r="AP33" s="21">
        <v>45769</v>
      </c>
      <c r="AQ33" s="19"/>
      <c r="AR33" s="19">
        <v>5</v>
      </c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spans="1:77">
      <c r="A34" s="8"/>
      <c r="B34" s="8"/>
      <c r="C34" s="8"/>
      <c r="D34" s="23"/>
      <c r="E34" s="19"/>
      <c r="F34" s="9"/>
      <c r="G34" s="9"/>
      <c r="H34" s="9"/>
      <c r="I34" s="29"/>
      <c r="J34" s="19"/>
      <c r="K34" s="9"/>
      <c r="L34" s="8"/>
      <c r="M34" s="8"/>
      <c r="N34" s="8"/>
      <c r="O34" s="30" t="s">
        <v>467</v>
      </c>
      <c r="P34" s="31"/>
      <c r="Q34" s="28" t="s">
        <v>471</v>
      </c>
      <c r="R34" s="8"/>
      <c r="S34" s="22"/>
      <c r="T34" s="9" t="s">
        <v>400</v>
      </c>
      <c r="U34" s="8"/>
      <c r="V34" s="22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spans="1:77">
      <c r="A35" s="8"/>
      <c r="B35" s="8"/>
      <c r="C35" s="8"/>
      <c r="D35" s="23"/>
      <c r="E35" s="19"/>
      <c r="F35" s="9"/>
      <c r="G35" s="9"/>
      <c r="H35" s="9"/>
      <c r="I35" s="29"/>
      <c r="J35" s="19"/>
      <c r="K35" s="9"/>
      <c r="L35" s="8"/>
      <c r="M35" s="8"/>
      <c r="N35" s="8"/>
      <c r="O35" s="30" t="s">
        <v>467</v>
      </c>
      <c r="P35" s="31"/>
      <c r="Q35" s="28" t="s">
        <v>471</v>
      </c>
      <c r="R35" s="8"/>
      <c r="S35" s="22"/>
      <c r="T35" s="9" t="s">
        <v>400</v>
      </c>
      <c r="U35" s="8"/>
      <c r="V35" s="22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spans="1:77">
      <c r="A36" s="8"/>
      <c r="B36" s="8"/>
      <c r="C36" s="25" t="s">
        <v>476</v>
      </c>
      <c r="D36" s="23">
        <v>45758</v>
      </c>
      <c r="E36" s="19" t="s">
        <v>396</v>
      </c>
      <c r="F36" s="9" t="s">
        <v>397</v>
      </c>
      <c r="G36" s="9"/>
      <c r="H36" s="8" t="s">
        <v>107</v>
      </c>
      <c r="I36" s="29" t="s">
        <v>398</v>
      </c>
      <c r="J36" s="19" t="s">
        <v>398</v>
      </c>
      <c r="K36" s="9" t="s">
        <v>398</v>
      </c>
      <c r="L36" s="9" t="s">
        <v>399</v>
      </c>
      <c r="M36" s="32" t="s">
        <v>405</v>
      </c>
      <c r="N36" s="9" t="s">
        <v>399</v>
      </c>
      <c r="O36" s="30" t="s">
        <v>467</v>
      </c>
      <c r="P36" s="31"/>
      <c r="Q36" s="28" t="s">
        <v>471</v>
      </c>
      <c r="R36" s="33" t="s">
        <v>405</v>
      </c>
      <c r="S36" s="22"/>
      <c r="T36" s="9" t="s">
        <v>400</v>
      </c>
      <c r="U36" s="8"/>
      <c r="V36" s="22"/>
      <c r="W36" s="25" t="s">
        <v>476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spans="1:77">
      <c r="A37" s="8"/>
      <c r="B37" s="8"/>
      <c r="C37" s="8" t="s">
        <v>477</v>
      </c>
      <c r="D37" s="23">
        <v>45758</v>
      </c>
      <c r="E37" s="19" t="s">
        <v>396</v>
      </c>
      <c r="F37" s="9" t="s">
        <v>397</v>
      </c>
      <c r="G37" s="9"/>
      <c r="H37" s="9" t="s">
        <v>127</v>
      </c>
      <c r="I37" s="29" t="s">
        <v>398</v>
      </c>
      <c r="J37" s="19" t="s">
        <v>398</v>
      </c>
      <c r="K37" s="9" t="s">
        <v>398</v>
      </c>
      <c r="L37" s="9" t="s">
        <v>399</v>
      </c>
      <c r="M37" s="32" t="s">
        <v>405</v>
      </c>
      <c r="N37" s="9" t="s">
        <v>399</v>
      </c>
      <c r="O37" s="30" t="s">
        <v>467</v>
      </c>
      <c r="P37" s="31"/>
      <c r="Q37" s="28" t="s">
        <v>471</v>
      </c>
      <c r="R37" s="33" t="s">
        <v>405</v>
      </c>
      <c r="S37" s="22"/>
      <c r="T37" s="9" t="s">
        <v>400</v>
      </c>
      <c r="U37" s="8"/>
      <c r="V37" s="22"/>
      <c r="W37" s="8" t="s">
        <v>477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1:77">
      <c r="A38" s="8"/>
      <c r="B38" s="8"/>
      <c r="C38" s="8"/>
      <c r="D38" s="23"/>
      <c r="E38" s="19"/>
      <c r="F38" s="9"/>
      <c r="G38" s="9"/>
      <c r="H38" s="9"/>
      <c r="I38" s="29"/>
      <c r="J38" s="19"/>
      <c r="K38" s="9"/>
      <c r="L38" s="8"/>
      <c r="M38" s="8"/>
      <c r="N38" s="8"/>
      <c r="O38" s="30" t="s">
        <v>467</v>
      </c>
      <c r="P38" s="31"/>
      <c r="Q38" s="28" t="s">
        <v>471</v>
      </c>
      <c r="R38" s="8"/>
      <c r="S38" s="22"/>
      <c r="T38" s="9"/>
      <c r="U38" s="8"/>
      <c r="V38" s="22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spans="1:77">
      <c r="A39" s="8"/>
      <c r="B39" s="8"/>
      <c r="C39" s="8"/>
      <c r="D39" s="23"/>
      <c r="E39" s="19"/>
      <c r="F39" s="9"/>
      <c r="G39" s="9"/>
      <c r="H39" s="9"/>
      <c r="I39" s="29"/>
      <c r="J39" s="19"/>
      <c r="K39" s="9"/>
      <c r="L39" s="8"/>
      <c r="M39" s="8"/>
      <c r="N39" s="8"/>
      <c r="O39" s="30" t="s">
        <v>467</v>
      </c>
      <c r="P39" s="31"/>
      <c r="Q39" s="28" t="s">
        <v>471</v>
      </c>
      <c r="R39" s="8"/>
      <c r="S39" s="22"/>
      <c r="T39" s="9" t="s">
        <v>400</v>
      </c>
      <c r="U39" s="8"/>
      <c r="V39" s="22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 spans="1:77">
      <c r="A40" s="8"/>
      <c r="B40" s="8"/>
      <c r="C40" s="8" t="s">
        <v>478</v>
      </c>
      <c r="D40" s="23">
        <v>45758</v>
      </c>
      <c r="E40" s="19" t="s">
        <v>396</v>
      </c>
      <c r="F40" s="9" t="s">
        <v>397</v>
      </c>
      <c r="G40" s="9"/>
      <c r="H40" s="8" t="s">
        <v>107</v>
      </c>
      <c r="I40" s="29" t="s">
        <v>398</v>
      </c>
      <c r="J40" s="19" t="s">
        <v>398</v>
      </c>
      <c r="K40" s="9" t="s">
        <v>398</v>
      </c>
      <c r="L40" s="9" t="s">
        <v>399</v>
      </c>
      <c r="M40" s="7"/>
      <c r="N40" s="9" t="s">
        <v>399</v>
      </c>
      <c r="O40" s="30" t="s">
        <v>467</v>
      </c>
      <c r="P40" s="31"/>
      <c r="Q40" s="28" t="s">
        <v>471</v>
      </c>
      <c r="R40" s="7"/>
      <c r="S40" s="22"/>
      <c r="T40" s="9" t="s">
        <v>400</v>
      </c>
      <c r="U40" s="8"/>
      <c r="V40" s="22"/>
      <c r="W40" s="9" t="s">
        <v>478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spans="1:77">
      <c r="A41" s="8"/>
      <c r="B41" s="8"/>
      <c r="C41" s="8" t="s">
        <v>479</v>
      </c>
      <c r="D41" s="23">
        <v>45758</v>
      </c>
      <c r="E41" s="19" t="s">
        <v>396</v>
      </c>
      <c r="F41" s="9" t="s">
        <v>397</v>
      </c>
      <c r="G41" s="9"/>
      <c r="H41" s="9" t="s">
        <v>127</v>
      </c>
      <c r="I41" s="29" t="s">
        <v>398</v>
      </c>
      <c r="J41" s="19" t="s">
        <v>398</v>
      </c>
      <c r="K41" s="9" t="s">
        <v>398</v>
      </c>
      <c r="L41" s="9" t="s">
        <v>399</v>
      </c>
      <c r="M41" s="7"/>
      <c r="N41" s="9" t="s">
        <v>399</v>
      </c>
      <c r="O41" s="30" t="s">
        <v>467</v>
      </c>
      <c r="P41" s="31"/>
      <c r="Q41" s="28" t="s">
        <v>471</v>
      </c>
      <c r="R41" s="7"/>
      <c r="S41" s="22"/>
      <c r="T41" s="9" t="s">
        <v>400</v>
      </c>
      <c r="U41" s="8"/>
      <c r="V41" s="22"/>
      <c r="W41" s="9" t="s">
        <v>479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1:77">
      <c r="A42" s="8"/>
      <c r="B42" s="8"/>
      <c r="C42" s="8"/>
      <c r="D42" s="23"/>
      <c r="E42" s="19"/>
      <c r="F42" s="9"/>
      <c r="G42" s="9"/>
      <c r="H42" s="9"/>
      <c r="I42" s="29"/>
      <c r="J42" s="19"/>
      <c r="K42" s="9"/>
      <c r="L42" s="9"/>
      <c r="M42" s="7"/>
      <c r="N42" s="9"/>
      <c r="O42" s="30" t="s">
        <v>467</v>
      </c>
      <c r="P42" s="8"/>
      <c r="Q42" s="28" t="s">
        <v>471</v>
      </c>
      <c r="R42" s="22"/>
      <c r="S42" s="22"/>
      <c r="T42" s="8"/>
      <c r="U42" s="8"/>
      <c r="V42" s="22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spans="1:77">
      <c r="A43" s="8"/>
      <c r="B43" s="8"/>
      <c r="C43" s="8" t="s">
        <v>192</v>
      </c>
      <c r="D43" s="23">
        <v>45770</v>
      </c>
      <c r="E43" s="19"/>
      <c r="F43" s="9"/>
      <c r="G43" s="9"/>
      <c r="H43" s="9"/>
      <c r="I43" s="29"/>
      <c r="J43" s="19"/>
      <c r="K43" s="9"/>
      <c r="L43" s="8" t="s">
        <v>399</v>
      </c>
      <c r="M43" s="37" t="s">
        <v>192</v>
      </c>
      <c r="N43" s="8" t="s">
        <v>399</v>
      </c>
      <c r="O43" s="30" t="s">
        <v>467</v>
      </c>
      <c r="P43" s="8"/>
      <c r="Q43" s="28" t="s">
        <v>480</v>
      </c>
      <c r="R43" s="28" t="s">
        <v>481</v>
      </c>
      <c r="S43" s="22"/>
      <c r="T43" s="8"/>
      <c r="U43" s="8"/>
      <c r="V43" s="22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1:77">
      <c r="A44" s="8"/>
      <c r="B44" s="8"/>
      <c r="C44" s="8" t="s">
        <v>193</v>
      </c>
      <c r="D44" s="23">
        <v>45770</v>
      </c>
      <c r="E44" s="19" t="s">
        <v>396</v>
      </c>
      <c r="F44" s="9" t="s">
        <v>397</v>
      </c>
      <c r="G44" s="9"/>
      <c r="H44" s="9" t="s">
        <v>127</v>
      </c>
      <c r="I44" s="29" t="s">
        <v>398</v>
      </c>
      <c r="J44" s="19" t="s">
        <v>398</v>
      </c>
      <c r="K44" s="9" t="s">
        <v>398</v>
      </c>
      <c r="L44" s="9" t="s">
        <v>399</v>
      </c>
      <c r="M44" s="37" t="s">
        <v>482</v>
      </c>
      <c r="N44" s="9" t="s">
        <v>399</v>
      </c>
      <c r="O44" s="30" t="s">
        <v>467</v>
      </c>
      <c r="P44" s="8"/>
      <c r="Q44" s="22"/>
      <c r="R44" s="22"/>
      <c r="S44" s="22"/>
      <c r="T44" s="8"/>
      <c r="U44" s="8"/>
      <c r="V44" s="22"/>
      <c r="W44" s="8" t="s">
        <v>193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spans="1:77">
      <c r="A45" s="8"/>
      <c r="B45" s="8"/>
      <c r="C45" s="8" t="s">
        <v>194</v>
      </c>
      <c r="D45" s="23">
        <v>45770</v>
      </c>
      <c r="E45" s="19" t="s">
        <v>396</v>
      </c>
      <c r="F45" s="9" t="s">
        <v>397</v>
      </c>
      <c r="G45" s="9"/>
      <c r="H45" s="9" t="s">
        <v>127</v>
      </c>
      <c r="I45" s="29" t="s">
        <v>398</v>
      </c>
      <c r="J45" s="19" t="s">
        <v>398</v>
      </c>
      <c r="K45" s="9" t="s">
        <v>398</v>
      </c>
      <c r="L45" s="9" t="s">
        <v>399</v>
      </c>
      <c r="M45" s="37" t="s">
        <v>483</v>
      </c>
      <c r="N45" s="9" t="s">
        <v>399</v>
      </c>
      <c r="O45" s="30" t="s">
        <v>467</v>
      </c>
      <c r="P45" s="8"/>
      <c r="Q45" s="22"/>
      <c r="R45" s="22"/>
      <c r="S45" s="22"/>
      <c r="T45" s="8"/>
      <c r="U45" s="8"/>
      <c r="V45" s="22"/>
      <c r="W45" s="8" t="s">
        <v>194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spans="1:7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2"/>
      <c r="P46" s="8"/>
      <c r="Q46" s="22"/>
      <c r="R46" s="22"/>
      <c r="S46" s="22"/>
      <c r="T46" s="8"/>
      <c r="U46" s="8"/>
      <c r="V46" s="22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spans="1:7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22"/>
      <c r="P47" s="8"/>
      <c r="Q47" s="22"/>
      <c r="R47" s="22"/>
      <c r="S47" s="22"/>
      <c r="T47" s="8"/>
      <c r="U47" s="8"/>
      <c r="V47" s="22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</row>
    <row r="48" spans="1:7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22"/>
      <c r="P48" s="8"/>
      <c r="Q48" s="22"/>
      <c r="R48" s="22"/>
      <c r="S48" s="22"/>
      <c r="T48" s="8"/>
      <c r="U48" s="8"/>
      <c r="V48" s="22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spans="1:7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22"/>
      <c r="P49" s="8"/>
      <c r="Q49" s="22"/>
      <c r="R49" s="22"/>
      <c r="S49" s="22"/>
      <c r="T49" s="8"/>
      <c r="U49" s="8"/>
      <c r="V49" s="22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 spans="1:7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22"/>
      <c r="P50" s="8"/>
      <c r="Q50" s="22"/>
      <c r="R50" s="22"/>
      <c r="S50" s="22"/>
      <c r="T50" s="8"/>
      <c r="U50" s="8"/>
      <c r="V50" s="22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spans="1:7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22"/>
      <c r="P51" s="8"/>
      <c r="Q51" s="22"/>
      <c r="R51" s="22"/>
      <c r="S51" s="22"/>
      <c r="T51" s="8"/>
      <c r="U51" s="8"/>
      <c r="V51" s="22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 spans="1:7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2"/>
      <c r="P52" s="8"/>
      <c r="Q52" s="22"/>
      <c r="R52" s="22"/>
      <c r="S52" s="22"/>
      <c r="T52" s="8"/>
      <c r="U52" s="8"/>
      <c r="V52" s="22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spans="1:7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22"/>
      <c r="P53" s="8"/>
      <c r="Q53" s="22"/>
      <c r="R53" s="22"/>
      <c r="S53" s="22"/>
      <c r="T53" s="8"/>
      <c r="U53" s="8"/>
      <c r="V53" s="22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 spans="1:7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22"/>
      <c r="P54" s="8"/>
      <c r="Q54" s="22"/>
      <c r="R54" s="22"/>
      <c r="S54" s="22"/>
      <c r="T54" s="8"/>
      <c r="U54" s="8"/>
      <c r="V54" s="22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spans="1:7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22"/>
      <c r="P55" s="8"/>
      <c r="Q55" s="22"/>
      <c r="R55" s="22"/>
      <c r="S55" s="22"/>
      <c r="T55" s="8"/>
      <c r="U55" s="8"/>
      <c r="V55" s="22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</row>
    <row r="56" spans="1:7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2"/>
      <c r="P56" s="8"/>
      <c r="Q56" s="22"/>
      <c r="R56" s="22"/>
      <c r="S56" s="22"/>
      <c r="T56" s="8"/>
      <c r="U56" s="8"/>
      <c r="V56" s="22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spans="1:7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2"/>
      <c r="P57" s="8"/>
      <c r="Q57" s="22"/>
      <c r="R57" s="22"/>
      <c r="S57" s="22"/>
      <c r="T57" s="8"/>
      <c r="U57" s="8"/>
      <c r="V57" s="22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</row>
    <row r="58" spans="1:7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22"/>
      <c r="P58" s="8"/>
      <c r="Q58" s="22"/>
      <c r="R58" s="22"/>
      <c r="S58" s="22"/>
      <c r="T58" s="8"/>
      <c r="U58" s="8"/>
      <c r="V58" s="22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spans="1:7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22"/>
      <c r="P59" s="8"/>
      <c r="Q59" s="22"/>
      <c r="R59" s="22"/>
      <c r="S59" s="22"/>
      <c r="T59" s="8"/>
      <c r="U59" s="8"/>
      <c r="V59" s="22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</row>
    <row r="60" spans="1:7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22"/>
      <c r="P60" s="8"/>
      <c r="Q60" s="22"/>
      <c r="R60" s="22"/>
      <c r="S60" s="22"/>
      <c r="T60" s="8"/>
      <c r="U60" s="8"/>
      <c r="V60" s="22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spans="1:7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22"/>
      <c r="P61" s="8"/>
      <c r="Q61" s="22"/>
      <c r="R61" s="22"/>
      <c r="S61" s="22"/>
      <c r="T61" s="8"/>
      <c r="U61" s="8"/>
      <c r="V61" s="22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</row>
    <row r="62" spans="1:7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2"/>
      <c r="P62" s="8"/>
      <c r="Q62" s="22"/>
      <c r="R62" s="22"/>
      <c r="S62" s="22"/>
      <c r="T62" s="8"/>
      <c r="U62" s="8"/>
      <c r="V62" s="22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spans="1:7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2"/>
      <c r="P63" s="8"/>
      <c r="Q63" s="22"/>
      <c r="R63" s="22"/>
      <c r="S63" s="22"/>
      <c r="T63" s="8"/>
      <c r="U63" s="8"/>
      <c r="V63" s="22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</row>
    <row r="64" spans="1:7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2"/>
      <c r="P64" s="8"/>
      <c r="Q64" s="22"/>
      <c r="R64" s="22"/>
      <c r="S64" s="22"/>
      <c r="T64" s="8"/>
      <c r="U64" s="8"/>
      <c r="V64" s="22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spans="1:7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2"/>
      <c r="P65" s="8"/>
      <c r="Q65" s="22"/>
      <c r="R65" s="22"/>
      <c r="S65" s="22"/>
      <c r="T65" s="8"/>
      <c r="U65" s="8"/>
      <c r="V65" s="22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 spans="1:7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2"/>
      <c r="P66" s="8"/>
      <c r="Q66" s="22"/>
      <c r="R66" s="22"/>
      <c r="S66" s="22"/>
      <c r="T66" s="8"/>
      <c r="U66" s="8"/>
      <c r="V66" s="22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spans="1:7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2"/>
      <c r="P67" s="8"/>
      <c r="Q67" s="22"/>
      <c r="R67" s="22"/>
      <c r="S67" s="22"/>
      <c r="T67" s="8"/>
      <c r="U67" s="8"/>
      <c r="V67" s="22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 spans="1:7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22"/>
      <c r="P68" s="8"/>
      <c r="Q68" s="22"/>
      <c r="R68" s="22"/>
      <c r="S68" s="22"/>
      <c r="T68" s="8"/>
      <c r="U68" s="8"/>
      <c r="V68" s="22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spans="1:7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22"/>
      <c r="P69" s="8"/>
      <c r="Q69" s="22"/>
      <c r="R69" s="22"/>
      <c r="S69" s="22"/>
      <c r="T69" s="8"/>
      <c r="U69" s="8"/>
      <c r="V69" s="22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 spans="1:7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22"/>
      <c r="P70" s="8"/>
      <c r="Q70" s="22"/>
      <c r="R70" s="22"/>
      <c r="S70" s="22"/>
      <c r="T70" s="8"/>
      <c r="U70" s="8"/>
      <c r="V70" s="22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 spans="1:7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22"/>
      <c r="P71" s="8"/>
      <c r="Q71" s="22"/>
      <c r="R71" s="22"/>
      <c r="S71" s="22"/>
      <c r="T71" s="8"/>
      <c r="U71" s="8"/>
      <c r="V71" s="22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 spans="1:7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22"/>
      <c r="P72" s="8"/>
      <c r="Q72" s="22"/>
      <c r="R72" s="22"/>
      <c r="S72" s="22"/>
      <c r="T72" s="8"/>
      <c r="U72" s="8"/>
      <c r="V72" s="22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spans="1:7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22"/>
      <c r="P73" s="8"/>
      <c r="Q73" s="22"/>
      <c r="R73" s="22"/>
      <c r="S73" s="22"/>
      <c r="T73" s="8"/>
      <c r="U73" s="8"/>
      <c r="V73" s="22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 spans="1:7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22"/>
      <c r="P74" s="8"/>
      <c r="Q74" s="22"/>
      <c r="R74" s="22"/>
      <c r="S74" s="22"/>
      <c r="T74" s="8"/>
      <c r="U74" s="8"/>
      <c r="V74" s="22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spans="1:7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22"/>
      <c r="P75" s="8"/>
      <c r="Q75" s="22"/>
      <c r="R75" s="22"/>
      <c r="S75" s="22"/>
      <c r="T75" s="8"/>
      <c r="U75" s="8"/>
      <c r="V75" s="22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 spans="1:7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22"/>
      <c r="P76" s="8"/>
      <c r="Q76" s="22"/>
      <c r="R76" s="22"/>
      <c r="S76" s="22"/>
      <c r="T76" s="8"/>
      <c r="U76" s="8"/>
      <c r="V76" s="22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spans="1: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22"/>
      <c r="P77" s="8"/>
      <c r="Q77" s="22"/>
      <c r="R77" s="22"/>
      <c r="S77" s="22"/>
      <c r="T77" s="8"/>
      <c r="U77" s="8"/>
      <c r="V77" s="22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 spans="1:7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22"/>
      <c r="P78" s="8"/>
      <c r="Q78" s="22"/>
      <c r="R78" s="22"/>
      <c r="S78" s="22"/>
      <c r="T78" s="8"/>
      <c r="U78" s="8"/>
      <c r="V78" s="22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 spans="1:7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22"/>
      <c r="P79" s="8"/>
      <c r="Q79" s="22"/>
      <c r="R79" s="22"/>
      <c r="S79" s="22"/>
      <c r="T79" s="8"/>
      <c r="U79" s="8"/>
      <c r="V79" s="22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 spans="1:7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22"/>
      <c r="P80" s="8"/>
      <c r="Q80" s="22"/>
      <c r="R80" s="22"/>
      <c r="S80" s="22"/>
      <c r="T80" s="8"/>
      <c r="U80" s="8"/>
      <c r="V80" s="22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spans="1:7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22"/>
      <c r="P81" s="8"/>
      <c r="Q81" s="22"/>
      <c r="R81" s="22"/>
      <c r="S81" s="22"/>
      <c r="T81" s="8"/>
      <c r="U81" s="8"/>
      <c r="V81" s="22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 spans="1:7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22"/>
      <c r="P82" s="8"/>
      <c r="Q82" s="22"/>
      <c r="R82" s="22"/>
      <c r="S82" s="22"/>
      <c r="T82" s="8"/>
      <c r="U82" s="8"/>
      <c r="V82" s="22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spans="1:7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22"/>
      <c r="P83" s="8"/>
      <c r="Q83" s="22"/>
      <c r="R83" s="22"/>
      <c r="S83" s="22"/>
      <c r="T83" s="8"/>
      <c r="U83" s="8"/>
      <c r="V83" s="22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 spans="1:7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22"/>
      <c r="P84" s="8"/>
      <c r="Q84" s="22"/>
      <c r="R84" s="22"/>
      <c r="S84" s="22"/>
      <c r="T84" s="8"/>
      <c r="U84" s="8"/>
      <c r="V84" s="22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spans="1:7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22"/>
      <c r="P85" s="8"/>
      <c r="Q85" s="22"/>
      <c r="R85" s="22"/>
      <c r="S85" s="22"/>
      <c r="T85" s="8"/>
      <c r="U85" s="8"/>
      <c r="V85" s="22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 spans="1:7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22"/>
      <c r="P86" s="8"/>
      <c r="Q86" s="22"/>
      <c r="R86" s="22"/>
      <c r="S86" s="22"/>
      <c r="T86" s="8"/>
      <c r="U86" s="8"/>
      <c r="V86" s="22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spans="1:7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22"/>
      <c r="P87" s="8"/>
      <c r="Q87" s="22"/>
      <c r="R87" s="22"/>
      <c r="S87" s="22"/>
      <c r="T87" s="8"/>
      <c r="U87" s="8"/>
      <c r="V87" s="22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 spans="1:7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22"/>
      <c r="P88" s="8"/>
      <c r="Q88" s="22"/>
      <c r="R88" s="22"/>
      <c r="S88" s="22"/>
      <c r="T88" s="8"/>
      <c r="U88" s="8"/>
      <c r="V88" s="22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spans="1:7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22"/>
      <c r="P89" s="8"/>
      <c r="Q89" s="22"/>
      <c r="R89" s="22"/>
      <c r="S89" s="22"/>
      <c r="T89" s="8"/>
      <c r="U89" s="8"/>
      <c r="V89" s="22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</row>
    <row r="90" spans="1:7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22"/>
      <c r="P90" s="8"/>
      <c r="Q90" s="22"/>
      <c r="R90" s="22"/>
      <c r="S90" s="22"/>
      <c r="T90" s="8"/>
      <c r="U90" s="8"/>
      <c r="V90" s="22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spans="1:7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22"/>
      <c r="P91" s="8"/>
      <c r="Q91" s="22"/>
      <c r="R91" s="22"/>
      <c r="S91" s="22"/>
      <c r="T91" s="8"/>
      <c r="U91" s="8"/>
      <c r="V91" s="22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 spans="1:7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22"/>
      <c r="P92" s="8"/>
      <c r="Q92" s="22"/>
      <c r="R92" s="22"/>
      <c r="S92" s="22"/>
      <c r="T92" s="8"/>
      <c r="U92" s="8"/>
      <c r="V92" s="22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spans="1:7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22"/>
      <c r="P93" s="8"/>
      <c r="Q93" s="22"/>
      <c r="R93" s="22"/>
      <c r="S93" s="22"/>
      <c r="T93" s="8"/>
      <c r="U93" s="8"/>
      <c r="V93" s="22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 spans="1:7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22"/>
      <c r="P94" s="8"/>
      <c r="Q94" s="22"/>
      <c r="R94" s="22"/>
      <c r="S94" s="22"/>
      <c r="T94" s="8"/>
      <c r="U94" s="8"/>
      <c r="V94" s="22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spans="1:7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22"/>
      <c r="P95" s="8"/>
      <c r="Q95" s="22"/>
      <c r="R95" s="22"/>
      <c r="S95" s="22"/>
      <c r="T95" s="8"/>
      <c r="U95" s="8"/>
      <c r="V95" s="22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 spans="1:7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22"/>
      <c r="P96" s="8"/>
      <c r="Q96" s="22"/>
      <c r="R96" s="22"/>
      <c r="S96" s="22"/>
      <c r="T96" s="8"/>
      <c r="U96" s="8"/>
      <c r="V96" s="22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 spans="1:7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22"/>
      <c r="P97" s="8"/>
      <c r="Q97" s="22"/>
      <c r="R97" s="22"/>
      <c r="S97" s="22"/>
      <c r="T97" s="8"/>
      <c r="U97" s="8"/>
      <c r="V97" s="22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 spans="1:7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22"/>
      <c r="P98" s="8"/>
      <c r="Q98" s="22"/>
      <c r="R98" s="22"/>
      <c r="S98" s="22"/>
      <c r="T98" s="8"/>
      <c r="U98" s="8"/>
      <c r="V98" s="22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spans="1:7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22"/>
      <c r="P99" s="8"/>
      <c r="Q99" s="22"/>
      <c r="R99" s="22"/>
      <c r="S99" s="22"/>
      <c r="T99" s="8"/>
      <c r="U99" s="8"/>
      <c r="V99" s="22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 spans="1:7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22"/>
      <c r="P100" s="8"/>
      <c r="Q100" s="22"/>
      <c r="R100" s="22"/>
      <c r="S100" s="22"/>
      <c r="T100" s="8"/>
      <c r="U100" s="8"/>
      <c r="V100" s="22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spans="1:7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22"/>
      <c r="P101" s="8"/>
      <c r="Q101" s="22"/>
      <c r="R101" s="22"/>
      <c r="S101" s="22"/>
      <c r="T101" s="8"/>
      <c r="U101" s="8"/>
      <c r="V101" s="22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 spans="1:7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22"/>
      <c r="P102" s="8"/>
      <c r="Q102" s="22"/>
      <c r="R102" s="22"/>
      <c r="S102" s="22"/>
      <c r="T102" s="8"/>
      <c r="U102" s="8"/>
      <c r="V102" s="22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 spans="1:7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22"/>
      <c r="P103" s="8"/>
      <c r="Q103" s="22"/>
      <c r="R103" s="22"/>
      <c r="S103" s="22"/>
      <c r="T103" s="8"/>
      <c r="U103" s="8"/>
      <c r="V103" s="22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 spans="1:7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22"/>
      <c r="P104" s="8"/>
      <c r="Q104" s="22"/>
      <c r="R104" s="22"/>
      <c r="S104" s="22"/>
      <c r="T104" s="8"/>
      <c r="U104" s="8"/>
      <c r="V104" s="22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spans="1:7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22"/>
      <c r="P105" s="8"/>
      <c r="Q105" s="22"/>
      <c r="R105" s="22"/>
      <c r="S105" s="22"/>
      <c r="T105" s="8"/>
      <c r="U105" s="8"/>
      <c r="V105" s="22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 spans="1:7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22"/>
      <c r="P106" s="8"/>
      <c r="Q106" s="22"/>
      <c r="R106" s="22"/>
      <c r="S106" s="22"/>
      <c r="T106" s="8"/>
      <c r="U106" s="8"/>
      <c r="V106" s="22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 spans="1:7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22"/>
      <c r="P107" s="8"/>
      <c r="Q107" s="22"/>
      <c r="R107" s="22"/>
      <c r="S107" s="22"/>
      <c r="T107" s="8"/>
      <c r="U107" s="8"/>
      <c r="V107" s="22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 spans="1:7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22"/>
      <c r="P108" s="8"/>
      <c r="Q108" s="22"/>
      <c r="R108" s="22"/>
      <c r="S108" s="22"/>
      <c r="T108" s="8"/>
      <c r="U108" s="8"/>
      <c r="V108" s="22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spans="1:7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22"/>
      <c r="P109" s="8"/>
      <c r="Q109" s="22"/>
      <c r="R109" s="22"/>
      <c r="S109" s="22"/>
      <c r="T109" s="8"/>
      <c r="U109" s="8"/>
      <c r="V109" s="22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 spans="1:7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22"/>
      <c r="P110" s="8"/>
      <c r="Q110" s="22"/>
      <c r="R110" s="22"/>
      <c r="S110" s="22"/>
      <c r="T110" s="8"/>
      <c r="U110" s="8"/>
      <c r="V110" s="22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spans="1:7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22"/>
      <c r="P111" s="8"/>
      <c r="Q111" s="22"/>
      <c r="R111" s="22"/>
      <c r="S111" s="22"/>
      <c r="T111" s="8"/>
      <c r="U111" s="8"/>
      <c r="V111" s="22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 spans="1:7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22"/>
      <c r="P112" s="8"/>
      <c r="Q112" s="22"/>
      <c r="R112" s="22"/>
      <c r="S112" s="22"/>
      <c r="T112" s="8"/>
      <c r="U112" s="8"/>
      <c r="V112" s="22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spans="1:7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22"/>
      <c r="P113" s="8"/>
      <c r="Q113" s="22"/>
      <c r="R113" s="22"/>
      <c r="S113" s="22"/>
      <c r="T113" s="8"/>
      <c r="U113" s="8"/>
      <c r="V113" s="22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 spans="1:7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22"/>
      <c r="P114" s="8"/>
      <c r="Q114" s="22"/>
      <c r="R114" s="22"/>
      <c r="S114" s="22"/>
      <c r="T114" s="8"/>
      <c r="U114" s="8"/>
      <c r="V114" s="22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spans="1:7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22"/>
      <c r="P115" s="8"/>
      <c r="Q115" s="22"/>
      <c r="R115" s="22"/>
      <c r="S115" s="22"/>
      <c r="T115" s="8"/>
      <c r="U115" s="8"/>
      <c r="V115" s="22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 spans="1:7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22"/>
      <c r="P116" s="8"/>
      <c r="Q116" s="22"/>
      <c r="R116" s="22"/>
      <c r="S116" s="22"/>
      <c r="T116" s="8"/>
      <c r="U116" s="8"/>
      <c r="V116" s="22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spans="1:7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22"/>
      <c r="P117" s="8"/>
      <c r="Q117" s="22"/>
      <c r="R117" s="22"/>
      <c r="S117" s="22"/>
      <c r="T117" s="8"/>
      <c r="U117" s="8"/>
      <c r="V117" s="22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 spans="1:7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22"/>
      <c r="P118" s="8"/>
      <c r="Q118" s="22"/>
      <c r="R118" s="22"/>
      <c r="S118" s="22"/>
      <c r="T118" s="8"/>
      <c r="U118" s="8"/>
      <c r="V118" s="22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 spans="1:7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22"/>
      <c r="P119" s="8"/>
      <c r="Q119" s="22"/>
      <c r="R119" s="22"/>
      <c r="S119" s="22"/>
      <c r="T119" s="8"/>
      <c r="U119" s="8"/>
      <c r="V119" s="22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 spans="1:7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22"/>
      <c r="P120" s="8"/>
      <c r="Q120" s="22"/>
      <c r="R120" s="22"/>
      <c r="S120" s="22"/>
      <c r="T120" s="8"/>
      <c r="U120" s="8"/>
      <c r="V120" s="22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spans="1:7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22"/>
      <c r="P121" s="8"/>
      <c r="Q121" s="22"/>
      <c r="R121" s="22"/>
      <c r="S121" s="22"/>
      <c r="T121" s="8"/>
      <c r="U121" s="8"/>
      <c r="V121" s="22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 spans="1:7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22"/>
      <c r="P122" s="8"/>
      <c r="Q122" s="22"/>
      <c r="R122" s="22"/>
      <c r="S122" s="22"/>
      <c r="T122" s="8"/>
      <c r="U122" s="8"/>
      <c r="V122" s="22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 spans="1:7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22"/>
      <c r="P123" s="8"/>
      <c r="Q123" s="22"/>
      <c r="R123" s="22"/>
      <c r="S123" s="22"/>
      <c r="T123" s="8"/>
      <c r="U123" s="8"/>
      <c r="V123" s="22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 spans="1:7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22"/>
      <c r="P124" s="8"/>
      <c r="Q124" s="22"/>
      <c r="R124" s="22"/>
      <c r="S124" s="22"/>
      <c r="T124" s="8"/>
      <c r="U124" s="8"/>
      <c r="V124" s="22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spans="1:7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22"/>
      <c r="P125" s="8"/>
      <c r="Q125" s="22"/>
      <c r="R125" s="22"/>
      <c r="S125" s="22"/>
      <c r="T125" s="8"/>
      <c r="U125" s="8"/>
      <c r="V125" s="22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 spans="1:7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22"/>
      <c r="P126" s="8"/>
      <c r="Q126" s="22"/>
      <c r="R126" s="22"/>
      <c r="S126" s="22"/>
      <c r="T126" s="8"/>
      <c r="U126" s="8"/>
      <c r="V126" s="22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spans="1:7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22"/>
      <c r="P127" s="8"/>
      <c r="Q127" s="22"/>
      <c r="R127" s="22"/>
      <c r="S127" s="22"/>
      <c r="T127" s="8"/>
      <c r="U127" s="8"/>
      <c r="V127" s="22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 spans="1:7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22"/>
      <c r="P128" s="8"/>
      <c r="Q128" s="22"/>
      <c r="R128" s="22"/>
      <c r="S128" s="22"/>
      <c r="T128" s="8"/>
      <c r="U128" s="8"/>
      <c r="V128" s="22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spans="1:7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22"/>
      <c r="P129" s="8"/>
      <c r="Q129" s="22"/>
      <c r="R129" s="22"/>
      <c r="S129" s="22"/>
      <c r="T129" s="8"/>
      <c r="U129" s="8"/>
      <c r="V129" s="22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 spans="1:7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22"/>
      <c r="P130" s="8"/>
      <c r="Q130" s="22"/>
      <c r="R130" s="22"/>
      <c r="S130" s="22"/>
      <c r="T130" s="8"/>
      <c r="U130" s="8"/>
      <c r="V130" s="22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spans="1:7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22"/>
      <c r="P131" s="8"/>
      <c r="Q131" s="22"/>
      <c r="R131" s="22"/>
      <c r="S131" s="22"/>
      <c r="T131" s="8"/>
      <c r="U131" s="8"/>
      <c r="V131" s="22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 spans="1:7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22"/>
      <c r="P132" s="8"/>
      <c r="Q132" s="22"/>
      <c r="R132" s="22"/>
      <c r="S132" s="22"/>
      <c r="T132" s="8"/>
      <c r="U132" s="8"/>
      <c r="V132" s="22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spans="1:7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22"/>
      <c r="P133" s="8"/>
      <c r="Q133" s="22"/>
      <c r="R133" s="22"/>
      <c r="S133" s="22"/>
      <c r="T133" s="8"/>
      <c r="U133" s="8"/>
      <c r="V133" s="22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 spans="1:7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22"/>
      <c r="P134" s="8"/>
      <c r="Q134" s="22"/>
      <c r="R134" s="22"/>
      <c r="S134" s="22"/>
      <c r="T134" s="8"/>
      <c r="U134" s="8"/>
      <c r="V134" s="22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spans="1:7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22"/>
      <c r="P135" s="8"/>
      <c r="Q135" s="22"/>
      <c r="R135" s="22"/>
      <c r="S135" s="22"/>
      <c r="T135" s="8"/>
      <c r="U135" s="8"/>
      <c r="V135" s="22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 spans="1:7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22"/>
      <c r="P136" s="8"/>
      <c r="Q136" s="22"/>
      <c r="R136" s="22"/>
      <c r="S136" s="22"/>
      <c r="T136" s="8"/>
      <c r="U136" s="8"/>
      <c r="V136" s="22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spans="1:7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22"/>
      <c r="P137" s="8"/>
      <c r="Q137" s="22"/>
      <c r="R137" s="22"/>
      <c r="S137" s="22"/>
      <c r="T137" s="8"/>
      <c r="U137" s="8"/>
      <c r="V137" s="22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 spans="1:7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22"/>
      <c r="P138" s="8"/>
      <c r="Q138" s="22"/>
      <c r="R138" s="22"/>
      <c r="S138" s="22"/>
      <c r="T138" s="8"/>
      <c r="U138" s="8"/>
      <c r="V138" s="22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 spans="1:7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22"/>
      <c r="P139" s="8"/>
      <c r="Q139" s="22"/>
      <c r="R139" s="22"/>
      <c r="S139" s="22"/>
      <c r="T139" s="8"/>
      <c r="U139" s="8"/>
      <c r="V139" s="22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 spans="1:7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22"/>
      <c r="P140" s="8"/>
      <c r="Q140" s="22"/>
      <c r="R140" s="22"/>
      <c r="S140" s="22"/>
      <c r="T140" s="8"/>
      <c r="U140" s="8"/>
      <c r="V140" s="22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spans="1:7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22"/>
      <c r="P141" s="8"/>
      <c r="Q141" s="22"/>
      <c r="R141" s="22"/>
      <c r="S141" s="22"/>
      <c r="T141" s="8"/>
      <c r="U141" s="8"/>
      <c r="V141" s="22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 spans="1:7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22"/>
      <c r="P142" s="8"/>
      <c r="Q142" s="22"/>
      <c r="R142" s="22"/>
      <c r="S142" s="22"/>
      <c r="T142" s="8"/>
      <c r="U142" s="8"/>
      <c r="V142" s="22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spans="1:7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22"/>
      <c r="P143" s="8"/>
      <c r="Q143" s="22"/>
      <c r="R143" s="22"/>
      <c r="S143" s="22"/>
      <c r="T143" s="8"/>
      <c r="U143" s="8"/>
      <c r="V143" s="22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 spans="1:7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22"/>
      <c r="P144" s="8"/>
      <c r="Q144" s="22"/>
      <c r="R144" s="22"/>
      <c r="S144" s="22"/>
      <c r="T144" s="8"/>
      <c r="U144" s="8"/>
      <c r="V144" s="22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spans="1:7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22"/>
      <c r="P145" s="8"/>
      <c r="Q145" s="22"/>
      <c r="R145" s="22"/>
      <c r="S145" s="22"/>
      <c r="T145" s="8"/>
      <c r="U145" s="8"/>
      <c r="V145" s="22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 spans="1:7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22"/>
      <c r="P146" s="8"/>
      <c r="Q146" s="22"/>
      <c r="R146" s="22"/>
      <c r="S146" s="22"/>
      <c r="T146" s="8"/>
      <c r="U146" s="8"/>
      <c r="V146" s="22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spans="1:7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22"/>
      <c r="P147" s="8"/>
      <c r="Q147" s="22"/>
      <c r="R147" s="22"/>
      <c r="S147" s="22"/>
      <c r="T147" s="8"/>
      <c r="U147" s="8"/>
      <c r="V147" s="22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 spans="1:7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22"/>
      <c r="P148" s="8"/>
      <c r="Q148" s="22"/>
      <c r="R148" s="22"/>
      <c r="S148" s="22"/>
      <c r="T148" s="8"/>
      <c r="U148" s="8"/>
      <c r="V148" s="22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spans="1:7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22"/>
      <c r="P149" s="8"/>
      <c r="Q149" s="22"/>
      <c r="R149" s="22"/>
      <c r="S149" s="22"/>
      <c r="T149" s="8"/>
      <c r="U149" s="8"/>
      <c r="V149" s="22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 spans="1:7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22"/>
      <c r="P150" s="8"/>
      <c r="Q150" s="22"/>
      <c r="R150" s="22"/>
      <c r="S150" s="22"/>
      <c r="T150" s="8"/>
      <c r="U150" s="8"/>
      <c r="V150" s="22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spans="1:7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22"/>
      <c r="P151" s="8"/>
      <c r="Q151" s="22"/>
      <c r="R151" s="22"/>
      <c r="S151" s="22"/>
      <c r="T151" s="8"/>
      <c r="U151" s="8"/>
      <c r="V151" s="22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 spans="1:7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22"/>
      <c r="P152" s="8"/>
      <c r="Q152" s="22"/>
      <c r="R152" s="22"/>
      <c r="S152" s="22"/>
      <c r="T152" s="8"/>
      <c r="U152" s="8"/>
      <c r="V152" s="22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spans="1:7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22"/>
      <c r="P153" s="8"/>
      <c r="Q153" s="22"/>
      <c r="R153" s="22"/>
      <c r="S153" s="22"/>
      <c r="T153" s="8"/>
      <c r="U153" s="8"/>
      <c r="V153" s="22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 spans="1:7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22"/>
      <c r="P154" s="8"/>
      <c r="Q154" s="22"/>
      <c r="R154" s="22"/>
      <c r="S154" s="22"/>
      <c r="T154" s="8"/>
      <c r="U154" s="8"/>
      <c r="V154" s="22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spans="1:7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22"/>
      <c r="P155" s="8"/>
      <c r="Q155" s="22"/>
      <c r="R155" s="22"/>
      <c r="S155" s="22"/>
      <c r="T155" s="8"/>
      <c r="U155" s="8"/>
      <c r="V155" s="22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 spans="1:7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22"/>
      <c r="P156" s="8"/>
      <c r="Q156" s="22"/>
      <c r="R156" s="22"/>
      <c r="S156" s="22"/>
      <c r="T156" s="8"/>
      <c r="U156" s="8"/>
      <c r="V156" s="22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 spans="1:7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22"/>
      <c r="P157" s="8"/>
      <c r="Q157" s="22"/>
      <c r="R157" s="22"/>
      <c r="S157" s="22"/>
      <c r="T157" s="8"/>
      <c r="U157" s="8"/>
      <c r="V157" s="22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 spans="1:7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22"/>
      <c r="P158" s="8"/>
      <c r="Q158" s="22"/>
      <c r="R158" s="22"/>
      <c r="S158" s="22"/>
      <c r="T158" s="8"/>
      <c r="U158" s="8"/>
      <c r="V158" s="22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 spans="1:7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22"/>
      <c r="P159" s="8"/>
      <c r="Q159" s="22"/>
      <c r="R159" s="22"/>
      <c r="S159" s="22"/>
      <c r="T159" s="8"/>
      <c r="U159" s="8"/>
      <c r="V159" s="22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 spans="1:7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22"/>
      <c r="P160" s="8"/>
      <c r="Q160" s="22"/>
      <c r="R160" s="22"/>
      <c r="S160" s="22"/>
      <c r="T160" s="8"/>
      <c r="U160" s="8"/>
      <c r="V160" s="22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 spans="1:7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22"/>
      <c r="P161" s="8"/>
      <c r="Q161" s="22"/>
      <c r="R161" s="22"/>
      <c r="S161" s="22"/>
      <c r="T161" s="8"/>
      <c r="U161" s="8"/>
      <c r="V161" s="22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 spans="1:7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22"/>
      <c r="P162" s="8"/>
      <c r="Q162" s="22"/>
      <c r="R162" s="22"/>
      <c r="S162" s="22"/>
      <c r="T162" s="8"/>
      <c r="U162" s="8"/>
      <c r="V162" s="22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 spans="1:7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22"/>
      <c r="P163" s="8"/>
      <c r="Q163" s="22"/>
      <c r="R163" s="22"/>
      <c r="S163" s="22"/>
      <c r="T163" s="8"/>
      <c r="U163" s="8"/>
      <c r="V163" s="2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 spans="1:7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22"/>
      <c r="P164" s="8"/>
      <c r="Q164" s="22"/>
      <c r="R164" s="22"/>
      <c r="S164" s="22"/>
      <c r="T164" s="8"/>
      <c r="U164" s="8"/>
      <c r="V164" s="22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 spans="1:7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22"/>
      <c r="P165" s="8"/>
      <c r="Q165" s="22"/>
      <c r="R165" s="22"/>
      <c r="S165" s="22"/>
      <c r="T165" s="8"/>
      <c r="U165" s="8"/>
      <c r="V165" s="22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 spans="1:7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22"/>
      <c r="P166" s="8"/>
      <c r="Q166" s="22"/>
      <c r="R166" s="22"/>
      <c r="S166" s="22"/>
      <c r="T166" s="8"/>
      <c r="U166" s="8"/>
      <c r="V166" s="22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 spans="1:7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22"/>
      <c r="P167" s="8"/>
      <c r="Q167" s="22"/>
      <c r="R167" s="22"/>
      <c r="S167" s="22"/>
      <c r="T167" s="8"/>
      <c r="U167" s="8"/>
      <c r="V167" s="22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 spans="1:7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22"/>
      <c r="P168" s="8"/>
      <c r="Q168" s="22"/>
      <c r="R168" s="22"/>
      <c r="S168" s="22"/>
      <c r="T168" s="8"/>
      <c r="U168" s="8"/>
      <c r="V168" s="22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</row>
    <row r="169" spans="1:7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22"/>
      <c r="P169" s="8"/>
      <c r="Q169" s="22"/>
      <c r="R169" s="22"/>
      <c r="S169" s="22"/>
      <c r="T169" s="8"/>
      <c r="U169" s="8"/>
      <c r="V169" s="22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 spans="1:7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22"/>
      <c r="P170" s="8"/>
      <c r="Q170" s="22"/>
      <c r="R170" s="22"/>
      <c r="S170" s="22"/>
      <c r="T170" s="8"/>
      <c r="U170" s="8"/>
      <c r="V170" s="22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 spans="1:7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22"/>
      <c r="P171" s="8"/>
      <c r="Q171" s="22"/>
      <c r="R171" s="22"/>
      <c r="S171" s="22"/>
      <c r="T171" s="8"/>
      <c r="U171" s="8"/>
      <c r="V171" s="22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 spans="1:7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22"/>
      <c r="P172" s="8"/>
      <c r="Q172" s="22"/>
      <c r="R172" s="22"/>
      <c r="S172" s="22"/>
      <c r="T172" s="8"/>
      <c r="U172" s="8"/>
      <c r="V172" s="22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 spans="1:7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22"/>
      <c r="P173" s="8"/>
      <c r="Q173" s="22"/>
      <c r="R173" s="22"/>
      <c r="S173" s="22"/>
      <c r="T173" s="8"/>
      <c r="U173" s="8"/>
      <c r="V173" s="22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 spans="1:7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22"/>
      <c r="P174" s="8"/>
      <c r="Q174" s="22"/>
      <c r="R174" s="22"/>
      <c r="S174" s="22"/>
      <c r="T174" s="8"/>
      <c r="U174" s="8"/>
      <c r="V174" s="22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 spans="1:7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22"/>
      <c r="P175" s="8"/>
      <c r="Q175" s="22"/>
      <c r="R175" s="22"/>
      <c r="S175" s="22"/>
      <c r="T175" s="8"/>
      <c r="U175" s="8"/>
      <c r="V175" s="22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 spans="1:7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22"/>
      <c r="P176" s="8"/>
      <c r="Q176" s="22"/>
      <c r="R176" s="22"/>
      <c r="S176" s="22"/>
      <c r="T176" s="8"/>
      <c r="U176" s="8"/>
      <c r="V176" s="22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 spans="1: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22"/>
      <c r="P177" s="8"/>
      <c r="Q177" s="22"/>
      <c r="R177" s="22"/>
      <c r="S177" s="22"/>
      <c r="T177" s="8"/>
      <c r="U177" s="8"/>
      <c r="V177" s="22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 spans="1:7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22"/>
      <c r="P178" s="8"/>
      <c r="Q178" s="22"/>
      <c r="R178" s="22"/>
      <c r="S178" s="22"/>
      <c r="T178" s="8"/>
      <c r="U178" s="8"/>
      <c r="V178" s="22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 spans="1:7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22"/>
      <c r="P179" s="8"/>
      <c r="Q179" s="22"/>
      <c r="R179" s="22"/>
      <c r="S179" s="22"/>
      <c r="T179" s="8"/>
      <c r="U179" s="8"/>
      <c r="V179" s="22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 spans="1:7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22"/>
      <c r="P180" s="8"/>
      <c r="Q180" s="22"/>
      <c r="R180" s="22"/>
      <c r="S180" s="22"/>
      <c r="T180" s="8"/>
      <c r="U180" s="8"/>
      <c r="V180" s="22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 spans="1:7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22"/>
      <c r="P181" s="8"/>
      <c r="Q181" s="22"/>
      <c r="R181" s="22"/>
      <c r="S181" s="22"/>
      <c r="T181" s="8"/>
      <c r="U181" s="8"/>
      <c r="V181" s="22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 spans="1:7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22"/>
      <c r="P182" s="8"/>
      <c r="Q182" s="22"/>
      <c r="R182" s="22"/>
      <c r="S182" s="22"/>
      <c r="T182" s="8"/>
      <c r="U182" s="8"/>
      <c r="V182" s="22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 spans="1:7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22"/>
      <c r="P183" s="8"/>
      <c r="Q183" s="22"/>
      <c r="R183" s="22"/>
      <c r="S183" s="22"/>
      <c r="T183" s="8"/>
      <c r="U183" s="8"/>
      <c r="V183" s="22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 spans="1:7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22"/>
      <c r="P184" s="8"/>
      <c r="Q184" s="22"/>
      <c r="R184" s="22"/>
      <c r="S184" s="22"/>
      <c r="T184" s="8"/>
      <c r="U184" s="8"/>
      <c r="V184" s="22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 spans="1:7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22"/>
      <c r="P185" s="8"/>
      <c r="Q185" s="22"/>
      <c r="R185" s="22"/>
      <c r="S185" s="22"/>
      <c r="T185" s="8"/>
      <c r="U185" s="8"/>
      <c r="V185" s="22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 spans="1:7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22"/>
      <c r="P186" s="8"/>
      <c r="Q186" s="22"/>
      <c r="R186" s="22"/>
      <c r="S186" s="22"/>
      <c r="T186" s="8"/>
      <c r="U186" s="8"/>
      <c r="V186" s="22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 spans="1:7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22"/>
      <c r="P187" s="8"/>
      <c r="Q187" s="22"/>
      <c r="R187" s="22"/>
      <c r="S187" s="22"/>
      <c r="T187" s="8"/>
      <c r="U187" s="8"/>
      <c r="V187" s="22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 spans="1:7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22"/>
      <c r="P188" s="8"/>
      <c r="Q188" s="22"/>
      <c r="R188" s="22"/>
      <c r="S188" s="22"/>
      <c r="T188" s="8"/>
      <c r="U188" s="8"/>
      <c r="V188" s="22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 spans="1:7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22"/>
      <c r="P189" s="8"/>
      <c r="Q189" s="22"/>
      <c r="R189" s="22"/>
      <c r="S189" s="22"/>
      <c r="T189" s="8"/>
      <c r="U189" s="8"/>
      <c r="V189" s="22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 spans="1:7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22"/>
      <c r="P190" s="8"/>
      <c r="Q190" s="22"/>
      <c r="R190" s="22"/>
      <c r="S190" s="22"/>
      <c r="T190" s="8"/>
      <c r="U190" s="8"/>
      <c r="V190" s="22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 spans="1:7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22"/>
      <c r="P191" s="8"/>
      <c r="Q191" s="22"/>
      <c r="R191" s="22"/>
      <c r="S191" s="22"/>
      <c r="T191" s="8"/>
      <c r="U191" s="8"/>
      <c r="V191" s="22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 spans="1:7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22"/>
      <c r="P192" s="8"/>
      <c r="Q192" s="22"/>
      <c r="R192" s="22"/>
      <c r="S192" s="22"/>
      <c r="T192" s="8"/>
      <c r="U192" s="8"/>
      <c r="V192" s="22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 spans="1:7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22"/>
      <c r="P193" s="8"/>
      <c r="Q193" s="22"/>
      <c r="R193" s="22"/>
      <c r="S193" s="22"/>
      <c r="T193" s="8"/>
      <c r="U193" s="8"/>
      <c r="V193" s="22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 spans="1:7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22"/>
      <c r="P194" s="8"/>
      <c r="Q194" s="22"/>
      <c r="R194" s="22"/>
      <c r="S194" s="22"/>
      <c r="T194" s="8"/>
      <c r="U194" s="8"/>
      <c r="V194" s="22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 spans="1:7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22"/>
      <c r="P195" s="8"/>
      <c r="Q195" s="22"/>
      <c r="R195" s="22"/>
      <c r="S195" s="22"/>
      <c r="T195" s="8"/>
      <c r="U195" s="8"/>
      <c r="V195" s="22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 spans="1:7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22"/>
      <c r="P196" s="8"/>
      <c r="Q196" s="22"/>
      <c r="R196" s="22"/>
      <c r="S196" s="22"/>
      <c r="T196" s="8"/>
      <c r="U196" s="8"/>
      <c r="V196" s="22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</row>
    <row r="197" spans="1:7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22"/>
      <c r="P197" s="8"/>
      <c r="Q197" s="22"/>
      <c r="R197" s="22"/>
      <c r="S197" s="22"/>
      <c r="T197" s="8"/>
      <c r="U197" s="8"/>
      <c r="V197" s="22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 spans="1:7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22"/>
      <c r="P198" s="8"/>
      <c r="Q198" s="22"/>
      <c r="R198" s="22"/>
      <c r="S198" s="22"/>
      <c r="T198" s="8"/>
      <c r="U198" s="8"/>
      <c r="V198" s="22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</row>
    <row r="199" spans="1:7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22"/>
      <c r="P199" s="8"/>
      <c r="Q199" s="22"/>
      <c r="R199" s="22"/>
      <c r="S199" s="22"/>
      <c r="T199" s="8"/>
      <c r="U199" s="8"/>
      <c r="V199" s="22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 spans="1:7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22"/>
      <c r="P200" s="8"/>
      <c r="Q200" s="22"/>
      <c r="R200" s="22"/>
      <c r="S200" s="22"/>
      <c r="T200" s="8"/>
      <c r="U200" s="8"/>
      <c r="V200" s="22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 spans="1:7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22"/>
      <c r="P201" s="8"/>
      <c r="Q201" s="22"/>
      <c r="R201" s="22"/>
      <c r="S201" s="22"/>
      <c r="T201" s="8"/>
      <c r="U201" s="8"/>
      <c r="V201" s="22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 spans="1:7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22"/>
      <c r="P202" s="8"/>
      <c r="Q202" s="22"/>
      <c r="R202" s="22"/>
      <c r="S202" s="22"/>
      <c r="T202" s="8"/>
      <c r="U202" s="8"/>
      <c r="V202" s="22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 spans="1:7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22"/>
      <c r="P203" s="8"/>
      <c r="Q203" s="22"/>
      <c r="R203" s="22"/>
      <c r="S203" s="22"/>
      <c r="T203" s="8"/>
      <c r="U203" s="8"/>
      <c r="V203" s="22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 spans="1:7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22"/>
      <c r="P204" s="8"/>
      <c r="Q204" s="22"/>
      <c r="R204" s="22"/>
      <c r="S204" s="22"/>
      <c r="T204" s="8"/>
      <c r="U204" s="8"/>
      <c r="V204" s="22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 spans="1:7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22"/>
      <c r="P205" s="8"/>
      <c r="Q205" s="22"/>
      <c r="R205" s="22"/>
      <c r="S205" s="22"/>
      <c r="T205" s="8"/>
      <c r="U205" s="8"/>
      <c r="V205" s="22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 spans="1:7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22"/>
      <c r="P206" s="8"/>
      <c r="Q206" s="22"/>
      <c r="R206" s="22"/>
      <c r="S206" s="22"/>
      <c r="T206" s="8"/>
      <c r="U206" s="8"/>
      <c r="V206" s="22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</sheetData>
  <hyperlinks>
    <hyperlink ref="BU1" r:id="rId3" display="关键词库搭建"/>
    <hyperlink ref="O2" r:id="rId4" display="德国 电动XX仪关键词收集数据-德国标题2关键词库搭建"/>
    <hyperlink ref="Q2" r:id="rId5" display="德国电动XX仪- 项目跟进表-阳亚运-20250325"/>
    <hyperlink ref="R2" r:id="rId6" display="市调"/>
    <hyperlink ref="S2" r:id="rId7" display="电动XX仪德国ASIN 定投广告"/>
    <hyperlink ref="V2" r:id="rId8" display="电动XX仪VC 选品利润测算表_EU V1.0欧洲五国"/>
    <hyperlink ref="BU2" r:id="rId9" display="3.1关键词库高效搭建策略方法.pdf "/>
    <hyperlink ref="BX2" r:id="rId10" display="项目跟进表模板"/>
    <hyperlink ref="BY2" r:id="rId11" display="Listing后台全属性填写标准"/>
    <hyperlink ref="O3" r:id="rId12" display="英国 电动XX仪关键词收集数据-德国标题2关键词库搭建"/>
    <hyperlink ref="Q3" r:id="rId13" display="英国电动XX仪- 项目跟进表-阳亚运-20250325"/>
    <hyperlink ref="V3" r:id="rId8" display="电动XX仪VC 选品利润测算表_EU V1.0欧洲五国"/>
    <hyperlink ref="BU3" r:id="rId9" display="3.1关键词库高效搭建策略方法.pdf "/>
    <hyperlink ref="BW3" r:id="rId10" display="项目跟进表--20241016"/>
    <hyperlink ref="V4" r:id="rId8" display="电动XX仪VC 选品利润测算表_EU V1.0欧洲五国"/>
    <hyperlink ref="O5" r:id="rId4" display="德国 电动XX仪关键词收集数据-德国标题2关键词库搭建"/>
    <hyperlink ref="Q5" r:id="rId5" display="德国电动XX仪- 项目跟进表-阳亚运-20250325"/>
    <hyperlink ref="R5" r:id="rId6" display="市调"/>
    <hyperlink ref="S5" r:id="rId7" display="电动XX仪德国ASIN 定投广告"/>
    <hyperlink ref="V5" r:id="rId8" display="电动XX仪VC 选品利润测算表_EU V1.0欧洲五国"/>
    <hyperlink ref="O6" r:id="rId12" display="英国 电动XX仪关键词收集数据-德国标题2关键词库搭建"/>
    <hyperlink ref="Q6" r:id="rId13" display="英国电动XX仪- 项目跟进表-阳亚运-20250325"/>
    <hyperlink ref="V6" r:id="rId8" display="电动XX仪VC 选品利润测算表_EU V1.0欧洲五国"/>
    <hyperlink ref="M8" r:id="rId14" display="德国XX仪竞品分析"/>
    <hyperlink ref="O8" r:id="rId15" display="德国XX仪标题和关键词库搭建"/>
    <hyperlink ref="Q8" r:id="rId16" display="德国XX仪 - 项目跟进表-阳亚运-20250325"/>
    <hyperlink ref="R8" r:id="rId17" display="XX仪市调"/>
    <hyperlink ref="S8" r:id="rId18" display="德国XX仪的推广计划——德国XX仪 欧洲"/>
    <hyperlink ref="U8" r:id="rId19" display="德国XX仪 -盈利模型分析"/>
    <hyperlink ref="V8" r:id="rId20" display="欧洲XX仪 VC 选品利润测算表_EU V1.0欧洲五国"/>
    <hyperlink ref="M9" r:id="rId14" display="德国XX仪竞品分析"/>
    <hyperlink ref="O9" r:id="rId21" display="英国XX仪标题 关键词库搭建"/>
    <hyperlink ref="Q9" r:id="rId22" display="英国XX仪 - 项目跟进表-阳亚运-20250325"/>
    <hyperlink ref="R9" r:id="rId23" display="市调"/>
    <hyperlink ref="U9" r:id="rId19" display="德国XX仪 -盈利模型分析"/>
    <hyperlink ref="V9" r:id="rId20" display="欧洲五国VC选品利润测算表EU V10"/>
    <hyperlink ref="V11" r:id="rId8" display="电动XX仪VC 选品利润测算表_EU V1.0欧洲五国"/>
    <hyperlink ref="V12" r:id="rId8" display="电动XX仪VC 选品利润测算表_EU V1.0欧洲五国"/>
    <hyperlink ref="V13" r:id="rId8" display="电动XX仪VC 选品利润测算表_EU V1.0欧洲五国"/>
    <hyperlink ref="V14" r:id="rId8" display="电动XX仪VC 选品利润测算表_EU V1.0欧洲五国"/>
    <hyperlink ref="V15" r:id="rId8" display="电动XX仪VC 选品利润测算表_EU V1.0欧洲五国"/>
    <hyperlink ref="V16" r:id="rId8" display="电动XX仪VC 选品利润测算表_EU V1.0欧洲五国"/>
    <hyperlink ref="M17" r:id="rId14" display="德国XX仪竞品分析"/>
    <hyperlink ref="V17" r:id="rId20" display="欧洲XX仪 VC 选品利润测算表_EU V1.0欧洲五国"/>
    <hyperlink ref="V18" r:id="rId20" display="欧洲XX仪 VC 选品利润测算表_EU V1.0欧洲五国"/>
    <hyperlink ref="M19" r:id="rId14" display="德国XX仪竞品分析"/>
    <hyperlink ref="V19" r:id="rId20" display="欧洲XX仪 VC 选品利润测算表_EU V1.0欧洲五国"/>
    <hyperlink ref="M21" r:id="rId24" display="德国超声波清洗机竞争程度分析"/>
    <hyperlink ref="O21" r:id="rId25" display="德国牙套超声波清洗机标题和关键词库搭建"/>
    <hyperlink ref="R21" r:id="rId26" display="超声波清洗机市调"/>
    <hyperlink ref="M22" r:id="rId24" display="德国超声波清洗机竞争程度分析"/>
    <hyperlink ref="O22" r:id="rId25" display="德国牙套超声波清洗机标题和关键词库搭建"/>
    <hyperlink ref="M23" r:id="rId27" display="杆式吸尘器竞品分析-84ASIN"/>
    <hyperlink ref="O23" r:id="rId25" display="德国牙套超声波清洗机标题和关键词库搭建"/>
    <hyperlink ref="R23" r:id="rId28" display="杆式吸尘器市调"/>
    <hyperlink ref="M24" r:id="rId27" display="杆式吸尘器竞品分析-84ASIN"/>
    <hyperlink ref="M26" r:id="rId29" display="空气净化器 竞品分析"/>
    <hyperlink ref="O26" r:id="rId30" display="德国空气净化器标题和关键词库搭建"/>
    <hyperlink ref="Q26" r:id="rId31" display="德国空气净化器 - 项目跟进表-阳亚运-20250611"/>
    <hyperlink ref="R26" r:id="rId32" display="空气净化器市调"/>
    <hyperlink ref="M27" r:id="rId29" display="空气净化器 竞品分析"/>
    <hyperlink ref="Q27" r:id="rId33" display="英国空气净化器 - 项目跟进表-阳亚运-20250611"/>
    <hyperlink ref="R27" r:id="rId32" display="空气净化器市调"/>
    <hyperlink ref="M28" r:id="rId29" display="空气净化器 竞品分析"/>
    <hyperlink ref="O28" r:id="rId30" display="德国空气净化器标题和关键词库搭建"/>
    <hyperlink ref="Q28" r:id="rId31" display="德国空气净化器 - 项目跟进表-阳亚运-20250611"/>
    <hyperlink ref="R28" r:id="rId32" display="空气净化器市调"/>
    <hyperlink ref="M29" r:id="rId29" display="空气净化器 竞品分析"/>
    <hyperlink ref="Q29" r:id="rId33" display="英国空气净化器 - 项目跟进表-阳亚运-20250611"/>
    <hyperlink ref="R29" r:id="rId32" display="空气净化器市调"/>
    <hyperlink ref="M36" r:id="rId34" display="市调"/>
    <hyperlink ref="R36" r:id="rId34" display="市调"/>
    <hyperlink ref="M37" r:id="rId34" display="市调"/>
    <hyperlink ref="R37" r:id="rId34" display="市调"/>
    <hyperlink ref="M43" r:id="rId35" display="智能电子口喷美国"/>
    <hyperlink ref="Q43" r:id="rId36" display="US 口喷市调 SIF所有数据oral spray"/>
    <hyperlink ref="R43" r:id="rId37" display="US口喷市调 Tik Tok所有数据ALL"/>
    <hyperlink ref="M44" r:id="rId38" display="DE 口腔喷雾剂Mundsprays(卖家精灵)"/>
    <hyperlink ref="M45" r:id="rId39" display="UK(口腔喷雾剂)Sprays"/>
    <hyperlink ref="BW4" r:id="rId10" display="项目跟进表--20241016"/>
    <hyperlink ref="BW5" r:id="rId10" display="项目跟进表--20241016"/>
    <hyperlink ref="BW6" r:id="rId10" display="项目跟进表--20241016"/>
    <hyperlink ref="BW7" r:id="rId10" display="项目跟进表--20241016"/>
    <hyperlink ref="BW8" r:id="rId10" display="项目跟进表--20241016"/>
    <hyperlink ref="BW9" r:id="rId10" display="项目跟进表--20241016"/>
    <hyperlink ref="BW10" r:id="rId10" display="项目跟进表--20241016"/>
    <hyperlink ref="BW11" r:id="rId10" display="项目跟进表--20241016"/>
    <hyperlink ref="BW12" r:id="rId10" display="项目跟进表--20241016"/>
    <hyperlink ref="BW13" r:id="rId10" display="项目跟进表--20241016"/>
    <hyperlink ref="BW14" r:id="rId10" display="项目跟进表--20241016"/>
    <hyperlink ref="BW15" r:id="rId10" display="项目跟进表--20241016"/>
    <hyperlink ref="BW16" r:id="rId10" display="项目跟进表--20241016"/>
    <hyperlink ref="BW17" r:id="rId10" display="项目跟进表--20241016"/>
    <hyperlink ref="BW18" r:id="rId10" display="项目跟进表--20241016"/>
    <hyperlink ref="BW19" r:id="rId10" display="项目跟进表--20241016"/>
    <hyperlink ref="BW20" r:id="rId10" display="项目跟进表--20241016"/>
    <hyperlink ref="BW21" r:id="rId10" display="项目跟进表--20241016"/>
    <hyperlink ref="BW22" r:id="rId10" display="项目跟进表--20241016"/>
    <hyperlink ref="BW23" r:id="rId10" display="项目跟进表--20241016"/>
    <hyperlink ref="BW24" r:id="rId10" display="项目跟进表--20241016"/>
    <hyperlink ref="BW25" r:id="rId10" display="项目跟进表--20241016"/>
    <hyperlink ref="BW26" r:id="rId10" display="项目跟进表--20241016"/>
    <hyperlink ref="BW27" r:id="rId10" display="项目跟进表--20241016"/>
    <hyperlink ref="BW28" r:id="rId10" display="项目跟进表--20241016"/>
    <hyperlink ref="BW29" r:id="rId10" display="项目跟进表--20241016"/>
    <hyperlink ref="BX3" r:id="rId10" display="项目跟进表模板"/>
    <hyperlink ref="BX4" r:id="rId10" display="项目跟进表模板"/>
    <hyperlink ref="BX5" r:id="rId10" display="项目跟进表模板"/>
    <hyperlink ref="BX6" r:id="rId10" display="项目跟进表模板"/>
    <hyperlink ref="BX7" r:id="rId10" display="项目跟进表模板"/>
    <hyperlink ref="BX8" r:id="rId10" display="项目跟进表模板"/>
    <hyperlink ref="BX9" r:id="rId10" display="项目跟进表模板"/>
    <hyperlink ref="BX10" r:id="rId10" display="项目跟进表模板"/>
    <hyperlink ref="BX11" r:id="rId10" display="项目跟进表模板"/>
    <hyperlink ref="BX12" r:id="rId10" display="项目跟进表模板"/>
    <hyperlink ref="BX13" r:id="rId10" display="项目跟进表模板"/>
    <hyperlink ref="BX14" r:id="rId10" display="项目跟进表模板"/>
    <hyperlink ref="BX15" r:id="rId10" display="项目跟进表模板"/>
    <hyperlink ref="BX16" r:id="rId10" display="项目跟进表模板"/>
    <hyperlink ref="BX17" r:id="rId10" display="项目跟进表模板"/>
    <hyperlink ref="BX18" r:id="rId10" display="项目跟进表模板"/>
    <hyperlink ref="BX19" r:id="rId10" display="项目跟进表模板"/>
    <hyperlink ref="BX20" r:id="rId10" display="项目跟进表模板"/>
    <hyperlink ref="BX21" r:id="rId10" display="项目跟进表模板"/>
    <hyperlink ref="BX22" r:id="rId10" display="项目跟进表模板"/>
    <hyperlink ref="BX23" r:id="rId10" display="项目跟进表模板"/>
    <hyperlink ref="BX24" r:id="rId10" display="项目跟进表模板"/>
    <hyperlink ref="BX25" r:id="rId10" display="项目跟进表模板"/>
    <hyperlink ref="BX26" r:id="rId10" display="项目跟进表模板"/>
    <hyperlink ref="BX27" r:id="rId10" display="项目跟进表模板"/>
    <hyperlink ref="BX28" r:id="rId10" display="项目跟进表模板"/>
    <hyperlink ref="BX29" r:id="rId10" display="项目跟进表模板"/>
    <hyperlink ref="BY3" r:id="rId11" display="Listing后台全属性填写标准"/>
    <hyperlink ref="BY4" r:id="rId11" display="Listing后台全属性填写标准"/>
    <hyperlink ref="BY5" r:id="rId11" display="Listing后台全属性填写标准"/>
    <hyperlink ref="BY6" r:id="rId11" display="Listing后台全属性填写标准"/>
    <hyperlink ref="BY7" r:id="rId11" display="Listing后台全属性填写标准"/>
    <hyperlink ref="BY8" r:id="rId11" display="Listing后台全属性填写标准"/>
    <hyperlink ref="BY9" r:id="rId11" display="Listing后台全属性填写标准"/>
    <hyperlink ref="BY10" r:id="rId11" display="Listing后台全属性填写标准"/>
    <hyperlink ref="BY11" r:id="rId11" display="Listing后台全属性填写标准"/>
    <hyperlink ref="BY12" r:id="rId11" display="Listing后台全属性填写标准"/>
    <hyperlink ref="BY13" r:id="rId11" display="Listing后台全属性填写标准"/>
    <hyperlink ref="BY14" r:id="rId11" display="Listing后台全属性填写标准"/>
    <hyperlink ref="BY15" r:id="rId11" display="Listing后台全属性填写标准"/>
    <hyperlink ref="BY16" r:id="rId11" display="Listing后台全属性填写标准"/>
    <hyperlink ref="BY17" r:id="rId11" display="Listing后台全属性填写标准"/>
    <hyperlink ref="BY18" r:id="rId11" display="Listing后台全属性填写标准"/>
    <hyperlink ref="BY19" r:id="rId11" display="Listing后台全属性填写标准"/>
    <hyperlink ref="BY20" r:id="rId11" display="Listing后台全属性填写标准"/>
    <hyperlink ref="BY21" r:id="rId11" display="Listing后台全属性填写标准"/>
    <hyperlink ref="BY22" r:id="rId11" display="Listing后台全属性填写标准"/>
    <hyperlink ref="BY23" r:id="rId11" display="Listing后台全属性填写标准"/>
    <hyperlink ref="BY24" r:id="rId11" display="Listing后台全属性填写标准"/>
    <hyperlink ref="BY25" r:id="rId11" display="Listing后台全属性填写标准"/>
    <hyperlink ref="BY26" r:id="rId11" display="Listing后台全属性填写标准"/>
    <hyperlink ref="BY27" r:id="rId11" display="Listing后台全属性填写标准"/>
    <hyperlink ref="BY28" r:id="rId11" display="Listing后台全属性填写标准"/>
    <hyperlink ref="BY29" r:id="rId11" display="Listing后台全属性填写标准"/>
    <hyperlink ref="BU4" r:id="rId9" display="3.1关键词库高效搭建策略方法.pdf "/>
    <hyperlink ref="BU5" r:id="rId9" display="3.1关键词库高效搭建策略方法.pdf "/>
    <hyperlink ref="BU6" r:id="rId9" display="3.1关键词库高效搭建策略方法.pdf "/>
    <hyperlink ref="BU7" r:id="rId9" display="3.1关键词库高效搭建策略方法.pdf "/>
    <hyperlink ref="BU8" r:id="rId9" display="3.1关键词库高效搭建策略方法.pdf "/>
    <hyperlink ref="BU9" r:id="rId9" display="3.1关键词库高效搭建策略方法.pdf "/>
    <hyperlink ref="BU10" r:id="rId9" display="3.1关键词库高效搭建策略方法.pdf "/>
    <hyperlink ref="BU11" r:id="rId9" display="3.1关键词库高效搭建策略方法.pdf "/>
    <hyperlink ref="BU12" r:id="rId9" display="3.1关键词库高效搭建策略方法.pdf "/>
    <hyperlink ref="BU13" r:id="rId9" display="3.1关键词库高效搭建策略方法.pdf "/>
    <hyperlink ref="BU14" r:id="rId9" display="3.1关键词库高效搭建策略方法.pdf "/>
    <hyperlink ref="BU15" r:id="rId9" display="3.1关键词库高效搭建策略方法.pdf "/>
    <hyperlink ref="BU16" r:id="rId9" display="3.1关键词库高效搭建策略方法.pdf "/>
    <hyperlink ref="BU17" r:id="rId9" display="3.1关键词库高效搭建策略方法.pdf "/>
    <hyperlink ref="BU18" r:id="rId9" display="3.1关键词库高效搭建策略方法.pdf "/>
    <hyperlink ref="BU19" r:id="rId9" display="3.1关键词库高效搭建策略方法.pdf "/>
    <hyperlink ref="BU20" r:id="rId9" display="3.1关键词库高效搭建策略方法.pdf "/>
    <hyperlink ref="BU21" r:id="rId9" display="3.1关键词库高效搭建策略方法.pdf "/>
    <hyperlink ref="BU22" r:id="rId9" display="3.1关键词库高效搭建策略方法.pdf "/>
    <hyperlink ref="BU23" r:id="rId9" display="3.1关键词库高效搭建策略方法.pdf "/>
    <hyperlink ref="BU24" r:id="rId9" display="3.1关键词库高效搭建策略方法.pdf "/>
    <hyperlink ref="BU25" r:id="rId9" display="3.1关键词库高效搭建策略方法.pdf "/>
    <hyperlink ref="BU26" r:id="rId9" display="3.1关键词库高效搭建策略方法.pdf "/>
    <hyperlink ref="BU27" r:id="rId9" display="3.1关键词库高效搭建策略方法.pdf "/>
    <hyperlink ref="BU28" r:id="rId9" display="3.1关键词库高效搭建策略方法.pdf "/>
    <hyperlink ref="BU29" r:id="rId9" display="3.1关键词库高效搭建策略方法.pdf "/>
    <hyperlink ref="V20" r:id="rId20" display="欧洲XX仪 VC 选品利润测算表_EU V1.0欧洲五国"/>
    <hyperlink ref="V21" r:id="rId20" display="欧洲XX仪 VC 选品利润测算表_EU V1.0欧洲五国"/>
    <hyperlink ref="V22" r:id="rId20" display="欧洲XX仪 VC 选品利润测算表_EU V1.0欧洲五国"/>
    <hyperlink ref="V23" r:id="rId20" display="欧洲XX仪 VC 选品利润测算表_EU V1.0欧洲五国"/>
    <hyperlink ref="V24" r:id="rId20" display="欧洲XX仪 VC 选品利润测算表_EU V1.0欧洲五国"/>
    <hyperlink ref="V25" r:id="rId20" display="欧洲XX仪 VC 选品利润测算表_EU V1.0欧洲五国"/>
    <hyperlink ref="V26" r:id="rId20" display="欧洲XX仪 VC 选品利润测算表_EU V1.0欧洲五国"/>
    <hyperlink ref="V27" r:id="rId20" display="欧洲XX仪 VC 选品利润测算表_EU V1.0欧洲五国"/>
    <hyperlink ref="V28" r:id="rId20" display="欧洲XX仪 VC 选品利润测算表_EU V1.0欧洲五国"/>
    <hyperlink ref="V29" r:id="rId20" display="欧洲XX仪 VC 选品利润测算表_EU V1.0欧洲五国"/>
    <hyperlink ref="V30" r:id="rId20" display="欧洲XX仪 VC 选品利润测算表_EU V1.0欧洲五国"/>
    <hyperlink ref="V31" r:id="rId20" display="欧洲XX仪 VC 选品利润测算表_EU V1.0欧洲五国"/>
    <hyperlink ref="V32" r:id="rId20" display="欧洲XX仪 VC 选品利润测算表_EU V1.0欧洲五国"/>
    <hyperlink ref="V33" r:id="rId20" display="欧洲XX仪 VC 选品利润测算表_EU V1.0欧洲五国"/>
    <hyperlink ref="U10" r:id="rId19" display="德国XX仪 -盈利模型分析"/>
    <hyperlink ref="U11" r:id="rId19" display="德国XX仪 -盈利模型分析"/>
    <hyperlink ref="U12" r:id="rId19" display="德国XX仪 -盈利模型分析"/>
    <hyperlink ref="U13" r:id="rId19" display="德国XX仪 -盈利模型分析"/>
    <hyperlink ref="U14" r:id="rId19" display="德国XX仪 -盈利模型分析"/>
    <hyperlink ref="U15" r:id="rId19" display="德国XX仪 -盈利模型分析"/>
    <hyperlink ref="U16" r:id="rId19" display="德国XX仪 -盈利模型分析"/>
    <hyperlink ref="U17" r:id="rId19" display="德国XX仪 -盈利模型分析"/>
    <hyperlink ref="U18" r:id="rId19" display="德国XX仪 -盈利模型分析"/>
    <hyperlink ref="U19" r:id="rId19" display="德国XX仪 -盈利模型分析"/>
    <hyperlink ref="U20" r:id="rId19" display="德国XX仪 -盈利模型分析"/>
    <hyperlink ref="U21" r:id="rId19" display="德国XX仪 -盈利模型分析"/>
    <hyperlink ref="U22" r:id="rId19" display="德国XX仪 -盈利模型分析"/>
    <hyperlink ref="U23" r:id="rId19" display="德国XX仪 -盈利模型分析"/>
    <hyperlink ref="U24" r:id="rId19" display="德国XX仪 -盈利模型分析"/>
    <hyperlink ref="U25" r:id="rId19" display="德国XX仪 -盈利模型分析"/>
    <hyperlink ref="U26" r:id="rId19" display="德国XX仪 -盈利模型分析"/>
    <hyperlink ref="U27" r:id="rId19" display="德国XX仪 -盈利模型分析"/>
    <hyperlink ref="U28" r:id="rId19" display="德国XX仪 -盈利模型分析"/>
    <hyperlink ref="U29" r:id="rId19" display="德国XX仪 -盈利模型分析"/>
    <hyperlink ref="U30" r:id="rId19" display="德国XX仪 -盈利模型分析"/>
    <hyperlink ref="U31" r:id="rId19" display="德国XX仪 -盈利模型分析"/>
    <hyperlink ref="U32" r:id="rId19" display="德国XX仪 -盈利模型分析"/>
    <hyperlink ref="U33" r:id="rId19" display="德国XX仪 -盈利模型分析"/>
    <hyperlink ref="S9" r:id="rId18" display="德国XX仪的推广计划——德国XX仪 欧洲"/>
    <hyperlink ref="S10" r:id="rId18" display="德国XX仪的推广计划——德国XX仪 欧洲"/>
    <hyperlink ref="S11" r:id="rId18" display="德国XX仪的推广计划——德国XX仪 欧洲"/>
    <hyperlink ref="S12" r:id="rId18" display="德国XX仪的推广计划——德国XX仪 欧洲"/>
    <hyperlink ref="S13" r:id="rId18" display="德国XX仪的推广计划——德国XX仪 欧洲"/>
    <hyperlink ref="S14" r:id="rId18" display="德国XX仪的推广计划——德国XX仪 欧洲"/>
    <hyperlink ref="S15" r:id="rId18" display="德国XX仪的推广计划——德国XX仪 欧洲"/>
    <hyperlink ref="S16" r:id="rId18" display="德国XX仪的推广计划——德国XX仪 欧洲"/>
    <hyperlink ref="S17" r:id="rId18" display="德国XX仪的推广计划——德国XX仪 欧洲"/>
    <hyperlink ref="S18" r:id="rId18" display="德国XX仪的推广计划——德国XX仪 欧洲"/>
    <hyperlink ref="S19" r:id="rId18" display="德国XX仪的推广计划——德国XX仪 欧洲"/>
    <hyperlink ref="S20" r:id="rId18" display="德国XX仪的推广计划——德国XX仪 欧洲"/>
    <hyperlink ref="S21" r:id="rId18" display="德国XX仪的推广计划——德国XX仪 欧洲"/>
    <hyperlink ref="S22" r:id="rId18" display="德国XX仪的推广计划——德国XX仪 欧洲"/>
    <hyperlink ref="S23" r:id="rId18" display="德国XX仪的推广计划——德国XX仪 欧洲"/>
    <hyperlink ref="S24" r:id="rId18" display="德国XX仪的推广计划——德国XX仪 欧洲"/>
    <hyperlink ref="S25" r:id="rId18" display="德国XX仪的推广计划——德国XX仪 欧洲"/>
    <hyperlink ref="S26" r:id="rId18" display="德国XX仪的推广计划——德国XX仪 欧洲"/>
    <hyperlink ref="S27" r:id="rId18" display="德国XX仪的推广计划——德国XX仪 欧洲"/>
    <hyperlink ref="S28" r:id="rId18" display="德国XX仪的推广计划——德国XX仪 欧洲"/>
    <hyperlink ref="S29" r:id="rId18" display="德国XX仪的推广计划——德国XX仪 欧洲"/>
    <hyperlink ref="S30" r:id="rId18" display="德国XX仪的推广计划——德国XX仪 欧洲"/>
    <hyperlink ref="S31" r:id="rId18" display="德国XX仪的推广计划——德国XX仪 欧洲"/>
    <hyperlink ref="S32" r:id="rId18" display="德国XX仪的推广计划——德国XX仪 欧洲"/>
    <hyperlink ref="S33" r:id="rId18" display="德国XX仪的推广计划——德国XX仪 欧洲"/>
    <hyperlink ref="O29" r:id="rId30" display="德国空气净化器标题和关键词库搭建"/>
    <hyperlink ref="O30" r:id="rId30" display="德国空气净化器标题和关键词库搭建"/>
    <hyperlink ref="O31" r:id="rId30" display="德国空气净化器标题和关键词库搭建"/>
    <hyperlink ref="O32" r:id="rId30" display="德国空气净化器标题和关键词库搭建"/>
    <hyperlink ref="O33" r:id="rId30" display="德国空气净化器标题和关键词库搭建"/>
    <hyperlink ref="O34" r:id="rId30" display="德国空气净化器标题和关键词库搭建"/>
    <hyperlink ref="O35" r:id="rId30" display="德国空气净化器标题和关键词库搭建"/>
    <hyperlink ref="O36" r:id="rId30" display="德国空气净化器标题和关键词库搭建"/>
    <hyperlink ref="O37" r:id="rId30" display="德国空气净化器标题和关键词库搭建"/>
    <hyperlink ref="O38" r:id="rId30" display="德国空气净化器标题和关键词库搭建"/>
    <hyperlink ref="O39" r:id="rId30" display="德国空气净化器标题和关键词库搭建"/>
    <hyperlink ref="O40" r:id="rId30" display="德国空气净化器标题和关键词库搭建"/>
    <hyperlink ref="O41" r:id="rId30" display="德国空气净化器标题和关键词库搭建"/>
    <hyperlink ref="O42" r:id="rId30" display="德国空气净化器标题和关键词库搭建"/>
    <hyperlink ref="O43" r:id="rId30" display="德国空气净化器标题和关键词库搭建"/>
    <hyperlink ref="O44" r:id="rId30" display="德国空气净化器标题和关键词库搭建"/>
    <hyperlink ref="O45" r:id="rId30" display="德国空气净化器标题和关键词库搭建"/>
    <hyperlink ref="Q30" r:id="rId33" display="英国空气净化器 - 项目跟进表-阳亚运-20250611"/>
    <hyperlink ref="Q31" r:id="rId33" display="英国空气净化器 - 项目跟进表-阳亚运-20250611"/>
    <hyperlink ref="Q32" r:id="rId33" display="英国空气净化器 - 项目跟进表-阳亚运-20250611"/>
    <hyperlink ref="Q33" r:id="rId33" display="英国空气净化器 - 项目跟进表-阳亚运-20250611"/>
    <hyperlink ref="Q34" r:id="rId33" display="英国空气净化器 - 项目跟进表-阳亚运-20250611"/>
    <hyperlink ref="Q35" r:id="rId33" display="英国空气净化器 - 项目跟进表-阳亚运-20250611"/>
    <hyperlink ref="Q36" r:id="rId33" display="英国空气净化器 - 项目跟进表-阳亚运-20250611"/>
    <hyperlink ref="Q37" r:id="rId33" display="英国空气净化器 - 项目跟进表-阳亚运-20250611"/>
    <hyperlink ref="Q38" r:id="rId33" display="英国空气净化器 - 项目跟进表-阳亚运-20250611"/>
    <hyperlink ref="Q39" r:id="rId33" display="英国空气净化器 - 项目跟进表-阳亚运-20250611"/>
    <hyperlink ref="Q40" r:id="rId33" display="英国空气净化器 - 项目跟进表-阳亚运-20250611"/>
    <hyperlink ref="Q41" r:id="rId33" display="英国空气净化器 - 项目跟进表-阳亚运-20250611"/>
    <hyperlink ref="Q42" r:id="rId33" display="英国空气净化器 - 项目跟进表-阳亚运-20250611"/>
    <hyperlink ref="O24" r:id="rId25" display="德国牙套超声波清洗机标题和关键词库搭建"/>
    <hyperlink ref="O25" r:id="rId25" display="德国牙套超声波清洗机标题和关键词库搭建"/>
  </hyperlink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E17" sqref="E17"/>
    </sheetView>
  </sheetViews>
  <sheetFormatPr defaultColWidth="17" defaultRowHeight="11.4"/>
  <cols>
    <col min="1" max="1" width="27.9375" customWidth="1"/>
    <col min="2" max="2" width="7.33333333333333" customWidth="1"/>
    <col min="3" max="3" width="16.59375" customWidth="1"/>
    <col min="4" max="4" width="12.9166666666667" customWidth="1"/>
    <col min="5" max="5" width="16.59375" customWidth="1"/>
    <col min="6" max="6" width="33" customWidth="1"/>
    <col min="7" max="19" width="16.59375" customWidth="1"/>
  </cols>
  <sheetData>
    <row r="1" spans="1:11">
      <c r="A1" s="7" t="s">
        <v>484</v>
      </c>
      <c r="B1" s="8" t="s">
        <v>75</v>
      </c>
      <c r="C1" s="8" t="s">
        <v>485</v>
      </c>
      <c r="D1" s="8" t="s">
        <v>486</v>
      </c>
      <c r="E1" s="8" t="s">
        <v>94</v>
      </c>
      <c r="F1" s="8" t="s">
        <v>487</v>
      </c>
      <c r="G1" s="8" t="s">
        <v>487</v>
      </c>
      <c r="H1" s="8" t="s">
        <v>488</v>
      </c>
      <c r="I1" s="12" t="s">
        <v>489</v>
      </c>
      <c r="J1" s="13" t="s">
        <v>490</v>
      </c>
      <c r="K1" s="12" t="s">
        <v>487</v>
      </c>
    </row>
    <row r="2" spans="1:17">
      <c r="A2" s="8"/>
      <c r="B2" s="9" t="s">
        <v>188</v>
      </c>
      <c r="C2" s="8" t="s">
        <v>491</v>
      </c>
      <c r="D2" s="10">
        <v>96</v>
      </c>
      <c r="E2" s="8">
        <v>408</v>
      </c>
      <c r="F2" s="8">
        <f>13.8+2.7+2.5</f>
        <v>19</v>
      </c>
      <c r="G2" s="8">
        <v>13.8</v>
      </c>
      <c r="H2" s="8">
        <v>100</v>
      </c>
      <c r="I2" s="12">
        <v>0</v>
      </c>
      <c r="J2" s="13">
        <f>F2*E2+H2</f>
        <v>7852</v>
      </c>
      <c r="K2" s="12">
        <f t="shared" ref="K2:K9" si="0">J2/D2</f>
        <v>81.7916666666667</v>
      </c>
      <c r="L2" s="13">
        <f>(J2+J3+J4)/400</f>
        <v>56.5185</v>
      </c>
      <c r="N2" s="9"/>
      <c r="O2" s="9"/>
      <c r="P2" s="8"/>
      <c r="Q2" s="8"/>
    </row>
    <row r="3" spans="1:17">
      <c r="A3" s="8"/>
      <c r="B3" s="9" t="s">
        <v>188</v>
      </c>
      <c r="C3" s="8" t="s">
        <v>492</v>
      </c>
      <c r="D3" s="10">
        <v>132</v>
      </c>
      <c r="E3" s="8">
        <v>561</v>
      </c>
      <c r="F3" s="8">
        <f>9.8+2.7+2.5</f>
        <v>15</v>
      </c>
      <c r="G3" s="8">
        <v>9.8</v>
      </c>
      <c r="H3" s="8">
        <v>100</v>
      </c>
      <c r="I3" s="12">
        <v>0</v>
      </c>
      <c r="J3" s="13">
        <f>F3*E3+H3</f>
        <v>8515</v>
      </c>
      <c r="K3" s="12">
        <f t="shared" si="0"/>
        <v>64.5075757575758</v>
      </c>
      <c r="L3" s="13"/>
      <c r="N3" s="7"/>
      <c r="O3" s="7"/>
      <c r="P3" s="14"/>
      <c r="Q3" s="7"/>
    </row>
    <row r="4" spans="1:17">
      <c r="A4" s="8"/>
      <c r="B4" s="9" t="s">
        <v>188</v>
      </c>
      <c r="C4" s="9" t="s">
        <v>492</v>
      </c>
      <c r="D4" s="10">
        <v>172</v>
      </c>
      <c r="E4" s="8">
        <v>731</v>
      </c>
      <c r="F4" s="8">
        <f>8.9+2.7+2.5-5.7</f>
        <v>8.4</v>
      </c>
      <c r="G4" s="8">
        <v>8.9</v>
      </c>
      <c r="H4" s="8">
        <v>100</v>
      </c>
      <c r="I4" s="12">
        <v>0</v>
      </c>
      <c r="J4" s="13">
        <f>F4*E4+H4</f>
        <v>6240.4</v>
      </c>
      <c r="K4" s="12">
        <f t="shared" si="0"/>
        <v>36.2813953488372</v>
      </c>
      <c r="L4" s="13" t="s">
        <v>493</v>
      </c>
      <c r="N4" s="7"/>
      <c r="O4" s="14"/>
      <c r="P4" s="14"/>
      <c r="Q4" s="7"/>
    </row>
    <row r="5" spans="1:17">
      <c r="A5" s="8"/>
      <c r="B5" s="9" t="s">
        <v>188</v>
      </c>
      <c r="C5" s="9" t="s">
        <v>492</v>
      </c>
      <c r="D5" s="10">
        <v>600</v>
      </c>
      <c r="E5" s="8">
        <v>2550</v>
      </c>
      <c r="F5" s="8">
        <f>7.5+2.7+2.5</f>
        <v>12.7</v>
      </c>
      <c r="G5" s="8">
        <v>7.5</v>
      </c>
      <c r="H5" s="8">
        <v>100</v>
      </c>
      <c r="I5" s="12">
        <v>0</v>
      </c>
      <c r="J5" s="13">
        <f>F5*E5+H5</f>
        <v>32485</v>
      </c>
      <c r="K5" s="12">
        <f t="shared" si="0"/>
        <v>54.1416666666667</v>
      </c>
      <c r="L5" s="13">
        <f>J5/D5</f>
        <v>54.1416666666667</v>
      </c>
      <c r="N5" s="7"/>
      <c r="O5" s="14"/>
      <c r="P5" s="14"/>
      <c r="Q5" s="7"/>
    </row>
    <row r="6" spans="1:12">
      <c r="A6" s="8"/>
      <c r="B6" s="9" t="s">
        <v>494</v>
      </c>
      <c r="C6" s="8" t="s">
        <v>16</v>
      </c>
      <c r="D6" s="10">
        <v>360</v>
      </c>
      <c r="E6" s="8">
        <v>1531</v>
      </c>
      <c r="F6" s="8">
        <v>8.5</v>
      </c>
      <c r="G6" s="8">
        <v>8.5</v>
      </c>
      <c r="H6" s="8">
        <f>350+400</f>
        <v>750</v>
      </c>
      <c r="I6" s="12">
        <f>79*0.3*0.027*7.8</f>
        <v>4.99122</v>
      </c>
      <c r="J6" s="13">
        <f>F6*E6+H6+I6*D6</f>
        <v>15560.3392</v>
      </c>
      <c r="K6" s="12">
        <f t="shared" si="0"/>
        <v>43.2231644444444</v>
      </c>
      <c r="L6" s="13">
        <f>(J6+J7)/1500</f>
        <v>25.9853628571429</v>
      </c>
    </row>
    <row r="7" spans="1:12">
      <c r="A7" s="8"/>
      <c r="B7" s="9" t="s">
        <v>494</v>
      </c>
      <c r="C7" s="8" t="s">
        <v>495</v>
      </c>
      <c r="D7" s="10">
        <v>1140</v>
      </c>
      <c r="E7" s="8">
        <v>27.9</v>
      </c>
      <c r="F7" s="11">
        <f>43600/70</f>
        <v>622.857142857143</v>
      </c>
      <c r="G7" s="8">
        <v>70</v>
      </c>
      <c r="H7" s="8">
        <v>350</v>
      </c>
      <c r="I7" s="12">
        <f>79*0.3*0.027*7.8</f>
        <v>4.99122</v>
      </c>
      <c r="J7" s="13">
        <f>F7*E7+H7+I7*D7</f>
        <v>23417.7050857143</v>
      </c>
      <c r="K7" s="12">
        <f t="shared" si="0"/>
        <v>20.541846566416</v>
      </c>
      <c r="L7" s="13"/>
    </row>
    <row r="8" spans="1:12">
      <c r="A8" s="8"/>
      <c r="B8" s="9" t="s">
        <v>127</v>
      </c>
      <c r="C8" s="9" t="s">
        <v>16</v>
      </c>
      <c r="D8" s="10">
        <v>160</v>
      </c>
      <c r="E8" s="8">
        <v>681</v>
      </c>
      <c r="F8" s="8">
        <v>10.5</v>
      </c>
      <c r="G8" s="8">
        <v>10.5</v>
      </c>
      <c r="H8" s="9">
        <f>350+400</f>
        <v>750</v>
      </c>
      <c r="I8" s="12">
        <f>79*0.3*0.027*9</f>
        <v>5.7591</v>
      </c>
      <c r="J8" s="13">
        <f>F8*E8+H8+I8*D8</f>
        <v>8821.956</v>
      </c>
      <c r="K8" s="12">
        <f t="shared" si="0"/>
        <v>55.137225</v>
      </c>
      <c r="L8" s="13">
        <f>(J8+J9)/500</f>
        <v>32.94618</v>
      </c>
    </row>
    <row r="9" spans="1:12">
      <c r="A9" s="8"/>
      <c r="B9" s="9" t="s">
        <v>127</v>
      </c>
      <c r="C9" s="8" t="s">
        <v>17</v>
      </c>
      <c r="D9" s="10">
        <v>340</v>
      </c>
      <c r="E9" s="8">
        <v>8.672</v>
      </c>
      <c r="F9" s="8">
        <v>570</v>
      </c>
      <c r="G9" s="8">
        <v>570</v>
      </c>
      <c r="H9" s="9">
        <f>350+400</f>
        <v>750</v>
      </c>
      <c r="I9" s="12">
        <f>79*0.3*0.027*9</f>
        <v>5.7591</v>
      </c>
      <c r="J9" s="13">
        <f>F9*E9+H9+I9*D9</f>
        <v>7651.134</v>
      </c>
      <c r="K9" s="12">
        <f t="shared" si="0"/>
        <v>22.5033352941176</v>
      </c>
      <c r="L9" s="13"/>
    </row>
    <row r="10" spans="2:11">
      <c r="B10" s="8"/>
      <c r="C10" s="8"/>
      <c r="D10" s="8"/>
      <c r="E10" s="8"/>
      <c r="F10" s="8"/>
      <c r="G10" s="7"/>
      <c r="I10" s="15"/>
      <c r="J10" s="16"/>
      <c r="K10" s="12"/>
    </row>
    <row r="11" spans="2:11">
      <c r="B11" s="8"/>
      <c r="C11" s="8"/>
      <c r="D11" s="8"/>
      <c r="E11" s="8"/>
      <c r="F11" s="8"/>
      <c r="G11" s="7"/>
      <c r="I11" s="15"/>
      <c r="J11" s="16"/>
      <c r="K11" s="12"/>
    </row>
    <row r="12" spans="2:14">
      <c r="B12" s="8"/>
      <c r="C12" s="8"/>
      <c r="D12" s="8"/>
      <c r="E12" s="8"/>
      <c r="F12" s="8"/>
      <c r="G12" s="7"/>
      <c r="I12" s="15"/>
      <c r="J12" s="16"/>
      <c r="K12" s="12"/>
      <c r="N12" s="7"/>
    </row>
    <row r="13" spans="2:11">
      <c r="B13" s="8"/>
      <c r="C13" s="8"/>
      <c r="D13" s="8"/>
      <c r="E13" s="8"/>
      <c r="F13" s="8"/>
      <c r="G13" s="7"/>
      <c r="I13" s="15"/>
      <c r="J13" s="16"/>
      <c r="K13" s="12"/>
    </row>
    <row r="14" spans="2:11">
      <c r="B14" s="8"/>
      <c r="C14" s="8"/>
      <c r="D14" s="8"/>
      <c r="E14" s="8"/>
      <c r="F14" s="8"/>
      <c r="G14" s="7"/>
      <c r="I14" s="15"/>
      <c r="J14" s="16"/>
      <c r="K14" s="12"/>
    </row>
    <row r="15" spans="2:11">
      <c r="B15" s="8"/>
      <c r="C15" s="8"/>
      <c r="D15" s="8"/>
      <c r="E15" s="8"/>
      <c r="F15" s="8"/>
      <c r="G15" s="7"/>
      <c r="I15" s="15"/>
      <c r="J15" s="16"/>
      <c r="K15" s="12"/>
    </row>
    <row r="16" spans="2:11">
      <c r="B16" s="8"/>
      <c r="C16" s="8"/>
      <c r="D16" s="8"/>
      <c r="E16" s="8"/>
      <c r="F16" s="8"/>
      <c r="G16" s="7"/>
      <c r="I16" s="15"/>
      <c r="J16" s="16"/>
      <c r="K16" s="12"/>
    </row>
    <row r="17" spans="2:11">
      <c r="B17" s="8"/>
      <c r="C17" s="8"/>
      <c r="D17" s="8"/>
      <c r="E17" s="8"/>
      <c r="F17" s="8"/>
      <c r="G17" s="7"/>
      <c r="I17" s="15"/>
      <c r="J17" s="16"/>
      <c r="K17" s="12"/>
    </row>
    <row r="18" spans="2:11">
      <c r="B18" s="8"/>
      <c r="C18" s="8"/>
      <c r="D18" s="8"/>
      <c r="E18" s="8"/>
      <c r="F18" s="8"/>
      <c r="G18" s="7"/>
      <c r="I18" s="15"/>
      <c r="J18" s="16"/>
      <c r="K18" s="12"/>
    </row>
    <row r="19" spans="2:11">
      <c r="B19" s="8"/>
      <c r="C19" s="8"/>
      <c r="D19" s="8"/>
      <c r="E19" s="8"/>
      <c r="F19" s="8"/>
      <c r="G19" s="7"/>
      <c r="I19" s="15"/>
      <c r="J19" s="16"/>
      <c r="K19" s="12"/>
    </row>
    <row r="20" spans="2:11">
      <c r="B20" s="8"/>
      <c r="C20" s="8"/>
      <c r="D20" s="8"/>
      <c r="E20" s="8"/>
      <c r="F20" s="8"/>
      <c r="G20" s="7"/>
      <c r="I20" s="15"/>
      <c r="J20" s="16"/>
      <c r="K20" s="12"/>
    </row>
    <row r="21" spans="2:11">
      <c r="B21" s="8"/>
      <c r="C21" s="8"/>
      <c r="D21" s="8"/>
      <c r="E21" s="8"/>
      <c r="F21" s="8"/>
      <c r="G21" s="7"/>
      <c r="I21" s="15"/>
      <c r="J21" s="16"/>
      <c r="K21" s="12"/>
    </row>
    <row r="22" spans="2:11">
      <c r="B22" s="8"/>
      <c r="C22" s="8"/>
      <c r="D22" s="8"/>
      <c r="E22" s="8"/>
      <c r="F22" s="8"/>
      <c r="G22" s="7"/>
      <c r="I22" s="15"/>
      <c r="J22" s="16"/>
      <c r="K22" s="12"/>
    </row>
    <row r="23" spans="2:11">
      <c r="B23" s="8"/>
      <c r="C23" s="8"/>
      <c r="D23" s="8"/>
      <c r="E23" s="8"/>
      <c r="F23" s="8"/>
      <c r="G23" s="7"/>
      <c r="I23" s="15"/>
      <c r="J23" s="16"/>
      <c r="K23" s="12"/>
    </row>
    <row r="24" spans="2:11">
      <c r="B24" s="8"/>
      <c r="C24" s="8"/>
      <c r="D24" s="8"/>
      <c r="E24" s="8"/>
      <c r="F24" s="8"/>
      <c r="G24" s="7"/>
      <c r="I24" s="15"/>
      <c r="J24" s="16"/>
      <c r="K24" s="12"/>
    </row>
    <row r="25" spans="2:11">
      <c r="B25" s="8"/>
      <c r="C25" s="8"/>
      <c r="D25" s="8"/>
      <c r="E25" s="8"/>
      <c r="F25" s="8"/>
      <c r="G25" s="7"/>
      <c r="I25" s="15"/>
      <c r="J25" s="16"/>
      <c r="K25" s="12"/>
    </row>
    <row r="26" spans="2:11">
      <c r="B26" s="8"/>
      <c r="C26" s="8"/>
      <c r="D26" s="8"/>
      <c r="E26" s="8"/>
      <c r="F26" s="8"/>
      <c r="G26" s="7"/>
      <c r="I26" s="15"/>
      <c r="J26" s="16"/>
      <c r="K26" s="12"/>
    </row>
    <row r="27" spans="2:11">
      <c r="B27" s="8"/>
      <c r="C27" s="8"/>
      <c r="D27" s="8"/>
      <c r="E27" s="8"/>
      <c r="F27" s="8"/>
      <c r="G27" s="7"/>
      <c r="I27" s="15"/>
      <c r="J27" s="16"/>
      <c r="K27" s="12"/>
    </row>
    <row r="28" spans="2:11">
      <c r="B28" s="8"/>
      <c r="C28" s="8"/>
      <c r="D28" s="8"/>
      <c r="E28" s="8"/>
      <c r="F28" s="8"/>
      <c r="G28" s="7"/>
      <c r="I28" s="15"/>
      <c r="J28" s="16"/>
      <c r="K28" s="12"/>
    </row>
    <row r="29" spans="2:11">
      <c r="B29" s="8"/>
      <c r="C29" s="8"/>
      <c r="D29" s="8"/>
      <c r="E29" s="8"/>
      <c r="F29" s="8"/>
      <c r="G29" s="7"/>
      <c r="I29" s="15"/>
      <c r="J29" s="16"/>
      <c r="K29" s="12"/>
    </row>
    <row r="30" spans="2:11">
      <c r="B30" s="8"/>
      <c r="C30" s="8"/>
      <c r="D30" s="8"/>
      <c r="E30" s="8"/>
      <c r="F30" s="8"/>
      <c r="G30" s="7"/>
      <c r="I30" s="15"/>
      <c r="J30" s="16"/>
      <c r="K30" s="12"/>
    </row>
    <row r="31" spans="2:11">
      <c r="B31" s="8"/>
      <c r="C31" s="8"/>
      <c r="D31" s="8"/>
      <c r="E31" s="8"/>
      <c r="F31" s="8"/>
      <c r="G31" s="7"/>
      <c r="I31" s="15"/>
      <c r="J31" s="16"/>
      <c r="K31" s="12"/>
    </row>
    <row r="32" spans="2:11">
      <c r="B32" s="8"/>
      <c r="C32" s="8"/>
      <c r="D32" s="8"/>
      <c r="E32" s="8"/>
      <c r="F32" s="8"/>
      <c r="G32" s="7"/>
      <c r="I32" s="15"/>
      <c r="J32" s="16"/>
      <c r="K32" s="12"/>
    </row>
    <row r="33" spans="2:11">
      <c r="B33" s="8"/>
      <c r="C33" s="8"/>
      <c r="D33" s="8"/>
      <c r="E33" s="8"/>
      <c r="F33" s="8"/>
      <c r="G33" s="7"/>
      <c r="I33" s="15"/>
      <c r="J33" s="16"/>
      <c r="K33" s="12"/>
    </row>
    <row r="34" spans="2:11">
      <c r="B34" s="8"/>
      <c r="C34" s="8"/>
      <c r="D34" s="8"/>
      <c r="E34" s="8"/>
      <c r="F34" s="8"/>
      <c r="G34" s="7"/>
      <c r="I34" s="15"/>
      <c r="J34" s="16"/>
      <c r="K34" s="12"/>
    </row>
    <row r="35" spans="2:11">
      <c r="B35" s="8"/>
      <c r="C35" s="8"/>
      <c r="D35" s="8"/>
      <c r="E35" s="8"/>
      <c r="F35" s="8"/>
      <c r="G35" s="7"/>
      <c r="I35" s="15"/>
      <c r="J35" s="16"/>
      <c r="K35" s="12"/>
    </row>
    <row r="36" spans="2:11">
      <c r="B36" s="8"/>
      <c r="C36" s="8"/>
      <c r="D36" s="8"/>
      <c r="E36" s="8"/>
      <c r="F36" s="8"/>
      <c r="G36" s="7"/>
      <c r="I36" s="15"/>
      <c r="J36" s="16"/>
      <c r="K36" s="12"/>
    </row>
    <row r="37" spans="2:11">
      <c r="B37" s="8"/>
      <c r="C37" s="8"/>
      <c r="D37" s="8"/>
      <c r="E37" s="8"/>
      <c r="F37" s="8"/>
      <c r="G37" s="7"/>
      <c r="I37" s="15"/>
      <c r="J37" s="16"/>
      <c r="K37" s="12"/>
    </row>
    <row r="38" spans="2:11">
      <c r="B38" s="8"/>
      <c r="C38" s="8"/>
      <c r="D38" s="8"/>
      <c r="E38" s="8"/>
      <c r="F38" s="8"/>
      <c r="G38" s="7"/>
      <c r="I38" s="15"/>
      <c r="J38" s="16"/>
      <c r="K38" s="12"/>
    </row>
    <row r="39" spans="2:11">
      <c r="B39" s="8"/>
      <c r="C39" s="8"/>
      <c r="D39" s="8"/>
      <c r="E39" s="8"/>
      <c r="F39" s="8"/>
      <c r="G39" s="7"/>
      <c r="I39" s="15"/>
      <c r="J39" s="16"/>
      <c r="K39" s="12"/>
    </row>
    <row r="40" spans="2:11">
      <c r="B40" s="8"/>
      <c r="C40" s="8"/>
      <c r="D40" s="8"/>
      <c r="E40" s="8"/>
      <c r="F40" s="8"/>
      <c r="G40" s="7"/>
      <c r="I40" s="15"/>
      <c r="J40" s="16"/>
      <c r="K40" s="12"/>
    </row>
    <row r="41" spans="2:11">
      <c r="B41" s="8"/>
      <c r="C41" s="8"/>
      <c r="D41" s="8"/>
      <c r="E41" s="8"/>
      <c r="F41" s="8"/>
      <c r="G41" s="7"/>
      <c r="I41" s="15"/>
      <c r="J41" s="16"/>
      <c r="K41" s="12"/>
    </row>
    <row r="42" spans="2:11">
      <c r="B42" s="8"/>
      <c r="C42" s="8"/>
      <c r="D42" s="8"/>
      <c r="E42" s="8"/>
      <c r="F42" s="8"/>
      <c r="G42" s="7"/>
      <c r="I42" s="15"/>
      <c r="J42" s="16"/>
      <c r="K42" s="12"/>
    </row>
    <row r="43" spans="2:11">
      <c r="B43" s="8"/>
      <c r="C43" s="8"/>
      <c r="D43" s="8"/>
      <c r="E43" s="8"/>
      <c r="F43" s="8"/>
      <c r="G43" s="7"/>
      <c r="I43" s="15"/>
      <c r="J43" s="16"/>
      <c r="K43" s="12"/>
    </row>
    <row r="44" spans="2:11">
      <c r="B44" s="8"/>
      <c r="C44" s="8"/>
      <c r="D44" s="8"/>
      <c r="E44" s="8"/>
      <c r="F44" s="8"/>
      <c r="G44" s="7"/>
      <c r="I44" s="15"/>
      <c r="J44" s="16"/>
      <c r="K44" s="12"/>
    </row>
    <row r="45" spans="2:11">
      <c r="B45" s="8"/>
      <c r="C45" s="8"/>
      <c r="D45" s="8"/>
      <c r="E45" s="8"/>
      <c r="F45" s="8"/>
      <c r="G45" s="7"/>
      <c r="I45" s="15"/>
      <c r="J45" s="16"/>
      <c r="K45" s="12"/>
    </row>
    <row r="46" spans="2:11">
      <c r="B46" s="8"/>
      <c r="C46" s="8"/>
      <c r="D46" s="8"/>
      <c r="E46" s="8"/>
      <c r="F46" s="8"/>
      <c r="G46" s="7"/>
      <c r="I46" s="15"/>
      <c r="J46" s="16"/>
      <c r="K46" s="12"/>
    </row>
    <row r="47" spans="2:11">
      <c r="B47" s="8"/>
      <c r="C47" s="8"/>
      <c r="D47" s="8"/>
      <c r="E47" s="8"/>
      <c r="F47" s="8"/>
      <c r="G47" s="7"/>
      <c r="I47" s="15"/>
      <c r="J47" s="16"/>
      <c r="K47" s="12"/>
    </row>
    <row r="48" spans="2:11">
      <c r="B48" s="8"/>
      <c r="C48" s="8"/>
      <c r="D48" s="8"/>
      <c r="E48" s="8"/>
      <c r="F48" s="8"/>
      <c r="G48" s="7"/>
      <c r="I48" s="15"/>
      <c r="J48" s="16"/>
      <c r="K48" s="12"/>
    </row>
    <row r="49" spans="2:11">
      <c r="B49" s="8"/>
      <c r="C49" s="8"/>
      <c r="D49" s="8"/>
      <c r="E49" s="8"/>
      <c r="F49" s="8"/>
      <c r="G49" s="7"/>
      <c r="I49" s="15"/>
      <c r="J49" s="16"/>
      <c r="K49" s="12"/>
    </row>
    <row r="50" spans="2:11">
      <c r="B50" s="8"/>
      <c r="C50" s="8"/>
      <c r="D50" s="8"/>
      <c r="E50" s="8"/>
      <c r="F50" s="8"/>
      <c r="G50" s="7"/>
      <c r="I50" s="15"/>
      <c r="J50" s="16"/>
      <c r="K50" s="12"/>
    </row>
    <row r="51" spans="2:11">
      <c r="B51" s="8"/>
      <c r="C51" s="8"/>
      <c r="D51" s="8"/>
      <c r="E51" s="8"/>
      <c r="F51" s="8"/>
      <c r="G51" s="7"/>
      <c r="I51" s="15"/>
      <c r="J51" s="16"/>
      <c r="K51" s="12"/>
    </row>
    <row r="52" spans="2:11">
      <c r="B52" s="8"/>
      <c r="C52" s="8"/>
      <c r="D52" s="8"/>
      <c r="E52" s="8"/>
      <c r="F52" s="8"/>
      <c r="G52" s="7"/>
      <c r="I52" s="15"/>
      <c r="J52" s="16"/>
      <c r="K52" s="12"/>
    </row>
    <row r="53" spans="2:11">
      <c r="B53" s="8"/>
      <c r="C53" s="8"/>
      <c r="D53" s="8"/>
      <c r="E53" s="8"/>
      <c r="F53" s="8"/>
      <c r="G53" s="7"/>
      <c r="I53" s="15"/>
      <c r="J53" s="16"/>
      <c r="K53" s="12"/>
    </row>
    <row r="54" spans="2:11">
      <c r="B54" s="8"/>
      <c r="C54" s="8"/>
      <c r="D54" s="8"/>
      <c r="E54" s="8"/>
      <c r="F54" s="8"/>
      <c r="G54" s="7"/>
      <c r="I54" s="15"/>
      <c r="J54" s="16"/>
      <c r="K54" s="12"/>
    </row>
    <row r="55" spans="2:11">
      <c r="B55" s="8"/>
      <c r="C55" s="8"/>
      <c r="D55" s="8"/>
      <c r="E55" s="8"/>
      <c r="F55" s="8"/>
      <c r="G55" s="7"/>
      <c r="I55" s="15"/>
      <c r="J55" s="16"/>
      <c r="K55" s="12"/>
    </row>
    <row r="56" spans="2:11">
      <c r="B56" s="8"/>
      <c r="C56" s="8"/>
      <c r="D56" s="8"/>
      <c r="E56" s="8"/>
      <c r="F56" s="8"/>
      <c r="G56" s="7"/>
      <c r="I56" s="15"/>
      <c r="J56" s="16"/>
      <c r="K56" s="12"/>
    </row>
    <row r="57" spans="2:11">
      <c r="B57" s="8"/>
      <c r="C57" s="8"/>
      <c r="D57" s="8"/>
      <c r="E57" s="8"/>
      <c r="F57" s="8"/>
      <c r="G57" s="7"/>
      <c r="I57" s="15"/>
      <c r="J57" s="16"/>
      <c r="K57" s="12"/>
    </row>
    <row r="58" spans="2:11">
      <c r="B58" s="8"/>
      <c r="C58" s="8"/>
      <c r="D58" s="8"/>
      <c r="E58" s="8"/>
      <c r="F58" s="8"/>
      <c r="G58" s="7"/>
      <c r="I58" s="15"/>
      <c r="J58" s="16"/>
      <c r="K58" s="12"/>
    </row>
    <row r="59" spans="2:11">
      <c r="B59" s="8"/>
      <c r="C59" s="8"/>
      <c r="D59" s="8"/>
      <c r="E59" s="8"/>
      <c r="F59" s="8"/>
      <c r="G59" s="7"/>
      <c r="I59" s="15"/>
      <c r="J59" s="16"/>
      <c r="K59" s="12"/>
    </row>
    <row r="60" spans="2:11">
      <c r="B60" s="8"/>
      <c r="C60" s="8"/>
      <c r="D60" s="8"/>
      <c r="E60" s="8"/>
      <c r="F60" s="8"/>
      <c r="G60" s="7"/>
      <c r="I60" s="15"/>
      <c r="J60" s="16"/>
      <c r="K60" s="12"/>
    </row>
    <row r="61" spans="2:11">
      <c r="B61" s="8"/>
      <c r="C61" s="8"/>
      <c r="D61" s="8"/>
      <c r="E61" s="8"/>
      <c r="F61" s="8"/>
      <c r="G61" s="7"/>
      <c r="I61" s="15"/>
      <c r="J61" s="16"/>
      <c r="K61" s="12"/>
    </row>
    <row r="62" spans="2:11">
      <c r="B62" s="8"/>
      <c r="C62" s="8"/>
      <c r="D62" s="8"/>
      <c r="E62" s="8"/>
      <c r="F62" s="8"/>
      <c r="G62" s="7"/>
      <c r="I62" s="15"/>
      <c r="J62" s="16"/>
      <c r="K62" s="12"/>
    </row>
    <row r="63" spans="2:11">
      <c r="B63" s="8"/>
      <c r="C63" s="8"/>
      <c r="D63" s="8"/>
      <c r="E63" s="8"/>
      <c r="F63" s="8"/>
      <c r="G63" s="7"/>
      <c r="I63" s="15"/>
      <c r="J63" s="16"/>
      <c r="K63" s="12"/>
    </row>
    <row r="64" spans="2:11">
      <c r="B64" s="8"/>
      <c r="C64" s="8"/>
      <c r="D64" s="8"/>
      <c r="E64" s="8"/>
      <c r="F64" s="8"/>
      <c r="G64" s="7"/>
      <c r="I64" s="15"/>
      <c r="J64" s="16"/>
      <c r="K64" s="12"/>
    </row>
    <row r="65" spans="2:11">
      <c r="B65" s="8"/>
      <c r="C65" s="8"/>
      <c r="D65" s="8"/>
      <c r="E65" s="8"/>
      <c r="F65" s="8"/>
      <c r="G65" s="7"/>
      <c r="I65" s="15"/>
      <c r="J65" s="16"/>
      <c r="K65" s="12"/>
    </row>
    <row r="66" spans="2:11">
      <c r="B66" s="8"/>
      <c r="C66" s="8"/>
      <c r="D66" s="8"/>
      <c r="E66" s="8"/>
      <c r="F66" s="8"/>
      <c r="G66" s="7"/>
      <c r="I66" s="15"/>
      <c r="J66" s="16"/>
      <c r="K66" s="12"/>
    </row>
    <row r="67" spans="2:11">
      <c r="B67" s="8"/>
      <c r="C67" s="8"/>
      <c r="D67" s="8"/>
      <c r="E67" s="8"/>
      <c r="F67" s="8"/>
      <c r="G67" s="7"/>
      <c r="I67" s="15"/>
      <c r="J67" s="16"/>
      <c r="K67" s="12"/>
    </row>
    <row r="68" spans="2:11">
      <c r="B68" s="8"/>
      <c r="C68" s="8"/>
      <c r="D68" s="8"/>
      <c r="E68" s="8"/>
      <c r="F68" s="8"/>
      <c r="G68" s="7"/>
      <c r="I68" s="15"/>
      <c r="J68" s="16"/>
      <c r="K68" s="12"/>
    </row>
    <row r="69" spans="2:11">
      <c r="B69" s="8"/>
      <c r="C69" s="8"/>
      <c r="D69" s="8"/>
      <c r="E69" s="8"/>
      <c r="F69" s="8"/>
      <c r="G69" s="7"/>
      <c r="I69" s="15"/>
      <c r="J69" s="16"/>
      <c r="K69" s="12"/>
    </row>
    <row r="70" spans="2:11">
      <c r="B70" s="8"/>
      <c r="C70" s="8"/>
      <c r="D70" s="8"/>
      <c r="E70" s="8"/>
      <c r="F70" s="8"/>
      <c r="G70" s="7"/>
      <c r="I70" s="15"/>
      <c r="J70" s="16"/>
      <c r="K70" s="12"/>
    </row>
    <row r="71" spans="2:11">
      <c r="B71" s="8"/>
      <c r="C71" s="8"/>
      <c r="D71" s="8"/>
      <c r="E71" s="8"/>
      <c r="F71" s="8"/>
      <c r="G71" s="7"/>
      <c r="I71" s="15"/>
      <c r="J71" s="16"/>
      <c r="K71" s="12"/>
    </row>
    <row r="72" spans="2:11">
      <c r="B72" s="8"/>
      <c r="C72" s="8"/>
      <c r="D72" s="8"/>
      <c r="E72" s="8"/>
      <c r="F72" s="8"/>
      <c r="G72" s="7"/>
      <c r="I72" s="15"/>
      <c r="J72" s="16"/>
      <c r="K72" s="12"/>
    </row>
    <row r="73" spans="2:11">
      <c r="B73" s="8"/>
      <c r="C73" s="8"/>
      <c r="D73" s="8"/>
      <c r="E73" s="8"/>
      <c r="F73" s="8"/>
      <c r="G73" s="7"/>
      <c r="I73" s="15"/>
      <c r="J73" s="16"/>
      <c r="K73" s="12"/>
    </row>
    <row r="74" spans="2:11">
      <c r="B74" s="8"/>
      <c r="C74" s="8"/>
      <c r="D74" s="8"/>
      <c r="E74" s="8"/>
      <c r="F74" s="8"/>
      <c r="G74" s="7"/>
      <c r="I74" s="15"/>
      <c r="J74" s="16"/>
      <c r="K74" s="12"/>
    </row>
    <row r="75" spans="2:11">
      <c r="B75" s="8"/>
      <c r="C75" s="8"/>
      <c r="D75" s="8"/>
      <c r="E75" s="8"/>
      <c r="F75" s="8"/>
      <c r="G75" s="7"/>
      <c r="I75" s="15"/>
      <c r="J75" s="16"/>
      <c r="K75" s="12"/>
    </row>
    <row r="76" spans="2:11">
      <c r="B76" s="8"/>
      <c r="C76" s="8"/>
      <c r="D76" s="8"/>
      <c r="E76" s="8"/>
      <c r="F76" s="8"/>
      <c r="G76" s="7"/>
      <c r="I76" s="15"/>
      <c r="J76" s="16"/>
      <c r="K76" s="12"/>
    </row>
    <row r="77" spans="2:11">
      <c r="B77" s="8"/>
      <c r="C77" s="8"/>
      <c r="D77" s="8"/>
      <c r="E77" s="8"/>
      <c r="F77" s="8"/>
      <c r="G77" s="7"/>
      <c r="I77" s="15"/>
      <c r="J77" s="16"/>
      <c r="K77" s="12"/>
    </row>
    <row r="78" spans="2:11">
      <c r="B78" s="8"/>
      <c r="C78" s="8"/>
      <c r="D78" s="8"/>
      <c r="E78" s="8"/>
      <c r="F78" s="8"/>
      <c r="G78" s="7"/>
      <c r="I78" s="15"/>
      <c r="J78" s="16"/>
      <c r="K78" s="12"/>
    </row>
    <row r="79" spans="2:11">
      <c r="B79" s="8"/>
      <c r="C79" s="8"/>
      <c r="D79" s="8"/>
      <c r="E79" s="8"/>
      <c r="F79" s="8"/>
      <c r="G79" s="7"/>
      <c r="I79" s="15"/>
      <c r="J79" s="16"/>
      <c r="K79" s="12"/>
    </row>
    <row r="80" spans="2:11">
      <c r="B80" s="8"/>
      <c r="C80" s="8"/>
      <c r="D80" s="8"/>
      <c r="E80" s="8"/>
      <c r="F80" s="8"/>
      <c r="G80" s="7"/>
      <c r="I80" s="15"/>
      <c r="J80" s="16"/>
      <c r="K80" s="12"/>
    </row>
    <row r="81" spans="2:11">
      <c r="B81" s="8"/>
      <c r="C81" s="8"/>
      <c r="D81" s="8"/>
      <c r="E81" s="8"/>
      <c r="F81" s="8"/>
      <c r="G81" s="7"/>
      <c r="I81" s="15"/>
      <c r="J81" s="16"/>
      <c r="K81" s="12"/>
    </row>
    <row r="82" spans="2:11">
      <c r="B82" s="8"/>
      <c r="C82" s="8"/>
      <c r="D82" s="8"/>
      <c r="E82" s="8"/>
      <c r="F82" s="8"/>
      <c r="G82" s="7"/>
      <c r="I82" s="15"/>
      <c r="J82" s="16"/>
      <c r="K82" s="12"/>
    </row>
    <row r="83" spans="2:11">
      <c r="B83" s="8"/>
      <c r="C83" s="8"/>
      <c r="D83" s="8"/>
      <c r="E83" s="8"/>
      <c r="F83" s="8"/>
      <c r="G83" s="7"/>
      <c r="I83" s="15"/>
      <c r="J83" s="16"/>
      <c r="K83" s="12"/>
    </row>
    <row r="84" spans="2:11">
      <c r="B84" s="8"/>
      <c r="C84" s="8"/>
      <c r="D84" s="8"/>
      <c r="E84" s="8"/>
      <c r="F84" s="8"/>
      <c r="G84" s="7"/>
      <c r="I84" s="15"/>
      <c r="J84" s="16"/>
      <c r="K84" s="12"/>
    </row>
    <row r="85" spans="2:11">
      <c r="B85" s="8"/>
      <c r="C85" s="8"/>
      <c r="D85" s="8"/>
      <c r="E85" s="8"/>
      <c r="F85" s="8"/>
      <c r="G85" s="7"/>
      <c r="I85" s="15"/>
      <c r="J85" s="16"/>
      <c r="K85" s="12"/>
    </row>
    <row r="86" spans="2:11">
      <c r="B86" s="8"/>
      <c r="C86" s="8"/>
      <c r="D86" s="8"/>
      <c r="E86" s="8"/>
      <c r="F86" s="8"/>
      <c r="G86" s="7"/>
      <c r="I86" s="15"/>
      <c r="J86" s="16"/>
      <c r="K86" s="12"/>
    </row>
    <row r="87" spans="2:11">
      <c r="B87" s="8"/>
      <c r="C87" s="8"/>
      <c r="D87" s="8"/>
      <c r="E87" s="8"/>
      <c r="F87" s="8"/>
      <c r="G87" s="7"/>
      <c r="I87" s="15"/>
      <c r="J87" s="16"/>
      <c r="K87" s="12"/>
    </row>
    <row r="88" spans="2:11">
      <c r="B88" s="8"/>
      <c r="C88" s="8"/>
      <c r="D88" s="8"/>
      <c r="E88" s="8"/>
      <c r="F88" s="8"/>
      <c r="G88" s="7"/>
      <c r="I88" s="15"/>
      <c r="J88" s="16"/>
      <c r="K88" s="12"/>
    </row>
    <row r="89" spans="2:11">
      <c r="B89" s="8"/>
      <c r="C89" s="8"/>
      <c r="D89" s="8"/>
      <c r="E89" s="8"/>
      <c r="F89" s="8"/>
      <c r="G89" s="7"/>
      <c r="I89" s="15"/>
      <c r="J89" s="16"/>
      <c r="K89" s="12"/>
    </row>
    <row r="90" spans="2:11">
      <c r="B90" s="8"/>
      <c r="C90" s="8"/>
      <c r="D90" s="8"/>
      <c r="E90" s="8"/>
      <c r="F90" s="8"/>
      <c r="G90" s="7"/>
      <c r="I90" s="15"/>
      <c r="J90" s="16"/>
      <c r="K90" s="12"/>
    </row>
    <row r="91" spans="2:11">
      <c r="B91" s="8"/>
      <c r="C91" s="8"/>
      <c r="D91" s="8"/>
      <c r="E91" s="8"/>
      <c r="F91" s="8"/>
      <c r="G91" s="7"/>
      <c r="I91" s="15"/>
      <c r="J91" s="16"/>
      <c r="K91" s="12"/>
    </row>
    <row r="92" spans="2:11">
      <c r="B92" s="8"/>
      <c r="C92" s="8"/>
      <c r="D92" s="8"/>
      <c r="E92" s="8"/>
      <c r="F92" s="8"/>
      <c r="G92" s="7"/>
      <c r="I92" s="15"/>
      <c r="J92" s="16"/>
      <c r="K92" s="12"/>
    </row>
    <row r="93" spans="2:11">
      <c r="B93" s="8"/>
      <c r="C93" s="8"/>
      <c r="D93" s="8"/>
      <c r="E93" s="8"/>
      <c r="F93" s="8"/>
      <c r="G93" s="7"/>
      <c r="I93" s="15"/>
      <c r="J93" s="16"/>
      <c r="K93" s="12"/>
    </row>
    <row r="94" spans="2:11">
      <c r="B94" s="8"/>
      <c r="C94" s="8"/>
      <c r="D94" s="8"/>
      <c r="E94" s="8"/>
      <c r="F94" s="8"/>
      <c r="G94" s="7"/>
      <c r="I94" s="15"/>
      <c r="J94" s="16"/>
      <c r="K94" s="12"/>
    </row>
    <row r="95" spans="2:11">
      <c r="B95" s="8"/>
      <c r="C95" s="8"/>
      <c r="D95" s="8"/>
      <c r="E95" s="8"/>
      <c r="F95" s="8"/>
      <c r="G95" s="7"/>
      <c r="I95" s="15"/>
      <c r="J95" s="16"/>
      <c r="K95" s="12"/>
    </row>
    <row r="96" spans="2:11">
      <c r="B96" s="8"/>
      <c r="C96" s="8"/>
      <c r="D96" s="8"/>
      <c r="E96" s="8"/>
      <c r="F96" s="8"/>
      <c r="G96" s="7"/>
      <c r="I96" s="15"/>
      <c r="J96" s="16"/>
      <c r="K96" s="12"/>
    </row>
    <row r="97" spans="2:11">
      <c r="B97" s="8"/>
      <c r="C97" s="8"/>
      <c r="D97" s="8"/>
      <c r="E97" s="8"/>
      <c r="F97" s="8"/>
      <c r="G97" s="7"/>
      <c r="I97" s="15"/>
      <c r="J97" s="16"/>
      <c r="K97" s="12"/>
    </row>
    <row r="98" spans="2:11">
      <c r="B98" s="8"/>
      <c r="C98" s="8"/>
      <c r="D98" s="8"/>
      <c r="E98" s="8"/>
      <c r="F98" s="8"/>
      <c r="G98" s="7"/>
      <c r="I98" s="15"/>
      <c r="J98" s="16"/>
      <c r="K98" s="12"/>
    </row>
    <row r="99" spans="2:11">
      <c r="B99" s="8"/>
      <c r="C99" s="8"/>
      <c r="D99" s="8"/>
      <c r="E99" s="8"/>
      <c r="F99" s="8"/>
      <c r="G99" s="7"/>
      <c r="I99" s="15"/>
      <c r="J99" s="16"/>
      <c r="K99" s="12"/>
    </row>
    <row r="100" spans="2:11">
      <c r="B100" s="8"/>
      <c r="C100" s="8"/>
      <c r="D100" s="8"/>
      <c r="E100" s="8"/>
      <c r="F100" s="8"/>
      <c r="G100" s="7"/>
      <c r="I100" s="15"/>
      <c r="J100" s="16"/>
      <c r="K100" s="12"/>
    </row>
    <row r="101" spans="2:11">
      <c r="B101" s="8"/>
      <c r="C101" s="8"/>
      <c r="D101" s="8"/>
      <c r="E101" s="8"/>
      <c r="F101" s="8"/>
      <c r="G101" s="7"/>
      <c r="I101" s="15"/>
      <c r="J101" s="16"/>
      <c r="K101" s="12"/>
    </row>
    <row r="102" spans="2:11">
      <c r="B102" s="8"/>
      <c r="C102" s="8"/>
      <c r="D102" s="8"/>
      <c r="E102" s="8"/>
      <c r="F102" s="8"/>
      <c r="G102" s="7"/>
      <c r="I102" s="15"/>
      <c r="J102" s="16"/>
      <c r="K102" s="12"/>
    </row>
    <row r="103" spans="2:11">
      <c r="B103" s="8"/>
      <c r="C103" s="8"/>
      <c r="D103" s="8"/>
      <c r="E103" s="8"/>
      <c r="F103" s="8"/>
      <c r="G103" s="7"/>
      <c r="I103" s="15"/>
      <c r="J103" s="16"/>
      <c r="K103" s="12"/>
    </row>
    <row r="104" spans="2:11">
      <c r="B104" s="8"/>
      <c r="C104" s="8"/>
      <c r="D104" s="8"/>
      <c r="E104" s="8"/>
      <c r="F104" s="8"/>
      <c r="G104" s="7"/>
      <c r="I104" s="15"/>
      <c r="J104" s="16"/>
      <c r="K104" s="12"/>
    </row>
    <row r="105" spans="2:11">
      <c r="B105" s="8"/>
      <c r="C105" s="8"/>
      <c r="D105" s="8"/>
      <c r="E105" s="8"/>
      <c r="F105" s="8"/>
      <c r="G105" s="7"/>
      <c r="I105" s="15"/>
      <c r="J105" s="16"/>
      <c r="K105" s="12"/>
    </row>
    <row r="106" spans="2:11">
      <c r="B106" s="8"/>
      <c r="C106" s="8"/>
      <c r="D106" s="8"/>
      <c r="E106" s="8"/>
      <c r="F106" s="8"/>
      <c r="G106" s="7"/>
      <c r="I106" s="15"/>
      <c r="J106" s="16"/>
      <c r="K106" s="12"/>
    </row>
    <row r="107" spans="2:11">
      <c r="B107" s="8"/>
      <c r="C107" s="8"/>
      <c r="D107" s="8"/>
      <c r="E107" s="8"/>
      <c r="F107" s="8"/>
      <c r="G107" s="7"/>
      <c r="I107" s="15"/>
      <c r="J107" s="16"/>
      <c r="K107" s="12"/>
    </row>
    <row r="108" spans="2:11">
      <c r="B108" s="8"/>
      <c r="C108" s="8"/>
      <c r="D108" s="8"/>
      <c r="E108" s="8"/>
      <c r="F108" s="8"/>
      <c r="G108" s="7"/>
      <c r="I108" s="15"/>
      <c r="J108" s="16"/>
      <c r="K108" s="12"/>
    </row>
    <row r="109" spans="2:11">
      <c r="B109" s="8"/>
      <c r="C109" s="8"/>
      <c r="D109" s="8"/>
      <c r="E109" s="8"/>
      <c r="F109" s="8"/>
      <c r="G109" s="7"/>
      <c r="I109" s="15"/>
      <c r="J109" s="16"/>
      <c r="K109" s="12"/>
    </row>
    <row r="110" spans="2:11">
      <c r="B110" s="8"/>
      <c r="C110" s="8"/>
      <c r="D110" s="8"/>
      <c r="E110" s="8"/>
      <c r="F110" s="8"/>
      <c r="G110" s="7"/>
      <c r="I110" s="15"/>
      <c r="J110" s="16"/>
      <c r="K110" s="12"/>
    </row>
    <row r="111" spans="2:11">
      <c r="B111" s="8"/>
      <c r="C111" s="8"/>
      <c r="D111" s="8"/>
      <c r="E111" s="8"/>
      <c r="F111" s="8"/>
      <c r="G111" s="7"/>
      <c r="I111" s="15"/>
      <c r="J111" s="16"/>
      <c r="K111" s="12"/>
    </row>
    <row r="112" spans="2:11">
      <c r="B112" s="8"/>
      <c r="C112" s="8"/>
      <c r="D112" s="8"/>
      <c r="E112" s="8"/>
      <c r="F112" s="8"/>
      <c r="G112" s="7"/>
      <c r="I112" s="15"/>
      <c r="J112" s="16"/>
      <c r="K112" s="12"/>
    </row>
    <row r="113" spans="2:11">
      <c r="B113" s="8"/>
      <c r="C113" s="8"/>
      <c r="D113" s="8"/>
      <c r="E113" s="8"/>
      <c r="F113" s="8"/>
      <c r="G113" s="7"/>
      <c r="I113" s="15"/>
      <c r="J113" s="16"/>
      <c r="K113" s="12"/>
    </row>
    <row r="114" spans="2:11">
      <c r="B114" s="8"/>
      <c r="C114" s="8"/>
      <c r="D114" s="8"/>
      <c r="E114" s="8"/>
      <c r="F114" s="8"/>
      <c r="G114" s="7"/>
      <c r="I114" s="15"/>
      <c r="J114" s="16"/>
      <c r="K114" s="12"/>
    </row>
    <row r="115" spans="2:11">
      <c r="B115" s="8"/>
      <c r="C115" s="8"/>
      <c r="D115" s="8"/>
      <c r="E115" s="8"/>
      <c r="F115" s="8"/>
      <c r="G115" s="7"/>
      <c r="I115" s="15"/>
      <c r="J115" s="16"/>
      <c r="K115" s="12"/>
    </row>
    <row r="116" spans="2:11">
      <c r="B116" s="8"/>
      <c r="C116" s="8"/>
      <c r="D116" s="8"/>
      <c r="E116" s="8"/>
      <c r="F116" s="8"/>
      <c r="G116" s="7"/>
      <c r="I116" s="15"/>
      <c r="J116" s="16"/>
      <c r="K116" s="12"/>
    </row>
    <row r="117" spans="2:11">
      <c r="B117" s="8"/>
      <c r="C117" s="8"/>
      <c r="D117" s="8"/>
      <c r="E117" s="8"/>
      <c r="F117" s="8"/>
      <c r="G117" s="7"/>
      <c r="I117" s="15"/>
      <c r="J117" s="16"/>
      <c r="K117" s="12"/>
    </row>
    <row r="118" spans="2:11">
      <c r="B118" s="8"/>
      <c r="C118" s="8"/>
      <c r="D118" s="8"/>
      <c r="E118" s="8"/>
      <c r="F118" s="8"/>
      <c r="G118" s="7"/>
      <c r="I118" s="15"/>
      <c r="J118" s="16"/>
      <c r="K118" s="12"/>
    </row>
    <row r="119" spans="2:11">
      <c r="B119" s="8"/>
      <c r="C119" s="8"/>
      <c r="D119" s="8"/>
      <c r="E119" s="8"/>
      <c r="F119" s="8"/>
      <c r="G119" s="7"/>
      <c r="I119" s="15"/>
      <c r="J119" s="16"/>
      <c r="K119" s="12"/>
    </row>
    <row r="120" spans="2:11">
      <c r="B120" s="8"/>
      <c r="C120" s="8"/>
      <c r="D120" s="8"/>
      <c r="E120" s="8"/>
      <c r="F120" s="8"/>
      <c r="G120" s="7"/>
      <c r="I120" s="15"/>
      <c r="J120" s="16"/>
      <c r="K120" s="12"/>
    </row>
    <row r="121" spans="2:11">
      <c r="B121" s="8"/>
      <c r="C121" s="8"/>
      <c r="D121" s="8"/>
      <c r="E121" s="8"/>
      <c r="F121" s="8"/>
      <c r="G121" s="7"/>
      <c r="I121" s="15"/>
      <c r="J121" s="16"/>
      <c r="K121" s="12"/>
    </row>
    <row r="122" spans="2:11">
      <c r="B122" s="8"/>
      <c r="C122" s="8"/>
      <c r="D122" s="8"/>
      <c r="E122" s="8"/>
      <c r="F122" s="8"/>
      <c r="G122" s="7"/>
      <c r="I122" s="15"/>
      <c r="J122" s="16"/>
      <c r="K122" s="12"/>
    </row>
    <row r="123" spans="2:11">
      <c r="B123" s="8"/>
      <c r="C123" s="8"/>
      <c r="D123" s="8"/>
      <c r="E123" s="8"/>
      <c r="F123" s="8"/>
      <c r="G123" s="7"/>
      <c r="I123" s="15"/>
      <c r="J123" s="16"/>
      <c r="K123" s="12"/>
    </row>
    <row r="124" spans="2:11">
      <c r="B124" s="8"/>
      <c r="C124" s="8"/>
      <c r="D124" s="8"/>
      <c r="E124" s="8"/>
      <c r="F124" s="8"/>
      <c r="G124" s="7"/>
      <c r="I124" s="15"/>
      <c r="J124" s="16"/>
      <c r="K124" s="12"/>
    </row>
    <row r="125" spans="2:11">
      <c r="B125" s="8"/>
      <c r="C125" s="8"/>
      <c r="D125" s="8"/>
      <c r="E125" s="8"/>
      <c r="F125" s="8"/>
      <c r="G125" s="7"/>
      <c r="I125" s="15"/>
      <c r="J125" s="16"/>
      <c r="K125" s="12"/>
    </row>
    <row r="126" spans="2:11">
      <c r="B126" s="8"/>
      <c r="C126" s="8"/>
      <c r="D126" s="8"/>
      <c r="E126" s="8"/>
      <c r="F126" s="8"/>
      <c r="G126" s="7"/>
      <c r="I126" s="15"/>
      <c r="J126" s="16"/>
      <c r="K126" s="12"/>
    </row>
    <row r="127" spans="2:11">
      <c r="B127" s="8"/>
      <c r="C127" s="8"/>
      <c r="D127" s="8"/>
      <c r="E127" s="8"/>
      <c r="F127" s="8"/>
      <c r="G127" s="7"/>
      <c r="I127" s="15"/>
      <c r="J127" s="16"/>
      <c r="K127" s="12"/>
    </row>
    <row r="128" spans="2:11">
      <c r="B128" s="8"/>
      <c r="C128" s="8"/>
      <c r="D128" s="8"/>
      <c r="E128" s="8"/>
      <c r="F128" s="8"/>
      <c r="G128" s="7"/>
      <c r="I128" s="15"/>
      <c r="J128" s="16"/>
      <c r="K128" s="12"/>
    </row>
    <row r="129" spans="2:11">
      <c r="B129" s="8"/>
      <c r="C129" s="8"/>
      <c r="D129" s="8"/>
      <c r="E129" s="8"/>
      <c r="F129" s="8"/>
      <c r="G129" s="7"/>
      <c r="I129" s="15"/>
      <c r="J129" s="16"/>
      <c r="K129" s="12"/>
    </row>
    <row r="130" spans="2:11">
      <c r="B130" s="8"/>
      <c r="C130" s="8"/>
      <c r="D130" s="8"/>
      <c r="E130" s="8"/>
      <c r="F130" s="8"/>
      <c r="G130" s="7"/>
      <c r="I130" s="15"/>
      <c r="J130" s="16"/>
      <c r="K130" s="12"/>
    </row>
    <row r="131" spans="2:11">
      <c r="B131" s="8"/>
      <c r="C131" s="8"/>
      <c r="D131" s="8"/>
      <c r="E131" s="8"/>
      <c r="F131" s="8"/>
      <c r="G131" s="7"/>
      <c r="I131" s="15"/>
      <c r="J131" s="16"/>
      <c r="K131" s="12"/>
    </row>
    <row r="132" spans="2:11">
      <c r="B132" s="8"/>
      <c r="C132" s="8"/>
      <c r="D132" s="8"/>
      <c r="E132" s="8"/>
      <c r="F132" s="8"/>
      <c r="G132" s="7"/>
      <c r="I132" s="15"/>
      <c r="J132" s="16"/>
      <c r="K132" s="12"/>
    </row>
    <row r="133" spans="2:11">
      <c r="B133" s="8"/>
      <c r="C133" s="8"/>
      <c r="D133" s="8"/>
      <c r="E133" s="8"/>
      <c r="F133" s="8"/>
      <c r="G133" s="7"/>
      <c r="I133" s="15"/>
      <c r="J133" s="16"/>
      <c r="K133" s="12"/>
    </row>
    <row r="134" spans="2:11">
      <c r="B134" s="8"/>
      <c r="C134" s="8"/>
      <c r="D134" s="8"/>
      <c r="E134" s="8"/>
      <c r="F134" s="8"/>
      <c r="G134" s="7"/>
      <c r="I134" s="15"/>
      <c r="J134" s="16"/>
      <c r="K134" s="12"/>
    </row>
    <row r="135" spans="2:11">
      <c r="B135" s="8"/>
      <c r="C135" s="8"/>
      <c r="D135" s="8"/>
      <c r="E135" s="8"/>
      <c r="F135" s="8"/>
      <c r="G135" s="7"/>
      <c r="I135" s="15"/>
      <c r="J135" s="16"/>
      <c r="K135" s="12"/>
    </row>
    <row r="136" spans="2:11">
      <c r="B136" s="8"/>
      <c r="C136" s="8"/>
      <c r="D136" s="8"/>
      <c r="E136" s="8"/>
      <c r="F136" s="8"/>
      <c r="G136" s="7"/>
      <c r="I136" s="15"/>
      <c r="J136" s="16"/>
      <c r="K136" s="12"/>
    </row>
    <row r="137" spans="2:11">
      <c r="B137" s="8"/>
      <c r="C137" s="8"/>
      <c r="D137" s="8"/>
      <c r="E137" s="8"/>
      <c r="F137" s="8"/>
      <c r="G137" s="7"/>
      <c r="I137" s="15"/>
      <c r="J137" s="16"/>
      <c r="K137" s="12"/>
    </row>
    <row r="138" spans="2:11">
      <c r="B138" s="8"/>
      <c r="C138" s="8"/>
      <c r="D138" s="8"/>
      <c r="E138" s="8"/>
      <c r="F138" s="8"/>
      <c r="G138" s="7"/>
      <c r="I138" s="15"/>
      <c r="J138" s="16"/>
      <c r="K138" s="12"/>
    </row>
    <row r="139" spans="2:11">
      <c r="B139" s="8"/>
      <c r="C139" s="8"/>
      <c r="D139" s="8"/>
      <c r="E139" s="8"/>
      <c r="F139" s="8"/>
      <c r="G139" s="7"/>
      <c r="I139" s="15"/>
      <c r="J139" s="16"/>
      <c r="K139" s="12"/>
    </row>
    <row r="140" spans="2:11">
      <c r="B140" s="8"/>
      <c r="C140" s="8"/>
      <c r="D140" s="8"/>
      <c r="E140" s="8"/>
      <c r="F140" s="8"/>
      <c r="G140" s="7"/>
      <c r="I140" s="15"/>
      <c r="J140" s="16"/>
      <c r="K140" s="12"/>
    </row>
    <row r="141" spans="2:11">
      <c r="B141" s="8"/>
      <c r="C141" s="8"/>
      <c r="D141" s="8"/>
      <c r="E141" s="8"/>
      <c r="F141" s="8"/>
      <c r="G141" s="7"/>
      <c r="I141" s="15"/>
      <c r="J141" s="16"/>
      <c r="K141" s="12"/>
    </row>
    <row r="142" spans="2:11">
      <c r="B142" s="8"/>
      <c r="C142" s="8"/>
      <c r="D142" s="8"/>
      <c r="E142" s="8"/>
      <c r="F142" s="8"/>
      <c r="G142" s="7"/>
      <c r="I142" s="15"/>
      <c r="J142" s="16"/>
      <c r="K142" s="12"/>
    </row>
    <row r="143" spans="2:11">
      <c r="B143" s="8"/>
      <c r="C143" s="8"/>
      <c r="D143" s="8"/>
      <c r="E143" s="8"/>
      <c r="F143" s="8"/>
      <c r="G143" s="7"/>
      <c r="I143" s="15"/>
      <c r="J143" s="16"/>
      <c r="K143" s="12"/>
    </row>
    <row r="144" spans="2:11">
      <c r="B144" s="8"/>
      <c r="C144" s="8"/>
      <c r="D144" s="8"/>
      <c r="E144" s="8"/>
      <c r="F144" s="8"/>
      <c r="G144" s="7"/>
      <c r="I144" s="15"/>
      <c r="J144" s="16"/>
      <c r="K144" s="12"/>
    </row>
    <row r="145" spans="2:11">
      <c r="B145" s="8"/>
      <c r="C145" s="8"/>
      <c r="D145" s="8"/>
      <c r="E145" s="8"/>
      <c r="F145" s="8"/>
      <c r="G145" s="7"/>
      <c r="I145" s="15"/>
      <c r="J145" s="16"/>
      <c r="K145" s="12"/>
    </row>
    <row r="146" spans="2:11">
      <c r="B146" s="8"/>
      <c r="C146" s="8"/>
      <c r="D146" s="8"/>
      <c r="E146" s="8"/>
      <c r="F146" s="8"/>
      <c r="G146" s="7"/>
      <c r="I146" s="15"/>
      <c r="J146" s="16"/>
      <c r="K146" s="12"/>
    </row>
    <row r="147" spans="2:11">
      <c r="B147" s="8"/>
      <c r="C147" s="8"/>
      <c r="D147" s="8"/>
      <c r="E147" s="8"/>
      <c r="F147" s="8"/>
      <c r="G147" s="7"/>
      <c r="I147" s="15"/>
      <c r="J147" s="16"/>
      <c r="K147" s="12"/>
    </row>
    <row r="148" spans="2:11">
      <c r="B148" s="8"/>
      <c r="C148" s="8"/>
      <c r="D148" s="8"/>
      <c r="E148" s="8"/>
      <c r="F148" s="8"/>
      <c r="G148" s="7"/>
      <c r="I148" s="15"/>
      <c r="J148" s="16"/>
      <c r="K148" s="12"/>
    </row>
    <row r="149" spans="2:11">
      <c r="B149" s="8"/>
      <c r="C149" s="8"/>
      <c r="D149" s="8"/>
      <c r="E149" s="8"/>
      <c r="F149" s="8"/>
      <c r="G149" s="7"/>
      <c r="I149" s="15"/>
      <c r="J149" s="16"/>
      <c r="K149" s="12"/>
    </row>
    <row r="150" spans="2:11">
      <c r="B150" s="8"/>
      <c r="C150" s="8"/>
      <c r="D150" s="8"/>
      <c r="E150" s="8"/>
      <c r="F150" s="8"/>
      <c r="G150" s="7"/>
      <c r="I150" s="15"/>
      <c r="J150" s="16"/>
      <c r="K150" s="12"/>
    </row>
    <row r="151" spans="2:11">
      <c r="B151" s="8"/>
      <c r="C151" s="8"/>
      <c r="D151" s="8"/>
      <c r="E151" s="8"/>
      <c r="F151" s="8"/>
      <c r="G151" s="7"/>
      <c r="I151" s="15"/>
      <c r="J151" s="16"/>
      <c r="K151" s="12"/>
    </row>
    <row r="152" spans="2:11">
      <c r="B152" s="8"/>
      <c r="C152" s="8"/>
      <c r="D152" s="8"/>
      <c r="E152" s="8"/>
      <c r="F152" s="8"/>
      <c r="G152" s="7"/>
      <c r="I152" s="15"/>
      <c r="J152" s="16"/>
      <c r="K152" s="12"/>
    </row>
    <row r="153" spans="2:11">
      <c r="B153" s="8"/>
      <c r="C153" s="8"/>
      <c r="D153" s="8"/>
      <c r="E153" s="8"/>
      <c r="F153" s="8"/>
      <c r="G153" s="7"/>
      <c r="I153" s="15"/>
      <c r="J153" s="16"/>
      <c r="K153" s="12"/>
    </row>
    <row r="154" spans="2:11">
      <c r="B154" s="8"/>
      <c r="C154" s="8"/>
      <c r="D154" s="8"/>
      <c r="E154" s="8"/>
      <c r="F154" s="8"/>
      <c r="G154" s="7"/>
      <c r="I154" s="15"/>
      <c r="J154" s="16"/>
      <c r="K154" s="12"/>
    </row>
    <row r="155" spans="2:11">
      <c r="B155" s="8"/>
      <c r="C155" s="8"/>
      <c r="D155" s="8"/>
      <c r="E155" s="8"/>
      <c r="F155" s="8"/>
      <c r="G155" s="7"/>
      <c r="I155" s="15"/>
      <c r="J155" s="16"/>
      <c r="K155" s="12"/>
    </row>
    <row r="156" spans="2:11">
      <c r="B156" s="8"/>
      <c r="C156" s="8"/>
      <c r="D156" s="8"/>
      <c r="E156" s="8"/>
      <c r="F156" s="8"/>
      <c r="G156" s="7"/>
      <c r="I156" s="15"/>
      <c r="J156" s="16"/>
      <c r="K156" s="12"/>
    </row>
    <row r="157" spans="2:11">
      <c r="B157" s="8"/>
      <c r="C157" s="8"/>
      <c r="D157" s="8"/>
      <c r="E157" s="8"/>
      <c r="F157" s="8"/>
      <c r="G157" s="7"/>
      <c r="I157" s="15"/>
      <c r="J157" s="16"/>
      <c r="K157" s="12"/>
    </row>
    <row r="158" spans="2:11">
      <c r="B158" s="8"/>
      <c r="C158" s="8"/>
      <c r="D158" s="8"/>
      <c r="E158" s="8"/>
      <c r="F158" s="8"/>
      <c r="G158" s="7"/>
      <c r="I158" s="15"/>
      <c r="J158" s="16"/>
      <c r="K158" s="12"/>
    </row>
    <row r="159" spans="2:11">
      <c r="B159" s="8"/>
      <c r="C159" s="8"/>
      <c r="D159" s="8"/>
      <c r="E159" s="8"/>
      <c r="F159" s="8"/>
      <c r="G159" s="7"/>
      <c r="I159" s="15"/>
      <c r="J159" s="16"/>
      <c r="K159" s="12"/>
    </row>
    <row r="160" spans="2:11">
      <c r="B160" s="8"/>
      <c r="C160" s="8"/>
      <c r="D160" s="8"/>
      <c r="E160" s="8"/>
      <c r="F160" s="8"/>
      <c r="G160" s="7"/>
      <c r="I160" s="15"/>
      <c r="J160" s="16"/>
      <c r="K160" s="12"/>
    </row>
    <row r="161" spans="2:11">
      <c r="B161" s="8"/>
      <c r="C161" s="8"/>
      <c r="D161" s="8"/>
      <c r="E161" s="8"/>
      <c r="F161" s="8"/>
      <c r="G161" s="7"/>
      <c r="I161" s="15"/>
      <c r="J161" s="16"/>
      <c r="K161" s="12"/>
    </row>
    <row r="162" spans="2:11">
      <c r="B162" s="8"/>
      <c r="C162" s="8"/>
      <c r="D162" s="8"/>
      <c r="E162" s="8"/>
      <c r="F162" s="8"/>
      <c r="G162" s="7"/>
      <c r="I162" s="15"/>
      <c r="J162" s="16"/>
      <c r="K162" s="12"/>
    </row>
    <row r="163" spans="2:11">
      <c r="B163" s="8"/>
      <c r="C163" s="8"/>
      <c r="D163" s="8"/>
      <c r="E163" s="8"/>
      <c r="F163" s="8"/>
      <c r="G163" s="7"/>
      <c r="I163" s="15"/>
      <c r="J163" s="16"/>
      <c r="K163" s="12"/>
    </row>
    <row r="164" spans="2:11">
      <c r="B164" s="8"/>
      <c r="C164" s="8"/>
      <c r="D164" s="8"/>
      <c r="E164" s="8"/>
      <c r="F164" s="8"/>
      <c r="G164" s="7"/>
      <c r="I164" s="15"/>
      <c r="J164" s="16"/>
      <c r="K164" s="12"/>
    </row>
    <row r="165" spans="2:11">
      <c r="B165" s="8"/>
      <c r="C165" s="8"/>
      <c r="D165" s="8"/>
      <c r="E165" s="8"/>
      <c r="F165" s="8"/>
      <c r="G165" s="7"/>
      <c r="I165" s="15"/>
      <c r="J165" s="16"/>
      <c r="K165" s="12"/>
    </row>
    <row r="166" spans="2:11">
      <c r="B166" s="8"/>
      <c r="C166" s="8"/>
      <c r="D166" s="8"/>
      <c r="E166" s="8"/>
      <c r="F166" s="8"/>
      <c r="G166" s="7"/>
      <c r="I166" s="15"/>
      <c r="J166" s="16"/>
      <c r="K166" s="12"/>
    </row>
    <row r="167" spans="2:11">
      <c r="B167" s="8"/>
      <c r="C167" s="8"/>
      <c r="D167" s="8"/>
      <c r="E167" s="8"/>
      <c r="F167" s="8"/>
      <c r="G167" s="7"/>
      <c r="I167" s="15"/>
      <c r="J167" s="16"/>
      <c r="K167" s="12"/>
    </row>
    <row r="168" spans="2:11">
      <c r="B168" s="8"/>
      <c r="C168" s="8"/>
      <c r="D168" s="8"/>
      <c r="E168" s="8"/>
      <c r="F168" s="8"/>
      <c r="G168" s="7"/>
      <c r="I168" s="15"/>
      <c r="J168" s="16"/>
      <c r="K168" s="12"/>
    </row>
    <row r="169" spans="2:11">
      <c r="B169" s="8"/>
      <c r="C169" s="8"/>
      <c r="D169" s="8"/>
      <c r="E169" s="8"/>
      <c r="F169" s="8"/>
      <c r="G169" s="7"/>
      <c r="I169" s="15"/>
      <c r="J169" s="16"/>
      <c r="K169" s="12"/>
    </row>
    <row r="170" spans="2:11">
      <c r="B170" s="8"/>
      <c r="C170" s="8"/>
      <c r="D170" s="8"/>
      <c r="E170" s="8"/>
      <c r="F170" s="8"/>
      <c r="G170" s="7"/>
      <c r="I170" s="15"/>
      <c r="J170" s="16"/>
      <c r="K170" s="12"/>
    </row>
    <row r="171" spans="2:11">
      <c r="B171" s="8"/>
      <c r="C171" s="8"/>
      <c r="D171" s="8"/>
      <c r="E171" s="8"/>
      <c r="F171" s="8"/>
      <c r="G171" s="7"/>
      <c r="I171" s="15"/>
      <c r="J171" s="16"/>
      <c r="K171" s="12"/>
    </row>
    <row r="172" spans="2:11">
      <c r="B172" s="8"/>
      <c r="C172" s="8"/>
      <c r="D172" s="8"/>
      <c r="E172" s="8"/>
      <c r="F172" s="8"/>
      <c r="G172" s="7"/>
      <c r="I172" s="15"/>
      <c r="J172" s="16"/>
      <c r="K172" s="12"/>
    </row>
    <row r="173" spans="2:11">
      <c r="B173" s="8"/>
      <c r="C173" s="8"/>
      <c r="D173" s="8"/>
      <c r="E173" s="8"/>
      <c r="F173" s="8"/>
      <c r="G173" s="7"/>
      <c r="I173" s="15"/>
      <c r="J173" s="16"/>
      <c r="K173" s="12"/>
    </row>
    <row r="174" spans="2:11">
      <c r="B174" s="8"/>
      <c r="C174" s="8"/>
      <c r="D174" s="8"/>
      <c r="E174" s="8"/>
      <c r="F174" s="8"/>
      <c r="G174" s="7"/>
      <c r="I174" s="15"/>
      <c r="J174" s="16"/>
      <c r="K174" s="12"/>
    </row>
    <row r="175" spans="2:11">
      <c r="B175" s="8"/>
      <c r="C175" s="8"/>
      <c r="D175" s="8"/>
      <c r="E175" s="8"/>
      <c r="F175" s="8"/>
      <c r="G175" s="7"/>
      <c r="I175" s="15"/>
      <c r="J175" s="16"/>
      <c r="K175" s="12"/>
    </row>
    <row r="176" spans="2:11">
      <c r="B176" s="8"/>
      <c r="C176" s="8"/>
      <c r="D176" s="8"/>
      <c r="E176" s="8"/>
      <c r="F176" s="8"/>
      <c r="G176" s="7"/>
      <c r="I176" s="15"/>
      <c r="J176" s="16"/>
      <c r="K176" s="12"/>
    </row>
    <row r="177" spans="2:11">
      <c r="B177" s="8"/>
      <c r="C177" s="8"/>
      <c r="D177" s="8"/>
      <c r="E177" s="8"/>
      <c r="F177" s="8"/>
      <c r="G177" s="7"/>
      <c r="I177" s="15"/>
      <c r="J177" s="16"/>
      <c r="K177" s="12"/>
    </row>
    <row r="178" spans="2:11">
      <c r="B178" s="8"/>
      <c r="C178" s="8"/>
      <c r="D178" s="8"/>
      <c r="E178" s="8"/>
      <c r="F178" s="8"/>
      <c r="G178" s="7"/>
      <c r="I178" s="15"/>
      <c r="J178" s="16"/>
      <c r="K178" s="12"/>
    </row>
    <row r="179" spans="2:11">
      <c r="B179" s="8"/>
      <c r="C179" s="8"/>
      <c r="D179" s="8"/>
      <c r="E179" s="8"/>
      <c r="F179" s="8"/>
      <c r="G179" s="7"/>
      <c r="I179" s="15"/>
      <c r="J179" s="16"/>
      <c r="K179" s="12"/>
    </row>
    <row r="180" spans="2:11">
      <c r="B180" s="8"/>
      <c r="C180" s="8"/>
      <c r="D180" s="8"/>
      <c r="E180" s="8"/>
      <c r="F180" s="8"/>
      <c r="G180" s="7"/>
      <c r="I180" s="15"/>
      <c r="J180" s="16"/>
      <c r="K180" s="12"/>
    </row>
    <row r="181" spans="2:11">
      <c r="B181" s="8"/>
      <c r="C181" s="8"/>
      <c r="D181" s="8"/>
      <c r="E181" s="8"/>
      <c r="F181" s="8"/>
      <c r="G181" s="7"/>
      <c r="I181" s="15"/>
      <c r="J181" s="16"/>
      <c r="K181" s="12"/>
    </row>
    <row r="182" spans="2:11">
      <c r="B182" s="8"/>
      <c r="C182" s="8"/>
      <c r="D182" s="8"/>
      <c r="E182" s="8"/>
      <c r="F182" s="8"/>
      <c r="G182" s="7"/>
      <c r="I182" s="15"/>
      <c r="J182" s="16"/>
      <c r="K182" s="12"/>
    </row>
    <row r="183" spans="2:11">
      <c r="B183" s="8"/>
      <c r="C183" s="8"/>
      <c r="D183" s="8"/>
      <c r="E183" s="8"/>
      <c r="F183" s="8"/>
      <c r="G183" s="7"/>
      <c r="I183" s="15"/>
      <c r="J183" s="16"/>
      <c r="K183" s="12"/>
    </row>
    <row r="184" spans="2:11">
      <c r="B184" s="8"/>
      <c r="C184" s="8"/>
      <c r="D184" s="8"/>
      <c r="E184" s="8"/>
      <c r="F184" s="8"/>
      <c r="G184" s="7"/>
      <c r="I184" s="15"/>
      <c r="J184" s="16"/>
      <c r="K184" s="12"/>
    </row>
    <row r="185" spans="2:11">
      <c r="B185" s="8"/>
      <c r="C185" s="8"/>
      <c r="D185" s="8"/>
      <c r="E185" s="8"/>
      <c r="F185" s="8"/>
      <c r="G185" s="7"/>
      <c r="I185" s="15"/>
      <c r="J185" s="16"/>
      <c r="K185" s="12"/>
    </row>
    <row r="186" spans="2:11">
      <c r="B186" s="8"/>
      <c r="C186" s="8"/>
      <c r="D186" s="8"/>
      <c r="E186" s="8"/>
      <c r="F186" s="8"/>
      <c r="G186" s="7"/>
      <c r="I186" s="15"/>
      <c r="J186" s="16"/>
      <c r="K186" s="12"/>
    </row>
    <row r="187" spans="2:11">
      <c r="B187" s="8"/>
      <c r="C187" s="8"/>
      <c r="D187" s="8"/>
      <c r="E187" s="8"/>
      <c r="F187" s="8"/>
      <c r="G187" s="7"/>
      <c r="I187" s="15"/>
      <c r="J187" s="16"/>
      <c r="K187" s="12"/>
    </row>
    <row r="188" spans="2:11">
      <c r="B188" s="8"/>
      <c r="C188" s="8"/>
      <c r="D188" s="8"/>
      <c r="E188" s="8"/>
      <c r="F188" s="8"/>
      <c r="G188" s="7"/>
      <c r="I188" s="15"/>
      <c r="J188" s="16"/>
      <c r="K188" s="12"/>
    </row>
    <row r="189" spans="2:11">
      <c r="B189" s="8"/>
      <c r="C189" s="8"/>
      <c r="D189" s="8"/>
      <c r="E189" s="8"/>
      <c r="F189" s="8"/>
      <c r="G189" s="7"/>
      <c r="I189" s="15"/>
      <c r="J189" s="16"/>
      <c r="K189" s="12"/>
    </row>
    <row r="190" spans="2:11">
      <c r="B190" s="8"/>
      <c r="C190" s="8"/>
      <c r="D190" s="8"/>
      <c r="E190" s="8"/>
      <c r="F190" s="8"/>
      <c r="G190" s="7"/>
      <c r="I190" s="15"/>
      <c r="J190" s="16"/>
      <c r="K190" s="12"/>
    </row>
    <row r="191" spans="2:11">
      <c r="B191" s="8"/>
      <c r="C191" s="8"/>
      <c r="D191" s="8"/>
      <c r="E191" s="8"/>
      <c r="F191" s="8"/>
      <c r="G191" s="7"/>
      <c r="I191" s="15"/>
      <c r="J191" s="16"/>
      <c r="K191" s="12"/>
    </row>
    <row r="192" spans="2:11">
      <c r="B192" s="8"/>
      <c r="C192" s="8"/>
      <c r="D192" s="8"/>
      <c r="E192" s="8"/>
      <c r="F192" s="8"/>
      <c r="G192" s="7"/>
      <c r="I192" s="15"/>
      <c r="J192" s="16"/>
      <c r="K192" s="12"/>
    </row>
    <row r="193" spans="2:11">
      <c r="B193" s="8"/>
      <c r="C193" s="8"/>
      <c r="D193" s="8"/>
      <c r="E193" s="8"/>
      <c r="F193" s="8"/>
      <c r="G193" s="7"/>
      <c r="I193" s="15"/>
      <c r="J193" s="16"/>
      <c r="K193" s="12"/>
    </row>
    <row r="194" spans="2:11">
      <c r="B194" s="8"/>
      <c r="C194" s="8"/>
      <c r="D194" s="8"/>
      <c r="E194" s="8"/>
      <c r="F194" s="8"/>
      <c r="G194" s="7"/>
      <c r="I194" s="15"/>
      <c r="J194" s="16"/>
      <c r="K194" s="12"/>
    </row>
    <row r="195" spans="2:11">
      <c r="B195" s="8"/>
      <c r="C195" s="8"/>
      <c r="D195" s="8"/>
      <c r="E195" s="8"/>
      <c r="F195" s="8"/>
      <c r="G195" s="7"/>
      <c r="I195" s="15"/>
      <c r="J195" s="16"/>
      <c r="K195" s="12"/>
    </row>
    <row r="196" spans="2:11">
      <c r="B196" s="8"/>
      <c r="C196" s="8"/>
      <c r="D196" s="8"/>
      <c r="E196" s="8"/>
      <c r="F196" s="8"/>
      <c r="G196" s="7"/>
      <c r="I196" s="15"/>
      <c r="J196" s="16"/>
      <c r="K196" s="12"/>
    </row>
    <row r="197" spans="2:11">
      <c r="B197" s="8"/>
      <c r="C197" s="8"/>
      <c r="D197" s="8"/>
      <c r="E197" s="8"/>
      <c r="F197" s="8"/>
      <c r="G197" s="7"/>
      <c r="I197" s="15"/>
      <c r="J197" s="16"/>
      <c r="K197" s="12"/>
    </row>
    <row r="198" spans="2:11">
      <c r="B198" s="8"/>
      <c r="C198" s="8"/>
      <c r="D198" s="8"/>
      <c r="E198" s="8"/>
      <c r="F198" s="8"/>
      <c r="G198" s="7"/>
      <c r="I198" s="15"/>
      <c r="J198" s="16"/>
      <c r="K198" s="12"/>
    </row>
    <row r="199" spans="2:11">
      <c r="B199" s="8"/>
      <c r="C199" s="8"/>
      <c r="D199" s="8"/>
      <c r="E199" s="8"/>
      <c r="F199" s="8"/>
      <c r="G199" s="7"/>
      <c r="I199" s="15"/>
      <c r="J199" s="16"/>
      <c r="K199" s="12"/>
    </row>
    <row r="200" spans="2:11">
      <c r="B200" s="8"/>
      <c r="C200" s="8"/>
      <c r="D200" s="8"/>
      <c r="E200" s="8"/>
      <c r="F200" s="8"/>
      <c r="G200" s="7"/>
      <c r="I200" s="15"/>
      <c r="J200" s="16"/>
      <c r="K200" s="12"/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topLeftCell="A13" workbookViewId="0">
      <selection activeCell="D35" sqref="D35"/>
    </sheetView>
  </sheetViews>
  <sheetFormatPr defaultColWidth="17" defaultRowHeight="11.4"/>
  <cols>
    <col min="1" max="1" width="139.333333333333" customWidth="1"/>
    <col min="2" max="18" width="16.59375" customWidth="1"/>
  </cols>
  <sheetData>
    <row r="1" ht="15" spans="1:1">
      <c r="A1" s="1" t="s">
        <v>496</v>
      </c>
    </row>
    <row r="2" ht="15" spans="1:1">
      <c r="A2" s="2" t="s">
        <v>497</v>
      </c>
    </row>
    <row r="3" ht="15" spans="1:1">
      <c r="A3" s="2" t="s">
        <v>498</v>
      </c>
    </row>
    <row r="4" ht="15" spans="1:1">
      <c r="A4" s="2" t="s">
        <v>499</v>
      </c>
    </row>
    <row r="5" ht="15" spans="1:1">
      <c r="A5" s="3"/>
    </row>
    <row r="6" ht="15" spans="1:1">
      <c r="A6" s="3"/>
    </row>
    <row r="7" ht="15" spans="1:1">
      <c r="A7" s="2" t="s">
        <v>500</v>
      </c>
    </row>
    <row r="8" ht="15" spans="1:1">
      <c r="A8" s="2" t="s">
        <v>501</v>
      </c>
    </row>
    <row r="9" ht="15" spans="1:1">
      <c r="A9" s="2" t="s">
        <v>502</v>
      </c>
    </row>
    <row r="10" ht="15" spans="1:1">
      <c r="A10" s="3"/>
    </row>
    <row r="11" ht="15" spans="1:1">
      <c r="A11" s="3"/>
    </row>
    <row r="12" ht="15" spans="1:1">
      <c r="A12" s="3"/>
    </row>
    <row r="13" ht="15" spans="1:1">
      <c r="A13" s="3"/>
    </row>
    <row r="14" ht="15" spans="1:1">
      <c r="A14" s="2" t="s">
        <v>503</v>
      </c>
    </row>
    <row r="15" ht="15" spans="1:1">
      <c r="A15" s="4" t="s">
        <v>504</v>
      </c>
    </row>
    <row r="16" ht="15" spans="1:1">
      <c r="A16" s="2" t="s">
        <v>505</v>
      </c>
    </row>
    <row r="17" ht="15" spans="1:1">
      <c r="A17" s="3"/>
    </row>
    <row r="18" ht="15" spans="1:1">
      <c r="A18" s="3"/>
    </row>
    <row r="19" ht="15" spans="1:1">
      <c r="A19" s="3"/>
    </row>
    <row r="20" ht="15" spans="1:1">
      <c r="A20" s="3"/>
    </row>
    <row r="21" ht="15" spans="1:1">
      <c r="A21" s="2" t="s">
        <v>506</v>
      </c>
    </row>
    <row r="22" ht="15" spans="1:1">
      <c r="A22" s="2" t="s">
        <v>507</v>
      </c>
    </row>
    <row r="23" ht="15" spans="1:1">
      <c r="A23" s="3"/>
    </row>
    <row r="24" ht="15" spans="1:1">
      <c r="A24" s="3"/>
    </row>
    <row r="25" ht="15" spans="1:1">
      <c r="A25" s="2" t="s">
        <v>508</v>
      </c>
    </row>
    <row r="26" ht="15" spans="1:1">
      <c r="A26" s="3"/>
    </row>
    <row r="27" ht="15" spans="1:1">
      <c r="A27" s="3"/>
    </row>
    <row r="28" ht="15" spans="1:1">
      <c r="A28" s="3"/>
    </row>
    <row r="29" ht="15" spans="1:1">
      <c r="A29" s="3"/>
    </row>
    <row r="30" ht="15" spans="1:1">
      <c r="A30" s="3"/>
    </row>
    <row r="31" ht="15" spans="1:1">
      <c r="A31" s="3"/>
    </row>
    <row r="32" ht="15" spans="1:1">
      <c r="A32" s="3"/>
    </row>
    <row r="33" ht="17.4" spans="1:1">
      <c r="A33" s="5"/>
    </row>
    <row r="34" ht="17.4" spans="1:1">
      <c r="A34" s="5"/>
    </row>
    <row r="35" ht="17.4" spans="1:1">
      <c r="A35" s="5"/>
    </row>
    <row r="36" ht="17.4" spans="1:1">
      <c r="A36" s="5"/>
    </row>
    <row r="37" ht="17.4" spans="1:1">
      <c r="A37" s="5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</sheetData>
  <hyperlinks>
    <hyperlink ref="A2" r:id="rId1" display="https://www.tiktok.com/@/video/7507733538158972191?shop_region=US"/>
    <hyperlink ref="A3" r:id="rId2" display="https://www.tiktok.com/@/video/7505007970158185771?shop_region=US"/>
    <hyperlink ref="A4" r:id="rId3" display="https://www.tiktok.com/@/video/7510315444860063022?shop_region=US"/>
    <hyperlink ref="A7" r:id="rId4" display="https://www.tiktok.com/@/video/7509468659413372206?shop_region=US"/>
    <hyperlink ref="A8" r:id="rId5" display="https://www.tiktok.com/@/video/7507463120143600939?shop_region=US"/>
    <hyperlink ref="A9" r:id="rId6" display="https://www.tiktok.com/@/video/7509602854680710443?shop_region=US"/>
    <hyperlink ref="A14" r:id="rId7" display="https://www.tiktok.com/@/video/7512260049553607966?shop_region=US"/>
    <hyperlink ref="A15" r:id="rId8" display="https://www.tiktok.com/@/video/7510281518846135582?shop_region=US"/>
    <hyperlink ref="A16" r:id="rId9" display="https://www.tiktok.com/@/video/7512121539337194782?shop_region=US"/>
    <hyperlink ref="A21" r:id="rId10" display="https://www.tiktok.com/@/video/7512217482250177838?shop_region=US"/>
    <hyperlink ref="A22" r:id="rId11" display="https://www.tiktok.com/@/video/7510822530660289823?shop_region=US"/>
    <hyperlink ref="A25" r:id="rId12" display="https://www.tiktok.com/@/video/7513258934547860779?shop_region=U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产品信息</vt:lpstr>
      <vt:lpstr>美国SC毛利测算</vt:lpstr>
      <vt:lpstr>美国VC毛利测算</vt:lpstr>
      <vt:lpstr>欧洲SC毛利测算</vt:lpstr>
      <vt:lpstr>欧洲VC毛利测算</vt:lpstr>
      <vt:lpstr>美国DI毛利测算</vt:lpstr>
      <vt:lpstr>欧洲DI毛利测算</vt:lpstr>
      <vt:lpstr>日历工作计划表</vt:lpstr>
      <vt:lpstr>工作表9</vt:lpstr>
      <vt:lpstr>2025欧洲listing SOP流程</vt:lpstr>
      <vt:lpstr>发货物流价格</vt:lpstr>
      <vt:lpstr>TK视频链接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2025-07-04T03:52:00Z</dcterms:created>
  <dcterms:modified xsi:type="dcterms:W3CDTF">2025-07-17T06:26:29Z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DB2ADB0DCEC348559F424FA12047B6E5_13</vt:lpwstr>
  </property>
  <property fmtid="{D5CDD505-2E9C-101B-9397-08002B2CF9AE}" pid="3" name="KSOProductBuildVer">
    <vt:lpwstr>2052-12.1.0.21915</vt:lpwstr>
  </property>
</Properties>
</file>