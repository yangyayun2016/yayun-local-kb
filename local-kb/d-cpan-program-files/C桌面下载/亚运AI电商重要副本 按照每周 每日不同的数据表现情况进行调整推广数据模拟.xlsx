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comments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2.xml" ContentType="application/vnd.openxmlformats-officedocument.spreadsheetml.comments+xml"/>
  <Override PartName="/xl/worksheets/sheet11.xml" ContentType="application/vnd.openxmlformats-officedocument.spreadsheetml.worksheet+xml"/>
  <Override PartName="/xl/comments3.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阶段实际盈亏" sheetId="2" r:id="rId5"/>
    <sheet name="价格策略模拟" sheetId="3" r:id="rId6"/>
    <sheet name="总表（阶段盈亏）" sheetId="4" r:id="rId7"/>
    <sheet name="毛利盈亏" sheetId="5" r:id="rId8"/>
    <sheet name="总表（阶段盈亏） (调整后)" sheetId="6" r:id="rId9"/>
    <sheet name="CPC表格" sheetId="7" r:id="rId10"/>
    <sheet name="推广目标" sheetId="8" r:id="rId11"/>
    <sheet name="推广计划" sheetId="9" r:id="rId12"/>
    <sheet name="广告计划" sheetId="10" r:id="rId13"/>
    <sheet name="利润&amp;ROI测算" sheetId="11" r:id="rId14"/>
    <sheet name="2" sheetId="12" r:id="rId15" state="hidden"/>
    <sheet name="逮虾户上贴费用详情" sheetId="13" r:id="rId16" state="hidden"/>
    <sheet name="西柚找词垃圾词" sheetId="14" r:id="rId17"/>
    <sheet name="发补货模型" sheetId="15" r:id="rId18"/>
    <sheet name="关键词追踪表" sheetId="16" r:id="rId19"/>
    <sheet name="每日竞品追踪" sheetId="17" r:id="rId2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7" authorId="0" shapeId="0" xr:uid="{7b40049a-9857-4b37-831a-4be64f6e6df9}">
      <text>
        <r>
          <rPr>
            <b/>
            <sz val="9"/>
            <color rgb="FF000000"/>
            <rFont val="Calibri"/>
            <family val="2"/>
          </rPr>
          <t xml:space="preserve">Administrator:
</t>
        </r>
        <r>
          <rPr>
            <sz val="9"/>
            <color rgb="FF000000"/>
            <rFont val="Calibri"/>
            <family val="2"/>
          </rPr>
          <t xml:space="preserve">
核心关键词 选取，milbensauger，  milbenstaubsauger 
milbensauger für matratzen，
milbensauger mit uv licht  
 长尾词
milbenstaubsauger
handstaubsauger手持吸尘器
milbensauger für matratzen testsieger
matratzenreiniger gerät</t>
        </r>
      </text>
    </comment>
    <comment ref="B5" authorId="0" shapeId="0" xr:uid="{a910ac1b-a215-4217-95ce-cd68391383e4}">
      <text>
        <r>
          <rPr>
            <b/>
            <sz val="9"/>
            <color rgb="FF000000"/>
            <rFont val="Calibri"/>
            <family val="2"/>
          </rPr>
          <t>Administrator:</t>
        </r>
        <r>
          <rPr>
            <sz val="9"/>
            <color rgb="FF000000"/>
            <rFont val="Calibri"/>
            <family val="2"/>
          </rPr>
          <t xml:space="preserve">
BSR
#204,431 in Küche, Haushalt &amp; Wohnen
#27 in Matratzensauger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P12" authorId="0" shapeId="0" xr:uid="{062398ca-a3da-4cba-9eeb-3d31ba748c3d}">
      <text>
        <r>
          <rPr>
            <b/>
            <sz val="9"/>
            <color rgb="FF000000"/>
            <rFont val="Calibri"/>
            <family val="2"/>
          </rPr>
          <t>Administrator:</t>
        </r>
        <r>
          <rPr>
            <sz val="9"/>
            <color rgb="FF000000"/>
            <rFont val="Calibri"/>
            <family val="2"/>
          </rPr>
          <t xml:space="preserve">
关键词
milbensauger
milbensauger für matratzen
sofa reiniger
matratzenreiniger
milbensauger für matratzen testsieger
milbensauger mit uv licht
hoover milbensauger
milbenstaubsauger
polsterreiniger
teppichreiniger gerät
polsterreinigungsgerät
</t>
        </r>
      </text>
    </comment>
    <comment ref="Q12" authorId="0" shapeId="0" xr:uid="{b1816762-8fde-402d-b210-2ff388f9a657}">
      <text>
        <r>
          <rPr>
            <b/>
            <sz val="9"/>
            <color rgb="FF000000"/>
            <rFont val="Calibri"/>
            <family val="2"/>
          </rPr>
          <t>Administrator:</t>
        </r>
        <r>
          <rPr>
            <sz val="9"/>
            <color rgb="FF000000"/>
            <rFont val="Calibr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2" authorId="0" shapeId="0" xr:uid="{cc226661-d284-4184-9ef1-0f832f76e8e7}">
      <text>
        <r>
          <rPr>
            <b/>
            <sz val="9"/>
            <color rgb="FF000000"/>
            <rFont val="Calibri"/>
            <family val="2"/>
          </rPr>
          <t>作者:</t>
        </r>
        <r>
          <rPr>
            <sz val="9"/>
            <color rgb="FF000000"/>
            <rFont val="Calibri"/>
            <family val="2"/>
          </rPr>
          <t xml:space="preserve">
币种：EU</t>
        </r>
      </text>
    </comment>
    <comment ref="BR2" authorId="0" shapeId="0" xr:uid="{98dc2b6a-f851-4302-bf10-df6144927b59}">
      <text>
        <r>
          <rPr>
            <b/>
            <sz val="9"/>
            <color rgb="FF000000"/>
            <rFont val="Calibri"/>
            <family val="2"/>
          </rPr>
          <t>作者:</t>
        </r>
        <r>
          <rPr>
            <sz val="9"/>
            <color rgb="FF000000"/>
            <rFont val="Calibri"/>
            <family val="2"/>
          </rPr>
          <t xml:space="preserve">
增加礼品卡测评费用400*$8</t>
        </r>
      </text>
    </comment>
    <comment ref="F2" authorId="0" shapeId="0" xr:uid="{81347aa6-b83d-4437-923b-f7a446b68f9e}">
      <text>
        <r>
          <rPr>
            <b/>
            <sz val="9"/>
            <color rgb="FF000000"/>
            <rFont val="Calibri"/>
            <family val="2"/>
          </rPr>
          <t xml:space="preserve">作者:
</t>
        </r>
      </text>
    </comment>
    <comment ref="V2" authorId="0" shapeId="0" xr:uid="{32ca8e86-2b90-4602-ae60-5a5c6d15f981}">
      <text>
        <r>
          <rPr>
            <b/>
            <sz val="9"/>
            <color rgb="FF000000"/>
            <rFont val="Calibri"/>
            <family val="2"/>
          </rPr>
          <t>作者:</t>
        </r>
        <r>
          <rPr>
            <sz val="9"/>
            <color rgb="FF000000"/>
            <rFont val="Calibri"/>
            <family val="2"/>
          </rPr>
          <t xml:space="preserve">
按照10% coupon计算</t>
        </r>
      </text>
    </comment>
    <comment ref="BB2" authorId="0" shapeId="0" xr:uid="{01e2f70d-2e80-43cd-8361-f1f239441f29}">
      <text>
        <r>
          <rPr>
            <b/>
            <sz val="9"/>
            <color rgb="FF000000"/>
            <rFont val="Calibri"/>
            <family val="2"/>
          </rPr>
          <t>作者:</t>
        </r>
        <r>
          <rPr>
            <sz val="9"/>
            <color rgb="FF000000"/>
            <rFont val="Calibri"/>
            <family val="2"/>
          </rPr>
          <t xml:space="preserve">
增加礼品卡测评费
预计400*$8</t>
        </r>
      </text>
    </comment>
  </commentList>
</comments>
</file>

<file path=xl/sharedStrings.xml><?xml version="1.0" encoding="utf-8"?>
<sst xmlns="http://schemas.openxmlformats.org/spreadsheetml/2006/main" count="74" uniqueCount="74">
  <si>
    <t xml:space="preserve">  </t>
  </si>
  <si>
    <t/>
    <r>
      <rPr>
        <sz val="12"/>
        <color rgb="FF000000"/>
        <rFont val="Calibri"/>
        <family val="2"/>
      </rPr>
      <t>毛利</t>
    </r>
    <r>
      <rPr>
        <sz val="7.5"/>
        <color rgb="FF000000"/>
        <rFont val="Calibri"/>
        <family val="2"/>
      </rPr>
      <t>（不含人工、测评、推广等）</t>
    </r>
  </si>
  <si>
    <t/>
    <r>
      <rPr>
        <sz val="12"/>
        <color rgb="FF000000"/>
        <rFont val="Calibri"/>
        <family val="2"/>
      </rPr>
      <t>退货</t>
    </r>
    <r>
      <rPr>
        <sz val="9.75"/>
        <color rgb="FF000000"/>
        <rFont val="Calibri"/>
        <family val="2"/>
      </rPr>
      <t>（2%）</t>
    </r>
  </si>
  <si>
    <t/>
    <r>
      <rPr>
        <u/>
        <sz val="10.5"/>
        <color theme="10"/>
        <rFont val="Calibri"/>
        <family val="2"/>
      </rPr>
      <t>https://www.amazon.com/gp/bestsellers/pet-supplies/3024205011</t>
    </r>
  </si>
  <si>
    <t/>
    <r>
      <rPr>
        <u/>
        <sz val="10.5"/>
        <color theme="10"/>
        <rFont val="Calibri"/>
        <family val="2"/>
      </rPr>
      <t>https://mp.weixin.qq.com/s/hJXWLb-KpYE6J5aK37fUqA?poc_token=HER7cGijba2sEL_p1d8TCVeaPrsbMxX-Mtg-J8JD</t>
    </r>
  </si>
  <si>
    <t/>
    <r>
      <rPr>
        <sz val="10.5"/>
        <color rgb="FF000000"/>
        <rFont val="Calibri"/>
        <family val="2"/>
      </rPr>
      <t xml:space="preserve">推动销售
</t>
    </r>
    <r>
      <rPr>
        <b/>
        <sz val="9"/>
        <color rgb="FF000000"/>
        <rFont val="Calibri"/>
        <family val="2"/>
      </rPr>
      <t>点击率；转化率；订单量；Acos</t>
    </r>
  </si>
  <si>
    <t/>
    <r>
      <rPr>
        <sz val="10.5"/>
        <color rgb="FF000000"/>
        <rFont val="Calibri"/>
        <family val="2"/>
      </rPr>
      <t xml:space="preserve">有效流量引入
</t>
    </r>
    <r>
      <rPr>
        <b/>
        <sz val="9"/>
        <color rgb="FF000000"/>
        <rFont val="Calibri"/>
        <family val="2"/>
      </rPr>
      <t>点击率；转化率；订单量</t>
    </r>
  </si>
  <si>
    <t/>
    <r>
      <rPr>
        <sz val="9.75"/>
        <color rgb="FFFF0000"/>
        <rFont val="Calibri"/>
        <family val="2"/>
      </rPr>
      <t>预估量说明：</t>
    </r>
    <r>
      <rPr>
        <sz val="9.75"/>
        <color rgb="FF000000"/>
        <rFont val="Calibri"/>
        <family val="2"/>
      </rPr>
      <t xml:space="preserve">
平均cpc和转化率的值的预估方法：
1.市场调研得到同行平均cpc的基础上适当上调；
2.正在做的同品类商品的历史cpc基础上适当上调；
平均cpc和转化率计划制定的说明：
新品期间波动大，采用梯度预估
eg:当cpc为2.5$,转化率为5%的时候，完成日销目标对应的广告费为105$/天；
当cpc为2.3$.转化率为7%的时候，完成日销目标对应的广告费为69$/天  B0F1F7J8V3</t>
    </r>
  </si>
  <si>
    <t/>
    <r>
      <rPr>
        <sz val="10.5"/>
        <color rgb="FF000000"/>
        <rFont val="Calibri"/>
        <family val="2"/>
      </rPr>
      <t xml:space="preserve">防守&amp;进攻
</t>
    </r>
    <r>
      <rPr>
        <b/>
        <sz val="9"/>
        <color rgb="FF000000"/>
        <rFont val="Calibri"/>
        <family val="2"/>
      </rPr>
      <t xml:space="preserve">转化率；订单量；Acos/Roas 
</t>
    </r>
    <r>
      <rPr>
        <sz val="10.5"/>
        <color rgb="FF000000"/>
        <rFont val="Calibri"/>
        <family val="2"/>
      </rPr>
      <t>milbensauger</t>
    </r>
  </si>
  <si>
    <t/>
    <r>
      <rPr>
        <sz val="10.5"/>
        <color rgb="FF000000"/>
        <rFont val="Calibri"/>
        <family val="2"/>
      </rPr>
      <t xml:space="preserve">防守&amp;进攻
</t>
    </r>
    <r>
      <rPr>
        <b/>
        <sz val="9"/>
        <color rgb="FF000000"/>
        <rFont val="Calibri"/>
        <family val="2"/>
      </rPr>
      <t>转化率；订单量；Acos/Roas</t>
    </r>
  </si>
  <si>
    <t/>
    <r>
      <rPr>
        <b/>
        <sz val="9.75"/>
        <color rgb="FF000000"/>
        <rFont val="Calibri"/>
        <family val="2"/>
      </rPr>
      <t>RMA</t>
    </r>
    <r>
      <rPr>
        <b/>
        <sz val="9.75"/>
        <color rgb="FF000000"/>
        <rFont val="Calibri"/>
        <family val="2"/>
      </rPr>
      <t>扣减</t>
    </r>
  </si>
  <si>
    <t/>
    <r>
      <rPr>
        <b/>
        <sz val="9.75"/>
        <color rgb="FF000000"/>
        <rFont val="Calibri"/>
        <family val="2"/>
      </rPr>
      <t xml:space="preserve">回款额
U</t>
    </r>
    <r>
      <rPr>
        <b/>
        <sz val="9.75"/>
        <color rgb="FF000000"/>
        <rFont val="Calibri"/>
        <family val="2"/>
      </rPr>
      <t>S</t>
    </r>
  </si>
  <si>
    <t/>
    <r>
      <rPr>
        <b/>
        <sz val="9.75"/>
        <color rgb="FF000000"/>
        <rFont val="Calibri"/>
        <family val="2"/>
      </rPr>
      <t xml:space="preserve">净毛利 </t>
    </r>
    <r>
      <rPr>
        <b/>
        <sz val="9.75"/>
        <color rgb="FF000000"/>
        <rFont val="Calibri"/>
        <family val="2"/>
      </rPr>
      <t>US</t>
    </r>
  </si>
  <si>
    <t/>
    <r>
      <rPr>
        <b/>
        <sz val="9.75"/>
        <color rgb="FFFF0000"/>
        <rFont val="Calibri"/>
        <family val="2"/>
      </rPr>
      <t>MC/</t>
    </r>
    <r>
      <rPr>
        <b/>
        <sz val="9.75"/>
        <color rgb="FFFF0000"/>
        <rFont val="Calibri"/>
        <family val="2"/>
      </rPr>
      <t>个</t>
    </r>
  </si>
  <si>
    <t/>
    <r>
      <rPr>
        <b/>
        <sz val="9.75"/>
        <color rgb="FF000000"/>
        <rFont val="Calibri"/>
        <family val="2"/>
      </rPr>
      <t>退换货分摊</t>
    </r>
    <r>
      <rPr>
        <b/>
        <sz val="9.75"/>
        <color rgb="FF000000"/>
        <rFont val="Calibri"/>
        <family val="2"/>
      </rPr>
      <t xml:space="preserve">
/</t>
    </r>
    <r>
      <rPr>
        <b/>
        <sz val="9.75"/>
        <color rgb="FF000000"/>
        <rFont val="Calibri"/>
        <family val="2"/>
      </rPr>
      <t>个</t>
    </r>
  </si>
  <si>
    <t/>
    <r>
      <rPr>
        <b/>
        <sz val="9.75"/>
        <color rgb="FFFF0000"/>
        <rFont val="Calibri"/>
        <family val="2"/>
      </rPr>
      <t>FBA</t>
    </r>
    <r>
      <rPr>
        <b/>
        <sz val="9.75"/>
        <color rgb="FFFF0000"/>
        <rFont val="Calibri"/>
        <family val="2"/>
      </rPr>
      <t>配送费</t>
    </r>
  </si>
  <si>
    <t/>
    <r>
      <rPr>
        <u/>
        <sz val="10.5"/>
        <color theme="10"/>
        <rFont val="Calibri"/>
        <family val="2"/>
      </rPr>
      <t>Amazon.com</t>
    </r>
  </si>
  <si>
    <t/>
    <r>
      <rPr>
        <u/>
        <sz val="9.75"/>
        <color theme="10"/>
        <rFont val="Calibri"/>
        <family val="2"/>
      </rPr>
      <t>查看链接</t>
    </r>
  </si>
  <si>
    <t/>
    <r>
      <rPr>
        <u/>
        <sz val="9.75"/>
        <color theme="10"/>
        <rFont val="Calibri"/>
        <family val="2"/>
      </rPr>
      <t>查看帖子</t>
    </r>
  </si>
  <si>
    <t/>
    <r>
      <rPr>
        <u/>
        <sz val="9.75"/>
        <color theme="10"/>
        <rFont val="Calibri"/>
        <family val="2"/>
      </rPr>
      <t>查看图片</t>
    </r>
  </si>
  <si>
    <t/>
    <r>
      <rPr>
        <sz val="10.5"/>
        <color rgb="FF000000"/>
        <rFont val="Calibri"/>
        <family val="2"/>
      </rPr>
      <t>garmin</t>
    </r>
    <r>
      <rPr>
        <sz val="10.5"/>
        <color rgb="FF000000"/>
        <rFont val="Calibri"/>
        <family val="2"/>
      </rPr>
      <t xml:space="preserve"> </t>
    </r>
  </si>
  <si>
    <t/>
    <r>
      <rPr>
        <sz val="10.5"/>
        <color rgb="FF000000"/>
        <rFont val="Calibri"/>
        <family val="2"/>
      </rPr>
      <t xml:space="preserve">3 channel</t>
    </r>
    <r>
      <rPr>
        <sz val="10.5"/>
        <color rgb="FF000000"/>
        <rFont val="Calibri"/>
        <family val="2"/>
      </rPr>
      <t xml:space="preserve"> </t>
    </r>
  </si>
  <si>
    <t/>
    <r>
      <rPr>
        <sz val="10.5"/>
        <color rgb="FF000000"/>
        <rFont val="Calibri"/>
        <family val="2"/>
      </rPr>
      <t>izeeker</t>
    </r>
    <r>
      <rPr>
        <sz val="10.5"/>
        <color rgb="FF000000"/>
        <rFont val="Calibri"/>
        <family val="2"/>
      </rPr>
      <t xml:space="preserve"> </t>
    </r>
  </si>
  <si>
    <t/>
    <r>
      <rPr>
        <sz val="10.5"/>
        <color rgb="FF000000"/>
        <rFont val="Calibri"/>
        <family val="2"/>
      </rPr>
      <t xml:space="preserve"> </t>
    </r>
    <r>
      <rPr>
        <sz val="10.5"/>
        <color rgb="FF000000"/>
        <rFont val="Calibri"/>
        <family val="2"/>
      </rPr>
      <t>speed</t>
    </r>
    <r>
      <rPr>
        <sz val="10.5"/>
        <color rgb="FF000000"/>
        <rFont val="Calibri"/>
        <family val="2"/>
      </rPr>
      <t xml:space="preserve"> </t>
    </r>
  </si>
  <si>
    <t/>
    <r>
      <rPr>
        <sz val="10.5"/>
        <color rgb="FF000000"/>
        <rFont val="Calibri"/>
        <family val="2"/>
      </rPr>
      <t xml:space="preserve">car camera</t>
    </r>
    <r>
      <rPr>
        <sz val="10.5"/>
        <color rgb="FF000000"/>
        <rFont val="Calibri"/>
        <family val="2"/>
      </rPr>
      <t xml:space="preserve">  </t>
    </r>
    <r>
      <rPr>
        <sz val="10.5"/>
        <color rgb="FF000000"/>
        <rFont val="Calibri"/>
        <family val="2"/>
      </rPr>
      <t xml:space="preserve">dash cam front and rear 4k</t>
    </r>
  </si>
  <si>
    <t/>
    <r>
      <rPr>
        <sz val="10.5"/>
        <color rgb="FF000000"/>
        <rFont val="Calibri"/>
        <family val="2"/>
      </rPr>
      <t>auto</t>
    </r>
    <r>
      <rPr>
        <sz val="10.5"/>
        <color rgb="FF000000"/>
        <rFont val="Calibri"/>
        <family val="2"/>
      </rPr>
      <t xml:space="preserve"> </t>
    </r>
  </si>
  <si>
    <t/>
    <r>
      <rPr>
        <sz val="10.5"/>
        <color rgb="FF000000"/>
        <rFont val="Calibri"/>
        <family val="2"/>
      </rPr>
      <t xml:space="preserve"> </t>
    </r>
    <r>
      <rPr>
        <sz val="10.5"/>
        <color rgb="FF000000"/>
        <rFont val="Calibri"/>
        <family val="2"/>
      </rPr>
      <t>screen</t>
    </r>
  </si>
  <si>
    <t/>
    <r>
      <rPr>
        <sz val="10.5"/>
        <color rgb="FF000000"/>
        <rFont val="Calibri"/>
        <family val="2"/>
      </rPr>
      <t>sensors</t>
    </r>
    <r>
      <rPr>
        <sz val="10.5"/>
        <color rgb="FF000000"/>
        <rFont val="Calibri"/>
        <family val="2"/>
      </rPr>
      <t xml:space="preserve"> </t>
    </r>
  </si>
  <si>
    <t/>
    <r>
      <rPr>
        <sz val="10.5"/>
        <color rgb="FF000000"/>
        <rFont val="Calibri"/>
        <family val="2"/>
      </rPr>
      <t>parking</t>
    </r>
    <r>
      <rPr>
        <sz val="10.5"/>
        <color rgb="FF000000"/>
        <rFont val="Calibri"/>
        <family val="2"/>
      </rPr>
      <t xml:space="preserve"> </t>
    </r>
  </si>
  <si>
    <t/>
    <r>
      <rPr>
        <sz val="10.5"/>
        <color rgb="FF000000"/>
        <rFont val="Calibri"/>
        <family val="2"/>
      </rPr>
      <t xml:space="preserve"> </t>
    </r>
    <r>
      <rPr>
        <sz val="10.5"/>
        <color rgb="FF000000"/>
        <rFont val="Calibri"/>
        <family val="2"/>
      </rPr>
      <t>rear</t>
    </r>
  </si>
  <si>
    <t/>
    <r>
      <rPr>
        <sz val="10.5"/>
        <color rgb="FF000000"/>
        <rFont val="Calibri"/>
        <family val="2"/>
      </rPr>
      <t xml:space="preserve">car screen</t>
    </r>
    <r>
      <rPr>
        <sz val="10.5"/>
        <color rgb="FF000000"/>
        <rFont val="Calibri"/>
        <family val="2"/>
      </rPr>
      <t xml:space="preserve"> </t>
    </r>
  </si>
  <si>
    <t/>
    <r>
      <rPr>
        <sz val="10.5"/>
        <color rgb="FF000000"/>
        <rFont val="Calibri"/>
        <family val="2"/>
      </rPr>
      <t>pruveeo</t>
    </r>
    <r>
      <rPr>
        <sz val="10.5"/>
        <color rgb="FF000000"/>
        <rFont val="Calibri"/>
        <family val="2"/>
      </rPr>
      <t xml:space="preserve"> </t>
    </r>
  </si>
  <si>
    <t/>
    <r>
      <rPr>
        <sz val="10.5"/>
        <color rgb="FF000000"/>
        <rFont val="Calibri"/>
        <family val="2"/>
      </rPr>
      <t>apeman</t>
    </r>
    <r>
      <rPr>
        <sz val="10.5"/>
        <color rgb="FF000000"/>
        <rFont val="Calibri"/>
        <family val="2"/>
      </rPr>
      <t xml:space="preserve"> </t>
    </r>
  </si>
  <si>
    <t/>
    <r>
      <rPr>
        <sz val="10.5"/>
        <color rgb="FF000000"/>
        <rFont val="Calibri"/>
        <family val="2"/>
      </rPr>
      <t>rove</t>
    </r>
    <r>
      <rPr>
        <sz val="10.5"/>
        <color rgb="FF000000"/>
        <rFont val="Calibri"/>
        <family val="2"/>
      </rPr>
      <t xml:space="preserve"> </t>
    </r>
  </si>
  <si>
    <t/>
    <r>
      <rPr>
        <sz val="10.5"/>
        <color rgb="FF000000"/>
        <rFont val="Calibri"/>
        <family val="2"/>
      </rPr>
      <t xml:space="preserve"> </t>
    </r>
    <r>
      <rPr>
        <sz val="10.5"/>
        <color rgb="FF000000"/>
        <rFont val="Calibri"/>
        <family val="2"/>
      </rPr>
      <t xml:space="preserve">r2 4k</t>
    </r>
    <r>
      <rPr>
        <sz val="10.5"/>
        <color rgb="FF000000"/>
        <rFont val="Calibri"/>
        <family val="2"/>
      </rPr>
      <t xml:space="preserve"> </t>
    </r>
  </si>
  <si>
    <t/>
    <r>
      <rPr>
        <sz val="10.5"/>
        <color rgb="FF000000"/>
        <rFont val="Calibri"/>
        <family val="2"/>
      </rPr>
      <t>apex</t>
    </r>
    <r>
      <rPr>
        <sz val="10.5"/>
        <color rgb="FF000000"/>
        <rFont val="Calibri"/>
        <family val="2"/>
      </rPr>
      <t xml:space="preserve"> </t>
    </r>
  </si>
  <si>
    <t/>
    <r>
      <rPr>
        <sz val="10.5"/>
        <color rgb="FF000000"/>
        <rFont val="Calibri"/>
        <family val="2"/>
      </rPr>
      <t>small</t>
    </r>
    <r>
      <rPr>
        <sz val="10.5"/>
        <color rgb="FF000000"/>
        <rFont val="Calibri"/>
        <family val="2"/>
      </rPr>
      <t xml:space="preserve"> </t>
    </r>
  </si>
  <si>
    <t/>
    <r>
      <rPr>
        <sz val="10.5"/>
        <color rgb="FF000000"/>
        <rFont val="Calibri"/>
        <family val="2"/>
      </rPr>
      <t>code</t>
    </r>
    <r>
      <rPr>
        <sz val="10.5"/>
        <color rgb="FF000000"/>
        <rFont val="Calibri"/>
        <family val="2"/>
      </rPr>
      <t xml:space="preserve"> </t>
    </r>
  </si>
  <si>
    <t/>
    <r>
      <rPr>
        <sz val="10.5"/>
        <color rgb="FF000000"/>
        <rFont val="Calibri"/>
        <family val="2"/>
      </rPr>
      <t xml:space="preserve"> </t>
    </r>
    <r>
      <rPr>
        <sz val="10.5"/>
        <color rgb="FF000000"/>
        <rFont val="Calibri"/>
        <family val="2"/>
      </rPr>
      <t xml:space="preserve">front and rear wireless</t>
    </r>
  </si>
  <si>
    <t/>
    <r>
      <rPr>
        <sz val="10.5"/>
        <color rgb="FF000000"/>
        <rFont val="Calibri"/>
        <family val="2"/>
      </rPr>
      <t>star</t>
    </r>
    <r>
      <rPr>
        <sz val="10.5"/>
        <color rgb="FF000000"/>
        <rFont val="Calibri"/>
        <family val="2"/>
      </rPr>
      <t xml:space="preserve"> </t>
    </r>
  </si>
  <si>
    <t/>
    <r>
      <rPr>
        <sz val="10.5"/>
        <color rgb="FF000000"/>
        <rFont val="Calibri"/>
        <family val="2"/>
      </rPr>
      <t>truck</t>
    </r>
    <r>
      <rPr>
        <sz val="10.5"/>
        <color rgb="FF000000"/>
        <rFont val="Calibri"/>
        <family val="2"/>
      </rPr>
      <t xml:space="preserve"> </t>
    </r>
  </si>
  <si>
    <t/>
    <r>
      <rPr>
        <sz val="10.5"/>
        <color rgb="FF000000"/>
        <rFont val="Calibri"/>
        <family val="2"/>
      </rPr>
      <t xml:space="preserve">car camera</t>
    </r>
    <r>
      <rPr>
        <sz val="10.5"/>
        <color rgb="FF000000"/>
        <rFont val="Calibri"/>
        <family val="2"/>
      </rPr>
      <t xml:space="preserve">  </t>
    </r>
    <r>
      <rPr>
        <sz val="10.5"/>
        <color rgb="FF000000"/>
        <rFont val="Calibri"/>
        <family val="2"/>
      </rPr>
      <t xml:space="preserve">dash cam front and rear</t>
    </r>
  </si>
  <si>
    <t/>
    <r>
      <rPr>
        <sz val="10.5"/>
        <color rgb="FF000000"/>
        <rFont val="Calibri"/>
        <family val="2"/>
      </rPr>
      <t xml:space="preserve"> </t>
    </r>
    <r>
      <rPr>
        <sz val="10.5"/>
        <color rgb="FF000000"/>
        <rFont val="Calibri"/>
        <family val="2"/>
      </rPr>
      <t>a810</t>
    </r>
  </si>
  <si>
    <t/>
    <r>
      <rPr>
        <sz val="10.5"/>
        <color rgb="FF000000"/>
        <rFont val="Calibri"/>
        <family val="2"/>
      </rPr>
      <t xml:space="preserve">4 channel</t>
    </r>
    <r>
      <rPr>
        <sz val="10.5"/>
        <color rgb="FF000000"/>
        <rFont val="Calibri"/>
        <family val="2"/>
      </rPr>
      <t xml:space="preserve"> </t>
    </r>
  </si>
  <si>
    <t/>
    <r>
      <rPr>
        <sz val="10.5"/>
        <color rgb="FF000000"/>
        <rFont val="Calibri"/>
        <family val="2"/>
      </rPr>
      <t>discount</t>
    </r>
    <r>
      <rPr>
        <sz val="10.5"/>
        <color rgb="FF000000"/>
        <rFont val="Calibri"/>
        <family val="2"/>
      </rPr>
      <t xml:space="preserve">  </t>
    </r>
    <r>
      <rPr>
        <sz val="10.5"/>
        <color rgb="FF000000"/>
        <rFont val="Calibri"/>
        <family val="2"/>
      </rPr>
      <t xml:space="preserve">low to high</t>
    </r>
  </si>
  <si>
    <t/>
    <r>
      <rPr>
        <sz val="10.5"/>
        <color rgb="FF000000"/>
        <rFont val="Calibri"/>
        <family val="2"/>
      </rPr>
      <t>hidden</t>
    </r>
    <r>
      <rPr>
        <sz val="10.5"/>
        <color rgb="FF000000"/>
        <rFont val="Calibri"/>
        <family val="2"/>
      </rPr>
      <t xml:space="preserve"> </t>
    </r>
  </si>
  <si>
    <t/>
    <r>
      <rPr>
        <sz val="10.5"/>
        <color rgb="FF000000"/>
        <rFont val="Calibri"/>
        <family val="2"/>
      </rPr>
      <t xml:space="preserve"> </t>
    </r>
    <r>
      <rPr>
        <sz val="10.5"/>
        <color rgb="FF000000"/>
        <rFont val="Calibri"/>
        <family val="2"/>
      </rPr>
      <t>men</t>
    </r>
  </si>
  <si>
    <t/>
    <r>
      <rPr>
        <sz val="10.5"/>
        <color rgb="FF000000"/>
        <rFont val="Calibri"/>
        <family val="2"/>
      </rPr>
      <t>redtiger</t>
    </r>
    <r>
      <rPr>
        <sz val="10.5"/>
        <color rgb="FF000000"/>
        <rFont val="Calibri"/>
        <family val="2"/>
      </rPr>
      <t xml:space="preserve"> </t>
    </r>
  </si>
  <si>
    <t/>
    <r>
      <rPr>
        <sz val="10.5"/>
        <color rgb="FF000000"/>
        <rFont val="Calibri"/>
        <family val="2"/>
      </rPr>
      <t xml:space="preserve"> </t>
    </r>
    <r>
      <rPr>
        <sz val="10.5"/>
        <color rgb="FF000000"/>
        <rFont val="Calibri"/>
        <family val="2"/>
      </rPr>
      <t>f7np</t>
    </r>
  </si>
  <si>
    <t/>
    <r>
      <rPr>
        <sz val="10.5"/>
        <color rgb="FF000000"/>
        <rFont val="Calibri"/>
        <family val="2"/>
      </rPr>
      <t xml:space="preserve">ring car camera</t>
    </r>
    <r>
      <rPr>
        <sz val="10.5"/>
        <color rgb="FF000000"/>
        <rFont val="Calibri"/>
        <family val="2"/>
      </rPr>
      <t xml:space="preserve">  </t>
    </r>
    <r>
      <rPr>
        <sz val="10.5"/>
        <color rgb="FF000000"/>
        <rFont val="Calibri"/>
        <family val="2"/>
      </rPr>
      <t xml:space="preserve">dash cam</t>
    </r>
  </si>
  <si>
    <t/>
    <r>
      <rPr>
        <sz val="10.5"/>
        <color rgb="FF000000"/>
        <rFont val="Calibri"/>
        <family val="2"/>
      </rPr>
      <t xml:space="preserve"> </t>
    </r>
    <r>
      <rPr>
        <sz val="10.5"/>
        <color rgb="FF000000"/>
        <rFont val="Calibri"/>
        <family val="2"/>
      </rPr>
      <t xml:space="preserve">battery pack</t>
    </r>
  </si>
  <si>
    <t/>
    <r>
      <rPr>
        <sz val="10.5"/>
        <color rgb="FF000000"/>
        <rFont val="Calibri"/>
        <family val="2"/>
      </rPr>
      <t xml:space="preserve"> </t>
    </r>
    <r>
      <rPr>
        <sz val="10.5"/>
        <color rgb="FF000000"/>
        <rFont val="Calibri"/>
        <family val="2"/>
      </rPr>
      <t>gps</t>
    </r>
  </si>
  <si>
    <t/>
    <r>
      <rPr>
        <sz val="10.5"/>
        <color rgb="FF000000"/>
        <rFont val="Calibri"/>
        <family val="2"/>
      </rPr>
      <t>battery</t>
    </r>
    <r>
      <rPr>
        <sz val="10.5"/>
        <color rgb="FF000000"/>
        <rFont val="Calibri"/>
        <family val="2"/>
      </rPr>
      <t xml:space="preserve"> </t>
    </r>
  </si>
  <si>
    <t/>
    <r>
      <rPr>
        <sz val="10.5"/>
        <color rgb="FF000000"/>
        <rFont val="Calibri"/>
        <family val="2"/>
      </rPr>
      <t>minolta</t>
    </r>
    <r>
      <rPr>
        <sz val="10.5"/>
        <color rgb="FF000000"/>
        <rFont val="Calibri"/>
        <family val="2"/>
      </rPr>
      <t xml:space="preserve"> </t>
    </r>
  </si>
  <si>
    <t/>
    <r>
      <rPr>
        <sz val="10.5"/>
        <color rgb="FF000000"/>
        <rFont val="Calibri"/>
        <family val="2"/>
      </rPr>
      <t>seicane</t>
    </r>
    <r>
      <rPr>
        <sz val="10.5"/>
        <color rgb="FF000000"/>
        <rFont val="Calibri"/>
        <family val="2"/>
      </rPr>
      <t xml:space="preserve"> </t>
    </r>
  </si>
  <si>
    <t/>
    <r>
      <rPr>
        <sz val="10.5"/>
        <color rgb="FF000000"/>
        <rFont val="Calibri"/>
        <family val="2"/>
      </rPr>
      <t>desk</t>
    </r>
    <r>
      <rPr>
        <sz val="10.5"/>
        <color rgb="FF000000"/>
        <rFont val="Calibri"/>
        <family val="2"/>
      </rPr>
      <t xml:space="preserve"> </t>
    </r>
  </si>
  <si>
    <t/>
    <r>
      <rPr>
        <sz val="10.5"/>
        <color rgb="FF000000"/>
        <rFont val="Calibri"/>
        <family val="2"/>
      </rPr>
      <t xml:space="preserve">car camera</t>
    </r>
    <r>
      <rPr>
        <sz val="10.5"/>
        <color rgb="FF000000"/>
        <rFont val="Calibri"/>
        <family val="2"/>
      </rPr>
      <t xml:space="preserve">  </t>
    </r>
    <r>
      <rPr>
        <sz val="10.5"/>
        <color rgb="FF000000"/>
        <rFont val="Calibri"/>
        <family val="2"/>
      </rPr>
      <t xml:space="preserve">dash cam front</t>
    </r>
  </si>
  <si>
    <t/>
    <r>
      <rPr>
        <sz val="10.5"/>
        <color rgb="FF000000"/>
        <rFont val="Calibri"/>
        <family val="2"/>
      </rPr>
      <t xml:space="preserve">red tiger</t>
    </r>
    <r>
      <rPr>
        <sz val="10.5"/>
        <color rgb="FF000000"/>
        <rFont val="Calibri"/>
        <family val="2"/>
      </rPr>
      <t xml:space="preserve"> </t>
    </r>
  </si>
  <si>
    <t/>
    <r>
      <rPr>
        <sz val="10.5"/>
        <color rgb="FF000000"/>
        <rFont val="Calibri"/>
        <family val="2"/>
      </rPr>
      <t xml:space="preserve"> </t>
    </r>
    <r>
      <rPr>
        <sz val="10.5"/>
        <color rgb="FF000000"/>
        <rFont val="Calibri"/>
        <family val="2"/>
      </rPr>
      <t xml:space="preserve">front and rear</t>
    </r>
    <r>
      <rPr>
        <sz val="10.5"/>
        <color rgb="FF000000"/>
        <rFont val="Calibri"/>
        <family val="2"/>
      </rPr>
      <t xml:space="preserve"> </t>
    </r>
  </si>
  <si>
    <t/>
    <r>
      <rPr>
        <sz val="10.5"/>
        <color rgb="FF000000"/>
        <rFont val="Calibri"/>
        <family val="2"/>
      </rPr>
      <t>apexview</t>
    </r>
    <r>
      <rPr>
        <sz val="10.5"/>
        <color rgb="FF000000"/>
        <rFont val="Calibri"/>
        <family val="2"/>
      </rPr>
      <t xml:space="preserve"> </t>
    </r>
  </si>
  <si>
    <t/>
    <r>
      <rPr>
        <sz val="10.5"/>
        <color rgb="FF000000"/>
        <rFont val="Calibri"/>
        <family val="2"/>
      </rPr>
      <t xml:space="preserve"> </t>
    </r>
    <r>
      <rPr>
        <sz val="10.5"/>
        <color rgb="FF000000"/>
        <rFont val="Calibri"/>
        <family val="2"/>
      </rPr>
      <t xml:space="preserve">3 channel</t>
    </r>
  </si>
  <si>
    <t/>
    <r>
      <rPr>
        <sz val="10.5"/>
        <color rgb="FF000000"/>
        <rFont val="Calibri"/>
        <family val="2"/>
      </rPr>
      <t>warehouse</t>
    </r>
    <r>
      <rPr>
        <sz val="10.5"/>
        <color rgb="FF000000"/>
        <rFont val="Calibri"/>
        <family val="2"/>
      </rPr>
      <t xml:space="preserve"> </t>
    </r>
  </si>
  <si>
    <t/>
    <r>
      <rPr>
        <sz val="10.5"/>
        <color rgb="FF000000"/>
        <rFont val="Calibri"/>
        <family val="2"/>
      </rPr>
      <t>viofo</t>
    </r>
    <r>
      <rPr>
        <sz val="10.5"/>
        <color rgb="FF000000"/>
        <rFont val="Calibri"/>
        <family val="2"/>
      </rPr>
      <t xml:space="preserve"> </t>
    </r>
  </si>
  <si>
    <t/>
    <r>
      <rPr>
        <sz val="10.5"/>
        <color rgb="FF000000"/>
        <rFont val="Calibri"/>
        <family val="2"/>
      </rPr>
      <t>azdome</t>
    </r>
    <r>
      <rPr>
        <sz val="10.5"/>
        <color rgb="FF000000"/>
        <rFont val="Calibri"/>
        <family val="2"/>
      </rPr>
      <t xml:space="preserve"> </t>
    </r>
  </si>
  <si>
    <t/>
    <r>
      <rPr>
        <sz val="10.5"/>
        <color rgb="FF000000"/>
        <rFont val="Calibri"/>
        <family val="2"/>
      </rPr>
      <t>thinkware</t>
    </r>
    <r>
      <rPr>
        <sz val="10.5"/>
        <color rgb="FF000000"/>
        <rFont val="Calibri"/>
        <family val="2"/>
      </rPr>
      <t xml:space="preserve"> </t>
    </r>
  </si>
  <si>
    <t/>
    <r>
      <rPr>
        <sz val="10.5"/>
        <color rgb="FF000000"/>
        <rFont val="Calibri"/>
        <family val="2"/>
      </rPr>
      <t xml:space="preserve"> </t>
    </r>
    <r>
      <rPr>
        <sz val="10.5"/>
        <color rgb="FF000000"/>
        <rFont val="Calibri"/>
        <family val="2"/>
      </rPr>
      <t xml:space="preserve">front and rear 4k</t>
    </r>
  </si>
  <si>
    <t/>
    <r>
      <rPr>
        <sz val="10.5"/>
        <color rgb="FF000000"/>
        <rFont val="Calibri"/>
        <family val="2"/>
      </rPr>
      <t xml:space="preserve"> </t>
    </r>
    <r>
      <rPr>
        <sz val="10.5"/>
        <color rgb="FF000000"/>
        <rFont val="Calibri"/>
        <family val="2"/>
      </rPr>
      <t>monitor</t>
    </r>
    <r>
      <rPr>
        <sz val="10.5"/>
        <color rgb="FF000000"/>
        <rFont val="Calibri"/>
        <family val="2"/>
      </rPr>
      <t xml:space="preserve"> </t>
    </r>
  </si>
  <si>
    <t/>
    <r>
      <rPr>
        <sz val="10.5"/>
        <color rgb="FF000000"/>
        <rFont val="Calibri"/>
        <family val="2"/>
      </rPr>
      <t xml:space="preserve"> </t>
    </r>
    <r>
      <rPr>
        <sz val="10.5"/>
        <color rgb="FF000000"/>
        <rFont val="Calibri"/>
        <family val="2"/>
      </rPr>
      <t>click</t>
    </r>
  </si>
  <si>
    <t/>
    <r>
      <rPr>
        <sz val="10.5"/>
        <color rgb="FF000000"/>
        <rFont val="Calibri"/>
        <family val="2"/>
      </rPr>
      <t>roav</t>
    </r>
    <r>
      <rPr>
        <sz val="10.5"/>
        <color rgb="FF000000"/>
        <rFont val="Calibri"/>
        <family val="2"/>
      </rPr>
      <t xml:space="preserve"> </t>
    </r>
  </si>
  <si>
    <t/>
    <r>
      <rPr>
        <sz val="10.5"/>
        <color rgb="FF000000"/>
        <rFont val="Calibri"/>
        <family val="2"/>
      </rPr>
      <t>gopro</t>
    </r>
    <r>
      <rPr>
        <sz val="10.5"/>
        <color rgb="FF000000"/>
        <rFont val="Calibri"/>
        <family val="2"/>
      </rPr>
      <t xml:space="preserve"> </t>
    </r>
  </si>
  <si>
    <t/>
    <r>
      <rPr>
        <sz val="10.5"/>
        <color rgb="FF000000"/>
        <rFont val="Calibri"/>
        <family val="2"/>
      </rPr>
      <t xml:space="preserve"> </t>
    </r>
    <r>
      <rPr>
        <sz val="10.5"/>
        <color rgb="FF000000"/>
        <rFont val="Calibri"/>
        <family val="2"/>
      </rPr>
      <t>pro</t>
    </r>
  </si>
  <si>
    <t/>
    <r>
      <rPr>
        <sz val="10.5"/>
        <color rgb="FF000000"/>
        <rFont val="Calibri"/>
        <family val="2"/>
      </rPr>
      <t>nexar</t>
    </r>
    <r>
      <rPr>
        <sz val="10.5"/>
        <color rgb="FF000000"/>
        <rFont val="Calibri"/>
        <family val="2"/>
      </rPr>
      <t xml:space="preserve"> </t>
    </r>
  </si>
  <si>
    <t/>
    <r>
      <rPr>
        <sz val="10.5"/>
        <color rgb="FF000000"/>
        <rFont val="Calibri"/>
        <family val="2"/>
      </rPr>
      <t xml:space="preserve"> </t>
    </r>
    <r>
      <rPr>
        <sz val="10.5"/>
        <color rgb="FF000000"/>
        <rFont val="Calibri"/>
        <family val="2"/>
      </rPr>
      <t>link</t>
    </r>
  </si>
  <si>
    <t/>
    <r>
      <rPr>
        <sz val="10.5"/>
        <color rgb="FF000000"/>
        <rFont val="Calibri"/>
        <family val="2"/>
      </rPr>
      <t>luxi</t>
    </r>
    <r>
      <rPr>
        <sz val="10.5"/>
        <color rgb="FF000000"/>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</si>
</sst>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2">
    <numFmt numFmtId="164" formatCode="0.00_ "/>
    <numFmt numFmtId="165" formatCode="0.0_ "/>
    <numFmt numFmtId="166" formatCode="0%"/>
    <numFmt numFmtId="167" formatCode="0.00_ "/>
    <numFmt numFmtId="168" formatCode="0.0_ "/>
    <numFmt numFmtId="169" formatCode="0.00%"/>
    <numFmt numFmtId="170" formatCode="0.00_ "/>
    <numFmt numFmtId="171" formatCode="0.00_ "/>
    <numFmt numFmtId="172" formatCode="0%"/>
    <numFmt numFmtId="173" formatCode="0.00"/>
    <numFmt numFmtId="174" formatCode="0.00%"/>
    <numFmt numFmtId="175" formatCode="0.00_ "/>
    <numFmt numFmtId="176" formatCode="0.00%"/>
    <numFmt numFmtId="177" formatCode="0.00%"/>
    <numFmt numFmtId="178" formatCode="0.00_ "/>
    <numFmt numFmtId="179" formatCode="0.00_ "/>
    <numFmt numFmtId="180" formatCode="0.00_ "/>
    <numFmt numFmtId="181" formatCode="0.00_ "/>
    <numFmt numFmtId="182" formatCode="m&quot;月&quot;d&quot;日&quot;"/>
    <numFmt numFmtId="183" formatCode="0.00_ "/>
    <numFmt numFmtId="184" formatCode="0_ "/>
    <numFmt numFmtId="185" formatCode="0%"/>
    <numFmt numFmtId="186" formatCode="0.0_ "/>
    <numFmt numFmtId="187" formatCode="0.00_ "/>
    <numFmt numFmtId="188" formatCode="0_ "/>
    <numFmt numFmtId="189" formatCode="0.00_ "/>
    <numFmt numFmtId="190" formatCode="0.00_ "/>
    <numFmt numFmtId="191" formatCode="0.0_ "/>
    <numFmt numFmtId="192" formatCode="0.00_ "/>
    <numFmt numFmtId="193" formatCode="0.00_ "/>
    <numFmt numFmtId="194" formatCode="0.00%"/>
    <numFmt numFmtId="195" formatCode="0.00_ "/>
    <numFmt numFmtId="196" formatCode="0%"/>
    <numFmt numFmtId="197" formatCode="0_ "/>
    <numFmt numFmtId="198" formatCode="0.0_ "/>
    <numFmt numFmtId="199" formatCode="m&quot;月&quot;d&quot;日&quot;"/>
    <numFmt numFmtId="200" formatCode="0.00_ "/>
    <numFmt numFmtId="201" formatCode="0%"/>
    <numFmt numFmtId="202" formatCode="0.00_ "/>
    <numFmt numFmtId="203" formatCode="0.00%"/>
    <numFmt numFmtId="204" formatCode="0.00_ "/>
    <numFmt numFmtId="205" formatCode="0.00_ "/>
    <numFmt numFmtId="206" formatCode="0.00%"/>
    <numFmt numFmtId="207" formatCode="0.00_ "/>
    <numFmt numFmtId="208" formatCode="0.00_ "/>
    <numFmt numFmtId="209" formatCode="0_ "/>
    <numFmt numFmtId="210" formatCode="0_);(0)"/>
    <numFmt numFmtId="211" formatCode="0_);(0)"/>
    <numFmt numFmtId="212" formatCode="0.00_ "/>
    <numFmt numFmtId="213" formatCode="0.00%"/>
    <numFmt numFmtId="214" formatCode="0.00%"/>
    <numFmt numFmtId="215" formatCode="m&quot;月&quot;d&quot;日&quot;"/>
    <numFmt numFmtId="216" formatCode="0_ "/>
    <numFmt numFmtId="217" formatCode="0.00_ "/>
    <numFmt numFmtId="218" formatCode="0_);(0)"/>
    <numFmt numFmtId="219" formatCode="0_);(0)"/>
    <numFmt numFmtId="220" formatCode="0.00_ "/>
    <numFmt numFmtId="221" formatCode="0.00_ "/>
    <numFmt numFmtId="222" formatCode="0%"/>
    <numFmt numFmtId="223" formatCode="0.0_ "/>
    <numFmt numFmtId="224" formatCode="0.00%"/>
    <numFmt numFmtId="225" formatCode="0_ "/>
    <numFmt numFmtId="226" formatCode="0.00;[Red]0.00"/>
    <numFmt numFmtId="227" formatCode="0.00_ "/>
    <numFmt numFmtId="228" formatCode="0.00_ "/>
    <numFmt numFmtId="229" formatCode="0.00%"/>
    <numFmt numFmtId="230" formatCode="0_ "/>
    <numFmt numFmtId="231" formatCode="0.00_ "/>
    <numFmt numFmtId="232" formatCode="0.00%"/>
    <numFmt numFmtId="233" formatCode="#,##0_ "/>
    <numFmt numFmtId="234" formatCode="#,##0_ "/>
    <numFmt numFmtId="235" formatCode="0.00%"/>
    <numFmt numFmtId="236" formatCode="0%"/>
    <numFmt numFmtId="237" formatCode="yyyy&quot;年&quot;m&quot;月&quot;d&quot;日&quot;"/>
    <numFmt numFmtId="238" formatCode="m&quot;月&quot;d&quot;日&quot;"/>
    <numFmt numFmtId="239" formatCode="0.00_);[Red]\(0.00\)"/>
    <numFmt numFmtId="240" formatCode="General"/>
    <numFmt numFmtId="241" formatCode="0_ "/>
    <numFmt numFmtId="242" formatCode="0.00_);[Red]\(0.00\)"/>
    <numFmt numFmtId="243" formatCode="0%"/>
    <numFmt numFmtId="244" formatCode="0%"/>
    <numFmt numFmtId="245" formatCode="0"/>
    <numFmt numFmtId="246" formatCode="0%"/>
    <numFmt numFmtId="247" formatCode="0_ "/>
    <numFmt numFmtId="248" formatCode="0.00%"/>
    <numFmt numFmtId="249" formatCode="0"/>
    <numFmt numFmtId="250" formatCode="0_ "/>
    <numFmt numFmtId="251" formatCode="0%"/>
    <numFmt numFmtId="252" formatCode="0%"/>
    <numFmt numFmtId="253" formatCode="0%"/>
    <numFmt numFmtId="254" formatCode="0.00%"/>
    <numFmt numFmtId="255" formatCode="0%"/>
    <numFmt numFmtId="256" formatCode="0.00%"/>
    <numFmt numFmtId="257" formatCode="0%"/>
    <numFmt numFmtId="258" formatCode="0%"/>
    <numFmt numFmtId="259" formatCode="0.0%"/>
    <numFmt numFmtId="260" formatCode="0.00_ "/>
    <numFmt numFmtId="261" formatCode="0_ "/>
    <numFmt numFmtId="262" formatCode="0_ "/>
    <numFmt numFmtId="263" formatCode="0"/>
    <numFmt numFmtId="264" formatCode="0.00_ "/>
    <numFmt numFmtId="265" formatCode="0_ "/>
    <numFmt numFmtId="266" formatCode="0.00_ "/>
    <numFmt numFmtId="267" formatCode="0"/>
    <numFmt numFmtId="268" formatCode="0.00_ "/>
    <numFmt numFmtId="269" formatCode="0%"/>
    <numFmt numFmtId="270" formatCode="0%"/>
    <numFmt numFmtId="271" formatCode="0.00_ "/>
    <numFmt numFmtId="272" formatCode="0_ "/>
    <numFmt numFmtId="273" formatCode="0_ "/>
    <numFmt numFmtId="274" formatCode="0_ "/>
    <numFmt numFmtId="275" formatCode="0_ "/>
    <numFmt numFmtId="276" formatCode="0.00_ "/>
    <numFmt numFmtId="277" formatCode="0_ "/>
    <numFmt numFmtId="278" formatCode="0.0%"/>
    <numFmt numFmtId="279" formatCode="0_);[Red]\(0\)"/>
    <numFmt numFmtId="280" formatCode="0%"/>
    <numFmt numFmtId="281" formatCode="0%"/>
    <numFmt numFmtId="282" formatCode="0_);[Red]\(0\)"/>
    <numFmt numFmtId="283" formatCode="0_);[Red]\(0\)"/>
    <numFmt numFmtId="284" formatCode="0.00_);[Red]\(0.00\)"/>
    <numFmt numFmtId="285" formatCode="0"/>
    <numFmt numFmtId="286" formatCode="0_);[Red]\(0\)"/>
    <numFmt numFmtId="287" formatCode="0.00_);[Red]\(0.00\)"/>
    <numFmt numFmtId="288" formatCode="0_);[Red]\(0\)"/>
    <numFmt numFmtId="289" formatCode="0.00_);[Red]\(0.00\)"/>
    <numFmt numFmtId="290" formatCode="0.00_);[Red]\(0.00\)"/>
    <numFmt numFmtId="291" formatCode="0%"/>
    <numFmt numFmtId="292" formatCode="0.00_);[Red]\(0.00\)"/>
    <numFmt numFmtId="293" formatCode="0.00_);[Red]\(0.00\)"/>
    <numFmt numFmtId="294" formatCode="0.00%"/>
    <numFmt numFmtId="295" formatCode="0.00%"/>
    <numFmt numFmtId="296" formatCode="0.00_);[Red]\(0.00\)"/>
    <numFmt numFmtId="297" formatCode="0%"/>
    <numFmt numFmtId="298" formatCode="0.00%"/>
    <numFmt numFmtId="299" formatCode="0.00_);[Red]\(0.00\)"/>
    <numFmt numFmtId="300" formatCode="0.00%"/>
    <numFmt numFmtId="301" formatCode="0.00_);[Red]\(0.00\)"/>
    <numFmt numFmtId="302" formatCode="0.00%"/>
    <numFmt numFmtId="303" formatCode="0_);[Red]\(0\)"/>
    <numFmt numFmtId="304" formatCode="0.00_);[Red]\(0.00\)"/>
    <numFmt numFmtId="305" formatCode="0.00"/>
    <numFmt numFmtId="306" formatCode="0%"/>
    <numFmt numFmtId="307" formatCode="0%"/>
    <numFmt numFmtId="308" formatCode="0.00"/>
    <numFmt numFmtId="309" formatCode="0%"/>
    <numFmt numFmtId="310" formatCode="0%"/>
    <numFmt numFmtId="311" formatCode="0_);[Red]\(0\)"/>
    <numFmt numFmtId="312" formatCode="0.00_);[Red]\(0.00\)"/>
    <numFmt numFmtId="313" formatCode="0_);[Red]\(0\)"/>
    <numFmt numFmtId="314" formatCode="0"/>
    <numFmt numFmtId="315" formatCode="0.00"/>
    <numFmt numFmtId="316" formatCode="0"/>
    <numFmt numFmtId="317" formatCode="0%"/>
    <numFmt numFmtId="318" formatCode="0_);[Red]\(0\)"/>
    <numFmt numFmtId="319" formatCode="0.00_);[Red]\(0.00\)"/>
    <numFmt numFmtId="320" formatCode="0%"/>
    <numFmt numFmtId="321" formatCode="0.00_);[Red]\(0.00\)"/>
    <numFmt numFmtId="322" formatCode="0_);[Red]\(0\)"/>
    <numFmt numFmtId="323" formatCode="0.00_);[Red]\(0.00\)"/>
    <numFmt numFmtId="324" formatCode="0.00_);[Red]\(0.00\)"/>
    <numFmt numFmtId="325" formatCode="0.00_);[Red]\(0.00\)"/>
    <numFmt numFmtId="326" formatCode="0.00%"/>
    <numFmt numFmtId="327" formatCode="0.00_);[Red]\(0.00\)"/>
    <numFmt numFmtId="328" formatCode="0.00_);[Red]\(0.00\)"/>
    <numFmt numFmtId="329" formatCode="0.00_);[Red]\(0.00\)"/>
    <numFmt numFmtId="330" formatCode="0.00_);[Red]\(0.00\)"/>
    <numFmt numFmtId="331" formatCode="0.00_);[Red]\(0.00\)"/>
    <numFmt numFmtId="332" formatCode="0.00_);[Red]\(0.00\)"/>
    <numFmt numFmtId="333" formatCode="0.00_);[Red]\(0.00\)"/>
    <numFmt numFmtId="334" formatCode="0_);[Red]\(0\)"/>
    <numFmt numFmtId="335" formatCode="0.00_);[Red]\(0.00\)"/>
    <numFmt numFmtId="336" formatCode="0.00_);[Red]\(0.00\)"/>
    <numFmt numFmtId="337" formatCode="0.00_);[Red]\(0.00\)"/>
    <numFmt numFmtId="338" formatCode="0_);\(0\)"/>
    <numFmt numFmtId="339" formatCode="0.00_ "/>
    <numFmt numFmtId="340" formatCode="0.00"/>
    <numFmt numFmtId="341" formatCode="0.00"/>
    <numFmt numFmtId="342" formatCode="0.00"/>
    <numFmt numFmtId="343" formatCode="0.00"/>
    <numFmt numFmtId="344" formatCode="yyyy/m/d"/>
    <numFmt numFmtId="345" formatCode="yyyy/m/d"/>
  </numFmts>
  <fonts count="30">
    <font>
      <sz val="10"/>
      <color theme="1"/>
      <name val="Calibri"/>
      <family val="2"/>
      <scheme val="minor"/>
    </font>
    <font>
      <sz val="10.5"/>
      <color rgb="FF000000"/>
      <name val="Calibri"/>
      <family val="2"/>
      <scheme val="minor"/>
    </font>
    <font>
      <b val="true"/>
      <sz val="10.5"/>
      <color rgb="FF000000"/>
      <name val="Calibri"/>
      <family val="2"/>
      <scheme val="minor"/>
    </font>
    <font>
      <sz val="9.75"/>
      <color rgb="FF000000"/>
      <name val="Calibri"/>
      <family val="2"/>
      <scheme val="minor"/>
    </font>
    <font>
      <b val="true"/>
      <sz val="9.75"/>
      <color rgb="FF000000"/>
      <name val="Calibri"/>
      <family val="2"/>
      <scheme val="minor"/>
    </font>
    <font>
      <sz val="9.75"/>
      <color rgb="FF000000"/>
      <name val="Calibri"/>
      <family val="2"/>
      <scheme val="minor"/>
    </font>
    <font>
      <b val="true"/>
      <sz val="12"/>
      <color rgb="FF000000"/>
      <name val="Calibri"/>
      <family val="2"/>
      <scheme val="minor"/>
    </font>
    <font>
      <sz val="12"/>
      <color rgb="FF000000"/>
      <name val="Calibri"/>
      <family val="2"/>
      <scheme val="minor"/>
    </font>
    <font>
      <b val="true"/>
      <sz val="12"/>
      <color rgb="FFFF0000"/>
      <name val="Calibri"/>
      <family val="2"/>
      <scheme val="minor"/>
    </font>
    <font>
      <sz val="12"/>
      <color rgb="FFFF0000"/>
      <name val="Calibri"/>
      <family val="2"/>
      <scheme val="minor"/>
    </font>
    <font>
      <b val="true"/>
      <sz val="10.5"/>
      <color rgb="FF7030A0"/>
      <name val="Calibri"/>
      <family val="2"/>
      <scheme val="minor"/>
    </font>
    <font>
      <b val="true"/>
      <sz val="13.5"/>
      <color rgb="FF000000"/>
      <name val="Calibri"/>
      <family val="2"/>
      <scheme val="minor"/>
    </font>
    <font>
      <u val="single"/>
      <sz val="10.5"/>
      <color rgb="FF0066CC"/>
      <name val="Calibri"/>
      <family val="2"/>
      <scheme val="minor"/>
    </font>
    <font>
      <u val="single"/>
      <sz val="10.5"/>
      <color rgb="FF0000FF"/>
      <name val="Calibri"/>
      <family val="2"/>
      <scheme val="minor"/>
    </font>
    <font>
      <sz val="10.5"/>
      <color rgb="FF0000FF"/>
      <name val="Calibri"/>
      <family val="2"/>
      <scheme val="minor"/>
    </font>
    <font>
      <b val="true"/>
      <sz val="10.5"/>
      <color rgb="FFFF0000"/>
      <name val="Calibri"/>
      <family val="2"/>
      <scheme val="minor"/>
    </font>
    <font>
      <sz val="9.75"/>
      <color rgb="FFFFFFFF"/>
      <name val="Calibri"/>
      <family val="2"/>
      <scheme val="minor"/>
    </font>
    <font>
      <sz val="9"/>
      <color rgb="FF000000"/>
      <name val="Calibri"/>
      <family val="2"/>
      <scheme val="minor"/>
    </font>
    <font>
      <sz val="10.5"/>
      <color rgb="FFFF0000"/>
      <name val="Calibri"/>
      <family val="2"/>
      <scheme val="minor"/>
    </font>
    <font>
      <sz val="9"/>
      <color rgb="FFFF0000"/>
      <name val="Calibri"/>
      <family val="2"/>
      <scheme val="minor"/>
    </font>
    <font>
      <b val="true"/>
      <sz val="9.75"/>
      <color rgb="FFFF0000"/>
      <name val="Calibri"/>
      <family val="2"/>
      <scheme val="minor"/>
    </font>
    <font>
      <i val="true"/>
      <sz val="10.5"/>
      <color rgb="FF000000"/>
      <name val="Calibri"/>
      <family val="2"/>
      <scheme val="minor"/>
    </font>
    <font>
      <b val="true"/>
      <i val="true"/>
      <sz val="10.5"/>
      <color rgb="FF000000"/>
      <name val="Calibri"/>
      <family val="2"/>
      <scheme val="minor"/>
    </font>
    <font>
      <sz val="10.5"/>
      <color rgb="FF000000"/>
      <name val="Calibri"/>
      <family val="2"/>
      <scheme val="minor"/>
    </font>
    <font>
      <b val="true"/>
      <i val="true"/>
      <sz val="10.5"/>
      <color rgb="FFFF0000"/>
      <name val="Calibri"/>
      <family val="2"/>
      <scheme val="minor"/>
    </font>
    <font>
      <b val="true"/>
      <sz val="12"/>
      <color rgb="FF000000"/>
      <name val="Calibri"/>
      <family val="2"/>
      <scheme val="minor"/>
    </font>
    <font>
      <sz val="12"/>
      <color rgb="FF000000"/>
      <name val="Calibri"/>
      <family val="2"/>
      <scheme val="minor"/>
    </font>
    <font>
      <u val="single"/>
      <sz val="9.75"/>
      <color rgb="FF0066CC"/>
      <name val="Calibri"/>
      <family val="2"/>
      <scheme val="minor"/>
    </font>
    <font>
      <b val="true"/>
      <sz val="9.75"/>
      <color rgb="FF000000"/>
      <name val="Calibri"/>
      <family val="2"/>
      <scheme val="minor"/>
    </font>
    <font>
      <b val="true"/>
      <sz val="10.5"/>
      <color rgb="FFFFFFFF"/>
      <name val="Calibri"/>
      <family val="2"/>
      <scheme val="minor"/>
    </font>
  </fonts>
  <fills count="147">
    <fill>
      <patternFill patternType="none">
        <fgColor/>
        <bgColor/>
      </patternFill>
    </fill>
    <fill>
      <patternFill patternType="gray125">
        <fgColor/>
        <bgColor/>
      </patternFill>
    </fill>
    <fill>
      <patternFill patternType="solid">
        <fgColor rgb="FF00B0F0"/>
        <bgColor/>
      </patternFill>
    </fill>
    <fill>
      <patternFill patternType="solid">
        <fgColor rgb="FFFF00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92D050"/>
        <bgColor/>
      </patternFill>
    </fill>
    <fill>
      <patternFill patternType="solid">
        <fgColor rgb="FFFFFF00"/>
        <bgColor/>
      </patternFill>
    </fill>
    <fill>
      <patternFill patternType="solid">
        <fgColor rgb="FF92D050"/>
        <bgColor/>
      </patternFill>
    </fill>
    <fill>
      <patternFill patternType="solid">
        <fgColor rgb="FFFFFF00"/>
        <bgColor/>
      </patternFill>
    </fill>
    <fill>
      <patternFill patternType="solid">
        <fgColor rgb="FFBDD7EE"/>
        <bgColor/>
      </patternFill>
    </fill>
    <fill>
      <patternFill patternType="solid">
        <fgColor rgb="FFBDD7EE"/>
        <bgColor/>
      </patternFill>
    </fill>
    <fill>
      <patternFill patternType="solid">
        <fgColor rgb="FFBDD7EE"/>
        <bgColor/>
      </patternFill>
    </fill>
    <fill>
      <patternFill patternType="solid">
        <fgColor rgb="FFFF0000"/>
        <bgColor/>
      </patternFill>
    </fill>
    <fill>
      <patternFill patternType="solid">
        <fgColor rgb="FFFF00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C000"/>
        <bgColor/>
      </patternFill>
    </fill>
    <fill>
      <patternFill patternType="solid">
        <fgColor rgb="FFBDD7EE"/>
        <bgColor/>
      </patternFill>
    </fill>
    <fill>
      <patternFill patternType="solid">
        <fgColor rgb="FFFFC000"/>
        <bgColor/>
      </patternFill>
    </fill>
    <fill>
      <patternFill patternType="solid">
        <fgColor rgb="FFD0CECE"/>
        <bgColor/>
      </patternFill>
    </fill>
    <fill>
      <patternFill patternType="solid">
        <fgColor rgb="FF92D050"/>
        <bgColor/>
      </patternFill>
    </fill>
    <fill>
      <patternFill patternType="solid">
        <fgColor rgb="FFFFC000"/>
        <bgColor/>
      </patternFill>
    </fill>
    <fill>
      <patternFill patternType="solid">
        <fgColor rgb="FFFFC000"/>
        <bgColor/>
      </patternFill>
    </fill>
    <fill>
      <patternFill patternType="solid">
        <fgColor rgb="FFBDD7EE"/>
        <bgColor/>
      </patternFill>
    </fill>
    <fill>
      <patternFill patternType="solid">
        <fgColor rgb="FFFFC000"/>
        <bgColor/>
      </patternFill>
    </fill>
    <fill>
      <patternFill patternType="solid">
        <fgColor rgb="FFFFC000"/>
        <bgColor/>
      </patternFill>
    </fill>
    <fill>
      <patternFill patternType="solid">
        <fgColor rgb="FFD0CECE"/>
        <bgColor/>
      </patternFill>
    </fill>
    <fill>
      <patternFill patternType="solid">
        <fgColor rgb="FFBDD7EE"/>
        <bgColor/>
      </patternFill>
    </fill>
    <fill>
      <patternFill patternType="solid">
        <fgColor rgb="FFBDD7EE"/>
        <bgColor/>
      </patternFill>
    </fill>
    <fill>
      <patternFill patternType="solid">
        <fgColor rgb="FFFFC000"/>
        <bgColor/>
      </patternFill>
    </fill>
    <fill>
      <patternFill patternType="solid">
        <fgColor rgb="FFBDD7EE"/>
        <bgColor/>
      </patternFill>
    </fill>
    <fill>
      <patternFill patternType="solid">
        <fgColor rgb="FFFFC000"/>
        <bgColor/>
      </patternFill>
    </fill>
    <fill>
      <patternFill patternType="solid">
        <fgColor rgb="FF92D050"/>
        <bgColor/>
      </patternFill>
    </fill>
    <fill>
      <patternFill patternType="solid">
        <fgColor rgb="FFBDD7EE"/>
        <bgColor/>
      </patternFill>
    </fill>
    <fill>
      <patternFill patternType="solid">
        <fgColor rgb="FFBDD7EE"/>
        <bgColor/>
      </patternFill>
    </fill>
    <fill>
      <patternFill patternType="solid">
        <fgColor rgb="FFFFFF00"/>
        <bgColor/>
      </patternFill>
    </fill>
    <fill>
      <patternFill patternType="solid">
        <fgColor rgb="FFFFC000"/>
        <bgColor/>
      </patternFill>
    </fill>
    <fill>
      <patternFill patternType="solid">
        <fgColor rgb="FFE98A00"/>
        <bgColor/>
      </patternFill>
    </fill>
    <fill>
      <patternFill patternType="solid">
        <fgColor rgb="FFE98A00"/>
        <bgColor/>
      </patternFill>
    </fill>
    <fill>
      <patternFill patternType="solid">
        <fgColor rgb="FFE98A00"/>
        <bgColor/>
      </patternFill>
    </fill>
    <fill>
      <patternFill patternType="solid">
        <fgColor rgb="FFFBE4D5"/>
        <bgColor/>
      </patternFill>
    </fill>
    <fill>
      <patternFill patternType="solid">
        <fgColor rgb="FFFBE4D5"/>
        <bgColor/>
      </patternFill>
    </fill>
    <fill>
      <patternFill patternType="solid">
        <fgColor rgb="FFFFFF00"/>
        <bgColor/>
      </patternFill>
    </fill>
    <fill>
      <patternFill patternType="solid">
        <fgColor rgb="FFFBE4D5"/>
        <bgColor/>
      </patternFill>
    </fill>
    <fill>
      <patternFill patternType="solid">
        <fgColor rgb="FF00B0F0"/>
        <bgColor/>
      </patternFill>
    </fill>
    <fill>
      <patternFill patternType="solid">
        <fgColor rgb="FF99CCFF"/>
        <bgColor/>
      </patternFill>
    </fill>
    <fill>
      <patternFill patternType="solid">
        <fgColor rgb="FF99CCFF"/>
        <bgColor/>
      </patternFill>
    </fill>
    <fill>
      <patternFill patternType="solid">
        <fgColor rgb="FF99CCFF"/>
        <bgColor/>
      </patternFill>
    </fill>
    <fill>
      <patternFill patternType="solid">
        <fgColor rgb="FF99CCFF"/>
        <bgColor/>
      </patternFill>
    </fill>
    <fill>
      <patternFill patternType="solid">
        <fgColor rgb="FF99CCFF"/>
        <bgColor/>
      </patternFill>
    </fill>
    <fill>
      <patternFill patternType="solid">
        <fgColor rgb="FF99CCFF"/>
        <bgColor/>
      </patternFill>
    </fill>
    <fill>
      <patternFill patternType="solid">
        <fgColor rgb="FF99CCFF"/>
        <bgColor/>
      </patternFill>
    </fill>
    <fill>
      <patternFill patternType="solid">
        <fgColor rgb="FF99CCFF"/>
        <bgColor/>
      </patternFill>
    </fill>
    <fill>
      <patternFill patternType="solid">
        <fgColor rgb="FF99CCFF"/>
        <bgColor/>
      </patternFill>
    </fill>
    <fill>
      <patternFill patternType="solid">
        <fgColor rgb="FF99CCFF"/>
        <bgColor/>
      </patternFill>
    </fill>
    <fill>
      <patternFill patternType="solid">
        <fgColor rgb="FF99CCFF"/>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C000"/>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FFF2CB"/>
        <bgColor/>
      </patternFill>
    </fill>
    <fill>
      <patternFill patternType="solid">
        <fgColor rgb="FFACB9CA"/>
        <bgColor/>
      </patternFill>
    </fill>
    <fill>
      <patternFill patternType="solid">
        <fgColor rgb="FFACB9CA"/>
        <bgColor/>
      </patternFill>
    </fill>
    <fill>
      <patternFill patternType="solid">
        <fgColor rgb="FFFFFF00"/>
        <bgColor/>
      </patternFill>
    </fill>
    <fill>
      <patternFill patternType="solid">
        <fgColor rgb="FFACB9CA"/>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92D05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92D050"/>
        <bgColor/>
      </patternFill>
    </fill>
    <fill>
      <patternFill patternType="solid">
        <fgColor rgb="FF92D050"/>
        <bgColor/>
      </patternFill>
    </fill>
    <fill>
      <patternFill patternType="solid">
        <fgColor rgb="FFFFFF00"/>
        <bgColor/>
      </patternFill>
    </fill>
    <fill>
      <patternFill patternType="solid">
        <fgColor rgb="FFFFC000"/>
        <bgColor/>
      </patternFill>
    </fill>
    <fill>
      <patternFill patternType="solid">
        <fgColor rgb="FFFFFF00"/>
        <bgColor/>
      </patternFill>
    </fill>
    <fill>
      <patternFill patternType="solid">
        <fgColor rgb="FFC5DEB5"/>
        <bgColor/>
      </patternFill>
    </fill>
    <fill>
      <patternFill patternType="solid">
        <fgColor rgb="FFFFFF00"/>
        <bgColor/>
      </patternFill>
    </fill>
    <fill>
      <patternFill patternType="solid">
        <fgColor rgb="FFFFFF00"/>
        <bgColor/>
      </patternFill>
    </fill>
    <fill>
      <patternFill patternType="solid">
        <fgColor rgb="FFACB9CA"/>
        <bgColor/>
      </patternFill>
    </fill>
    <fill>
      <patternFill patternType="solid">
        <fgColor rgb="FFFFFF00"/>
        <bgColor/>
      </patternFill>
    </fill>
    <fill>
      <patternFill patternType="solid">
        <fgColor rgb="FFFFC000"/>
        <bgColor/>
      </patternFill>
    </fill>
    <fill>
      <patternFill patternType="solid">
        <fgColor rgb="FFFFFF00"/>
        <bgColor/>
      </patternFill>
    </fill>
    <fill>
      <patternFill patternType="solid">
        <fgColor rgb="FFC5DEB5"/>
        <bgColor/>
      </patternFill>
    </fill>
    <fill>
      <patternFill patternType="solid">
        <fgColor rgb="FFFFC000"/>
        <bgColor/>
      </patternFill>
    </fill>
    <fill>
      <patternFill patternType="solid">
        <fgColor rgb="FFFFFF00"/>
        <bgColor/>
      </patternFill>
    </fill>
    <fill>
      <patternFill patternType="solid">
        <fgColor rgb="FFC5DEB5"/>
        <bgColor/>
      </patternFill>
    </fill>
    <fill>
      <patternFill patternType="solid">
        <fgColor rgb="FFACB9CA"/>
        <bgColor/>
      </patternFill>
    </fill>
    <fill>
      <patternFill patternType="solid">
        <fgColor rgb="FFACB9CA"/>
        <bgColor/>
      </patternFill>
    </fill>
    <fill>
      <patternFill patternType="solid">
        <fgColor rgb="FFFFC000"/>
        <bgColor/>
      </patternFill>
    </fill>
    <fill>
      <patternFill patternType="solid">
        <fgColor rgb="FFFFFF00"/>
        <bgColor/>
      </patternFill>
    </fill>
    <fill>
      <patternFill patternType="solid">
        <fgColor rgb="FFC5DEB5"/>
        <bgColor/>
      </patternFill>
    </fill>
    <fill>
      <patternFill patternType="solid">
        <fgColor rgb="FFACB9CA"/>
        <bgColor/>
      </patternFill>
    </fill>
    <fill>
      <patternFill patternType="solid">
        <fgColor rgb="FFFFFF00"/>
        <bgColor/>
      </patternFill>
    </fill>
    <fill>
      <patternFill patternType="solid">
        <fgColor rgb="FFFF0000"/>
        <bgColor/>
      </patternFill>
    </fill>
    <fill>
      <patternFill patternType="solid">
        <fgColor rgb="FFFFC000"/>
        <bgColor/>
      </patternFill>
    </fill>
    <fill>
      <patternFill patternType="solid">
        <fgColor rgb="FFFFC000"/>
        <bgColor/>
      </patternFill>
    </fill>
    <fill>
      <patternFill patternType="solid">
        <fgColor rgb="FFB3D600"/>
        <bgColor/>
      </patternFill>
    </fill>
    <fill>
      <patternFill patternType="solid">
        <fgColor rgb="FFB3D600"/>
        <bgColor/>
      </patternFill>
    </fill>
    <fill>
      <patternFill patternType="solid">
        <fgColor rgb="FFFF0000"/>
        <bgColor/>
      </patternFill>
    </fill>
    <fill>
      <patternFill patternType="solid">
        <fgColor rgb="FF404040"/>
        <bgColor/>
      </patternFill>
    </fill>
    <fill>
      <patternFill patternType="solid">
        <fgColor rgb="FFFFFF00"/>
        <bgColor/>
      </patternFill>
    </fill>
    <fill>
      <patternFill patternType="solid">
        <fgColor rgb="FF595959"/>
        <bgColor/>
      </patternFill>
    </fill>
    <fill>
      <patternFill patternType="solid">
        <fgColor rgb="FF595959"/>
        <bgColor/>
      </patternFill>
    </fill>
    <fill>
      <patternFill patternType="solid">
        <fgColor rgb="FFFFFF00"/>
        <bgColor/>
      </patternFill>
    </fill>
    <fill>
      <patternFill patternType="solid">
        <fgColor rgb="FFFFFF00"/>
        <bgColor/>
      </patternFill>
    </fill>
  </fills>
  <borders count="37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1F2329"/>
      </left>
      <right style="thin">
        <color rgb="FF1F2329"/>
      </right>
      <top style="thin">
        <color rgb="FF1F2329"/>
      </top>
      <bottom style="thin">
        <color rgb="FF1F2329"/>
      </bottom>
      <diagonal/>
    </border>
    <border>
      <left style="thin">
        <color rgb="FF2B2B2B"/>
      </left>
      <right/>
      <top style="thin">
        <color rgb="FF2B2B2B"/>
      </top>
      <bottom style="thin">
        <color rgb="FF2B2B2B"/>
      </bottom>
      <diagonal/>
    </border>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top/>
      <bottom/>
      <diagonal/>
    </border>
    <border>
      <left/>
      <right/>
      <top/>
      <bottom/>
      <diagonal/>
    </border>
    <border>
      <left/>
      <right/>
      <top style="medium">
        <color rgb="FF2B2B2B"/>
      </top>
      <bottom style="medium">
        <color rgb="FF2B2B2B"/>
      </bottom>
      <diagonal/>
    </border>
    <border>
      <left/>
      <right/>
      <top style="medium">
        <color rgb="FF2B2B2B"/>
      </top>
      <bottom style="medium">
        <color rgb="FF2B2B2B"/>
      </bottom>
      <diagonal/>
    </border>
    <border>
      <left/>
      <right style="medium">
        <color rgb="FF2B2B2B"/>
      </right>
      <top style="medium">
        <color rgb="FF2B2B2B"/>
      </top>
      <bottom style="medium">
        <color rgb="FF2B2B2B"/>
      </bottom>
      <diagonal/>
    </border>
    <border>
      <left style="medium">
        <color rgb="FF2B2B2B"/>
      </left>
      <right/>
      <top style="medium">
        <color rgb="FF2B2B2B"/>
      </top>
      <bottom style="medium">
        <color rgb="FF2B2B2B"/>
      </bottom>
      <diagonal/>
    </border>
    <border>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right style="thin">
        <color rgb="FF2B2B2B"/>
      </right>
      <top style="thin">
        <color rgb="FF2B2B2B"/>
      </top>
      <bottom/>
      <diagonal/>
    </border>
    <border>
      <left/>
      <right/>
      <top/>
      <bottom/>
      <diagonal/>
    </border>
    <border>
      <left style="thin">
        <color rgb="FF2B2B2B"/>
      </left>
      <right style="thin">
        <color rgb="FF2B2B2B"/>
      </right>
      <top/>
      <bottom/>
      <diagonal/>
    </border>
    <border>
      <left/>
      <right/>
      <top/>
      <bottom/>
      <diagonal/>
    </border>
    <border>
      <left/>
      <right/>
      <top/>
      <bottom/>
      <diagonal/>
    </border>
    <border>
      <left/>
      <right/>
      <top/>
      <bottom/>
      <diagonal/>
    </border>
    <border>
      <left/>
      <right/>
      <top/>
      <bottom/>
      <diagonal/>
    </border>
    <border>
      <left style="thin">
        <color rgb="FF2B2B2B"/>
      </left>
      <right style="thin">
        <color rgb="FF2B2B2B"/>
      </right>
      <top style="thin">
        <color rgb="FF2B2B2B"/>
      </top>
      <bottom/>
      <diagonal/>
    </border>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2B2B2B"/>
      </left>
      <right style="thin">
        <color rgb="FF2B2B2B"/>
      </right>
      <top style="thin">
        <color rgb="FF2B2B2B"/>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2B2B2B"/>
      </left>
      <right style="thin">
        <color rgb="FF2B2B2B"/>
      </right>
      <top style="thin">
        <color rgb="FF2B2B2B"/>
      </top>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top/>
      <bottom style="thin">
        <color rgb="FF2B2B2B"/>
      </bottom>
      <diagonal/>
    </border>
    <border>
      <left style="thin">
        <color rgb="FF2B2B2B"/>
      </left>
      <right style="thin">
        <color rgb="FF2B2B2B"/>
      </right>
      <top/>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bottom style="medium">
        <color rgb="FF2B2B2B"/>
      </bottom>
      <diagonal/>
    </border>
    <border>
      <left style="thin">
        <color rgb="FF2B2B2B"/>
      </left>
      <right style="thin">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thin">
        <color rgb="FF2B2B2B"/>
      </left>
      <right style="thin">
        <color rgb="FF2B2B2B"/>
      </right>
      <top style="medium">
        <color rgb="FF2B2B2B"/>
      </top>
      <bottom style="thin">
        <color rgb="FF2B2B2B"/>
      </bottom>
      <diagonal/>
    </border>
    <border>
      <left style="medium">
        <color rgb="FF2B2B2B"/>
      </left>
      <right style="thin">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thin">
        <color rgb="FF2B2B2B"/>
      </left>
      <right style="thin">
        <color rgb="FF2B2B2B"/>
      </right>
      <top style="medium">
        <color rgb="FF2B2B2B"/>
      </top>
      <bottom style="thin">
        <color rgb="FF2B2B2B"/>
      </bottom>
      <diagonal/>
    </border>
    <border>
      <left style="medium">
        <color rgb="FF2B2B2B"/>
      </left>
      <right style="medium">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medium">
        <color rgb="FF2B2B2B"/>
      </left>
      <right style="medium">
        <color rgb="FF2B2B2B"/>
      </right>
      <top/>
      <bottom style="medium">
        <color rgb="FF2B2B2B"/>
      </bottom>
      <diagonal/>
    </border>
    <border>
      <left style="medium">
        <color rgb="FF2B2B2B"/>
      </left>
      <right style="medium">
        <color rgb="FF2B2B2B"/>
      </right>
      <top style="thin">
        <color rgb="FF2B2B2B"/>
      </top>
      <bottom style="thin">
        <color rgb="FF2B2B2B"/>
      </bottom>
      <diagonal/>
    </border>
    <border>
      <left style="thin">
        <color rgb="FF2B2B2B"/>
      </left>
      <right style="thin">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thin">
        <color rgb="FF2B2B2B"/>
      </left>
      <right style="medium">
        <color rgb="FF2B2B2B"/>
      </right>
      <top style="thin">
        <color rgb="FF2B2B2B"/>
      </top>
      <bottom style="medium">
        <color rgb="FF2B2B2B"/>
      </bottom>
      <diagonal/>
    </border>
    <border>
      <left style="medium">
        <color rgb="FF2B2B2B"/>
      </left>
      <right style="medium">
        <color rgb="FF2B2B2B"/>
      </right>
      <top style="thin">
        <color rgb="FF2B2B2B"/>
      </top>
      <bottom style="medium">
        <color rgb="FF2B2B2B"/>
      </bottom>
      <diagonal/>
    </border>
    <border>
      <left style="thin">
        <color rgb="FF2B2B2B"/>
      </left>
      <right style="thin">
        <color rgb="FF2B2B2B"/>
      </right>
      <top style="thin">
        <color rgb="FF2B2B2B"/>
      </top>
      <bottom style="thin">
        <color rgb="FF2B2B2B"/>
      </bottom>
      <diagonal/>
    </border>
    <border>
      <left style="medium">
        <color rgb="FF2B2B2B"/>
      </left>
      <right style="medium">
        <color rgb="FF2B2B2B"/>
      </right>
      <top/>
      <bottom/>
      <diagonal/>
    </border>
    <border>
      <left style="thin">
        <color rgb="FF2B2B2B"/>
      </left>
      <right style="thin">
        <color rgb="FF2B2B2B"/>
      </right>
      <top style="thin">
        <color rgb="FF2B2B2B"/>
      </top>
      <bottom style="thin">
        <color rgb="FF2B2B2B"/>
      </bottom>
      <diagonal/>
    </border>
    <border>
      <left style="thin">
        <color rgb="FF2B2B2B"/>
      </left>
      <right style="medium">
        <color rgb="FF2B2B2B"/>
      </right>
      <top style="thin">
        <color rgb="FF2B2B2B"/>
      </top>
      <bottom style="thin">
        <color rgb="FF2B2B2B"/>
      </bottom>
      <diagonal/>
    </border>
    <border>
      <left style="medium">
        <color rgb="FF2B2B2B"/>
      </left>
      <right style="medium">
        <color rgb="FF2B2B2B"/>
      </right>
      <top style="thin">
        <color rgb="FF2B2B2B"/>
      </top>
      <bottom style="thin">
        <color rgb="FF2B2B2B"/>
      </bottom>
      <diagonal/>
    </border>
    <border>
      <left style="thin">
        <color rgb="FF2B2B2B"/>
      </left>
      <right style="thin">
        <color rgb="FF2B2B2B"/>
      </right>
      <top/>
      <bottom/>
      <diagonal/>
    </border>
    <border>
      <left style="medium">
        <color rgb="FF2B2B2B"/>
      </left>
      <right style="thin">
        <color rgb="FF2B2B2B"/>
      </right>
      <top style="thin">
        <color rgb="FF2B2B2B"/>
      </top>
      <bottom style="thin">
        <color rgb="FF2B2B2B"/>
      </bottom>
      <diagonal/>
    </border>
    <border>
      <left style="thin">
        <color rgb="FF2B2B2B"/>
      </left>
      <right style="medium">
        <color rgb="FF2B2B2B"/>
      </right>
      <top style="medium">
        <color rgb="FF2B2B2B"/>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diagonal/>
    </border>
    <border>
      <left style="thin">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style="thin">
        <color rgb="FF2B2B2B"/>
      </bottom>
      <diagonal/>
    </border>
    <border>
      <left style="medium">
        <color rgb="FF2B2B2B"/>
      </left>
      <right style="thin">
        <color rgb="FF2B2B2B"/>
      </right>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style="thin">
        <color rgb="FF2B2B2B"/>
      </bottom>
      <diagonal/>
    </border>
    <border>
      <left style="medium">
        <color rgb="FF2B2B2B"/>
      </left>
      <right style="thin">
        <color rgb="FF2B2B2B"/>
      </right>
      <top style="medium">
        <color rgb="FF2B2B2B"/>
      </top>
      <bottom style="thin">
        <color rgb="FF2B2B2B"/>
      </bottom>
      <diagonal/>
    </border>
    <border>
      <left style="medium">
        <color rgb="FF2B2B2B"/>
      </left>
      <right style="medium">
        <color rgb="FF2B2B2B"/>
      </right>
      <top style="medium">
        <color rgb="FF2B2B2B"/>
      </top>
      <bottom style="thin">
        <color rgb="FF2B2B2B"/>
      </bottom>
      <diagonal/>
    </border>
    <border>
      <left style="medium">
        <color rgb="FF2B2B2B"/>
      </left>
      <right style="medium">
        <color rgb="FF2B2B2B"/>
      </right>
      <top style="medium">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right/>
      <top/>
      <bottom style="thin">
        <color rgb="FF2B2B2B"/>
      </bottom>
      <diagonal/>
    </border>
    <border>
      <left/>
      <right/>
      <top/>
      <bottom style="thin">
        <color rgb="FF2B2B2B"/>
      </bottom>
      <diagonal/>
    </border>
    <border>
      <left/>
      <right/>
      <top/>
      <bottom/>
      <diagonal/>
    </border>
    <border>
      <left style="thin">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medium">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diagonal/>
    </border>
    <border>
      <left/>
      <right/>
      <top/>
      <bottom/>
      <diagonal/>
    </border>
    <border>
      <left/>
      <right/>
      <top/>
      <bottom/>
      <diagonal/>
    </border>
    <border>
      <left/>
      <right/>
      <top/>
      <bottom/>
      <diagonal/>
    </border>
    <border>
      <left/>
      <right/>
      <top/>
      <bottom/>
      <diagonal/>
    </border>
    <border>
      <left style="medium">
        <color rgb="FF2B2B2B"/>
      </left>
      <right style="medium">
        <color rgb="FF2B2B2B"/>
      </right>
      <top style="medium">
        <color rgb="FF2B2B2B"/>
      </top>
      <bottom/>
      <diagonal/>
    </border>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top/>
      <bottom/>
      <diagonal/>
    </border>
    <border>
      <left style="thin">
        <color rgb="FF2B2B2B"/>
      </left>
      <right style="thin">
        <color rgb="FF2B2B2B"/>
      </right>
      <top style="thin">
        <color rgb="FF2B2B2B"/>
      </top>
      <bottom style="thin">
        <color rgb="FF2B2B2B"/>
      </bottom>
      <diagonal/>
    </border>
    <border>
      <left/>
      <right/>
      <top/>
      <bottom/>
      <diagonal/>
    </border>
    <border>
      <left style="thin">
        <color rgb="FF2B2B2B"/>
      </left>
      <right style="thin">
        <color rgb="FF2B2B2B"/>
      </right>
      <top style="thin">
        <color rgb="FF2B2B2B"/>
      </top>
      <bottom style="thin">
        <color rgb="FF2B2B2B"/>
      </bottom>
      <diagonal/>
    </border>
    <border>
      <left/>
      <right/>
      <top/>
      <bottom/>
      <diagonal/>
    </border>
    <border>
      <left style="thin">
        <color rgb="FF2B2B2B"/>
      </left>
      <right style="thin">
        <color rgb="FF2B2B2B"/>
      </right>
      <top style="thin">
        <color rgb="FF2B2B2B"/>
      </top>
      <bottom style="thin">
        <color rgb="FF2B2B2B"/>
      </bottom>
      <diagonal/>
    </border>
    <border>
      <left/>
      <right/>
      <top style="thin">
        <color rgb="FF2B2B2B"/>
      </top>
      <bottom style="thin">
        <color rgb="FF2B2B2B"/>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top/>
      <bottom style="thin">
        <color rgb="FF2B2B2B"/>
      </bottom>
      <diagonal/>
    </border>
    <border>
      <left style="thin">
        <color rgb="FF2B2B2B"/>
      </left>
      <right/>
      <top style="thin">
        <color rgb="FF2B2B2B"/>
      </top>
      <bottom style="thin">
        <color rgb="FF2B2B2B"/>
      </bottom>
      <diagonal/>
    </border>
    <border>
      <left style="thin">
        <color rgb="FF2B2B2B"/>
      </left>
      <right/>
      <top style="thin">
        <color rgb="FF2B2B2B"/>
      </top>
      <bottom style="thin">
        <color rgb="FF2B2B2B"/>
      </bottom>
      <diagonal/>
    </border>
    <border>
      <left style="thin">
        <color rgb="FF2B2B2B"/>
      </left>
      <right/>
      <top style="thin">
        <color rgb="FF2B2B2B"/>
      </top>
      <bottom style="thin">
        <color rgb="FF2B2B2B"/>
      </bottom>
      <diagonal/>
    </border>
    <border>
      <left/>
      <right/>
      <top style="thin">
        <color rgb="FF2B2B2B"/>
      </top>
      <bottom style="thin">
        <color rgb="FF2B2B2B"/>
      </bottom>
      <diagonal/>
    </border>
    <border>
      <left/>
      <right/>
      <top style="thin">
        <color rgb="FF2B2B2B"/>
      </top>
      <bottom style="thin">
        <color rgb="FF2B2B2B"/>
      </bottom>
      <diagonal/>
    </border>
    <border>
      <left/>
      <right/>
      <top style="thin">
        <color rgb="FF2B2B2B"/>
      </top>
      <bottom style="thin">
        <color rgb="FF2B2B2B"/>
      </bottom>
      <diagonal/>
    </border>
    <border>
      <left/>
      <right/>
      <top style="thin">
        <color rgb="FF2B2B2B"/>
      </top>
      <bottom style="thin">
        <color rgb="FF2B2B2B"/>
      </bottom>
      <diagonal/>
    </border>
    <border>
      <left/>
      <right/>
      <top/>
      <bottom style="thin">
        <color rgb="FF2B2B2B"/>
      </bottom>
      <diagonal/>
    </border>
    <border>
      <left/>
      <right/>
      <top style="thin">
        <color rgb="FF2B2B2B"/>
      </top>
      <bottom style="thin">
        <color rgb="FF2B2B2B"/>
      </bottom>
      <diagonal/>
    </border>
    <border>
      <left/>
      <right/>
      <top style="thin">
        <color rgb="FF2B2B2B"/>
      </top>
      <bottom style="thin">
        <color rgb="FF2B2B2B"/>
      </bottom>
      <diagonal/>
    </border>
    <border>
      <left/>
      <right/>
      <top style="thin">
        <color rgb="FF2B2B2B"/>
      </top>
      <bottom style="thin">
        <color rgb="FF2B2B2B"/>
      </bottom>
      <diagonal/>
    </border>
    <border>
      <left style="thin">
        <color rgb="FF2B2B2B"/>
      </left>
      <right/>
      <top/>
      <bottom style="thin">
        <color rgb="FF2B2B2B"/>
      </bottom>
      <diagonal/>
    </border>
    <border>
      <left style="thin">
        <color rgb="FF2B2B2B"/>
      </left>
      <right style="thin">
        <color rgb="FF2B2B2B"/>
      </right>
      <top style="thin">
        <color rgb="FF2B2B2B"/>
      </top>
      <bottom style="thin">
        <color rgb="FF2B2B2B"/>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370">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true" applyProtection="false" borderId="2" fillId="0" fontId="1" numFmtId="164" xfId="0">
      <alignment horizontal="center" vertical="center"/>
    </xf>
    <xf applyAlignment="true" applyBorder="false" applyFill="false" applyFont="true" applyNumberFormat="true" applyProtection="false" borderId="3" fillId="0" fontId="1" numFmtId="165" xfId="0">
      <alignment horizontal="center" vertical="center"/>
    </xf>
    <xf applyAlignment="true" applyBorder="false" applyFill="false" applyFont="true" applyNumberFormat="true" applyProtection="false" borderId="4" fillId="0" fontId="1" numFmtId="166" xfId="0">
      <alignment horizontal="center" vertical="center"/>
    </xf>
    <xf applyAlignment="true" applyBorder="false" applyFill="false" applyFont="true" applyNumberFormat="false" applyProtection="false" borderId="5" fillId="0" fontId="2" numFmtId="0" xfId="0">
      <alignment horizontal="center" vertical="center"/>
    </xf>
    <xf applyAlignment="true" applyBorder="false" applyFill="true" applyFont="true" applyNumberFormat="false" applyProtection="false" borderId="6" fillId="2" fontId="1" numFmtId="0" xfId="0">
      <alignment horizontal="center" vertical="center"/>
    </xf>
    <xf applyAlignment="true" applyBorder="false" applyFill="false" applyFont="true" applyNumberFormat="false" applyProtection="false" borderId="7" fillId="0" fontId="1" numFmtId="0" xfId="0">
      <alignment horizontal="center" vertical="center" wrapText="true"/>
    </xf>
    <xf applyAlignment="true" applyBorder="false" applyFill="false" applyFont="true" applyNumberFormat="true" applyProtection="false" borderId="8" fillId="0" fontId="1" numFmtId="167" xfId="0">
      <alignment horizontal="center" vertical="center" wrapText="true"/>
    </xf>
    <xf applyAlignment="true" applyBorder="false" applyFill="false" applyFont="true" applyNumberFormat="true" applyProtection="false" borderId="9" fillId="0" fontId="1" numFmtId="168" xfId="0">
      <alignment horizontal="center" vertical="center" wrapText="true"/>
    </xf>
    <xf applyAlignment="true" applyBorder="false" applyFill="true" applyFont="true" applyNumberFormat="false" applyProtection="false" borderId="10" fillId="3" fontId="2" numFmtId="0" xfId="0">
      <alignment horizontal="center" vertical="center" wrapText="true"/>
    </xf>
    <xf applyAlignment="true" applyBorder="false" applyFill="true" applyFont="true" applyNumberFormat="false" applyProtection="false" borderId="11" fillId="4" fontId="1" numFmtId="0" xfId="0">
      <alignment horizontal="center" vertical="center"/>
    </xf>
    <xf applyAlignment="true" applyBorder="false" applyFill="false" applyFont="true" applyNumberFormat="true" applyProtection="false" borderId="12" fillId="0" fontId="3" numFmtId="169" xfId="0">
      <alignment horizontal="center" vertical="center"/>
    </xf>
    <xf applyAlignment="true" applyBorder="false" applyFill="false" applyFont="true" applyNumberFormat="false" applyProtection="false" borderId="13" fillId="0" fontId="1" numFmtId="0" xfId="0">
      <alignment horizontal="center" vertical="center"/>
    </xf>
    <xf applyAlignment="true" applyBorder="false" applyFill="false" applyFont="true" applyNumberFormat="true" applyProtection="false" borderId="14" fillId="0" fontId="3" numFmtId="170" xfId="0">
      <alignment horizontal="center" vertical="center"/>
    </xf>
    <xf applyAlignment="true" applyBorder="false" applyFill="false" applyFont="true" applyNumberFormat="true" applyProtection="false" borderId="15" fillId="0" fontId="4" numFmtId="171" xfId="0">
      <alignment horizontal="center" vertical="center"/>
    </xf>
    <xf applyAlignment="true" applyBorder="false" applyFill="false" applyFont="true" applyNumberFormat="true" applyProtection="false" borderId="16" fillId="0" fontId="1" numFmtId="172" xfId="0">
      <alignment horizontal="center" vertical="center"/>
    </xf>
    <xf applyAlignment="true" applyBorder="false" applyFill="false" applyFont="true" applyNumberFormat="false" applyProtection="false" borderId="17" fillId="0" fontId="3" numFmtId="0" xfId="0">
      <alignment horizontal="center" vertical="center"/>
    </xf>
    <xf applyAlignment="true" applyBorder="false" applyFill="false" applyFont="true" applyNumberFormat="false" applyProtection="false" borderId="18" fillId="0" fontId="2" numFmtId="0" xfId="0">
      <alignment horizontal="center" vertical="center"/>
    </xf>
    <xf applyAlignment="true" applyBorder="false" applyFill="true" applyFont="true" applyNumberFormat="false" applyProtection="false" borderId="19" fillId="5" fontId="5" numFmtId="0" xfId="0">
      <alignment horizontal="center" vertical="center" wrapText="true"/>
    </xf>
    <xf applyAlignment="true" applyBorder="false" applyFill="true" applyFont="true" applyNumberFormat="false" applyProtection="false" borderId="20" fillId="6" fontId="6" numFmtId="0" xfId="0">
      <alignment horizontal="center" vertical="center" wrapText="true"/>
    </xf>
    <xf applyAlignment="true" applyBorder="false" applyFill="true" applyFont="true" applyNumberFormat="false" applyProtection="false" borderId="21" fillId="7" fontId="5" numFmtId="0" xfId="0">
      <alignment horizontal="center" vertical="center" wrapText="true"/>
    </xf>
    <xf applyAlignment="true" applyBorder="false" applyFill="true" applyFont="true" applyNumberFormat="false" applyProtection="false" borderId="22" fillId="8" fontId="7" numFmtId="0" xfId="0">
      <alignment horizontal="center" vertical="center" wrapText="true"/>
    </xf>
    <xf applyAlignment="true" applyBorder="false" applyFill="true" applyFont="true" applyNumberFormat="false" applyProtection="false" borderId="23" fillId="9" fontId="7" numFmtId="0" xfId="0">
      <alignment horizontal="center" vertical="center" wrapText="true"/>
    </xf>
    <xf applyAlignment="true" applyBorder="false" applyFill="true" applyFont="true" applyNumberFormat="false" applyProtection="false" borderId="24" fillId="10" fontId="7" numFmtId="0" xfId="0">
      <alignment horizontal="center" vertical="center" wrapText="true"/>
    </xf>
    <xf applyAlignment="true" applyBorder="false" applyFill="false" applyFont="true" applyNumberFormat="false" applyProtection="false" borderId="25" fillId="0" fontId="1" numFmtId="0" xfId="0">
      <alignment horizontal="center" vertical="center"/>
    </xf>
    <xf applyAlignment="true" applyBorder="false" applyFill="false" applyFont="true" applyNumberFormat="true" applyProtection="false" borderId="26" fillId="0" fontId="8" numFmtId="173" xfId="0">
      <alignment horizontal="center" vertical="center"/>
    </xf>
    <xf applyAlignment="true" applyBorder="false" applyFill="false" applyFont="true" applyNumberFormat="true" applyProtection="false" borderId="27" fillId="0" fontId="8" numFmtId="174" xfId="0">
      <alignment horizontal="center" vertical="center"/>
    </xf>
    <xf applyAlignment="true" applyBorder="false" applyFill="false" applyFont="true" applyNumberFormat="false" applyProtection="false" borderId="28" fillId="0" fontId="6" numFmtId="0" xfId="0">
      <alignment horizontal="center" vertical="center"/>
    </xf>
    <xf applyAlignment="true" applyBorder="false" applyFill="false" applyFont="true" applyNumberFormat="false" applyProtection="false" borderId="29" fillId="0" fontId="8" numFmtId="0" xfId="0">
      <alignment horizontal="center" vertical="center"/>
    </xf>
    <xf applyAlignment="true" applyBorder="false" applyFill="false" applyFont="true" applyNumberFormat="false" applyProtection="false" borderId="30" fillId="0" fontId="9" numFmtId="0" xfId="0">
      <alignment horizontal="center" vertical="center"/>
    </xf>
    <xf applyAlignment="true" applyBorder="false" applyFill="false" applyFont="true" applyNumberFormat="true" applyProtection="false" borderId="31" fillId="0" fontId="2" numFmtId="175" xfId="0">
      <alignment horizontal="center" vertical="center" wrapText="true"/>
    </xf>
    <xf applyAlignment="true" applyBorder="false" applyFill="false" applyFont="true" applyNumberFormat="true" applyProtection="false" borderId="32" fillId="0" fontId="2" numFmtId="176" xfId="0">
      <alignment horizontal="center" vertical="center" wrapText="true"/>
    </xf>
    <xf applyAlignment="true" applyBorder="false" applyFill="true" applyFont="true" applyNumberFormat="true" applyProtection="false" borderId="33" fillId="11" fontId="2" numFmtId="177" xfId="0">
      <alignment horizontal="center" vertical="center" wrapText="true"/>
    </xf>
    <xf applyAlignment="true" applyBorder="false" applyFill="false" applyFont="true" applyNumberFormat="true" applyProtection="false" borderId="34" fillId="0" fontId="10" numFmtId="178" xfId="0">
      <alignment horizontal="center" vertical="center" wrapText="true"/>
    </xf>
    <xf applyAlignment="true" applyBorder="false" applyFill="true" applyFont="true" applyNumberFormat="false" applyProtection="false" borderId="35" fillId="12" fontId="2" numFmtId="0" xfId="0">
      <alignment horizontal="center" vertical="center" wrapText="true"/>
    </xf>
    <xf applyAlignment="true" applyBorder="false" applyFill="true" applyFont="true" applyNumberFormat="true" applyProtection="false" borderId="36" fillId="13" fontId="2" numFmtId="179" xfId="0">
      <alignment horizontal="center" vertical="center" wrapText="true"/>
    </xf>
    <xf applyAlignment="true" applyBorder="false" applyFill="false" applyFont="true" applyNumberFormat="false" applyProtection="false" borderId="37" fillId="0" fontId="7" numFmtId="0" xfId="0">
      <alignment horizontal="center" vertical="center"/>
    </xf>
    <xf applyAlignment="true" applyBorder="false" applyFill="false" applyFont="true" applyNumberFormat="false" applyProtection="false" borderId="38" fillId="0" fontId="1" numFmtId="0" xfId="0">
      <alignment horizontal="center" vertical="center"/>
    </xf>
    <xf applyAlignment="true" applyBorder="false" applyFill="true" applyFont="true" applyNumberFormat="false" applyProtection="false" borderId="39" fillId="14" fontId="1" numFmtId="0" xfId="0">
      <alignment horizontal="center" vertical="center"/>
    </xf>
    <xf applyAlignment="true" applyBorder="false" applyFill="false" applyFont="true" applyNumberFormat="false" applyProtection="false" borderId="40" fillId="0" fontId="11" numFmtId="0" xfId="0">
      <alignment horizontal="center" vertical="center"/>
    </xf>
    <xf applyAlignment="true" applyBorder="false" applyFill="false" applyFont="true" applyNumberFormat="true" applyProtection="false" borderId="41" fillId="0" fontId="11" numFmtId="180" xfId="0">
      <alignment horizontal="center" vertical="center"/>
    </xf>
    <xf applyAlignment="true" applyBorder="false" applyFill="false" applyFont="true" applyNumberFormat="false" applyProtection="false" borderId="42" fillId="0" fontId="12" numFmtId="0" xfId="0">
      <alignment horizontal="center" vertical="center"/>
    </xf>
    <xf applyAlignment="true" applyBorder="false" applyFill="false" applyFont="true" applyNumberFormat="false" applyProtection="false" borderId="43" fillId="0" fontId="1" numFmtId="0" xfId="0">
      <alignment horizontal="left" vertical="center"/>
    </xf>
    <xf applyAlignment="true" applyBorder="false" applyFill="false" applyFont="true" applyNumberFormat="false" applyProtection="false" borderId="44" fillId="0" fontId="2" numFmtId="0" xfId="0">
      <alignment horizontal="center" vertical="center"/>
    </xf>
    <xf applyAlignment="true" applyBorder="false" applyFill="false" applyFont="true" applyNumberFormat="true" applyProtection="false" borderId="45" fillId="0" fontId="2" numFmtId="181" xfId="0">
      <alignment horizontal="center" vertical="center"/>
    </xf>
    <xf applyAlignment="true" applyBorder="false" applyFill="false" applyFont="true" applyNumberFormat="false" applyProtection="false" borderId="46" fillId="0" fontId="2" numFmtId="0" xfId="0">
      <alignment horizontal="center" vertical="center"/>
    </xf>
    <xf applyAlignment="true" applyBorder="false" applyFill="false" applyFont="true" applyNumberFormat="false" applyProtection="false" borderId="47" fillId="0" fontId="2" numFmtId="0" xfId="0">
      <alignment horizontal="center" vertical="center"/>
    </xf>
    <xf applyAlignment="true" applyBorder="false" applyFill="false" applyFont="true" applyNumberFormat="true" applyProtection="false" borderId="48" fillId="0" fontId="3" numFmtId="182" xfId="0">
      <alignment horizontal="center" vertical="center"/>
    </xf>
    <xf applyAlignment="true" applyBorder="false" applyFill="false" applyFont="true" applyNumberFormat="true" applyProtection="false" borderId="49" fillId="0" fontId="1" numFmtId="183" xfId="0">
      <alignment horizontal="center" vertical="center"/>
    </xf>
    <xf applyAlignment="true" applyBorder="false" applyFill="false" applyFont="true" applyNumberFormat="true" applyProtection="false" borderId="50" fillId="0" fontId="1" numFmtId="184" xfId="0">
      <alignment horizontal="center" vertical="center"/>
    </xf>
    <xf applyAlignment="true" applyBorder="false" applyFill="false" applyFont="true" applyNumberFormat="true" applyProtection="false" borderId="51" fillId="0" fontId="1" numFmtId="185" xfId="0">
      <alignment horizontal="center" vertical="center"/>
    </xf>
    <xf applyAlignment="true" applyBorder="false" applyFill="false" applyFont="true" applyNumberFormat="true" applyProtection="false" borderId="52" fillId="0" fontId="1" numFmtId="186" xfId="0">
      <alignment horizontal="center" vertical="center"/>
    </xf>
    <xf applyAlignment="true" applyBorder="false" applyFill="false" applyFont="true" applyNumberFormat="true" applyProtection="false" borderId="53" fillId="0" fontId="1" numFmtId="187" xfId="0">
      <alignment horizontal="center" vertical="center" wrapText="true"/>
    </xf>
    <xf applyAlignment="true" applyBorder="false" applyFill="false" applyFont="true" applyNumberFormat="true" applyProtection="false" borderId="54" fillId="0" fontId="1" numFmtId="188" xfId="0">
      <alignment horizontal="center" vertical="center" wrapText="true"/>
    </xf>
    <xf applyAlignment="true" applyBorder="false" applyFill="false" applyFont="true" applyNumberFormat="false" applyProtection="false" borderId="55" fillId="0" fontId="1" numFmtId="0" xfId="0">
      <alignment horizontal="center" vertical="center" wrapText="true"/>
    </xf>
    <xf applyAlignment="true" applyBorder="false" applyFill="false" applyFont="true" applyNumberFormat="true" applyProtection="false" borderId="56" fillId="0" fontId="1" numFmtId="189" xfId="0">
      <alignment horizontal="center" vertical="center"/>
    </xf>
    <xf applyAlignment="true" applyBorder="false" applyFill="false" applyFont="true" applyNumberFormat="false" applyProtection="false" borderId="57" fillId="0" fontId="2" numFmtId="0" xfId="0">
      <alignment horizontal="center" vertical="center" wrapText="true"/>
    </xf>
    <xf applyAlignment="true" applyBorder="false" applyFill="true" applyFont="true" applyNumberFormat="true" applyProtection="false" borderId="58" fillId="15" fontId="1" numFmtId="190" xfId="0">
      <alignment horizontal="center" vertical="center" wrapText="true"/>
    </xf>
    <xf applyAlignment="true" applyBorder="false" applyFill="false" applyFont="true" applyNumberFormat="true" applyProtection="false" borderId="59" fillId="0" fontId="1" numFmtId="191" xfId="0">
      <alignment horizontal="center" vertical="center" wrapText="true"/>
    </xf>
    <xf applyAlignment="true" applyBorder="false" applyFill="true" applyFont="true" applyNumberFormat="false" applyProtection="false" borderId="60" fillId="16" fontId="1" numFmtId="0" xfId="0">
      <alignment horizontal="center" vertical="center" wrapText="true"/>
    </xf>
    <xf applyAlignment="true" applyBorder="false" applyFill="false" applyFont="true" applyNumberFormat="false" applyProtection="false" borderId="61" fillId="0" fontId="1" numFmtId="0" xfId="0">
      <alignment horizontal="center" vertical="center"/>
    </xf>
    <xf applyAlignment="true" applyBorder="false" applyFill="false" applyFont="true" applyNumberFormat="true" applyProtection="false" borderId="62" fillId="0" fontId="2" numFmtId="192" xfId="0">
      <alignment horizontal="center" vertical="center" wrapText="true"/>
    </xf>
    <xf applyAlignment="true" applyBorder="false" applyFill="true" applyFont="true" applyNumberFormat="true" applyProtection="false" borderId="63" fillId="17" fontId="1" numFmtId="193" xfId="0">
      <alignment horizontal="center" vertical="center" wrapText="true"/>
    </xf>
    <xf applyAlignment="true" applyBorder="false" applyFill="false" applyFont="true" applyNumberFormat="false" applyProtection="false" borderId="64" fillId="0" fontId="2" numFmtId="0" xfId="0">
      <alignment horizontal="center" vertical="center"/>
    </xf>
    <xf applyAlignment="true" applyBorder="false" applyFill="false" applyFont="true" applyNumberFormat="true" applyProtection="false" borderId="65" fillId="0" fontId="2" numFmtId="194" xfId="0">
      <alignment horizontal="center" vertical="center" wrapText="true"/>
    </xf>
    <xf applyAlignment="true" applyBorder="false" applyFill="false" applyFont="true" applyNumberFormat="true" applyProtection="false" borderId="66" fillId="0" fontId="2" numFmtId="195" xfId="0">
      <alignment horizontal="center" vertical="center"/>
    </xf>
    <xf applyAlignment="true" applyBorder="false" applyFill="false" applyFont="true" applyNumberFormat="true" applyProtection="false" borderId="67" fillId="0" fontId="1" numFmtId="196" xfId="0">
      <alignment horizontal="center" vertical="center"/>
    </xf>
    <xf applyAlignment="true" applyBorder="false" applyFill="false" applyFont="true" applyNumberFormat="true" applyProtection="false" borderId="68" fillId="0" fontId="1" numFmtId="197" xfId="0">
      <alignment horizontal="center" vertical="center"/>
    </xf>
    <xf applyAlignment="true" applyBorder="false" applyFill="false" applyFont="true" applyNumberFormat="true" applyProtection="false" borderId="69" fillId="0" fontId="1" numFmtId="198" xfId="0">
      <alignment horizontal="center" vertical="center"/>
    </xf>
    <xf applyAlignment="true" applyBorder="false" applyFill="false" applyFont="true" applyNumberFormat="true" applyProtection="false" borderId="70" fillId="0" fontId="3" numFmtId="199" xfId="0">
      <alignment horizontal="center" vertical="center"/>
    </xf>
    <xf applyAlignment="true" applyBorder="false" applyFill="false" applyFont="true" applyNumberFormat="true" applyProtection="false" borderId="71" fillId="0" fontId="3" numFmtId="200" xfId="0">
      <alignment horizontal="center" vertical="center"/>
    </xf>
    <xf applyAlignment="true" applyBorder="false" applyFill="false" applyFont="true" applyNumberFormat="true" applyProtection="false" borderId="72" fillId="0" fontId="1" numFmtId="201" xfId="0">
      <alignment horizontal="center" vertical="center"/>
    </xf>
    <xf applyAlignment="true" applyBorder="false" applyFill="true" applyFont="true" applyNumberFormat="true" applyProtection="false" borderId="73" fillId="18" fontId="4" numFmtId="202" xfId="0">
      <alignment horizontal="center" vertical="center"/>
    </xf>
    <xf applyAlignment="true" applyBorder="false" applyFill="false" applyFont="true" applyNumberFormat="true" applyProtection="false" borderId="74" fillId="0" fontId="3" numFmtId="203" xfId="0">
      <alignment horizontal="center" vertical="center"/>
    </xf>
    <xf applyAlignment="true" applyBorder="false" applyFill="false" applyFont="true" applyNumberFormat="true" applyProtection="false" borderId="75" fillId="0" fontId="4" numFmtId="204" xfId="0">
      <alignment horizontal="center" vertical="center"/>
    </xf>
    <xf applyAlignment="true" applyBorder="false" applyFill="false" applyFont="true" applyNumberFormat="false" applyProtection="false" borderId="76" fillId="0" fontId="3" numFmtId="0" xfId="0">
      <alignment horizontal="center" vertical="center"/>
    </xf>
    <xf applyAlignment="true" applyBorder="false" applyFill="false" applyFont="true" applyNumberFormat="true" applyProtection="false" borderId="77" fillId="0" fontId="10" numFmtId="205" xfId="0">
      <alignment horizontal="center" vertical="center" wrapText="true"/>
    </xf>
    <xf applyAlignment="true" applyBorder="false" applyFill="false" applyFont="true" applyNumberFormat="true" applyProtection="false" borderId="78" fillId="0" fontId="2" numFmtId="206" xfId="0">
      <alignment horizontal="center" vertical="center" wrapText="true"/>
    </xf>
    <xf applyAlignment="true" applyBorder="false" applyFill="false" applyFont="true" applyNumberFormat="true" applyProtection="false" borderId="79" fillId="0" fontId="2" numFmtId="207" xfId="0">
      <alignment horizontal="center" vertical="center" wrapText="true"/>
    </xf>
    <xf applyAlignment="true" applyBorder="false" applyFill="false" applyFont="true" applyNumberFormat="false" applyProtection="false" borderId="80" fillId="0" fontId="2" numFmtId="0" xfId="0">
      <alignment horizontal="center" vertical="center" wrapText="true"/>
    </xf>
    <xf applyAlignment="true" applyBorder="false" applyFill="false" applyFont="true" applyNumberFormat="false" applyProtection="false" borderId="81" fillId="0" fontId="2" numFmtId="0" xfId="0">
      <alignment horizontal="center" vertical="center" wrapText="true"/>
    </xf>
    <xf applyAlignment="true" applyBorder="false" applyFill="false" applyFont="true" applyNumberFormat="false" applyProtection="false" borderId="82" fillId="0" fontId="2" numFmtId="0" xfId="0">
      <alignment horizontal="center" vertical="center" wrapText="true"/>
    </xf>
    <xf applyAlignment="true" applyBorder="false" applyFill="false" applyFont="true" applyNumberFormat="false" applyProtection="false" borderId="83" fillId="0" fontId="2" numFmtId="0" xfId="0">
      <alignment horizontal="center" vertical="center" wrapText="true"/>
    </xf>
    <xf applyAlignment="true" applyBorder="false" applyFill="false" applyFont="true" applyNumberFormat="false" applyProtection="false" borderId="84" fillId="0" fontId="11" numFmtId="0" xfId="0">
      <alignment horizontal="center" vertical="center"/>
    </xf>
    <xf applyAlignment="true" applyBorder="false" applyFill="false" applyFont="true" applyNumberFormat="false" applyProtection="false" borderId="85" fillId="0" fontId="1" numFmtId="0" xfId="0">
      <alignment horizontal="center" vertical="center"/>
    </xf>
    <xf applyAlignment="true" applyBorder="false" applyFill="false" applyFont="true" applyNumberFormat="true" applyProtection="false" borderId="86" fillId="0" fontId="2" numFmtId="208" xfId="0">
      <alignment horizontal="center" vertical="center"/>
    </xf>
    <xf applyAlignment="true" applyBorder="false" applyFill="false" applyFont="true" applyNumberFormat="true" applyProtection="false" borderId="87" fillId="0" fontId="1" numFmtId="209" xfId="0">
      <alignment horizontal="center" vertical="center"/>
    </xf>
    <xf applyAlignment="true" applyBorder="false" applyFill="false" applyFont="true" applyNumberFormat="false" applyProtection="false" borderId="88" fillId="0" fontId="13" numFmtId="0" xfId="0">
      <alignment horizontal="center" vertical="center"/>
    </xf>
    <xf applyAlignment="true" applyBorder="false" applyFill="false" applyFont="true" applyNumberFormat="false" applyProtection="false" borderId="89" fillId="0" fontId="14" numFmtId="0" xfId="0">
      <alignment horizontal="center" vertical="center"/>
    </xf>
    <xf applyAlignment="true" applyBorder="false" applyFill="false" applyFont="true" applyNumberFormat="false" applyProtection="false" borderId="90" fillId="0" fontId="1" numFmtId="0" xfId="0">
      <alignment horizontal="center" vertical="center"/>
    </xf>
    <xf applyAlignment="true" applyBorder="false" applyFill="false" applyFont="true" applyNumberFormat="true" applyProtection="false" borderId="91" fillId="0" fontId="1" numFmtId="210" xfId="0">
      <alignment horizontal="center" vertical="center"/>
    </xf>
    <xf applyAlignment="true" applyBorder="false" applyFill="false" applyFont="true" applyNumberFormat="true" applyProtection="false" borderId="92" fillId="0" fontId="1" numFmtId="211" xfId="0">
      <alignment horizontal="center" vertical="center"/>
    </xf>
    <xf applyAlignment="true" applyBorder="false" applyFill="false" applyFont="true" applyNumberFormat="true" applyProtection="false" borderId="93" fillId="0" fontId="1" numFmtId="212" xfId="0">
      <alignment horizontal="center" vertical="bottom"/>
    </xf>
    <xf applyAlignment="true" applyBorder="false" applyFill="false" applyFont="true" applyNumberFormat="true" applyProtection="false" borderId="94" fillId="0" fontId="1" numFmtId="213" xfId="0">
      <alignment horizontal="center" vertical="center"/>
    </xf>
    <xf applyAlignment="true" applyBorder="false" applyFill="false" applyFont="true" applyNumberFormat="true" applyProtection="false" borderId="95" fillId="0" fontId="1" numFmtId="214" xfId="0">
      <alignment horizontal="center" vertical="bottom"/>
    </xf>
    <xf applyAlignment="true" applyBorder="false" applyFill="false" applyFont="true" applyNumberFormat="true" applyProtection="false" borderId="96" fillId="0" fontId="1" numFmtId="215" xfId="0">
      <alignment horizontal="center" vertical="center"/>
    </xf>
    <xf applyAlignment="true" applyBorder="false" applyFill="false" applyFont="true" applyNumberFormat="true" applyProtection="false" borderId="97" fillId="0" fontId="1" numFmtId="216" xfId="0">
      <alignment horizontal="center" vertical="bottom"/>
    </xf>
    <xf applyAlignment="true" applyBorder="false" applyFill="true" applyFont="true" applyNumberFormat="false" applyProtection="false" borderId="98" fillId="19" fontId="1" numFmtId="0" xfId="0">
      <alignment horizontal="center" vertical="center"/>
    </xf>
    <xf applyAlignment="true" applyBorder="false" applyFill="true" applyFont="true" applyNumberFormat="true" applyProtection="false" borderId="99" fillId="20" fontId="1" numFmtId="217" xfId="0">
      <alignment horizontal="center" vertical="center"/>
    </xf>
    <xf applyAlignment="true" applyBorder="false" applyFill="true" applyFont="true" applyNumberFormat="true" applyProtection="false" borderId="100" fillId="21" fontId="1" numFmtId="218" xfId="0">
      <alignment horizontal="center" vertical="center"/>
    </xf>
    <xf applyAlignment="true" applyBorder="false" applyFill="true" applyFont="true" applyNumberFormat="false" applyProtection="false" borderId="101" fillId="22" fontId="1" numFmtId="0" xfId="0">
      <alignment horizontal="center" vertical="center"/>
    </xf>
    <xf applyAlignment="true" applyBorder="false" applyFill="true" applyFont="true" applyNumberFormat="false" applyProtection="false" borderId="102" fillId="23" fontId="1" numFmtId="0" xfId="0">
      <alignment horizontal="center" vertical="center"/>
    </xf>
    <xf applyAlignment="true" applyBorder="false" applyFill="true" applyFont="true" applyNumberFormat="true" applyProtection="false" borderId="103" fillId="24" fontId="2" numFmtId="219" xfId="0">
      <alignment horizontal="center" vertical="center"/>
    </xf>
    <xf applyAlignment="true" applyBorder="false" applyFill="true" applyFont="true" applyNumberFormat="true" applyProtection="false" borderId="104" fillId="25" fontId="2" numFmtId="220" xfId="0">
      <alignment horizontal="center" vertical="center" wrapText="true"/>
    </xf>
    <xf applyAlignment="true" applyBorder="false" applyFill="true" applyFont="true" applyNumberFormat="false" applyProtection="false" borderId="105" fillId="26" fontId="2" numFmtId="0" xfId="0">
      <alignment horizontal="center" vertical="center" wrapText="true"/>
    </xf>
    <xf applyAlignment="true" applyBorder="false" applyFill="true" applyFont="true" applyNumberFormat="false" applyProtection="false" borderId="106" fillId="27" fontId="2" numFmtId="0" xfId="0">
      <alignment horizontal="center" vertical="center"/>
    </xf>
    <xf applyAlignment="true" applyBorder="false" applyFill="true" applyFont="true" applyNumberFormat="true" applyProtection="false" borderId="107" fillId="28" fontId="2" numFmtId="221" xfId="0">
      <alignment horizontal="center" vertical="center"/>
    </xf>
    <xf applyAlignment="true" applyBorder="false" applyFill="true" applyFont="true" applyNumberFormat="false" applyProtection="false" borderId="108" fillId="29" fontId="1" numFmtId="0" xfId="0">
      <alignment horizontal="center" vertical="center"/>
    </xf>
    <xf applyAlignment="true" applyBorder="false" applyFill="true" applyFont="true" applyNumberFormat="true" applyProtection="false" borderId="109" fillId="30" fontId="2" numFmtId="222" xfId="0">
      <alignment horizontal="center" vertical="center" wrapText="true"/>
    </xf>
    <xf applyAlignment="true" applyBorder="false" applyFill="true" applyFont="true" applyNumberFormat="true" applyProtection="false" borderId="110" fillId="31" fontId="2" numFmtId="223" xfId="0">
      <alignment horizontal="center" vertical="center"/>
    </xf>
    <xf applyAlignment="true" applyBorder="false" applyFill="true" applyFont="true" applyNumberFormat="true" applyProtection="false" borderId="111" fillId="32" fontId="2" numFmtId="224" xfId="0">
      <alignment horizontal="center" vertical="center"/>
    </xf>
    <xf applyAlignment="true" applyBorder="false" applyFill="true" applyFont="true" applyNumberFormat="true" applyProtection="false" borderId="112" fillId="33" fontId="2" numFmtId="225" xfId="0">
      <alignment horizontal="center" vertical="center" wrapText="true"/>
    </xf>
    <xf applyAlignment="true" applyBorder="false" applyFill="true" applyFont="true" applyNumberFormat="true" applyProtection="false" borderId="113" fillId="34" fontId="2" numFmtId="226" xfId="0">
      <alignment horizontal="center" vertical="center"/>
    </xf>
    <xf applyAlignment="true" applyBorder="false" applyFill="true" applyFont="true" applyNumberFormat="false" applyProtection="false" borderId="114" fillId="35" fontId="2" numFmtId="0" xfId="0">
      <alignment horizontal="center" vertical="center" wrapText="true"/>
    </xf>
    <xf applyAlignment="true" applyBorder="false" applyFill="true" applyFont="true" applyNumberFormat="false" applyProtection="false" borderId="115" fillId="36" fontId="2" numFmtId="0" xfId="0">
      <alignment horizontal="center" vertical="center"/>
    </xf>
    <xf applyAlignment="true" applyBorder="false" applyFill="false" applyFont="true" applyNumberFormat="true" applyProtection="false" borderId="116" fillId="0" fontId="2" numFmtId="227" xfId="0">
      <alignment horizontal="center" vertical="center" wrapText="true"/>
    </xf>
    <xf applyAlignment="true" applyBorder="false" applyFill="true" applyFont="true" applyNumberFormat="true" applyProtection="false" borderId="117" fillId="37" fontId="2" numFmtId="228" xfId="0">
      <alignment horizontal="center" vertical="center" wrapText="true"/>
    </xf>
    <xf applyAlignment="true" applyBorder="false" applyFill="false" applyFont="true" applyNumberFormat="true" applyProtection="false" borderId="118" fillId="0" fontId="2" numFmtId="229" xfId="0">
      <alignment horizontal="center" vertical="center" wrapText="true"/>
    </xf>
    <xf applyAlignment="true" applyBorder="false" applyFill="false" applyFont="true" applyNumberFormat="false" applyProtection="false" borderId="119" fillId="0" fontId="2" numFmtId="0" xfId="0">
      <alignment horizontal="center" vertical="center" wrapText="true"/>
    </xf>
    <xf applyAlignment="true" applyBorder="false" applyFill="false" applyFont="true" applyNumberFormat="true" applyProtection="false" borderId="120" fillId="0" fontId="2" numFmtId="230" xfId="0">
      <alignment horizontal="center" vertical="center" wrapText="true"/>
    </xf>
    <xf applyAlignment="true" applyBorder="false" applyFill="true" applyFont="true" applyNumberFormat="false" applyProtection="false" borderId="121" fillId="38" fontId="2" numFmtId="0" xfId="0">
      <alignment horizontal="center" vertical="center"/>
    </xf>
    <xf applyAlignment="true" applyBorder="false" applyFill="true" applyFont="true" applyNumberFormat="true" applyProtection="false" borderId="122" fillId="39" fontId="15" numFmtId="231" xfId="0">
      <alignment horizontal="center" vertical="center"/>
    </xf>
    <xf applyAlignment="true" applyBorder="false" applyFill="true" applyFont="true" applyNumberFormat="false" applyProtection="false" borderId="123" fillId="40" fontId="16" numFmtId="0" xfId="0">
      <alignment horizontal="center" vertical="center"/>
    </xf>
    <xf applyAlignment="true" applyBorder="false" applyFill="false" applyFont="true" applyNumberFormat="false" applyProtection="false" borderId="124" fillId="0" fontId="17" numFmtId="0" xfId="0">
      <alignment vertical="bottom"/>
    </xf>
    <xf applyAlignment="true" applyBorder="false" applyFill="false" applyFont="true" applyNumberFormat="false" applyProtection="false" borderId="125" fillId="0" fontId="2" numFmtId="0" xfId="0">
      <alignment vertical="bottom"/>
    </xf>
    <xf applyAlignment="true" applyBorder="false" applyFill="false" applyFont="true" applyNumberFormat="false" applyProtection="false" borderId="126" fillId="0" fontId="17" numFmtId="0" xfId="0">
      <alignment vertical="center"/>
    </xf>
    <xf applyAlignment="true" applyBorder="false" applyFill="false" applyFont="true" applyNumberFormat="false" applyProtection="false" borderId="127" fillId="0" fontId="15" numFmtId="0" xfId="0">
      <alignment horizontal="right" vertical="bottom"/>
    </xf>
    <xf applyAlignment="true" applyBorder="false" applyFill="true" applyFont="true" applyNumberFormat="true" applyProtection="false" borderId="128" fillId="41" fontId="16" numFmtId="232" xfId="0">
      <alignment horizontal="center" vertical="center"/>
    </xf>
    <xf applyAlignment="true" applyBorder="false" applyFill="true" applyFont="true" applyNumberFormat="true" applyProtection="false" borderId="129" fillId="42" fontId="16" numFmtId="233" xfId="0">
      <alignment horizontal="center" vertical="center"/>
    </xf>
    <xf applyAlignment="true" applyBorder="false" applyFill="false" applyFont="true" applyNumberFormat="false" applyProtection="false" borderId="130" fillId="0" fontId="1" numFmtId="0" xfId="0">
      <alignment horizontal="center" vertical="bottom"/>
    </xf>
    <xf applyAlignment="true" applyBorder="false" applyFill="false" applyFont="true" applyNumberFormat="false" applyProtection="false" borderId="131" fillId="0" fontId="1" numFmtId="0" xfId="0">
      <alignment horizontal="left" vertical="center" wrapText="true"/>
    </xf>
    <xf applyAlignment="true" applyBorder="false" applyFill="false" applyFont="true" applyNumberFormat="true" applyProtection="false" borderId="132" fillId="0" fontId="3" numFmtId="234" xfId="0">
      <alignment horizontal="right" vertical="center"/>
    </xf>
    <xf applyAlignment="true" applyBorder="false" applyFill="false" applyFont="true" applyNumberFormat="true" applyProtection="false" borderId="133" fillId="0" fontId="3" numFmtId="235" xfId="0">
      <alignment horizontal="right" vertical="center"/>
    </xf>
    <xf applyAlignment="true" applyBorder="false" applyFill="false" applyFont="true" applyNumberFormat="false" applyProtection="false" borderId="134" fillId="0" fontId="3" numFmtId="0" xfId="0">
      <alignment horizontal="left" vertical="center"/>
    </xf>
    <xf applyAlignment="true" applyBorder="false" applyFill="false" applyFont="true" applyNumberFormat="true" applyProtection="false" borderId="135" fillId="0" fontId="3" numFmtId="236" xfId="0">
      <alignment horizontal="right" vertical="center"/>
    </xf>
    <xf applyAlignment="true" applyBorder="false" applyFill="false" applyFont="true" applyNumberFormat="false" applyProtection="false" borderId="136" fillId="0" fontId="3" numFmtId="0" xfId="0">
      <alignment horizontal="center" vertical="center"/>
    </xf>
    <xf applyAlignment="true" applyBorder="false" applyFill="false" applyFont="true" applyNumberFormat="true" applyProtection="false" borderId="137" fillId="0" fontId="15" numFmtId="237" xfId="0">
      <alignment horizontal="right" vertical="bottom"/>
    </xf>
    <xf applyAlignment="true" applyBorder="false" applyFill="true" applyFont="true" applyNumberFormat="false" applyProtection="false" borderId="138" fillId="43" fontId="2" numFmtId="0" xfId="0">
      <alignment horizontal="left" vertical="center"/>
    </xf>
    <xf applyAlignment="true" applyBorder="false" applyFill="false" applyFont="true" applyNumberFormat="false" applyProtection="false" borderId="139" fillId="0" fontId="17" numFmtId="0" xfId="0">
      <alignment horizontal="center" vertical="bottom"/>
    </xf>
    <xf applyAlignment="true" applyBorder="false" applyFill="false" applyFont="true" applyNumberFormat="false" applyProtection="false" borderId="140" fillId="0" fontId="18" numFmtId="0" xfId="0">
      <alignment vertical="bottom"/>
    </xf>
    <xf applyAlignment="true" applyBorder="false" applyFill="true" applyFont="true" applyNumberFormat="false" applyProtection="false" borderId="141" fillId="44" fontId="2" numFmtId="0" xfId="0">
      <alignment horizontal="left" vertical="bottom"/>
    </xf>
    <xf applyAlignment="true" applyBorder="false" applyFill="true" applyFont="true" applyNumberFormat="false" applyProtection="false" borderId="142" fillId="45" fontId="1" numFmtId="0" xfId="0">
      <alignment vertical="bottom"/>
    </xf>
    <xf applyAlignment="true" applyBorder="false" applyFill="true" applyFont="true" applyNumberFormat="false" applyProtection="false" borderId="143" fillId="46" fontId="2" numFmtId="0" xfId="0">
      <alignment horizontal="left" vertical="center"/>
    </xf>
    <xf applyAlignment="true" applyBorder="false" applyFill="false" applyFont="true" applyNumberFormat="false" applyProtection="false" borderId="144" fillId="0" fontId="1" numFmtId="0" xfId="0">
      <alignment horizontal="left" vertical="center" wrapText="true"/>
    </xf>
    <xf applyAlignment="true" applyBorder="false" applyFill="false" applyFont="true" applyNumberFormat="false" applyProtection="false" borderId="145" fillId="0" fontId="1" numFmtId="0" xfId="0">
      <alignment horizontal="left" vertical="center"/>
    </xf>
    <xf applyAlignment="true" applyBorder="false" applyFill="false" applyFont="true" applyNumberFormat="true" applyProtection="false" borderId="146" fillId="0" fontId="1" numFmtId="238" xfId="0">
      <alignment horizontal="left" vertical="center"/>
    </xf>
    <xf applyAlignment="true" applyBorder="false" applyFill="true" applyFont="true" applyNumberFormat="false" applyProtection="false" borderId="147" fillId="47" fontId="2" numFmtId="0" xfId="0">
      <alignment horizontal="left" vertical="center"/>
    </xf>
    <xf applyAlignment="true" applyBorder="false" applyFill="false" applyFont="true" applyNumberFormat="false" applyProtection="false" borderId="148" fillId="0" fontId="17" numFmtId="0" xfId="0">
      <alignment vertical="center" wrapText="true"/>
    </xf>
    <xf applyAlignment="true" applyBorder="false" applyFill="false" applyFont="true" applyNumberFormat="false" applyProtection="false" borderId="149" fillId="0" fontId="1" numFmtId="0" xfId="0">
      <alignment vertical="center"/>
    </xf>
    <xf applyAlignment="true" applyBorder="false" applyFill="false" applyFont="true" applyNumberFormat="true" applyProtection="false" borderId="150" fillId="0" fontId="17" numFmtId="239" xfId="0">
      <alignment horizontal="center" vertical="center" wrapText="true"/>
    </xf>
    <xf applyAlignment="true" applyBorder="false" applyFill="false" applyFont="true" applyNumberFormat="false" applyProtection="false" borderId="151" fillId="0" fontId="17" numFmtId="0" xfId="0">
      <alignment vertical="center" wrapText="true"/>
    </xf>
    <xf applyAlignment="true" applyBorder="false" applyFill="false" applyFont="true" applyNumberFormat="true" applyProtection="false" borderId="152" fillId="0" fontId="17" numFmtId="240" xfId="0">
      <alignment horizontal="center" vertical="center" wrapText="true"/>
    </xf>
    <xf applyAlignment="true" applyBorder="false" applyFill="false" applyFont="true" applyNumberFormat="true" applyProtection="false" borderId="153" fillId="0" fontId="17" numFmtId="241" xfId="0">
      <alignment horizontal="center" vertical="center" wrapText="true"/>
    </xf>
    <xf applyAlignment="true" applyBorder="false" applyFill="false" applyFont="true" applyNumberFormat="false" applyProtection="false" borderId="154" fillId="0" fontId="17" numFmtId="0" xfId="0">
      <alignment horizontal="center" vertical="center" wrapText="true"/>
    </xf>
    <xf applyAlignment="true" applyBorder="false" applyFill="false" applyFont="true" applyNumberFormat="true" applyProtection="false" borderId="155" fillId="0" fontId="17" numFmtId="242" xfId="0">
      <alignment horizontal="center" vertical="center" wrapText="true"/>
    </xf>
    <xf applyAlignment="true" applyBorder="false" applyFill="false" applyFont="true" applyNumberFormat="true" applyProtection="false" borderId="156" fillId="0" fontId="17" numFmtId="243" xfId="0">
      <alignment horizontal="center" vertical="center" wrapText="true"/>
    </xf>
    <xf applyAlignment="true" applyBorder="false" applyFill="false" applyFont="true" applyNumberFormat="true" applyProtection="false" borderId="157" fillId="0" fontId="1" numFmtId="244" xfId="0">
      <alignment vertical="center"/>
    </xf>
    <xf applyAlignment="true" applyBorder="false" applyFill="false" applyFont="true" applyNumberFormat="true" applyProtection="false" borderId="158" fillId="0" fontId="17" numFmtId="245" xfId="0">
      <alignment horizontal="center" vertical="center" wrapText="true"/>
    </xf>
    <xf applyAlignment="true" applyBorder="false" applyFill="false" applyFont="true" applyNumberFormat="false" applyProtection="false" borderId="159" fillId="0" fontId="19" numFmtId="0" xfId="0">
      <alignment vertical="center" wrapText="true"/>
    </xf>
    <xf applyAlignment="true" applyBorder="false" applyFill="false" applyFont="true" applyNumberFormat="true" applyProtection="false" borderId="160" fillId="0" fontId="17" numFmtId="246" xfId="0">
      <alignment vertical="center" wrapText="true"/>
    </xf>
    <xf applyAlignment="true" applyBorder="false" applyFill="false" applyFont="true" applyNumberFormat="true" applyProtection="false" borderId="161" fillId="0" fontId="17" numFmtId="247" xfId="0">
      <alignment vertical="center" wrapText="true"/>
    </xf>
    <xf applyAlignment="true" applyBorder="false" applyFill="false" applyFont="true" applyNumberFormat="false" applyProtection="false" borderId="162" fillId="0" fontId="17" numFmtId="0" xfId="0">
      <alignment horizontal="center" vertical="center" wrapText="true"/>
    </xf>
    <xf applyAlignment="true" applyBorder="false" applyFill="false" applyFont="true" applyNumberFormat="false" applyProtection="false" borderId="163" fillId="0" fontId="19" numFmtId="0" xfId="0">
      <alignment vertical="center" wrapText="true"/>
    </xf>
    <xf applyAlignment="true" applyBorder="false" applyFill="false" applyFont="true" applyNumberFormat="true" applyProtection="false" borderId="164" fillId="0" fontId="17" numFmtId="248" xfId="0">
      <alignment horizontal="center" vertical="center" wrapText="true"/>
    </xf>
    <xf applyAlignment="true" applyBorder="false" applyFill="false" applyFont="true" applyNumberFormat="true" applyProtection="false" borderId="165" fillId="0" fontId="17" numFmtId="249" xfId="0">
      <alignment horizontal="center" vertical="center" wrapText="true"/>
    </xf>
    <xf applyAlignment="true" applyBorder="false" applyFill="false" applyFont="true" applyNumberFormat="false" applyProtection="false" borderId="166" fillId="0" fontId="17" numFmtId="0" xfId="0">
      <alignment horizontal="left" vertical="center" wrapText="true"/>
    </xf>
    <xf applyAlignment="true" applyBorder="false" applyFill="false" applyFont="true" applyNumberFormat="true" applyProtection="false" borderId="167" fillId="0" fontId="17" numFmtId="250" xfId="0">
      <alignment horizontal="center" vertical="center" wrapText="true"/>
    </xf>
    <xf applyAlignment="true" applyBorder="false" applyFill="false" applyFont="true" applyNumberFormat="true" applyProtection="false" borderId="168" fillId="0" fontId="17" numFmtId="251" xfId="0">
      <alignment horizontal="center" vertical="center" wrapText="true"/>
    </xf>
    <xf applyAlignment="true" applyBorder="false" applyFill="false" applyFont="true" applyNumberFormat="false" applyProtection="false" borderId="169" fillId="0" fontId="1" numFmtId="0" xfId="0">
      <alignment vertical="center"/>
    </xf>
    <xf applyAlignment="true" applyBorder="false" applyFill="false" applyFont="true" applyNumberFormat="true" applyProtection="false" borderId="170" fillId="0" fontId="17" numFmtId="252" xfId="0">
      <alignment vertical="center" wrapText="true"/>
    </xf>
    <xf applyAlignment="true" applyBorder="false" applyFill="true" applyFont="true" applyNumberFormat="false" applyProtection="false" borderId="171" fillId="48" fontId="20" numFmtId="0" xfId="0">
      <alignment horizontal="center" vertical="center" wrapText="true"/>
    </xf>
    <xf applyAlignment="true" applyBorder="false" applyFill="true" applyFont="true" applyNumberFormat="false" applyProtection="false" borderId="172" fillId="49" fontId="4" numFmtId="0" xfId="0">
      <alignment horizontal="center" vertical="center" wrapText="true"/>
    </xf>
    <xf applyAlignment="true" applyBorder="false" applyFill="true" applyFont="true" applyNumberFormat="false" applyProtection="false" borderId="173" fillId="50" fontId="20" numFmtId="0" xfId="0">
      <alignment horizontal="center" vertical="center" wrapText="true"/>
    </xf>
    <xf applyAlignment="true" applyBorder="false" applyFill="true" applyFont="true" applyNumberFormat="false" applyProtection="false" borderId="174" fillId="51" fontId="20" numFmtId="0" xfId="0">
      <alignment horizontal="center" vertical="center" wrapText="true"/>
    </xf>
    <xf applyAlignment="true" applyBorder="false" applyFill="true" applyFont="true" applyNumberFormat="false" applyProtection="false" borderId="175" fillId="52" fontId="4" numFmtId="0" xfId="0">
      <alignment horizontal="center" vertical="center" wrapText="true"/>
    </xf>
    <xf applyAlignment="true" applyBorder="false" applyFill="true" applyFont="true" applyNumberFormat="false" applyProtection="false" borderId="176" fillId="53" fontId="20" numFmtId="0" xfId="0">
      <alignment horizontal="center" vertical="center" wrapText="true"/>
    </xf>
    <xf applyAlignment="true" applyBorder="false" applyFill="true" applyFont="true" applyNumberFormat="false" applyProtection="false" borderId="177" fillId="54" fontId="4" numFmtId="0" xfId="0">
      <alignment horizontal="center" vertical="center" wrapText="true"/>
    </xf>
    <xf applyAlignment="true" applyBorder="false" applyFill="true" applyFont="true" applyNumberFormat="false" applyProtection="false" borderId="178" fillId="55" fontId="20" numFmtId="0" xfId="0">
      <alignment horizontal="center" vertical="center" wrapText="true"/>
    </xf>
    <xf applyAlignment="true" applyBorder="false" applyFill="true" applyFont="true" applyNumberFormat="false" applyProtection="false" borderId="179" fillId="56" fontId="4" numFmtId="0" xfId="0">
      <alignment horizontal="center" vertical="center" wrapText="true"/>
    </xf>
    <xf applyAlignment="true" applyBorder="false" applyFill="true" applyFont="true" applyNumberFormat="true" applyProtection="false" borderId="180" fillId="57" fontId="20" numFmtId="253" xfId="0">
      <alignment horizontal="center" vertical="center" wrapText="true"/>
    </xf>
    <xf applyAlignment="true" applyBorder="false" applyFill="true" applyFont="true" applyNumberFormat="true" applyProtection="false" borderId="181" fillId="58" fontId="20" numFmtId="254" xfId="0">
      <alignment horizontal="center" vertical="center" wrapText="true"/>
    </xf>
    <xf applyAlignment="true" applyBorder="false" applyFill="false" applyFont="true" applyNumberFormat="false" applyProtection="false" borderId="182" fillId="0" fontId="17" numFmtId="0" xfId="0">
      <alignment horizontal="center" vertical="center" wrapText="true"/>
    </xf>
    <xf applyAlignment="true" applyBorder="false" applyFill="false" applyFont="true" applyNumberFormat="true" applyProtection="false" borderId="183" fillId="0" fontId="1" numFmtId="255" xfId="0">
      <alignment vertical="center"/>
    </xf>
    <xf applyAlignment="true" applyBorder="false" applyFill="false" applyFont="true" applyNumberFormat="true" applyProtection="false" borderId="184" fillId="0" fontId="17" numFmtId="256" xfId="0">
      <alignment horizontal="center" vertical="center" wrapText="true"/>
    </xf>
    <xf applyAlignment="true" applyBorder="false" applyFill="false" applyFont="true" applyNumberFormat="false" applyProtection="false" borderId="185" fillId="0" fontId="17" numFmtId="0" xfId="0">
      <alignment horizontal="center" vertical="center" wrapText="true"/>
    </xf>
    <xf applyAlignment="true" applyBorder="false" applyFill="false" applyFont="true" applyNumberFormat="false" applyProtection="false" borderId="186" fillId="0" fontId="17" numFmtId="0" xfId="0">
      <alignment horizontal="center" vertical="center" wrapText="true"/>
    </xf>
    <xf applyAlignment="true" applyBorder="false" applyFill="false" applyFont="true" applyNumberFormat="true" applyProtection="false" borderId="187" fillId="0" fontId="17" numFmtId="257" xfId="0">
      <alignment horizontal="center" vertical="center" wrapText="true"/>
    </xf>
    <xf applyAlignment="true" applyBorder="false" applyFill="false" applyFont="true" applyNumberFormat="true" applyProtection="false" borderId="188" fillId="0" fontId="1" numFmtId="258" xfId="0">
      <alignment horizontal="center" vertical="center"/>
    </xf>
    <xf applyAlignment="true" applyBorder="false" applyFill="true" applyFont="true" applyNumberFormat="true" applyProtection="false" borderId="189" fillId="59" fontId="21" numFmtId="259" xfId="0">
      <alignment vertical="bottom"/>
    </xf>
    <xf applyAlignment="true" applyBorder="false" applyFill="false" applyFont="true" applyNumberFormat="false" applyProtection="false" borderId="190" fillId="0" fontId="17" numFmtId="0" xfId="0">
      <alignment horizontal="center" vertical="center" wrapText="true"/>
    </xf>
    <xf applyAlignment="true" applyBorder="false" applyFill="false" applyFont="true" applyNumberFormat="true" applyProtection="false" borderId="191" fillId="0" fontId="1" numFmtId="260" xfId="0">
      <alignment horizontal="center" vertical="center"/>
    </xf>
    <xf applyAlignment="true" applyBorder="false" applyFill="true" applyFont="true" applyNumberFormat="false" applyProtection="false" borderId="192" fillId="60" fontId="21" numFmtId="0" xfId="0">
      <alignment vertical="bottom"/>
    </xf>
    <xf applyAlignment="true" applyBorder="false" applyFill="false" applyFont="true" applyNumberFormat="false" applyProtection="false" borderId="193" fillId="0" fontId="1" numFmtId="0" xfId="0">
      <alignment horizontal="center" vertical="center"/>
    </xf>
    <xf applyAlignment="true" applyBorder="false" applyFill="false" applyFont="true" applyNumberFormat="true" applyProtection="false" borderId="194" fillId="0" fontId="1" numFmtId="261" xfId="0">
      <alignment horizontal="center" vertical="center"/>
    </xf>
    <xf applyAlignment="true" applyBorder="false" applyFill="false" applyFont="true" applyNumberFormat="true" applyProtection="false" borderId="195" fillId="0" fontId="1" numFmtId="262" xfId="0">
      <alignment vertical="bottom"/>
    </xf>
    <xf applyAlignment="true" applyBorder="false" applyFill="false" applyFont="true" applyNumberFormat="false" applyProtection="false" borderId="196" fillId="0" fontId="1" numFmtId="0" xfId="0">
      <alignment horizontal="center" vertical="center" wrapText="true"/>
    </xf>
    <xf applyAlignment="true" applyBorder="false" applyFill="false" applyFont="true" applyNumberFormat="false" applyProtection="false" borderId="197" fillId="0" fontId="1" numFmtId="0" xfId="0">
      <alignment horizontal="left" vertical="top" wrapText="true"/>
    </xf>
    <xf applyAlignment="true" applyBorder="false" applyFill="false" applyFont="true" applyNumberFormat="true" applyProtection="false" borderId="198" fillId="0" fontId="17" numFmtId="263" xfId="0">
      <alignment horizontal="center" vertical="center" wrapText="true"/>
    </xf>
    <xf applyAlignment="true" applyBorder="false" applyFill="false" applyFont="true" applyNumberFormat="true" applyProtection="false" borderId="199" fillId="0" fontId="1" numFmtId="264" xfId="0">
      <alignment vertical="bottom"/>
    </xf>
    <xf applyAlignment="true" applyBorder="false" applyFill="false" applyFont="true" applyNumberFormat="false" applyProtection="false" borderId="200" fillId="0" fontId="1" numFmtId="0" xfId="0">
      <alignment horizontal="left" vertical="center" wrapText="true"/>
    </xf>
    <xf applyAlignment="true" applyBorder="false" applyFill="false" applyFont="true" applyNumberFormat="false" applyProtection="false" borderId="201" fillId="0" fontId="1" numFmtId="0" xfId="0">
      <alignment horizontal="left" vertical="top" wrapText="true"/>
    </xf>
    <xf applyAlignment="true" applyBorder="false" applyFill="false" applyFont="true" applyNumberFormat="true" applyProtection="false" borderId="202" fillId="0" fontId="1" numFmtId="265" xfId="0">
      <alignment vertical="bottom"/>
    </xf>
    <xf applyAlignment="true" applyBorder="false" applyFill="false" applyFont="true" applyNumberFormat="false" applyProtection="false" borderId="203" fillId="0" fontId="1" numFmtId="0" xfId="0">
      <alignment horizontal="center" vertical="center" wrapText="true"/>
    </xf>
    <xf applyAlignment="true" applyBorder="false" applyFill="false" applyFont="true" applyNumberFormat="true" applyProtection="false" borderId="204" fillId="0" fontId="1" numFmtId="266" xfId="0">
      <alignment vertical="bottom"/>
    </xf>
    <xf applyAlignment="true" applyBorder="false" applyFill="false" applyFont="true" applyNumberFormat="false" applyProtection="false" borderId="205" fillId="0" fontId="1" numFmtId="0" xfId="0">
      <alignment horizontal="left" vertical="center" wrapText="true"/>
    </xf>
    <xf applyAlignment="true" applyBorder="false" applyFill="false" applyFont="true" applyNumberFormat="false" applyProtection="false" borderId="206" fillId="0" fontId="1" numFmtId="0" xfId="0">
      <alignment horizontal="center" vertical="center"/>
    </xf>
    <xf applyAlignment="true" applyBorder="false" applyFill="false" applyFont="true" applyNumberFormat="false" applyProtection="false" borderId="207" fillId="0" fontId="17" numFmtId="0" xfId="0">
      <alignment horizontal="center" vertical="center" wrapText="true"/>
    </xf>
    <xf applyAlignment="true" applyBorder="false" applyFill="false" applyFont="true" applyNumberFormat="false" applyProtection="false" borderId="208" fillId="0" fontId="17" numFmtId="0" xfId="0">
      <alignment horizontal="center" vertical="center" wrapText="true"/>
    </xf>
    <xf applyAlignment="true" applyBorder="false" applyFill="false" applyFont="true" applyNumberFormat="false" applyProtection="false" borderId="209" fillId="0" fontId="1" numFmtId="0" xfId="0">
      <alignment horizontal="left" vertical="center" wrapText="true"/>
    </xf>
    <xf applyAlignment="true" applyBorder="false" applyFill="false" applyFont="true" applyNumberFormat="false" applyProtection="false" borderId="210" fillId="0" fontId="17" numFmtId="0" xfId="0">
      <alignment horizontal="center" vertical="center" wrapText="true"/>
    </xf>
    <xf applyAlignment="true" applyBorder="false" applyFill="false" applyFont="true" applyNumberFormat="true" applyProtection="false" borderId="211" fillId="0" fontId="17" numFmtId="267" xfId="0">
      <alignment horizontal="center" vertical="center" wrapText="true"/>
    </xf>
    <xf applyAlignment="true" applyBorder="false" applyFill="false" applyFont="true" applyNumberFormat="true" applyProtection="false" borderId="212" fillId="0" fontId="1" numFmtId="268" xfId="0">
      <alignment vertical="bottom"/>
    </xf>
    <xf applyAlignment="true" applyBorder="false" applyFill="false" applyFont="true" applyNumberFormat="false" applyProtection="false" borderId="213" fillId="0" fontId="17" numFmtId="0" xfId="0">
      <alignment horizontal="center" vertical="center" wrapText="true"/>
    </xf>
    <xf applyAlignment="true" applyBorder="false" applyFill="false" applyFont="true" applyNumberFormat="true" applyProtection="false" borderId="214" fillId="0" fontId="17" numFmtId="269" xfId="0">
      <alignment horizontal="center" vertical="center" wrapText="true"/>
    </xf>
    <xf applyAlignment="true" applyBorder="false" applyFill="false" applyFont="true" applyNumberFormat="true" applyProtection="false" borderId="215" fillId="0" fontId="1" numFmtId="270" xfId="0">
      <alignment horizontal="center" vertical="center"/>
    </xf>
    <xf applyAlignment="true" applyBorder="false" applyFill="false" applyFont="true" applyNumberFormat="false" applyProtection="false" borderId="216" fillId="0" fontId="17" numFmtId="0" xfId="0">
      <alignment horizontal="center" vertical="center" wrapText="true"/>
    </xf>
    <xf applyAlignment="true" applyBorder="false" applyFill="false" applyFont="true" applyNumberFormat="true" applyProtection="false" borderId="217" fillId="0" fontId="1" numFmtId="271" xfId="0">
      <alignment horizontal="center" vertical="center"/>
    </xf>
    <xf applyAlignment="true" applyBorder="false" applyFill="false" applyFont="true" applyNumberFormat="true" applyProtection="false" borderId="218" fillId="0" fontId="1" numFmtId="272" xfId="0">
      <alignment horizontal="center" vertical="center"/>
    </xf>
    <xf applyAlignment="true" applyBorder="false" applyFill="false" applyFont="true" applyNumberFormat="true" applyProtection="false" borderId="219" fillId="0" fontId="1" numFmtId="273" xfId="0">
      <alignment vertical="bottom"/>
    </xf>
    <xf applyAlignment="true" applyBorder="false" applyFill="false" applyFont="true" applyNumberFormat="false" applyProtection="false" borderId="220" fillId="0" fontId="17" numFmtId="0" xfId="0">
      <alignment horizontal="center" vertical="center" wrapText="true"/>
    </xf>
    <xf applyAlignment="true" applyBorder="false" applyFill="false" applyFont="true" applyNumberFormat="false" applyProtection="false" borderId="221" fillId="0" fontId="1" numFmtId="0" xfId="0">
      <alignment horizontal="center" vertical="center" wrapText="true"/>
    </xf>
    <xf applyAlignment="true" applyBorder="false" applyFill="false" applyFont="true" applyNumberFormat="false" applyProtection="false" borderId="222" fillId="0" fontId="1" numFmtId="0" xfId="0">
      <alignment horizontal="center" vertical="center" wrapText="true"/>
    </xf>
    <xf applyAlignment="true" applyBorder="false" applyFill="true" applyFont="true" applyNumberFormat="false" applyProtection="false" borderId="223" fillId="61" fontId="4" numFmtId="0" xfId="0">
      <alignment horizontal="center" vertical="center" wrapText="true"/>
    </xf>
    <xf applyAlignment="true" applyBorder="false" applyFill="true" applyFont="true" applyNumberFormat="false" applyProtection="false" borderId="224" fillId="62" fontId="2" numFmtId="0" xfId="0">
      <alignment horizontal="center" vertical="center" wrapText="true"/>
    </xf>
    <xf applyAlignment="true" applyBorder="false" applyFill="true" applyFont="true" applyNumberFormat="false" applyProtection="false" borderId="225" fillId="63" fontId="20" numFmtId="0" xfId="0">
      <alignment horizontal="center" vertical="center" wrapText="true"/>
    </xf>
    <xf applyAlignment="true" applyBorder="false" applyFill="true" applyFont="true" applyNumberFormat="true" applyProtection="false" borderId="226" fillId="64" fontId="4" numFmtId="274" xfId="0">
      <alignment horizontal="center" vertical="center" wrapText="true"/>
    </xf>
    <xf applyAlignment="true" applyBorder="false" applyFill="true" applyFont="true" applyNumberFormat="false" applyProtection="false" borderId="227" fillId="65" fontId="20" numFmtId="0" xfId="0">
      <alignment horizontal="center" vertical="center" wrapText="true"/>
    </xf>
    <xf applyAlignment="true" applyBorder="false" applyFill="true" applyFont="true" applyNumberFormat="false" applyProtection="false" borderId="228" fillId="66" fontId="1" numFmtId="0" xfId="0">
      <alignment horizontal="left" vertical="top" wrapText="true"/>
    </xf>
    <xf applyAlignment="true" applyBorder="false" applyFill="false" applyFont="true" applyNumberFormat="false" applyProtection="false" borderId="229" fillId="0" fontId="1" numFmtId="0" xfId="0">
      <alignment vertical="top" wrapText="true"/>
    </xf>
    <xf applyAlignment="true" applyBorder="false" applyFill="false" applyFont="true" applyNumberFormat="false" applyProtection="false" borderId="230" fillId="0" fontId="1" numFmtId="0" xfId="0">
      <alignment vertical="bottom"/>
    </xf>
    <xf applyAlignment="true" applyBorder="false" applyFill="false" applyFont="true" applyNumberFormat="true" applyProtection="false" borderId="231" fillId="0" fontId="1" numFmtId="275" xfId="0">
      <alignment vertical="bottom"/>
    </xf>
    <xf applyAlignment="true" applyBorder="false" applyFill="false" applyFont="true" applyNumberFormat="true" applyProtection="false" borderId="232" fillId="0" fontId="1" numFmtId="276" xfId="0">
      <alignment vertical="bottom"/>
    </xf>
    <xf applyAlignment="true" applyBorder="false" applyFill="false" applyFont="true" applyNumberFormat="false" applyProtection="false" borderId="233" fillId="0" fontId="1" numFmtId="0" xfId="0">
      <alignment horizontal="left" vertical="center" wrapText="true"/>
    </xf>
    <xf applyAlignment="true" applyBorder="false" applyFill="false" applyFont="true" applyNumberFormat="false" applyProtection="false" borderId="234" fillId="0" fontId="17" numFmtId="0" xfId="0">
      <alignment horizontal="center" vertical="center" wrapText="true"/>
    </xf>
    <xf applyAlignment="true" applyBorder="false" applyFill="true" applyFont="true" applyNumberFormat="false" applyProtection="false" borderId="235" fillId="67" fontId="4" numFmtId="0" xfId="0">
      <alignment horizontal="center" vertical="center" wrapText="true"/>
    </xf>
    <xf applyAlignment="true" applyBorder="false" applyFill="true" applyFont="true" applyNumberFormat="true" applyProtection="false" borderId="236" fillId="68" fontId="4" numFmtId="277" xfId="0">
      <alignment horizontal="center" vertical="center" wrapText="true"/>
    </xf>
    <xf applyAlignment="true" applyBorder="false" applyFill="true" applyFont="true" applyNumberFormat="false" applyProtection="false" borderId="237" fillId="69" fontId="20" numFmtId="0" xfId="0">
      <alignment horizontal="center" vertical="center" wrapText="true"/>
    </xf>
    <xf applyAlignment="true" applyBorder="false" applyFill="true" applyFont="true" applyNumberFormat="false" applyProtection="false" borderId="238" fillId="70" fontId="22" numFmtId="0" xfId="0">
      <alignment horizontal="center" vertical="center" wrapText="true"/>
    </xf>
    <xf applyAlignment="true" applyBorder="false" applyFill="true" applyFont="true" applyNumberFormat="true" applyProtection="false" borderId="239" fillId="71" fontId="22" numFmtId="278" xfId="0">
      <alignment horizontal="center" vertical="center" wrapText="true"/>
    </xf>
    <xf applyAlignment="true" applyBorder="false" applyFill="false" applyFont="true" applyNumberFormat="false" applyProtection="false" borderId="240" fillId="0" fontId="23" numFmtId="0" xfId="0">
      <alignment vertical="center"/>
    </xf>
    <xf applyAlignment="true" applyBorder="false" applyFill="true" applyFont="true" applyNumberFormat="false" applyProtection="false" borderId="241" fillId="72" fontId="1" numFmtId="0" xfId="0">
      <alignment horizontal="left" vertical="top" wrapText="true"/>
    </xf>
    <xf applyAlignment="true" applyBorder="false" applyFill="false" applyFont="true" applyNumberFormat="false" applyProtection="false" borderId="242" fillId="0" fontId="1" numFmtId="0" xfId="0">
      <alignment vertical="top" wrapText="true"/>
    </xf>
    <xf applyAlignment="true" applyBorder="false" applyFill="true" applyFont="true" applyNumberFormat="false" applyProtection="false" borderId="243" fillId="73" fontId="24" numFmtId="0" xfId="0">
      <alignment horizontal="left" vertical="top" wrapText="true"/>
    </xf>
    <xf applyAlignment="true" applyBorder="false" applyFill="false" applyFont="true" applyNumberFormat="false" applyProtection="false" borderId="244" fillId="0" fontId="23" numFmtId="0" xfId="0">
      <alignment horizontal="center" vertical="center" wrapText="true"/>
    </xf>
    <xf applyAlignment="true" applyBorder="false" applyFill="false" applyFont="true" applyNumberFormat="true" applyProtection="false" borderId="245" fillId="0" fontId="1" numFmtId="279" xfId="0">
      <alignment vertical="bottom"/>
    </xf>
    <xf applyAlignment="true" applyBorder="false" applyFill="true" applyFont="true" applyNumberFormat="true" applyProtection="false" borderId="246" fillId="74" fontId="17" numFmtId="280" xfId="0">
      <alignment horizontal="left" vertical="center"/>
    </xf>
    <xf applyAlignment="true" applyBorder="false" applyFill="true" applyFont="true" applyNumberFormat="false" applyProtection="false" borderId="247" fillId="75" fontId="17" numFmtId="0" xfId="0">
      <alignment horizontal="left" vertical="center"/>
    </xf>
    <xf applyAlignment="true" applyBorder="false" applyFill="true" applyFont="true" applyNumberFormat="true" applyProtection="false" borderId="248" fillId="76" fontId="17" numFmtId="281" xfId="0">
      <alignment horizontal="left" vertical="center"/>
    </xf>
    <xf applyAlignment="true" applyBorder="false" applyFill="true" applyFont="true" applyNumberFormat="false" applyProtection="false" borderId="249" fillId="77" fontId="17" numFmtId="0" xfId="0">
      <alignment horizontal="center" vertical="center"/>
    </xf>
    <xf applyAlignment="true" applyBorder="false" applyFill="false" applyFont="true" applyNumberFormat="false" applyProtection="false" borderId="250" fillId="0" fontId="17" numFmtId="0" xfId="0">
      <alignment horizontal="left" vertical="center"/>
    </xf>
    <xf applyAlignment="true" applyBorder="false" applyFill="false" applyFont="true" applyNumberFormat="true" applyProtection="false" borderId="251" fillId="0" fontId="1" numFmtId="282" xfId="0">
      <alignment vertical="bottom"/>
    </xf>
    <xf applyAlignment="true" applyBorder="false" applyFill="true" applyFont="true" applyNumberFormat="true" applyProtection="false" borderId="252" fillId="78" fontId="17" numFmtId="283" xfId="0">
      <alignment horizontal="left" vertical="center"/>
    </xf>
    <xf applyAlignment="true" applyBorder="false" applyFill="true" applyFont="true" applyNumberFormat="false" applyProtection="false" borderId="253" fillId="79" fontId="17" numFmtId="0" xfId="0">
      <alignment horizontal="center" vertical="center"/>
    </xf>
    <xf applyAlignment="true" applyBorder="false" applyFill="true" applyFont="true" applyNumberFormat="true" applyProtection="false" borderId="254" fillId="80" fontId="17" numFmtId="284" xfId="0">
      <alignment horizontal="left" vertical="center"/>
    </xf>
    <xf applyAlignment="true" applyBorder="false" applyFill="true" applyFont="true" applyNumberFormat="true" applyProtection="false" borderId="255" fillId="81" fontId="17" numFmtId="285" xfId="0">
      <alignment horizontal="left" vertical="center"/>
    </xf>
    <xf applyAlignment="true" applyBorder="false" applyFill="false" applyFont="true" applyNumberFormat="true" applyProtection="false" borderId="256" fillId="0" fontId="17" numFmtId="286" xfId="0">
      <alignment horizontal="left" vertical="center"/>
    </xf>
    <xf applyAlignment="true" applyBorder="false" applyFill="true" applyFont="true" applyNumberFormat="true" applyProtection="false" borderId="257" fillId="82" fontId="25" numFmtId="287" xfId="0">
      <alignment horizontal="center" vertical="center" wrapText="true"/>
    </xf>
    <xf applyAlignment="true" applyBorder="false" applyFill="false" applyFont="true" applyNumberFormat="false" applyProtection="false" borderId="258" fillId="0" fontId="1" numFmtId="0" xfId="0">
      <alignment vertical="bottom" wrapText="true"/>
    </xf>
    <xf applyAlignment="true" applyBorder="false" applyFill="true" applyFont="true" applyNumberFormat="true" applyProtection="false" borderId="259" fillId="83" fontId="25" numFmtId="288" xfId="0">
      <alignment horizontal="center" vertical="center" wrapText="true"/>
    </xf>
    <xf applyAlignment="true" applyBorder="false" applyFill="false" applyFont="true" applyNumberFormat="true" applyProtection="false" borderId="260" fillId="0" fontId="25" numFmtId="289" xfId="0">
      <alignment horizontal="center" vertical="center" wrapText="true"/>
    </xf>
    <xf applyAlignment="true" applyBorder="false" applyFill="true" applyFont="true" applyNumberFormat="false" applyProtection="false" borderId="261" fillId="84" fontId="17" numFmtId="0" xfId="0">
      <alignment horizontal="center" vertical="center"/>
    </xf>
    <xf applyAlignment="true" applyBorder="false" applyFill="true" applyFont="true" applyNumberFormat="true" applyProtection="false" borderId="262" fillId="85" fontId="25" numFmtId="290" xfId="0">
      <alignment horizontal="center" vertical="center" wrapText="true"/>
    </xf>
    <xf applyAlignment="true" applyBorder="false" applyFill="true" applyFont="true" applyNumberFormat="true" applyProtection="false" borderId="263" fillId="86" fontId="1" numFmtId="291" xfId="0">
      <alignment horizontal="left" vertical="center"/>
    </xf>
    <xf applyAlignment="true" applyBorder="false" applyFill="false" applyFont="true" applyNumberFormat="false" applyProtection="false" borderId="264" fillId="0" fontId="1" numFmtId="0" xfId="0">
      <alignment horizontal="left" vertical="bottom"/>
    </xf>
    <xf applyAlignment="true" applyBorder="false" applyFill="true" applyFont="true" applyNumberFormat="true" applyProtection="false" borderId="265" fillId="87" fontId="15" numFmtId="292" xfId="0">
      <alignment horizontal="left" vertical="center"/>
    </xf>
    <xf applyAlignment="true" applyBorder="false" applyFill="true" applyFont="true" applyNumberFormat="true" applyProtection="false" borderId="266" fillId="88" fontId="1" numFmtId="293" xfId="0">
      <alignment horizontal="left" vertical="center"/>
    </xf>
    <xf applyAlignment="true" applyBorder="false" applyFill="true" applyFont="true" applyNumberFormat="true" applyProtection="false" borderId="267" fillId="89" fontId="1" numFmtId="294" xfId="0">
      <alignment horizontal="left" vertical="center" wrapText="true"/>
    </xf>
    <xf applyAlignment="true" applyBorder="false" applyFill="true" applyFont="true" applyNumberFormat="false" applyProtection="false" borderId="268" fillId="90" fontId="17" numFmtId="0" xfId="0">
      <alignment horizontal="left" vertical="center"/>
    </xf>
    <xf applyAlignment="true" applyBorder="false" applyFill="true" applyFont="true" applyNumberFormat="false" applyProtection="false" borderId="269" fillId="91" fontId="1" numFmtId="0" xfId="0">
      <alignment horizontal="left" vertical="center"/>
    </xf>
    <xf applyAlignment="true" applyBorder="false" applyFill="true" applyFont="true" applyNumberFormat="true" applyProtection="false" borderId="270" fillId="92" fontId="1" numFmtId="295" xfId="0">
      <alignment horizontal="left" vertical="center"/>
    </xf>
    <xf applyAlignment="true" applyBorder="false" applyFill="true" applyFont="true" applyNumberFormat="true" applyProtection="false" borderId="271" fillId="93" fontId="1" numFmtId="296" xfId="0">
      <alignment horizontal="left" vertical="center"/>
    </xf>
    <xf applyAlignment="true" applyBorder="false" applyFill="true" applyFont="true" applyNumberFormat="true" applyProtection="false" borderId="272" fillId="94" fontId="1" numFmtId="297" xfId="0">
      <alignment horizontal="left" vertical="center"/>
    </xf>
    <xf applyAlignment="true" applyBorder="false" applyFill="true" applyFont="true" applyNumberFormat="true" applyProtection="false" borderId="273" fillId="95" fontId="1" numFmtId="298" xfId="0">
      <alignment horizontal="left" vertical="center" wrapText="true"/>
    </xf>
    <xf applyAlignment="true" applyBorder="false" applyFill="true" applyFont="true" applyNumberFormat="true" applyProtection="false" borderId="274" fillId="96" fontId="15" numFmtId="299" xfId="0">
      <alignment horizontal="left" vertical="center"/>
    </xf>
    <xf applyAlignment="true" applyBorder="false" applyFill="true" applyFont="true" applyNumberFormat="false" applyProtection="false" borderId="275" fillId="97" fontId="1" numFmtId="0" xfId="0">
      <alignment horizontal="left" vertical="center"/>
    </xf>
    <xf applyAlignment="true" applyBorder="false" applyFill="true" applyFont="true" applyNumberFormat="false" applyProtection="false" borderId="276" fillId="98" fontId="17" numFmtId="0" xfId="0">
      <alignment horizontal="left" vertical="center"/>
    </xf>
    <xf applyAlignment="true" applyBorder="false" applyFill="true" applyFont="true" applyNumberFormat="true" applyProtection="false" borderId="277" fillId="99" fontId="1" numFmtId="300" xfId="0">
      <alignment horizontal="left" vertical="center"/>
    </xf>
    <xf applyAlignment="true" applyBorder="false" applyFill="true" applyFont="true" applyNumberFormat="true" applyProtection="false" borderId="278" fillId="100" fontId="2" numFmtId="301" xfId="0">
      <alignment horizontal="left" vertical="center" wrapText="true"/>
    </xf>
    <xf applyAlignment="true" applyBorder="false" applyFill="true" applyFont="true" applyNumberFormat="false" applyProtection="false" borderId="279" fillId="101" fontId="2" numFmtId="0" xfId="0">
      <alignment horizontal="left" vertical="center" wrapText="true"/>
    </xf>
    <xf applyAlignment="true" applyBorder="false" applyFill="true" applyFont="true" applyNumberFormat="false" applyProtection="false" borderId="280" fillId="102" fontId="15" numFmtId="0" xfId="0">
      <alignment horizontal="left" vertical="center" wrapText="true"/>
    </xf>
    <xf applyAlignment="true" applyBorder="false" applyFill="true" applyFont="true" applyNumberFormat="true" applyProtection="false" borderId="281" fillId="103" fontId="2" numFmtId="302" xfId="0">
      <alignment horizontal="left" vertical="center" wrapText="true"/>
    </xf>
    <xf applyAlignment="true" applyBorder="false" applyFill="false" applyFont="true" applyNumberFormat="true" applyProtection="false" borderId="282" fillId="0" fontId="26" numFmtId="303" xfId="0">
      <alignment horizontal="center" vertical="center" wrapText="true"/>
    </xf>
    <xf applyAlignment="true" applyBorder="false" applyFill="false" applyFont="true" applyNumberFormat="true" applyProtection="false" borderId="283" fillId="0" fontId="26" numFmtId="304" xfId="0">
      <alignment horizontal="center" vertical="center" wrapText="true"/>
    </xf>
    <xf applyAlignment="true" applyBorder="false" applyFill="false" applyFont="true" applyNumberFormat="true" applyProtection="false" borderId="284" fillId="0" fontId="26" numFmtId="305" xfId="0">
      <alignment horizontal="center" vertical="center" wrapText="true"/>
    </xf>
    <xf applyAlignment="true" applyBorder="false" applyFill="false" applyFont="true" applyNumberFormat="false" applyProtection="false" borderId="285" fillId="0" fontId="26" numFmtId="0" xfId="0">
      <alignment horizontal="center" vertical="center" wrapText="true"/>
    </xf>
    <xf applyAlignment="true" applyBorder="false" applyFill="false" applyFont="true" applyNumberFormat="true" applyProtection="false" borderId="286" fillId="0" fontId="26" numFmtId="306" xfId="0">
      <alignment horizontal="center" vertical="center" wrapText="true"/>
    </xf>
    <xf applyAlignment="true" applyBorder="false" applyFill="false" applyFont="true" applyNumberFormat="true" applyProtection="false" borderId="287" fillId="0" fontId="26" numFmtId="307" xfId="0">
      <alignment vertical="center" wrapText="true"/>
    </xf>
    <xf applyAlignment="true" applyBorder="false" applyFill="false" applyFont="true" applyNumberFormat="false" applyProtection="false" borderId="288" fillId="0" fontId="26" numFmtId="0" xfId="0">
      <alignment horizontal="center" vertical="center"/>
    </xf>
    <xf applyAlignment="true" applyBorder="false" applyFill="false" applyFont="true" applyNumberFormat="false" applyProtection="false" borderId="289" fillId="0" fontId="26" numFmtId="0" xfId="0">
      <alignment horizontal="left" vertical="center"/>
    </xf>
    <xf applyAlignment="true" applyBorder="false" applyFill="true" applyFont="true" applyNumberFormat="false" applyProtection="false" borderId="290" fillId="104" fontId="26" numFmtId="0" xfId="0">
      <alignment horizontal="center" vertical="center" wrapText="true"/>
    </xf>
    <xf applyAlignment="true" applyBorder="false" applyFill="true" applyFont="true" applyNumberFormat="true" applyProtection="false" borderId="291" fillId="105" fontId="26" numFmtId="308" xfId="0">
      <alignment horizontal="center" vertical="center" wrapText="true"/>
    </xf>
    <xf applyAlignment="true" applyBorder="false" applyFill="true" applyFont="true" applyNumberFormat="true" applyProtection="false" borderId="292" fillId="106" fontId="26" numFmtId="309" xfId="0">
      <alignment vertical="center" wrapText="true"/>
    </xf>
    <xf applyAlignment="true" applyBorder="false" applyFill="true" applyFont="true" applyNumberFormat="true" applyProtection="false" borderId="293" fillId="107" fontId="26" numFmtId="310" xfId="0">
      <alignment horizontal="center" vertical="center" wrapText="true"/>
    </xf>
    <xf applyAlignment="true" applyBorder="false" applyFill="true" applyFont="true" applyNumberFormat="true" applyProtection="false" borderId="294" fillId="108" fontId="26" numFmtId="311" xfId="0">
      <alignment horizontal="center" vertical="center" wrapText="true"/>
    </xf>
    <xf applyAlignment="true" applyBorder="false" applyFill="true" applyFont="true" applyNumberFormat="false" applyProtection="false" borderId="295" fillId="109" fontId="26" numFmtId="0" xfId="0">
      <alignment horizontal="left" vertical="center"/>
    </xf>
    <xf applyAlignment="true" applyBorder="false" applyFill="true" applyFont="true" applyNumberFormat="false" applyProtection="false" borderId="296" fillId="110" fontId="26" numFmtId="0" xfId="0">
      <alignment horizontal="center" vertical="center"/>
    </xf>
    <xf applyAlignment="true" applyBorder="false" applyFill="true" applyFont="true" applyNumberFormat="true" applyProtection="false" borderId="297" fillId="111" fontId="26" numFmtId="312" xfId="0">
      <alignment horizontal="center" vertical="center" wrapText="true"/>
    </xf>
    <xf applyAlignment="true" applyBorder="false" applyFill="false" applyFont="true" applyNumberFormat="true" applyProtection="false" borderId="298" fillId="0" fontId="25" numFmtId="313" xfId="0">
      <alignment horizontal="center" vertical="center" wrapText="true"/>
    </xf>
    <xf applyAlignment="true" applyBorder="false" applyFill="false" applyFont="true" applyNumberFormat="true" applyProtection="false" borderId="299" fillId="0" fontId="26" numFmtId="314" xfId="0">
      <alignment horizontal="center" vertical="center" wrapText="true"/>
    </xf>
    <xf applyAlignment="true" applyBorder="false" applyFill="false" applyFont="true" applyNumberFormat="true" applyProtection="false" borderId="300" fillId="0" fontId="26" numFmtId="315" xfId="0">
      <alignment horizontal="center" vertical="center" wrapText="true"/>
    </xf>
    <xf applyAlignment="true" applyBorder="false" applyFill="false" applyFont="true" applyNumberFormat="false" applyProtection="false" borderId="301" fillId="0" fontId="26" numFmtId="0" xfId="0">
      <alignment horizontal="center" vertical="center" wrapText="true"/>
    </xf>
    <xf applyAlignment="true" applyBorder="false" applyFill="false" applyFont="true" applyNumberFormat="false" applyProtection="false" borderId="302" fillId="0" fontId="26" numFmtId="0" xfId="0">
      <alignment horizontal="left" vertical="center"/>
    </xf>
    <xf applyAlignment="true" applyBorder="false" applyFill="false" applyFont="true" applyNumberFormat="true" applyProtection="false" borderId="303" fillId="0" fontId="26" numFmtId="316" xfId="0">
      <alignment horizontal="center" vertical="center" wrapText="true"/>
    </xf>
    <xf applyAlignment="true" applyBorder="false" applyFill="false" applyFont="true" applyNumberFormat="true" applyProtection="false" borderId="304" fillId="0" fontId="26" numFmtId="317" xfId="0">
      <alignment vertical="center" wrapText="true"/>
    </xf>
    <xf applyAlignment="true" applyBorder="false" applyFill="false" applyFont="true" applyNumberFormat="true" applyProtection="false" borderId="305" fillId="0" fontId="26" numFmtId="318" xfId="0">
      <alignment horizontal="center" vertical="center" wrapText="true"/>
    </xf>
    <xf applyAlignment="true" applyBorder="false" applyFill="false" applyFont="true" applyNumberFormat="true" applyProtection="false" borderId="306" fillId="0" fontId="26" numFmtId="319" xfId="0">
      <alignment horizontal="center" vertical="center" wrapText="true"/>
    </xf>
    <xf applyAlignment="true" applyBorder="false" applyFill="false" applyFont="true" applyNumberFormat="true" applyProtection="false" borderId="307" fillId="0" fontId="26" numFmtId="320" xfId="0">
      <alignment horizontal="center" vertical="center" wrapText="true"/>
    </xf>
    <xf applyAlignment="true" applyBorder="false" applyFill="false" applyFont="true" applyNumberFormat="false" applyProtection="false" borderId="308" fillId="0" fontId="26" numFmtId="0" xfId="0">
      <alignment horizontal="center" vertical="center"/>
    </xf>
    <xf applyAlignment="true" applyBorder="false" applyFill="true" applyFont="true" applyNumberFormat="true" applyProtection="false" borderId="309" fillId="112" fontId="26" numFmtId="321" xfId="0">
      <alignment horizontal="center" vertical="center" wrapText="true"/>
    </xf>
    <xf applyAlignment="true" applyBorder="false" applyFill="true" applyFont="true" applyNumberFormat="true" applyProtection="false" borderId="310" fillId="113" fontId="26" numFmtId="322" xfId="0">
      <alignment horizontal="center" vertical="center" wrapText="true"/>
    </xf>
    <xf applyAlignment="true" applyBorder="false" applyFill="true" applyFont="true" applyNumberFormat="false" applyProtection="false" borderId="311" fillId="114" fontId="8" numFmtId="0" xfId="0">
      <alignment horizontal="center" vertical="center" wrapText="true"/>
    </xf>
    <xf applyAlignment="true" applyBorder="false" applyFill="true" applyFont="true" applyNumberFormat="true" applyProtection="false" borderId="312" fillId="115" fontId="25" numFmtId="323" xfId="0">
      <alignment horizontal="center" vertical="center" wrapText="true"/>
    </xf>
    <xf applyAlignment="true" applyBorder="false" applyFill="true" applyFont="true" applyNumberFormat="true" applyProtection="false" borderId="313" fillId="116" fontId="25" numFmtId="324" xfId="0">
      <alignment horizontal="center" vertical="center" wrapText="true"/>
    </xf>
    <xf applyAlignment="true" applyBorder="false" applyFill="true" applyFont="true" applyNumberFormat="true" applyProtection="false" borderId="314" fillId="117" fontId="25" numFmtId="325" xfId="0">
      <alignment horizontal="center" vertical="center" wrapText="true"/>
    </xf>
    <xf applyAlignment="true" applyBorder="false" applyFill="true" applyFont="true" applyNumberFormat="true" applyProtection="false" borderId="315" fillId="118" fontId="8" numFmtId="326" xfId="0">
      <alignment horizontal="center" vertical="center" wrapText="true"/>
    </xf>
    <xf applyAlignment="true" applyBorder="false" applyFill="true" applyFont="true" applyNumberFormat="false" applyProtection="false" borderId="316" fillId="119" fontId="25" numFmtId="0" xfId="0">
      <alignment horizontal="center" vertical="center" wrapText="true"/>
    </xf>
    <xf applyAlignment="true" applyBorder="false" applyFill="true" applyFont="true" applyNumberFormat="true" applyProtection="false" borderId="317" fillId="120" fontId="8" numFmtId="327" xfId="0">
      <alignment horizontal="center" vertical="center" wrapText="true"/>
    </xf>
    <xf applyAlignment="true" applyBorder="false" applyFill="true" applyFont="true" applyNumberFormat="false" applyProtection="false" borderId="318" fillId="121" fontId="25" numFmtId="0" xfId="0">
      <alignment horizontal="left" vertical="center" wrapText="true"/>
    </xf>
    <xf applyAlignment="true" applyBorder="false" applyFill="true" applyFont="true" applyNumberFormat="true" applyProtection="false" borderId="319" fillId="122" fontId="25" numFmtId="328" xfId="0">
      <alignment horizontal="center" vertical="center" wrapText="true"/>
    </xf>
    <xf applyAlignment="true" applyBorder="false" applyFill="true" applyFont="true" applyNumberFormat="true" applyProtection="false" borderId="320" fillId="123" fontId="25" numFmtId="329" xfId="0">
      <alignment horizontal="center" vertical="center" wrapText="true"/>
    </xf>
    <xf applyAlignment="true" applyBorder="false" applyFill="true" applyFont="true" applyNumberFormat="true" applyProtection="false" borderId="321" fillId="124" fontId="25" numFmtId="330" xfId="0">
      <alignment horizontal="center" vertical="center" wrapText="true"/>
    </xf>
    <xf applyAlignment="true" applyBorder="false" applyFill="true" applyFont="true" applyNumberFormat="true" applyProtection="false" borderId="322" fillId="125" fontId="25" numFmtId="331" xfId="0">
      <alignment vertical="center" wrapText="true"/>
    </xf>
    <xf applyAlignment="true" applyBorder="false" applyFill="true" applyFont="true" applyNumberFormat="true" applyProtection="false" borderId="323" fillId="126" fontId="25" numFmtId="332" xfId="0">
      <alignment vertical="center" wrapText="true"/>
    </xf>
    <xf applyAlignment="true" applyBorder="false" applyFill="true" applyFont="true" applyNumberFormat="true" applyProtection="false" borderId="324" fillId="127" fontId="25" numFmtId="333" xfId="0">
      <alignment vertical="center" wrapText="true"/>
    </xf>
    <xf applyAlignment="true" applyBorder="false" applyFill="true" applyFont="true" applyNumberFormat="true" applyProtection="false" borderId="325" fillId="128" fontId="25" numFmtId="334" xfId="0">
      <alignment horizontal="center" vertical="center" wrapText="true"/>
    </xf>
    <xf applyAlignment="true" applyBorder="false" applyFill="true" applyFont="true" applyNumberFormat="false" applyProtection="false" borderId="326" fillId="129" fontId="25" numFmtId="0" xfId="0">
      <alignment horizontal="center" vertical="center" wrapText="true"/>
    </xf>
    <xf applyAlignment="true" applyBorder="false" applyFill="true" applyFont="true" applyNumberFormat="true" applyProtection="false" borderId="327" fillId="130" fontId="25" numFmtId="335" xfId="0">
      <alignment horizontal="center" vertical="center" wrapText="true"/>
    </xf>
    <xf applyAlignment="true" applyBorder="false" applyFill="true" applyFont="true" applyNumberFormat="true" applyProtection="false" borderId="328" fillId="131" fontId="25" numFmtId="336" xfId="0">
      <alignment horizontal="center" vertical="center" wrapText="true"/>
    </xf>
    <xf applyAlignment="true" applyBorder="false" applyFill="true" applyFont="true" applyNumberFormat="true" applyProtection="false" borderId="329" fillId="132" fontId="25" numFmtId="337" xfId="0">
      <alignment horizontal="center" vertical="center" wrapText="true"/>
    </xf>
    <xf applyAlignment="true" applyBorder="false" applyFill="true" applyFont="true" applyNumberFormat="false" applyProtection="false" borderId="330" fillId="133" fontId="25" numFmtId="0" xfId="0">
      <alignment horizontal="center" vertical="center" wrapText="true"/>
    </xf>
    <xf applyAlignment="true" applyBorder="false" applyFill="false" applyFont="true" applyNumberFormat="true" applyProtection="false" borderId="331" fillId="0" fontId="26" numFmtId="338" xfId="0">
      <alignment horizontal="center" vertical="center" wrapText="true"/>
    </xf>
    <xf applyAlignment="false" applyBorder="false" applyFill="false" applyFont="false" applyNumberFormat="false" applyProtection="false" borderId="332" fillId="0" fontId="0" numFmtId="0" xfId="0">
      <alignment/>
    </xf>
    <xf applyAlignment="true" applyBorder="false" applyFill="false" applyFont="true" applyNumberFormat="false" applyProtection="false" borderId="333" fillId="0" fontId="13" numFmtId="0" xfId="0">
      <alignment vertical="center"/>
    </xf>
    <xf applyAlignment="true" applyBorder="false" applyFill="false" applyFont="true" applyNumberFormat="true" applyProtection="false" borderId="334" fillId="0" fontId="1" numFmtId="339" xfId="0">
      <alignment vertical="center"/>
    </xf>
    <xf applyAlignment="true" applyBorder="false" applyFill="false" applyFont="true" applyNumberFormat="false" applyProtection="false" borderId="335" fillId="0" fontId="27" numFmtId="0" xfId="0">
      <alignment vertical="center"/>
    </xf>
    <xf applyAlignment="true" applyBorder="false" applyFill="true" applyFont="true" applyNumberFormat="false" applyProtection="false" borderId="336" fillId="134" fontId="1" numFmtId="0" xfId="0">
      <alignment horizontal="left" vertical="bottom"/>
    </xf>
    <xf applyAlignment="true" applyBorder="false" applyFill="false" applyFont="true" applyNumberFormat="false" applyProtection="false" borderId="337" fillId="0" fontId="1" numFmtId="0" xfId="0">
      <alignment vertical="center" wrapText="true"/>
    </xf>
    <xf applyAlignment="true" applyBorder="false" applyFill="false" applyFont="true" applyNumberFormat="true" applyProtection="false" borderId="338" fillId="0" fontId="3" numFmtId="340" xfId="0">
      <alignment vertical="center"/>
    </xf>
    <xf applyAlignment="true" applyBorder="false" applyFill="false" applyFont="true" applyNumberFormat="false" applyProtection="false" borderId="339" fillId="0" fontId="5" numFmtId="0" xfId="0">
      <alignment vertical="center"/>
    </xf>
    <xf applyAlignment="true" applyBorder="false" applyFill="false" applyFont="true" applyNumberFormat="true" applyProtection="false" borderId="340" fillId="0" fontId="28" numFmtId="341" xfId="0">
      <alignment horizontal="center" vertical="center"/>
    </xf>
    <xf applyAlignment="true" applyBorder="false" applyFill="false" applyFont="true" applyNumberFormat="false" applyProtection="false" borderId="341" fillId="0" fontId="28" numFmtId="0" xfId="0">
      <alignment horizontal="center" vertical="center"/>
    </xf>
    <xf applyAlignment="true" applyBorder="false" applyFill="true" applyFont="true" applyNumberFormat="true" applyProtection="false" borderId="342" fillId="135" fontId="6" numFmtId="342" xfId="0">
      <alignment horizontal="left" vertical="center"/>
    </xf>
    <xf applyAlignment="true" applyBorder="false" applyFill="true" applyFont="true" applyNumberFormat="false" applyProtection="false" borderId="343" fillId="136" fontId="7" numFmtId="0" xfId="0">
      <alignment horizontal="left" vertical="center"/>
    </xf>
    <xf applyAlignment="true" applyBorder="false" applyFill="true" applyFont="true" applyNumberFormat="false" applyProtection="false" borderId="344" fillId="137" fontId="7" numFmtId="0" xfId="0">
      <alignment horizontal="center" vertical="center"/>
    </xf>
    <xf applyAlignment="true" applyBorder="false" applyFill="true" applyFont="true" applyNumberFormat="false" applyProtection="false" borderId="345" fillId="138" fontId="28" numFmtId="0" xfId="0">
      <alignment horizontal="center" vertical="center"/>
    </xf>
    <xf applyAlignment="true" applyBorder="false" applyFill="true" applyFont="true" applyNumberFormat="false" applyProtection="false" borderId="346" fillId="139" fontId="5" numFmtId="0" xfId="0">
      <alignment horizontal="center" vertical="center"/>
    </xf>
    <xf applyAlignment="true" applyBorder="false" applyFill="false" applyFont="true" applyNumberFormat="true" applyProtection="false" borderId="347" fillId="0" fontId="5" numFmtId="343" xfId="0">
      <alignment horizontal="center" vertical="center"/>
    </xf>
    <xf applyAlignment="true" applyBorder="false" applyFill="false" applyFont="true" applyNumberFormat="false" applyProtection="false" borderId="348" fillId="0" fontId="5" numFmtId="0" xfId="0">
      <alignment horizontal="left" vertical="center"/>
    </xf>
    <xf applyAlignment="true" applyBorder="false" applyFill="true" applyFont="true" applyNumberFormat="false" applyProtection="false" borderId="349" fillId="140" fontId="6" numFmtId="0" xfId="0">
      <alignment horizontal="left" vertical="center"/>
    </xf>
    <xf applyAlignment="true" applyBorder="false" applyFill="false" applyFont="true" applyNumberFormat="false" applyProtection="false" borderId="350" fillId="0" fontId="3" numFmtId="0" xfId="0">
      <alignment vertical="center"/>
    </xf>
    <xf applyAlignment="true" applyBorder="false" applyFill="false" applyFont="true" applyNumberFormat="false" applyProtection="false" borderId="351" fillId="0" fontId="5" numFmtId="0" xfId="0">
      <alignment horizontal="right" vertical="center"/>
    </xf>
    <xf applyAlignment="true" applyBorder="false" applyFill="false" applyFont="true" applyNumberFormat="false" applyProtection="false" borderId="352" fillId="0" fontId="5" numFmtId="0" xfId="0">
      <alignment vertical="center"/>
    </xf>
    <xf applyAlignment="true" applyBorder="false" applyFill="false" applyFont="true" applyNumberFormat="false" applyProtection="false" borderId="353" fillId="0" fontId="23" numFmtId="0" xfId="0">
      <alignment horizontal="center" vertical="center"/>
    </xf>
    <xf applyAlignment="true" applyBorder="false" applyFill="false" applyFont="true" applyNumberFormat="false" applyProtection="false" borderId="354" fillId="0" fontId="3" numFmtId="0" xfId="0">
      <alignment vertical="center"/>
    </xf>
    <xf applyAlignment="true" applyBorder="false" applyFill="false" applyFont="true" applyNumberFormat="false" applyProtection="false" borderId="355" fillId="0" fontId="5" numFmtId="0" xfId="0">
      <alignment horizontal="center" vertical="center"/>
    </xf>
    <xf applyAlignment="true" applyBorder="false" applyFill="true" applyFont="true" applyNumberFormat="false" applyProtection="false" borderId="356" fillId="141" fontId="29" numFmtId="0" xfId="0">
      <alignment horizontal="center" vertical="center"/>
    </xf>
    <xf applyAlignment="true" applyBorder="false" applyFill="false" applyFont="true" applyNumberFormat="true" applyProtection="false" borderId="357" fillId="0" fontId="28" numFmtId="344" xfId="0">
      <alignment horizontal="center" vertical="center"/>
    </xf>
    <xf applyAlignment="true" applyBorder="false" applyFill="true" applyFont="true" applyNumberFormat="false" applyProtection="false" borderId="358" fillId="142" fontId="5" numFmtId="0" xfId="0">
      <alignment horizontal="left" vertical="center"/>
    </xf>
    <xf applyAlignment="true" applyBorder="false" applyFill="false" applyFont="true" applyNumberFormat="false" applyProtection="false" borderId="359" fillId="0" fontId="5" numFmtId="0" xfId="0">
      <alignment horizontal="left" vertical="center"/>
    </xf>
    <xf applyAlignment="true" applyBorder="false" applyFill="false" applyFont="true" applyNumberFormat="false" applyProtection="false" borderId="360" fillId="0" fontId="23" numFmtId="0" xfId="0">
      <alignment horizontal="left" vertical="center"/>
    </xf>
    <xf applyAlignment="true" applyBorder="false" applyFill="false" applyFont="true" applyNumberFormat="false" applyProtection="false" borderId="361" fillId="0" fontId="5" numFmtId="0" xfId="0">
      <alignment horizontal="center" vertical="center"/>
    </xf>
    <xf applyAlignment="true" applyBorder="false" applyFill="true" applyFont="true" applyNumberFormat="false" applyProtection="false" borderId="362" fillId="143" fontId="5" numFmtId="0" xfId="0">
      <alignment vertical="center"/>
    </xf>
    <xf applyAlignment="true" applyBorder="false" applyFill="true" applyFont="true" applyNumberFormat="false" applyProtection="false" borderId="363" fillId="144" fontId="28" numFmtId="0" xfId="0">
      <alignment horizontal="center" vertical="center"/>
    </xf>
    <xf applyAlignment="true" applyBorder="false" applyFill="true" applyFont="true" applyNumberFormat="false" applyProtection="false" borderId="364" fillId="145" fontId="5" numFmtId="0" xfId="0">
      <alignment horizontal="left" vertical="center"/>
    </xf>
    <xf applyAlignment="true" applyBorder="false" applyFill="false" applyFont="true" applyNumberFormat="false" applyProtection="false" borderId="365" fillId="0" fontId="5" numFmtId="0" xfId="0">
      <alignment vertical="center" wrapText="true"/>
    </xf>
    <xf applyAlignment="true" applyBorder="false" applyFill="true" applyFont="true" applyNumberFormat="false" applyProtection="false" borderId="366" fillId="146" fontId="5" numFmtId="0" xfId="0">
      <alignment horizontal="left" vertical="center" wrapText="true"/>
    </xf>
    <xf applyAlignment="true" applyBorder="false" applyFill="false" applyFont="true" applyNumberFormat="false" applyProtection="false" borderId="367" fillId="0" fontId="28" numFmtId="0" xfId="0">
      <alignment horizontal="center" vertical="center" wrapText="true"/>
    </xf>
    <xf applyAlignment="true" applyBorder="false" applyFill="false" applyFont="true" applyNumberFormat="true" applyProtection="false" borderId="368" fillId="0" fontId="5" numFmtId="345" xfId="0">
      <alignment horizontal="left" vertical="center"/>
    </xf>
    <xf applyAlignment="true" applyBorder="false" applyFill="false" applyFont="true" applyNumberFormat="false" applyProtection="false" borderId="369" fillId="0" fontId="5"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3.jpeg" Type="http://schemas.openxmlformats.org/officeDocument/2006/relationships/image"></Relationship><Relationship Id="rId2" Target="../media/image4.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29</xdr:col>
      <xdr:colOff>457200</xdr:colOff>
      <xdr:row>24</xdr:row>
      <xdr:rowOff>333375</xdr:rowOff>
    </xdr:from>
    <xdr:to>
      <xdr:col>42</xdr:col>
      <xdr:colOff>400050</xdr:colOff>
      <xdr:row>31</xdr:row>
      <xdr:rowOff>76200</xdr:rowOff>
    </xdr:to>
    <xdr:pic>
      <xdr:nvPicPr>
        <xdr:cNvPr id="2" name="Picture 2" descr="SdhMyc"/>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27</xdr:col>
      <xdr:colOff>0</xdr:colOff>
      <xdr:row>10</xdr:row>
      <xdr:rowOff>0</xdr:rowOff>
    </xdr:from>
    <xdr:to>
      <xdr:col>38</xdr:col>
      <xdr:colOff>619125</xdr:colOff>
      <xdr:row>20</xdr:row>
      <xdr:rowOff>28575</xdr:rowOff>
    </xdr:to>
    <xdr:pic>
      <xdr:nvPicPr>
        <xdr:cNvPr id="3" name="Picture 3" descr="iKsFVN"/>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0</xdr:col>
      <xdr:colOff>152400</xdr:colOff>
      <xdr:row>40</xdr:row>
      <xdr:rowOff>47625</xdr:rowOff>
    </xdr:from>
    <xdr:to>
      <xdr:col>4</xdr:col>
      <xdr:colOff>714375</xdr:colOff>
      <xdr:row>75</xdr:row>
      <xdr:rowOff>9525</xdr:rowOff>
    </xdr:to>
    <xdr:pic>
      <xdr:nvPicPr>
        <xdr:cNvPr id="2" name="Picture 2" descr="tlWlkj"/>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5</xdr:col>
      <xdr:colOff>57150</xdr:colOff>
      <xdr:row>40</xdr:row>
      <xdr:rowOff>19050</xdr:rowOff>
    </xdr:from>
    <xdr:to>
      <xdr:col>13</xdr:col>
      <xdr:colOff>457200</xdr:colOff>
      <xdr:row>59</xdr:row>
      <xdr:rowOff>47625</xdr:rowOff>
    </xdr:to>
    <xdr:pic>
      <xdr:nvPicPr>
        <xdr:cNvPr id="3" name="Picture 3" descr="MRytsa"/>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arget="https://www.amazon.com/gp/bestsellers/pet-supplies/3024205011" Type="http://schemas.openxmlformats.org/officeDocument/2006/relationships/hyperlink" TargetMode="External"></Relationship></Relationships>
</file>

<file path=xl/worksheets/_rels/sheet6.xml.rels><?xml version="1.0" encoding="UTF-8" standalone="yes"?>
<Relationships xmlns="http://schemas.openxmlformats.org/package/2006/relationships"><Relationship Id="rId1" Target="https://mp.weixin.qq.com/s/hJXWLb-KpYE6J5aK37fUqA?poc_token=HER7cGijba2sEL_p1d8TCVeaPrsbMxX-Mtg-J8JD"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2.xml" Type="http://schemas.openxmlformats.org/officeDocument/2006/relationships/drawing"></Relationship><Relationship Id="rId2" Target="../drawings/vmlDrawing1.vml" Type="http://schemas.openxmlformats.org/officeDocument/2006/relationships/vmlDrawing"></Relationship><Relationship Id="rId3" Target="../comments1.xml" Type="http://schemas.openxmlformats.org/officeDocument/2006/relationships/comments"></Relationship></Relationships>
</file>

<file path=xl/worksheets/_rels/sheet10.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11.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s>
</file>

<file path=xl/worksheets/_rels/sheet12.xml.rels><?xml version="1.0" encoding="UTF-8" standalone="yes"?>
<Relationships xmlns="http://schemas.openxmlformats.org/package/2006/relationships"><Relationship Id="rId1" Target="https://Amazon.com" Type="http://schemas.openxmlformats.org/officeDocument/2006/relationships/hyperlink" TargetMode="External"></Relationship><Relationship Id="rId2" Target="https://Amazon.com" Type="http://schemas.openxmlformats.org/officeDocument/2006/relationships/hyperlink" TargetMode="External"></Relationship><Relationship Id="rId3" Target="https://Amazon.com" Type="http://schemas.openxmlformats.org/officeDocument/2006/relationships/hyperlink" TargetMode="External"></Relationship><Relationship Id="rId4" Target="https://Amazon.com" Type="http://schemas.openxmlformats.org/officeDocument/2006/relationships/hyperlink" TargetMode="External"></Relationship><Relationship Id="rId5" Target="https://Amazon.com" Type="http://schemas.openxmlformats.org/officeDocument/2006/relationships/hyperlink" TargetMode="External"></Relationship><Relationship Id="rId6" Target="https://Amazon.com" Type="http://schemas.openxmlformats.org/officeDocument/2006/relationships/hyperlink" TargetMode="External"></Relationship><Relationship Id="rId7" Target="https://Amazon.com" Type="http://schemas.openxmlformats.org/officeDocument/2006/relationships/hyperlink" TargetMode="External"></Relationship><Relationship Id="rId8" Target="https://Amazon.com" Type="http://schemas.openxmlformats.org/officeDocument/2006/relationships/hyperlink" TargetMode="External"></Relationship><Relationship Id="rId9" Target="https://Amazon.com" Type="http://schemas.openxmlformats.org/officeDocument/2006/relationships/hyperlink" TargetMode="External"></Relationship><Relationship Id="rId10" Target="https://Amazon.com" Type="http://schemas.openxmlformats.org/officeDocument/2006/relationships/hyperlink" TargetMode="External"></Relationship><Relationship Id="rId11" Target="https://Amazon.com" Type="http://schemas.openxmlformats.org/officeDocument/2006/relationships/hyperlink" TargetMode="External"></Relationship><Relationship Id="rId12" Target="https://Amazon.com" Type="http://schemas.openxmlformats.org/officeDocument/2006/relationships/hyperlink" TargetMode="External"></Relationship></Relationships>
</file>

<file path=xl/worksheets/_rels/sheet13.xml.rels><?xml version="1.0" encoding="UTF-8" standalone="yes"?>
<Relationships xmlns="http://schemas.openxmlformats.org/package/2006/relationships"><Relationship Id="rId1" Target="https://www.facebook.com/Compras-toxicas-con-la-patrona-101594895708272" Type="http://schemas.openxmlformats.org/officeDocument/2006/relationships/hyperlink" TargetMode="External"></Relationship><Relationship Id="rId2" Target="https://www.facebook.com/groups/3433057343420774" Type="http://schemas.openxmlformats.org/officeDocument/2006/relationships/hyperlink" TargetMode="External"></Relationship><Relationship Id="rId3" Target="https://www.facebook.com/groups/liotp/permalink/829077818767029/?mibextid=S66gvF" Type="http://schemas.openxmlformats.org/officeDocument/2006/relationships/hyperlink" TargetMode="External"></Relationship><Relationship Id="rId4" Target="https://www.facebook.com/groups/bullseyeonthebargain/posts/1494494874684434/" Type="http://schemas.openxmlformats.org/officeDocument/2006/relationships/hyperlink" TargetMode="External"></Relationship><Relationship Id="rId5" Target="https://www.facebook.com/groups/mommymedeals/posts/854689936042305/" Type="http://schemas.openxmlformats.org/officeDocument/2006/relationships/hyperlink" TargetMode="External"></Relationship><Relationship Id="rId6" Target="https://www.facebook.com/groups/247524832920261" Type="http://schemas.openxmlformats.org/officeDocument/2006/relationships/hyperlink" TargetMode="External"></Relationship><Relationship Id="rId7" Target="https://www.facebook.com/groups/422988618266575" Type="http://schemas.openxmlformats.org/officeDocument/2006/relationships/hyperlink" TargetMode="External"></Relationship><Relationship Id="rId8" Target="https://www.facebook.com/groups/156005735850667" Type="http://schemas.openxmlformats.org/officeDocument/2006/relationships/hyperlink" TargetMode="External"></Relationship><Relationship Id="rId9" Target="https://www.facebook.com/groups/697178314306457/posts/1235798230444460/" Type="http://schemas.openxmlformats.org/officeDocument/2006/relationships/hyperlink" TargetMode="External"></Relationship><Relationship Id="rId10" Target="https://cdn.daixialu.com/tmp/5708633451008008__.jpg" Type="http://schemas.openxmlformats.org/officeDocument/2006/relationships/hyperlink" TargetMode="External"></Relationship><Relationship Id="rId11" Target="https://www.facebook.com/groups/KouponingWithKatie/permalink/3591434474401940" Type="http://schemas.openxmlformats.org/officeDocument/2006/relationships/hyperlink" TargetMode="External"></Relationship><Relationship Id="rId12" Target="https://www.facebook.com/groups/528046881270010" Type="http://schemas.openxmlformats.org/officeDocument/2006/relationships/hyperlink" TargetMode="External"></Relationship><Relationship Id="rId13" Target="https://www.facebook.com/groups/142001749885757" Type="http://schemas.openxmlformats.org/officeDocument/2006/relationships/hyperlink" TargetMode="External"></Relationship><Relationship Id="rId14" Target="https://www.facebook.com/groups/635928950944558/permalink/996849921519124" Type="http://schemas.openxmlformats.org/officeDocument/2006/relationships/hyperlink" TargetMode="External"></Relationship><Relationship Id="rId15" Target="https://www.facebook.com/groups/422988618266575" Type="http://schemas.openxmlformats.org/officeDocument/2006/relationships/hyperlink" TargetMode="External"></Relationship><Relationship Id="rId16" Target="https://www.facebook.com/groups/309675624384964" Type="http://schemas.openxmlformats.org/officeDocument/2006/relationships/hyperlink" TargetMode="External"></Relationship><Relationship Id="rId17" Target="https://www.facebook.com/groups/1240733246313243" Type="http://schemas.openxmlformats.org/officeDocument/2006/relationships/hyperlink" TargetMode="External"></Relationship><Relationship Id="rId18" Target="https://www.facebook.com/groups/410426780231790" Type="http://schemas.openxmlformats.org/officeDocument/2006/relationships/hyperlink" TargetMode="External"></Relationship><Relationship Id="rId19" Target="https://www.facebook.com/groups/389700749371407" Type="http://schemas.openxmlformats.org/officeDocument/2006/relationships/hyperlink" TargetMode="External"></Relationship><Relationship Id="rId20" Target="https://www.facebook.com/groups/163854847748450" Type="http://schemas.openxmlformats.org/officeDocument/2006/relationships/hyperlink" TargetMode="External"></Relationship><Relationship Id="rId21" Target="https://www.facebook.com/groups/156005735850667/permalink/1007079404076625/" Type="http://schemas.openxmlformats.org/officeDocument/2006/relationships/hyperlink" TargetMode="External"></Relationship><Relationship Id="rId22" Target="https://www.facebook.com/groups/679941889134209/permalink/1819758365152550" Type="http://schemas.openxmlformats.org/officeDocument/2006/relationships/hyperlink" TargetMode="External"></Relationship><Relationship Id="rId23" Target="https://www.facebook.com/groups/303805157065867" Type="http://schemas.openxmlformats.org/officeDocument/2006/relationships/hyperlink" TargetMode="External"></Relationship><Relationship Id="rId24" Target="https://www.facebook.com/groups/349613118971934" Type="http://schemas.openxmlformats.org/officeDocument/2006/relationships/hyperlink" TargetMode="External"></Relationship><Relationship Id="rId25" Target="https://www.facebook.com/groups/shopwithnada/permalink/6831996300193511/" Type="http://schemas.openxmlformats.org/officeDocument/2006/relationships/hyperlink" TargetMode="External"></Relationship><Relationship Id="rId26" Target="https://www.facebook.com/groups/379457484265304" Type="http://schemas.openxmlformats.org/officeDocument/2006/relationships/hyperlink" TargetMode="External"></Relationship><Relationship Id="rId27" Target="https://www.facebook.com/groups/635928950944558" Type="http://schemas.openxmlformats.org/officeDocument/2006/relationships/hyperlink" TargetMode="External"></Relationship><Relationship Id="rId28" Target="https://www.facebook.com/groups/679941889134209" Type="http://schemas.openxmlformats.org/officeDocument/2006/relationships/hyperlink" TargetMode="External"></Relationship><Relationship Id="rId29" Target="https://www.facebook.com/groups/2181542232094033" Type="http://schemas.openxmlformats.org/officeDocument/2006/relationships/hyperlink" TargetMode="External"></Relationship><Relationship Id="rId30" Target="https://www.facebook.com/groups/2181542232094033" Type="http://schemas.openxmlformats.org/officeDocument/2006/relationships/hyperlink" TargetMode="External"></Relationship><Relationship Id="rId31" Target="https://www.facebook.com/groups/4617002575006363" Type="http://schemas.openxmlformats.org/officeDocument/2006/relationships/hyperlink" TargetMode="External"></Relationship><Relationship Id="rId32" Target="https://www.facebook.com/groups/1813369818892293" Type="http://schemas.openxmlformats.org/officeDocument/2006/relationships/hyperlink" TargetMode="External"></Relationship><Relationship Id="rId33" Target="https://www.facebook.com/groups/simplysalesalyssasarah/posts/1320824385492566/" Type="http://schemas.openxmlformats.org/officeDocument/2006/relationships/hyperlink" TargetMode="External"></Relationship><Relationship Id="rId34" Target="https://www.facebook.com/groups/281646379410377" Type="http://schemas.openxmlformats.org/officeDocument/2006/relationships/hyperlink" TargetMode="External"></Relationship><Relationship Id="rId35" Target="https://www.facebook.com/groups/1646879538871219" Type="http://schemas.openxmlformats.org/officeDocument/2006/relationships/hyperlink" TargetMode="External"></Relationship><Relationship Id="rId36" Target="https://www.facebook.com/groups/2272404193019511" Type="http://schemas.openxmlformats.org/officeDocument/2006/relationships/hyperlink" TargetMode="External"></Relationship><Relationship Id="rId37" Target="https://www.facebook.com/groups/salesaholicgroup/permalink/3855230981372823/" Type="http://schemas.openxmlformats.org/officeDocument/2006/relationships/hyperlink" TargetMode="External"></Relationship><Relationship Id="rId38" Target="https://www.facebook.com/groups/CrazyDiscountCodes/permalink/1570025880405433" Type="http://schemas.openxmlformats.org/officeDocument/2006/relationships/hyperlink" TargetMode="External"></Relationship><Relationship Id="rId39" Target="https://www.facebook.com/groups/276581130519858" Type="http://schemas.openxmlformats.org/officeDocument/2006/relationships/hyperlink" TargetMode="External"></Relationship><Relationship Id="rId40" Target="https://www.facebook.com/groups/1240733246313243" Type="http://schemas.openxmlformats.org/officeDocument/2006/relationships/hyperlink" TargetMode="External"></Relationship><Relationship Id="rId41" Target="https://cdn.daixialu.com/tmp/5561929145782280__.jpg" Type="http://schemas.openxmlformats.org/officeDocument/2006/relationships/hyperlink" TargetMode="External"></Relationship><Relationship Id="rId42" Target="https://www.facebook.com/groups/2197492577200898" Type="http://schemas.openxmlformats.org/officeDocument/2006/relationships/hyperlink" TargetMode="External"></Relationship><Relationship Id="rId43" Target="https://www.facebook.com/groups/347280445728185" Type="http://schemas.openxmlformats.org/officeDocument/2006/relationships/hyperlink" TargetMode="External"></Relationship><Relationship Id="rId44" Target="https://www.facebook.com/groups/theglitchwitchbysimplyshonna/permalink/4365400973685715" Type="http://schemas.openxmlformats.org/officeDocument/2006/relationships/hyperlink" TargetMode="External"></Relationship><Relationship Id="rId45" Target="https://www.facebook.com/groups/thefrugalsahm/permalink/605635271647523" Type="http://schemas.openxmlformats.org/officeDocument/2006/relationships/hyperlink" TargetMode="External"></Relationship><Relationship Id="rId46" Target="https://www.facebook.com/groups/2272404193019511" Type="http://schemas.openxmlformats.org/officeDocument/2006/relationships/hyperlink" TargetMode="External"></Relationship><Relationship Id="rId47" Target="https://www.facebook.com/groups/247524832920261/permalink/878990146440390/?mibextid=Nif5oz&amp;paipv=0&amp;eav=Afaq7-A2knmgpFJgHvKijieK56GEzZnMD1uMiQisQD_EIxwrpJXtk9-pm2yKasyV3iU&amp;_rdr" Type="http://schemas.openxmlformats.org/officeDocument/2006/relationships/hyperlink" TargetMode="External"></Relationship><Relationship Id="rId48" Target="https://www.facebook.com/groups/697178314306457" Type="http://schemas.openxmlformats.org/officeDocument/2006/relationships/hyperlink" TargetMode="External"></Relationship><Relationship Id="rId49" Target="https://www.facebook.com/groups/2486545118068111" Type="http://schemas.openxmlformats.org/officeDocument/2006/relationships/hyperlink" TargetMode="External"></Relationship><Relationship Id="rId50" Target="https://www.facebook.com/groups/1552102171668524"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13"/>
    <col collapsed="false" customWidth="true" hidden="false" max="2" min="2" style="0" width="10"/>
    <col collapsed="false" customWidth="true" hidden="false" max="3" min="3" style="0" width="8"/>
    <col collapsed="false" customWidth="true" hidden="false" max="4" min="4" style="0" width="7"/>
    <col collapsed="false" customWidth="true" hidden="false" max="5" min="5" style="0" width="7"/>
    <col collapsed="false" customWidth="true" hidden="false" max="6" min="6" style="0" width="7"/>
    <col collapsed="false" customWidth="true" hidden="false" max="7" min="7" style="0" width="7"/>
    <col collapsed="false" customWidth="true" hidden="false" max="8" min="8" style="0" width="7"/>
    <col collapsed="false" customWidth="true" hidden="false" max="9" min="9" style="0" width="8"/>
    <col collapsed="false" customWidth="true" hidden="false" max="10" min="10" style="0" width="8"/>
    <col collapsed="false" customWidth="true" hidden="false" max="11" min="11" style="0" width="7"/>
    <col collapsed="false" customWidth="true" hidden="false" max="12" min="12" style="0" width="14"/>
    <col collapsed="false" customWidth="true" hidden="false" max="13" min="13" style="0" width="9"/>
    <col collapsed="false" customWidth="true" hidden="false" max="14" min="14" style="0" width="12"/>
    <col collapsed="false" customWidth="true" hidden="false" max="15" min="15" style="0" width="12"/>
    <col collapsed="false" customWidth="true" hidden="false" max="16" min="16" style="0" width="10"/>
    <col collapsed="false" customWidth="true" hidden="false" max="17" min="17" style="0" width="14"/>
    <col collapsed="false" customWidth="true" hidden="false" max="18" min="18" style="0" width="9"/>
    <col collapsed="false" customWidth="true" hidden="false" max="19" min="19" style="0" width="10"/>
    <col collapsed="false" customWidth="true" hidden="false" max="20" min="20" style="0" width="12"/>
    <col collapsed="false" customWidth="true" hidden="false" max="21" min="21" style="0" width="14"/>
    <col collapsed="false" customWidth="true" hidden="false" max="22" min="22" style="0" width="16"/>
  </cols>
  <sheetData>
    <row customHeight="true" ht="66" r="1">
      <c r="A1" s="1" t="str">
        <v>时间</v>
      </c>
      <c r="B1" s="11" t="str">
        <v>实际</v>
      </c>
      <c r="C1" s="1" t="str">
        <v>价格</v>
      </c>
      <c r="D1" s="7" t="str">
        <v>站内
coupon</v>
      </c>
      <c r="E1" s="7" t="str">
        <v>站内
code</v>
      </c>
      <c r="F1" s="7" t="str">
        <v>站外
折扣</v>
      </c>
      <c r="G1" s="7" t="str">
        <v>站外
订单</v>
      </c>
      <c r="H1" s="7" t="str">
        <v>站内
自然单</v>
      </c>
      <c r="I1" s="7" t="str">
        <v>站内
广告单</v>
      </c>
      <c r="J1" s="10" t="str">
        <v>阶段
销售
订单</v>
      </c>
      <c r="K1" s="7" t="str">
        <v>时间
/天</v>
      </c>
      <c r="L1" s="7" t="str">
        <v>阶段广告费
（出1单广告单预估）</v>
      </c>
      <c r="M1" s="7" t="str">
        <v>阶段站外费用
（5美金/单）</v>
      </c>
      <c r="N1" s="8" t="str">
        <v>阶段订单
盈亏</v>
      </c>
      <c r="O1" s="8" t="str">
        <v>阶段亏损
/美金</v>
      </c>
      <c r="P1" s="8" t="str">
        <v>六阶段
总亏损</v>
      </c>
      <c r="Q1" s="1" t="str">
        <v>资金ROI</v>
      </c>
      <c r="R1" s="9" t="str">
        <v>阶段日均
订单</v>
      </c>
      <c r="S1" s="9" t="str">
        <v>阶段日均
广告订单</v>
      </c>
      <c r="T1" s="9" t="str">
        <v>阶段日均
自然订单</v>
      </c>
      <c r="U1" s="7" t="str">
        <v>新品
排行榜</v>
      </c>
      <c r="V1" s="7" t="str">
        <v>小类目
排名</v>
      </c>
    </row>
    <row customHeight="true" ht="26" r="2">
      <c r="A2" s="1" t="str">
        <v>9月7-9月12</v>
      </c>
      <c r="B2" s="1" t="str">
        <v>第一阶段</v>
      </c>
      <c r="C2" s="1">
        <v>99.99</v>
      </c>
      <c r="D2" s="4">
        <v>0.05</v>
      </c>
      <c r="E2" s="4">
        <v>0.5</v>
      </c>
      <c r="F2" s="4">
        <v>0.68</v>
      </c>
      <c r="G2" s="1">
        <v>58</v>
      </c>
      <c r="H2" s="1">
        <v>10</v>
      </c>
      <c r="I2" s="1">
        <v>20</v>
      </c>
      <c r="J2" s="5">
        <f>SUM(G2:I2)</f>
      </c>
      <c r="K2" s="1">
        <v>6</v>
      </c>
      <c r="L2" s="1">
        <f>5*I2</f>
      </c>
      <c r="M2" s="2">
        <f>5*G2</f>
      </c>
      <c r="N2" s="2">
        <f>SUM(J2)</f>
      </c>
      <c r="O2" s="2">
        <f>SUM(L2:N2)</f>
      </c>
      <c r="P2" s="2">
        <f>SUM(L2:O2)</f>
      </c>
      <c r="Q2" s="1"/>
      <c r="R2" s="3">
        <f>J2/7</f>
      </c>
      <c r="S2" s="3">
        <f>I2/7</f>
      </c>
      <c r="T2" s="3">
        <f>H2/7</f>
      </c>
      <c r="U2" s="6"/>
      <c r="V2" s="6"/>
    </row>
    <row customHeight="true" ht="26" r="3">
      <c r="A3" s="1" t="str">
        <v>9月13-9月21</v>
      </c>
      <c r="B3" s="1" t="str">
        <v>第二阶段</v>
      </c>
      <c r="C3" s="1">
        <v>79.99</v>
      </c>
      <c r="D3" s="4">
        <v>0.3</v>
      </c>
      <c r="E3" s="4">
        <v>0.2</v>
      </c>
      <c r="F3" s="4">
        <v>0.3</v>
      </c>
      <c r="G3" s="1">
        <v>81</v>
      </c>
      <c r="H3" s="1">
        <v>14</v>
      </c>
      <c r="I3" s="1">
        <v>20</v>
      </c>
      <c r="J3" s="5">
        <f>SUM(G3:I3)</f>
      </c>
      <c r="K3" s="1">
        <v>9</v>
      </c>
      <c r="L3" s="1">
        <f>5*I3</f>
      </c>
      <c r="M3" s="2">
        <f>5*G3</f>
      </c>
      <c r="N3" s="2">
        <f>SUM(J3)</f>
      </c>
      <c r="O3" s="2">
        <f>SUM(L3:N3)</f>
      </c>
      <c r="P3" s="2">
        <f>SUM(L3:O3)</f>
      </c>
      <c r="Q3" s="1"/>
      <c r="R3" s="3">
        <f>J3/7</f>
      </c>
      <c r="S3" s="3">
        <f>I3/7</f>
      </c>
      <c r="T3" s="3">
        <f>H3/7</f>
      </c>
      <c r="U3" s="1"/>
      <c r="V3" s="1"/>
    </row>
    <row customHeight="true" ht="26" r="4">
      <c r="A4" s="1" t="str">
        <v>9月22-10月1</v>
      </c>
      <c r="B4" s="1" t="str">
        <v>第三阶段</v>
      </c>
      <c r="C4" s="1">
        <v>69.99</v>
      </c>
      <c r="D4" s="4">
        <v>0.3</v>
      </c>
      <c r="E4" s="4">
        <v>0.2</v>
      </c>
      <c r="F4" s="4">
        <v>0.25</v>
      </c>
      <c r="G4" s="1">
        <v>45</v>
      </c>
      <c r="H4" s="1">
        <v>60</v>
      </c>
      <c r="I4" s="1">
        <v>23</v>
      </c>
      <c r="J4" s="5">
        <f>SUM(G4:I4)</f>
      </c>
      <c r="K4" s="1">
        <v>10</v>
      </c>
      <c r="L4" s="1">
        <f>5*I4</f>
      </c>
      <c r="M4" s="2">
        <f>5*G4</f>
      </c>
      <c r="N4" s="2">
        <f>SUM(J4)</f>
      </c>
      <c r="O4" s="2">
        <f>SUM(L4:N4)</f>
      </c>
      <c r="P4" s="2">
        <f>SUM(L4:O4)</f>
      </c>
      <c r="Q4" s="1"/>
      <c r="R4" s="3">
        <f>J4/7</f>
      </c>
      <c r="S4" s="3">
        <f>I4/7</f>
      </c>
      <c r="T4" s="3">
        <f>H4/7</f>
      </c>
      <c r="U4" s="1"/>
      <c r="V4" s="1"/>
    </row>
    <row customHeight="true" ht="26" r="5">
      <c r="A5" s="1" t="str">
        <v>10月2-10月11</v>
      </c>
      <c r="B5" s="1" t="str">
        <v>第四阶段</v>
      </c>
      <c r="C5" s="1">
        <v>69.99</v>
      </c>
      <c r="D5" s="4">
        <v>0.3</v>
      </c>
      <c r="E5" s="4">
        <v>0</v>
      </c>
      <c r="F5" s="4">
        <v>0.25</v>
      </c>
      <c r="G5" s="1">
        <v>55</v>
      </c>
      <c r="H5" s="1">
        <v>65</v>
      </c>
      <c r="I5" s="1">
        <v>30</v>
      </c>
      <c r="J5" s="5">
        <f>SUM(G5:I5)</f>
      </c>
      <c r="K5" s="1">
        <v>10</v>
      </c>
      <c r="L5" s="1">
        <f>5*I5</f>
      </c>
      <c r="M5" s="2">
        <f>5*G5</f>
      </c>
      <c r="N5" s="2">
        <f>SUM(J5)</f>
      </c>
      <c r="O5" s="2">
        <f>SUM(L5:N5)</f>
      </c>
      <c r="P5" s="2">
        <f>SUM(L5:O5)</f>
      </c>
      <c r="Q5" s="1"/>
      <c r="R5" s="3">
        <f>J5/7</f>
      </c>
      <c r="S5" s="3">
        <f>I5/7</f>
      </c>
      <c r="T5" s="3">
        <f>H5/7</f>
      </c>
      <c r="U5" s="1"/>
      <c r="V5" s="1"/>
    </row>
    <row customHeight="true" ht="26" r="6">
      <c r="A6" s="1" t="str">
        <v>10月12-10月21</v>
      </c>
      <c r="B6" s="1" t="str">
        <v>第五阶段</v>
      </c>
      <c r="C6" s="1">
        <v>69.99</v>
      </c>
      <c r="D6" s="4">
        <v>0.3</v>
      </c>
      <c r="E6" s="4">
        <v>0</v>
      </c>
      <c r="F6" s="4">
        <v>0.25</v>
      </c>
      <c r="G6" s="1">
        <v>60</v>
      </c>
      <c r="H6" s="1">
        <v>70</v>
      </c>
      <c r="I6" s="1">
        <v>30</v>
      </c>
      <c r="J6" s="5">
        <f>SUM(G6:I6)</f>
      </c>
      <c r="K6" s="1">
        <v>10</v>
      </c>
      <c r="L6" s="1">
        <f>5*I6</f>
      </c>
      <c r="M6" s="2">
        <f>5*G6</f>
      </c>
      <c r="N6" s="2">
        <f>SUM(J6)</f>
      </c>
      <c r="O6" s="2">
        <f>SUM(L6:N6)</f>
      </c>
      <c r="P6" s="2">
        <f>SUM(L6:O6)</f>
      </c>
      <c r="Q6" s="1"/>
      <c r="R6" s="3">
        <f>J6/7</f>
      </c>
      <c r="S6" s="3">
        <f>I6/7</f>
      </c>
      <c r="T6" s="3">
        <f>H6/7</f>
      </c>
      <c r="U6" s="1"/>
      <c r="V6" s="1"/>
    </row>
    <row customHeight="true" ht="26" r="7">
      <c r="A7" s="1" t="str">
        <v>10月22-10月31</v>
      </c>
      <c r="B7" s="1" t="str">
        <v>第六阶段</v>
      </c>
      <c r="C7" s="1">
        <v>69.99</v>
      </c>
      <c r="D7" s="4">
        <v>0.3</v>
      </c>
      <c r="E7" s="4">
        <v>0</v>
      </c>
      <c r="F7" s="4">
        <v>0</v>
      </c>
      <c r="G7" s="1">
        <v>65</v>
      </c>
      <c r="H7" s="1">
        <v>80</v>
      </c>
      <c r="I7" s="1">
        <v>35</v>
      </c>
      <c r="J7" s="5">
        <f>SUM(G7:I7)</f>
      </c>
      <c r="K7" s="1">
        <v>12</v>
      </c>
      <c r="L7" s="1">
        <f>5*I7</f>
      </c>
      <c r="M7" s="2">
        <f>5*G7</f>
      </c>
      <c r="N7" s="2">
        <f>SUM(J7)</f>
      </c>
      <c r="O7" s="2">
        <f>SUM(L7:N7)</f>
      </c>
      <c r="P7" s="2">
        <f>SUM(L7:O7)</f>
      </c>
      <c r="Q7" s="1"/>
      <c r="R7" s="3">
        <f>J7/7</f>
      </c>
      <c r="S7" s="3">
        <f>I7/7</f>
      </c>
      <c r="T7" s="3">
        <f>H7/7</f>
      </c>
      <c r="U7" s="1"/>
      <c r="V7" s="1"/>
    </row>
    <row customHeight="true" ht="26" r="8">
      <c r="A8" s="1"/>
      <c r="B8" s="1"/>
      <c r="C8" s="1"/>
      <c r="D8" s="1"/>
      <c r="E8" s="1"/>
      <c r="F8" s="1"/>
      <c r="G8" s="1"/>
      <c r="H8" s="1"/>
      <c r="I8" s="1"/>
      <c r="J8" s="5"/>
      <c r="K8" s="1"/>
      <c r="L8" s="1"/>
      <c r="M8" s="1"/>
      <c r="N8" s="2"/>
      <c r="O8" s="2"/>
      <c r="P8" s="2"/>
      <c r="Q8" s="1"/>
      <c r="R8" s="3"/>
      <c r="S8" s="3"/>
      <c r="T8" s="3"/>
      <c r="U8" s="1"/>
      <c r="V8" s="1"/>
    </row>
    <row customHeight="true" ht="26" r="9">
      <c r="A9" s="1" t="str">
        <v>11月1-11月30</v>
      </c>
      <c r="B9" s="1" t="str">
        <v>十一月份</v>
      </c>
      <c r="C9" s="1">
        <v>69.99</v>
      </c>
      <c r="D9" s="4">
        <v>0.2</v>
      </c>
      <c r="E9" s="4">
        <v>0</v>
      </c>
      <c r="F9" s="4">
        <v>0</v>
      </c>
      <c r="G9" s="1"/>
      <c r="H9" s="1"/>
      <c r="I9" s="1"/>
      <c r="J9" s="5"/>
      <c r="K9" s="1"/>
      <c r="L9" s="1"/>
      <c r="M9" s="1"/>
      <c r="N9" s="2"/>
      <c r="O9" s="2"/>
      <c r="P9" s="2"/>
      <c r="Q9" s="1"/>
      <c r="R9" s="3"/>
      <c r="S9" s="3"/>
      <c r="T9" s="3"/>
      <c r="U9" s="1"/>
      <c r="V9" s="1"/>
    </row>
    <row customHeight="true" ht="26" r="10">
      <c r="A10" s="1" t="str">
        <v>12月1-12月31</v>
      </c>
      <c r="B10" s="1" t="str">
        <v>十二月份</v>
      </c>
      <c r="C10" s="1">
        <v>69.99</v>
      </c>
      <c r="D10" s="4">
        <v>0.2</v>
      </c>
      <c r="E10" s="4">
        <v>0</v>
      </c>
      <c r="F10" s="4">
        <v>0</v>
      </c>
      <c r="G10" s="1"/>
      <c r="H10" s="1"/>
      <c r="I10" s="1"/>
      <c r="J10" s="5"/>
      <c r="K10" s="1"/>
      <c r="L10" s="1"/>
      <c r="M10" s="1"/>
      <c r="N10" s="2"/>
      <c r="O10" s="2"/>
      <c r="P10" s="2"/>
      <c r="Q10" s="1"/>
      <c r="R10" s="3"/>
      <c r="S10" s="3"/>
      <c r="T10" s="3"/>
      <c r="U10" s="1"/>
      <c r="V10" s="1"/>
    </row>
    <row customHeight="true" ht="26" r="11">
      <c r="A11" s="1" t="str">
        <v>1月1-1月31</v>
      </c>
      <c r="B11" s="1" t="str">
        <v>一月份</v>
      </c>
      <c r="C11" s="1">
        <v>69.99</v>
      </c>
      <c r="D11" s="4">
        <v>0.2</v>
      </c>
      <c r="E11" s="4">
        <v>0</v>
      </c>
      <c r="F11" s="4">
        <v>0</v>
      </c>
      <c r="G11" s="1"/>
      <c r="H11" s="1"/>
      <c r="I11" s="1"/>
      <c r="J11" s="5"/>
      <c r="K11" s="1"/>
      <c r="L11" s="1"/>
      <c r="M11" s="1"/>
      <c r="N11" s="2"/>
      <c r="O11" s="2"/>
      <c r="P11" s="2"/>
      <c r="Q11" s="1"/>
      <c r="R11" s="3"/>
      <c r="S11" s="3"/>
      <c r="T11" s="3"/>
      <c r="U11" s="1"/>
      <c r="V11" s="1"/>
    </row>
    <row customHeight="true" ht="26" r="12">
      <c r="A12" s="1"/>
      <c r="B12" s="1"/>
      <c r="C12" s="1"/>
      <c r="D12" s="1"/>
      <c r="E12" s="1"/>
      <c r="F12" s="1"/>
      <c r="G12" s="1"/>
      <c r="H12" s="1"/>
      <c r="I12" s="1"/>
      <c r="J12" s="1"/>
      <c r="K12" s="1"/>
      <c r="L12" s="1"/>
      <c r="M12" s="1"/>
      <c r="N12" s="2"/>
      <c r="O12" s="2"/>
      <c r="P12" s="2"/>
      <c r="Q12" s="1"/>
      <c r="R12" s="3"/>
      <c r="S12" s="3"/>
      <c r="T12" s="3"/>
      <c r="U12" s="1"/>
      <c r="V12" s="1"/>
    </row>
    <row customHeight="true" ht="16" r="13">
      <c r="A13" s="1"/>
      <c r="B13" s="1"/>
      <c r="C13" s="1"/>
      <c r="D13" s="1"/>
      <c r="E13" s="1"/>
      <c r="F13" s="1"/>
      <c r="G13" s="1"/>
      <c r="H13" s="1"/>
      <c r="I13" s="1"/>
      <c r="J13" s="1"/>
      <c r="K13" s="1"/>
      <c r="L13" s="1"/>
      <c r="M13" s="1"/>
      <c r="N13" s="1"/>
      <c r="O13" s="1"/>
      <c r="P13" s="1"/>
      <c r="Q13" s="1"/>
      <c r="R13" s="1"/>
      <c r="S13" s="1"/>
      <c r="T13" s="1"/>
      <c r="U13" s="1"/>
      <c r="V13" s="1"/>
    </row>
    <row customHeight="true" ht="16" r="14">
      <c r="A14" s="1"/>
      <c r="B14" s="1"/>
      <c r="C14" s="1"/>
      <c r="D14" s="1"/>
      <c r="E14" s="1"/>
      <c r="F14" s="1"/>
      <c r="G14" s="1"/>
      <c r="H14" s="1"/>
      <c r="I14" s="1"/>
      <c r="J14" s="1"/>
      <c r="K14" s="1"/>
      <c r="L14" s="1"/>
      <c r="M14" s="1"/>
      <c r="N14" s="1"/>
      <c r="O14" s="1"/>
      <c r="P14" s="1"/>
      <c r="Q14" s="1"/>
      <c r="R14" s="1"/>
      <c r="S14" s="1"/>
      <c r="T14" s="1"/>
      <c r="U14" s="1"/>
      <c r="V14" s="1"/>
    </row>
    <row customHeight="true" ht="16" r="15">
      <c r="A15" s="1"/>
      <c r="B15" s="1"/>
      <c r="C15" s="1"/>
      <c r="D15" s="1"/>
      <c r="E15" s="1"/>
      <c r="F15" s="1"/>
      <c r="G15" s="1"/>
      <c r="H15" s="1"/>
      <c r="I15" s="1"/>
      <c r="J15" s="1"/>
      <c r="K15" s="1"/>
      <c r="L15" s="1"/>
      <c r="M15" s="1"/>
      <c r="N15" s="1"/>
      <c r="O15" s="1"/>
      <c r="P15" s="1"/>
      <c r="Q15" s="1"/>
      <c r="R15" s="1"/>
      <c r="S15" s="1"/>
      <c r="T15" s="1"/>
      <c r="U15" s="1"/>
      <c r="V15" s="1"/>
    </row>
    <row customHeight="true" ht="16" r="16">
      <c r="A16" s="1"/>
      <c r="B16" s="1"/>
      <c r="C16" s="1"/>
      <c r="D16" s="1"/>
      <c r="E16" s="1"/>
      <c r="F16" s="1"/>
      <c r="G16" s="1"/>
      <c r="H16" s="1"/>
      <c r="I16" s="1"/>
      <c r="J16" s="1"/>
      <c r="K16" s="1"/>
      <c r="L16" s="1"/>
      <c r="M16" s="1"/>
      <c r="N16" s="1"/>
      <c r="O16" s="1"/>
      <c r="P16" s="1"/>
      <c r="Q16" s="1"/>
      <c r="R16" s="1"/>
      <c r="S16" s="1"/>
      <c r="T16" s="1"/>
      <c r="U16" s="1"/>
      <c r="V16" s="1"/>
    </row>
    <row customHeight="true" ht="16" r="17">
      <c r="A17" s="1"/>
      <c r="B17" s="1"/>
      <c r="C17" s="1"/>
      <c r="D17" s="1"/>
      <c r="E17" s="1"/>
      <c r="F17" s="1"/>
      <c r="G17" s="1"/>
      <c r="H17" s="1"/>
      <c r="I17" s="1"/>
      <c r="J17" s="1"/>
      <c r="K17" s="1"/>
      <c r="L17" s="1"/>
      <c r="M17" s="1"/>
      <c r="N17" s="1"/>
      <c r="O17" s="1"/>
      <c r="P17" s="1"/>
      <c r="Q17" s="1"/>
      <c r="R17" s="1"/>
      <c r="S17" s="1"/>
      <c r="T17" s="1"/>
      <c r="U17" s="1"/>
      <c r="V17" s="1"/>
    </row>
    <row customHeight="true" ht="16" r="18">
      <c r="A18" s="1"/>
      <c r="B18" s="1"/>
      <c r="C18" s="1"/>
      <c r="D18" s="1"/>
      <c r="E18" s="1"/>
      <c r="F18" s="1"/>
      <c r="G18" s="1"/>
      <c r="H18" s="1"/>
      <c r="I18" s="1"/>
      <c r="J18" s="1"/>
      <c r="K18" s="1"/>
      <c r="L18" s="1"/>
      <c r="M18" s="1"/>
      <c r="N18" s="1"/>
      <c r="O18" s="1"/>
      <c r="P18" s="1"/>
      <c r="Q18" s="1"/>
      <c r="R18" s="1"/>
      <c r="S18" s="1"/>
      <c r="T18" s="1"/>
      <c r="U18" s="1"/>
      <c r="V18" s="1"/>
    </row>
    <row customHeight="true" ht="16" r="19">
      <c r="A19" s="1"/>
      <c r="B19" s="1"/>
      <c r="C19" s="1"/>
      <c r="D19" s="1"/>
      <c r="E19" s="1"/>
      <c r="F19" s="1"/>
      <c r="G19" s="1"/>
      <c r="H19" s="1"/>
      <c r="I19" s="1"/>
      <c r="J19" s="1"/>
      <c r="K19" s="1"/>
      <c r="L19" s="1"/>
      <c r="M19" s="1"/>
      <c r="N19" s="1"/>
      <c r="O19" s="1"/>
      <c r="P19" s="1"/>
      <c r="Q19" s="1"/>
      <c r="R19" s="1"/>
      <c r="S19" s="1"/>
      <c r="T19" s="1"/>
      <c r="U19" s="1"/>
      <c r="V19" s="1"/>
    </row>
    <row customHeight="true" ht="16" r="20">
      <c r="A20" s="1"/>
      <c r="B20" s="1"/>
      <c r="C20" s="1"/>
      <c r="D20" s="1"/>
      <c r="E20" s="1"/>
      <c r="F20" s="1"/>
      <c r="G20" s="1"/>
      <c r="H20" s="1"/>
      <c r="I20" s="1"/>
      <c r="J20" s="1"/>
      <c r="K20" s="1"/>
      <c r="L20" s="1"/>
      <c r="M20" s="1"/>
      <c r="N20" s="1"/>
      <c r="O20" s="1"/>
      <c r="P20" s="1"/>
      <c r="Q20" s="1"/>
      <c r="R20" s="1"/>
      <c r="S20" s="1"/>
      <c r="T20" s="1"/>
      <c r="U20" s="1"/>
      <c r="V20" s="1"/>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3"/>
    <col collapsed="false" customWidth="true" hidden="false" max="2" min="2" style="0" width="11"/>
    <col collapsed="false" customWidth="true" hidden="false" max="3" min="3" style="0" width="11"/>
    <col collapsed="false" customWidth="true" hidden="false" max="4" min="4" style="0" width="9"/>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9"/>
    <col collapsed="false" customWidth="true" hidden="false" max="9" min="9" style="0" width="13"/>
    <col collapsed="false" customWidth="true" hidden="false" max="10" min="10" style="0" width="11"/>
    <col collapsed="false" customWidth="true" hidden="false" max="11" min="11" style="0" width="17"/>
    <col collapsed="false" customWidth="true" hidden="false" max="12" min="12" style="0" width="9"/>
    <col collapsed="false" customWidth="true" hidden="false" max="13" min="13" style="0" width="13"/>
    <col collapsed="false" customWidth="true" hidden="false" max="14" min="14" style="0" width="11"/>
    <col collapsed="false" customWidth="true" hidden="false" max="15" min="15" style="0" width="11"/>
    <col collapsed="false" customWidth="true" hidden="false" max="16" min="16" style="0" width="10"/>
    <col collapsed="false" customWidth="true" hidden="false" max="17" min="17" style="0" width="11"/>
    <col collapsed="false" customWidth="true" hidden="false" max="18" min="18" style="0" width="10"/>
    <col collapsed="false" customWidth="true" hidden="false" max="19" min="19" style="0" width="10"/>
    <col collapsed="false" customWidth="true" hidden="false" max="20" min="20" style="0" width="11"/>
  </cols>
  <sheetData>
    <row customHeight="true" ht="22" r="1">
      <c r="A1" s="13"/>
      <c r="B1" s="40" t="str">
        <v>价格策略模拟</v>
      </c>
      <c r="C1" s="40"/>
      <c r="D1" s="40"/>
      <c r="E1" s="40"/>
      <c r="F1" s="40"/>
      <c r="G1" s="40"/>
      <c r="H1" s="40"/>
      <c r="I1" s="40"/>
      <c r="J1" s="40"/>
      <c r="K1" s="40"/>
      <c r="L1" s="40"/>
      <c r="M1" s="40"/>
      <c r="N1" s="40"/>
      <c r="O1" s="40"/>
      <c r="P1" s="40"/>
      <c r="Q1" s="40"/>
      <c r="R1" s="40"/>
      <c r="S1" s="41"/>
      <c r="T1" s="40"/>
    </row>
    <row customHeight="true" ht="50" r="2">
      <c r="A2" s="18" t="str">
        <v>阶段</v>
      </c>
      <c r="B2" s="35" t="str">
        <v>定价</v>
      </c>
      <c r="C2" s="35" t="str">
        <v>coupon</v>
      </c>
      <c r="D2" s="33" t="str">
        <v>code</v>
      </c>
      <c r="E2" s="31" t="str">
        <v>折后价</v>
      </c>
      <c r="F2" s="31" t="str">
        <v>FBA    
配送费</v>
      </c>
      <c r="G2" s="31" t="str">
        <v>亚马逊
佣金</v>
      </c>
      <c r="H2" s="31" t="str">
        <v>账号
回款</v>
      </c>
      <c r="I2" s="31" t="str">
        <v>仓储费+入库配置费</v>
      </c>
      <c r="J2" s="36" t="str">
        <v>coupon
费用</v>
      </c>
      <c r="K2" s="31" t="str">
        <v>产品成本</v>
      </c>
      <c r="L2" s="31" t="str">
        <v>物流费</v>
      </c>
      <c r="M2" s="31" t="str">
        <v>退货成本(公式后面加的是单套产品的移除费）</v>
      </c>
      <c r="N2" s="32" t="str">
        <v>退货率</v>
      </c>
      <c r="O2" s="31" t="str">
        <v>每单平摊
退货成本</v>
      </c>
      <c r="P2" s="31" t="str">
        <v>每单
毛利</v>
      </c>
      <c r="Q2" s="32" t="str">
        <v>毛利率</v>
      </c>
      <c r="R2" s="35" t="str">
        <v>订单
数量</v>
      </c>
      <c r="S2" s="31" t="str">
        <v>阶段
订单
亏损</v>
      </c>
      <c r="T2" s="34" t="str">
        <v>阶段
订单
总盈亏</v>
      </c>
    </row>
    <row customHeight="true" ht="21" r="3">
      <c r="A3" s="13" t="str">
        <v>第一阶段</v>
      </c>
      <c r="B3" s="13">
        <v>79.99</v>
      </c>
      <c r="C3" s="16">
        <v>0.3</v>
      </c>
      <c r="D3" s="16">
        <v>0</v>
      </c>
      <c r="E3" s="14">
        <f>SUM(B3*(1-C3-D3))</f>
      </c>
      <c r="F3" s="14">
        <v>10.51</v>
      </c>
      <c r="G3" s="14">
        <f>SUM(E3*8%)</f>
      </c>
      <c r="H3" s="14">
        <f>SUM(E3-F3-G3)</f>
      </c>
      <c r="I3" s="14">
        <v>0.5</v>
      </c>
      <c r="J3" s="14">
        <v>0.6</v>
      </c>
      <c r="K3" s="14">
        <f>80/7</f>
      </c>
      <c r="L3" s="14">
        <v>3</v>
      </c>
      <c r="M3" s="14">
        <f>SUM(20%*15%*E3+F3+I3+K3+L3+1.04)</f>
      </c>
      <c r="N3" s="12">
        <v>0.044</v>
      </c>
      <c r="O3" s="14">
        <f>SUM(M3*N3/(1-N3))</f>
      </c>
      <c r="P3" s="14">
        <f>SUM(H3-I3-J3-K3-L3-O3)</f>
      </c>
      <c r="Q3" s="12">
        <f>SUM(P3/B3)</f>
      </c>
      <c r="R3" s="17">
        <v>1</v>
      </c>
      <c r="S3" s="14">
        <f>SUM(P3*R3)</f>
      </c>
      <c r="T3" s="15">
        <f>SUM(S3)</f>
      </c>
    </row>
    <row customHeight="true" ht="21" r="4">
      <c r="A4" s="13" t="str">
        <v>第二阶段</v>
      </c>
      <c r="B4" s="13">
        <v>85.99</v>
      </c>
      <c r="C4" s="16">
        <v>0.2</v>
      </c>
      <c r="D4" s="16">
        <v>0</v>
      </c>
      <c r="E4" s="14">
        <f>SUM(B4*(1-C4-D4))</f>
      </c>
      <c r="F4" s="14">
        <v>10.51</v>
      </c>
      <c r="G4" s="14">
        <f>SUM(E4*8%)</f>
      </c>
      <c r="H4" s="14">
        <f>SUM(E4-F4-G4)</f>
      </c>
      <c r="I4" s="14">
        <v>0.5</v>
      </c>
      <c r="J4" s="14">
        <v>0.6</v>
      </c>
      <c r="K4" s="14">
        <f>80/7</f>
      </c>
      <c r="L4" s="14">
        <v>3</v>
      </c>
      <c r="M4" s="14">
        <f>SUM(20%*15%*E4+F4+I4+K4+L4+1.04)</f>
      </c>
      <c r="N4" s="12">
        <v>0.044</v>
      </c>
      <c r="O4" s="14">
        <f>SUM(M4*N4/(1-N4))</f>
      </c>
      <c r="P4" s="14">
        <f>SUM(H4-I4-J4-K4-L4-O4)</f>
      </c>
      <c r="Q4" s="12">
        <f>SUM(P4/B4)</f>
      </c>
      <c r="R4" s="17">
        <v>1</v>
      </c>
      <c r="S4" s="14">
        <f>SUM(P4*R4)</f>
      </c>
      <c r="T4" s="15">
        <f>SUM(S4)</f>
      </c>
    </row>
    <row customHeight="true" ht="21" r="5">
      <c r="A5" s="13" t="str">
        <v>第三阶段</v>
      </c>
      <c r="B5" s="13">
        <v>89.99</v>
      </c>
      <c r="C5" s="16">
        <v>0.1</v>
      </c>
      <c r="D5" s="16">
        <v>0</v>
      </c>
      <c r="E5" s="14">
        <f>SUM(B5*(1-C5-D5))</f>
      </c>
      <c r="F5" s="14">
        <v>10.51</v>
      </c>
      <c r="G5" s="14">
        <f>SUM(E5*8%)</f>
      </c>
      <c r="H5" s="14">
        <f>SUM(E5-F5-G5)</f>
      </c>
      <c r="I5" s="14">
        <v>0.5</v>
      </c>
      <c r="J5" s="14">
        <v>0</v>
      </c>
      <c r="K5" s="14">
        <f>80/7</f>
      </c>
      <c r="L5" s="14">
        <v>3</v>
      </c>
      <c r="M5" s="14">
        <f>SUM(20%*15%*E5+F5+I5+K5+L5+1.04)</f>
      </c>
      <c r="N5" s="12">
        <v>0.044</v>
      </c>
      <c r="O5" s="14">
        <f>SUM(M5*N5/(1-N5))</f>
      </c>
      <c r="P5" s="14">
        <f>SUM(H5-I5-J5-K5-L5-O5)</f>
      </c>
      <c r="Q5" s="12">
        <f>SUM(P5/B5)</f>
      </c>
      <c r="R5" s="17">
        <v>1</v>
      </c>
      <c r="S5" s="14">
        <f>SUM(P5*R5)</f>
      </c>
      <c r="T5" s="15">
        <f>SUM(S5)</f>
      </c>
    </row>
    <row customHeight="true" ht="21" r="6">
      <c r="A6" s="13" t="str">
        <v>第四阶段</v>
      </c>
      <c r="B6" s="13">
        <v>89.99</v>
      </c>
      <c r="C6" s="16">
        <v>0.05</v>
      </c>
      <c r="D6" s="16">
        <v>0</v>
      </c>
      <c r="E6" s="14">
        <f>SUM(B6*(1-C6-D6))</f>
      </c>
      <c r="F6" s="14">
        <v>10.51</v>
      </c>
      <c r="G6" s="14">
        <f>SUM(E6*8%)</f>
      </c>
      <c r="H6" s="14">
        <f>SUM(E6-F6-G6)</f>
      </c>
      <c r="I6" s="14">
        <v>0.5</v>
      </c>
      <c r="J6" s="14">
        <v>0</v>
      </c>
      <c r="K6" s="14">
        <f>80/7</f>
      </c>
      <c r="L6" s="14">
        <v>3</v>
      </c>
      <c r="M6" s="14">
        <f>SUM(20%*15%*E6+F6+I6+K6+L6+1.04)</f>
      </c>
      <c r="N6" s="12">
        <v>0.044</v>
      </c>
      <c r="O6" s="14">
        <f>SUM(M6*N6/(1-N6))</f>
      </c>
      <c r="P6" s="14">
        <f>SUM(H6-I6-J6-K6-L6-O6)</f>
      </c>
      <c r="Q6" s="12">
        <f>SUM(P6/B6)</f>
      </c>
      <c r="R6" s="17">
        <v>1</v>
      </c>
      <c r="S6" s="14">
        <f>SUM(P6*R6)</f>
      </c>
      <c r="T6" s="15">
        <f>SUM(S6)</f>
      </c>
    </row>
    <row customHeight="true" ht="17" r="7">
      <c r="A7" s="13" t="str">
        <v>第五阶段</v>
      </c>
      <c r="B7" s="13">
        <v>89.59</v>
      </c>
      <c r="C7" s="16">
        <v>0.05</v>
      </c>
      <c r="D7" s="16">
        <v>0</v>
      </c>
      <c r="E7" s="14">
        <f>SUM(B7*(1-C7-D7))</f>
      </c>
      <c r="F7" s="14">
        <v>10.51</v>
      </c>
      <c r="G7" s="14">
        <f>SUM(E7*8%)</f>
      </c>
      <c r="H7" s="14">
        <f>SUM(E7-F7-G7)</f>
      </c>
      <c r="I7" s="14">
        <v>0.5</v>
      </c>
      <c r="J7" s="14">
        <v>0</v>
      </c>
      <c r="K7" s="14">
        <f>80/7</f>
      </c>
      <c r="L7" s="14">
        <v>3</v>
      </c>
      <c r="M7" s="14">
        <f>SUM(20%*15%*E7+F7+I7+K7+L7+1.04)</f>
      </c>
      <c r="N7" s="12">
        <v>0.044</v>
      </c>
      <c r="O7" s="14">
        <f>SUM(M7*N7/(1-N7))</f>
      </c>
      <c r="P7" s="14">
        <f>SUM(H7-I7-J7-K7-L7-O7)</f>
      </c>
      <c r="Q7" s="12">
        <f>SUM(P7/B7)</f>
      </c>
      <c r="R7" s="17">
        <v>1</v>
      </c>
      <c r="S7" s="14">
        <f>SUM(P7*R7)</f>
      </c>
      <c r="T7" s="15">
        <f>SUM(S7)</f>
      </c>
    </row>
    <row customHeight="true" ht="17" r="8">
      <c r="A8" s="13" t="str">
        <v>第六阶段</v>
      </c>
      <c r="B8" s="13">
        <v>89.99</v>
      </c>
      <c r="C8" s="16">
        <v>0.05</v>
      </c>
      <c r="D8" s="16">
        <v>0</v>
      </c>
      <c r="E8" s="14">
        <f>SUM(B8*(1-C8-D8))</f>
      </c>
      <c r="F8" s="14">
        <v>10.51</v>
      </c>
      <c r="G8" s="14">
        <f>SUM(E8*8%)</f>
      </c>
      <c r="H8" s="14">
        <f>SUM(E8-F8-G8)</f>
      </c>
      <c r="I8" s="14">
        <v>0.5</v>
      </c>
      <c r="J8" s="14">
        <v>0</v>
      </c>
      <c r="K8" s="14">
        <f>80/7</f>
      </c>
      <c r="L8" s="14">
        <v>3</v>
      </c>
      <c r="M8" s="14">
        <f>SUM(20%*15%*E8+F8+I8+K8+L8+1.04)</f>
      </c>
      <c r="N8" s="12">
        <v>0.044</v>
      </c>
      <c r="O8" s="14">
        <f>SUM(M8*N8/(1-N8))</f>
      </c>
      <c r="P8" s="14">
        <f>SUM(H8-I8-J8-K8-L8-O8)</f>
      </c>
      <c r="Q8" s="12">
        <f>SUM(P8/B8)</f>
      </c>
      <c r="R8" s="17">
        <v>1</v>
      </c>
      <c r="S8" s="14">
        <f>SUM(P8*R8)</f>
      </c>
      <c r="T8" s="15">
        <f>SUM(S8)</f>
      </c>
    </row>
    <row customHeight="true" ht="17" r="9">
      <c r="A9" s="13" t="str">
        <v>第七阶段</v>
      </c>
      <c r="B9" s="13">
        <v>89.99</v>
      </c>
      <c r="C9" s="16">
        <v>0.05</v>
      </c>
      <c r="D9" s="16">
        <v>0</v>
      </c>
      <c r="E9" s="14">
        <f>SUM(B9*(1-C9-D9))</f>
      </c>
      <c r="F9" s="14">
        <v>10.51</v>
      </c>
      <c r="G9" s="14">
        <f>SUM(E9*8%)</f>
      </c>
      <c r="H9" s="14">
        <f>SUM(E9-F9-G9)</f>
      </c>
      <c r="I9" s="14">
        <v>0.5</v>
      </c>
      <c r="J9" s="14">
        <v>0</v>
      </c>
      <c r="K9" s="14">
        <f>80/7</f>
      </c>
      <c r="L9" s="14">
        <v>3</v>
      </c>
      <c r="M9" s="14">
        <f>SUM(20%*15%*E9+F9+I9+K9+L9+1.04)</f>
      </c>
      <c r="N9" s="12">
        <v>0.044</v>
      </c>
      <c r="O9" s="14">
        <f>SUM(M9*N9/(1-N9))</f>
      </c>
      <c r="P9" s="14">
        <f>SUM(H9-I9-J9-K9-L9-O9)</f>
      </c>
      <c r="Q9" s="12">
        <f>SUM(P9/B9)</f>
      </c>
      <c r="R9" s="17">
        <v>1</v>
      </c>
      <c r="S9" s="14">
        <f>SUM(P9*R9)</f>
      </c>
      <c r="T9" s="15">
        <f>SUM(S9)</f>
      </c>
    </row>
    <row customHeight="true" ht="17" r="10">
      <c r="A10" s="13" t="str">
        <v>竞品日常价格</v>
      </c>
      <c r="B10" s="13">
        <v>79.99</v>
      </c>
      <c r="C10" s="16">
        <v>0</v>
      </c>
      <c r="D10" s="16">
        <v>0</v>
      </c>
      <c r="E10" s="14">
        <f>SUM(B10*(1-C10-D10))</f>
      </c>
      <c r="F10" s="14">
        <v>10.51</v>
      </c>
      <c r="G10" s="14">
        <f>SUM(E10*15%)</f>
      </c>
      <c r="H10" s="14">
        <f>SUM(E10-F10-G10)</f>
      </c>
      <c r="I10" s="14">
        <v>0.5</v>
      </c>
      <c r="J10" s="14">
        <v>0</v>
      </c>
      <c r="K10" s="14">
        <f>80/7</f>
      </c>
      <c r="L10" s="14">
        <v>3</v>
      </c>
      <c r="M10" s="14">
        <f>SUM(20%*15%*E10+F10+I10+K10+L10+1.46)</f>
      </c>
      <c r="N10" s="12">
        <v>0.044</v>
      </c>
      <c r="O10" s="14">
        <f>SUM(M10*N10/(1-N10))</f>
      </c>
      <c r="P10" s="14">
        <f>SUM(H10-I10-J10-K10-L10-O10)</f>
      </c>
      <c r="Q10" s="12">
        <f>SUM(P10/B10)</f>
      </c>
      <c r="R10" s="17">
        <v>1</v>
      </c>
      <c r="S10" s="14">
        <f>SUM(P10*R10)</f>
      </c>
      <c r="T10" s="15">
        <f>SUM(S10)</f>
      </c>
    </row>
    <row customHeight="true" ht="17" r="11">
      <c r="A11" s="13" t="str">
        <v>竞品活动价格</v>
      </c>
      <c r="B11" s="13">
        <v>99.99</v>
      </c>
      <c r="C11" s="16">
        <v>0.2</v>
      </c>
      <c r="D11" s="16">
        <v>0</v>
      </c>
      <c r="E11" s="14">
        <f>SUM(B11*(1-C11-D11))</f>
      </c>
      <c r="F11" s="14">
        <v>10.51</v>
      </c>
      <c r="G11" s="14">
        <f>SUM(E11*15%)</f>
      </c>
      <c r="H11" s="14">
        <f>SUM(E11-F11-G11)</f>
      </c>
      <c r="I11" s="14">
        <v>0.5</v>
      </c>
      <c r="J11" s="14">
        <v>0.6</v>
      </c>
      <c r="K11" s="14">
        <f>80/7</f>
      </c>
      <c r="L11" s="14">
        <v>3</v>
      </c>
      <c r="M11" s="14">
        <f>SUM(20%*15%*E11+F11+I11+K11+L11+1.46)</f>
      </c>
      <c r="N11" s="12">
        <v>0.044</v>
      </c>
      <c r="O11" s="14">
        <f>SUM(M11*N11/(1-N11))</f>
      </c>
      <c r="P11" s="14">
        <f>SUM(H11-I11-J11-K11-L11-O11)</f>
      </c>
      <c r="Q11" s="12">
        <f>SUM(P11/B11)</f>
      </c>
      <c r="R11" s="17">
        <v>1</v>
      </c>
      <c r="S11" s="14">
        <f>SUM(P11*R11)</f>
      </c>
      <c r="T11" s="15">
        <f>SUM(S11)</f>
      </c>
    </row>
    <row customHeight="true" ht="17" r="12">
      <c r="A12" s="39" t="str">
        <v>竞品链接</v>
      </c>
      <c r="B12" s="13">
        <v>85.99</v>
      </c>
      <c r="C12" s="16">
        <v>0.2</v>
      </c>
      <c r="D12" s="16">
        <v>0</v>
      </c>
      <c r="E12" s="14">
        <f>SUM(B12*(1-C12-D12))</f>
      </c>
      <c r="F12" s="14">
        <v>10.51</v>
      </c>
      <c r="G12" s="14">
        <f>SUM(E12*8%)</f>
      </c>
      <c r="H12" s="14">
        <f>SUM(E12-F12-G12)</f>
      </c>
      <c r="I12" s="14">
        <v>0.5</v>
      </c>
      <c r="J12" s="14">
        <v>0.6</v>
      </c>
      <c r="K12" s="14">
        <f>80/7</f>
      </c>
      <c r="L12" s="14">
        <v>3</v>
      </c>
      <c r="M12" s="14">
        <f>SUM(20%*15%*E12+F12+I12+K12+L12+1.04)</f>
      </c>
      <c r="N12" s="12">
        <v>0.044</v>
      </c>
      <c r="O12" s="14">
        <f>SUM(M12*N12/(1-N12))</f>
      </c>
      <c r="P12" s="14">
        <f>SUM(H12-I12-J12-K12-L12-O12)</f>
      </c>
      <c r="Q12" s="12">
        <f>SUM(P12/B12)</f>
      </c>
      <c r="R12" s="17">
        <v>1</v>
      </c>
      <c r="S12" s="14">
        <f>SUM(P12*R12)</f>
      </c>
      <c r="T12" s="15">
        <f>SUM(S12)</f>
      </c>
    </row>
    <row customHeight="true" ht="17" r="13">
      <c r="A13" s="43" t="str">
        <v>竞品链接所在类目</v>
      </c>
      <c r="B13" s="42" t="s">
        <v>3</v>
      </c>
      <c r="C13" s="1"/>
      <c r="D13" s="1"/>
      <c r="E13" s="1"/>
      <c r="F13" s="1"/>
      <c r="G13" s="1"/>
      <c r="H13" s="1"/>
      <c r="I13" s="1"/>
      <c r="J13" s="1"/>
      <c r="K13" s="1"/>
      <c r="L13" s="1"/>
      <c r="M13" s="1"/>
      <c r="N13" s="1"/>
      <c r="O13" s="1"/>
      <c r="P13" s="1"/>
      <c r="Q13" s="1"/>
      <c r="R13" s="1"/>
      <c r="S13" s="1"/>
      <c r="T13" s="1"/>
    </row>
    <row customHeight="true" ht="17" r="14">
      <c r="A14" s="1"/>
      <c r="B14" s="1"/>
      <c r="C14" s="1"/>
      <c r="D14" s="1"/>
      <c r="E14" s="1"/>
      <c r="F14" s="1"/>
      <c r="G14" s="1"/>
      <c r="H14" s="1"/>
      <c r="I14" s="1"/>
      <c r="J14" s="1"/>
      <c r="K14" s="1"/>
      <c r="L14" s="1"/>
      <c r="M14" s="1"/>
      <c r="N14" s="1"/>
      <c r="O14" s="1"/>
      <c r="P14" s="1"/>
      <c r="Q14" s="1"/>
      <c r="R14" s="1"/>
      <c r="S14" s="1"/>
      <c r="T14" s="1"/>
    </row>
    <row customHeight="true" ht="45" r="15">
      <c r="A15" s="18" t="str">
        <v>阶段</v>
      </c>
      <c r="B15" s="22" t="str">
        <v>型号</v>
      </c>
      <c r="C15" s="22" t="str">
        <v>采购成本（手写）</v>
      </c>
      <c r="D15" s="19" t="str">
        <v>头程
（手写）</v>
      </c>
      <c r="E15" s="19" t="str">
        <v>FBA费用
（手写）</v>
      </c>
      <c r="F15" s="23" t="str">
        <v>平台佣金（8%）</v>
      </c>
      <c r="G15" s="21" t="s">
        <v>2</v>
      </c>
      <c r="H15" s="23" t="str">
        <v>优惠卷兑（2.5%）</v>
      </c>
      <c r="I15" s="20" t="str">
        <v>在库成本</v>
      </c>
      <c r="J15" s="22" t="str">
        <v>展示售价
（手写）</v>
      </c>
      <c r="K15" s="22" t="str">
        <v>折扣券
（手写）</v>
      </c>
      <c r="L15" s="22" t="str">
        <v>实际售价
（手写）</v>
      </c>
      <c r="M15" s="21" t="s">
        <v>1</v>
      </c>
      <c r="N15" s="23" t="str">
        <v>毛利率</v>
      </c>
      <c r="O15" s="23" t="str">
        <v>毛利/人民币</v>
      </c>
      <c r="P15" s="24" t="str">
        <v>汇率</v>
      </c>
      <c r="S15" s="1"/>
      <c r="T15" s="1"/>
    </row>
    <row customHeight="true" ht="17" r="16">
      <c r="A16" s="38" t="str">
        <v>第一阶段</v>
      </c>
      <c r="B16" s="37" t="str">
        <v>RD01</v>
      </c>
      <c r="C16" s="14">
        <f>80/7</f>
      </c>
      <c r="D16" s="29">
        <v>2</v>
      </c>
      <c r="E16" s="14">
        <v>10.51</v>
      </c>
      <c r="F16" s="26">
        <f>L16*8%</f>
      </c>
      <c r="G16" s="26">
        <f>L16*2%</f>
      </c>
      <c r="H16" s="26">
        <f>L16*2.5%</f>
      </c>
      <c r="I16" s="28">
        <f>SUM(C16:H16)</f>
      </c>
      <c r="J16" s="13">
        <v>79.99</v>
      </c>
      <c r="K16" s="16">
        <v>0.3</v>
      </c>
      <c r="L16" s="14">
        <v>55.59</v>
      </c>
      <c r="M16" s="26">
        <f>L16-I16</f>
      </c>
      <c r="N16" s="27">
        <f>M16/L16</f>
      </c>
      <c r="O16" s="26">
        <f>M16*P16</f>
      </c>
      <c r="P16" s="30">
        <v>7.1</v>
      </c>
      <c r="Q16" s="1"/>
      <c r="R16" s="1"/>
      <c r="S16" s="1"/>
      <c r="T16" s="1"/>
    </row>
    <row customHeight="true" ht="17" r="17">
      <c r="A17" s="38" t="str">
        <v>第二阶段</v>
      </c>
      <c r="B17" s="37" t="str">
        <v>RD02</v>
      </c>
      <c r="C17" s="14">
        <f>80/7</f>
      </c>
      <c r="D17" s="29">
        <v>2</v>
      </c>
      <c r="E17" s="14">
        <v>10.51</v>
      </c>
      <c r="F17" s="26">
        <f>L17*8%</f>
      </c>
      <c r="G17" s="26">
        <f>L17*2%</f>
      </c>
      <c r="H17" s="26">
        <f>L17*2.5%</f>
      </c>
      <c r="I17" s="28">
        <f>SUM(C17:H17)</f>
      </c>
      <c r="J17" s="13">
        <v>85.99</v>
      </c>
      <c r="K17" s="16">
        <v>0.2</v>
      </c>
      <c r="L17" s="14">
        <v>68.79</v>
      </c>
      <c r="M17" s="26">
        <f>L17-I17</f>
      </c>
      <c r="N17" s="27">
        <f>M17/L17</f>
      </c>
      <c r="O17" s="26">
        <f>M17*P17</f>
      </c>
      <c r="P17" s="30">
        <v>7.1</v>
      </c>
      <c r="Q17" s="1"/>
      <c r="R17" s="1"/>
      <c r="S17" s="1"/>
      <c r="T17" s="1"/>
    </row>
    <row customHeight="true" ht="17" r="18">
      <c r="A18" s="38" t="str">
        <v>第三阶段</v>
      </c>
      <c r="B18" s="37" t="str">
        <v>RD03</v>
      </c>
      <c r="C18" s="14">
        <f>80/7</f>
      </c>
      <c r="D18" s="25">
        <v>2</v>
      </c>
      <c r="E18" s="14">
        <v>10.51</v>
      </c>
      <c r="F18" s="26">
        <f>L18*8%</f>
      </c>
      <c r="G18" s="26">
        <f>L18*2%</f>
      </c>
      <c r="H18" s="26">
        <f>L18*2.5%</f>
      </c>
      <c r="I18" s="28">
        <f>SUM(C18:H18)</f>
      </c>
      <c r="J18" s="13">
        <v>89.99</v>
      </c>
      <c r="K18" s="16">
        <v>0.1</v>
      </c>
      <c r="L18" s="14">
        <v>80.99</v>
      </c>
      <c r="M18" s="26">
        <f>L18-I18</f>
      </c>
      <c r="N18" s="27">
        <f>M18/L18</f>
      </c>
      <c r="O18" s="26">
        <f>M18*P18</f>
      </c>
      <c r="P18" s="30">
        <v>7.1</v>
      </c>
      <c r="Q18" s="1"/>
      <c r="R18" s="1"/>
      <c r="S18" s="1"/>
      <c r="T18" s="1"/>
    </row>
    <row customHeight="true" ht="17" r="19">
      <c r="A19" s="13"/>
      <c r="B19" s="25"/>
      <c r="C19" s="25"/>
      <c r="D19" s="25"/>
      <c r="E19" s="25"/>
      <c r="F19" s="26"/>
      <c r="G19" s="26"/>
      <c r="H19" s="26"/>
      <c r="I19" s="28"/>
      <c r="J19" s="25"/>
      <c r="K19" s="25"/>
      <c r="L19" s="25"/>
      <c r="M19" s="29"/>
      <c r="N19" s="27"/>
      <c r="O19" s="26"/>
      <c r="P19" s="30"/>
      <c r="Q19" s="1"/>
      <c r="R19" s="1"/>
      <c r="S19" s="1"/>
      <c r="T19" s="1"/>
    </row>
    <row customHeight="true" ht="17" r="20">
      <c r="A20" s="13" t="str">
        <v>竞品日常价格</v>
      </c>
      <c r="B20" s="25"/>
      <c r="C20" s="25">
        <v>11.43</v>
      </c>
      <c r="D20" s="25">
        <v>2</v>
      </c>
      <c r="E20" s="25">
        <v>10.51</v>
      </c>
      <c r="F20" s="26">
        <f>L20*8%</f>
      </c>
      <c r="G20" s="26">
        <f>L20*2%</f>
      </c>
      <c r="H20" s="26">
        <f>L20*2.5%</f>
      </c>
      <c r="I20" s="28">
        <f>SUM(C20:H20)</f>
      </c>
      <c r="J20" s="25">
        <v>77.99</v>
      </c>
      <c r="K20" s="25">
        <f>J20/L20</f>
      </c>
      <c r="L20" s="25">
        <v>79.99</v>
      </c>
      <c r="M20" s="29">
        <f>L20-I20</f>
      </c>
      <c r="N20" s="27">
        <f>M20/L20</f>
      </c>
      <c r="O20" s="26">
        <f>M20*P20</f>
      </c>
      <c r="P20" s="30">
        <v>7.1</v>
      </c>
      <c r="Q20" s="1"/>
      <c r="R20" s="1"/>
      <c r="S20" s="1"/>
      <c r="T20" s="1"/>
    </row>
    <row r="21">
      <c r="A21" s="13" t="str">
        <v>竞品活动价格</v>
      </c>
      <c r="B21" s="25"/>
      <c r="C21" s="25">
        <v>11.43</v>
      </c>
      <c r="D21" s="25">
        <v>2</v>
      </c>
      <c r="E21" s="25">
        <v>10.51</v>
      </c>
      <c r="F21" s="26">
        <f>L21*8%</f>
      </c>
      <c r="G21" s="26">
        <f>L21*2%</f>
      </c>
      <c r="H21" s="26">
        <f>L21*2.5%</f>
      </c>
      <c r="I21" s="28">
        <f>SUM(C21:H21)</f>
      </c>
      <c r="J21" s="25">
        <v>79.99</v>
      </c>
      <c r="K21" s="25">
        <f>J21/L21</f>
      </c>
      <c r="L21" s="25">
        <v>89.99</v>
      </c>
      <c r="M21" s="29">
        <f>L21-I21</f>
      </c>
      <c r="N21" s="27">
        <f>M21/L21</f>
      </c>
      <c r="O21" s="26">
        <f>M21*P21</f>
      </c>
      <c r="P21" s="30">
        <v>7.1</v>
      </c>
      <c r="Q21" s="1"/>
      <c r="R21" s="1"/>
    </row>
    <row r="22">
      <c r="A22" s="39" t="str">
        <v>竞品链接</v>
      </c>
      <c r="B22" s="25"/>
      <c r="C22" s="25">
        <v>11.43</v>
      </c>
      <c r="D22" s="25">
        <v>2</v>
      </c>
      <c r="E22" s="25">
        <v>10.51</v>
      </c>
      <c r="F22" s="26">
        <f>L22*8%</f>
      </c>
      <c r="G22" s="26">
        <f>L22*2%</f>
      </c>
      <c r="H22" s="26">
        <f>L22*2.5%</f>
      </c>
      <c r="I22" s="28">
        <f>SUM(C22:H22)</f>
      </c>
      <c r="J22" s="25">
        <v>77.99</v>
      </c>
      <c r="K22" s="25">
        <f>J22/L22</f>
      </c>
      <c r="L22" s="25">
        <v>79.99</v>
      </c>
      <c r="M22" s="29">
        <f>L22-I22</f>
      </c>
      <c r="N22" s="27">
        <f>M22/L22</f>
      </c>
      <c r="O22" s="26">
        <f>M22*P22</f>
      </c>
      <c r="P22" s="30">
        <v>7.1</v>
      </c>
      <c r="Q22" s="1"/>
      <c r="R22" s="1"/>
    </row>
  </sheetData>
  <mergeCells>
    <mergeCell ref="B1:T1"/>
    <mergeCell ref="B13:T13"/>
  </mergeCells>
  <hyperlinks>
    <hyperlink ref="B13" display="https://www.amazon.com/gp/bestsellers/pet-supplies/3024205011" r:id="rId1"/>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3" xSplit="2" ySplit="2"/>
    </sheetView>
  </sheetViews>
  <sheetFormatPr defaultColWidth="14" defaultRowHeight="19"/>
  <cols>
    <col collapsed="false" customWidth="true" hidden="false" max="1" min="1" style="0" width="9"/>
    <col collapsed="false" customWidth="true" hidden="false" max="2" min="2" style="0" width="10"/>
    <col collapsed="false" customWidth="true" hidden="false" max="3" min="3" style="0" width="8"/>
    <col collapsed="false" customWidth="true" hidden="false" max="4" min="4" style="0" width="7"/>
    <col collapsed="false" customWidth="true" hidden="false" max="5" min="5" style="0" width="7"/>
    <col collapsed="false" customWidth="true" hidden="false" max="6" min="6" style="0" width="9"/>
    <col collapsed="false" customWidth="true" hidden="false" max="7" min="7" style="0" width="9"/>
    <col collapsed="false" customWidth="true" hidden="false" max="8" min="8" style="0" width="7"/>
    <col collapsed="false" customWidth="true" hidden="false" max="9" min="9" style="0" width="8"/>
    <col collapsed="false" customWidth="true" hidden="false" max="10" min="10" style="0" width="7"/>
    <col collapsed="false" customWidth="true" hidden="false" max="11" min="11" style="0" width="9"/>
    <col collapsed="false" customWidth="true" hidden="false" max="12" min="12" style="0" width="12"/>
    <col collapsed="false" customWidth="true" hidden="false" max="13" min="13" style="0" width="16"/>
    <col collapsed="false" customWidth="true" hidden="false" max="14" min="14" style="0" width="11"/>
    <col collapsed="false" customWidth="true" hidden="false" max="15" min="15" style="0" width="8"/>
    <col collapsed="false" customWidth="true" hidden="false" max="16" min="16" style="0" width="9"/>
    <col collapsed="false" customWidth="true" hidden="false" max="17" min="17" style="0" width="8"/>
    <col collapsed="false" customWidth="true" hidden="false" max="18" min="18" style="0" width="9"/>
    <col collapsed="false" customWidth="true" hidden="false" max="19" min="19" style="0" width="10"/>
    <col collapsed="false" customWidth="true" hidden="false" max="20" min="20" style="0" width="15"/>
    <col collapsed="false" customWidth="true" hidden="false" max="21" min="21" style="0" width="15"/>
    <col collapsed="false" customWidth="true" hidden="false" max="22" min="22" style="0" width="17"/>
    <col collapsed="false" customWidth="true" hidden="false" max="23" min="23" style="0" width="25"/>
    <col collapsed="false" customWidth="true" hidden="false" max="24" min="24" style="0" width="19"/>
    <col collapsed="false" customWidth="true" hidden="false" max="25" min="25" style="0" width="15"/>
  </cols>
  <sheetData>
    <row customHeight="true" ht="32" r="1">
      <c r="A1" s="47" t="str">
        <v>阶段盈亏模拟数据</v>
      </c>
      <c r="B1" s="44"/>
      <c r="C1" s="44"/>
      <c r="D1" s="44"/>
      <c r="E1" s="44"/>
      <c r="F1" s="45"/>
      <c r="G1" s="44"/>
      <c r="H1" s="44"/>
      <c r="I1" s="44"/>
      <c r="J1" s="44"/>
      <c r="K1" s="44"/>
      <c r="L1" s="44"/>
      <c r="M1" s="44"/>
      <c r="N1" s="44"/>
      <c r="O1" s="44"/>
      <c r="P1" s="44"/>
      <c r="Q1" s="44"/>
      <c r="R1" s="44"/>
      <c r="S1" s="44"/>
      <c r="T1" s="44"/>
      <c r="U1" s="44"/>
      <c r="V1" s="44"/>
      <c r="W1" s="44"/>
      <c r="X1" s="44"/>
      <c r="Y1" s="46"/>
    </row>
    <row customHeight="true" ht="59" r="2">
      <c r="A2" s="64" t="str">
        <v>阶段</v>
      </c>
      <c r="B2" s="57" t="str">
        <v>日期</v>
      </c>
      <c r="C2" s="57" t="str">
        <v>定价</v>
      </c>
      <c r="D2" s="57" t="str">
        <v>cou
pon</v>
      </c>
      <c r="E2" s="65" t="str">
        <v>code</v>
      </c>
      <c r="F2" s="62" t="str">
        <v>折后价</v>
      </c>
      <c r="G2" s="55" t="str">
        <v>站内
自然单</v>
      </c>
      <c r="H2" s="55" t="str">
        <v>站内
广告单</v>
      </c>
      <c r="I2" s="55" t="str">
        <v>阶段
销售
订单</v>
      </c>
      <c r="J2" s="55" t="str">
        <v>时间
/天</v>
      </c>
      <c r="K2" s="58" t="str">
        <v>CPA</v>
      </c>
      <c r="L2" s="53" t="str">
        <v>阶段
广告费</v>
      </c>
      <c r="M2" s="63" t="str">
        <v>毛利
盈亏</v>
      </c>
      <c r="N2" s="53" t="str">
        <v>阶段盈亏
/美金</v>
      </c>
      <c r="O2" s="55" t="str">
        <v>评论
数量</v>
      </c>
      <c r="P2" s="54" t="str">
        <v>阶段
日均
订单</v>
      </c>
      <c r="Q2" s="54" t="str">
        <v>阶段
日均
广告单</v>
      </c>
      <c r="R2" s="54" t="str">
        <v>阶段
日均
自然单</v>
      </c>
      <c r="S2" s="59" t="str">
        <v>日均
广告费</v>
      </c>
      <c r="T2" s="55" t="str">
        <v>新品
排行榜</v>
      </c>
      <c r="U2" s="55" t="str">
        <v>小类目
排名</v>
      </c>
      <c r="V2" s="61" t="str">
        <v>备注</v>
      </c>
      <c r="W2" s="60" t="str">
        <v>种子评论费/（开3条VINE，预计来70条评论）,视觉化费用预估3000美金</v>
      </c>
      <c r="X2" s="56" t="str">
        <v>前期亏损/美金</v>
      </c>
      <c r="Y2" s="61" t="str">
        <v>人民币</v>
      </c>
    </row>
    <row customHeight="true" ht="27" r="3">
      <c r="A3" s="13" t="str">
        <v>第一阶段</v>
      </c>
      <c r="B3" s="48" t="str">
        <v>WEEK1</v>
      </c>
      <c r="C3" s="13">
        <v>89.99</v>
      </c>
      <c r="D3" s="51">
        <v>0.3</v>
      </c>
      <c r="E3" s="16">
        <v>0</v>
      </c>
      <c r="F3" s="49">
        <f>SUM(C3*(1-D3-E3))</f>
      </c>
      <c r="G3" s="13">
        <f>J3*R3</f>
      </c>
      <c r="H3" s="13">
        <f>J3*Q3</f>
      </c>
      <c r="I3" s="13">
        <v>21</v>
      </c>
      <c r="J3" s="13">
        <v>7</v>
      </c>
      <c r="K3" s="49">
        <f>'CPC表格'!V4</f>
      </c>
      <c r="L3" s="49">
        <f>SUM(H3*-K3)</f>
      </c>
      <c r="M3" s="49">
        <f>'毛利盈亏'!T3</f>
      </c>
      <c r="N3" s="49">
        <f>SUM(L3:M3)</f>
      </c>
      <c r="O3" s="13">
        <v>20</v>
      </c>
      <c r="P3" s="50">
        <v>3</v>
      </c>
      <c r="Q3" s="50">
        <v>3</v>
      </c>
      <c r="R3" s="50">
        <f>SUM(P3-Q3)</f>
      </c>
      <c r="S3" s="52">
        <f>SUM(L3/J3)</f>
      </c>
      <c r="T3" s="13">
        <v>150</v>
      </c>
      <c r="U3" s="13" t="str">
        <v>前300名</v>
      </c>
      <c r="V3" s="13" t="str">
        <v>一开售投放广告</v>
      </c>
      <c r="W3" s="13">
        <v>3000</v>
      </c>
      <c r="X3" s="49">
        <f>SUM(N3:N10)+W3</f>
      </c>
      <c r="Y3" s="13">
        <f>X3*7</f>
      </c>
    </row>
    <row customHeight="true" ht="27" r="4">
      <c r="A4" s="13"/>
      <c r="B4" s="48" t="str">
        <v>WEEK2</v>
      </c>
      <c r="C4" s="13">
        <v>89.99</v>
      </c>
      <c r="D4" s="51">
        <v>0.3</v>
      </c>
      <c r="E4" s="16">
        <v>0</v>
      </c>
      <c r="F4" s="49">
        <f>SUM(C4*(1-D4-E4))</f>
      </c>
      <c r="G4" s="13">
        <f>J4*R4</f>
      </c>
      <c r="H4" s="13">
        <f>J4*Q4</f>
      </c>
      <c r="I4" s="13">
        <f>SUM(G4:H4)</f>
      </c>
      <c r="J4" s="13">
        <v>7</v>
      </c>
      <c r="K4" s="49">
        <f>'CPC表格'!V5</f>
      </c>
      <c r="L4" s="49">
        <f>SUM(H4*-K4)</f>
      </c>
      <c r="M4" s="49">
        <f>'毛利盈亏'!T4</f>
      </c>
      <c r="N4" s="49">
        <f>SUM(L4:M4)</f>
      </c>
      <c r="O4" s="13">
        <v>25</v>
      </c>
      <c r="P4" s="50">
        <v>7</v>
      </c>
      <c r="Q4" s="50">
        <v>5</v>
      </c>
      <c r="R4" s="50">
        <f>SUM(P4-Q4)</f>
      </c>
      <c r="S4" s="52">
        <f>SUM(L4/J4)</f>
      </c>
      <c r="T4" s="13">
        <v>120</v>
      </c>
      <c r="U4" s="13" t="str">
        <v>前300名</v>
      </c>
      <c r="V4" s="13" t="str">
        <v>一开售投放广告</v>
      </c>
      <c r="W4" s="13">
        <v>0</v>
      </c>
      <c r="X4" s="49">
        <f>SUM(N4:N11)+W4</f>
      </c>
      <c r="Y4" s="13">
        <f>X4*7</f>
      </c>
    </row>
    <row customHeight="true" ht="27" r="5">
      <c r="A5" s="13"/>
      <c r="B5" s="48" t="str">
        <v>WEEK3</v>
      </c>
      <c r="C5" s="13">
        <v>89.99</v>
      </c>
      <c r="D5" s="51">
        <v>0.3</v>
      </c>
      <c r="E5" s="16">
        <v>0</v>
      </c>
      <c r="F5" s="49">
        <f>SUM(C5*(1-D5-E5))</f>
      </c>
      <c r="G5" s="13">
        <f>J5*R5</f>
      </c>
      <c r="H5" s="13">
        <f>J5*Q5</f>
      </c>
      <c r="I5" s="13">
        <f>SUM(G5:H5)</f>
      </c>
      <c r="J5" s="13">
        <v>7</v>
      </c>
      <c r="K5" s="49">
        <f>'CPC表格'!V6</f>
      </c>
      <c r="L5" s="49">
        <f>SUM(H5*-K5)</f>
      </c>
      <c r="M5" s="49">
        <f>'毛利盈亏'!T5</f>
      </c>
      <c r="N5" s="49">
        <f>SUM(L5:M5)</f>
      </c>
      <c r="O5" s="13">
        <v>30</v>
      </c>
      <c r="P5" s="50">
        <v>10</v>
      </c>
      <c r="Q5" s="50">
        <v>6</v>
      </c>
      <c r="R5" s="50">
        <f>SUM(P5-Q5)</f>
      </c>
      <c r="S5" s="52">
        <f>SUM(L5/J5)</f>
      </c>
      <c r="T5" s="13">
        <v>100</v>
      </c>
      <c r="U5" s="13" t="str">
        <v>前250名</v>
      </c>
      <c r="V5" s="13"/>
      <c r="W5" s="13">
        <v>0</v>
      </c>
      <c r="X5" s="49">
        <f>SUM(N5:N12)+W5</f>
      </c>
      <c r="Y5" s="13">
        <f>X5*7</f>
      </c>
    </row>
    <row customHeight="true" ht="27" r="6">
      <c r="A6" s="13"/>
      <c r="B6" s="48" t="str">
        <v>WEEK4</v>
      </c>
      <c r="C6" s="13">
        <v>89.99</v>
      </c>
      <c r="D6" s="51">
        <v>0.3</v>
      </c>
      <c r="E6" s="16">
        <v>0</v>
      </c>
      <c r="F6" s="49">
        <f>SUM(C6*(1-D6-E6))</f>
      </c>
      <c r="G6" s="13">
        <f>J6*R6</f>
      </c>
      <c r="H6" s="13">
        <f>J6*Q6</f>
      </c>
      <c r="I6" s="13">
        <f>SUM(G6:H6)</f>
      </c>
      <c r="J6" s="13">
        <v>7</v>
      </c>
      <c r="K6" s="49">
        <f>'CPC表格'!V7</f>
      </c>
      <c r="L6" s="49">
        <f>SUM(H6*-K6)</f>
      </c>
      <c r="M6" s="49">
        <f>'毛利盈亏'!T6</f>
      </c>
      <c r="N6" s="49">
        <f>SUM(L6:M6)</f>
      </c>
      <c r="O6" s="13">
        <v>35</v>
      </c>
      <c r="P6" s="50">
        <v>12</v>
      </c>
      <c r="Q6" s="50">
        <v>7</v>
      </c>
      <c r="R6" s="50">
        <f>SUM(P6-Q6)</f>
      </c>
      <c r="S6" s="52">
        <f>SUM(L6/J6)</f>
      </c>
      <c r="T6" s="13">
        <v>50</v>
      </c>
      <c r="U6" s="13" t="str">
        <v>前250名</v>
      </c>
      <c r="V6" s="13"/>
      <c r="W6" s="13">
        <v>0</v>
      </c>
      <c r="X6" s="49">
        <f>SUM(N6:N13)+W6</f>
      </c>
      <c r="Y6" s="13">
        <f>X6*7</f>
      </c>
    </row>
    <row customHeight="true" ht="27" r="7">
      <c r="A7" s="13" t="str">
        <v>第二阶段</v>
      </c>
      <c r="B7" s="48" t="str">
        <v>WEEK5</v>
      </c>
      <c r="C7" s="13">
        <v>85.99</v>
      </c>
      <c r="D7" s="51">
        <v>0.2</v>
      </c>
      <c r="E7" s="16">
        <v>0</v>
      </c>
      <c r="F7" s="49">
        <f>SUM(C7*(1-D7-E7))</f>
      </c>
      <c r="G7" s="13">
        <f>J7*R7</f>
      </c>
      <c r="H7" s="13">
        <f>J7*Q7</f>
      </c>
      <c r="I7" s="13">
        <f>SUM(G7:H7)</f>
      </c>
      <c r="J7" s="13">
        <v>7</v>
      </c>
      <c r="K7" s="49">
        <f>'CPC表格'!V8</f>
      </c>
      <c r="L7" s="49">
        <f>SUM(H7*-K7)</f>
      </c>
      <c r="M7" s="49">
        <f>'毛利盈亏'!T7</f>
      </c>
      <c r="N7" s="49">
        <f>SUM(L7:M7)</f>
      </c>
      <c r="O7" s="13">
        <v>40</v>
      </c>
      <c r="P7" s="50">
        <v>15</v>
      </c>
      <c r="Q7" s="50">
        <v>9</v>
      </c>
      <c r="R7" s="50">
        <f>SUM(P7-Q7)</f>
      </c>
      <c r="S7" s="52">
        <f>SUM(L7/J7)</f>
      </c>
      <c r="T7" s="13">
        <v>40</v>
      </c>
      <c r="U7" s="13" t="str">
        <v>前200名</v>
      </c>
      <c r="V7" s="13"/>
      <c r="W7" s="13">
        <v>0</v>
      </c>
      <c r="X7" s="49">
        <f>SUM(N7:N14)+W7</f>
      </c>
      <c r="Y7" s="13">
        <f>X7*7</f>
      </c>
    </row>
    <row customHeight="true" ht="27" r="8">
      <c r="A8" s="13"/>
      <c r="B8" s="48" t="str">
        <v>WEEK6</v>
      </c>
      <c r="C8" s="13">
        <v>85.99</v>
      </c>
      <c r="D8" s="51">
        <v>0.2</v>
      </c>
      <c r="E8" s="16">
        <v>0</v>
      </c>
      <c r="F8" s="49">
        <f>SUM(C8*(1-D8-E8))</f>
      </c>
      <c r="G8" s="13">
        <f>J8*R8</f>
      </c>
      <c r="H8" s="13">
        <f>J8*Q8</f>
      </c>
      <c r="I8" s="13">
        <f>SUM(G8:H8)</f>
      </c>
      <c r="J8" s="13">
        <v>7</v>
      </c>
      <c r="K8" s="49">
        <f>'CPC表格'!V9</f>
      </c>
      <c r="L8" s="49">
        <f>SUM(H8*-K8)</f>
      </c>
      <c r="M8" s="49">
        <f>'毛利盈亏'!T8</f>
      </c>
      <c r="N8" s="49">
        <f>SUM(L8:M8)</f>
      </c>
      <c r="O8" s="13">
        <v>50</v>
      </c>
      <c r="P8" s="50">
        <v>18</v>
      </c>
      <c r="Q8" s="50">
        <v>10</v>
      </c>
      <c r="R8" s="50">
        <f>SUM(P8-Q8)</f>
      </c>
      <c r="S8" s="52">
        <f>SUM(L8/J8)</f>
      </c>
      <c r="T8" s="13">
        <v>30</v>
      </c>
      <c r="U8" s="13" t="str">
        <v>前200名</v>
      </c>
      <c r="V8" s="13"/>
      <c r="W8" s="13">
        <v>0</v>
      </c>
      <c r="X8" s="49">
        <f>SUM(N8:N15)+W8</f>
      </c>
      <c r="Y8" s="13">
        <f>X8*7</f>
      </c>
    </row>
    <row customHeight="true" ht="27" r="9">
      <c r="A9" s="13"/>
      <c r="B9" s="48" t="str">
        <v>WEEK7</v>
      </c>
      <c r="C9" s="13">
        <v>85.99</v>
      </c>
      <c r="D9" s="51">
        <v>0.2</v>
      </c>
      <c r="E9" s="16">
        <v>0</v>
      </c>
      <c r="F9" s="49">
        <f>SUM(C9*(1-D9-E9))</f>
      </c>
      <c r="G9" s="13">
        <f>J9*R9</f>
      </c>
      <c r="H9" s="13">
        <f>J9*Q9</f>
      </c>
      <c r="I9" s="13">
        <f>SUM(G9:H9)</f>
      </c>
      <c r="J9" s="13">
        <v>7</v>
      </c>
      <c r="K9" s="49">
        <f>'CPC表格'!V10</f>
      </c>
      <c r="L9" s="49">
        <f>SUM(H9*-K9)</f>
      </c>
      <c r="M9" s="49">
        <f>'毛利盈亏'!T9</f>
      </c>
      <c r="N9" s="49">
        <f>SUM(L9:M9)</f>
      </c>
      <c r="O9" s="13">
        <v>60</v>
      </c>
      <c r="P9" s="50">
        <v>20</v>
      </c>
      <c r="Q9" s="50">
        <v>12</v>
      </c>
      <c r="R9" s="50">
        <f>SUM(P9-Q9)</f>
      </c>
      <c r="S9" s="52">
        <f>SUM(L9/J9)</f>
      </c>
      <c r="T9" s="13">
        <v>20</v>
      </c>
      <c r="U9" s="13" t="str">
        <v>前150名</v>
      </c>
      <c r="V9" s="13"/>
      <c r="W9" s="13">
        <v>0</v>
      </c>
      <c r="X9" s="49">
        <f>SUM(N9:N16)+W9</f>
      </c>
      <c r="Y9" s="13">
        <f>X9*7</f>
      </c>
    </row>
    <row customHeight="true" ht="27" r="10">
      <c r="A10" s="13"/>
      <c r="B10" s="48" t="str">
        <v>WEEK8</v>
      </c>
      <c r="C10" s="13">
        <v>85.99</v>
      </c>
      <c r="D10" s="51">
        <v>0.2</v>
      </c>
      <c r="E10" s="16">
        <v>0</v>
      </c>
      <c r="F10" s="49">
        <f>SUM(C10*(1-D10-E10))</f>
      </c>
      <c r="G10" s="13">
        <f>J10*R10</f>
      </c>
      <c r="H10" s="13">
        <f>J10*Q10</f>
      </c>
      <c r="I10" s="13">
        <f>SUM(G10:H10)</f>
      </c>
      <c r="J10" s="13">
        <v>7</v>
      </c>
      <c r="K10" s="49">
        <f>'CPC表格'!V11</f>
      </c>
      <c r="L10" s="49">
        <f>SUM(H10*-K10)</f>
      </c>
      <c r="M10" s="49">
        <f>'毛利盈亏'!T10</f>
      </c>
      <c r="N10" s="49">
        <f>SUM(L10:M10)</f>
      </c>
      <c r="O10" s="13">
        <v>70</v>
      </c>
      <c r="P10" s="50">
        <v>24</v>
      </c>
      <c r="Q10" s="50">
        <v>12</v>
      </c>
      <c r="R10" s="50">
        <f>SUM(P10-Q10)</f>
      </c>
      <c r="S10" s="52">
        <f>SUM(L10/J10)</f>
      </c>
      <c r="T10" s="13">
        <v>10</v>
      </c>
      <c r="U10" s="13" t="str">
        <v>前150名</v>
      </c>
      <c r="V10" s="13"/>
      <c r="W10" s="13">
        <v>0</v>
      </c>
      <c r="X10" s="49">
        <f>SUM(N10:N17)+W10</f>
      </c>
      <c r="Y10" s="13">
        <f>X10*7</f>
      </c>
    </row>
    <row customHeight="true" ht="27" r="11">
      <c r="A11" s="13" t="str">
        <v>第三阶段</v>
      </c>
      <c r="B11" s="48" t="str">
        <v>WEEK9</v>
      </c>
      <c r="C11" s="13">
        <v>85.99</v>
      </c>
      <c r="D11" s="51">
        <v>0.1</v>
      </c>
      <c r="E11" s="16">
        <v>0</v>
      </c>
      <c r="F11" s="49">
        <f>SUM(C11*(1-D11-E11))</f>
      </c>
      <c r="G11" s="13">
        <f>J11*R11</f>
      </c>
      <c r="H11" s="13">
        <f>J11*Q11</f>
      </c>
      <c r="I11" s="13">
        <f>SUM(G11:H11)</f>
      </c>
      <c r="J11" s="13">
        <v>7</v>
      </c>
      <c r="K11" s="49">
        <f>'CPC表格'!V12</f>
      </c>
      <c r="L11" s="49">
        <f>SUM(H11*-K11)</f>
      </c>
      <c r="M11" s="49">
        <f>'毛利盈亏'!T11</f>
      </c>
      <c r="N11" s="49">
        <f>SUM(L11:M11)</f>
      </c>
      <c r="O11" s="13">
        <v>80</v>
      </c>
      <c r="P11" s="50">
        <v>26</v>
      </c>
      <c r="Q11" s="50">
        <v>14</v>
      </c>
      <c r="R11" s="50">
        <f>SUM(P11-Q11)</f>
      </c>
      <c r="S11" s="52">
        <f>SUM(L11/J11)</f>
      </c>
      <c r="T11" s="13">
        <v>10</v>
      </c>
      <c r="U11" s="13" t="str">
        <v>前100名</v>
      </c>
      <c r="V11" s="13"/>
      <c r="W11" s="13">
        <v>0</v>
      </c>
      <c r="X11" s="49">
        <f>SUM(N11:N34)+W11</f>
      </c>
      <c r="Y11" s="13">
        <f>X11*7</f>
      </c>
    </row>
    <row customHeight="true" ht="27" r="12">
      <c r="A12" s="13"/>
      <c r="B12" s="48" t="str">
        <v>WEEK10</v>
      </c>
      <c r="C12" s="13">
        <v>85.99</v>
      </c>
      <c r="D12" s="51">
        <v>0.1</v>
      </c>
      <c r="E12" s="16">
        <v>0</v>
      </c>
      <c r="F12" s="49">
        <f>SUM(C12*(1-D12-E12))</f>
      </c>
      <c r="G12" s="13">
        <f>J12*R12</f>
      </c>
      <c r="H12" s="13">
        <f>J12*Q12</f>
      </c>
      <c r="I12" s="13">
        <f>SUM(G12:H12)</f>
      </c>
      <c r="J12" s="13">
        <v>7</v>
      </c>
      <c r="K12" s="49">
        <f>'CPC表格'!V13</f>
      </c>
      <c r="L12" s="49">
        <f>SUM(H12*-K12)</f>
      </c>
      <c r="M12" s="49">
        <f>'毛利盈亏'!T12</f>
      </c>
      <c r="N12" s="49">
        <f>SUM(L12:M12)</f>
      </c>
      <c r="O12" s="13">
        <v>90</v>
      </c>
      <c r="P12" s="50">
        <v>28</v>
      </c>
      <c r="Q12" s="50">
        <v>15</v>
      </c>
      <c r="R12" s="50">
        <v>22</v>
      </c>
      <c r="S12" s="52">
        <f>SUM(L12/J12)</f>
      </c>
      <c r="T12" s="13">
        <v>5</v>
      </c>
      <c r="U12" s="13" t="str">
        <v>前100名</v>
      </c>
      <c r="V12" s="13"/>
      <c r="W12" s="13">
        <v>0</v>
      </c>
      <c r="X12" s="49">
        <f>SUM(N12:N35)+W12</f>
      </c>
      <c r="Y12" s="13">
        <f>X12*7</f>
      </c>
    </row>
    <row customHeight="true" ht="27" r="13">
      <c r="A13" s="13"/>
      <c r="B13" s="48" t="str">
        <v>WEEK11</v>
      </c>
      <c r="C13" s="13">
        <v>85.99</v>
      </c>
      <c r="D13" s="51">
        <v>0.1</v>
      </c>
      <c r="E13" s="16">
        <v>0</v>
      </c>
      <c r="F13" s="49">
        <f>SUM(C13*(1-D13-E13))</f>
      </c>
      <c r="G13" s="13">
        <f>J13*R13</f>
      </c>
      <c r="H13" s="13">
        <f>J13*Q13</f>
      </c>
      <c r="I13" s="13">
        <f>SUM(G13:H13)</f>
      </c>
      <c r="J13" s="13">
        <v>7</v>
      </c>
      <c r="K13" s="49">
        <f>'CPC表格'!V14</f>
      </c>
      <c r="L13" s="49">
        <f>SUM(H13*-K13)</f>
      </c>
      <c r="M13" s="49">
        <f>'毛利盈亏'!T13</f>
      </c>
      <c r="N13" s="49">
        <f>SUM(L13:M13)</f>
      </c>
      <c r="O13" s="13">
        <v>100</v>
      </c>
      <c r="P13" s="50">
        <v>30</v>
      </c>
      <c r="Q13" s="50">
        <v>15</v>
      </c>
      <c r="R13" s="50">
        <f>P13-Q13</f>
      </c>
      <c r="S13" s="52">
        <f>SUM(L13/J13)</f>
      </c>
      <c r="T13" s="13">
        <v>5</v>
      </c>
      <c r="U13" s="13" t="str">
        <v>前80名</v>
      </c>
      <c r="V13" s="13"/>
      <c r="W13" s="13">
        <v>0</v>
      </c>
      <c r="X13" s="49">
        <f>SUM(N13:N36)+W13</f>
      </c>
      <c r="Y13" s="13">
        <f>X13*7</f>
      </c>
    </row>
    <row customHeight="true" ht="27" r="14">
      <c r="A14" s="13"/>
      <c r="B14" s="48" t="str">
        <v>WEEK12</v>
      </c>
      <c r="C14" s="13">
        <v>85.99</v>
      </c>
      <c r="D14" s="51">
        <v>0.1</v>
      </c>
      <c r="E14" s="16">
        <v>0</v>
      </c>
      <c r="F14" s="49">
        <f>SUM(C14*(1-D14-E14))</f>
      </c>
      <c r="G14" s="13">
        <f>J14*R14</f>
      </c>
      <c r="H14" s="13">
        <f>J14*Q14</f>
      </c>
      <c r="I14" s="13">
        <f>SUM(G14:H14)</f>
      </c>
      <c r="J14" s="13">
        <v>7</v>
      </c>
      <c r="K14" s="49">
        <f>'CPC表格'!V15</f>
      </c>
      <c r="L14" s="49">
        <f>SUM(H14*-K14)</f>
      </c>
      <c r="M14" s="49">
        <f>'毛利盈亏'!T14</f>
      </c>
      <c r="N14" s="49">
        <f>SUM(L14:M14)</f>
      </c>
      <c r="O14" s="13">
        <v>110</v>
      </c>
      <c r="P14" s="50">
        <v>35</v>
      </c>
      <c r="Q14" s="50">
        <v>16</v>
      </c>
      <c r="R14" s="50">
        <v>37</v>
      </c>
      <c r="S14" s="52">
        <f>SUM(L14/J14)</f>
      </c>
      <c r="T14" s="13">
        <v>4</v>
      </c>
      <c r="U14" s="13" t="str">
        <v>前80名</v>
      </c>
      <c r="V14" s="13"/>
      <c r="W14" s="13">
        <v>0</v>
      </c>
      <c r="X14" s="49">
        <f>SUM(N14:N37)+W14</f>
      </c>
      <c r="Y14" s="13">
        <f>X14*7</f>
      </c>
    </row>
    <row customHeight="true" ht="27" r="15">
      <c r="A15" s="13" t="str">
        <v>第四阶段</v>
      </c>
      <c r="B15" s="48" t="str">
        <v>WEEK13</v>
      </c>
      <c r="C15" s="13">
        <v>79.99</v>
      </c>
      <c r="D15" s="51">
        <v>0</v>
      </c>
      <c r="E15" s="16">
        <v>0</v>
      </c>
      <c r="F15" s="49">
        <f>SUM(C15*(1-D15-E15))</f>
      </c>
      <c r="G15" s="13">
        <f>J15*R15</f>
      </c>
      <c r="H15" s="13">
        <f>J15*Q15</f>
      </c>
      <c r="I15" s="13">
        <f>SUM(G15:H15)</f>
      </c>
      <c r="J15" s="13">
        <v>7</v>
      </c>
      <c r="K15" s="49">
        <f>'CPC表格'!V16</f>
      </c>
      <c r="L15" s="49">
        <f>SUM(H15*-K15)</f>
      </c>
      <c r="M15" s="49">
        <f>'毛利盈亏'!T15</f>
      </c>
      <c r="N15" s="49">
        <f>SUM(L15:M15)</f>
      </c>
      <c r="O15" s="13">
        <v>120</v>
      </c>
      <c r="P15" s="50">
        <v>40</v>
      </c>
      <c r="Q15" s="50">
        <v>18</v>
      </c>
      <c r="R15" s="50">
        <f>SUM(P15-Q15)</f>
      </c>
      <c r="S15" s="52">
        <f>SUM(L15/J15)</f>
      </c>
      <c r="T15" s="13">
        <v>4</v>
      </c>
      <c r="U15" s="13" t="str">
        <v>前50名</v>
      </c>
      <c r="V15" s="13"/>
      <c r="W15" s="13">
        <v>0</v>
      </c>
      <c r="X15" s="49">
        <f>SUM(N15:N38)+W15</f>
      </c>
      <c r="Y15" s="13">
        <f>X15*7</f>
      </c>
    </row>
    <row customHeight="true" ht="27" r="16">
      <c r="A16" s="13"/>
      <c r="B16" s="48" t="str">
        <v>WEEK14</v>
      </c>
      <c r="C16" s="13">
        <v>79.99</v>
      </c>
      <c r="D16" s="51">
        <v>0</v>
      </c>
      <c r="E16" s="16">
        <v>0</v>
      </c>
      <c r="F16" s="49">
        <f>SUM(C16*(1-D16-E16))</f>
      </c>
      <c r="G16" s="13">
        <f>J16*R16</f>
      </c>
      <c r="H16" s="13">
        <f>J16*Q16</f>
      </c>
      <c r="I16" s="13">
        <f>SUM(G16:H16)</f>
      </c>
      <c r="J16" s="13">
        <v>7</v>
      </c>
      <c r="K16" s="49">
        <f>'CPC表格'!V17</f>
      </c>
      <c r="L16" s="49">
        <f>SUM(H16*-K16)</f>
      </c>
      <c r="M16" s="49">
        <f>'毛利盈亏'!T16</f>
      </c>
      <c r="N16" s="49">
        <f>SUM(L16:M16)</f>
      </c>
      <c r="O16" s="13">
        <v>130</v>
      </c>
      <c r="P16" s="50">
        <v>45</v>
      </c>
      <c r="Q16" s="50">
        <v>20</v>
      </c>
      <c r="R16" s="50">
        <f>SUM(P16-Q16)</f>
      </c>
      <c r="S16" s="52">
        <f>SUM(L16/J16)</f>
      </c>
      <c r="T16" s="13">
        <v>3</v>
      </c>
      <c r="U16" s="13" t="str">
        <v>前50名</v>
      </c>
      <c r="V16" s="13"/>
      <c r="W16" s="13">
        <v>0</v>
      </c>
      <c r="X16" s="49">
        <f>SUM(N16:N39)+W16</f>
      </c>
      <c r="Y16" s="13">
        <f>X16*7</f>
      </c>
    </row>
    <row customHeight="true" ht="27" r="17">
      <c r="A17" s="13"/>
      <c r="B17" s="48" t="str">
        <v>WEEK15</v>
      </c>
      <c r="C17" s="13">
        <v>79.99</v>
      </c>
      <c r="D17" s="51">
        <v>0</v>
      </c>
      <c r="E17" s="16">
        <v>0</v>
      </c>
      <c r="F17" s="49">
        <f>SUM(C17*(1-D17-E17))</f>
      </c>
      <c r="G17" s="13">
        <f>J17*R17</f>
      </c>
      <c r="H17" s="13">
        <f>J17*Q17</f>
      </c>
      <c r="I17" s="13">
        <f>SUM(G17:H17)</f>
      </c>
      <c r="J17" s="13">
        <v>7</v>
      </c>
      <c r="K17" s="49">
        <f>'CPC表格'!V18</f>
      </c>
      <c r="L17" s="49">
        <f>SUM(H17*-K17)</f>
      </c>
      <c r="M17" s="49">
        <f>'毛利盈亏'!T17</f>
      </c>
      <c r="N17" s="49">
        <f>SUM(L17:M17)</f>
      </c>
      <c r="O17" s="13">
        <v>140</v>
      </c>
      <c r="P17" s="50">
        <v>50</v>
      </c>
      <c r="Q17" s="50">
        <v>22</v>
      </c>
      <c r="R17" s="50">
        <f>SUM(P17-Q17)</f>
      </c>
      <c r="S17" s="52">
        <f>SUM(L17/J17)</f>
      </c>
      <c r="T17" s="13">
        <v>3</v>
      </c>
      <c r="U17" s="13" t="str">
        <v>前20名</v>
      </c>
      <c r="V17" s="13"/>
      <c r="W17" s="13">
        <v>0</v>
      </c>
      <c r="X17" s="49">
        <f>SUM(N17:N40)+W17</f>
      </c>
      <c r="Y17" s="13">
        <f>X17*7</f>
      </c>
    </row>
    <row customHeight="true" ht="27" r="18">
      <c r="A18" s="13"/>
      <c r="B18" s="48" t="str">
        <v>WEEK16</v>
      </c>
      <c r="C18" s="13">
        <v>79.99</v>
      </c>
      <c r="D18" s="51">
        <v>0</v>
      </c>
      <c r="E18" s="16">
        <v>0</v>
      </c>
      <c r="F18" s="49">
        <f>SUM(C18*(1-D18-E18))</f>
      </c>
      <c r="G18" s="13">
        <f>J18*R18</f>
      </c>
      <c r="H18" s="13">
        <f>J18*Q18</f>
      </c>
      <c r="I18" s="13">
        <f>SUM(G18:H18)</f>
      </c>
      <c r="J18" s="13">
        <v>7</v>
      </c>
      <c r="K18" s="49">
        <f>'CPC表格'!V19</f>
      </c>
      <c r="L18" s="49">
        <f>SUM(H18*-K18)</f>
      </c>
      <c r="M18" s="49">
        <f>'毛利盈亏'!T18</f>
      </c>
      <c r="N18" s="49">
        <f>SUM(L18:M18)</f>
      </c>
      <c r="O18" s="13">
        <v>150</v>
      </c>
      <c r="P18" s="50">
        <v>70</v>
      </c>
      <c r="Q18" s="50">
        <v>25</v>
      </c>
      <c r="R18" s="50">
        <f>SUM(P18-Q18)</f>
      </c>
      <c r="S18" s="52">
        <f>SUM(L18/J18)</f>
      </c>
      <c r="T18" s="13">
        <v>2</v>
      </c>
      <c r="U18" s="13" t="str">
        <v>前20名</v>
      </c>
      <c r="V18" s="13"/>
      <c r="W18" s="13">
        <v>0</v>
      </c>
      <c r="X18" s="49">
        <f>SUM(N18:N41)+W18</f>
      </c>
      <c r="Y18" s="13">
        <f>X18*7</f>
      </c>
    </row>
    <row customHeight="true" ht="27" r="19">
      <c r="A19" s="13" t="str">
        <v>第五阶段</v>
      </c>
      <c r="B19" s="48" t="str">
        <v>WEEK17</v>
      </c>
      <c r="C19" s="13">
        <v>79.99</v>
      </c>
      <c r="D19" s="51">
        <v>0</v>
      </c>
      <c r="E19" s="16">
        <v>0</v>
      </c>
      <c r="F19" s="49">
        <f>SUM(C19*(1-D19-E19))</f>
      </c>
      <c r="G19" s="13">
        <f>J19*R19</f>
      </c>
      <c r="H19" s="13">
        <f>J19*Q19</f>
      </c>
      <c r="I19" s="13">
        <f>SUM(G19:H19)</f>
      </c>
      <c r="J19" s="13">
        <v>7</v>
      </c>
      <c r="K19" s="49">
        <f>'CPC表格'!V20</f>
      </c>
      <c r="L19" s="49">
        <f>SUM(H19*-K19)</f>
      </c>
      <c r="M19" s="49">
        <f>'毛利盈亏'!T19</f>
      </c>
      <c r="N19" s="49">
        <f>SUM(L19:M19)</f>
      </c>
      <c r="O19" s="13">
        <v>160</v>
      </c>
      <c r="P19" s="50">
        <v>70</v>
      </c>
      <c r="Q19" s="50">
        <v>25</v>
      </c>
      <c r="R19" s="50">
        <f>SUM(P19-Q19)</f>
      </c>
      <c r="S19" s="52">
        <f>SUM(L19/J19)</f>
      </c>
      <c r="T19" s="13">
        <v>2</v>
      </c>
      <c r="U19" s="13" t="str">
        <v>前20名</v>
      </c>
      <c r="V19" s="13"/>
      <c r="W19" s="13">
        <v>0</v>
      </c>
      <c r="X19" s="49">
        <f>SUM(N19:N42)+W19</f>
      </c>
      <c r="Y19" s="13">
        <f>X19*7</f>
      </c>
    </row>
    <row customHeight="true" ht="27" r="20">
      <c r="A20" s="13"/>
      <c r="B20" s="48" t="str">
        <v>WEEK18</v>
      </c>
      <c r="C20" s="13">
        <v>79.99</v>
      </c>
      <c r="D20" s="51">
        <v>0</v>
      </c>
      <c r="E20" s="16">
        <v>0</v>
      </c>
      <c r="F20" s="49">
        <f>SUM(C20*(1-D20-E20))</f>
      </c>
      <c r="G20" s="13">
        <f>J20*R20</f>
      </c>
      <c r="H20" s="13">
        <f>J20*Q20</f>
      </c>
      <c r="I20" s="13">
        <f>SUM(G20:H20)</f>
      </c>
      <c r="J20" s="13">
        <v>7</v>
      </c>
      <c r="K20" s="49">
        <f>'CPC表格'!V21</f>
      </c>
      <c r="L20" s="49">
        <f>SUM(H20*-K20)</f>
      </c>
      <c r="M20" s="49">
        <f>'毛利盈亏'!T20</f>
      </c>
      <c r="N20" s="49">
        <f>SUM(L20:M20)</f>
      </c>
      <c r="O20" s="13">
        <v>170</v>
      </c>
      <c r="P20" s="50">
        <v>70</v>
      </c>
      <c r="Q20" s="50">
        <v>25</v>
      </c>
      <c r="R20" s="50">
        <f>SUM(P20-Q20)</f>
      </c>
      <c r="S20" s="52">
        <f>SUM(L20/J20)</f>
      </c>
      <c r="T20" s="13">
        <v>2</v>
      </c>
      <c r="U20" s="13" t="str">
        <v>前20名</v>
      </c>
      <c r="V20" s="13"/>
      <c r="W20" s="13">
        <v>0</v>
      </c>
      <c r="X20" s="49">
        <f>SUM(N20:N43)+W20</f>
      </c>
      <c r="Y20" s="13">
        <f>X20*7</f>
      </c>
    </row>
    <row customHeight="true" ht="27" r="21">
      <c r="A21" s="13"/>
      <c r="B21" s="48" t="str">
        <v>WEEK19</v>
      </c>
      <c r="C21" s="13">
        <v>79.99</v>
      </c>
      <c r="D21" s="51">
        <v>0</v>
      </c>
      <c r="E21" s="16">
        <v>0</v>
      </c>
      <c r="F21" s="49">
        <f>SUM(C21*(1-D21-E21))</f>
      </c>
      <c r="G21" s="13">
        <f>J21*R21</f>
      </c>
      <c r="H21" s="13">
        <f>J21*Q21</f>
      </c>
      <c r="I21" s="13">
        <f>SUM(G21:H21)</f>
      </c>
      <c r="J21" s="13">
        <v>7</v>
      </c>
      <c r="K21" s="49">
        <f>'CPC表格'!V22</f>
      </c>
      <c r="L21" s="49">
        <f>SUM(H21*-K21)</f>
      </c>
      <c r="M21" s="49">
        <f>'毛利盈亏'!T21</f>
      </c>
      <c r="N21" s="49">
        <f>SUM(L21:M21)</f>
      </c>
      <c r="O21" s="13">
        <v>180</v>
      </c>
      <c r="P21" s="50">
        <v>70</v>
      </c>
      <c r="Q21" s="50">
        <v>25</v>
      </c>
      <c r="R21" s="50">
        <f>SUM(P21-Q21)</f>
      </c>
      <c r="S21" s="52">
        <f>SUM(L21/J21)</f>
      </c>
      <c r="T21" s="13">
        <v>1</v>
      </c>
      <c r="U21" s="13" t="str">
        <v>前20名</v>
      </c>
      <c r="V21" s="13"/>
      <c r="W21" s="13">
        <v>0</v>
      </c>
      <c r="X21" s="49">
        <f>SUM(N21:N44)+W21</f>
      </c>
      <c r="Y21" s="13">
        <f>X21*7</f>
      </c>
    </row>
    <row customHeight="true" ht="27" r="22">
      <c r="A22" s="13"/>
      <c r="B22" s="48" t="str">
        <v>WEEK20</v>
      </c>
      <c r="C22" s="13">
        <v>79.99</v>
      </c>
      <c r="D22" s="51">
        <v>0</v>
      </c>
      <c r="E22" s="16">
        <v>0</v>
      </c>
      <c r="F22" s="49">
        <f>SUM(C22*(1-D22-E22))</f>
      </c>
      <c r="G22" s="13">
        <f>J22*R22</f>
      </c>
      <c r="H22" s="13">
        <f>J22*Q22</f>
      </c>
      <c r="I22" s="13">
        <f>SUM(G22:H22)</f>
      </c>
      <c r="J22" s="13">
        <v>7</v>
      </c>
      <c r="K22" s="49">
        <f>'CPC表格'!V23</f>
      </c>
      <c r="L22" s="49">
        <f>SUM(H22*-K22)</f>
      </c>
      <c r="M22" s="49">
        <f>'毛利盈亏'!T22</f>
      </c>
      <c r="N22" s="49">
        <f>SUM(L22:M22)</f>
      </c>
      <c r="O22" s="13">
        <v>190</v>
      </c>
      <c r="P22" s="50">
        <v>70</v>
      </c>
      <c r="Q22" s="50">
        <v>25</v>
      </c>
      <c r="R22" s="50">
        <f>SUM(P22-Q22)</f>
      </c>
      <c r="S22" s="52">
        <f>SUM(L22/J22)</f>
      </c>
      <c r="T22" s="13">
        <v>1</v>
      </c>
      <c r="U22" s="13" t="str">
        <v>前20名</v>
      </c>
      <c r="V22" s="13"/>
      <c r="W22" s="13">
        <v>0</v>
      </c>
      <c r="X22" s="49">
        <f>SUM(N22:N45)+W22</f>
      </c>
      <c r="Y22" s="13">
        <f>X22*7</f>
      </c>
    </row>
    <row customHeight="true" ht="27" r="23">
      <c r="A23" s="13" t="str">
        <v>第六阶段</v>
      </c>
      <c r="B23" s="48" t="str">
        <v>WEEK21</v>
      </c>
      <c r="C23" s="13">
        <v>79.99</v>
      </c>
      <c r="D23" s="51">
        <v>0</v>
      </c>
      <c r="E23" s="16">
        <v>0</v>
      </c>
      <c r="F23" s="49">
        <f>SUM(C23*(1-D23-E23))</f>
      </c>
      <c r="G23" s="13">
        <f>J23*R23</f>
      </c>
      <c r="H23" s="13">
        <f>J23*Q23</f>
      </c>
      <c r="I23" s="13">
        <f>SUM(G23:H23)</f>
      </c>
      <c r="J23" s="13">
        <v>7</v>
      </c>
      <c r="K23" s="49">
        <f>'CPC表格'!V24</f>
      </c>
      <c r="L23" s="49">
        <f>SUM(H23*-K23)</f>
      </c>
      <c r="M23" s="49">
        <f>'毛利盈亏'!T23</f>
      </c>
      <c r="N23" s="49">
        <f>SUM(L23:M23)</f>
      </c>
      <c r="O23" s="13">
        <v>200</v>
      </c>
      <c r="P23" s="50">
        <v>70</v>
      </c>
      <c r="Q23" s="50">
        <v>25</v>
      </c>
      <c r="R23" s="50">
        <f>SUM(P23-Q23)</f>
      </c>
      <c r="S23" s="52">
        <f>SUM(L23/J23)</f>
      </c>
      <c r="T23" s="13">
        <v>1</v>
      </c>
      <c r="U23" s="13" t="str">
        <v>前10名</v>
      </c>
      <c r="V23" s="13"/>
      <c r="W23" s="13">
        <v>0</v>
      </c>
      <c r="X23" s="49">
        <f>SUM(N23:N46)+W23</f>
      </c>
      <c r="Y23" s="13">
        <f>X23*7</f>
      </c>
    </row>
    <row customHeight="true" ht="27" r="24">
      <c r="A24" s="13"/>
      <c r="B24" s="48" t="str">
        <v>WEEK22</v>
      </c>
      <c r="C24" s="13">
        <v>79.99</v>
      </c>
      <c r="D24" s="51">
        <v>0</v>
      </c>
      <c r="E24" s="16">
        <v>0</v>
      </c>
      <c r="F24" s="49">
        <f>SUM(C24*(1-D24-E24))</f>
      </c>
      <c r="G24" s="13">
        <f>J24*R24</f>
      </c>
      <c r="H24" s="13">
        <f>J24*Q24</f>
      </c>
      <c r="I24" s="13">
        <f>SUM(G24:H24)</f>
      </c>
      <c r="J24" s="13">
        <v>7</v>
      </c>
      <c r="K24" s="49">
        <f>'CPC表格'!V25</f>
      </c>
      <c r="L24" s="49">
        <f>SUM(H24*-K24)</f>
      </c>
      <c r="M24" s="49">
        <f>'毛利盈亏'!T24</f>
      </c>
      <c r="N24" s="49">
        <f>SUM(L24:M24)</f>
      </c>
      <c r="O24" s="13">
        <v>220</v>
      </c>
      <c r="P24" s="50">
        <v>70</v>
      </c>
      <c r="Q24" s="50">
        <v>25</v>
      </c>
      <c r="R24" s="50">
        <f>SUM(P24-Q24)</f>
      </c>
      <c r="S24" s="52">
        <f>SUM(L24/J24)</f>
      </c>
      <c r="T24" s="13">
        <v>1</v>
      </c>
      <c r="U24" s="13" t="str">
        <v>前10名</v>
      </c>
      <c r="V24" s="13"/>
      <c r="W24" s="13">
        <v>0</v>
      </c>
      <c r="X24" s="49">
        <f>SUM(N24:N47)+W24</f>
      </c>
      <c r="Y24" s="13">
        <f>X24*7</f>
      </c>
    </row>
    <row customHeight="true" ht="27" r="25">
      <c r="A25" s="13"/>
      <c r="B25" s="48" t="str">
        <v>WEEK23</v>
      </c>
      <c r="C25" s="13">
        <v>79.99</v>
      </c>
      <c r="D25" s="51">
        <v>0</v>
      </c>
      <c r="E25" s="16">
        <v>0</v>
      </c>
      <c r="F25" s="49">
        <f>SUM(C25*(1-D25-E25))</f>
      </c>
      <c r="G25" s="13">
        <f>J25*R25</f>
      </c>
      <c r="H25" s="13">
        <f>J25*Q25</f>
      </c>
      <c r="I25" s="13">
        <f>SUM(G25:H25)</f>
      </c>
      <c r="J25" s="13">
        <v>7</v>
      </c>
      <c r="K25" s="49">
        <f>'CPC表格'!V26</f>
      </c>
      <c r="L25" s="49">
        <f>SUM(H25*-K25)</f>
      </c>
      <c r="M25" s="49">
        <f>'毛利盈亏'!T25</f>
      </c>
      <c r="N25" s="49">
        <f>SUM(L25:M25)</f>
      </c>
      <c r="O25" s="13">
        <v>240</v>
      </c>
      <c r="P25" s="50">
        <v>70</v>
      </c>
      <c r="Q25" s="50">
        <v>25</v>
      </c>
      <c r="R25" s="50">
        <f>SUM(P25-Q25)</f>
      </c>
      <c r="S25" s="52">
        <f>SUM(L25/J25)</f>
      </c>
      <c r="T25" s="13">
        <v>1</v>
      </c>
      <c r="U25" s="13" t="str">
        <v>前10名</v>
      </c>
      <c r="V25" s="13"/>
      <c r="W25" s="13">
        <v>0</v>
      </c>
      <c r="X25" s="49">
        <f>SUM(N25:N48)+W25</f>
      </c>
      <c r="Y25" s="13">
        <f>X25*7</f>
      </c>
    </row>
    <row customHeight="true" ht="27" r="26">
      <c r="A26" s="13"/>
      <c r="B26" s="48" t="str">
        <v>WEEK24</v>
      </c>
      <c r="C26" s="13">
        <v>79.99</v>
      </c>
      <c r="D26" s="51">
        <v>0</v>
      </c>
      <c r="E26" s="16">
        <v>0</v>
      </c>
      <c r="F26" s="49">
        <f>SUM(C26*(1-D26-E26))</f>
      </c>
      <c r="G26" s="13">
        <f>J26*R26</f>
      </c>
      <c r="H26" s="13">
        <f>J26*Q26</f>
      </c>
      <c r="I26" s="13">
        <f>SUM(G26:H26)</f>
      </c>
      <c r="J26" s="13">
        <v>7</v>
      </c>
      <c r="K26" s="49">
        <f>'CPC表格'!V27</f>
      </c>
      <c r="L26" s="49">
        <f>SUM(H26*-K26)</f>
      </c>
      <c r="M26" s="49">
        <f>'毛利盈亏'!T26</f>
      </c>
      <c r="N26" s="49">
        <f>SUM(L26:M26)</f>
      </c>
      <c r="O26" s="13">
        <v>260</v>
      </c>
      <c r="P26" s="50">
        <v>70</v>
      </c>
      <c r="Q26" s="50">
        <v>25</v>
      </c>
      <c r="R26" s="50">
        <f>SUM(P26-Q26)</f>
      </c>
      <c r="S26" s="52">
        <f>SUM(L26/J26)</f>
      </c>
      <c r="T26" s="13">
        <v>1</v>
      </c>
      <c r="U26" s="13" t="str">
        <v>前5名</v>
      </c>
      <c r="V26" s="13"/>
      <c r="W26" s="13">
        <v>0</v>
      </c>
      <c r="X26" s="49">
        <f>SUM(N26:N49)+W26</f>
      </c>
      <c r="Y26" s="13">
        <f>X26*7</f>
      </c>
    </row>
    <row customHeight="true" ht="32" r="27">
      <c r="A27" s="1"/>
      <c r="B27" s="1"/>
      <c r="C27" s="1"/>
      <c r="D27" s="1"/>
      <c r="E27" s="1"/>
      <c r="F27" s="1"/>
      <c r="G27" s="1"/>
      <c r="H27" s="1"/>
      <c r="I27" s="1"/>
      <c r="J27" s="1"/>
      <c r="K27" s="1"/>
      <c r="L27" s="1"/>
      <c r="M27" s="1"/>
      <c r="N27" s="1"/>
      <c r="O27" s="1"/>
      <c r="P27" s="1"/>
      <c r="Q27" s="1"/>
      <c r="R27" s="1"/>
      <c r="S27" s="1"/>
      <c r="T27" s="1"/>
      <c r="U27" s="1"/>
      <c r="V27" s="1"/>
      <c r="W27" s="1"/>
      <c r="X27" s="1"/>
      <c r="Y27" s="1"/>
    </row>
    <row customHeight="true" ht="32" r="28">
      <c r="A28" s="18" t="str">
        <v>阶段盈亏真实数据</v>
      </c>
      <c r="B28" s="18"/>
      <c r="C28" s="18"/>
      <c r="D28" s="18"/>
      <c r="E28" s="18"/>
      <c r="F28" s="66"/>
      <c r="G28" s="18"/>
      <c r="H28" s="18"/>
      <c r="I28" s="18"/>
      <c r="J28" s="18"/>
      <c r="K28" s="18"/>
      <c r="L28" s="18"/>
      <c r="M28" s="18"/>
      <c r="N28" s="18"/>
      <c r="O28" s="18"/>
      <c r="P28" s="18"/>
      <c r="Q28" s="18"/>
      <c r="R28" s="18"/>
      <c r="S28" s="18"/>
      <c r="T28" s="18"/>
      <c r="U28" s="18"/>
      <c r="V28" s="18"/>
      <c r="W28" s="18"/>
      <c r="X28" s="18"/>
      <c r="Y28" s="18"/>
    </row>
    <row customHeight="true" ht="27" r="29">
      <c r="A29" s="61" t="str">
        <v>第一阶段</v>
      </c>
      <c r="B29" s="70" t="str">
        <v>第1周</v>
      </c>
      <c r="C29" s="61"/>
      <c r="D29" s="67"/>
      <c r="E29" s="72"/>
      <c r="F29" s="71"/>
      <c r="G29" s="61"/>
      <c r="H29" s="61"/>
      <c r="I29" s="61"/>
      <c r="J29" s="61"/>
      <c r="K29" s="56"/>
      <c r="L29" s="56"/>
      <c r="M29" s="56"/>
      <c r="N29" s="56"/>
      <c r="O29" s="61"/>
      <c r="P29" s="68"/>
      <c r="Q29" s="68"/>
      <c r="R29" s="68"/>
      <c r="S29" s="69"/>
      <c r="T29" s="61"/>
      <c r="U29" s="61"/>
      <c r="V29" s="61"/>
      <c r="W29" s="61"/>
      <c r="X29" s="56"/>
      <c r="Y29" s="61"/>
    </row>
    <row customHeight="true" ht="27" r="30">
      <c r="A30" s="13"/>
      <c r="B30" s="48" t="str">
        <v>第2周</v>
      </c>
      <c r="C30" s="13"/>
      <c r="D30" s="51"/>
      <c r="E30" s="16"/>
      <c r="F30" s="14"/>
      <c r="G30" s="13"/>
      <c r="H30" s="13"/>
      <c r="I30" s="13"/>
      <c r="J30" s="13"/>
      <c r="K30" s="49"/>
      <c r="L30" s="49"/>
      <c r="M30" s="49"/>
      <c r="N30" s="49"/>
      <c r="O30" s="13"/>
      <c r="P30" s="50"/>
      <c r="Q30" s="50"/>
      <c r="R30" s="50"/>
      <c r="S30" s="52"/>
      <c r="T30" s="13"/>
      <c r="U30" s="13"/>
      <c r="V30" s="13"/>
      <c r="W30" s="13"/>
      <c r="X30" s="49"/>
      <c r="Y30" s="13"/>
    </row>
    <row customHeight="true" ht="27" r="31">
      <c r="A31" s="13"/>
      <c r="B31" s="48" t="str">
        <v>第3周</v>
      </c>
      <c r="C31" s="13"/>
      <c r="D31" s="51"/>
      <c r="E31" s="16"/>
      <c r="F31" s="14"/>
      <c r="G31" s="13"/>
      <c r="H31" s="13"/>
      <c r="I31" s="13"/>
      <c r="J31" s="13"/>
      <c r="K31" s="49"/>
      <c r="L31" s="49"/>
      <c r="M31" s="49"/>
      <c r="N31" s="49"/>
      <c r="O31" s="13"/>
      <c r="P31" s="50"/>
      <c r="Q31" s="50"/>
      <c r="R31" s="50"/>
      <c r="S31" s="52"/>
      <c r="T31" s="13"/>
      <c r="U31" s="13"/>
      <c r="V31" s="13"/>
      <c r="W31" s="13"/>
      <c r="X31" s="49"/>
      <c r="Y31" s="13"/>
    </row>
    <row customHeight="true" ht="27" r="32">
      <c r="A32" s="13"/>
      <c r="B32" s="48" t="str">
        <v>第4周</v>
      </c>
      <c r="C32" s="13"/>
      <c r="D32" s="51"/>
      <c r="E32" s="16"/>
      <c r="F32" s="14"/>
      <c r="G32" s="13"/>
      <c r="H32" s="13"/>
      <c r="I32" s="13"/>
      <c r="J32" s="13"/>
      <c r="K32" s="49"/>
      <c r="L32" s="49"/>
      <c r="M32" s="49"/>
      <c r="N32" s="49"/>
      <c r="O32" s="13"/>
      <c r="P32" s="50"/>
      <c r="Q32" s="50"/>
      <c r="R32" s="50"/>
      <c r="S32" s="52"/>
      <c r="T32" s="13"/>
      <c r="U32" s="13"/>
      <c r="V32" s="13"/>
      <c r="W32" s="13"/>
      <c r="X32" s="49"/>
      <c r="Y32" s="13"/>
    </row>
    <row customHeight="true" ht="27" r="33">
      <c r="A33" s="13" t="str">
        <v>第二阶段</v>
      </c>
      <c r="B33" s="48" t="str">
        <v>第5周</v>
      </c>
      <c r="C33" s="13"/>
      <c r="D33" s="51"/>
      <c r="E33" s="16"/>
      <c r="F33" s="14"/>
      <c r="G33" s="13"/>
      <c r="H33" s="13"/>
      <c r="I33" s="13"/>
      <c r="J33" s="13"/>
      <c r="K33" s="49"/>
      <c r="L33" s="49"/>
      <c r="M33" s="49"/>
      <c r="N33" s="49"/>
      <c r="O33" s="13"/>
      <c r="P33" s="50"/>
      <c r="Q33" s="50"/>
      <c r="R33" s="50"/>
      <c r="S33" s="52"/>
      <c r="T33" s="13"/>
      <c r="U33" s="13"/>
      <c r="V33" s="13"/>
      <c r="W33" s="13"/>
      <c r="X33" s="49"/>
      <c r="Y33" s="13"/>
    </row>
    <row customHeight="true" ht="27" r="34">
      <c r="A34" s="13"/>
      <c r="B34" s="48" t="str">
        <v>第6周</v>
      </c>
      <c r="C34" s="13"/>
      <c r="D34" s="51"/>
      <c r="E34" s="16"/>
      <c r="F34" s="14"/>
      <c r="G34" s="13"/>
      <c r="H34" s="13"/>
      <c r="I34" s="13"/>
      <c r="J34" s="13"/>
      <c r="K34" s="49"/>
      <c r="L34" s="49"/>
      <c r="M34" s="49"/>
      <c r="N34" s="49"/>
      <c r="O34" s="13"/>
      <c r="P34" s="50"/>
      <c r="Q34" s="50"/>
      <c r="R34" s="50"/>
      <c r="S34" s="52"/>
      <c r="T34" s="13"/>
      <c r="U34" s="13"/>
      <c r="V34" s="13"/>
      <c r="W34" s="13"/>
      <c r="X34" s="49"/>
      <c r="Y34" s="13"/>
    </row>
    <row customHeight="true" ht="27" r="35">
      <c r="A35" s="13"/>
      <c r="B35" s="48" t="str">
        <v>第7周</v>
      </c>
      <c r="C35" s="13"/>
      <c r="D35" s="51"/>
      <c r="E35" s="16"/>
      <c r="F35" s="14"/>
      <c r="G35" s="13"/>
      <c r="H35" s="13"/>
      <c r="I35" s="13"/>
      <c r="J35" s="13"/>
      <c r="K35" s="49"/>
      <c r="L35" s="49"/>
      <c r="M35" s="49"/>
      <c r="N35" s="49"/>
      <c r="O35" s="13"/>
      <c r="P35" s="50"/>
      <c r="Q35" s="50"/>
      <c r="R35" s="50"/>
      <c r="S35" s="52"/>
      <c r="T35" s="13"/>
      <c r="U35" s="13"/>
      <c r="V35" s="13"/>
      <c r="W35" s="13"/>
      <c r="X35" s="49"/>
      <c r="Y35" s="13"/>
    </row>
    <row customHeight="true" ht="27" r="36">
      <c r="A36" s="13"/>
      <c r="B36" s="48" t="str">
        <v>第8周</v>
      </c>
      <c r="C36" s="13"/>
      <c r="D36" s="51"/>
      <c r="E36" s="16"/>
      <c r="F36" s="14"/>
      <c r="G36" s="13"/>
      <c r="H36" s="13"/>
      <c r="I36" s="13"/>
      <c r="J36" s="13"/>
      <c r="K36" s="49"/>
      <c r="L36" s="49"/>
      <c r="M36" s="49"/>
      <c r="N36" s="49"/>
      <c r="O36" s="13"/>
      <c r="P36" s="50"/>
      <c r="Q36" s="50"/>
      <c r="R36" s="50"/>
      <c r="S36" s="52"/>
      <c r="T36" s="13"/>
      <c r="U36" s="13"/>
      <c r="V36" s="13"/>
      <c r="W36" s="13"/>
      <c r="X36" s="49"/>
      <c r="Y36" s="13"/>
    </row>
    <row customHeight="true" ht="27" r="37">
      <c r="A37" s="13" t="str">
        <v>第三阶段</v>
      </c>
      <c r="B37" s="48" t="str">
        <v>第9周</v>
      </c>
      <c r="C37" s="13"/>
      <c r="D37" s="51"/>
      <c r="E37" s="16"/>
      <c r="F37" s="14"/>
      <c r="G37" s="13"/>
      <c r="H37" s="13"/>
      <c r="I37" s="13"/>
      <c r="J37" s="13"/>
      <c r="K37" s="49"/>
      <c r="L37" s="49"/>
      <c r="M37" s="49"/>
      <c r="N37" s="49"/>
      <c r="O37" s="13"/>
      <c r="P37" s="50"/>
      <c r="Q37" s="50"/>
      <c r="R37" s="50"/>
      <c r="S37" s="52"/>
      <c r="T37" s="13"/>
      <c r="U37" s="13"/>
      <c r="V37" s="13"/>
      <c r="W37" s="13"/>
      <c r="X37" s="49"/>
      <c r="Y37" s="13"/>
    </row>
    <row customHeight="true" ht="27" r="38">
      <c r="A38" s="13"/>
      <c r="B38" s="48" t="str">
        <v>第10周</v>
      </c>
      <c r="C38" s="13"/>
      <c r="D38" s="51"/>
      <c r="E38" s="16"/>
      <c r="F38" s="14"/>
      <c r="G38" s="13"/>
      <c r="H38" s="13"/>
      <c r="I38" s="13"/>
      <c r="J38" s="13"/>
      <c r="K38" s="49"/>
      <c r="L38" s="49"/>
      <c r="M38" s="49"/>
      <c r="N38" s="49"/>
      <c r="O38" s="13"/>
      <c r="P38" s="50"/>
      <c r="Q38" s="50"/>
      <c r="R38" s="50"/>
      <c r="S38" s="52"/>
      <c r="T38" s="13"/>
      <c r="U38" s="13"/>
      <c r="V38" s="13"/>
      <c r="W38" s="13"/>
      <c r="X38" s="49"/>
      <c r="Y38" s="13"/>
    </row>
    <row customHeight="true" ht="27" r="39">
      <c r="A39" s="13"/>
      <c r="B39" s="48" t="str">
        <v>第11周</v>
      </c>
      <c r="C39" s="13"/>
      <c r="D39" s="51"/>
      <c r="E39" s="16"/>
      <c r="F39" s="14"/>
      <c r="G39" s="13"/>
      <c r="H39" s="13"/>
      <c r="I39" s="13"/>
      <c r="J39" s="13"/>
      <c r="K39" s="49"/>
      <c r="L39" s="49"/>
      <c r="M39" s="49"/>
      <c r="N39" s="49"/>
      <c r="O39" s="13"/>
      <c r="P39" s="50"/>
      <c r="Q39" s="50"/>
      <c r="R39" s="50"/>
      <c r="S39" s="52"/>
      <c r="T39" s="13"/>
      <c r="U39" s="13"/>
      <c r="V39" s="13"/>
      <c r="W39" s="13"/>
      <c r="X39" s="49"/>
      <c r="Y39" s="13"/>
    </row>
    <row customHeight="true" ht="27" r="40">
      <c r="A40" s="13"/>
      <c r="B40" s="48" t="str">
        <v>第12周</v>
      </c>
      <c r="C40" s="13"/>
      <c r="D40" s="51"/>
      <c r="E40" s="16"/>
      <c r="F40" s="14"/>
      <c r="G40" s="13"/>
      <c r="H40" s="13"/>
      <c r="I40" s="13"/>
      <c r="J40" s="13"/>
      <c r="K40" s="49"/>
      <c r="L40" s="49"/>
      <c r="M40" s="49"/>
      <c r="N40" s="49"/>
      <c r="O40" s="13"/>
      <c r="P40" s="50"/>
      <c r="Q40" s="50"/>
      <c r="R40" s="50"/>
      <c r="S40" s="52"/>
      <c r="T40" s="13"/>
      <c r="U40" s="13"/>
      <c r="V40" s="13"/>
      <c r="W40" s="13"/>
      <c r="X40" s="49"/>
      <c r="Y40" s="13"/>
    </row>
    <row customHeight="true" ht="27" r="41">
      <c r="A41" s="13" t="str">
        <v>第四阶段</v>
      </c>
      <c r="B41" s="48" t="str">
        <v>第13周</v>
      </c>
      <c r="C41" s="13"/>
      <c r="D41" s="51"/>
      <c r="E41" s="16"/>
      <c r="F41" s="14"/>
      <c r="G41" s="13"/>
      <c r="H41" s="13"/>
      <c r="I41" s="13"/>
      <c r="J41" s="13"/>
      <c r="K41" s="49"/>
      <c r="L41" s="49"/>
      <c r="M41" s="49"/>
      <c r="N41" s="49"/>
      <c r="O41" s="13"/>
      <c r="P41" s="50"/>
      <c r="Q41" s="50"/>
      <c r="R41" s="50"/>
      <c r="S41" s="52"/>
      <c r="T41" s="13"/>
      <c r="U41" s="13"/>
      <c r="V41" s="13"/>
      <c r="W41" s="13"/>
      <c r="X41" s="49"/>
      <c r="Y41" s="13"/>
    </row>
    <row customHeight="true" ht="27" r="42">
      <c r="A42" s="13"/>
      <c r="B42" s="48" t="str">
        <v>第14周</v>
      </c>
      <c r="C42" s="13"/>
      <c r="D42" s="51"/>
      <c r="E42" s="16"/>
      <c r="F42" s="14"/>
      <c r="G42" s="13"/>
      <c r="H42" s="13"/>
      <c r="I42" s="13"/>
      <c r="J42" s="13"/>
      <c r="K42" s="49"/>
      <c r="L42" s="49"/>
      <c r="M42" s="49"/>
      <c r="N42" s="49"/>
      <c r="O42" s="13"/>
      <c r="P42" s="50"/>
      <c r="Q42" s="50"/>
      <c r="R42" s="50"/>
      <c r="S42" s="52"/>
      <c r="T42" s="13"/>
      <c r="U42" s="13"/>
      <c r="V42" s="13"/>
      <c r="W42" s="13"/>
      <c r="X42" s="49"/>
      <c r="Y42" s="13"/>
    </row>
    <row customHeight="true" ht="27" r="43">
      <c r="A43" s="13"/>
      <c r="B43" s="48" t="str">
        <v>第15周</v>
      </c>
      <c r="C43" s="13"/>
      <c r="D43" s="51"/>
      <c r="E43" s="16"/>
      <c r="F43" s="14"/>
      <c r="G43" s="13"/>
      <c r="H43" s="13"/>
      <c r="I43" s="13"/>
      <c r="J43" s="13"/>
      <c r="K43" s="49"/>
      <c r="L43" s="49"/>
      <c r="M43" s="49"/>
      <c r="N43" s="49"/>
      <c r="O43" s="13"/>
      <c r="P43" s="50"/>
      <c r="Q43" s="50"/>
      <c r="R43" s="50"/>
      <c r="S43" s="52"/>
      <c r="T43" s="13"/>
      <c r="U43" s="13"/>
      <c r="V43" s="13"/>
      <c r="W43" s="13"/>
      <c r="X43" s="49"/>
      <c r="Y43" s="13"/>
    </row>
    <row customHeight="true" ht="27" r="44">
      <c r="A44" s="13"/>
      <c r="B44" s="48" t="str">
        <v>第16周</v>
      </c>
      <c r="C44" s="13"/>
      <c r="D44" s="51"/>
      <c r="E44" s="16"/>
      <c r="F44" s="14"/>
      <c r="G44" s="13"/>
      <c r="H44" s="13"/>
      <c r="I44" s="13"/>
      <c r="J44" s="13"/>
      <c r="K44" s="49"/>
      <c r="L44" s="49"/>
      <c r="M44" s="49"/>
      <c r="N44" s="49"/>
      <c r="O44" s="13"/>
      <c r="P44" s="50"/>
      <c r="Q44" s="50"/>
      <c r="R44" s="50"/>
      <c r="S44" s="52"/>
      <c r="T44" s="13"/>
      <c r="U44" s="13"/>
      <c r="V44" s="13"/>
      <c r="W44" s="13"/>
      <c r="X44" s="49"/>
      <c r="Y44" s="13"/>
    </row>
    <row customHeight="true" ht="27" r="45">
      <c r="A45" s="13" t="str">
        <v>第五阶段</v>
      </c>
      <c r="B45" s="48" t="str">
        <v>第17周</v>
      </c>
      <c r="C45" s="13"/>
      <c r="D45" s="51"/>
      <c r="E45" s="16"/>
      <c r="F45" s="14"/>
      <c r="G45" s="13"/>
      <c r="H45" s="13"/>
      <c r="I45" s="13"/>
      <c r="J45" s="13"/>
      <c r="K45" s="49"/>
      <c r="L45" s="49"/>
      <c r="M45" s="49"/>
      <c r="N45" s="49"/>
      <c r="O45" s="13"/>
      <c r="P45" s="50"/>
      <c r="Q45" s="50"/>
      <c r="R45" s="50"/>
      <c r="S45" s="52"/>
      <c r="T45" s="13"/>
      <c r="U45" s="13"/>
      <c r="V45" s="13"/>
      <c r="W45" s="13"/>
      <c r="X45" s="49"/>
      <c r="Y45" s="13"/>
    </row>
    <row customHeight="true" ht="27" r="46">
      <c r="A46" s="13"/>
      <c r="B46" s="48" t="str">
        <v>第18周</v>
      </c>
      <c r="C46" s="13"/>
      <c r="D46" s="51"/>
      <c r="E46" s="16"/>
      <c r="F46" s="14"/>
      <c r="G46" s="13"/>
      <c r="H46" s="13"/>
      <c r="I46" s="13"/>
      <c r="J46" s="13"/>
      <c r="K46" s="49"/>
      <c r="L46" s="49"/>
      <c r="M46" s="49"/>
      <c r="N46" s="49"/>
      <c r="O46" s="13"/>
      <c r="P46" s="50"/>
      <c r="Q46" s="50"/>
      <c r="R46" s="50"/>
      <c r="S46" s="52"/>
      <c r="T46" s="13"/>
      <c r="U46" s="13"/>
      <c r="V46" s="13"/>
      <c r="W46" s="13"/>
      <c r="X46" s="49"/>
      <c r="Y46" s="13"/>
    </row>
    <row customHeight="true" ht="27" r="47">
      <c r="A47" s="13"/>
      <c r="B47" s="48" t="str">
        <v>第19周</v>
      </c>
      <c r="C47" s="13"/>
      <c r="D47" s="51"/>
      <c r="E47" s="16"/>
      <c r="F47" s="14"/>
      <c r="G47" s="13"/>
      <c r="H47" s="13"/>
      <c r="I47" s="13"/>
      <c r="J47" s="13"/>
      <c r="K47" s="49"/>
      <c r="L47" s="49"/>
      <c r="M47" s="49"/>
      <c r="N47" s="49"/>
      <c r="O47" s="13"/>
      <c r="P47" s="50"/>
      <c r="Q47" s="50"/>
      <c r="R47" s="50"/>
      <c r="S47" s="52"/>
      <c r="T47" s="13"/>
      <c r="U47" s="13"/>
      <c r="V47" s="13"/>
      <c r="W47" s="13"/>
      <c r="X47" s="49"/>
      <c r="Y47" s="13"/>
    </row>
    <row customHeight="true" ht="27" r="48">
      <c r="A48" s="13"/>
      <c r="B48" s="48" t="str">
        <v>第20周</v>
      </c>
      <c r="C48" s="13"/>
      <c r="D48" s="51"/>
      <c r="E48" s="16"/>
      <c r="F48" s="14"/>
      <c r="G48" s="13"/>
      <c r="H48" s="13"/>
      <c r="I48" s="13"/>
      <c r="J48" s="13"/>
      <c r="K48" s="49"/>
      <c r="L48" s="49"/>
      <c r="M48" s="49"/>
      <c r="N48" s="49"/>
      <c r="O48" s="13"/>
      <c r="P48" s="50"/>
      <c r="Q48" s="50"/>
      <c r="R48" s="50"/>
      <c r="S48" s="52"/>
      <c r="T48" s="13"/>
      <c r="U48" s="13"/>
      <c r="V48" s="13"/>
      <c r="W48" s="13"/>
      <c r="X48" s="49"/>
      <c r="Y48" s="13"/>
    </row>
    <row customHeight="true" ht="27" r="49">
      <c r="A49" s="13" t="str">
        <v>第六阶段</v>
      </c>
      <c r="B49" s="48" t="str">
        <v>第21周</v>
      </c>
      <c r="C49" s="13"/>
      <c r="D49" s="51"/>
      <c r="E49" s="16"/>
      <c r="F49" s="14"/>
      <c r="G49" s="13"/>
      <c r="H49" s="13"/>
      <c r="I49" s="13"/>
      <c r="J49" s="13"/>
      <c r="K49" s="49"/>
      <c r="L49" s="49"/>
      <c r="M49" s="49"/>
      <c r="N49" s="49"/>
      <c r="O49" s="13"/>
      <c r="P49" s="50"/>
      <c r="Q49" s="50"/>
      <c r="R49" s="50"/>
      <c r="S49" s="52"/>
      <c r="T49" s="13"/>
      <c r="U49" s="13"/>
      <c r="V49" s="13"/>
      <c r="W49" s="13"/>
      <c r="X49" s="49"/>
      <c r="Y49" s="13"/>
    </row>
    <row customHeight="true" ht="27" r="50">
      <c r="A50" s="13"/>
      <c r="B50" s="48" t="str">
        <v>第22周</v>
      </c>
      <c r="C50" s="13"/>
      <c r="D50" s="51"/>
      <c r="E50" s="16"/>
      <c r="F50" s="14"/>
      <c r="G50" s="13"/>
      <c r="H50" s="13"/>
      <c r="I50" s="13"/>
      <c r="J50" s="13"/>
      <c r="K50" s="49"/>
      <c r="L50" s="49"/>
      <c r="M50" s="49"/>
      <c r="N50" s="49"/>
      <c r="O50" s="13"/>
      <c r="P50" s="50"/>
      <c r="Q50" s="50"/>
      <c r="R50" s="50"/>
      <c r="S50" s="52"/>
      <c r="T50" s="13"/>
      <c r="U50" s="13"/>
      <c r="V50" s="13"/>
      <c r="W50" s="13"/>
      <c r="X50" s="49"/>
      <c r="Y50" s="13"/>
    </row>
    <row customHeight="true" ht="27" r="51">
      <c r="A51" s="13"/>
      <c r="B51" s="48" t="str">
        <v>第23周</v>
      </c>
      <c r="C51" s="13"/>
      <c r="D51" s="51"/>
      <c r="E51" s="16"/>
      <c r="F51" s="14"/>
      <c r="G51" s="13"/>
      <c r="H51" s="13"/>
      <c r="I51" s="13"/>
      <c r="J51" s="13"/>
      <c r="K51" s="49"/>
      <c r="L51" s="49"/>
      <c r="M51" s="49"/>
      <c r="N51" s="49"/>
      <c r="O51" s="13"/>
      <c r="P51" s="50"/>
      <c r="Q51" s="50"/>
      <c r="R51" s="50"/>
      <c r="S51" s="52"/>
      <c r="T51" s="13"/>
      <c r="U51" s="13"/>
      <c r="V51" s="13"/>
      <c r="W51" s="13"/>
      <c r="X51" s="49"/>
      <c r="Y51" s="13"/>
    </row>
    <row customHeight="true" ht="27" r="52">
      <c r="A52" s="13"/>
      <c r="B52" s="48" t="str">
        <v>第24周</v>
      </c>
      <c r="C52" s="13"/>
      <c r="D52" s="51"/>
      <c r="E52" s="16"/>
      <c r="F52" s="14"/>
      <c r="G52" s="13"/>
      <c r="H52" s="13"/>
      <c r="I52" s="13"/>
      <c r="J52" s="13"/>
      <c r="K52" s="49"/>
      <c r="L52" s="49"/>
      <c r="M52" s="49"/>
      <c r="N52" s="49"/>
      <c r="O52" s="13"/>
      <c r="P52" s="50"/>
      <c r="Q52" s="50"/>
      <c r="R52" s="50"/>
      <c r="S52" s="52"/>
      <c r="T52" s="13"/>
      <c r="U52" s="13"/>
      <c r="V52" s="13"/>
      <c r="W52" s="13"/>
      <c r="X52" s="49"/>
      <c r="Y52" s="13"/>
    </row>
    <row r="53">
      <c r="A53" s="13"/>
      <c r="B53" s="48"/>
      <c r="C53" s="13"/>
      <c r="D53" s="51"/>
      <c r="E53" s="16"/>
      <c r="F53" s="14"/>
      <c r="G53" s="13"/>
      <c r="H53" s="13"/>
      <c r="I53" s="13"/>
      <c r="J53" s="13"/>
      <c r="K53" s="49"/>
      <c r="L53" s="49"/>
      <c r="M53" s="49"/>
      <c r="N53" s="49"/>
      <c r="O53" s="13"/>
      <c r="P53" s="50"/>
      <c r="Q53" s="50"/>
      <c r="R53" s="50"/>
      <c r="S53" s="52"/>
      <c r="T53" s="13"/>
      <c r="U53" s="13"/>
      <c r="V53" s="13"/>
      <c r="W53" s="13"/>
      <c r="X53" s="49"/>
      <c r="Y53" s="13"/>
    </row>
    <row r="54">
      <c r="A54" s="13"/>
      <c r="B54" s="48"/>
      <c r="C54" s="13"/>
      <c r="D54" s="51"/>
      <c r="E54" s="16"/>
      <c r="F54" s="14"/>
      <c r="G54" s="13"/>
      <c r="H54" s="13"/>
      <c r="I54" s="13"/>
      <c r="J54" s="13"/>
      <c r="K54" s="49"/>
      <c r="L54" s="49"/>
      <c r="M54" s="49"/>
      <c r="N54" s="49"/>
      <c r="O54" s="13"/>
      <c r="P54" s="50"/>
      <c r="Q54" s="50"/>
      <c r="R54" s="50"/>
      <c r="S54" s="52"/>
      <c r="T54" s="13"/>
      <c r="U54" s="13"/>
      <c r="V54" s="13"/>
      <c r="W54" s="13"/>
      <c r="X54" s="49"/>
      <c r="Y54" s="13"/>
    </row>
    <row r="55">
      <c r="A55" s="13"/>
      <c r="B55" s="48"/>
      <c r="C55" s="13"/>
      <c r="D55" s="51"/>
      <c r="E55" s="16"/>
      <c r="F55" s="14"/>
      <c r="G55" s="13"/>
      <c r="H55" s="13"/>
      <c r="I55" s="13"/>
      <c r="J55" s="13"/>
      <c r="K55" s="49"/>
      <c r="L55" s="49"/>
      <c r="M55" s="49"/>
      <c r="N55" s="49"/>
      <c r="O55" s="13"/>
      <c r="P55" s="50"/>
      <c r="Q55" s="50"/>
      <c r="R55" s="50"/>
      <c r="S55" s="52"/>
      <c r="T55" s="13"/>
      <c r="U55" s="13"/>
      <c r="V55" s="13"/>
      <c r="W55" s="13"/>
      <c r="X55" s="49"/>
      <c r="Y55" s="13"/>
    </row>
    <row r="56">
      <c r="A56" s="13"/>
      <c r="B56" s="48"/>
      <c r="C56" s="13"/>
      <c r="D56" s="51"/>
      <c r="E56" s="16"/>
      <c r="F56" s="14"/>
      <c r="G56" s="13"/>
      <c r="H56" s="13"/>
      <c r="I56" s="13"/>
      <c r="J56" s="13"/>
      <c r="K56" s="49"/>
      <c r="L56" s="49"/>
      <c r="M56" s="49"/>
      <c r="N56" s="49"/>
      <c r="O56" s="13"/>
      <c r="P56" s="50"/>
      <c r="Q56" s="50"/>
      <c r="R56" s="50"/>
      <c r="S56" s="52"/>
      <c r="T56" s="13"/>
      <c r="U56" s="13"/>
      <c r="V56" s="13"/>
      <c r="W56" s="13"/>
      <c r="X56" s="49"/>
      <c r="Y56" s="13"/>
    </row>
    <row r="57">
      <c r="A57" s="13"/>
      <c r="B57" s="48"/>
      <c r="C57" s="13"/>
      <c r="D57" s="51"/>
      <c r="E57" s="16"/>
      <c r="F57" s="14"/>
      <c r="G57" s="13"/>
      <c r="H57" s="13"/>
      <c r="I57" s="13"/>
      <c r="J57" s="13"/>
      <c r="K57" s="49"/>
      <c r="L57" s="49"/>
      <c r="M57" s="49"/>
      <c r="N57" s="49"/>
      <c r="O57" s="13"/>
      <c r="P57" s="50"/>
      <c r="Q57" s="50"/>
      <c r="R57" s="50"/>
      <c r="S57" s="52"/>
      <c r="T57" s="13"/>
      <c r="U57" s="13"/>
      <c r="V57" s="13"/>
      <c r="W57" s="13"/>
      <c r="X57" s="49"/>
      <c r="Y57" s="13"/>
    </row>
    <row r="58">
      <c r="A58" s="13"/>
      <c r="B58" s="48"/>
      <c r="C58" s="13"/>
      <c r="D58" s="51"/>
      <c r="E58" s="16"/>
      <c r="F58" s="14"/>
      <c r="G58" s="13"/>
      <c r="H58" s="13"/>
      <c r="I58" s="13"/>
      <c r="J58" s="13"/>
      <c r="K58" s="49"/>
      <c r="L58" s="49"/>
      <c r="M58" s="49"/>
      <c r="N58" s="49"/>
      <c r="O58" s="13"/>
      <c r="P58" s="50"/>
      <c r="Q58" s="50"/>
      <c r="R58" s="50"/>
      <c r="S58" s="52"/>
      <c r="T58" s="13"/>
      <c r="U58" s="13"/>
      <c r="V58" s="13"/>
      <c r="W58" s="13"/>
      <c r="X58" s="49"/>
      <c r="Y58" s="13"/>
    </row>
    <row r="59">
      <c r="A59" s="13"/>
      <c r="B59" s="48"/>
      <c r="C59" s="13"/>
      <c r="D59" s="51"/>
      <c r="E59" s="16"/>
      <c r="F59" s="14"/>
      <c r="G59" s="13"/>
      <c r="H59" s="13"/>
      <c r="I59" s="13"/>
      <c r="J59" s="13"/>
      <c r="K59" s="49"/>
      <c r="L59" s="49"/>
      <c r="M59" s="49"/>
      <c r="N59" s="49"/>
      <c r="O59" s="13"/>
      <c r="P59" s="50"/>
      <c r="Q59" s="50"/>
      <c r="R59" s="50"/>
      <c r="S59" s="52"/>
      <c r="T59" s="13"/>
      <c r="U59" s="13"/>
      <c r="V59" s="13"/>
      <c r="W59" s="13"/>
      <c r="X59" s="49"/>
      <c r="Y59" s="13"/>
    </row>
    <row r="60">
      <c r="A60" s="13"/>
      <c r="B60" s="48"/>
      <c r="C60" s="13"/>
      <c r="D60" s="51"/>
      <c r="E60" s="16"/>
      <c r="F60" s="14"/>
      <c r="G60" s="13"/>
      <c r="H60" s="13"/>
      <c r="I60" s="13"/>
      <c r="J60" s="13"/>
      <c r="K60" s="49"/>
      <c r="L60" s="49"/>
      <c r="M60" s="49"/>
      <c r="N60" s="49"/>
      <c r="O60" s="13"/>
      <c r="P60" s="50"/>
      <c r="Q60" s="50"/>
      <c r="R60" s="50"/>
      <c r="S60" s="52"/>
      <c r="T60" s="13"/>
      <c r="U60" s="13"/>
      <c r="V60" s="13"/>
      <c r="W60" s="13"/>
      <c r="X60" s="49"/>
      <c r="Y60" s="13"/>
    </row>
    <row r="61">
      <c r="A61" s="13"/>
      <c r="B61" s="48"/>
      <c r="C61" s="13"/>
      <c r="D61" s="51"/>
      <c r="E61" s="16"/>
      <c r="F61" s="14"/>
      <c r="G61" s="13"/>
      <c r="H61" s="13"/>
      <c r="I61" s="13"/>
      <c r="J61" s="13"/>
      <c r="K61" s="49"/>
      <c r="L61" s="49"/>
      <c r="M61" s="49"/>
      <c r="N61" s="49"/>
      <c r="O61" s="13"/>
      <c r="P61" s="50"/>
      <c r="Q61" s="50"/>
      <c r="R61" s="50"/>
      <c r="S61" s="52"/>
      <c r="T61" s="13"/>
      <c r="U61" s="13"/>
      <c r="V61" s="13"/>
      <c r="W61" s="13"/>
      <c r="X61" s="49"/>
      <c r="Y61" s="13"/>
    </row>
    <row r="62">
      <c r="A62" s="13"/>
      <c r="B62" s="48"/>
      <c r="C62" s="13"/>
      <c r="D62" s="51"/>
      <c r="E62" s="16"/>
      <c r="F62" s="14"/>
      <c r="G62" s="13"/>
      <c r="H62" s="13"/>
      <c r="I62" s="13"/>
      <c r="J62" s="13"/>
      <c r="K62" s="49"/>
      <c r="L62" s="49"/>
      <c r="M62" s="49"/>
      <c r="N62" s="49"/>
      <c r="O62" s="13"/>
      <c r="P62" s="50"/>
      <c r="Q62" s="50"/>
      <c r="R62" s="50"/>
      <c r="S62" s="52"/>
      <c r="T62" s="13"/>
      <c r="U62" s="13"/>
      <c r="V62" s="13"/>
      <c r="W62" s="13"/>
      <c r="X62" s="49"/>
      <c r="Y62" s="13"/>
    </row>
    <row r="63">
      <c r="A63" s="13"/>
      <c r="B63" s="48"/>
      <c r="C63" s="13"/>
      <c r="D63" s="51"/>
      <c r="E63" s="16"/>
      <c r="F63" s="14"/>
      <c r="G63" s="13"/>
      <c r="H63" s="13"/>
      <c r="I63" s="13"/>
      <c r="J63" s="13"/>
      <c r="K63" s="49"/>
      <c r="L63" s="49"/>
      <c r="M63" s="49"/>
      <c r="N63" s="49"/>
      <c r="O63" s="13"/>
      <c r="P63" s="50"/>
      <c r="Q63" s="50"/>
      <c r="R63" s="50"/>
      <c r="S63" s="52"/>
      <c r="T63" s="13"/>
      <c r="U63" s="13"/>
      <c r="V63" s="13"/>
      <c r="W63" s="13"/>
      <c r="X63" s="49"/>
      <c r="Y63" s="13"/>
    </row>
    <row r="64">
      <c r="A64" s="13"/>
      <c r="B64" s="48"/>
      <c r="C64" s="13"/>
      <c r="D64" s="51"/>
      <c r="E64" s="16"/>
      <c r="F64" s="14"/>
      <c r="G64" s="13"/>
      <c r="H64" s="13"/>
      <c r="I64" s="13"/>
      <c r="J64" s="13"/>
      <c r="K64" s="49"/>
      <c r="L64" s="49"/>
      <c r="M64" s="49"/>
      <c r="N64" s="49"/>
      <c r="O64" s="13"/>
      <c r="P64" s="50"/>
      <c r="Q64" s="50"/>
      <c r="R64" s="50"/>
      <c r="S64" s="52"/>
      <c r="T64" s="13"/>
      <c r="U64" s="13"/>
      <c r="V64" s="13"/>
      <c r="W64" s="13"/>
      <c r="X64" s="49"/>
      <c r="Y64" s="13"/>
    </row>
    <row r="65">
      <c r="A65" s="13"/>
      <c r="B65" s="48"/>
      <c r="C65" s="13"/>
      <c r="D65" s="51"/>
      <c r="E65" s="16"/>
      <c r="F65" s="14"/>
      <c r="G65" s="13"/>
      <c r="H65" s="13"/>
      <c r="I65" s="13"/>
      <c r="J65" s="13"/>
      <c r="K65" s="49"/>
      <c r="L65" s="49"/>
      <c r="M65" s="49"/>
      <c r="N65" s="49"/>
      <c r="O65" s="13"/>
      <c r="P65" s="50"/>
      <c r="Q65" s="50"/>
      <c r="R65" s="50"/>
      <c r="S65" s="52"/>
      <c r="T65" s="13"/>
      <c r="U65" s="13"/>
      <c r="V65" s="13"/>
      <c r="W65" s="13"/>
      <c r="X65" s="49"/>
      <c r="Y65" s="13"/>
    </row>
    <row r="66">
      <c r="A66" s="13"/>
      <c r="B66" s="48"/>
      <c r="C66" s="13"/>
      <c r="D66" s="51"/>
      <c r="E66" s="16"/>
      <c r="F66" s="14"/>
      <c r="G66" s="13"/>
      <c r="H66" s="13"/>
      <c r="I66" s="13"/>
      <c r="J66" s="13"/>
      <c r="K66" s="49"/>
      <c r="L66" s="49"/>
      <c r="M66" s="49"/>
      <c r="N66" s="49"/>
      <c r="O66" s="13"/>
      <c r="P66" s="50"/>
      <c r="Q66" s="50"/>
      <c r="R66" s="50"/>
      <c r="S66" s="52"/>
      <c r="T66" s="13"/>
      <c r="U66" s="13"/>
      <c r="V66" s="13"/>
      <c r="W66" s="13"/>
      <c r="X66" s="49"/>
      <c r="Y66" s="13"/>
    </row>
    <row r="67">
      <c r="A67" s="13"/>
      <c r="B67" s="48"/>
      <c r="C67" s="13"/>
      <c r="D67" s="51"/>
      <c r="E67" s="16"/>
      <c r="F67" s="14"/>
      <c r="G67" s="13"/>
      <c r="H67" s="13"/>
      <c r="I67" s="13"/>
      <c r="J67" s="13"/>
      <c r="K67" s="49"/>
      <c r="L67" s="49"/>
      <c r="M67" s="49"/>
      <c r="N67" s="49"/>
      <c r="O67" s="13"/>
      <c r="P67" s="50"/>
      <c r="Q67" s="50"/>
      <c r="R67" s="50"/>
      <c r="S67" s="52"/>
      <c r="T67" s="13"/>
      <c r="U67" s="13"/>
      <c r="V67" s="13"/>
      <c r="W67" s="13"/>
      <c r="X67" s="49"/>
      <c r="Y67" s="13"/>
    </row>
    <row r="68">
      <c r="A68" s="13"/>
      <c r="B68" s="48"/>
      <c r="C68" s="13"/>
      <c r="D68" s="51"/>
      <c r="E68" s="16"/>
      <c r="F68" s="14"/>
      <c r="G68" s="13"/>
      <c r="H68" s="13"/>
      <c r="I68" s="13"/>
      <c r="J68" s="13"/>
      <c r="K68" s="49"/>
      <c r="L68" s="49"/>
      <c r="M68" s="49"/>
      <c r="N68" s="49"/>
      <c r="O68" s="13"/>
      <c r="P68" s="50"/>
      <c r="Q68" s="50"/>
      <c r="R68" s="50"/>
      <c r="S68" s="52"/>
      <c r="T68" s="13"/>
      <c r="U68" s="13"/>
      <c r="V68" s="13"/>
      <c r="W68" s="13"/>
      <c r="X68" s="49"/>
      <c r="Y68" s="13"/>
    </row>
    <row r="69">
      <c r="A69" s="13"/>
      <c r="B69" s="48"/>
      <c r="C69" s="13"/>
      <c r="D69" s="51"/>
      <c r="E69" s="16"/>
      <c r="F69" s="14"/>
      <c r="G69" s="13"/>
      <c r="H69" s="13"/>
      <c r="I69" s="13"/>
      <c r="J69" s="13"/>
      <c r="K69" s="49"/>
      <c r="L69" s="49"/>
      <c r="M69" s="49"/>
      <c r="N69" s="49"/>
      <c r="O69" s="13"/>
      <c r="P69" s="50"/>
      <c r="Q69" s="50"/>
      <c r="R69" s="50"/>
      <c r="S69" s="52"/>
      <c r="T69" s="13"/>
      <c r="U69" s="13"/>
      <c r="V69" s="13"/>
      <c r="W69" s="13"/>
      <c r="X69" s="49"/>
      <c r="Y69" s="13"/>
    </row>
    <row r="70">
      <c r="A70" s="13"/>
      <c r="B70" s="48"/>
      <c r="C70" s="13"/>
      <c r="D70" s="51"/>
      <c r="E70" s="16"/>
      <c r="F70" s="14"/>
      <c r="G70" s="13"/>
      <c r="H70" s="13"/>
      <c r="I70" s="13"/>
      <c r="J70" s="13"/>
      <c r="K70" s="49"/>
      <c r="L70" s="49"/>
      <c r="M70" s="49"/>
      <c r="N70" s="49"/>
      <c r="O70" s="13"/>
      <c r="P70" s="50"/>
      <c r="Q70" s="50"/>
      <c r="R70" s="50"/>
      <c r="S70" s="52"/>
      <c r="T70" s="13"/>
      <c r="U70" s="13"/>
      <c r="V70" s="13"/>
      <c r="W70" s="13"/>
      <c r="X70" s="49"/>
      <c r="Y70" s="13"/>
    </row>
    <row r="71">
      <c r="A71" s="13"/>
      <c r="B71" s="48"/>
      <c r="C71" s="13"/>
      <c r="D71" s="51"/>
      <c r="E71" s="16"/>
      <c r="F71" s="14"/>
      <c r="G71" s="13"/>
      <c r="H71" s="13"/>
      <c r="I71" s="13"/>
      <c r="J71" s="13"/>
      <c r="K71" s="49"/>
      <c r="L71" s="49"/>
      <c r="M71" s="49"/>
      <c r="N71" s="49"/>
      <c r="O71" s="13"/>
      <c r="P71" s="50"/>
      <c r="Q71" s="50"/>
      <c r="R71" s="50"/>
      <c r="S71" s="52"/>
      <c r="T71" s="13"/>
      <c r="U71" s="13"/>
      <c r="V71" s="13"/>
      <c r="W71" s="13"/>
      <c r="X71" s="49"/>
      <c r="Y71" s="13"/>
    </row>
    <row r="72">
      <c r="A72" s="13"/>
      <c r="B72" s="48"/>
      <c r="C72" s="13"/>
      <c r="D72" s="51"/>
      <c r="E72" s="16"/>
      <c r="F72" s="14"/>
      <c r="G72" s="13"/>
      <c r="H72" s="13"/>
      <c r="I72" s="13"/>
      <c r="J72" s="13"/>
      <c r="K72" s="49"/>
      <c r="L72" s="49"/>
      <c r="M72" s="49"/>
      <c r="N72" s="49"/>
      <c r="O72" s="13"/>
      <c r="P72" s="50"/>
      <c r="Q72" s="50"/>
      <c r="R72" s="50"/>
      <c r="S72" s="52"/>
      <c r="T72" s="13"/>
      <c r="U72" s="13"/>
      <c r="V72" s="13"/>
      <c r="W72" s="13"/>
      <c r="X72" s="49"/>
      <c r="Y72" s="13"/>
    </row>
    <row r="73">
      <c r="A73" s="13"/>
      <c r="B73" s="48"/>
      <c r="C73" s="13"/>
      <c r="D73" s="51"/>
      <c r="E73" s="16"/>
      <c r="F73" s="14"/>
      <c r="G73" s="13"/>
      <c r="H73" s="13"/>
      <c r="I73" s="13"/>
      <c r="J73" s="13"/>
      <c r="K73" s="49"/>
      <c r="L73" s="49"/>
      <c r="M73" s="49"/>
      <c r="N73" s="49"/>
      <c r="O73" s="13"/>
      <c r="P73" s="50"/>
      <c r="Q73" s="50"/>
      <c r="R73" s="50"/>
      <c r="S73" s="52"/>
      <c r="T73" s="13"/>
      <c r="U73" s="13"/>
      <c r="V73" s="13"/>
      <c r="W73" s="13"/>
      <c r="X73" s="49"/>
      <c r="Y73" s="13"/>
    </row>
    <row r="74">
      <c r="A74" s="13"/>
      <c r="B74" s="48"/>
      <c r="C74" s="13"/>
      <c r="D74" s="51"/>
      <c r="E74" s="16"/>
      <c r="F74" s="14"/>
      <c r="G74" s="13"/>
      <c r="H74" s="13"/>
      <c r="I74" s="13"/>
      <c r="J74" s="13"/>
      <c r="K74" s="49"/>
      <c r="L74" s="49"/>
      <c r="M74" s="49"/>
      <c r="N74" s="49"/>
      <c r="O74" s="13"/>
      <c r="P74" s="50"/>
      <c r="Q74" s="50"/>
      <c r="R74" s="50"/>
      <c r="S74" s="52"/>
      <c r="T74" s="13"/>
      <c r="U74" s="13"/>
      <c r="V74" s="13"/>
      <c r="W74" s="13"/>
      <c r="X74" s="49"/>
      <c r="Y74" s="13"/>
    </row>
    <row r="75">
      <c r="A75" s="13"/>
      <c r="B75" s="48"/>
      <c r="C75" s="13"/>
      <c r="D75" s="51"/>
      <c r="E75" s="16"/>
      <c r="F75" s="14"/>
      <c r="G75" s="13"/>
      <c r="H75" s="13"/>
      <c r="I75" s="13"/>
      <c r="J75" s="13"/>
      <c r="K75" s="49"/>
      <c r="L75" s="49"/>
      <c r="M75" s="49"/>
      <c r="N75" s="49"/>
      <c r="O75" s="13"/>
      <c r="P75" s="50"/>
      <c r="Q75" s="50"/>
      <c r="R75" s="50"/>
      <c r="S75" s="52"/>
      <c r="T75" s="13"/>
      <c r="U75" s="13"/>
      <c r="V75" s="13"/>
      <c r="W75" s="13"/>
      <c r="X75" s="49"/>
      <c r="Y75" s="13"/>
    </row>
    <row r="76">
      <c r="A76" s="13"/>
      <c r="B76" s="48"/>
      <c r="C76" s="13"/>
      <c r="D76" s="51"/>
      <c r="E76" s="16"/>
      <c r="F76" s="14"/>
      <c r="G76" s="13"/>
      <c r="H76" s="13"/>
      <c r="I76" s="13"/>
      <c r="J76" s="13"/>
      <c r="K76" s="49"/>
      <c r="L76" s="49"/>
      <c r="M76" s="49"/>
      <c r="N76" s="49"/>
      <c r="O76" s="13"/>
      <c r="P76" s="50"/>
      <c r="Q76" s="50"/>
      <c r="R76" s="50"/>
      <c r="S76" s="52"/>
      <c r="T76" s="13"/>
      <c r="U76" s="13"/>
      <c r="V76" s="13"/>
      <c r="W76" s="13"/>
      <c r="X76" s="49"/>
      <c r="Y76" s="13"/>
    </row>
    <row r="77">
      <c r="A77" s="13"/>
      <c r="B77" s="48"/>
      <c r="C77" s="13"/>
      <c r="D77" s="51"/>
      <c r="E77" s="16"/>
      <c r="F77" s="14"/>
      <c r="G77" s="13"/>
      <c r="H77" s="13"/>
      <c r="I77" s="13"/>
      <c r="J77" s="13"/>
      <c r="K77" s="49"/>
      <c r="L77" s="49"/>
      <c r="M77" s="49"/>
      <c r="N77" s="49"/>
      <c r="O77" s="13"/>
      <c r="P77" s="50"/>
      <c r="Q77" s="50"/>
      <c r="R77" s="50"/>
      <c r="S77" s="52"/>
      <c r="T77" s="13"/>
      <c r="U77" s="13"/>
      <c r="V77" s="13"/>
      <c r="W77" s="13"/>
      <c r="X77" s="49"/>
      <c r="Y77" s="13"/>
    </row>
    <row r="78">
      <c r="A78" s="13"/>
      <c r="B78" s="48"/>
      <c r="C78" s="13"/>
      <c r="D78" s="51"/>
      <c r="E78" s="16"/>
      <c r="F78" s="14"/>
      <c r="G78" s="13"/>
      <c r="H78" s="13"/>
      <c r="I78" s="13"/>
      <c r="J78" s="13"/>
      <c r="K78" s="49"/>
      <c r="L78" s="49"/>
      <c r="M78" s="49"/>
      <c r="N78" s="49"/>
      <c r="O78" s="13"/>
      <c r="P78" s="50"/>
      <c r="Q78" s="50"/>
      <c r="R78" s="50"/>
      <c r="S78" s="52"/>
      <c r="T78" s="13"/>
      <c r="U78" s="13"/>
      <c r="V78" s="13"/>
      <c r="W78" s="13"/>
      <c r="X78" s="49"/>
      <c r="Y78" s="13"/>
    </row>
    <row r="79">
      <c r="A79" s="13"/>
      <c r="B79" s="48"/>
      <c r="C79" s="13"/>
      <c r="D79" s="51"/>
      <c r="E79" s="16"/>
      <c r="F79" s="14"/>
      <c r="G79" s="13"/>
      <c r="H79" s="13"/>
      <c r="I79" s="13"/>
      <c r="J79" s="13"/>
      <c r="K79" s="49"/>
      <c r="L79" s="49"/>
      <c r="M79" s="49"/>
      <c r="N79" s="49"/>
      <c r="O79" s="13"/>
      <c r="P79" s="50"/>
      <c r="Q79" s="50"/>
      <c r="R79" s="50"/>
      <c r="S79" s="52"/>
      <c r="T79" s="13"/>
      <c r="U79" s="13"/>
      <c r="V79" s="13"/>
      <c r="W79" s="13"/>
      <c r="X79" s="49"/>
      <c r="Y79" s="13"/>
    </row>
    <row r="80">
      <c r="A80" s="13"/>
      <c r="B80" s="48"/>
      <c r="C80" s="13"/>
      <c r="D80" s="51"/>
      <c r="E80" s="16"/>
      <c r="F80" s="14"/>
      <c r="G80" s="13"/>
      <c r="H80" s="13"/>
      <c r="I80" s="13"/>
      <c r="J80" s="13"/>
      <c r="K80" s="49"/>
      <c r="L80" s="49"/>
      <c r="M80" s="49"/>
      <c r="N80" s="49"/>
      <c r="O80" s="13"/>
      <c r="P80" s="50"/>
      <c r="Q80" s="50"/>
      <c r="R80" s="50"/>
      <c r="S80" s="52"/>
      <c r="T80" s="13"/>
      <c r="U80" s="13"/>
      <c r="V80" s="13"/>
      <c r="W80" s="13"/>
      <c r="X80" s="49"/>
      <c r="Y80" s="13"/>
    </row>
    <row r="81">
      <c r="A81" s="13"/>
      <c r="B81" s="48"/>
      <c r="C81" s="13"/>
      <c r="D81" s="51"/>
      <c r="E81" s="16"/>
      <c r="F81" s="14"/>
      <c r="G81" s="13"/>
      <c r="H81" s="13"/>
      <c r="I81" s="13"/>
      <c r="J81" s="13"/>
      <c r="K81" s="49"/>
      <c r="L81" s="49"/>
      <c r="M81" s="49"/>
      <c r="N81" s="49"/>
      <c r="O81" s="13"/>
      <c r="P81" s="50"/>
      <c r="Q81" s="50"/>
      <c r="R81" s="50"/>
      <c r="S81" s="52"/>
      <c r="T81" s="13"/>
      <c r="U81" s="13"/>
      <c r="V81" s="13"/>
      <c r="W81" s="13"/>
      <c r="X81" s="49"/>
      <c r="Y81" s="13"/>
    </row>
    <row r="82">
      <c r="A82" s="13"/>
      <c r="B82" s="48"/>
      <c r="C82" s="13"/>
      <c r="D82" s="51"/>
      <c r="E82" s="16"/>
      <c r="F82" s="14"/>
      <c r="G82" s="13"/>
      <c r="H82" s="13"/>
      <c r="I82" s="13"/>
      <c r="J82" s="13"/>
      <c r="K82" s="49"/>
      <c r="L82" s="49"/>
      <c r="M82" s="49"/>
      <c r="N82" s="49"/>
      <c r="O82" s="13"/>
      <c r="P82" s="50"/>
      <c r="Q82" s="50"/>
      <c r="R82" s="50"/>
      <c r="S82" s="52"/>
      <c r="T82" s="13"/>
      <c r="U82" s="13"/>
      <c r="V82" s="13"/>
      <c r="W82" s="13"/>
      <c r="X82" s="49"/>
      <c r="Y82" s="13"/>
    </row>
    <row r="83">
      <c r="A83" s="13"/>
      <c r="B83" s="48"/>
      <c r="C83" s="13"/>
      <c r="D83" s="51"/>
      <c r="E83" s="16"/>
      <c r="F83" s="14"/>
      <c r="G83" s="13"/>
      <c r="H83" s="13"/>
      <c r="I83" s="13"/>
      <c r="J83" s="13"/>
      <c r="K83" s="49"/>
      <c r="L83" s="49"/>
      <c r="M83" s="49"/>
      <c r="N83" s="49"/>
      <c r="O83" s="13"/>
      <c r="P83" s="50"/>
      <c r="Q83" s="50"/>
      <c r="R83" s="50"/>
      <c r="S83" s="52"/>
      <c r="T83" s="13"/>
      <c r="U83" s="13"/>
      <c r="V83" s="13"/>
      <c r="W83" s="13"/>
      <c r="X83" s="49"/>
      <c r="Y83" s="13"/>
    </row>
    <row r="84">
      <c r="A84" s="13"/>
      <c r="B84" s="48"/>
      <c r="C84" s="13"/>
      <c r="D84" s="51"/>
      <c r="E84" s="16"/>
      <c r="F84" s="14"/>
      <c r="G84" s="13"/>
      <c r="H84" s="13"/>
      <c r="I84" s="13"/>
      <c r="J84" s="13"/>
      <c r="K84" s="49"/>
      <c r="L84" s="49"/>
      <c r="M84" s="49"/>
      <c r="N84" s="49"/>
      <c r="O84" s="13"/>
      <c r="P84" s="50"/>
      <c r="Q84" s="50"/>
      <c r="R84" s="50"/>
      <c r="S84" s="52"/>
      <c r="T84" s="13"/>
      <c r="U84" s="13"/>
      <c r="V84" s="13"/>
      <c r="W84" s="13"/>
      <c r="X84" s="49"/>
      <c r="Y84" s="13"/>
    </row>
    <row r="85">
      <c r="A85" s="13"/>
      <c r="B85" s="48"/>
      <c r="C85" s="13"/>
      <c r="D85" s="51"/>
      <c r="E85" s="16"/>
      <c r="F85" s="14"/>
      <c r="G85" s="13"/>
      <c r="H85" s="13"/>
      <c r="I85" s="13"/>
      <c r="J85" s="13"/>
      <c r="K85" s="49"/>
      <c r="L85" s="49"/>
      <c r="M85" s="49"/>
      <c r="N85" s="49"/>
      <c r="O85" s="13"/>
      <c r="P85" s="50"/>
      <c r="Q85" s="50"/>
      <c r="R85" s="50"/>
      <c r="S85" s="52"/>
      <c r="T85" s="13"/>
      <c r="U85" s="13"/>
      <c r="V85" s="13"/>
      <c r="W85" s="13"/>
      <c r="X85" s="49"/>
      <c r="Y85" s="13"/>
    </row>
    <row r="86">
      <c r="A86" s="13"/>
      <c r="B86" s="48"/>
      <c r="C86" s="13"/>
      <c r="D86" s="51"/>
      <c r="E86" s="16"/>
      <c r="F86" s="14"/>
      <c r="G86" s="13"/>
      <c r="H86" s="13"/>
      <c r="I86" s="13"/>
      <c r="J86" s="13"/>
      <c r="K86" s="49"/>
      <c r="L86" s="49"/>
      <c r="M86" s="49"/>
      <c r="N86" s="49"/>
      <c r="O86" s="13"/>
      <c r="P86" s="50"/>
      <c r="Q86" s="50"/>
      <c r="R86" s="50"/>
      <c r="S86" s="52"/>
      <c r="T86" s="13"/>
      <c r="U86" s="13"/>
      <c r="V86" s="13"/>
      <c r="W86" s="13"/>
      <c r="X86" s="49"/>
      <c r="Y86" s="13"/>
    </row>
    <row r="87">
      <c r="A87" s="13"/>
      <c r="B87" s="48"/>
      <c r="C87" s="13"/>
      <c r="D87" s="51"/>
      <c r="E87" s="16"/>
      <c r="F87" s="14"/>
      <c r="G87" s="13"/>
      <c r="H87" s="13"/>
      <c r="I87" s="13"/>
      <c r="J87" s="13"/>
      <c r="K87" s="49"/>
      <c r="L87" s="49"/>
      <c r="M87" s="49"/>
      <c r="N87" s="49"/>
      <c r="O87" s="13"/>
      <c r="P87" s="50"/>
      <c r="Q87" s="50"/>
      <c r="R87" s="50"/>
      <c r="S87" s="52"/>
      <c r="T87" s="13"/>
      <c r="U87" s="13"/>
      <c r="V87" s="13"/>
      <c r="W87" s="13"/>
      <c r="X87" s="49"/>
      <c r="Y87" s="13"/>
    </row>
    <row r="88">
      <c r="A88" s="13"/>
      <c r="B88" s="48"/>
      <c r="C88" s="13"/>
      <c r="D88" s="51"/>
      <c r="E88" s="16"/>
      <c r="F88" s="14"/>
      <c r="G88" s="13"/>
      <c r="H88" s="13"/>
      <c r="I88" s="13"/>
      <c r="J88" s="13"/>
      <c r="K88" s="49"/>
      <c r="L88" s="49"/>
      <c r="M88" s="49"/>
      <c r="N88" s="49"/>
      <c r="O88" s="13"/>
      <c r="P88" s="50"/>
      <c r="Q88" s="50"/>
      <c r="R88" s="50"/>
      <c r="S88" s="52"/>
      <c r="T88" s="13"/>
      <c r="U88" s="13"/>
      <c r="V88" s="13"/>
      <c r="W88" s="13"/>
      <c r="X88" s="49"/>
      <c r="Y88" s="13"/>
    </row>
    <row r="89">
      <c r="A89" s="13"/>
      <c r="B89" s="48"/>
      <c r="C89" s="13"/>
      <c r="D89" s="51"/>
      <c r="E89" s="16"/>
      <c r="F89" s="14"/>
      <c r="G89" s="13"/>
      <c r="H89" s="13"/>
      <c r="I89" s="13"/>
      <c r="J89" s="13"/>
      <c r="K89" s="49"/>
      <c r="L89" s="49"/>
      <c r="M89" s="49"/>
      <c r="N89" s="49"/>
      <c r="O89" s="13"/>
      <c r="P89" s="50"/>
      <c r="Q89" s="50"/>
      <c r="R89" s="50"/>
      <c r="S89" s="52"/>
      <c r="T89" s="13"/>
      <c r="U89" s="13"/>
      <c r="V89" s="13"/>
      <c r="W89" s="13"/>
      <c r="X89" s="49"/>
      <c r="Y89" s="13"/>
    </row>
    <row r="90">
      <c r="A90" s="13"/>
      <c r="B90" s="48"/>
      <c r="C90" s="13"/>
      <c r="D90" s="51"/>
      <c r="E90" s="16"/>
      <c r="F90" s="14"/>
      <c r="G90" s="13"/>
      <c r="H90" s="13"/>
      <c r="I90" s="13"/>
      <c r="J90" s="13"/>
      <c r="K90" s="49"/>
      <c r="L90" s="49"/>
      <c r="M90" s="49"/>
      <c r="N90" s="49"/>
      <c r="O90" s="13"/>
      <c r="P90" s="50"/>
      <c r="Q90" s="50"/>
      <c r="R90" s="50"/>
      <c r="S90" s="52"/>
      <c r="T90" s="13"/>
      <c r="U90" s="13"/>
      <c r="V90" s="13"/>
      <c r="W90" s="13"/>
      <c r="X90" s="49"/>
      <c r="Y90" s="13"/>
    </row>
    <row r="91">
      <c r="A91" s="13"/>
      <c r="B91" s="48"/>
      <c r="C91" s="13"/>
      <c r="D91" s="51"/>
      <c r="E91" s="16"/>
      <c r="F91" s="14"/>
      <c r="G91" s="13"/>
      <c r="H91" s="13"/>
      <c r="I91" s="13"/>
      <c r="J91" s="13"/>
      <c r="K91" s="49"/>
      <c r="L91" s="49"/>
      <c r="M91" s="49"/>
      <c r="N91" s="49"/>
      <c r="O91" s="13"/>
      <c r="P91" s="50"/>
      <c r="Q91" s="50"/>
      <c r="R91" s="50"/>
      <c r="S91" s="52"/>
      <c r="T91" s="13"/>
      <c r="U91" s="13"/>
      <c r="V91" s="13"/>
      <c r="W91" s="13"/>
      <c r="X91" s="49"/>
      <c r="Y91" s="13"/>
    </row>
    <row r="92">
      <c r="A92" s="13"/>
      <c r="B92" s="48"/>
      <c r="C92" s="13"/>
      <c r="D92" s="51"/>
      <c r="E92" s="16"/>
      <c r="F92" s="14"/>
      <c r="G92" s="13"/>
      <c r="H92" s="13"/>
      <c r="I92" s="13"/>
      <c r="J92" s="13"/>
      <c r="K92" s="49"/>
      <c r="L92" s="49"/>
      <c r="M92" s="49"/>
      <c r="N92" s="49"/>
      <c r="O92" s="13"/>
      <c r="P92" s="50"/>
      <c r="Q92" s="50"/>
      <c r="R92" s="50"/>
      <c r="S92" s="52"/>
      <c r="T92" s="13"/>
      <c r="U92" s="13"/>
      <c r="V92" s="13"/>
      <c r="W92" s="13"/>
      <c r="X92" s="49"/>
      <c r="Y92" s="13"/>
    </row>
    <row r="93">
      <c r="A93" s="13"/>
      <c r="B93" s="48"/>
      <c r="C93" s="13"/>
      <c r="D93" s="51"/>
      <c r="E93" s="16"/>
      <c r="F93" s="14"/>
      <c r="G93" s="13"/>
      <c r="H93" s="13"/>
      <c r="I93" s="13"/>
      <c r="J93" s="13"/>
      <c r="K93" s="49"/>
      <c r="L93" s="49"/>
      <c r="M93" s="49"/>
      <c r="N93" s="49"/>
      <c r="O93" s="13"/>
      <c r="P93" s="50"/>
      <c r="Q93" s="50"/>
      <c r="R93" s="50"/>
      <c r="S93" s="52"/>
      <c r="T93" s="13"/>
      <c r="U93" s="13"/>
      <c r="V93" s="13"/>
      <c r="W93" s="13"/>
      <c r="X93" s="49"/>
      <c r="Y93" s="13"/>
    </row>
    <row r="94">
      <c r="A94" s="13"/>
      <c r="B94" s="48"/>
      <c r="C94" s="13"/>
      <c r="D94" s="51"/>
      <c r="E94" s="16"/>
      <c r="F94" s="14"/>
      <c r="G94" s="13"/>
      <c r="H94" s="13"/>
      <c r="I94" s="13"/>
      <c r="J94" s="13"/>
      <c r="K94" s="49"/>
      <c r="L94" s="49"/>
      <c r="M94" s="49"/>
      <c r="N94" s="49"/>
      <c r="O94" s="13"/>
      <c r="P94" s="50"/>
      <c r="Q94" s="50"/>
      <c r="R94" s="50"/>
      <c r="S94" s="52"/>
      <c r="T94" s="13"/>
      <c r="U94" s="13"/>
      <c r="V94" s="13"/>
      <c r="W94" s="13"/>
      <c r="X94" s="49"/>
      <c r="Y94" s="13"/>
    </row>
    <row r="95">
      <c r="A95" s="13"/>
      <c r="B95" s="48"/>
      <c r="C95" s="13"/>
      <c r="D95" s="51"/>
      <c r="E95" s="16"/>
      <c r="F95" s="14"/>
      <c r="G95" s="13"/>
      <c r="H95" s="13"/>
      <c r="I95" s="13"/>
      <c r="J95" s="13"/>
      <c r="K95" s="49"/>
      <c r="L95" s="49"/>
      <c r="M95" s="49"/>
      <c r="N95" s="49"/>
      <c r="O95" s="13"/>
      <c r="P95" s="50"/>
      <c r="Q95" s="50"/>
      <c r="R95" s="50"/>
      <c r="S95" s="52"/>
      <c r="T95" s="13"/>
      <c r="U95" s="13"/>
      <c r="V95" s="13"/>
      <c r="W95" s="13"/>
      <c r="X95" s="49"/>
      <c r="Y95" s="13"/>
    </row>
    <row r="96">
      <c r="A96" s="13"/>
      <c r="B96" s="48"/>
      <c r="C96" s="13"/>
      <c r="D96" s="51"/>
      <c r="E96" s="16"/>
      <c r="F96" s="14"/>
      <c r="G96" s="13"/>
      <c r="H96" s="13"/>
      <c r="I96" s="13"/>
      <c r="J96" s="13"/>
      <c r="K96" s="49"/>
      <c r="L96" s="49"/>
      <c r="M96" s="49"/>
      <c r="N96" s="49"/>
      <c r="O96" s="13"/>
      <c r="P96" s="50"/>
      <c r="Q96" s="50"/>
      <c r="R96" s="50"/>
      <c r="S96" s="52"/>
      <c r="T96" s="13"/>
      <c r="U96" s="13"/>
      <c r="V96" s="13"/>
      <c r="W96" s="13"/>
      <c r="X96" s="49"/>
      <c r="Y96" s="13"/>
    </row>
    <row r="97">
      <c r="A97" s="13"/>
      <c r="B97" s="48"/>
      <c r="C97" s="13"/>
      <c r="D97" s="51"/>
      <c r="E97" s="16"/>
      <c r="F97" s="14"/>
      <c r="G97" s="13"/>
      <c r="H97" s="13"/>
      <c r="I97" s="13"/>
      <c r="J97" s="13"/>
      <c r="K97" s="49"/>
      <c r="L97" s="49"/>
      <c r="M97" s="49"/>
      <c r="N97" s="49"/>
      <c r="O97" s="13"/>
      <c r="P97" s="50"/>
      <c r="Q97" s="50"/>
      <c r="R97" s="50"/>
      <c r="S97" s="52"/>
      <c r="T97" s="13"/>
      <c r="U97" s="13"/>
      <c r="V97" s="13"/>
      <c r="W97" s="13"/>
      <c r="X97" s="49"/>
      <c r="Y97" s="13"/>
    </row>
    <row r="98">
      <c r="A98" s="13"/>
      <c r="B98" s="48"/>
      <c r="C98" s="13"/>
      <c r="D98" s="51"/>
      <c r="E98" s="16"/>
      <c r="F98" s="14"/>
      <c r="G98" s="13"/>
      <c r="H98" s="13"/>
      <c r="I98" s="13"/>
      <c r="J98" s="13"/>
      <c r="K98" s="49"/>
      <c r="L98" s="49"/>
      <c r="M98" s="49"/>
      <c r="N98" s="49"/>
      <c r="O98" s="13"/>
      <c r="P98" s="50"/>
      <c r="Q98" s="50"/>
      <c r="R98" s="50"/>
      <c r="S98" s="52"/>
      <c r="T98" s="13"/>
      <c r="U98" s="13"/>
      <c r="V98" s="13"/>
      <c r="W98" s="13"/>
      <c r="X98" s="49"/>
      <c r="Y98" s="13"/>
    </row>
    <row r="99">
      <c r="A99" s="13"/>
      <c r="B99" s="48"/>
      <c r="C99" s="13"/>
      <c r="D99" s="51"/>
      <c r="E99" s="16"/>
      <c r="F99" s="14"/>
      <c r="G99" s="13"/>
      <c r="H99" s="13"/>
      <c r="I99" s="13"/>
      <c r="J99" s="13"/>
      <c r="K99" s="49"/>
      <c r="L99" s="49"/>
      <c r="M99" s="49"/>
      <c r="N99" s="49"/>
      <c r="O99" s="13"/>
      <c r="P99" s="50"/>
      <c r="Q99" s="50"/>
      <c r="R99" s="50"/>
      <c r="S99" s="52"/>
      <c r="T99" s="13"/>
      <c r="U99" s="13"/>
      <c r="V99" s="13"/>
      <c r="W99" s="13"/>
      <c r="X99" s="49"/>
      <c r="Y99" s="13"/>
    </row>
    <row r="100">
      <c r="A100" s="13"/>
      <c r="B100" s="48"/>
      <c r="C100" s="13"/>
      <c r="D100" s="51"/>
      <c r="E100" s="16"/>
      <c r="F100" s="14"/>
      <c r="G100" s="13"/>
      <c r="H100" s="13"/>
      <c r="I100" s="13"/>
      <c r="J100" s="13"/>
      <c r="K100" s="49"/>
      <c r="L100" s="49"/>
      <c r="M100" s="49"/>
      <c r="N100" s="49"/>
      <c r="O100" s="13"/>
      <c r="P100" s="50"/>
      <c r="Q100" s="50"/>
      <c r="R100" s="50"/>
      <c r="S100" s="52"/>
      <c r="T100" s="13"/>
      <c r="U100" s="13"/>
      <c r="V100" s="13"/>
      <c r="W100" s="13"/>
      <c r="X100" s="49"/>
      <c r="Y100" s="13"/>
    </row>
    <row r="101">
      <c r="A101" s="13"/>
      <c r="B101" s="48"/>
      <c r="C101" s="13"/>
      <c r="D101" s="51"/>
      <c r="E101" s="16"/>
      <c r="F101" s="14"/>
      <c r="G101" s="13"/>
      <c r="H101" s="13"/>
      <c r="I101" s="13"/>
      <c r="J101" s="13"/>
      <c r="K101" s="49"/>
      <c r="L101" s="49"/>
      <c r="M101" s="49"/>
      <c r="N101" s="49"/>
      <c r="O101" s="13"/>
      <c r="P101" s="50"/>
      <c r="Q101" s="50"/>
      <c r="R101" s="50"/>
      <c r="S101" s="52"/>
      <c r="T101" s="13"/>
      <c r="U101" s="13"/>
      <c r="V101" s="13"/>
      <c r="W101" s="13"/>
      <c r="X101" s="49"/>
      <c r="Y101" s="13"/>
    </row>
    <row r="102">
      <c r="A102" s="13"/>
      <c r="B102" s="48"/>
      <c r="C102" s="13"/>
      <c r="D102" s="51"/>
      <c r="E102" s="16"/>
      <c r="F102" s="14"/>
      <c r="G102" s="13"/>
      <c r="H102" s="13"/>
      <c r="I102" s="13"/>
      <c r="J102" s="13"/>
      <c r="K102" s="49"/>
      <c r="L102" s="49"/>
      <c r="M102" s="49"/>
      <c r="N102" s="49"/>
      <c r="O102" s="13"/>
      <c r="P102" s="50"/>
      <c r="Q102" s="50"/>
      <c r="R102" s="50"/>
      <c r="S102" s="52"/>
      <c r="T102" s="13"/>
      <c r="U102" s="13"/>
      <c r="V102" s="13"/>
      <c r="W102" s="13"/>
      <c r="X102" s="49"/>
      <c r="Y102" s="13"/>
    </row>
    <row r="103">
      <c r="A103" s="13"/>
      <c r="B103" s="48"/>
      <c r="C103" s="13"/>
      <c r="D103" s="51"/>
      <c r="E103" s="16"/>
      <c r="F103" s="14"/>
      <c r="G103" s="13"/>
      <c r="H103" s="13"/>
      <c r="I103" s="13"/>
      <c r="J103" s="13"/>
      <c r="K103" s="49"/>
      <c r="L103" s="49"/>
      <c r="M103" s="49"/>
      <c r="N103" s="49"/>
      <c r="O103" s="13"/>
      <c r="P103" s="50"/>
      <c r="Q103" s="50"/>
      <c r="R103" s="50"/>
      <c r="S103" s="52"/>
      <c r="T103" s="13"/>
      <c r="U103" s="13"/>
      <c r="V103" s="13"/>
      <c r="W103" s="13"/>
      <c r="X103" s="49"/>
      <c r="Y103" s="13"/>
    </row>
    <row r="104">
      <c r="A104" s="13"/>
      <c r="B104" s="48"/>
      <c r="C104" s="13"/>
      <c r="D104" s="51"/>
      <c r="E104" s="16"/>
      <c r="F104" s="14"/>
      <c r="G104" s="13"/>
      <c r="H104" s="13"/>
      <c r="I104" s="13"/>
      <c r="J104" s="13"/>
      <c r="K104" s="49"/>
      <c r="L104" s="49"/>
      <c r="M104" s="49"/>
      <c r="N104" s="49"/>
      <c r="O104" s="13"/>
      <c r="P104" s="50"/>
      <c r="Q104" s="50"/>
      <c r="R104" s="50"/>
      <c r="S104" s="52"/>
      <c r="T104" s="13"/>
      <c r="U104" s="13"/>
      <c r="V104" s="13"/>
      <c r="W104" s="13"/>
      <c r="X104" s="49"/>
      <c r="Y104" s="13"/>
    </row>
    <row r="105">
      <c r="A105" s="13"/>
      <c r="B105" s="48"/>
      <c r="C105" s="13"/>
      <c r="D105" s="51"/>
      <c r="E105" s="16"/>
      <c r="F105" s="14"/>
      <c r="G105" s="13"/>
      <c r="H105" s="13"/>
      <c r="I105" s="13"/>
      <c r="J105" s="13"/>
      <c r="K105" s="49"/>
      <c r="L105" s="49"/>
      <c r="M105" s="49"/>
      <c r="N105" s="49"/>
      <c r="O105" s="13"/>
      <c r="P105" s="50"/>
      <c r="Q105" s="50"/>
      <c r="R105" s="50"/>
      <c r="S105" s="52"/>
      <c r="T105" s="13"/>
      <c r="U105" s="13"/>
      <c r="V105" s="13"/>
      <c r="W105" s="13"/>
      <c r="X105" s="49"/>
      <c r="Y105" s="13"/>
    </row>
    <row r="106">
      <c r="A106" s="13"/>
      <c r="B106" s="48"/>
      <c r="C106" s="13"/>
      <c r="D106" s="51"/>
      <c r="E106" s="16"/>
      <c r="F106" s="14"/>
      <c r="G106" s="13"/>
      <c r="H106" s="13"/>
      <c r="I106" s="13"/>
      <c r="J106" s="13"/>
      <c r="K106" s="49"/>
      <c r="L106" s="49"/>
      <c r="M106" s="49"/>
      <c r="N106" s="49"/>
      <c r="O106" s="13"/>
      <c r="P106" s="50"/>
      <c r="Q106" s="50"/>
      <c r="R106" s="50"/>
      <c r="S106" s="52"/>
      <c r="T106" s="13"/>
      <c r="U106" s="13"/>
      <c r="V106" s="13"/>
      <c r="W106" s="13"/>
      <c r="X106" s="49"/>
      <c r="Y106" s="13"/>
    </row>
    <row r="107">
      <c r="A107" s="13"/>
      <c r="B107" s="48"/>
      <c r="C107" s="13"/>
      <c r="D107" s="51"/>
      <c r="E107" s="16"/>
      <c r="F107" s="14"/>
      <c r="G107" s="13"/>
      <c r="H107" s="13"/>
      <c r="I107" s="13"/>
      <c r="J107" s="13"/>
      <c r="K107" s="49"/>
      <c r="L107" s="49"/>
      <c r="M107" s="49"/>
      <c r="N107" s="49"/>
      <c r="O107" s="13"/>
      <c r="P107" s="50"/>
      <c r="Q107" s="50"/>
      <c r="R107" s="50"/>
      <c r="S107" s="52"/>
      <c r="T107" s="13"/>
      <c r="U107" s="13"/>
      <c r="V107" s="13"/>
      <c r="W107" s="13"/>
      <c r="X107" s="49"/>
      <c r="Y107" s="13"/>
    </row>
    <row r="108">
      <c r="A108" s="13"/>
      <c r="B108" s="48"/>
      <c r="C108" s="13"/>
      <c r="D108" s="51"/>
      <c r="E108" s="16"/>
      <c r="F108" s="14"/>
      <c r="G108" s="13"/>
      <c r="H108" s="13"/>
      <c r="I108" s="13"/>
      <c r="J108" s="13"/>
      <c r="K108" s="49"/>
      <c r="L108" s="49"/>
      <c r="M108" s="49"/>
      <c r="N108" s="49"/>
      <c r="O108" s="13"/>
      <c r="P108" s="50"/>
      <c r="Q108" s="50"/>
      <c r="R108" s="50"/>
      <c r="S108" s="52"/>
      <c r="T108" s="13"/>
      <c r="U108" s="13"/>
      <c r="V108" s="13"/>
      <c r="W108" s="13"/>
      <c r="X108" s="49"/>
      <c r="Y108" s="13"/>
    </row>
    <row r="109">
      <c r="A109" s="13"/>
      <c r="B109" s="48"/>
      <c r="C109" s="13"/>
      <c r="D109" s="51"/>
      <c r="E109" s="16"/>
      <c r="F109" s="14"/>
      <c r="G109" s="13"/>
      <c r="H109" s="13"/>
      <c r="I109" s="13"/>
      <c r="J109" s="13"/>
      <c r="K109" s="49"/>
      <c r="L109" s="49"/>
      <c r="M109" s="49"/>
      <c r="N109" s="49"/>
      <c r="O109" s="13"/>
      <c r="P109" s="50"/>
      <c r="Q109" s="50"/>
      <c r="R109" s="50"/>
      <c r="S109" s="52"/>
      <c r="T109" s="13"/>
      <c r="U109" s="13"/>
      <c r="V109" s="13"/>
      <c r="W109" s="13"/>
      <c r="X109" s="49"/>
      <c r="Y109" s="13"/>
    </row>
    <row r="110">
      <c r="A110" s="13"/>
      <c r="B110" s="48"/>
      <c r="C110" s="13"/>
      <c r="D110" s="51"/>
      <c r="E110" s="16"/>
      <c r="F110" s="14"/>
      <c r="G110" s="13"/>
      <c r="H110" s="13"/>
      <c r="I110" s="13"/>
      <c r="J110" s="13"/>
      <c r="K110" s="49"/>
      <c r="L110" s="49"/>
      <c r="M110" s="49"/>
      <c r="N110" s="49"/>
      <c r="O110" s="13"/>
      <c r="P110" s="50"/>
      <c r="Q110" s="50"/>
      <c r="R110" s="50"/>
      <c r="S110" s="52"/>
      <c r="T110" s="13"/>
      <c r="U110" s="13"/>
      <c r="V110" s="13"/>
      <c r="W110" s="13"/>
      <c r="X110" s="49"/>
      <c r="Y110" s="13"/>
    </row>
    <row r="111">
      <c r="A111" s="13"/>
      <c r="B111" s="48"/>
      <c r="C111" s="13"/>
      <c r="D111" s="51"/>
      <c r="E111" s="16"/>
      <c r="F111" s="14"/>
      <c r="G111" s="13"/>
      <c r="H111" s="13"/>
      <c r="I111" s="13"/>
      <c r="J111" s="13"/>
      <c r="K111" s="49"/>
      <c r="L111" s="49"/>
      <c r="M111" s="49"/>
      <c r="N111" s="49"/>
      <c r="O111" s="13"/>
      <c r="P111" s="50"/>
      <c r="Q111" s="50"/>
      <c r="R111" s="50"/>
      <c r="S111" s="52"/>
      <c r="T111" s="13"/>
      <c r="U111" s="13"/>
      <c r="V111" s="13"/>
      <c r="W111" s="13"/>
      <c r="X111" s="49"/>
      <c r="Y111" s="13"/>
    </row>
    <row r="112">
      <c r="A112" s="13"/>
      <c r="B112" s="48"/>
      <c r="C112" s="13"/>
      <c r="D112" s="51"/>
      <c r="E112" s="16"/>
      <c r="F112" s="14"/>
      <c r="G112" s="13"/>
      <c r="H112" s="13"/>
      <c r="I112" s="13"/>
      <c r="J112" s="13"/>
      <c r="K112" s="49"/>
      <c r="L112" s="49"/>
      <c r="M112" s="49"/>
      <c r="N112" s="49"/>
      <c r="O112" s="13"/>
      <c r="P112" s="50"/>
      <c r="Q112" s="50"/>
      <c r="R112" s="50"/>
      <c r="S112" s="52"/>
      <c r="T112" s="13"/>
      <c r="U112" s="13"/>
      <c r="V112" s="13"/>
      <c r="W112" s="13"/>
      <c r="X112" s="49"/>
      <c r="Y112" s="13"/>
    </row>
    <row r="113">
      <c r="A113" s="13"/>
      <c r="B113" s="48"/>
      <c r="C113" s="13"/>
      <c r="D113" s="51"/>
      <c r="E113" s="16"/>
      <c r="F113" s="14"/>
      <c r="G113" s="13"/>
      <c r="H113" s="13"/>
      <c r="I113" s="13"/>
      <c r="J113" s="13"/>
      <c r="K113" s="49"/>
      <c r="L113" s="49"/>
      <c r="M113" s="49"/>
      <c r="N113" s="49"/>
      <c r="O113" s="13"/>
      <c r="P113" s="50"/>
      <c r="Q113" s="50"/>
      <c r="R113" s="50"/>
      <c r="S113" s="52"/>
      <c r="T113" s="13"/>
      <c r="U113" s="13"/>
      <c r="V113" s="13"/>
      <c r="W113" s="13"/>
      <c r="X113" s="49"/>
      <c r="Y113" s="13"/>
    </row>
    <row r="114">
      <c r="A114" s="13"/>
      <c r="B114" s="48"/>
      <c r="C114" s="13"/>
      <c r="D114" s="51"/>
      <c r="E114" s="16"/>
      <c r="F114" s="14"/>
      <c r="G114" s="13"/>
      <c r="H114" s="13"/>
      <c r="I114" s="13"/>
      <c r="J114" s="13"/>
      <c r="K114" s="49"/>
      <c r="L114" s="49"/>
      <c r="M114" s="49"/>
      <c r="N114" s="49"/>
      <c r="O114" s="13"/>
      <c r="P114" s="50"/>
      <c r="Q114" s="50"/>
      <c r="R114" s="50"/>
      <c r="S114" s="52"/>
      <c r="T114" s="13"/>
      <c r="U114" s="13"/>
      <c r="V114" s="13"/>
      <c r="W114" s="13"/>
      <c r="X114" s="49"/>
      <c r="Y114" s="13"/>
    </row>
    <row r="115">
      <c r="A115" s="13"/>
      <c r="B115" s="48"/>
      <c r="C115" s="13"/>
      <c r="D115" s="51"/>
      <c r="E115" s="16"/>
      <c r="F115" s="14"/>
      <c r="G115" s="13"/>
      <c r="H115" s="13"/>
      <c r="I115" s="13"/>
      <c r="J115" s="13"/>
      <c r="K115" s="49"/>
      <c r="L115" s="49"/>
      <c r="M115" s="49"/>
      <c r="N115" s="49"/>
      <c r="O115" s="13"/>
      <c r="P115" s="50"/>
      <c r="Q115" s="50"/>
      <c r="R115" s="50"/>
      <c r="S115" s="52"/>
      <c r="T115" s="13"/>
      <c r="U115" s="13"/>
      <c r="V115" s="13"/>
      <c r="W115" s="13"/>
      <c r="X115" s="49"/>
      <c r="Y115" s="13"/>
    </row>
    <row r="116">
      <c r="A116" s="13"/>
      <c r="B116" s="48"/>
      <c r="C116" s="13"/>
      <c r="D116" s="51"/>
      <c r="E116" s="16"/>
      <c r="F116" s="14"/>
      <c r="G116" s="13"/>
      <c r="H116" s="13"/>
      <c r="I116" s="13"/>
      <c r="J116" s="13"/>
      <c r="K116" s="49"/>
      <c r="L116" s="49"/>
      <c r="M116" s="49"/>
      <c r="N116" s="49"/>
      <c r="O116" s="13"/>
      <c r="P116" s="50"/>
      <c r="Q116" s="50"/>
      <c r="R116" s="50"/>
      <c r="S116" s="52"/>
      <c r="T116" s="13"/>
      <c r="U116" s="13"/>
      <c r="V116" s="13"/>
      <c r="W116" s="13"/>
      <c r="X116" s="49"/>
      <c r="Y116" s="13"/>
    </row>
    <row r="117">
      <c r="A117" s="13"/>
      <c r="B117" s="48"/>
      <c r="C117" s="13"/>
      <c r="D117" s="51"/>
      <c r="E117" s="16"/>
      <c r="F117" s="14"/>
      <c r="G117" s="13"/>
      <c r="H117" s="13"/>
      <c r="I117" s="13"/>
      <c r="J117" s="13"/>
      <c r="K117" s="49"/>
      <c r="L117" s="49"/>
      <c r="M117" s="49"/>
      <c r="N117" s="49"/>
      <c r="O117" s="13"/>
      <c r="P117" s="50"/>
      <c r="Q117" s="50"/>
      <c r="R117" s="50"/>
      <c r="S117" s="52"/>
      <c r="T117" s="13"/>
      <c r="U117" s="13"/>
      <c r="V117" s="13"/>
      <c r="W117" s="13"/>
      <c r="X117" s="49"/>
      <c r="Y117" s="13"/>
    </row>
    <row r="118">
      <c r="A118" s="13"/>
      <c r="B118" s="48"/>
      <c r="C118" s="13"/>
      <c r="D118" s="51"/>
      <c r="E118" s="16"/>
      <c r="F118" s="14"/>
      <c r="G118" s="13"/>
      <c r="H118" s="13"/>
      <c r="I118" s="13"/>
      <c r="J118" s="13"/>
      <c r="K118" s="49"/>
      <c r="L118" s="49"/>
      <c r="M118" s="49"/>
      <c r="N118" s="49"/>
      <c r="O118" s="13"/>
      <c r="P118" s="50"/>
      <c r="Q118" s="50"/>
      <c r="R118" s="50"/>
      <c r="S118" s="52"/>
      <c r="T118" s="13"/>
      <c r="U118" s="13"/>
      <c r="V118" s="13"/>
      <c r="W118" s="13"/>
      <c r="X118" s="49"/>
      <c r="Y118" s="13"/>
    </row>
    <row r="119">
      <c r="A119" s="13"/>
      <c r="B119" s="48"/>
      <c r="C119" s="13"/>
      <c r="D119" s="51"/>
      <c r="E119" s="16"/>
      <c r="F119" s="14"/>
      <c r="G119" s="13"/>
      <c r="H119" s="13"/>
      <c r="I119" s="13"/>
      <c r="J119" s="13"/>
      <c r="K119" s="49"/>
      <c r="L119" s="49"/>
      <c r="M119" s="49"/>
      <c r="N119" s="49"/>
      <c r="O119" s="13"/>
      <c r="P119" s="50"/>
      <c r="Q119" s="50"/>
      <c r="R119" s="50"/>
      <c r="S119" s="52"/>
      <c r="T119" s="13"/>
      <c r="U119" s="13"/>
      <c r="V119" s="13"/>
      <c r="W119" s="13"/>
      <c r="X119" s="49"/>
      <c r="Y119" s="13"/>
    </row>
    <row r="120">
      <c r="A120" s="13"/>
      <c r="B120" s="48"/>
      <c r="C120" s="13"/>
      <c r="D120" s="51"/>
      <c r="E120" s="16"/>
      <c r="F120" s="14"/>
      <c r="G120" s="13"/>
      <c r="H120" s="13"/>
      <c r="I120" s="13"/>
      <c r="J120" s="13"/>
      <c r="K120" s="49"/>
      <c r="L120" s="49"/>
      <c r="M120" s="49"/>
      <c r="N120" s="49"/>
      <c r="O120" s="13"/>
      <c r="P120" s="50"/>
      <c r="Q120" s="50"/>
      <c r="R120" s="50"/>
      <c r="S120" s="52"/>
      <c r="T120" s="13"/>
      <c r="U120" s="13"/>
      <c r="V120" s="13"/>
      <c r="W120" s="13"/>
      <c r="X120" s="49"/>
      <c r="Y120" s="13"/>
    </row>
    <row r="121">
      <c r="A121" s="13"/>
      <c r="B121" s="48"/>
      <c r="C121" s="13"/>
      <c r="D121" s="51"/>
      <c r="E121" s="16"/>
      <c r="F121" s="14"/>
      <c r="G121" s="13"/>
      <c r="H121" s="13"/>
      <c r="I121" s="13"/>
      <c r="J121" s="13"/>
      <c r="K121" s="49"/>
      <c r="L121" s="49"/>
      <c r="M121" s="49"/>
      <c r="N121" s="49"/>
      <c r="O121" s="13"/>
      <c r="P121" s="50"/>
      <c r="Q121" s="50"/>
      <c r="R121" s="50"/>
      <c r="S121" s="52"/>
      <c r="T121" s="13"/>
      <c r="U121" s="13"/>
      <c r="V121" s="13"/>
      <c r="W121" s="13"/>
      <c r="X121" s="49"/>
      <c r="Y121" s="13"/>
    </row>
    <row r="122">
      <c r="A122" s="13"/>
      <c r="B122" s="48"/>
      <c r="C122" s="13"/>
      <c r="D122" s="51"/>
      <c r="E122" s="16"/>
      <c r="F122" s="14"/>
      <c r="G122" s="13"/>
      <c r="H122" s="13"/>
      <c r="I122" s="13"/>
      <c r="J122" s="13"/>
      <c r="K122" s="49"/>
      <c r="L122" s="49"/>
      <c r="M122" s="49"/>
      <c r="N122" s="49"/>
      <c r="O122" s="13"/>
      <c r="P122" s="50"/>
      <c r="Q122" s="50"/>
      <c r="R122" s="50"/>
      <c r="S122" s="52"/>
      <c r="T122" s="13"/>
      <c r="U122" s="13"/>
      <c r="V122" s="13"/>
      <c r="W122" s="13"/>
      <c r="X122" s="49"/>
      <c r="Y122" s="13"/>
    </row>
    <row r="123">
      <c r="A123" s="13"/>
      <c r="B123" s="48"/>
      <c r="C123" s="13"/>
      <c r="D123" s="51"/>
      <c r="E123" s="16"/>
      <c r="F123" s="14"/>
      <c r="G123" s="13"/>
      <c r="H123" s="13"/>
      <c r="I123" s="13"/>
      <c r="J123" s="13"/>
      <c r="K123" s="49"/>
      <c r="L123" s="49"/>
      <c r="M123" s="49"/>
      <c r="N123" s="49"/>
      <c r="O123" s="13"/>
      <c r="P123" s="50"/>
      <c r="Q123" s="50"/>
      <c r="R123" s="50"/>
      <c r="S123" s="52"/>
      <c r="T123" s="13"/>
      <c r="U123" s="13"/>
      <c r="V123" s="13"/>
      <c r="W123" s="13"/>
      <c r="X123" s="49"/>
      <c r="Y123" s="13"/>
    </row>
    <row r="124">
      <c r="A124" s="13"/>
      <c r="B124" s="48"/>
      <c r="C124" s="13"/>
      <c r="D124" s="51"/>
      <c r="E124" s="16"/>
      <c r="F124" s="14"/>
      <c r="G124" s="13"/>
      <c r="H124" s="13"/>
      <c r="I124" s="13"/>
      <c r="J124" s="13"/>
      <c r="K124" s="49"/>
      <c r="L124" s="49"/>
      <c r="M124" s="49"/>
      <c r="N124" s="49"/>
      <c r="O124" s="13"/>
      <c r="P124" s="50"/>
      <c r="Q124" s="50"/>
      <c r="R124" s="50"/>
      <c r="S124" s="52"/>
      <c r="T124" s="13"/>
      <c r="U124" s="13"/>
      <c r="V124" s="13"/>
      <c r="W124" s="13"/>
      <c r="X124" s="49"/>
      <c r="Y124" s="13"/>
    </row>
    <row r="125">
      <c r="A125" s="13"/>
      <c r="B125" s="48"/>
      <c r="C125" s="13"/>
      <c r="D125" s="51"/>
      <c r="E125" s="16"/>
      <c r="F125" s="14"/>
      <c r="G125" s="13"/>
      <c r="H125" s="13"/>
      <c r="I125" s="13"/>
      <c r="J125" s="13"/>
      <c r="K125" s="49"/>
      <c r="L125" s="49"/>
      <c r="M125" s="49"/>
      <c r="N125" s="49"/>
      <c r="O125" s="13"/>
      <c r="P125" s="50"/>
      <c r="Q125" s="50"/>
      <c r="R125" s="50"/>
      <c r="S125" s="52"/>
      <c r="T125" s="13"/>
      <c r="U125" s="13"/>
      <c r="V125" s="13"/>
      <c r="W125" s="13"/>
      <c r="X125" s="49"/>
      <c r="Y125" s="13"/>
    </row>
    <row r="126">
      <c r="A126" s="13"/>
      <c r="B126" s="48"/>
      <c r="C126" s="13"/>
      <c r="D126" s="51"/>
      <c r="E126" s="16"/>
      <c r="F126" s="14"/>
      <c r="G126" s="13"/>
      <c r="H126" s="13"/>
      <c r="I126" s="13"/>
      <c r="J126" s="13"/>
      <c r="K126" s="49"/>
      <c r="L126" s="49"/>
      <c r="M126" s="49"/>
      <c r="N126" s="49"/>
      <c r="O126" s="13"/>
      <c r="P126" s="50"/>
      <c r="Q126" s="50"/>
      <c r="R126" s="50"/>
      <c r="S126" s="52"/>
      <c r="T126" s="13"/>
      <c r="U126" s="13"/>
      <c r="V126" s="13"/>
      <c r="W126" s="13"/>
      <c r="X126" s="49"/>
      <c r="Y126" s="13"/>
    </row>
    <row r="127">
      <c r="A127" s="13"/>
      <c r="B127" s="48"/>
      <c r="C127" s="13"/>
      <c r="D127" s="51"/>
      <c r="E127" s="16"/>
      <c r="F127" s="14"/>
      <c r="G127" s="13"/>
      <c r="H127" s="13"/>
      <c r="I127" s="13"/>
      <c r="J127" s="13"/>
      <c r="K127" s="49"/>
      <c r="L127" s="49"/>
      <c r="M127" s="49"/>
      <c r="N127" s="49"/>
      <c r="O127" s="13"/>
      <c r="P127" s="50"/>
      <c r="Q127" s="50"/>
      <c r="R127" s="50"/>
      <c r="S127" s="52"/>
      <c r="T127" s="13"/>
      <c r="U127" s="13"/>
      <c r="V127" s="13"/>
      <c r="W127" s="13"/>
      <c r="X127" s="49"/>
      <c r="Y127" s="13"/>
    </row>
    <row r="128">
      <c r="A128" s="13"/>
      <c r="B128" s="48"/>
      <c r="C128" s="13"/>
      <c r="D128" s="51"/>
      <c r="E128" s="16"/>
      <c r="F128" s="14"/>
      <c r="G128" s="13"/>
      <c r="H128" s="13"/>
      <c r="I128" s="13"/>
      <c r="J128" s="13"/>
      <c r="K128" s="49"/>
      <c r="L128" s="49"/>
      <c r="M128" s="49"/>
      <c r="N128" s="49"/>
      <c r="O128" s="13"/>
      <c r="P128" s="50"/>
      <c r="Q128" s="50"/>
      <c r="R128" s="50"/>
      <c r="S128" s="52"/>
      <c r="T128" s="13"/>
      <c r="U128" s="13"/>
      <c r="V128" s="13"/>
      <c r="W128" s="13"/>
      <c r="X128" s="49"/>
      <c r="Y128" s="13"/>
    </row>
    <row r="129">
      <c r="A129" s="13"/>
      <c r="B129" s="48"/>
      <c r="C129" s="13"/>
      <c r="D129" s="51"/>
      <c r="E129" s="16"/>
      <c r="F129" s="14"/>
      <c r="G129" s="13"/>
      <c r="H129" s="13"/>
      <c r="I129" s="13"/>
      <c r="J129" s="13"/>
      <c r="K129" s="49"/>
      <c r="L129" s="49"/>
      <c r="M129" s="49"/>
      <c r="N129" s="49"/>
      <c r="O129" s="13"/>
      <c r="P129" s="50"/>
      <c r="Q129" s="50"/>
      <c r="R129" s="50"/>
      <c r="S129" s="52"/>
      <c r="T129" s="13"/>
      <c r="U129" s="13"/>
      <c r="V129" s="13"/>
      <c r="W129" s="13"/>
      <c r="X129" s="49"/>
      <c r="Y129" s="13"/>
    </row>
    <row r="130">
      <c r="A130" s="13"/>
      <c r="B130" s="48"/>
      <c r="C130" s="13"/>
      <c r="D130" s="51"/>
      <c r="E130" s="16"/>
      <c r="F130" s="14"/>
      <c r="G130" s="13"/>
      <c r="H130" s="13"/>
      <c r="I130" s="13"/>
      <c r="J130" s="13"/>
      <c r="K130" s="49"/>
      <c r="L130" s="49"/>
      <c r="M130" s="49"/>
      <c r="N130" s="49"/>
      <c r="O130" s="13"/>
      <c r="P130" s="50"/>
      <c r="Q130" s="50"/>
      <c r="R130" s="50"/>
      <c r="S130" s="52"/>
      <c r="T130" s="13"/>
      <c r="U130" s="13"/>
      <c r="V130" s="13"/>
      <c r="W130" s="13"/>
      <c r="X130" s="49"/>
      <c r="Y130" s="13"/>
    </row>
    <row r="131">
      <c r="A131" s="13"/>
      <c r="B131" s="48"/>
      <c r="C131" s="13"/>
      <c r="D131" s="51"/>
      <c r="E131" s="16"/>
      <c r="F131" s="14"/>
      <c r="G131" s="13"/>
      <c r="H131" s="13"/>
      <c r="I131" s="13"/>
      <c r="J131" s="13"/>
      <c r="K131" s="49"/>
      <c r="L131" s="49"/>
      <c r="M131" s="49"/>
      <c r="N131" s="49"/>
      <c r="O131" s="13"/>
      <c r="P131" s="50"/>
      <c r="Q131" s="50"/>
      <c r="R131" s="50"/>
      <c r="S131" s="52"/>
      <c r="T131" s="13"/>
      <c r="U131" s="13"/>
      <c r="V131" s="13"/>
      <c r="W131" s="13"/>
      <c r="X131" s="49"/>
      <c r="Y131" s="13"/>
    </row>
    <row r="132">
      <c r="A132" s="13"/>
      <c r="B132" s="48"/>
      <c r="C132" s="13"/>
      <c r="D132" s="51"/>
      <c r="E132" s="16"/>
      <c r="F132" s="14"/>
      <c r="G132" s="13"/>
      <c r="H132" s="13"/>
      <c r="I132" s="13"/>
      <c r="J132" s="13"/>
      <c r="K132" s="49"/>
      <c r="L132" s="49"/>
      <c r="M132" s="49"/>
      <c r="N132" s="49"/>
      <c r="O132" s="13"/>
      <c r="P132" s="50"/>
      <c r="Q132" s="50"/>
      <c r="R132" s="50"/>
      <c r="S132" s="52"/>
      <c r="T132" s="13"/>
      <c r="U132" s="13"/>
      <c r="V132" s="13"/>
      <c r="W132" s="13"/>
      <c r="X132" s="49"/>
      <c r="Y132" s="13"/>
    </row>
    <row r="133">
      <c r="A133" s="13"/>
      <c r="B133" s="48"/>
      <c r="C133" s="13"/>
      <c r="D133" s="51"/>
      <c r="E133" s="16"/>
      <c r="F133" s="14"/>
      <c r="G133" s="13"/>
      <c r="H133" s="13"/>
      <c r="I133" s="13"/>
      <c r="J133" s="13"/>
      <c r="K133" s="49"/>
      <c r="L133" s="49"/>
      <c r="M133" s="49"/>
      <c r="N133" s="49"/>
      <c r="O133" s="13"/>
      <c r="P133" s="50"/>
      <c r="Q133" s="50"/>
      <c r="R133" s="50"/>
      <c r="S133" s="52"/>
      <c r="T133" s="13"/>
      <c r="U133" s="13"/>
      <c r="V133" s="13"/>
      <c r="W133" s="13"/>
      <c r="X133" s="49"/>
      <c r="Y133" s="13"/>
    </row>
    <row r="134">
      <c r="A134" s="13"/>
      <c r="B134" s="48"/>
      <c r="C134" s="13"/>
      <c r="D134" s="51"/>
      <c r="E134" s="16"/>
      <c r="F134" s="14"/>
      <c r="G134" s="13"/>
      <c r="H134" s="13"/>
      <c r="I134" s="13"/>
      <c r="J134" s="13"/>
      <c r="K134" s="49"/>
      <c r="L134" s="49"/>
      <c r="M134" s="49"/>
      <c r="N134" s="49"/>
      <c r="O134" s="13"/>
      <c r="P134" s="50"/>
      <c r="Q134" s="50"/>
      <c r="R134" s="50"/>
      <c r="S134" s="52"/>
      <c r="T134" s="13"/>
      <c r="U134" s="13"/>
      <c r="V134" s="13"/>
      <c r="W134" s="13"/>
      <c r="X134" s="49"/>
      <c r="Y134" s="13"/>
    </row>
    <row r="135">
      <c r="A135" s="13"/>
      <c r="B135" s="48"/>
      <c r="C135" s="13"/>
      <c r="D135" s="51"/>
      <c r="E135" s="16"/>
      <c r="F135" s="14"/>
      <c r="G135" s="13"/>
      <c r="H135" s="13"/>
      <c r="I135" s="13"/>
      <c r="J135" s="13"/>
      <c r="K135" s="49"/>
      <c r="L135" s="49"/>
      <c r="M135" s="49"/>
      <c r="N135" s="49"/>
      <c r="O135" s="13"/>
      <c r="P135" s="50"/>
      <c r="Q135" s="50"/>
      <c r="R135" s="50"/>
      <c r="S135" s="52"/>
      <c r="T135" s="13"/>
      <c r="U135" s="13"/>
      <c r="V135" s="13"/>
      <c r="W135" s="13"/>
      <c r="X135" s="49"/>
      <c r="Y135" s="13"/>
    </row>
    <row r="136">
      <c r="A136" s="13"/>
      <c r="B136" s="48"/>
      <c r="C136" s="13"/>
      <c r="D136" s="51"/>
      <c r="E136" s="16"/>
      <c r="F136" s="14"/>
      <c r="G136" s="13"/>
      <c r="H136" s="13"/>
      <c r="I136" s="13"/>
      <c r="J136" s="13"/>
      <c r="K136" s="49"/>
      <c r="L136" s="49"/>
      <c r="M136" s="49"/>
      <c r="N136" s="49"/>
      <c r="O136" s="13"/>
      <c r="P136" s="50"/>
      <c r="Q136" s="50"/>
      <c r="R136" s="50"/>
      <c r="S136" s="52"/>
      <c r="T136" s="13"/>
      <c r="U136" s="13"/>
      <c r="V136" s="13"/>
      <c r="W136" s="13"/>
      <c r="X136" s="49"/>
      <c r="Y136" s="13"/>
    </row>
    <row r="137">
      <c r="A137" s="13"/>
      <c r="B137" s="48"/>
      <c r="C137" s="13"/>
      <c r="D137" s="51"/>
      <c r="E137" s="16"/>
      <c r="F137" s="14"/>
      <c r="G137" s="13"/>
      <c r="H137" s="13"/>
      <c r="I137" s="13"/>
      <c r="J137" s="13"/>
      <c r="K137" s="49"/>
      <c r="L137" s="49"/>
      <c r="M137" s="49"/>
      <c r="N137" s="49"/>
      <c r="O137" s="13"/>
      <c r="P137" s="50"/>
      <c r="Q137" s="50"/>
      <c r="R137" s="50"/>
      <c r="S137" s="52"/>
      <c r="T137" s="13"/>
      <c r="U137" s="13"/>
      <c r="V137" s="13"/>
      <c r="W137" s="13"/>
      <c r="X137" s="49"/>
      <c r="Y137" s="13"/>
    </row>
    <row r="138">
      <c r="A138" s="13"/>
      <c r="B138" s="48"/>
      <c r="C138" s="13"/>
      <c r="D138" s="51"/>
      <c r="E138" s="16"/>
      <c r="F138" s="14"/>
      <c r="G138" s="13"/>
      <c r="H138" s="13"/>
      <c r="I138" s="13"/>
      <c r="J138" s="13"/>
      <c r="K138" s="49"/>
      <c r="L138" s="49"/>
      <c r="M138" s="49"/>
      <c r="N138" s="49"/>
      <c r="O138" s="13"/>
      <c r="P138" s="50"/>
      <c r="Q138" s="50"/>
      <c r="R138" s="50"/>
      <c r="S138" s="52"/>
      <c r="T138" s="13"/>
      <c r="U138" s="13"/>
      <c r="V138" s="13"/>
      <c r="W138" s="13"/>
      <c r="X138" s="49"/>
      <c r="Y138" s="13"/>
    </row>
    <row r="139">
      <c r="A139" s="13"/>
      <c r="B139" s="48"/>
      <c r="C139" s="13"/>
      <c r="D139" s="51"/>
      <c r="E139" s="16"/>
      <c r="F139" s="14"/>
      <c r="G139" s="13"/>
      <c r="H139" s="13"/>
      <c r="I139" s="13"/>
      <c r="J139" s="13"/>
      <c r="K139" s="49"/>
      <c r="L139" s="49"/>
      <c r="M139" s="49"/>
      <c r="N139" s="49"/>
      <c r="O139" s="13"/>
      <c r="P139" s="50"/>
      <c r="Q139" s="50"/>
      <c r="R139" s="50"/>
      <c r="S139" s="52"/>
      <c r="T139" s="13"/>
      <c r="U139" s="13"/>
      <c r="V139" s="13"/>
      <c r="W139" s="13"/>
      <c r="X139" s="49"/>
      <c r="Y139" s="13"/>
    </row>
    <row r="140">
      <c r="A140" s="13"/>
      <c r="B140" s="48"/>
      <c r="C140" s="13"/>
      <c r="D140" s="51"/>
      <c r="E140" s="16"/>
      <c r="F140" s="14"/>
      <c r="G140" s="13"/>
      <c r="H140" s="13"/>
      <c r="I140" s="13"/>
      <c r="J140" s="13"/>
      <c r="K140" s="49"/>
      <c r="L140" s="49"/>
      <c r="M140" s="49"/>
      <c r="N140" s="49"/>
      <c r="O140" s="13"/>
      <c r="P140" s="50"/>
      <c r="Q140" s="50"/>
      <c r="R140" s="50"/>
      <c r="S140" s="52"/>
      <c r="T140" s="13"/>
      <c r="U140" s="13"/>
      <c r="V140" s="13"/>
      <c r="W140" s="13"/>
      <c r="X140" s="49"/>
      <c r="Y140" s="13"/>
    </row>
    <row r="141">
      <c r="A141" s="13"/>
      <c r="B141" s="48"/>
      <c r="C141" s="13"/>
      <c r="D141" s="51"/>
      <c r="E141" s="16"/>
      <c r="F141" s="14"/>
      <c r="G141" s="13"/>
      <c r="H141" s="13"/>
      <c r="I141" s="13"/>
      <c r="J141" s="13"/>
      <c r="K141" s="49"/>
      <c r="L141" s="49"/>
      <c r="M141" s="49"/>
      <c r="N141" s="49"/>
      <c r="O141" s="13"/>
      <c r="P141" s="50"/>
      <c r="Q141" s="50"/>
      <c r="R141" s="50"/>
      <c r="S141" s="52"/>
      <c r="T141" s="13"/>
      <c r="U141" s="13"/>
      <c r="V141" s="13"/>
      <c r="W141" s="13"/>
      <c r="X141" s="49"/>
      <c r="Y141" s="13"/>
    </row>
    <row r="142">
      <c r="A142" s="13"/>
      <c r="B142" s="48"/>
      <c r="C142" s="13"/>
      <c r="D142" s="51"/>
      <c r="E142" s="16"/>
      <c r="F142" s="14"/>
      <c r="G142" s="13"/>
      <c r="H142" s="13"/>
      <c r="I142" s="13"/>
      <c r="J142" s="13"/>
      <c r="K142" s="49"/>
      <c r="L142" s="49"/>
      <c r="M142" s="49"/>
      <c r="N142" s="49"/>
      <c r="O142" s="13"/>
      <c r="P142" s="50"/>
      <c r="Q142" s="50"/>
      <c r="R142" s="50"/>
      <c r="S142" s="52"/>
      <c r="T142" s="13"/>
      <c r="U142" s="13"/>
      <c r="V142" s="13"/>
      <c r="W142" s="13"/>
      <c r="X142" s="49"/>
      <c r="Y142" s="13"/>
    </row>
    <row r="143">
      <c r="A143" s="13"/>
      <c r="B143" s="48"/>
      <c r="C143" s="13"/>
      <c r="D143" s="51"/>
      <c r="E143" s="16"/>
      <c r="F143" s="14"/>
      <c r="G143" s="13"/>
      <c r="H143" s="13"/>
      <c r="I143" s="13"/>
      <c r="J143" s="13"/>
      <c r="K143" s="49"/>
      <c r="L143" s="49"/>
      <c r="M143" s="49"/>
      <c r="N143" s="49"/>
      <c r="O143" s="13"/>
      <c r="P143" s="50"/>
      <c r="Q143" s="50"/>
      <c r="R143" s="50"/>
      <c r="S143" s="52"/>
      <c r="T143" s="13"/>
      <c r="U143" s="13"/>
      <c r="V143" s="13"/>
      <c r="W143" s="13"/>
      <c r="X143" s="49"/>
      <c r="Y143" s="13"/>
    </row>
    <row r="144">
      <c r="A144" s="13"/>
      <c r="B144" s="48"/>
      <c r="C144" s="13"/>
      <c r="D144" s="51"/>
      <c r="E144" s="16"/>
      <c r="F144" s="14"/>
      <c r="G144" s="13"/>
      <c r="H144" s="13"/>
      <c r="I144" s="13"/>
      <c r="J144" s="13"/>
      <c r="K144" s="49"/>
      <c r="L144" s="49"/>
      <c r="M144" s="49"/>
      <c r="N144" s="49"/>
      <c r="O144" s="13"/>
      <c r="P144" s="50"/>
      <c r="Q144" s="50"/>
      <c r="R144" s="50"/>
      <c r="S144" s="52"/>
      <c r="T144" s="13"/>
      <c r="U144" s="13"/>
      <c r="V144" s="13"/>
      <c r="W144" s="13"/>
      <c r="X144" s="49"/>
      <c r="Y144" s="13"/>
    </row>
    <row r="145">
      <c r="A145" s="13"/>
      <c r="B145" s="48"/>
      <c r="C145" s="13"/>
      <c r="D145" s="51"/>
      <c r="E145" s="16"/>
      <c r="F145" s="14"/>
      <c r="G145" s="13"/>
      <c r="H145" s="13"/>
      <c r="I145" s="13"/>
      <c r="J145" s="13"/>
      <c r="K145" s="49"/>
      <c r="L145" s="49"/>
      <c r="M145" s="49"/>
      <c r="N145" s="49"/>
      <c r="O145" s="13"/>
      <c r="P145" s="50"/>
      <c r="Q145" s="50"/>
      <c r="R145" s="50"/>
      <c r="S145" s="52"/>
      <c r="T145" s="13"/>
      <c r="U145" s="13"/>
      <c r="V145" s="13"/>
      <c r="W145" s="13"/>
      <c r="X145" s="49"/>
      <c r="Y145" s="13"/>
    </row>
    <row r="146">
      <c r="A146" s="13"/>
      <c r="B146" s="48"/>
      <c r="C146" s="13"/>
      <c r="D146" s="51"/>
      <c r="E146" s="16"/>
      <c r="F146" s="14"/>
      <c r="G146" s="13"/>
      <c r="H146" s="13"/>
      <c r="I146" s="13"/>
      <c r="J146" s="13"/>
      <c r="K146" s="49"/>
      <c r="L146" s="49"/>
      <c r="M146" s="49"/>
      <c r="N146" s="49"/>
      <c r="O146" s="13"/>
      <c r="P146" s="50"/>
      <c r="Q146" s="50"/>
      <c r="R146" s="50"/>
      <c r="S146" s="52"/>
      <c r="T146" s="13"/>
      <c r="U146" s="13"/>
      <c r="V146" s="13"/>
      <c r="W146" s="13"/>
      <c r="X146" s="49"/>
      <c r="Y146" s="13"/>
    </row>
    <row r="147">
      <c r="A147" s="13"/>
      <c r="B147" s="48"/>
      <c r="C147" s="13"/>
      <c r="D147" s="51"/>
      <c r="E147" s="16"/>
      <c r="F147" s="14"/>
      <c r="G147" s="13"/>
      <c r="H147" s="13"/>
      <c r="I147" s="13"/>
      <c r="J147" s="13"/>
      <c r="K147" s="49"/>
      <c r="L147" s="49"/>
      <c r="M147" s="49"/>
      <c r="N147" s="49"/>
      <c r="O147" s="13"/>
      <c r="P147" s="50"/>
      <c r="Q147" s="50"/>
      <c r="R147" s="50"/>
      <c r="S147" s="52"/>
      <c r="T147" s="13"/>
      <c r="U147" s="13"/>
      <c r="V147" s="13"/>
      <c r="W147" s="13"/>
      <c r="X147" s="49"/>
      <c r="Y147" s="13"/>
    </row>
    <row r="148">
      <c r="A148" s="13"/>
      <c r="B148" s="48"/>
      <c r="C148" s="13"/>
      <c r="D148" s="51"/>
      <c r="E148" s="16"/>
      <c r="F148" s="14"/>
      <c r="G148" s="13"/>
      <c r="H148" s="13"/>
      <c r="I148" s="13"/>
      <c r="J148" s="13"/>
      <c r="K148" s="49"/>
      <c r="L148" s="49"/>
      <c r="M148" s="49"/>
      <c r="N148" s="49"/>
      <c r="O148" s="13"/>
      <c r="P148" s="50"/>
      <c r="Q148" s="50"/>
      <c r="R148" s="50"/>
      <c r="S148" s="52"/>
      <c r="T148" s="13"/>
      <c r="U148" s="13"/>
      <c r="V148" s="13"/>
      <c r="W148" s="13"/>
      <c r="X148" s="49"/>
      <c r="Y148" s="13"/>
    </row>
    <row r="149">
      <c r="A149" s="13"/>
      <c r="B149" s="48"/>
      <c r="C149" s="13"/>
      <c r="D149" s="51"/>
      <c r="E149" s="16"/>
      <c r="F149" s="14"/>
      <c r="G149" s="13"/>
      <c r="H149" s="13"/>
      <c r="I149" s="13"/>
      <c r="J149" s="13"/>
      <c r="K149" s="49"/>
      <c r="L149" s="49"/>
      <c r="M149" s="49"/>
      <c r="N149" s="49"/>
      <c r="O149" s="13"/>
      <c r="P149" s="50"/>
      <c r="Q149" s="50"/>
      <c r="R149" s="50"/>
      <c r="S149" s="52"/>
      <c r="T149" s="13"/>
      <c r="U149" s="13"/>
      <c r="V149" s="13"/>
      <c r="W149" s="13"/>
      <c r="X149" s="49"/>
      <c r="Y149" s="13"/>
    </row>
    <row r="150">
      <c r="A150" s="13"/>
      <c r="B150" s="48"/>
      <c r="C150" s="13"/>
      <c r="D150" s="51"/>
      <c r="E150" s="16"/>
      <c r="F150" s="14"/>
      <c r="G150" s="13"/>
      <c r="H150" s="13"/>
      <c r="I150" s="13"/>
      <c r="J150" s="13"/>
      <c r="K150" s="49"/>
      <c r="L150" s="49"/>
      <c r="M150" s="49"/>
      <c r="N150" s="49"/>
      <c r="O150" s="13"/>
      <c r="P150" s="50"/>
      <c r="Q150" s="50"/>
      <c r="R150" s="50"/>
      <c r="S150" s="52"/>
      <c r="T150" s="13"/>
      <c r="U150" s="13"/>
      <c r="V150" s="13"/>
      <c r="W150" s="13"/>
      <c r="X150" s="49"/>
      <c r="Y150" s="13"/>
    </row>
    <row r="151">
      <c r="A151" s="13"/>
      <c r="B151" s="48"/>
      <c r="C151" s="13"/>
      <c r="D151" s="51"/>
      <c r="E151" s="16"/>
      <c r="F151" s="14"/>
      <c r="G151" s="13"/>
      <c r="H151" s="13"/>
      <c r="I151" s="13"/>
      <c r="J151" s="13"/>
      <c r="K151" s="49"/>
      <c r="L151" s="49"/>
      <c r="M151" s="49"/>
      <c r="N151" s="49"/>
      <c r="O151" s="13"/>
      <c r="P151" s="50"/>
      <c r="Q151" s="50"/>
      <c r="R151" s="50"/>
      <c r="S151" s="52"/>
      <c r="T151" s="13"/>
      <c r="U151" s="13"/>
      <c r="V151" s="13"/>
      <c r="W151" s="13"/>
      <c r="X151" s="49"/>
      <c r="Y151" s="13"/>
    </row>
    <row r="152">
      <c r="A152" s="13"/>
      <c r="B152" s="48"/>
      <c r="C152" s="13"/>
      <c r="D152" s="51"/>
      <c r="E152" s="16"/>
      <c r="F152" s="14"/>
      <c r="G152" s="13"/>
      <c r="H152" s="13"/>
      <c r="I152" s="13"/>
      <c r="J152" s="13"/>
      <c r="K152" s="49"/>
      <c r="L152" s="49"/>
      <c r="M152" s="49"/>
      <c r="N152" s="49"/>
      <c r="O152" s="13"/>
      <c r="P152" s="50"/>
      <c r="Q152" s="50"/>
      <c r="R152" s="50"/>
      <c r="S152" s="52"/>
      <c r="T152" s="13"/>
      <c r="U152" s="13"/>
      <c r="V152" s="13"/>
      <c r="W152" s="13"/>
      <c r="X152" s="49"/>
      <c r="Y152" s="13"/>
    </row>
    <row r="153">
      <c r="A153" s="13"/>
      <c r="B153" s="48"/>
      <c r="C153" s="13"/>
      <c r="D153" s="51"/>
      <c r="E153" s="16"/>
      <c r="F153" s="14"/>
      <c r="G153" s="13"/>
      <c r="H153" s="13"/>
      <c r="I153" s="13"/>
      <c r="J153" s="13"/>
      <c r="K153" s="49"/>
      <c r="L153" s="49"/>
      <c r="M153" s="49"/>
      <c r="N153" s="49"/>
      <c r="O153" s="13"/>
      <c r="P153" s="50"/>
      <c r="Q153" s="50"/>
      <c r="R153" s="50"/>
      <c r="S153" s="52"/>
      <c r="T153" s="13"/>
      <c r="U153" s="13"/>
      <c r="V153" s="13"/>
      <c r="W153" s="13"/>
      <c r="X153" s="49"/>
      <c r="Y153" s="13"/>
    </row>
    <row r="154">
      <c r="A154" s="13"/>
      <c r="B154" s="48"/>
      <c r="C154" s="13"/>
      <c r="D154" s="51"/>
      <c r="E154" s="16"/>
      <c r="F154" s="14"/>
      <c r="G154" s="13"/>
      <c r="H154" s="13"/>
      <c r="I154" s="13"/>
      <c r="J154" s="13"/>
      <c r="K154" s="49"/>
      <c r="L154" s="49"/>
      <c r="M154" s="49"/>
      <c r="N154" s="49"/>
      <c r="O154" s="13"/>
      <c r="P154" s="50"/>
      <c r="Q154" s="50"/>
      <c r="R154" s="50"/>
      <c r="S154" s="52"/>
      <c r="T154" s="13"/>
      <c r="U154" s="13"/>
      <c r="V154" s="13"/>
      <c r="W154" s="13"/>
      <c r="X154" s="49"/>
      <c r="Y154" s="13"/>
    </row>
    <row r="155">
      <c r="A155" s="13"/>
      <c r="B155" s="48"/>
      <c r="C155" s="13"/>
      <c r="D155" s="51"/>
      <c r="E155" s="16"/>
      <c r="F155" s="14"/>
      <c r="G155" s="13"/>
      <c r="H155" s="13"/>
      <c r="I155" s="13"/>
      <c r="J155" s="13"/>
      <c r="K155" s="49"/>
      <c r="L155" s="49"/>
      <c r="M155" s="49"/>
      <c r="N155" s="49"/>
      <c r="O155" s="13"/>
      <c r="P155" s="50"/>
      <c r="Q155" s="50"/>
      <c r="R155" s="50"/>
      <c r="S155" s="52"/>
      <c r="T155" s="13"/>
      <c r="U155" s="13"/>
      <c r="V155" s="13"/>
      <c r="W155" s="13"/>
      <c r="X155" s="49"/>
      <c r="Y155" s="13"/>
    </row>
    <row r="156">
      <c r="A156" s="13"/>
      <c r="B156" s="48"/>
      <c r="C156" s="13"/>
      <c r="D156" s="51"/>
      <c r="E156" s="16"/>
      <c r="F156" s="14"/>
      <c r="G156" s="13"/>
      <c r="H156" s="13"/>
      <c r="I156" s="13"/>
      <c r="J156" s="13"/>
      <c r="K156" s="49"/>
      <c r="L156" s="49"/>
      <c r="M156" s="49"/>
      <c r="N156" s="49"/>
      <c r="O156" s="13"/>
      <c r="P156" s="50"/>
      <c r="Q156" s="50"/>
      <c r="R156" s="50"/>
      <c r="S156" s="52"/>
      <c r="T156" s="13"/>
      <c r="U156" s="13"/>
      <c r="V156" s="13"/>
      <c r="W156" s="13"/>
      <c r="X156" s="49"/>
      <c r="Y156" s="13"/>
    </row>
    <row r="157">
      <c r="A157" s="13"/>
      <c r="B157" s="48"/>
      <c r="C157" s="13"/>
      <c r="D157" s="51"/>
      <c r="E157" s="16"/>
      <c r="F157" s="14"/>
      <c r="G157" s="13"/>
      <c r="H157" s="13"/>
      <c r="I157" s="13"/>
      <c r="J157" s="13"/>
      <c r="K157" s="49"/>
      <c r="L157" s="49"/>
      <c r="M157" s="49"/>
      <c r="N157" s="49"/>
      <c r="O157" s="13"/>
      <c r="P157" s="50"/>
      <c r="Q157" s="50"/>
      <c r="R157" s="50"/>
      <c r="S157" s="52"/>
      <c r="T157" s="13"/>
      <c r="U157" s="13"/>
      <c r="V157" s="13"/>
      <c r="W157" s="13"/>
      <c r="X157" s="49"/>
      <c r="Y157" s="13"/>
    </row>
    <row r="158">
      <c r="A158" s="13"/>
      <c r="B158" s="48"/>
      <c r="C158" s="13"/>
      <c r="D158" s="51"/>
      <c r="E158" s="16"/>
      <c r="F158" s="14"/>
      <c r="G158" s="13"/>
      <c r="H158" s="13"/>
      <c r="I158" s="13"/>
      <c r="J158" s="13"/>
      <c r="K158" s="49"/>
      <c r="L158" s="49"/>
      <c r="M158" s="49"/>
      <c r="N158" s="49"/>
      <c r="O158" s="13"/>
      <c r="P158" s="50"/>
      <c r="Q158" s="50"/>
      <c r="R158" s="50"/>
      <c r="S158" s="52"/>
      <c r="T158" s="13"/>
      <c r="U158" s="13"/>
      <c r="V158" s="13"/>
      <c r="W158" s="13"/>
      <c r="X158" s="49"/>
      <c r="Y158" s="13"/>
    </row>
    <row r="159">
      <c r="A159" s="13"/>
      <c r="B159" s="48"/>
      <c r="C159" s="13"/>
      <c r="D159" s="51"/>
      <c r="E159" s="16"/>
      <c r="F159" s="14"/>
      <c r="G159" s="13"/>
      <c r="H159" s="13"/>
      <c r="I159" s="13"/>
      <c r="J159" s="13"/>
      <c r="K159" s="49"/>
      <c r="L159" s="49"/>
      <c r="M159" s="49"/>
      <c r="N159" s="49"/>
      <c r="O159" s="13"/>
      <c r="P159" s="50"/>
      <c r="Q159" s="50"/>
      <c r="R159" s="50"/>
      <c r="S159" s="52"/>
      <c r="T159" s="13"/>
      <c r="U159" s="13"/>
      <c r="V159" s="13"/>
      <c r="W159" s="13"/>
      <c r="X159" s="49"/>
      <c r="Y159" s="13"/>
    </row>
    <row r="160">
      <c r="A160" s="13"/>
      <c r="B160" s="48"/>
      <c r="C160" s="13"/>
      <c r="D160" s="51"/>
      <c r="E160" s="16"/>
      <c r="F160" s="14"/>
      <c r="G160" s="13"/>
      <c r="H160" s="13"/>
      <c r="I160" s="13"/>
      <c r="J160" s="13"/>
      <c r="K160" s="49"/>
      <c r="L160" s="49"/>
      <c r="M160" s="49"/>
      <c r="N160" s="49"/>
      <c r="O160" s="13"/>
      <c r="P160" s="50"/>
      <c r="Q160" s="50"/>
      <c r="R160" s="50"/>
      <c r="S160" s="52"/>
      <c r="T160" s="13"/>
      <c r="U160" s="13"/>
      <c r="V160" s="13"/>
      <c r="W160" s="13"/>
      <c r="X160" s="49"/>
      <c r="Y160" s="13"/>
    </row>
    <row r="161">
      <c r="A161" s="13"/>
      <c r="B161" s="48"/>
      <c r="C161" s="13"/>
      <c r="D161" s="51"/>
      <c r="E161" s="16"/>
      <c r="F161" s="14"/>
      <c r="G161" s="13"/>
      <c r="H161" s="13"/>
      <c r="I161" s="13"/>
      <c r="J161" s="13"/>
      <c r="K161" s="49"/>
      <c r="L161" s="49"/>
      <c r="M161" s="49"/>
      <c r="N161" s="49"/>
      <c r="O161" s="13"/>
      <c r="P161" s="50"/>
      <c r="Q161" s="50"/>
      <c r="R161" s="50"/>
      <c r="S161" s="52"/>
      <c r="T161" s="13"/>
      <c r="U161" s="13"/>
      <c r="V161" s="13"/>
      <c r="W161" s="13"/>
      <c r="X161" s="49"/>
      <c r="Y161" s="13"/>
    </row>
    <row r="162">
      <c r="A162" s="13"/>
      <c r="B162" s="48"/>
      <c r="C162" s="13"/>
      <c r="D162" s="51"/>
      <c r="E162" s="16"/>
      <c r="F162" s="14"/>
      <c r="G162" s="13"/>
      <c r="H162" s="13"/>
      <c r="I162" s="13"/>
      <c r="J162" s="13"/>
      <c r="K162" s="49"/>
      <c r="L162" s="49"/>
      <c r="M162" s="49"/>
      <c r="N162" s="49"/>
      <c r="O162" s="13"/>
      <c r="P162" s="50"/>
      <c r="Q162" s="50"/>
      <c r="R162" s="50"/>
      <c r="S162" s="52"/>
      <c r="T162" s="13"/>
      <c r="U162" s="13"/>
      <c r="V162" s="13"/>
      <c r="W162" s="13"/>
      <c r="X162" s="49"/>
      <c r="Y162" s="13"/>
    </row>
    <row r="163">
      <c r="A163" s="13"/>
      <c r="B163" s="48"/>
      <c r="C163" s="13"/>
      <c r="D163" s="51"/>
      <c r="E163" s="16"/>
      <c r="F163" s="14"/>
      <c r="G163" s="13"/>
      <c r="H163" s="13"/>
      <c r="I163" s="13"/>
      <c r="J163" s="13"/>
      <c r="K163" s="49"/>
      <c r="L163" s="49"/>
      <c r="M163" s="49"/>
      <c r="N163" s="49"/>
      <c r="O163" s="13"/>
      <c r="P163" s="50"/>
      <c r="Q163" s="50"/>
      <c r="R163" s="50"/>
      <c r="S163" s="52"/>
      <c r="T163" s="13"/>
      <c r="U163" s="13"/>
      <c r="V163" s="13"/>
      <c r="W163" s="13"/>
      <c r="X163" s="49"/>
      <c r="Y163" s="13"/>
    </row>
    <row r="164">
      <c r="A164" s="13"/>
      <c r="B164" s="48"/>
      <c r="C164" s="13"/>
      <c r="D164" s="51"/>
      <c r="E164" s="16"/>
      <c r="F164" s="14"/>
      <c r="G164" s="13"/>
      <c r="H164" s="13"/>
      <c r="I164" s="13"/>
      <c r="J164" s="13"/>
      <c r="K164" s="49"/>
      <c r="L164" s="49"/>
      <c r="M164" s="49"/>
      <c r="N164" s="49"/>
      <c r="O164" s="13"/>
      <c r="P164" s="50"/>
      <c r="Q164" s="50"/>
      <c r="R164" s="50"/>
      <c r="S164" s="52"/>
      <c r="T164" s="13"/>
      <c r="U164" s="13"/>
      <c r="V164" s="13"/>
      <c r="W164" s="13"/>
      <c r="X164" s="49"/>
      <c r="Y164" s="13"/>
    </row>
    <row r="165">
      <c r="A165" s="13"/>
      <c r="B165" s="48"/>
      <c r="C165" s="13"/>
      <c r="D165" s="51"/>
      <c r="E165" s="16"/>
      <c r="F165" s="14"/>
      <c r="G165" s="13"/>
      <c r="H165" s="13"/>
      <c r="I165" s="13"/>
      <c r="J165" s="13"/>
      <c r="K165" s="49"/>
      <c r="L165" s="49"/>
      <c r="M165" s="49"/>
      <c r="N165" s="49"/>
      <c r="O165" s="13"/>
      <c r="P165" s="50"/>
      <c r="Q165" s="50"/>
      <c r="R165" s="50"/>
      <c r="S165" s="52"/>
      <c r="T165" s="13"/>
      <c r="U165" s="13"/>
      <c r="V165" s="13"/>
      <c r="W165" s="13"/>
      <c r="X165" s="49"/>
      <c r="Y165" s="13"/>
    </row>
    <row r="166">
      <c r="A166" s="13"/>
      <c r="B166" s="48"/>
      <c r="C166" s="13"/>
      <c r="D166" s="51"/>
      <c r="E166" s="16"/>
      <c r="F166" s="14"/>
      <c r="G166" s="13"/>
      <c r="H166" s="13"/>
      <c r="I166" s="13"/>
      <c r="J166" s="13"/>
      <c r="K166" s="49"/>
      <c r="L166" s="49"/>
      <c r="M166" s="49"/>
      <c r="N166" s="49"/>
      <c r="O166" s="13"/>
      <c r="P166" s="50"/>
      <c r="Q166" s="50"/>
      <c r="R166" s="50"/>
      <c r="S166" s="52"/>
      <c r="T166" s="13"/>
      <c r="U166" s="13"/>
      <c r="V166" s="13"/>
      <c r="W166" s="13"/>
      <c r="X166" s="49"/>
      <c r="Y166" s="13"/>
    </row>
    <row r="167">
      <c r="A167" s="13"/>
      <c r="B167" s="48"/>
      <c r="C167" s="13"/>
      <c r="D167" s="51"/>
      <c r="E167" s="16"/>
      <c r="F167" s="14"/>
      <c r="G167" s="13"/>
      <c r="H167" s="13"/>
      <c r="I167" s="13"/>
      <c r="J167" s="13"/>
      <c r="K167" s="49"/>
      <c r="L167" s="49"/>
      <c r="M167" s="49"/>
      <c r="N167" s="49"/>
      <c r="O167" s="13"/>
      <c r="P167" s="50"/>
      <c r="Q167" s="50"/>
      <c r="R167" s="50"/>
      <c r="S167" s="52"/>
      <c r="T167" s="13"/>
      <c r="U167" s="13"/>
      <c r="V167" s="13"/>
      <c r="W167" s="13"/>
      <c r="X167" s="49"/>
      <c r="Y167" s="13"/>
    </row>
    <row r="168">
      <c r="A168" s="13"/>
      <c r="B168" s="48"/>
      <c r="C168" s="13"/>
      <c r="D168" s="51"/>
      <c r="E168" s="16"/>
      <c r="F168" s="14"/>
      <c r="G168" s="13"/>
      <c r="H168" s="13"/>
      <c r="I168" s="13"/>
      <c r="J168" s="13"/>
      <c r="K168" s="49"/>
      <c r="L168" s="49"/>
      <c r="M168" s="49"/>
      <c r="N168" s="49"/>
      <c r="O168" s="13"/>
      <c r="P168" s="50"/>
      <c r="Q168" s="50"/>
      <c r="R168" s="50"/>
      <c r="S168" s="52"/>
      <c r="T168" s="13"/>
      <c r="U168" s="13"/>
      <c r="V168" s="13"/>
      <c r="W168" s="13"/>
      <c r="X168" s="49"/>
      <c r="Y168" s="13"/>
    </row>
    <row r="169">
      <c r="A169" s="13"/>
      <c r="B169" s="48"/>
      <c r="C169" s="13"/>
      <c r="D169" s="51"/>
      <c r="E169" s="16"/>
      <c r="F169" s="14"/>
      <c r="G169" s="13"/>
      <c r="H169" s="13"/>
      <c r="I169" s="13"/>
      <c r="J169" s="13"/>
      <c r="K169" s="49"/>
      <c r="L169" s="49"/>
      <c r="M169" s="49"/>
      <c r="N169" s="49"/>
      <c r="O169" s="13"/>
      <c r="P169" s="50"/>
      <c r="Q169" s="50"/>
      <c r="R169" s="50"/>
      <c r="S169" s="52"/>
      <c r="T169" s="13"/>
      <c r="U169" s="13"/>
      <c r="V169" s="13"/>
      <c r="W169" s="13"/>
      <c r="X169" s="49"/>
      <c r="Y169" s="13"/>
    </row>
    <row r="170">
      <c r="A170" s="13"/>
      <c r="B170" s="48"/>
      <c r="C170" s="13"/>
      <c r="D170" s="51"/>
      <c r="E170" s="16"/>
      <c r="F170" s="14"/>
      <c r="G170" s="13"/>
      <c r="H170" s="13"/>
      <c r="I170" s="13"/>
      <c r="J170" s="13"/>
      <c r="K170" s="49"/>
      <c r="L170" s="49"/>
      <c r="M170" s="49"/>
      <c r="N170" s="49"/>
      <c r="O170" s="13"/>
      <c r="P170" s="50"/>
      <c r="Q170" s="50"/>
      <c r="R170" s="50"/>
      <c r="S170" s="52"/>
      <c r="T170" s="13"/>
      <c r="U170" s="13"/>
      <c r="V170" s="13"/>
      <c r="W170" s="13"/>
      <c r="X170" s="49"/>
      <c r="Y170" s="13"/>
    </row>
    <row r="171">
      <c r="A171" s="13"/>
      <c r="B171" s="48"/>
      <c r="C171" s="13"/>
      <c r="D171" s="51"/>
      <c r="E171" s="16"/>
      <c r="F171" s="14"/>
      <c r="G171" s="13"/>
      <c r="H171" s="13"/>
      <c r="I171" s="13"/>
      <c r="J171" s="13"/>
      <c r="K171" s="49"/>
      <c r="L171" s="49"/>
      <c r="M171" s="49"/>
      <c r="N171" s="49"/>
      <c r="O171" s="13"/>
      <c r="P171" s="50"/>
      <c r="Q171" s="50"/>
      <c r="R171" s="50"/>
      <c r="S171" s="52"/>
      <c r="T171" s="13"/>
      <c r="U171" s="13"/>
      <c r="V171" s="13"/>
      <c r="W171" s="13"/>
      <c r="X171" s="49"/>
      <c r="Y171" s="13"/>
    </row>
    <row r="172">
      <c r="A172" s="13"/>
      <c r="B172" s="48"/>
      <c r="C172" s="13"/>
      <c r="D172" s="51"/>
      <c r="E172" s="16"/>
      <c r="F172" s="14"/>
      <c r="G172" s="13"/>
      <c r="H172" s="13"/>
      <c r="I172" s="13"/>
      <c r="J172" s="13"/>
      <c r="K172" s="49"/>
      <c r="L172" s="49"/>
      <c r="M172" s="49"/>
      <c r="N172" s="49"/>
      <c r="O172" s="13"/>
      <c r="P172" s="50"/>
      <c r="Q172" s="50"/>
      <c r="R172" s="50"/>
      <c r="S172" s="52"/>
      <c r="T172" s="13"/>
      <c r="U172" s="13"/>
      <c r="V172" s="13"/>
      <c r="W172" s="13"/>
      <c r="X172" s="49"/>
      <c r="Y172" s="13"/>
    </row>
    <row r="173">
      <c r="A173" s="13"/>
      <c r="B173" s="48"/>
      <c r="C173" s="13"/>
      <c r="D173" s="51"/>
      <c r="E173" s="16"/>
      <c r="F173" s="14"/>
      <c r="G173" s="13"/>
      <c r="H173" s="13"/>
      <c r="I173" s="13"/>
      <c r="J173" s="13"/>
      <c r="K173" s="49"/>
      <c r="L173" s="49"/>
      <c r="M173" s="49"/>
      <c r="N173" s="49"/>
      <c r="O173" s="13"/>
      <c r="P173" s="50"/>
      <c r="Q173" s="50"/>
      <c r="R173" s="50"/>
      <c r="S173" s="52"/>
      <c r="T173" s="13"/>
      <c r="U173" s="13"/>
      <c r="V173" s="13"/>
      <c r="W173" s="13"/>
      <c r="X173" s="49"/>
      <c r="Y173" s="13"/>
    </row>
    <row r="174">
      <c r="A174" s="13"/>
      <c r="B174" s="48"/>
      <c r="C174" s="13"/>
      <c r="D174" s="51"/>
      <c r="E174" s="16"/>
      <c r="F174" s="14"/>
      <c r="G174" s="13"/>
      <c r="H174" s="13"/>
      <c r="I174" s="13"/>
      <c r="J174" s="13"/>
      <c r="K174" s="49"/>
      <c r="L174" s="49"/>
      <c r="M174" s="49"/>
      <c r="N174" s="49"/>
      <c r="O174" s="13"/>
      <c r="P174" s="50"/>
      <c r="Q174" s="50"/>
      <c r="R174" s="50"/>
      <c r="S174" s="52"/>
      <c r="T174" s="13"/>
      <c r="U174" s="13"/>
      <c r="V174" s="13"/>
      <c r="W174" s="13"/>
      <c r="X174" s="49"/>
      <c r="Y174" s="13"/>
    </row>
    <row r="175">
      <c r="A175" s="13"/>
      <c r="B175" s="48"/>
      <c r="C175" s="13"/>
      <c r="D175" s="51"/>
      <c r="E175" s="16"/>
      <c r="F175" s="14"/>
      <c r="G175" s="13"/>
      <c r="H175" s="13"/>
      <c r="I175" s="13"/>
      <c r="J175" s="13"/>
      <c r="K175" s="49"/>
      <c r="L175" s="49"/>
      <c r="M175" s="49"/>
      <c r="N175" s="49"/>
      <c r="O175" s="13"/>
      <c r="P175" s="50"/>
      <c r="Q175" s="50"/>
      <c r="R175" s="50"/>
      <c r="S175" s="52"/>
      <c r="T175" s="13"/>
      <c r="U175" s="13"/>
      <c r="V175" s="13"/>
      <c r="W175" s="13"/>
      <c r="X175" s="49"/>
      <c r="Y175" s="13"/>
    </row>
    <row r="176">
      <c r="A176" s="13"/>
      <c r="B176" s="48"/>
      <c r="C176" s="13"/>
      <c r="D176" s="51"/>
      <c r="E176" s="16"/>
      <c r="F176" s="14"/>
      <c r="G176" s="13"/>
      <c r="H176" s="13"/>
      <c r="I176" s="13"/>
      <c r="J176" s="13"/>
      <c r="K176" s="49"/>
      <c r="L176" s="49"/>
      <c r="M176" s="49"/>
      <c r="N176" s="49"/>
      <c r="O176" s="13"/>
      <c r="P176" s="50"/>
      <c r="Q176" s="50"/>
      <c r="R176" s="50"/>
      <c r="S176" s="52"/>
      <c r="T176" s="13"/>
      <c r="U176" s="13"/>
      <c r="V176" s="13"/>
      <c r="W176" s="13"/>
      <c r="X176" s="49"/>
      <c r="Y176" s="13"/>
    </row>
    <row r="177">
      <c r="A177" s="13"/>
      <c r="B177" s="48"/>
      <c r="C177" s="13"/>
      <c r="D177" s="51"/>
      <c r="E177" s="16"/>
      <c r="F177" s="14"/>
      <c r="G177" s="13"/>
      <c r="H177" s="13"/>
      <c r="I177" s="13"/>
      <c r="J177" s="13"/>
      <c r="K177" s="49"/>
      <c r="L177" s="49"/>
      <c r="M177" s="49"/>
      <c r="N177" s="49"/>
      <c r="O177" s="13"/>
      <c r="P177" s="50"/>
      <c r="Q177" s="50"/>
      <c r="R177" s="50"/>
      <c r="S177" s="52"/>
      <c r="T177" s="13"/>
      <c r="U177" s="13"/>
      <c r="V177" s="13"/>
      <c r="W177" s="13"/>
      <c r="X177" s="49"/>
      <c r="Y177" s="13"/>
    </row>
    <row r="178">
      <c r="A178" s="13"/>
      <c r="B178" s="48"/>
      <c r="C178" s="13"/>
      <c r="D178" s="51"/>
      <c r="E178" s="16"/>
      <c r="F178" s="14"/>
      <c r="G178" s="13"/>
      <c r="H178" s="13"/>
      <c r="I178" s="13"/>
      <c r="J178" s="13"/>
      <c r="K178" s="49"/>
      <c r="L178" s="49"/>
      <c r="M178" s="49"/>
      <c r="N178" s="49"/>
      <c r="O178" s="13"/>
      <c r="P178" s="50"/>
      <c r="Q178" s="50"/>
      <c r="R178" s="50"/>
      <c r="S178" s="52"/>
      <c r="T178" s="13"/>
      <c r="U178" s="13"/>
      <c r="V178" s="13"/>
      <c r="W178" s="13"/>
      <c r="X178" s="49"/>
      <c r="Y178" s="13"/>
    </row>
    <row r="179">
      <c r="A179" s="13"/>
      <c r="B179" s="48"/>
      <c r="C179" s="13"/>
      <c r="D179" s="51"/>
      <c r="E179" s="16"/>
      <c r="F179" s="14"/>
      <c r="G179" s="13"/>
      <c r="H179" s="13"/>
      <c r="I179" s="13"/>
      <c r="J179" s="13"/>
      <c r="K179" s="49"/>
      <c r="L179" s="49"/>
      <c r="M179" s="49"/>
      <c r="N179" s="49"/>
      <c r="O179" s="13"/>
      <c r="P179" s="50"/>
      <c r="Q179" s="50"/>
      <c r="R179" s="50"/>
      <c r="S179" s="52"/>
      <c r="T179" s="13"/>
      <c r="U179" s="13"/>
      <c r="V179" s="13"/>
      <c r="W179" s="13"/>
      <c r="X179" s="49"/>
      <c r="Y179" s="13"/>
    </row>
    <row r="180">
      <c r="A180" s="13"/>
      <c r="B180" s="48"/>
      <c r="C180" s="13"/>
      <c r="D180" s="51"/>
      <c r="E180" s="16"/>
      <c r="F180" s="14"/>
      <c r="G180" s="13"/>
      <c r="H180" s="13"/>
      <c r="I180" s="13"/>
      <c r="J180" s="13"/>
      <c r="K180" s="49"/>
      <c r="L180" s="49"/>
      <c r="M180" s="49"/>
      <c r="N180" s="49"/>
      <c r="O180" s="13"/>
      <c r="P180" s="50"/>
      <c r="Q180" s="50"/>
      <c r="R180" s="50"/>
      <c r="S180" s="52"/>
      <c r="T180" s="13"/>
      <c r="U180" s="13"/>
      <c r="V180" s="13"/>
      <c r="W180" s="13"/>
      <c r="X180" s="49"/>
      <c r="Y180" s="13"/>
    </row>
    <row r="181">
      <c r="A181" s="13"/>
      <c r="B181" s="48"/>
      <c r="C181" s="13"/>
      <c r="D181" s="51"/>
      <c r="E181" s="16"/>
      <c r="F181" s="14"/>
      <c r="G181" s="13"/>
      <c r="H181" s="13"/>
      <c r="I181" s="13"/>
      <c r="J181" s="13"/>
      <c r="K181" s="49"/>
      <c r="L181" s="49"/>
      <c r="M181" s="49"/>
      <c r="N181" s="49"/>
      <c r="O181" s="13"/>
      <c r="P181" s="50"/>
      <c r="Q181" s="50"/>
      <c r="R181" s="50"/>
      <c r="S181" s="52"/>
      <c r="T181" s="13"/>
      <c r="U181" s="13"/>
      <c r="V181" s="13"/>
      <c r="W181" s="13"/>
      <c r="X181" s="49"/>
      <c r="Y181" s="13"/>
    </row>
    <row r="182">
      <c r="A182" s="13"/>
      <c r="B182" s="48"/>
      <c r="C182" s="13"/>
      <c r="D182" s="51"/>
      <c r="E182" s="16"/>
      <c r="F182" s="14"/>
      <c r="G182" s="13"/>
      <c r="H182" s="13"/>
      <c r="I182" s="13"/>
      <c r="J182" s="13"/>
      <c r="K182" s="49"/>
      <c r="L182" s="49"/>
      <c r="M182" s="49"/>
      <c r="N182" s="49"/>
      <c r="O182" s="13"/>
      <c r="P182" s="50"/>
      <c r="Q182" s="50"/>
      <c r="R182" s="50"/>
      <c r="S182" s="52"/>
      <c r="T182" s="13"/>
      <c r="U182" s="13"/>
      <c r="V182" s="13"/>
      <c r="W182" s="13"/>
      <c r="X182" s="49"/>
      <c r="Y182" s="13"/>
    </row>
    <row r="183">
      <c r="A183" s="13"/>
      <c r="B183" s="48"/>
      <c r="C183" s="13"/>
      <c r="D183" s="51"/>
      <c r="E183" s="16"/>
      <c r="F183" s="14"/>
      <c r="G183" s="13"/>
      <c r="H183" s="13"/>
      <c r="I183" s="13"/>
      <c r="J183" s="13"/>
      <c r="K183" s="49"/>
      <c r="L183" s="49"/>
      <c r="M183" s="49"/>
      <c r="N183" s="49"/>
      <c r="O183" s="13"/>
      <c r="P183" s="50"/>
      <c r="Q183" s="50"/>
      <c r="R183" s="50"/>
      <c r="S183" s="52"/>
      <c r="T183" s="13"/>
      <c r="U183" s="13"/>
      <c r="V183" s="13"/>
      <c r="W183" s="13"/>
      <c r="X183" s="49"/>
      <c r="Y183" s="13"/>
    </row>
    <row r="184">
      <c r="A184" s="13"/>
      <c r="B184" s="48"/>
      <c r="C184" s="13"/>
      <c r="D184" s="51"/>
      <c r="E184" s="16"/>
      <c r="F184" s="14"/>
      <c r="G184" s="13"/>
      <c r="H184" s="13"/>
      <c r="I184" s="13"/>
      <c r="J184" s="13"/>
      <c r="K184" s="49"/>
      <c r="L184" s="49"/>
      <c r="M184" s="49"/>
      <c r="N184" s="49"/>
      <c r="O184" s="13"/>
      <c r="P184" s="50"/>
      <c r="Q184" s="50"/>
      <c r="R184" s="50"/>
      <c r="S184" s="52"/>
      <c r="T184" s="13"/>
      <c r="U184" s="13"/>
      <c r="V184" s="13"/>
      <c r="W184" s="13"/>
      <c r="X184" s="49"/>
      <c r="Y184" s="13"/>
    </row>
    <row r="185">
      <c r="A185" s="13"/>
      <c r="B185" s="48"/>
      <c r="C185" s="13"/>
      <c r="D185" s="51"/>
      <c r="E185" s="16"/>
      <c r="F185" s="14"/>
      <c r="G185" s="13"/>
      <c r="H185" s="13"/>
      <c r="I185" s="13"/>
      <c r="J185" s="13"/>
      <c r="K185" s="49"/>
      <c r="L185" s="49"/>
      <c r="M185" s="49"/>
      <c r="N185" s="49"/>
      <c r="O185" s="13"/>
      <c r="P185" s="50"/>
      <c r="Q185" s="50"/>
      <c r="R185" s="50"/>
      <c r="S185" s="52"/>
      <c r="T185" s="13"/>
      <c r="U185" s="13"/>
      <c r="V185" s="13"/>
      <c r="W185" s="13"/>
      <c r="X185" s="49"/>
      <c r="Y185" s="13"/>
    </row>
    <row r="186">
      <c r="A186" s="13"/>
      <c r="B186" s="48"/>
      <c r="C186" s="13"/>
      <c r="D186" s="51"/>
      <c r="E186" s="16"/>
      <c r="F186" s="14"/>
      <c r="G186" s="13"/>
      <c r="H186" s="13"/>
      <c r="I186" s="13"/>
      <c r="J186" s="13"/>
      <c r="K186" s="49"/>
      <c r="L186" s="49"/>
      <c r="M186" s="49"/>
      <c r="N186" s="49"/>
      <c r="O186" s="13"/>
      <c r="P186" s="50"/>
      <c r="Q186" s="50"/>
      <c r="R186" s="50"/>
      <c r="S186" s="52"/>
      <c r="T186" s="13"/>
      <c r="U186" s="13"/>
      <c r="V186" s="13"/>
      <c r="W186" s="13"/>
      <c r="X186" s="49"/>
      <c r="Y186" s="13"/>
    </row>
    <row r="187">
      <c r="A187" s="13"/>
      <c r="B187" s="48"/>
      <c r="C187" s="13"/>
      <c r="D187" s="51"/>
      <c r="E187" s="16"/>
      <c r="F187" s="14"/>
      <c r="G187" s="13"/>
      <c r="H187" s="13"/>
      <c r="I187" s="13"/>
      <c r="J187" s="13"/>
      <c r="K187" s="49"/>
      <c r="L187" s="49"/>
      <c r="M187" s="49"/>
      <c r="N187" s="49"/>
      <c r="O187" s="13"/>
      <c r="P187" s="50"/>
      <c r="Q187" s="50"/>
      <c r="R187" s="50"/>
      <c r="S187" s="52"/>
      <c r="T187" s="13"/>
      <c r="U187" s="13"/>
      <c r="V187" s="13"/>
      <c r="W187" s="13"/>
      <c r="X187" s="49"/>
      <c r="Y187" s="13"/>
    </row>
    <row r="188">
      <c r="A188" s="13"/>
      <c r="B188" s="48"/>
      <c r="C188" s="13"/>
      <c r="D188" s="51"/>
      <c r="E188" s="16"/>
      <c r="F188" s="14"/>
      <c r="G188" s="13"/>
      <c r="H188" s="13"/>
      <c r="I188" s="13"/>
      <c r="J188" s="13"/>
      <c r="K188" s="49"/>
      <c r="L188" s="49"/>
      <c r="M188" s="49"/>
      <c r="N188" s="49"/>
      <c r="O188" s="13"/>
      <c r="P188" s="50"/>
      <c r="Q188" s="50"/>
      <c r="R188" s="50"/>
      <c r="S188" s="52"/>
      <c r="T188" s="13"/>
      <c r="U188" s="13"/>
      <c r="V188" s="13"/>
      <c r="W188" s="13"/>
      <c r="X188" s="49"/>
      <c r="Y188" s="13"/>
    </row>
    <row r="189">
      <c r="A189" s="13"/>
      <c r="B189" s="48"/>
      <c r="C189" s="13"/>
      <c r="D189" s="51"/>
      <c r="E189" s="16"/>
      <c r="F189" s="14"/>
      <c r="G189" s="13"/>
      <c r="H189" s="13"/>
      <c r="I189" s="13"/>
      <c r="J189" s="13"/>
      <c r="K189" s="49"/>
      <c r="L189" s="49"/>
      <c r="M189" s="49"/>
      <c r="N189" s="49"/>
      <c r="O189" s="13"/>
      <c r="P189" s="50"/>
      <c r="Q189" s="50"/>
      <c r="R189" s="50"/>
      <c r="S189" s="52"/>
      <c r="T189" s="13"/>
      <c r="U189" s="13"/>
      <c r="V189" s="13"/>
      <c r="W189" s="13"/>
      <c r="X189" s="49"/>
      <c r="Y189" s="13"/>
    </row>
    <row r="190">
      <c r="A190" s="13"/>
      <c r="B190" s="48"/>
      <c r="C190" s="13"/>
      <c r="D190" s="51"/>
      <c r="E190" s="16"/>
      <c r="F190" s="14"/>
      <c r="G190" s="13"/>
      <c r="H190" s="13"/>
      <c r="I190" s="13"/>
      <c r="J190" s="13"/>
      <c r="K190" s="49"/>
      <c r="L190" s="49"/>
      <c r="M190" s="49"/>
      <c r="N190" s="49"/>
      <c r="O190" s="13"/>
      <c r="P190" s="50"/>
      <c r="Q190" s="50"/>
      <c r="R190" s="50"/>
      <c r="S190" s="52"/>
      <c r="T190" s="13"/>
      <c r="U190" s="13"/>
      <c r="V190" s="13"/>
      <c r="W190" s="13"/>
      <c r="X190" s="49"/>
      <c r="Y190" s="13"/>
    </row>
    <row r="191">
      <c r="A191" s="13"/>
      <c r="B191" s="48"/>
      <c r="C191" s="13"/>
      <c r="D191" s="51"/>
      <c r="E191" s="16"/>
      <c r="F191" s="14"/>
      <c r="G191" s="13"/>
      <c r="H191" s="13"/>
      <c r="I191" s="13"/>
      <c r="J191" s="13"/>
      <c r="K191" s="49"/>
      <c r="L191" s="49"/>
      <c r="M191" s="49"/>
      <c r="N191" s="49"/>
      <c r="O191" s="13"/>
      <c r="P191" s="50"/>
      <c r="Q191" s="50"/>
      <c r="R191" s="50"/>
      <c r="S191" s="52"/>
      <c r="T191" s="13"/>
      <c r="U191" s="13"/>
      <c r="V191" s="13"/>
      <c r="W191" s="13"/>
      <c r="X191" s="49"/>
      <c r="Y191" s="13"/>
    </row>
    <row r="192">
      <c r="A192" s="13"/>
      <c r="B192" s="48"/>
      <c r="C192" s="13"/>
      <c r="D192" s="51"/>
      <c r="E192" s="16"/>
      <c r="F192" s="14"/>
      <c r="G192" s="13"/>
      <c r="H192" s="13"/>
      <c r="I192" s="13"/>
      <c r="J192" s="13"/>
      <c r="K192" s="49"/>
      <c r="L192" s="49"/>
      <c r="M192" s="49"/>
      <c r="N192" s="49"/>
      <c r="O192" s="13"/>
      <c r="P192" s="50"/>
      <c r="Q192" s="50"/>
      <c r="R192" s="50"/>
      <c r="S192" s="52"/>
      <c r="T192" s="13"/>
      <c r="U192" s="13"/>
      <c r="V192" s="13"/>
      <c r="W192" s="13"/>
      <c r="X192" s="49"/>
      <c r="Y192" s="13"/>
    </row>
    <row r="193">
      <c r="A193" s="13"/>
      <c r="B193" s="48"/>
      <c r="C193" s="13"/>
      <c r="D193" s="51"/>
      <c r="E193" s="16"/>
      <c r="F193" s="14"/>
      <c r="G193" s="13"/>
      <c r="H193" s="13"/>
      <c r="I193" s="13"/>
      <c r="J193" s="13"/>
      <c r="K193" s="49"/>
      <c r="L193" s="49"/>
      <c r="M193" s="49"/>
      <c r="N193" s="49"/>
      <c r="O193" s="13"/>
      <c r="P193" s="50"/>
      <c r="Q193" s="50"/>
      <c r="R193" s="50"/>
      <c r="S193" s="52"/>
      <c r="T193" s="13"/>
      <c r="U193" s="13"/>
      <c r="V193" s="13"/>
      <c r="W193" s="13"/>
      <c r="X193" s="49"/>
      <c r="Y193" s="13"/>
    </row>
    <row r="194">
      <c r="A194" s="13"/>
      <c r="B194" s="48"/>
      <c r="C194" s="13"/>
      <c r="D194" s="51"/>
      <c r="E194" s="16"/>
      <c r="F194" s="14"/>
      <c r="G194" s="13"/>
      <c r="H194" s="13"/>
      <c r="I194" s="13"/>
      <c r="J194" s="13"/>
      <c r="K194" s="49"/>
      <c r="L194" s="49"/>
      <c r="M194" s="49"/>
      <c r="N194" s="49"/>
      <c r="O194" s="13"/>
      <c r="P194" s="50"/>
      <c r="Q194" s="50"/>
      <c r="R194" s="50"/>
      <c r="S194" s="52"/>
      <c r="T194" s="13"/>
      <c r="U194" s="13"/>
      <c r="V194" s="13"/>
      <c r="W194" s="13"/>
      <c r="X194" s="49"/>
      <c r="Y194" s="13"/>
    </row>
    <row r="195">
      <c r="A195" s="13"/>
      <c r="B195" s="48"/>
      <c r="C195" s="13"/>
      <c r="D195" s="51"/>
      <c r="E195" s="16"/>
      <c r="F195" s="14"/>
      <c r="G195" s="13"/>
      <c r="H195" s="13"/>
      <c r="I195" s="13"/>
      <c r="J195" s="13"/>
      <c r="K195" s="49"/>
      <c r="L195" s="49"/>
      <c r="M195" s="49"/>
      <c r="N195" s="49"/>
      <c r="O195" s="13"/>
      <c r="P195" s="50"/>
      <c r="Q195" s="50"/>
      <c r="R195" s="50"/>
      <c r="S195" s="52"/>
      <c r="T195" s="13"/>
      <c r="U195" s="13"/>
      <c r="V195" s="13"/>
      <c r="W195" s="13"/>
      <c r="X195" s="49"/>
      <c r="Y195" s="13"/>
    </row>
    <row r="196">
      <c r="A196" s="13"/>
      <c r="B196" s="48"/>
      <c r="C196" s="13"/>
      <c r="D196" s="51"/>
      <c r="E196" s="16"/>
      <c r="F196" s="14"/>
      <c r="G196" s="13"/>
      <c r="H196" s="13"/>
      <c r="I196" s="13"/>
      <c r="J196" s="13"/>
      <c r="K196" s="49"/>
      <c r="L196" s="49"/>
      <c r="M196" s="49"/>
      <c r="N196" s="49"/>
      <c r="O196" s="13"/>
      <c r="P196" s="50"/>
      <c r="Q196" s="50"/>
      <c r="R196" s="50"/>
      <c r="S196" s="52"/>
      <c r="T196" s="13"/>
      <c r="U196" s="13"/>
      <c r="V196" s="13"/>
      <c r="W196" s="13"/>
      <c r="X196" s="49"/>
      <c r="Y196" s="13"/>
    </row>
    <row r="197">
      <c r="A197" s="13"/>
      <c r="B197" s="48"/>
      <c r="C197" s="13"/>
      <c r="D197" s="51"/>
      <c r="E197" s="16"/>
      <c r="F197" s="14"/>
      <c r="G197" s="13"/>
      <c r="H197" s="13"/>
      <c r="I197" s="13"/>
      <c r="J197" s="13"/>
      <c r="K197" s="49"/>
      <c r="L197" s="49"/>
      <c r="M197" s="49"/>
      <c r="N197" s="49"/>
      <c r="O197" s="13"/>
      <c r="P197" s="50"/>
      <c r="Q197" s="50"/>
      <c r="R197" s="50"/>
      <c r="S197" s="52"/>
      <c r="T197" s="13"/>
      <c r="U197" s="13"/>
      <c r="V197" s="13"/>
      <c r="W197" s="13"/>
      <c r="X197" s="49"/>
      <c r="Y197" s="13"/>
    </row>
    <row r="198">
      <c r="A198" s="13"/>
      <c r="B198" s="48"/>
      <c r="C198" s="13"/>
      <c r="D198" s="51"/>
      <c r="E198" s="16"/>
      <c r="F198" s="14"/>
      <c r="G198" s="13"/>
      <c r="H198" s="13"/>
      <c r="I198" s="13"/>
      <c r="J198" s="13"/>
      <c r="K198" s="49"/>
      <c r="L198" s="49"/>
      <c r="M198" s="49"/>
      <c r="N198" s="49"/>
      <c r="O198" s="13"/>
      <c r="P198" s="50"/>
      <c r="Q198" s="50"/>
      <c r="R198" s="50"/>
      <c r="S198" s="52"/>
      <c r="T198" s="13"/>
      <c r="U198" s="13"/>
      <c r="V198" s="13"/>
      <c r="W198" s="13"/>
      <c r="X198" s="49"/>
      <c r="Y198" s="13"/>
    </row>
    <row r="199">
      <c r="A199" s="13"/>
      <c r="B199" s="48"/>
      <c r="C199" s="13"/>
      <c r="D199" s="51"/>
      <c r="E199" s="16"/>
      <c r="F199" s="14"/>
      <c r="G199" s="13"/>
      <c r="H199" s="13"/>
      <c r="I199" s="13"/>
      <c r="J199" s="13"/>
      <c r="K199" s="49"/>
      <c r="L199" s="49"/>
      <c r="M199" s="49"/>
      <c r="N199" s="49"/>
      <c r="O199" s="13"/>
      <c r="P199" s="50"/>
      <c r="Q199" s="50"/>
      <c r="R199" s="50"/>
      <c r="S199" s="52"/>
      <c r="T199" s="13"/>
      <c r="U199" s="13"/>
      <c r="V199" s="13"/>
      <c r="W199" s="13"/>
      <c r="X199" s="49"/>
      <c r="Y199" s="13"/>
    </row>
    <row r="200">
      <c r="A200" s="13"/>
      <c r="B200" s="48"/>
      <c r="C200" s="13"/>
      <c r="D200" s="51"/>
      <c r="E200" s="16"/>
      <c r="F200" s="14"/>
      <c r="G200" s="13"/>
      <c r="H200" s="13"/>
      <c r="I200" s="13"/>
      <c r="J200" s="13"/>
      <c r="K200" s="49"/>
      <c r="L200" s="49"/>
      <c r="M200" s="49"/>
      <c r="N200" s="49"/>
      <c r="O200" s="13"/>
      <c r="P200" s="50"/>
      <c r="Q200" s="50"/>
      <c r="R200" s="50"/>
      <c r="S200" s="52"/>
      <c r="T200" s="13"/>
      <c r="U200" s="13"/>
      <c r="V200" s="13"/>
      <c r="W200" s="13"/>
      <c r="X200" s="49"/>
      <c r="Y200" s="13"/>
    </row>
    <row r="201">
      <c r="A201" s="13"/>
      <c r="B201" s="48"/>
      <c r="C201" s="13"/>
      <c r="D201" s="51"/>
      <c r="E201" s="16"/>
      <c r="F201" s="14"/>
      <c r="G201" s="13"/>
      <c r="H201" s="13"/>
      <c r="I201" s="13"/>
      <c r="J201" s="13"/>
      <c r="K201" s="49"/>
      <c r="L201" s="49"/>
      <c r="M201" s="49"/>
      <c r="N201" s="49"/>
      <c r="O201" s="13"/>
      <c r="P201" s="50"/>
      <c r="Q201" s="50"/>
      <c r="R201" s="50"/>
      <c r="S201" s="52"/>
      <c r="T201" s="13"/>
      <c r="U201" s="13"/>
      <c r="V201" s="13"/>
      <c r="W201" s="13"/>
      <c r="X201" s="49"/>
      <c r="Y201" s="13"/>
    </row>
    <row r="202">
      <c r="A202" s="13"/>
      <c r="B202" s="48"/>
      <c r="C202" s="13"/>
      <c r="D202" s="51"/>
      <c r="E202" s="16"/>
      <c r="F202" s="14"/>
      <c r="G202" s="13"/>
      <c r="H202" s="13"/>
      <c r="I202" s="13"/>
      <c r="J202" s="13"/>
      <c r="K202" s="49"/>
      <c r="L202" s="49"/>
      <c r="M202" s="49"/>
      <c r="N202" s="49"/>
      <c r="O202" s="13"/>
      <c r="P202" s="50"/>
      <c r="Q202" s="50"/>
      <c r="R202" s="50"/>
      <c r="S202" s="52"/>
      <c r="T202" s="13"/>
      <c r="U202" s="13"/>
      <c r="V202" s="13"/>
      <c r="W202" s="13"/>
      <c r="X202" s="49"/>
      <c r="Y202" s="13"/>
    </row>
    <row r="203">
      <c r="A203" s="13"/>
      <c r="B203" s="48"/>
      <c r="C203" s="13"/>
      <c r="D203" s="51"/>
      <c r="E203" s="16"/>
      <c r="F203" s="14"/>
      <c r="G203" s="13"/>
      <c r="H203" s="13"/>
      <c r="I203" s="13"/>
      <c r="J203" s="13"/>
      <c r="K203" s="49"/>
      <c r="L203" s="49"/>
      <c r="M203" s="49"/>
      <c r="N203" s="49"/>
      <c r="O203" s="13"/>
      <c r="P203" s="50"/>
      <c r="Q203" s="50"/>
      <c r="R203" s="50"/>
      <c r="S203" s="52"/>
      <c r="T203" s="13"/>
      <c r="U203" s="13"/>
      <c r="V203" s="13"/>
      <c r="W203" s="13"/>
      <c r="X203" s="49"/>
      <c r="Y203" s="13"/>
    </row>
    <row r="204">
      <c r="A204" s="13"/>
      <c r="B204" s="48"/>
      <c r="C204" s="13"/>
      <c r="D204" s="51"/>
      <c r="E204" s="16"/>
      <c r="F204" s="14"/>
      <c r="G204" s="13"/>
      <c r="H204" s="13"/>
      <c r="I204" s="13"/>
      <c r="J204" s="13"/>
      <c r="K204" s="49"/>
      <c r="L204" s="49"/>
      <c r="M204" s="49"/>
      <c r="N204" s="49"/>
      <c r="O204" s="13"/>
      <c r="P204" s="50"/>
      <c r="Q204" s="50"/>
      <c r="R204" s="50"/>
      <c r="S204" s="52"/>
      <c r="T204" s="13"/>
      <c r="U204" s="13"/>
      <c r="V204" s="13"/>
      <c r="W204" s="13"/>
      <c r="X204" s="49"/>
      <c r="Y204" s="13"/>
    </row>
    <row r="205">
      <c r="A205" s="13"/>
      <c r="B205" s="48"/>
      <c r="C205" s="13"/>
      <c r="D205" s="51"/>
      <c r="E205" s="16"/>
      <c r="F205" s="14"/>
      <c r="G205" s="13"/>
      <c r="H205" s="13"/>
      <c r="I205" s="13"/>
      <c r="J205" s="13"/>
      <c r="K205" s="49"/>
      <c r="L205" s="49"/>
      <c r="M205" s="49"/>
      <c r="N205" s="49"/>
      <c r="O205" s="13"/>
      <c r="P205" s="50"/>
      <c r="Q205" s="50"/>
      <c r="R205" s="50"/>
      <c r="S205" s="52"/>
      <c r="T205" s="13"/>
      <c r="U205" s="13"/>
      <c r="V205" s="13"/>
      <c r="W205" s="13"/>
      <c r="X205" s="49"/>
      <c r="Y205" s="13"/>
    </row>
    <row r="206">
      <c r="A206" s="13"/>
      <c r="B206" s="48"/>
      <c r="C206" s="13"/>
      <c r="D206" s="51"/>
      <c r="E206" s="16"/>
      <c r="F206" s="14"/>
      <c r="G206" s="13"/>
      <c r="H206" s="13"/>
      <c r="I206" s="13"/>
      <c r="J206" s="13"/>
      <c r="K206" s="49"/>
      <c r="L206" s="49"/>
      <c r="M206" s="49"/>
      <c r="N206" s="49"/>
      <c r="O206" s="13"/>
      <c r="P206" s="50"/>
      <c r="Q206" s="50"/>
      <c r="R206" s="50"/>
      <c r="S206" s="52"/>
      <c r="T206" s="13"/>
      <c r="U206" s="13"/>
      <c r="V206" s="13"/>
      <c r="W206" s="13"/>
      <c r="X206" s="49"/>
      <c r="Y206" s="13"/>
    </row>
    <row r="207">
      <c r="A207" s="13"/>
      <c r="B207" s="48"/>
      <c r="C207" s="13"/>
      <c r="D207" s="51"/>
      <c r="E207" s="16"/>
      <c r="F207" s="14"/>
      <c r="G207" s="13"/>
      <c r="H207" s="13"/>
      <c r="I207" s="13"/>
      <c r="J207" s="13"/>
      <c r="K207" s="49"/>
      <c r="L207" s="49"/>
      <c r="M207" s="49"/>
      <c r="N207" s="49"/>
      <c r="O207" s="13"/>
      <c r="P207" s="50"/>
      <c r="Q207" s="50"/>
      <c r="R207" s="50"/>
      <c r="S207" s="52"/>
      <c r="T207" s="13"/>
      <c r="U207" s="13"/>
      <c r="V207" s="13"/>
      <c r="W207" s="13"/>
      <c r="X207" s="49"/>
      <c r="Y207" s="13"/>
    </row>
    <row r="208">
      <c r="A208" s="13"/>
      <c r="B208" s="48"/>
      <c r="C208" s="13"/>
      <c r="D208" s="51"/>
      <c r="E208" s="16"/>
      <c r="F208" s="14"/>
      <c r="G208" s="13"/>
      <c r="H208" s="13"/>
      <c r="I208" s="13"/>
      <c r="J208" s="13"/>
      <c r="K208" s="49"/>
      <c r="L208" s="49"/>
      <c r="M208" s="49"/>
      <c r="N208" s="49"/>
      <c r="O208" s="13"/>
      <c r="P208" s="50"/>
      <c r="Q208" s="50"/>
      <c r="R208" s="50"/>
      <c r="S208" s="52"/>
      <c r="T208" s="13"/>
      <c r="U208" s="13"/>
      <c r="V208" s="13"/>
      <c r="W208" s="13"/>
      <c r="X208" s="49"/>
      <c r="Y208" s="13"/>
    </row>
    <row r="209">
      <c r="A209" s="13"/>
      <c r="B209" s="48"/>
      <c r="C209" s="13"/>
      <c r="D209" s="51"/>
      <c r="E209" s="16"/>
      <c r="F209" s="14"/>
      <c r="G209" s="13"/>
      <c r="H209" s="13"/>
      <c r="I209" s="13"/>
      <c r="J209" s="13"/>
      <c r="K209" s="49"/>
      <c r="L209" s="49"/>
      <c r="M209" s="49"/>
      <c r="N209" s="49"/>
      <c r="O209" s="13"/>
      <c r="P209" s="50"/>
      <c r="Q209" s="50"/>
      <c r="R209" s="50"/>
      <c r="S209" s="52"/>
      <c r="T209" s="13"/>
      <c r="U209" s="13"/>
      <c r="V209" s="13"/>
      <c r="W209" s="13"/>
      <c r="X209" s="49"/>
      <c r="Y209" s="13"/>
    </row>
    <row r="210">
      <c r="A210" s="13"/>
      <c r="B210" s="48"/>
      <c r="C210" s="13"/>
      <c r="D210" s="51"/>
      <c r="E210" s="16"/>
      <c r="F210" s="14"/>
      <c r="G210" s="13"/>
      <c r="H210" s="13"/>
      <c r="I210" s="13"/>
      <c r="J210" s="13"/>
      <c r="K210" s="49"/>
      <c r="L210" s="49"/>
      <c r="M210" s="49"/>
      <c r="N210" s="49"/>
      <c r="O210" s="13"/>
      <c r="P210" s="50"/>
      <c r="Q210" s="50"/>
      <c r="R210" s="50"/>
      <c r="S210" s="52"/>
      <c r="T210" s="13"/>
      <c r="U210" s="13"/>
      <c r="V210" s="13"/>
      <c r="W210" s="13"/>
      <c r="X210" s="49"/>
      <c r="Y210" s="13"/>
    </row>
    <row r="211">
      <c r="A211" s="13"/>
      <c r="B211" s="48"/>
      <c r="C211" s="13"/>
      <c r="D211" s="51"/>
      <c r="E211" s="16"/>
      <c r="F211" s="14"/>
      <c r="G211" s="13"/>
      <c r="H211" s="13"/>
      <c r="I211" s="13"/>
      <c r="J211" s="13"/>
      <c r="K211" s="49"/>
      <c r="L211" s="49"/>
      <c r="M211" s="49"/>
      <c r="N211" s="49"/>
      <c r="O211" s="13"/>
      <c r="P211" s="50"/>
      <c r="Q211" s="50"/>
      <c r="R211" s="50"/>
      <c r="S211" s="52"/>
      <c r="T211" s="13"/>
      <c r="U211" s="13"/>
      <c r="V211" s="13"/>
      <c r="W211" s="13"/>
      <c r="X211" s="49"/>
      <c r="Y211" s="13"/>
    </row>
    <row r="212">
      <c r="A212" s="13"/>
      <c r="B212" s="48"/>
      <c r="C212" s="13"/>
      <c r="D212" s="51"/>
      <c r="E212" s="16"/>
      <c r="F212" s="14"/>
      <c r="G212" s="13"/>
      <c r="H212" s="13"/>
      <c r="I212" s="13"/>
      <c r="J212" s="13"/>
      <c r="K212" s="49"/>
      <c r="L212" s="49"/>
      <c r="M212" s="49"/>
      <c r="N212" s="49"/>
      <c r="O212" s="13"/>
      <c r="P212" s="50"/>
      <c r="Q212" s="50"/>
      <c r="R212" s="50"/>
      <c r="S212" s="52"/>
      <c r="T212" s="13"/>
      <c r="U212" s="13"/>
      <c r="V212" s="13"/>
      <c r="W212" s="13"/>
      <c r="X212" s="49"/>
      <c r="Y212" s="13"/>
    </row>
    <row r="213">
      <c r="A213" s="13"/>
      <c r="B213" s="48"/>
      <c r="C213" s="13"/>
      <c r="D213" s="51"/>
      <c r="E213" s="16"/>
      <c r="F213" s="14"/>
      <c r="G213" s="13"/>
      <c r="H213" s="13"/>
      <c r="I213" s="13"/>
      <c r="J213" s="13"/>
      <c r="K213" s="49"/>
      <c r="L213" s="49"/>
      <c r="M213" s="49"/>
      <c r="N213" s="49"/>
      <c r="O213" s="13"/>
      <c r="P213" s="50"/>
      <c r="Q213" s="50"/>
      <c r="R213" s="50"/>
      <c r="S213" s="52"/>
      <c r="T213" s="13"/>
      <c r="U213" s="13"/>
      <c r="V213" s="13"/>
      <c r="W213" s="13"/>
      <c r="X213" s="49"/>
      <c r="Y213" s="13"/>
    </row>
    <row r="214">
      <c r="A214" s="13"/>
      <c r="B214" s="48"/>
      <c r="C214" s="13"/>
      <c r="D214" s="51"/>
      <c r="E214" s="16"/>
      <c r="F214" s="14"/>
      <c r="G214" s="13"/>
      <c r="H214" s="13"/>
      <c r="I214" s="13"/>
      <c r="J214" s="13"/>
      <c r="K214" s="49"/>
      <c r="L214" s="49"/>
      <c r="M214" s="49"/>
      <c r="N214" s="49"/>
      <c r="O214" s="13"/>
      <c r="P214" s="50"/>
      <c r="Q214" s="50"/>
      <c r="R214" s="50"/>
      <c r="S214" s="52"/>
      <c r="T214" s="13"/>
      <c r="U214" s="13"/>
      <c r="V214" s="13"/>
      <c r="W214" s="13"/>
      <c r="X214" s="49"/>
      <c r="Y214" s="13"/>
    </row>
    <row r="215">
      <c r="A215" s="13"/>
      <c r="B215" s="48"/>
      <c r="C215" s="13"/>
      <c r="D215" s="51"/>
      <c r="E215" s="16"/>
      <c r="F215" s="14"/>
      <c r="G215" s="13"/>
      <c r="H215" s="13"/>
      <c r="I215" s="13"/>
      <c r="J215" s="13"/>
      <c r="K215" s="49"/>
      <c r="L215" s="49"/>
      <c r="M215" s="49"/>
      <c r="N215" s="49"/>
      <c r="O215" s="13"/>
      <c r="P215" s="50"/>
      <c r="Q215" s="50"/>
      <c r="R215" s="50"/>
      <c r="S215" s="52"/>
      <c r="T215" s="13"/>
      <c r="U215" s="13"/>
      <c r="V215" s="13"/>
      <c r="W215" s="13"/>
      <c r="X215" s="49"/>
      <c r="Y215" s="13"/>
    </row>
    <row r="216">
      <c r="A216" s="13"/>
      <c r="B216" s="48"/>
      <c r="C216" s="13"/>
      <c r="D216" s="51"/>
      <c r="E216" s="16"/>
      <c r="F216" s="14"/>
      <c r="G216" s="13"/>
      <c r="H216" s="13"/>
      <c r="I216" s="13"/>
      <c r="J216" s="13"/>
      <c r="K216" s="49"/>
      <c r="L216" s="49"/>
      <c r="M216" s="49"/>
      <c r="N216" s="49"/>
      <c r="O216" s="13"/>
      <c r="P216" s="50"/>
      <c r="Q216" s="50"/>
      <c r="R216" s="50"/>
      <c r="S216" s="52"/>
      <c r="T216" s="13"/>
      <c r="U216" s="13"/>
      <c r="V216" s="13"/>
      <c r="W216" s="13"/>
      <c r="X216" s="49"/>
      <c r="Y216" s="13"/>
    </row>
    <row r="217">
      <c r="A217" s="13"/>
      <c r="B217" s="48"/>
      <c r="C217" s="13"/>
      <c r="D217" s="51"/>
      <c r="E217" s="16"/>
      <c r="F217" s="14"/>
      <c r="G217" s="13"/>
      <c r="H217" s="13"/>
      <c r="I217" s="13"/>
      <c r="J217" s="13"/>
      <c r="K217" s="49"/>
      <c r="L217" s="49"/>
      <c r="M217" s="49"/>
      <c r="N217" s="49"/>
      <c r="O217" s="13"/>
      <c r="P217" s="50"/>
      <c r="Q217" s="50"/>
      <c r="R217" s="50"/>
      <c r="S217" s="52"/>
      <c r="T217" s="13"/>
      <c r="U217" s="13"/>
      <c r="V217" s="13"/>
      <c r="W217" s="13"/>
      <c r="X217" s="49"/>
      <c r="Y217" s="13"/>
    </row>
    <row r="218">
      <c r="A218" s="13"/>
      <c r="B218" s="48"/>
      <c r="C218" s="13"/>
      <c r="D218" s="51"/>
      <c r="E218" s="16"/>
      <c r="F218" s="14"/>
      <c r="G218" s="13"/>
      <c r="H218" s="13"/>
      <c r="I218" s="13"/>
      <c r="J218" s="13"/>
      <c r="K218" s="49"/>
      <c r="L218" s="49"/>
      <c r="M218" s="49"/>
      <c r="N218" s="49"/>
      <c r="O218" s="13"/>
      <c r="P218" s="50"/>
      <c r="Q218" s="50"/>
      <c r="R218" s="50"/>
      <c r="S218" s="52"/>
      <c r="T218" s="13"/>
      <c r="U218" s="13"/>
      <c r="V218" s="13"/>
      <c r="W218" s="13"/>
      <c r="X218" s="49"/>
      <c r="Y218" s="13"/>
    </row>
    <row r="219">
      <c r="A219" s="13"/>
      <c r="B219" s="48"/>
      <c r="C219" s="13"/>
      <c r="D219" s="51"/>
      <c r="E219" s="16"/>
      <c r="F219" s="14"/>
      <c r="G219" s="13"/>
      <c r="H219" s="13"/>
      <c r="I219" s="13"/>
      <c r="J219" s="13"/>
      <c r="K219" s="49"/>
      <c r="L219" s="49"/>
      <c r="M219" s="49"/>
      <c r="N219" s="49"/>
      <c r="O219" s="13"/>
      <c r="P219" s="50"/>
      <c r="Q219" s="50"/>
      <c r="R219" s="50"/>
      <c r="S219" s="52"/>
      <c r="T219" s="13"/>
      <c r="U219" s="13"/>
      <c r="V219" s="13"/>
      <c r="W219" s="13"/>
      <c r="X219" s="49"/>
      <c r="Y219" s="13"/>
    </row>
    <row r="220">
      <c r="A220" s="13"/>
      <c r="B220" s="48"/>
      <c r="C220" s="13"/>
      <c r="D220" s="51"/>
      <c r="E220" s="16"/>
      <c r="F220" s="14"/>
      <c r="G220" s="13"/>
      <c r="H220" s="13"/>
      <c r="I220" s="13"/>
      <c r="J220" s="13"/>
      <c r="K220" s="49"/>
      <c r="L220" s="49"/>
      <c r="M220" s="49"/>
      <c r="N220" s="49"/>
      <c r="O220" s="13"/>
      <c r="P220" s="50"/>
      <c r="Q220" s="50"/>
      <c r="R220" s="50"/>
      <c r="S220" s="52"/>
      <c r="T220" s="13"/>
      <c r="U220" s="13"/>
      <c r="V220" s="13"/>
      <c r="W220" s="13"/>
      <c r="X220" s="49"/>
      <c r="Y220" s="13"/>
    </row>
    <row r="221">
      <c r="A221" s="13"/>
      <c r="B221" s="48"/>
      <c r="C221" s="13"/>
      <c r="D221" s="51"/>
      <c r="E221" s="16"/>
      <c r="F221" s="14"/>
      <c r="G221" s="13"/>
      <c r="H221" s="13"/>
      <c r="I221" s="13"/>
      <c r="J221" s="13"/>
      <c r="K221" s="49"/>
      <c r="L221" s="49"/>
      <c r="M221" s="49"/>
      <c r="N221" s="49"/>
      <c r="O221" s="13"/>
      <c r="P221" s="50"/>
      <c r="Q221" s="50"/>
      <c r="R221" s="50"/>
      <c r="S221" s="52"/>
      <c r="T221" s="13"/>
      <c r="U221" s="13"/>
      <c r="V221" s="13"/>
      <c r="W221" s="13"/>
      <c r="X221" s="49"/>
      <c r="Y221" s="13"/>
    </row>
    <row r="222">
      <c r="A222" s="13"/>
      <c r="B222" s="48"/>
      <c r="C222" s="13"/>
      <c r="D222" s="51"/>
      <c r="E222" s="16"/>
      <c r="F222" s="14"/>
      <c r="G222" s="13"/>
      <c r="H222" s="13"/>
      <c r="I222" s="13"/>
      <c r="J222" s="13"/>
      <c r="K222" s="49"/>
      <c r="L222" s="49"/>
      <c r="M222" s="49"/>
      <c r="N222" s="49"/>
      <c r="O222" s="13"/>
      <c r="P222" s="50"/>
      <c r="Q222" s="50"/>
      <c r="R222" s="50"/>
      <c r="S222" s="52"/>
      <c r="T222" s="13"/>
      <c r="U222" s="13"/>
      <c r="V222" s="13"/>
      <c r="W222" s="13"/>
      <c r="X222" s="49"/>
      <c r="Y222" s="13"/>
    </row>
    <row r="223">
      <c r="A223" s="13"/>
      <c r="B223" s="48"/>
      <c r="C223" s="13"/>
      <c r="D223" s="51"/>
      <c r="E223" s="16"/>
      <c r="F223" s="14"/>
      <c r="G223" s="13"/>
      <c r="H223" s="13"/>
      <c r="I223" s="13"/>
      <c r="J223" s="13"/>
      <c r="K223" s="49"/>
      <c r="L223" s="49"/>
      <c r="M223" s="49"/>
      <c r="N223" s="49"/>
      <c r="O223" s="13"/>
      <c r="P223" s="50"/>
      <c r="Q223" s="50"/>
      <c r="R223" s="50"/>
      <c r="S223" s="52"/>
      <c r="T223" s="13"/>
      <c r="U223" s="13"/>
      <c r="V223" s="13"/>
      <c r="W223" s="13"/>
      <c r="X223" s="49"/>
      <c r="Y223" s="13"/>
    </row>
    <row r="224">
      <c r="A224" s="13"/>
      <c r="B224" s="48"/>
      <c r="C224" s="13"/>
      <c r="D224" s="51"/>
      <c r="E224" s="16"/>
      <c r="F224" s="14"/>
      <c r="G224" s="13"/>
      <c r="H224" s="13"/>
      <c r="I224" s="13"/>
      <c r="J224" s="13"/>
      <c r="K224" s="49"/>
      <c r="L224" s="49"/>
      <c r="M224" s="49"/>
      <c r="N224" s="49"/>
      <c r="O224" s="13"/>
      <c r="P224" s="50"/>
      <c r="Q224" s="50"/>
      <c r="R224" s="50"/>
      <c r="S224" s="52"/>
      <c r="T224" s="13"/>
      <c r="U224" s="13"/>
      <c r="V224" s="13"/>
      <c r="W224" s="13"/>
      <c r="X224" s="49"/>
      <c r="Y224" s="13"/>
    </row>
    <row r="225">
      <c r="A225" s="13"/>
      <c r="B225" s="48"/>
      <c r="C225" s="13"/>
      <c r="D225" s="51"/>
      <c r="E225" s="16"/>
      <c r="F225" s="14"/>
      <c r="G225" s="13"/>
      <c r="H225" s="13"/>
      <c r="I225" s="13"/>
      <c r="J225" s="13"/>
      <c r="K225" s="49"/>
      <c r="L225" s="49"/>
      <c r="M225" s="49"/>
      <c r="N225" s="49"/>
      <c r="O225" s="13"/>
      <c r="P225" s="50"/>
      <c r="Q225" s="50"/>
      <c r="R225" s="50"/>
      <c r="S225" s="52"/>
      <c r="T225" s="13"/>
      <c r="U225" s="13"/>
      <c r="V225" s="13"/>
      <c r="W225" s="13"/>
      <c r="X225" s="49"/>
      <c r="Y225" s="13"/>
    </row>
    <row r="226">
      <c r="A226" s="13"/>
      <c r="B226" s="48"/>
      <c r="C226" s="13"/>
      <c r="D226" s="51"/>
      <c r="E226" s="16"/>
      <c r="F226" s="14"/>
      <c r="G226" s="13"/>
      <c r="H226" s="13"/>
      <c r="I226" s="13"/>
      <c r="J226" s="13"/>
      <c r="K226" s="49"/>
      <c r="L226" s="49"/>
      <c r="M226" s="49"/>
      <c r="N226" s="49"/>
      <c r="O226" s="13"/>
      <c r="P226" s="50"/>
      <c r="Q226" s="50"/>
      <c r="R226" s="50"/>
      <c r="S226" s="52"/>
      <c r="T226" s="13"/>
      <c r="U226" s="13"/>
      <c r="V226" s="13"/>
      <c r="W226" s="13"/>
      <c r="X226" s="49"/>
      <c r="Y226" s="13"/>
    </row>
    <row r="227">
      <c r="A227" s="13"/>
      <c r="B227" s="48"/>
      <c r="C227" s="13"/>
      <c r="D227" s="51"/>
      <c r="E227" s="16"/>
      <c r="F227" s="14"/>
      <c r="G227" s="13"/>
      <c r="H227" s="13"/>
      <c r="I227" s="13"/>
      <c r="J227" s="13"/>
      <c r="K227" s="49"/>
      <c r="L227" s="49"/>
      <c r="M227" s="49"/>
      <c r="N227" s="49"/>
      <c r="O227" s="13"/>
      <c r="P227" s="50"/>
      <c r="Q227" s="50"/>
      <c r="R227" s="50"/>
      <c r="S227" s="52"/>
      <c r="T227" s="13"/>
      <c r="U227" s="13"/>
      <c r="V227" s="13"/>
      <c r="W227" s="13"/>
      <c r="X227" s="49"/>
      <c r="Y227" s="13"/>
    </row>
    <row r="228">
      <c r="A228" s="13"/>
      <c r="B228" s="48"/>
      <c r="C228" s="13"/>
      <c r="D228" s="51"/>
      <c r="E228" s="16"/>
      <c r="F228" s="14"/>
      <c r="G228" s="13"/>
      <c r="H228" s="13"/>
      <c r="I228" s="13"/>
      <c r="J228" s="13"/>
      <c r="K228" s="49"/>
      <c r="L228" s="49"/>
      <c r="M228" s="49"/>
      <c r="N228" s="49"/>
      <c r="O228" s="13"/>
      <c r="P228" s="50"/>
      <c r="Q228" s="50"/>
      <c r="R228" s="50"/>
      <c r="S228" s="52"/>
      <c r="T228" s="13"/>
      <c r="U228" s="13"/>
      <c r="V228" s="13"/>
      <c r="W228" s="13"/>
      <c r="X228" s="49"/>
      <c r="Y228" s="13"/>
    </row>
    <row r="229">
      <c r="A229" s="13"/>
      <c r="B229" s="48"/>
      <c r="C229" s="13"/>
      <c r="D229" s="51"/>
      <c r="E229" s="16"/>
      <c r="F229" s="14"/>
      <c r="G229" s="13"/>
      <c r="H229" s="13"/>
      <c r="I229" s="13"/>
      <c r="J229" s="13"/>
      <c r="K229" s="49"/>
      <c r="L229" s="49"/>
      <c r="M229" s="49"/>
      <c r="N229" s="49"/>
      <c r="O229" s="13"/>
      <c r="P229" s="50"/>
      <c r="Q229" s="50"/>
      <c r="R229" s="50"/>
      <c r="S229" s="52"/>
      <c r="T229" s="13"/>
      <c r="U229" s="13"/>
      <c r="V229" s="13"/>
      <c r="W229" s="13"/>
      <c r="X229" s="49"/>
      <c r="Y229" s="13"/>
    </row>
    <row r="230">
      <c r="A230" s="13"/>
      <c r="B230" s="48"/>
      <c r="C230" s="13"/>
      <c r="D230" s="51"/>
      <c r="E230" s="16"/>
      <c r="F230" s="14"/>
      <c r="G230" s="13"/>
      <c r="H230" s="13"/>
      <c r="I230" s="13"/>
      <c r="J230" s="13"/>
      <c r="K230" s="49"/>
      <c r="L230" s="49"/>
      <c r="M230" s="49"/>
      <c r="N230" s="49"/>
      <c r="O230" s="13"/>
      <c r="P230" s="50"/>
      <c r="Q230" s="50"/>
      <c r="R230" s="50"/>
      <c r="S230" s="52"/>
      <c r="T230" s="13"/>
      <c r="U230" s="13"/>
      <c r="V230" s="13"/>
      <c r="W230" s="13"/>
      <c r="X230" s="49"/>
      <c r="Y230" s="13"/>
    </row>
    <row r="231">
      <c r="A231" s="13"/>
      <c r="B231" s="48"/>
      <c r="C231" s="13"/>
      <c r="D231" s="51"/>
      <c r="E231" s="16"/>
      <c r="F231" s="14"/>
      <c r="G231" s="13"/>
      <c r="H231" s="13"/>
      <c r="I231" s="13"/>
      <c r="J231" s="13"/>
      <c r="K231" s="49"/>
      <c r="L231" s="49"/>
      <c r="M231" s="49"/>
      <c r="N231" s="49"/>
      <c r="O231" s="13"/>
      <c r="P231" s="50"/>
      <c r="Q231" s="50"/>
      <c r="R231" s="50"/>
      <c r="S231" s="52"/>
      <c r="T231" s="13"/>
      <c r="U231" s="13"/>
      <c r="V231" s="13"/>
      <c r="W231" s="13"/>
      <c r="X231" s="49"/>
      <c r="Y231" s="13"/>
    </row>
    <row r="232">
      <c r="A232" s="13"/>
      <c r="B232" s="48"/>
      <c r="C232" s="13"/>
      <c r="D232" s="51"/>
      <c r="E232" s="16"/>
      <c r="F232" s="14"/>
      <c r="G232" s="13"/>
      <c r="H232" s="13"/>
      <c r="I232" s="13"/>
      <c r="J232" s="13"/>
      <c r="K232" s="49"/>
      <c r="L232" s="49"/>
      <c r="M232" s="49"/>
      <c r="N232" s="49"/>
      <c r="O232" s="13"/>
      <c r="P232" s="50"/>
      <c r="Q232" s="50"/>
      <c r="R232" s="50"/>
      <c r="S232" s="52"/>
      <c r="T232" s="13"/>
      <c r="U232" s="13"/>
      <c r="V232" s="13"/>
      <c r="W232" s="13"/>
      <c r="X232" s="49"/>
      <c r="Y232" s="13"/>
    </row>
    <row r="233">
      <c r="A233" s="13"/>
      <c r="B233" s="48"/>
      <c r="C233" s="13"/>
      <c r="D233" s="51"/>
      <c r="E233" s="16"/>
      <c r="F233" s="14"/>
      <c r="G233" s="13"/>
      <c r="H233" s="13"/>
      <c r="I233" s="13"/>
      <c r="J233" s="13"/>
      <c r="K233" s="49"/>
      <c r="L233" s="49"/>
      <c r="M233" s="49"/>
      <c r="N233" s="49"/>
      <c r="O233" s="13"/>
      <c r="P233" s="50"/>
      <c r="Q233" s="50"/>
      <c r="R233" s="50"/>
      <c r="S233" s="52"/>
      <c r="T233" s="13"/>
      <c r="U233" s="13"/>
      <c r="V233" s="13"/>
      <c r="W233" s="13"/>
      <c r="X233" s="49"/>
      <c r="Y233" s="13"/>
    </row>
    <row r="234">
      <c r="A234" s="13"/>
      <c r="B234" s="48"/>
      <c r="C234" s="13"/>
      <c r="D234" s="51"/>
      <c r="E234" s="16"/>
      <c r="F234" s="14"/>
      <c r="G234" s="13"/>
      <c r="H234" s="13"/>
      <c r="I234" s="13"/>
      <c r="J234" s="13"/>
      <c r="K234" s="49"/>
      <c r="L234" s="49"/>
      <c r="M234" s="49"/>
      <c r="N234" s="49"/>
      <c r="O234" s="13"/>
      <c r="P234" s="50"/>
      <c r="Q234" s="50"/>
      <c r="R234" s="50"/>
      <c r="S234" s="52"/>
      <c r="T234" s="13"/>
      <c r="U234" s="13"/>
      <c r="V234" s="13"/>
      <c r="W234" s="13"/>
      <c r="X234" s="49"/>
      <c r="Y234" s="13"/>
    </row>
    <row r="235">
      <c r="A235" s="13"/>
      <c r="B235" s="48"/>
      <c r="C235" s="13"/>
      <c r="D235" s="51"/>
      <c r="E235" s="16"/>
      <c r="F235" s="14"/>
      <c r="G235" s="13"/>
      <c r="H235" s="13"/>
      <c r="I235" s="13"/>
      <c r="J235" s="13"/>
      <c r="K235" s="49"/>
      <c r="L235" s="49"/>
      <c r="M235" s="49"/>
      <c r="N235" s="49"/>
      <c r="O235" s="13"/>
      <c r="P235" s="50"/>
      <c r="Q235" s="50"/>
      <c r="R235" s="50"/>
      <c r="S235" s="52"/>
      <c r="T235" s="13"/>
      <c r="U235" s="13"/>
      <c r="V235" s="13"/>
      <c r="W235" s="13"/>
      <c r="X235" s="49"/>
      <c r="Y235" s="13"/>
    </row>
    <row r="236">
      <c r="A236" s="13"/>
      <c r="B236" s="48"/>
      <c r="C236" s="13"/>
      <c r="D236" s="51"/>
      <c r="E236" s="16"/>
      <c r="F236" s="14"/>
      <c r="G236" s="13"/>
      <c r="H236" s="13"/>
      <c r="I236" s="13"/>
      <c r="J236" s="13"/>
      <c r="K236" s="49"/>
      <c r="L236" s="49"/>
      <c r="M236" s="49"/>
      <c r="N236" s="49"/>
      <c r="O236" s="13"/>
      <c r="P236" s="50"/>
      <c r="Q236" s="50"/>
      <c r="R236" s="50"/>
      <c r="S236" s="52"/>
      <c r="T236" s="13"/>
      <c r="U236" s="13"/>
      <c r="V236" s="13"/>
      <c r="W236" s="13"/>
      <c r="X236" s="49"/>
      <c r="Y236" s="13"/>
    </row>
    <row r="237">
      <c r="A237" s="13"/>
      <c r="B237" s="48"/>
      <c r="C237" s="13"/>
      <c r="D237" s="51"/>
      <c r="E237" s="16"/>
      <c r="F237" s="14"/>
      <c r="G237" s="13"/>
      <c r="H237" s="13"/>
      <c r="I237" s="13"/>
      <c r="J237" s="13"/>
      <c r="K237" s="49"/>
      <c r="L237" s="49"/>
      <c r="M237" s="49"/>
      <c r="N237" s="49"/>
      <c r="O237" s="13"/>
      <c r="P237" s="50"/>
      <c r="Q237" s="50"/>
      <c r="R237" s="50"/>
      <c r="S237" s="52"/>
      <c r="T237" s="13"/>
      <c r="U237" s="13"/>
      <c r="V237" s="13"/>
      <c r="W237" s="13"/>
      <c r="X237" s="49"/>
      <c r="Y237" s="13"/>
    </row>
    <row r="238">
      <c r="A238" s="13"/>
      <c r="B238" s="48"/>
      <c r="C238" s="13"/>
      <c r="D238" s="51"/>
      <c r="E238" s="16"/>
      <c r="F238" s="14"/>
      <c r="G238" s="13"/>
      <c r="H238" s="13"/>
      <c r="I238" s="13"/>
      <c r="J238" s="13"/>
      <c r="K238" s="49"/>
      <c r="L238" s="49"/>
      <c r="M238" s="49"/>
      <c r="N238" s="49"/>
      <c r="O238" s="13"/>
      <c r="P238" s="50"/>
      <c r="Q238" s="50"/>
      <c r="R238" s="50"/>
      <c r="S238" s="52"/>
      <c r="T238" s="13"/>
      <c r="U238" s="13"/>
      <c r="V238" s="13"/>
      <c r="W238" s="13"/>
      <c r="X238" s="49"/>
      <c r="Y238" s="13"/>
    </row>
    <row r="239">
      <c r="A239" s="13"/>
      <c r="B239" s="48"/>
      <c r="C239" s="13"/>
      <c r="D239" s="51"/>
      <c r="E239" s="16"/>
      <c r="F239" s="14"/>
      <c r="G239" s="13"/>
      <c r="H239" s="13"/>
      <c r="I239" s="13"/>
      <c r="J239" s="13"/>
      <c r="K239" s="49"/>
      <c r="L239" s="49"/>
      <c r="M239" s="49"/>
      <c r="N239" s="49"/>
      <c r="O239" s="13"/>
      <c r="P239" s="50"/>
      <c r="Q239" s="50"/>
      <c r="R239" s="50"/>
      <c r="S239" s="52"/>
      <c r="T239" s="13"/>
      <c r="U239" s="13"/>
      <c r="V239" s="13"/>
      <c r="W239" s="13"/>
      <c r="X239" s="49"/>
      <c r="Y239" s="13"/>
    </row>
    <row r="240">
      <c r="A240" s="13"/>
      <c r="B240" s="48"/>
      <c r="C240" s="13"/>
      <c r="D240" s="51"/>
      <c r="E240" s="16"/>
      <c r="F240" s="14"/>
      <c r="G240" s="13"/>
      <c r="H240" s="13"/>
      <c r="I240" s="13"/>
      <c r="J240" s="13"/>
      <c r="K240" s="49"/>
      <c r="L240" s="49"/>
      <c r="M240" s="49"/>
      <c r="N240" s="49"/>
      <c r="O240" s="13"/>
      <c r="P240" s="50"/>
      <c r="Q240" s="50"/>
      <c r="R240" s="50"/>
      <c r="S240" s="52"/>
      <c r="T240" s="13"/>
      <c r="U240" s="13"/>
      <c r="V240" s="13"/>
      <c r="W240" s="13"/>
      <c r="X240" s="49"/>
      <c r="Y240" s="13"/>
    </row>
    <row r="241">
      <c r="A241" s="13"/>
      <c r="B241" s="48"/>
      <c r="C241" s="13"/>
      <c r="D241" s="51"/>
      <c r="E241" s="16"/>
      <c r="F241" s="14"/>
      <c r="G241" s="13"/>
      <c r="H241" s="13"/>
      <c r="I241" s="13"/>
      <c r="J241" s="13"/>
      <c r="K241" s="49"/>
      <c r="L241" s="49"/>
      <c r="M241" s="49"/>
      <c r="N241" s="49"/>
      <c r="O241" s="13"/>
      <c r="P241" s="50"/>
      <c r="Q241" s="50"/>
      <c r="R241" s="50"/>
      <c r="S241" s="52"/>
      <c r="T241" s="13"/>
      <c r="U241" s="13"/>
      <c r="V241" s="13"/>
      <c r="W241" s="13"/>
      <c r="X241" s="49"/>
      <c r="Y241" s="13"/>
    </row>
    <row r="242">
      <c r="A242" s="13"/>
      <c r="B242" s="48"/>
      <c r="C242" s="13"/>
      <c r="D242" s="51"/>
      <c r="E242" s="16"/>
      <c r="F242" s="14"/>
      <c r="G242" s="13"/>
      <c r="H242" s="13"/>
      <c r="I242" s="13"/>
      <c r="J242" s="13"/>
      <c r="K242" s="49"/>
      <c r="L242" s="49"/>
      <c r="M242" s="49"/>
      <c r="N242" s="49"/>
      <c r="O242" s="13"/>
      <c r="P242" s="50"/>
      <c r="Q242" s="50"/>
      <c r="R242" s="50"/>
      <c r="S242" s="52"/>
      <c r="T242" s="13"/>
      <c r="U242" s="13"/>
      <c r="V242" s="13"/>
      <c r="W242" s="13"/>
      <c r="X242" s="49"/>
      <c r="Y242" s="13"/>
    </row>
    <row r="243">
      <c r="A243" s="13"/>
      <c r="B243" s="48"/>
      <c r="C243" s="13"/>
      <c r="D243" s="51"/>
      <c r="E243" s="16"/>
      <c r="F243" s="14"/>
      <c r="G243" s="13"/>
      <c r="H243" s="13"/>
      <c r="I243" s="13"/>
      <c r="J243" s="13"/>
      <c r="K243" s="49"/>
      <c r="L243" s="49"/>
      <c r="M243" s="49"/>
      <c r="N243" s="49"/>
      <c r="O243" s="13"/>
      <c r="P243" s="50"/>
      <c r="Q243" s="50"/>
      <c r="R243" s="50"/>
      <c r="S243" s="52"/>
      <c r="T243" s="13"/>
      <c r="U243" s="13"/>
      <c r="V243" s="13"/>
      <c r="W243" s="13"/>
      <c r="X243" s="49"/>
      <c r="Y243" s="13"/>
    </row>
    <row r="244">
      <c r="A244" s="13"/>
      <c r="B244" s="48"/>
      <c r="C244" s="13"/>
      <c r="D244" s="51"/>
      <c r="E244" s="16"/>
      <c r="F244" s="14"/>
      <c r="G244" s="13"/>
      <c r="H244" s="13"/>
      <c r="I244" s="13"/>
      <c r="J244" s="13"/>
      <c r="K244" s="49"/>
      <c r="L244" s="49"/>
      <c r="M244" s="49"/>
      <c r="N244" s="49"/>
      <c r="O244" s="13"/>
      <c r="P244" s="50"/>
      <c r="Q244" s="50"/>
      <c r="R244" s="50"/>
      <c r="S244" s="52"/>
      <c r="T244" s="13"/>
      <c r="U244" s="13"/>
      <c r="V244" s="13"/>
      <c r="W244" s="13"/>
      <c r="X244" s="49"/>
      <c r="Y244" s="13"/>
    </row>
    <row r="245">
      <c r="A245" s="13"/>
      <c r="B245" s="48"/>
      <c r="C245" s="13"/>
      <c r="D245" s="51"/>
      <c r="E245" s="16"/>
      <c r="F245" s="14"/>
      <c r="G245" s="13"/>
      <c r="H245" s="13"/>
      <c r="I245" s="13"/>
      <c r="J245" s="13"/>
      <c r="K245" s="49"/>
      <c r="L245" s="49"/>
      <c r="M245" s="49"/>
      <c r="N245" s="49"/>
      <c r="O245" s="13"/>
      <c r="P245" s="50"/>
      <c r="Q245" s="50"/>
      <c r="R245" s="50"/>
      <c r="S245" s="52"/>
      <c r="T245" s="13"/>
      <c r="U245" s="13"/>
      <c r="V245" s="13"/>
      <c r="W245" s="13"/>
      <c r="X245" s="49"/>
      <c r="Y245" s="13"/>
    </row>
    <row r="246">
      <c r="A246" s="13"/>
      <c r="B246" s="48"/>
      <c r="C246" s="13"/>
      <c r="D246" s="51"/>
      <c r="E246" s="16"/>
      <c r="F246" s="14"/>
      <c r="G246" s="13"/>
      <c r="H246" s="13"/>
      <c r="I246" s="13"/>
      <c r="J246" s="13"/>
      <c r="K246" s="49"/>
      <c r="L246" s="49"/>
      <c r="M246" s="49"/>
      <c r="N246" s="49"/>
      <c r="O246" s="13"/>
      <c r="P246" s="50"/>
      <c r="Q246" s="50"/>
      <c r="R246" s="50"/>
      <c r="S246" s="52"/>
      <c r="T246" s="13"/>
      <c r="U246" s="13"/>
      <c r="V246" s="13"/>
      <c r="W246" s="13"/>
      <c r="X246" s="49"/>
      <c r="Y246" s="13"/>
    </row>
    <row r="247">
      <c r="A247" s="13"/>
      <c r="B247" s="48"/>
      <c r="C247" s="13"/>
      <c r="D247" s="51"/>
      <c r="E247" s="16"/>
      <c r="F247" s="14"/>
      <c r="G247" s="13"/>
      <c r="H247" s="13"/>
      <c r="I247" s="13"/>
      <c r="J247" s="13"/>
      <c r="K247" s="49"/>
      <c r="L247" s="49"/>
      <c r="M247" s="49"/>
      <c r="N247" s="49"/>
      <c r="O247" s="13"/>
      <c r="P247" s="50"/>
      <c r="Q247" s="50"/>
      <c r="R247" s="50"/>
      <c r="S247" s="52"/>
      <c r="T247" s="13"/>
      <c r="U247" s="13"/>
      <c r="V247" s="13"/>
      <c r="W247" s="13"/>
      <c r="X247" s="49"/>
      <c r="Y247" s="13"/>
    </row>
    <row r="248">
      <c r="A248" s="13"/>
      <c r="B248" s="48"/>
      <c r="C248" s="13"/>
      <c r="D248" s="51"/>
      <c r="E248" s="16"/>
      <c r="F248" s="14"/>
      <c r="G248" s="13"/>
      <c r="H248" s="13"/>
      <c r="I248" s="13"/>
      <c r="J248" s="13"/>
      <c r="K248" s="49"/>
      <c r="L248" s="49"/>
      <c r="M248" s="49"/>
      <c r="N248" s="49"/>
      <c r="O248" s="13"/>
      <c r="P248" s="50"/>
      <c r="Q248" s="50"/>
      <c r="R248" s="50"/>
      <c r="S248" s="52"/>
      <c r="T248" s="13"/>
      <c r="U248" s="13"/>
      <c r="V248" s="13"/>
      <c r="W248" s="13"/>
      <c r="X248" s="49"/>
      <c r="Y248" s="13"/>
    </row>
    <row r="249">
      <c r="A249" s="13"/>
      <c r="B249" s="48"/>
      <c r="C249" s="13"/>
      <c r="D249" s="51"/>
      <c r="E249" s="16"/>
      <c r="F249" s="14"/>
      <c r="G249" s="13"/>
      <c r="H249" s="13"/>
      <c r="I249" s="13"/>
      <c r="J249" s="13"/>
      <c r="K249" s="49"/>
      <c r="L249" s="49"/>
      <c r="M249" s="49"/>
      <c r="N249" s="49"/>
      <c r="O249" s="13"/>
      <c r="P249" s="50"/>
      <c r="Q249" s="50"/>
      <c r="R249" s="50"/>
      <c r="S249" s="52"/>
      <c r="T249" s="13"/>
      <c r="U249" s="13"/>
      <c r="V249" s="13"/>
      <c r="W249" s="13"/>
      <c r="X249" s="49"/>
      <c r="Y249" s="13"/>
    </row>
    <row r="250">
      <c r="A250" s="13"/>
      <c r="B250" s="48"/>
      <c r="C250" s="13"/>
      <c r="D250" s="51"/>
      <c r="E250" s="16"/>
      <c r="F250" s="14"/>
      <c r="G250" s="13"/>
      <c r="H250" s="13"/>
      <c r="I250" s="13"/>
      <c r="J250" s="13"/>
      <c r="K250" s="49"/>
      <c r="L250" s="49"/>
      <c r="M250" s="49"/>
      <c r="N250" s="49"/>
      <c r="O250" s="13"/>
      <c r="P250" s="50"/>
      <c r="Q250" s="50"/>
      <c r="R250" s="50"/>
      <c r="S250" s="52"/>
      <c r="T250" s="13"/>
      <c r="U250" s="13"/>
      <c r="V250" s="13"/>
      <c r="W250" s="13"/>
      <c r="X250" s="49"/>
      <c r="Y250" s="13"/>
    </row>
    <row r="251">
      <c r="A251" s="13"/>
      <c r="B251" s="48"/>
      <c r="C251" s="13"/>
      <c r="D251" s="51"/>
      <c r="E251" s="16"/>
      <c r="F251" s="14"/>
      <c r="G251" s="13"/>
      <c r="H251" s="13"/>
      <c r="I251" s="13"/>
      <c r="J251" s="13"/>
      <c r="K251" s="49"/>
      <c r="L251" s="49"/>
      <c r="M251" s="49"/>
      <c r="N251" s="49"/>
      <c r="O251" s="13"/>
      <c r="P251" s="50"/>
      <c r="Q251" s="50"/>
      <c r="R251" s="50"/>
      <c r="S251" s="52"/>
      <c r="T251" s="13"/>
      <c r="U251" s="13"/>
      <c r="V251" s="13"/>
      <c r="W251" s="13"/>
      <c r="X251" s="49"/>
      <c r="Y251" s="13"/>
    </row>
    <row r="252">
      <c r="A252" s="13"/>
      <c r="B252" s="48"/>
      <c r="C252" s="13"/>
      <c r="D252" s="51"/>
      <c r="E252" s="16"/>
      <c r="F252" s="14"/>
      <c r="G252" s="13"/>
      <c r="H252" s="13"/>
      <c r="I252" s="13"/>
      <c r="J252" s="13"/>
      <c r="K252" s="49"/>
      <c r="L252" s="49"/>
      <c r="M252" s="49"/>
      <c r="N252" s="49"/>
      <c r="O252" s="13"/>
      <c r="P252" s="50"/>
      <c r="Q252" s="50"/>
      <c r="R252" s="50"/>
      <c r="S252" s="52"/>
      <c r="T252" s="13"/>
      <c r="U252" s="13"/>
      <c r="V252" s="13"/>
      <c r="W252" s="13"/>
      <c r="X252" s="49"/>
      <c r="Y252" s="13"/>
    </row>
  </sheetData>
  <mergeCells>
    <mergeCell ref="A1:Y1"/>
    <mergeCell ref="A3:A6"/>
    <mergeCell ref="A7:A10"/>
    <mergeCell ref="A11:A14"/>
    <mergeCell ref="A15:A18"/>
    <mergeCell ref="A19:A22"/>
    <mergeCell ref="A23:A26"/>
    <mergeCell ref="A28:Y28"/>
    <mergeCell ref="A29:A32"/>
    <mergeCell ref="A33:A36"/>
    <mergeCell ref="A37:A40"/>
    <mergeCell ref="A41:A44"/>
    <mergeCell ref="A45:A48"/>
    <mergeCell ref="A49:A52"/>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3"/>
    <col collapsed="false" customWidth="true" hidden="false" max="2" min="2" style="0" width="13"/>
    <col collapsed="false" customWidth="true" hidden="false" max="3" min="3" style="0" width="13"/>
    <col collapsed="false" customWidth="true" hidden="false" max="4" min="4" style="0" width="11"/>
    <col collapsed="false" customWidth="true" hidden="false" max="5" min="5" style="0" width="11"/>
    <col collapsed="false" customWidth="true" hidden="false" max="6" min="6" style="0" width="13"/>
    <col collapsed="false" customWidth="true" hidden="false" max="7" min="7" style="0" width="13"/>
    <col collapsed="false" customWidth="true" hidden="false" max="8" min="8" style="0" width="13"/>
    <col collapsed="false" customWidth="true" hidden="false" max="9" min="9" style="0" width="13"/>
    <col collapsed="false" customWidth="true" hidden="false" max="10" min="10" style="0" width="13"/>
    <col collapsed="false" customWidth="true" hidden="false" max="11" min="11" style="0" width="13"/>
    <col collapsed="false" customWidth="true" hidden="false" max="12" min="12" style="0" width="13"/>
    <col collapsed="false" customWidth="true" hidden="false" max="13" min="13" style="0" width="13"/>
    <col collapsed="false" customWidth="true" hidden="false" max="14" min="14" style="0" width="13"/>
    <col collapsed="false" customWidth="true" hidden="false" max="15" min="15" style="0" width="13"/>
    <col collapsed="false" customWidth="true" hidden="false" max="16" min="16" style="0" width="13"/>
    <col collapsed="false" customWidth="true" hidden="false" max="17" min="17" style="0" width="13"/>
    <col collapsed="false" customWidth="true" hidden="false" max="18" min="18" style="0" width="13"/>
    <col collapsed="false" customWidth="true" hidden="false" max="19" min="19" style="0" width="13"/>
    <col collapsed="false" customWidth="true" hidden="false" max="20" min="20" style="0" width="13"/>
    <col collapsed="false" customWidth="true" hidden="false" max="21" min="21" style="0" width="13"/>
  </cols>
  <sheetData>
    <row customHeight="true" ht="30" r="1">
      <c r="A1" s="84" t="str">
        <v>每日盈亏数据预估</v>
      </c>
      <c r="B1" s="84"/>
      <c r="C1" s="84"/>
      <c r="D1" s="84"/>
      <c r="E1" s="84"/>
      <c r="F1" s="84"/>
      <c r="G1" s="84"/>
      <c r="H1" s="84"/>
      <c r="I1" s="84"/>
      <c r="J1" s="84"/>
      <c r="K1" s="84"/>
      <c r="L1" s="84"/>
      <c r="M1" s="84"/>
      <c r="N1" s="84"/>
      <c r="O1" s="84"/>
      <c r="P1" s="84"/>
      <c r="Q1" s="84"/>
      <c r="R1" s="84"/>
      <c r="S1" s="84"/>
      <c r="T1" s="84"/>
      <c r="U1" s="84"/>
    </row>
    <row customHeight="true" ht="53" r="2">
      <c r="A2" s="18" t="str">
        <v>阶段</v>
      </c>
      <c r="B2" s="80" t="str">
        <v>日期</v>
      </c>
      <c r="C2" s="82" t="str">
        <v>定价</v>
      </c>
      <c r="D2" s="83" t="str">
        <v>coupon</v>
      </c>
      <c r="E2" s="78" t="str">
        <v>code</v>
      </c>
      <c r="F2" s="79" t="str">
        <v>折后价</v>
      </c>
      <c r="G2" s="79" t="str">
        <v>FBA    
配送费</v>
      </c>
      <c r="H2" s="79" t="str">
        <v>亚马逊
佣金</v>
      </c>
      <c r="I2" s="79" t="str">
        <v>账号
回款</v>
      </c>
      <c r="J2" s="79" t="str">
        <v>仓储费+入库配置费</v>
      </c>
      <c r="K2" s="79" t="str">
        <v>coupon
费用</v>
      </c>
      <c r="L2" s="79" t="str">
        <v>产品
成本</v>
      </c>
      <c r="M2" s="79" t="str">
        <v>物流费</v>
      </c>
      <c r="N2" s="79" t="str">
        <v>退货成本(公式后面加的是单套产品的移除费）</v>
      </c>
      <c r="O2" s="78" t="str">
        <v>退货率</v>
      </c>
      <c r="P2" s="79" t="str">
        <v>每单平摊
退货成本</v>
      </c>
      <c r="Q2" s="79" t="str">
        <v>每单
毛利</v>
      </c>
      <c r="R2" s="78" t="str">
        <v>毛利率</v>
      </c>
      <c r="S2" s="81" t="str">
        <v>订单
数量</v>
      </c>
      <c r="T2" s="79" t="str">
        <v>阶段
订单
亏损</v>
      </c>
      <c r="U2" s="77" t="str">
        <v>阶段
订单
总盈亏</v>
      </c>
    </row>
    <row customHeight="true" ht="27" r="3">
      <c r="A3" s="13" t="str">
        <v>第一阶段</v>
      </c>
      <c r="B3" s="48" t="str">
        <v>week01</v>
      </c>
      <c r="C3" s="13">
        <v>89.99</v>
      </c>
      <c r="D3" s="51">
        <v>0.3</v>
      </c>
      <c r="E3" s="16">
        <v>0</v>
      </c>
      <c r="F3" s="14">
        <f>SUM(C3*(1-D3-E3))</f>
      </c>
      <c r="G3" s="14">
        <v>10.51</v>
      </c>
      <c r="H3" s="14">
        <f>SUM(F3*8%)</f>
      </c>
      <c r="I3" s="14">
        <f>SUM(F3-G3-H3)</f>
      </c>
      <c r="J3" s="14">
        <v>0.5</v>
      </c>
      <c r="K3" s="14">
        <v>0.6</v>
      </c>
      <c r="L3" s="14">
        <v>40</v>
      </c>
      <c r="M3" s="14">
        <v>3</v>
      </c>
      <c r="N3" s="14">
        <f>SUM(20%*15%*F3+G3+J3+L3+M3+1.04)</f>
      </c>
      <c r="O3" s="12">
        <v>0.044</v>
      </c>
      <c r="P3" s="14">
        <f>SUM(N3*O3/(1-O3))</f>
      </c>
      <c r="Q3" s="14">
        <f>SUM(I3-J3-K3-L3-M3-P3)</f>
      </c>
      <c r="R3" s="12">
        <f>SUM(Q3/C3)</f>
      </c>
      <c r="S3" s="17">
        <f>'总表（阶段盈亏）'!I3</f>
      </c>
      <c r="T3" s="14">
        <f>SUM(Q3*S3)</f>
      </c>
      <c r="U3" s="73">
        <f>SUM(T3)</f>
      </c>
    </row>
    <row customHeight="true" ht="27" r="4">
      <c r="A4" s="13"/>
      <c r="B4" s="48" t="str">
        <v>week02</v>
      </c>
      <c r="C4" s="13">
        <v>89.99</v>
      </c>
      <c r="D4" s="51">
        <v>0.3</v>
      </c>
      <c r="E4" s="16">
        <v>0</v>
      </c>
      <c r="F4" s="14">
        <f>SUM(C4*(1-D4-E4))</f>
      </c>
      <c r="G4" s="14">
        <v>10.51</v>
      </c>
      <c r="H4" s="14">
        <f>SUM(F4*8%)</f>
      </c>
      <c r="I4" s="14">
        <f>SUM(F4-G4-H4)</f>
      </c>
      <c r="J4" s="14">
        <v>0.5</v>
      </c>
      <c r="K4" s="14">
        <v>0.6</v>
      </c>
      <c r="L4" s="14">
        <v>40</v>
      </c>
      <c r="M4" s="14">
        <v>3</v>
      </c>
      <c r="N4" s="14">
        <f>SUM(20%*15%*F4+G4+J4+L4+M4+1.04)</f>
      </c>
      <c r="O4" s="12">
        <v>0.044</v>
      </c>
      <c r="P4" s="14">
        <f>SUM(N4*O4/(1-O4))</f>
      </c>
      <c r="Q4" s="14">
        <f>SUM(I4-J4-K4-L4-M4-P4)</f>
      </c>
      <c r="R4" s="12">
        <f>SUM(Q4/C4)</f>
      </c>
      <c r="S4" s="17">
        <f>'总表（阶段盈亏）'!I4</f>
      </c>
      <c r="T4" s="14">
        <f>SUM(Q4*S4)</f>
      </c>
      <c r="U4" s="15">
        <f>SUM(T4)</f>
      </c>
    </row>
    <row customHeight="true" ht="27" r="5">
      <c r="A5" s="13"/>
      <c r="B5" s="48" t="str">
        <v>week03</v>
      </c>
      <c r="C5" s="13">
        <v>89.99</v>
      </c>
      <c r="D5" s="51">
        <v>0.3</v>
      </c>
      <c r="E5" s="16">
        <v>0</v>
      </c>
      <c r="F5" s="14">
        <f>SUM(C5*(1-D5-E5))</f>
      </c>
      <c r="G5" s="14">
        <v>10.51</v>
      </c>
      <c r="H5" s="14">
        <f>SUM(F5*8%)</f>
      </c>
      <c r="I5" s="14">
        <f>SUM(F5-G5-H5)</f>
      </c>
      <c r="J5" s="14">
        <v>0.5</v>
      </c>
      <c r="K5" s="14">
        <v>0.6</v>
      </c>
      <c r="L5" s="14">
        <v>40</v>
      </c>
      <c r="M5" s="14">
        <v>3</v>
      </c>
      <c r="N5" s="14">
        <f>SUM(20%*15%*F5+G5+J5+L5+M5+1.04)</f>
      </c>
      <c r="O5" s="12">
        <v>0.044</v>
      </c>
      <c r="P5" s="14">
        <f>SUM(N5*O5/(1-O5))</f>
      </c>
      <c r="Q5" s="14">
        <f>SUM(I5-J5-K5-L5-M5-P5)</f>
      </c>
      <c r="R5" s="12">
        <f>SUM(Q5/C5)</f>
      </c>
      <c r="S5" s="17">
        <f>'总表（阶段盈亏）'!I5</f>
      </c>
      <c r="T5" s="14">
        <f>SUM(Q5*S5)</f>
      </c>
      <c r="U5" s="15">
        <f>SUM(T5)</f>
      </c>
    </row>
    <row customHeight="true" ht="27" r="6">
      <c r="A6" s="13"/>
      <c r="B6" s="48" t="str">
        <v>week04</v>
      </c>
      <c r="C6" s="13">
        <v>89.99</v>
      </c>
      <c r="D6" s="51">
        <v>0.3</v>
      </c>
      <c r="E6" s="16">
        <v>0</v>
      </c>
      <c r="F6" s="14">
        <f>SUM(C6*(1-D6-E6))</f>
      </c>
      <c r="G6" s="14">
        <v>10.51</v>
      </c>
      <c r="H6" s="14">
        <f>SUM(F6*8%)</f>
      </c>
      <c r="I6" s="14">
        <f>SUM(F6-G6-H6)</f>
      </c>
      <c r="J6" s="14">
        <v>0.5</v>
      </c>
      <c r="K6" s="14">
        <v>0.6</v>
      </c>
      <c r="L6" s="14">
        <v>40</v>
      </c>
      <c r="M6" s="14">
        <v>3</v>
      </c>
      <c r="N6" s="14">
        <f>SUM(20%*15%*F6+G6+J6+L6+M6+1.04)</f>
      </c>
      <c r="O6" s="12">
        <v>0.044</v>
      </c>
      <c r="P6" s="14">
        <f>SUM(N6*O6/(1-O6))</f>
      </c>
      <c r="Q6" s="14">
        <f>SUM(I6-J6-K6-L6-M6-P6)</f>
      </c>
      <c r="R6" s="12">
        <f>SUM(Q6/C6)</f>
      </c>
      <c r="S6" s="17">
        <f>'总表（阶段盈亏）'!I6</f>
      </c>
      <c r="T6" s="14">
        <f>SUM(Q6*S6)</f>
      </c>
      <c r="U6" s="15">
        <f>SUM(T6)</f>
      </c>
    </row>
    <row customHeight="true" ht="27" r="7">
      <c r="A7" s="13" t="str">
        <v>第二阶段</v>
      </c>
      <c r="B7" s="48" t="str">
        <v>week05</v>
      </c>
      <c r="C7" s="13">
        <v>89.99</v>
      </c>
      <c r="D7" s="51">
        <v>0.2</v>
      </c>
      <c r="E7" s="16">
        <v>0</v>
      </c>
      <c r="F7" s="14">
        <f>SUM(C7*(1-D7-E7))</f>
      </c>
      <c r="G7" s="14">
        <v>10.51</v>
      </c>
      <c r="H7" s="14">
        <f>SUM(F7*8%)</f>
      </c>
      <c r="I7" s="14">
        <f>SUM(F7-G7-H7)</f>
      </c>
      <c r="J7" s="14">
        <v>0.5</v>
      </c>
      <c r="K7" s="14">
        <v>0.6</v>
      </c>
      <c r="L7" s="14">
        <v>40</v>
      </c>
      <c r="M7" s="14">
        <v>3</v>
      </c>
      <c r="N7" s="14">
        <f>SUM(20%*15%*F7+G7+J7+L7+M7+1.04)</f>
      </c>
      <c r="O7" s="12">
        <v>0.044</v>
      </c>
      <c r="P7" s="14">
        <f>SUM(N7*O7/(1-O7))</f>
      </c>
      <c r="Q7" s="14">
        <f>SUM(I7-J7-K7-L7-M7-P7)</f>
      </c>
      <c r="R7" s="12">
        <f>SUM(Q7/C7)</f>
      </c>
      <c r="S7" s="17">
        <f>'总表（阶段盈亏）'!I7</f>
      </c>
      <c r="T7" s="14">
        <f>SUM(Q7*S7)</f>
      </c>
      <c r="U7" s="15">
        <f>SUM(T7)</f>
      </c>
    </row>
    <row customHeight="true" ht="27" r="8">
      <c r="A8" s="13"/>
      <c r="B8" s="48" t="str">
        <v>week06</v>
      </c>
      <c r="C8" s="13">
        <v>89.99</v>
      </c>
      <c r="D8" s="51">
        <v>0.2</v>
      </c>
      <c r="E8" s="16">
        <v>0</v>
      </c>
      <c r="F8" s="14">
        <f>SUM(C8*(1-D8-E8))</f>
      </c>
      <c r="G8" s="14">
        <v>10.51</v>
      </c>
      <c r="H8" s="14">
        <f>SUM(F8*8%)</f>
      </c>
      <c r="I8" s="14">
        <f>SUM(F8-G8-H8)</f>
      </c>
      <c r="J8" s="14">
        <v>0.5</v>
      </c>
      <c r="K8" s="14">
        <v>0.6</v>
      </c>
      <c r="L8" s="14">
        <v>40</v>
      </c>
      <c r="M8" s="14">
        <v>3</v>
      </c>
      <c r="N8" s="14">
        <f>SUM(20%*15%*F8+G8+J8+L8+M8+1.04)</f>
      </c>
      <c r="O8" s="12">
        <v>0.044</v>
      </c>
      <c r="P8" s="14">
        <f>SUM(N8*O8/(1-O8))</f>
      </c>
      <c r="Q8" s="14">
        <f>SUM(I8-J8-K8-L8-M8-P8)</f>
      </c>
      <c r="R8" s="12">
        <f>SUM(Q8/C8)</f>
      </c>
      <c r="S8" s="17">
        <f>'总表（阶段盈亏）'!I8</f>
      </c>
      <c r="T8" s="14">
        <f>SUM(Q8*S8)</f>
      </c>
      <c r="U8" s="15">
        <f>SUM(T8)</f>
      </c>
    </row>
    <row customHeight="true" ht="27" r="9">
      <c r="A9" s="13"/>
      <c r="B9" s="48" t="str">
        <v>week07</v>
      </c>
      <c r="C9" s="13">
        <v>89.99</v>
      </c>
      <c r="D9" s="51">
        <v>0.2</v>
      </c>
      <c r="E9" s="16">
        <v>0</v>
      </c>
      <c r="F9" s="14">
        <f>SUM(C9*(1-D9-E9))</f>
      </c>
      <c r="G9" s="14">
        <v>10.51</v>
      </c>
      <c r="H9" s="14">
        <f>SUM(F9*8%)</f>
      </c>
      <c r="I9" s="14">
        <f>SUM(F9-G9-H9)</f>
      </c>
      <c r="J9" s="14">
        <v>0.5</v>
      </c>
      <c r="K9" s="14">
        <v>0.6</v>
      </c>
      <c r="L9" s="14">
        <v>40</v>
      </c>
      <c r="M9" s="14">
        <v>3</v>
      </c>
      <c r="N9" s="14">
        <f>SUM(20%*15%*F9+G9+J9+L9+M9+1.04)</f>
      </c>
      <c r="O9" s="12">
        <v>0.044</v>
      </c>
      <c r="P9" s="14">
        <f>SUM(N9*O9/(1-O9))</f>
      </c>
      <c r="Q9" s="14">
        <f>SUM(I9-J9-K9-L9-M9-P9)</f>
      </c>
      <c r="R9" s="12">
        <f>SUM(Q9/C9)</f>
      </c>
      <c r="S9" s="17">
        <f>'总表（阶段盈亏）'!I9</f>
      </c>
      <c r="T9" s="14">
        <f>SUM(Q9*S9)</f>
      </c>
      <c r="U9" s="15">
        <f>SUM(T9)</f>
      </c>
    </row>
    <row customHeight="true" ht="27" r="10">
      <c r="A10" s="13"/>
      <c r="B10" s="48" t="str">
        <v>week08</v>
      </c>
      <c r="C10" s="13">
        <v>89.99</v>
      </c>
      <c r="D10" s="51">
        <v>0.2</v>
      </c>
      <c r="E10" s="16">
        <v>0</v>
      </c>
      <c r="F10" s="14">
        <f>SUM(C10*(1-D10-E10))</f>
      </c>
      <c r="G10" s="14">
        <v>10.51</v>
      </c>
      <c r="H10" s="14">
        <f>SUM(F10*8%)</f>
      </c>
      <c r="I10" s="14">
        <f>SUM(F10-G10-H10)</f>
      </c>
      <c r="J10" s="14">
        <v>0.5</v>
      </c>
      <c r="K10" s="14">
        <v>0.6</v>
      </c>
      <c r="L10" s="14">
        <v>40</v>
      </c>
      <c r="M10" s="14">
        <v>3</v>
      </c>
      <c r="N10" s="14">
        <f>SUM(20%*15%*F10+G10+J10+L10+M10+1.04)</f>
      </c>
      <c r="O10" s="12">
        <v>0.044</v>
      </c>
      <c r="P10" s="14">
        <f>SUM(N10*O10/(1-O10))</f>
      </c>
      <c r="Q10" s="14">
        <f>SUM(I10-J10-K10-L10-M10-P10)</f>
      </c>
      <c r="R10" s="12">
        <f>SUM(Q10/C10)</f>
      </c>
      <c r="S10" s="17">
        <f>'总表（阶段盈亏）'!I10</f>
      </c>
      <c r="T10" s="14">
        <f>SUM(Q10*S10)</f>
      </c>
      <c r="U10" s="15">
        <f>SUM(T10)</f>
      </c>
    </row>
    <row customHeight="true" ht="27" r="11">
      <c r="A11" s="13" t="str">
        <v>第三阶段</v>
      </c>
      <c r="B11" s="48" t="str">
        <v>week09</v>
      </c>
      <c r="C11" s="13">
        <v>89.99</v>
      </c>
      <c r="D11" s="51">
        <v>0.1</v>
      </c>
      <c r="E11" s="16">
        <v>0</v>
      </c>
      <c r="F11" s="14">
        <f>SUM(C11*(1-D11-E11))</f>
      </c>
      <c r="G11" s="14">
        <v>10.51</v>
      </c>
      <c r="H11" s="14">
        <f>SUM(F11*8%)</f>
      </c>
      <c r="I11" s="14">
        <f>SUM(F11-G11-H11)</f>
      </c>
      <c r="J11" s="14">
        <v>0.5</v>
      </c>
      <c r="K11" s="14">
        <v>0.6</v>
      </c>
      <c r="L11" s="14">
        <v>40</v>
      </c>
      <c r="M11" s="14">
        <v>3</v>
      </c>
      <c r="N11" s="14">
        <f>SUM(20%*15%*F11+G11+J11+L11+M11+1.04)</f>
      </c>
      <c r="O11" s="12">
        <v>0.044</v>
      </c>
      <c r="P11" s="14">
        <f>SUM(N11*O11/(1-O11))</f>
      </c>
      <c r="Q11" s="14">
        <f>SUM(I11-J11-K11-L11-M11-P11)</f>
      </c>
      <c r="R11" s="12">
        <f>SUM(Q11/C11)</f>
      </c>
      <c r="S11" s="17">
        <f>'总表（阶段盈亏）'!I11</f>
      </c>
      <c r="T11" s="14">
        <f>SUM(Q11*S11)</f>
      </c>
      <c r="U11" s="15">
        <f>SUM(T11)</f>
      </c>
    </row>
    <row customHeight="true" ht="27" r="12">
      <c r="A12" s="13"/>
      <c r="B12" s="48" t="str">
        <v>week10</v>
      </c>
      <c r="C12" s="13">
        <v>89.99</v>
      </c>
      <c r="D12" s="51">
        <v>0.1</v>
      </c>
      <c r="E12" s="16">
        <v>0</v>
      </c>
      <c r="F12" s="14">
        <f>SUM(C12*(1-D12-E12))</f>
      </c>
      <c r="G12" s="14">
        <v>10.51</v>
      </c>
      <c r="H12" s="14">
        <f>SUM(F12*8%)</f>
      </c>
      <c r="I12" s="14">
        <f>SUM(F12-G12-H12)</f>
      </c>
      <c r="J12" s="14">
        <v>0.5</v>
      </c>
      <c r="K12" s="14">
        <v>0.6</v>
      </c>
      <c r="L12" s="14">
        <v>40</v>
      </c>
      <c r="M12" s="14">
        <v>3</v>
      </c>
      <c r="N12" s="14">
        <f>SUM(20%*15%*F12+G12+J12+L12+M12+1.04)</f>
      </c>
      <c r="O12" s="12">
        <v>0.044</v>
      </c>
      <c r="P12" s="14">
        <f>SUM(N12*O12/(1-O12))</f>
      </c>
      <c r="Q12" s="14">
        <f>SUM(I12-J12-K12-L12-M12-P12)</f>
      </c>
      <c r="R12" s="12">
        <f>SUM(Q12/C12)</f>
      </c>
      <c r="S12" s="17">
        <f>'总表（阶段盈亏）'!I12</f>
      </c>
      <c r="T12" s="14">
        <f>SUM(Q12*S12)</f>
      </c>
      <c r="U12" s="15">
        <f>SUM(T12)</f>
      </c>
    </row>
    <row customHeight="true" ht="27" r="13">
      <c r="A13" s="13"/>
      <c r="B13" s="48" t="str">
        <v>week11</v>
      </c>
      <c r="C13" s="13">
        <v>89.99</v>
      </c>
      <c r="D13" s="51">
        <v>0.1</v>
      </c>
      <c r="E13" s="16">
        <v>0</v>
      </c>
      <c r="F13" s="14">
        <f>SUM(C13*(1-D13-E13))</f>
      </c>
      <c r="G13" s="14">
        <v>10.51</v>
      </c>
      <c r="H13" s="14">
        <f>SUM(F13*8%)</f>
      </c>
      <c r="I13" s="14">
        <f>SUM(F13-G13-H13)</f>
      </c>
      <c r="J13" s="14">
        <v>0.5</v>
      </c>
      <c r="K13" s="14">
        <v>0.6</v>
      </c>
      <c r="L13" s="14">
        <v>40</v>
      </c>
      <c r="M13" s="14">
        <v>3</v>
      </c>
      <c r="N13" s="14">
        <f>SUM(20%*15%*F13+G13+J13+L13+M13+1.04)</f>
      </c>
      <c r="O13" s="12">
        <v>0.044</v>
      </c>
      <c r="P13" s="14">
        <f>SUM(N13*O13/(1-O13))</f>
      </c>
      <c r="Q13" s="14">
        <f>SUM(I13-J13-K13-L13-M13-P13)</f>
      </c>
      <c r="R13" s="12">
        <f>SUM(Q13/C13)</f>
      </c>
      <c r="S13" s="17">
        <f>'总表（阶段盈亏）'!I13</f>
      </c>
      <c r="T13" s="14">
        <f>SUM(Q13*S13)</f>
      </c>
      <c r="U13" s="15">
        <f>SUM(T13)</f>
      </c>
    </row>
    <row customHeight="true" ht="27" r="14">
      <c r="A14" s="13"/>
      <c r="B14" s="48" t="str">
        <v>week12</v>
      </c>
      <c r="C14" s="13">
        <v>89.99</v>
      </c>
      <c r="D14" s="51">
        <v>0.1</v>
      </c>
      <c r="E14" s="16">
        <v>0</v>
      </c>
      <c r="F14" s="14">
        <f>SUM(C14*(1-D14-E14))</f>
      </c>
      <c r="G14" s="14">
        <v>10.51</v>
      </c>
      <c r="H14" s="14">
        <f>SUM(F14*8%)</f>
      </c>
      <c r="I14" s="14">
        <f>SUM(F14-G14-H14)</f>
      </c>
      <c r="J14" s="14">
        <v>0.5</v>
      </c>
      <c r="K14" s="14">
        <v>0.6</v>
      </c>
      <c r="L14" s="14">
        <v>40</v>
      </c>
      <c r="M14" s="14">
        <v>3</v>
      </c>
      <c r="N14" s="14">
        <f>SUM(20%*15%*F14+G14+J14+L14+M14+1.04)</f>
      </c>
      <c r="O14" s="12">
        <v>0.044</v>
      </c>
      <c r="P14" s="14">
        <f>SUM(N14*O14/(1-O14))</f>
      </c>
      <c r="Q14" s="14">
        <f>SUM(I14-J14-K14-L14-M14-P14)</f>
      </c>
      <c r="R14" s="12">
        <f>SUM(Q14/C14)</f>
      </c>
      <c r="S14" s="17">
        <f>'总表（阶段盈亏）'!I14</f>
      </c>
      <c r="T14" s="14">
        <f>SUM(Q14*S14)</f>
      </c>
      <c r="U14" s="15">
        <f>SUM(T14)</f>
      </c>
    </row>
    <row customHeight="true" ht="27" r="15">
      <c r="A15" s="13" t="str">
        <v>第四阶段</v>
      </c>
      <c r="B15" s="48" t="str">
        <v>week13</v>
      </c>
      <c r="C15" s="13">
        <v>79.99</v>
      </c>
      <c r="D15" s="51">
        <v>0</v>
      </c>
      <c r="E15" s="16">
        <v>0</v>
      </c>
      <c r="F15" s="14">
        <f>SUM(C15*(1-D15-E15))</f>
      </c>
      <c r="G15" s="14">
        <v>10.51</v>
      </c>
      <c r="H15" s="14">
        <f>SUM(F15*8%)</f>
      </c>
      <c r="I15" s="14">
        <f>SUM(F15-G15-H15)</f>
      </c>
      <c r="J15" s="14">
        <v>0.5</v>
      </c>
      <c r="K15" s="14">
        <v>0</v>
      </c>
      <c r="L15" s="14">
        <v>40</v>
      </c>
      <c r="M15" s="14">
        <v>3</v>
      </c>
      <c r="N15" s="14">
        <f>SUM(20%*15%*F15+G15+J15+L15+M15+1.04)</f>
      </c>
      <c r="O15" s="12">
        <v>0.044</v>
      </c>
      <c r="P15" s="14">
        <f>SUM(N15*O15/(1-O15))</f>
      </c>
      <c r="Q15" s="14">
        <f>SUM(I15-J15-K15-L15-M15-P15)</f>
      </c>
      <c r="R15" s="12">
        <f>SUM(Q15/C15)</f>
      </c>
      <c r="S15" s="17">
        <f>'总表（阶段盈亏）'!I15</f>
      </c>
      <c r="T15" s="14">
        <f>SUM(Q15*S15)</f>
      </c>
      <c r="U15" s="15">
        <f>SUM(T15)</f>
      </c>
    </row>
    <row customHeight="true" ht="27" r="16">
      <c r="A16" s="13"/>
      <c r="B16" s="48" t="str">
        <v>week14</v>
      </c>
      <c r="C16" s="13">
        <v>79.99</v>
      </c>
      <c r="D16" s="51">
        <v>0</v>
      </c>
      <c r="E16" s="16">
        <v>0</v>
      </c>
      <c r="F16" s="14">
        <f>SUM(C16*(1-D16-E16))</f>
      </c>
      <c r="G16" s="14">
        <v>10.51</v>
      </c>
      <c r="H16" s="14">
        <f>SUM(F16*8%)</f>
      </c>
      <c r="I16" s="14">
        <f>SUM(F16-G16-H16)</f>
      </c>
      <c r="J16" s="14">
        <v>0.5</v>
      </c>
      <c r="K16" s="14">
        <v>0</v>
      </c>
      <c r="L16" s="14">
        <v>40</v>
      </c>
      <c r="M16" s="14">
        <v>3</v>
      </c>
      <c r="N16" s="14">
        <f>SUM(20%*15%*F16+G16+J16+L16+M16+1.04)</f>
      </c>
      <c r="O16" s="12">
        <v>0.044</v>
      </c>
      <c r="P16" s="14">
        <f>SUM(N16*O16/(1-O16))</f>
      </c>
      <c r="Q16" s="14">
        <f>SUM(I16-J16-K16-L16-M16-P16)</f>
      </c>
      <c r="R16" s="12">
        <f>SUM(Q16/C16)</f>
      </c>
      <c r="S16" s="17">
        <f>'总表（阶段盈亏）'!I16</f>
      </c>
      <c r="T16" s="14">
        <f>SUM(Q16*S16)</f>
      </c>
      <c r="U16" s="15">
        <f>SUM(T16)</f>
      </c>
    </row>
    <row customHeight="true" ht="27" r="17">
      <c r="A17" s="13"/>
      <c r="B17" s="48" t="str">
        <v>week15</v>
      </c>
      <c r="C17" s="13">
        <v>79.99</v>
      </c>
      <c r="D17" s="51">
        <v>0</v>
      </c>
      <c r="E17" s="16">
        <v>0</v>
      </c>
      <c r="F17" s="14">
        <f>SUM(C17*(1-D17-E17))</f>
      </c>
      <c r="G17" s="14">
        <v>10.51</v>
      </c>
      <c r="H17" s="14">
        <f>SUM(F17*8%)</f>
      </c>
      <c r="I17" s="14">
        <f>SUM(F17-G17-H17)</f>
      </c>
      <c r="J17" s="14">
        <v>0.5</v>
      </c>
      <c r="K17" s="14">
        <v>0</v>
      </c>
      <c r="L17" s="14">
        <v>40</v>
      </c>
      <c r="M17" s="14">
        <v>3</v>
      </c>
      <c r="N17" s="14">
        <f>SUM(20%*15%*F17+G17+J17+L17+M17+1.04)</f>
      </c>
      <c r="O17" s="12">
        <v>0.044</v>
      </c>
      <c r="P17" s="14">
        <f>SUM(N17*O17/(1-O17))</f>
      </c>
      <c r="Q17" s="14">
        <f>SUM(I17-J17-K17-L17-M17-P17)</f>
      </c>
      <c r="R17" s="12">
        <f>SUM(Q17/C17)</f>
      </c>
      <c r="S17" s="17">
        <f>'总表（阶段盈亏）'!I17</f>
      </c>
      <c r="T17" s="14">
        <f>SUM(Q17*S17)</f>
      </c>
      <c r="U17" s="15">
        <f>SUM(T17)</f>
      </c>
    </row>
    <row customHeight="true" ht="27" r="18">
      <c r="A18" s="13"/>
      <c r="B18" s="48" t="str">
        <v>week16</v>
      </c>
      <c r="C18" s="13">
        <v>79.99</v>
      </c>
      <c r="D18" s="51">
        <v>0</v>
      </c>
      <c r="E18" s="16">
        <v>0</v>
      </c>
      <c r="F18" s="14">
        <f>SUM(C18*(1-D18-E18))</f>
      </c>
      <c r="G18" s="14">
        <v>10.51</v>
      </c>
      <c r="H18" s="14">
        <f>SUM(F18*8%)</f>
      </c>
      <c r="I18" s="14">
        <f>SUM(F18-G18-H18)</f>
      </c>
      <c r="J18" s="14">
        <v>0.5</v>
      </c>
      <c r="K18" s="14">
        <v>0</v>
      </c>
      <c r="L18" s="14">
        <v>40</v>
      </c>
      <c r="M18" s="14">
        <v>3</v>
      </c>
      <c r="N18" s="14">
        <f>SUM(20%*15%*F18+G18+J18+L18+M18+1.04)</f>
      </c>
      <c r="O18" s="12">
        <v>0.044</v>
      </c>
      <c r="P18" s="14">
        <f>SUM(N18*O18/(1-O18))</f>
      </c>
      <c r="Q18" s="14">
        <f>SUM(I18-J18-K18-L18-M18-P18)</f>
      </c>
      <c r="R18" s="12">
        <f>SUM(Q18/C18)</f>
      </c>
      <c r="S18" s="17">
        <f>'总表（阶段盈亏）'!I18</f>
      </c>
      <c r="T18" s="14">
        <f>SUM(Q18*S18)</f>
      </c>
      <c r="U18" s="15">
        <f>SUM(T18)</f>
      </c>
    </row>
    <row customHeight="true" ht="27" r="19">
      <c r="A19" s="13" t="str">
        <v>第五阶段</v>
      </c>
      <c r="B19" s="48" t="str">
        <v>week17</v>
      </c>
      <c r="C19" s="13">
        <v>79.99</v>
      </c>
      <c r="D19" s="51">
        <v>0</v>
      </c>
      <c r="E19" s="16">
        <v>0</v>
      </c>
      <c r="F19" s="14">
        <f>SUM(C19*(1-D19-E19))</f>
      </c>
      <c r="G19" s="14">
        <v>10.51</v>
      </c>
      <c r="H19" s="14">
        <f>SUM(F19*8%)</f>
      </c>
      <c r="I19" s="14">
        <f>SUM(F19-G19-H19)</f>
      </c>
      <c r="J19" s="14">
        <v>0.5</v>
      </c>
      <c r="K19" s="14">
        <v>0</v>
      </c>
      <c r="L19" s="14">
        <v>40</v>
      </c>
      <c r="M19" s="14">
        <v>3</v>
      </c>
      <c r="N19" s="14">
        <f>SUM(20%*15%*F19+G19+J19+L19+M19+1.04)</f>
      </c>
      <c r="O19" s="12">
        <v>0.044</v>
      </c>
      <c r="P19" s="14">
        <f>SUM(N19*O19/(1-O19))</f>
      </c>
      <c r="Q19" s="14">
        <f>SUM(I19-J19-K19-L19-M19-P19)</f>
      </c>
      <c r="R19" s="12">
        <f>SUM(Q19/C19)</f>
      </c>
      <c r="S19" s="17">
        <f>'总表（阶段盈亏）'!I19</f>
      </c>
      <c r="T19" s="14">
        <f>SUM(Q19*S19)</f>
      </c>
      <c r="U19" s="15">
        <f>SUM(T19)</f>
      </c>
    </row>
    <row customHeight="true" ht="27" r="20">
      <c r="A20" s="13"/>
      <c r="B20" s="48" t="str">
        <v>week18</v>
      </c>
      <c r="C20" s="13">
        <v>79.99</v>
      </c>
      <c r="D20" s="51">
        <v>0</v>
      </c>
      <c r="E20" s="16">
        <v>0</v>
      </c>
      <c r="F20" s="14">
        <f>SUM(C20*(1-D20-E20))</f>
      </c>
      <c r="G20" s="14">
        <v>10.51</v>
      </c>
      <c r="H20" s="14">
        <f>SUM(F20*8%)</f>
      </c>
      <c r="I20" s="14">
        <f>SUM(F20-G20-H20)</f>
      </c>
      <c r="J20" s="14">
        <v>0.5</v>
      </c>
      <c r="K20" s="14">
        <v>0</v>
      </c>
      <c r="L20" s="14">
        <v>40</v>
      </c>
      <c r="M20" s="14">
        <v>3</v>
      </c>
      <c r="N20" s="14">
        <f>SUM(20%*15%*F20+G20+J20+L20+M20+1.04)</f>
      </c>
      <c r="O20" s="12">
        <v>0.044</v>
      </c>
      <c r="P20" s="14">
        <f>SUM(N20*O20/(1-O20))</f>
      </c>
      <c r="Q20" s="14">
        <f>SUM(I20-J20-K20-L20-M20-P20)</f>
      </c>
      <c r="R20" s="12">
        <f>SUM(Q20/C20)</f>
      </c>
      <c r="S20" s="17">
        <f>'总表（阶段盈亏）'!I20</f>
      </c>
      <c r="T20" s="14">
        <f>SUM(Q20*S20)</f>
      </c>
      <c r="U20" s="15">
        <f>SUM(T20)</f>
      </c>
    </row>
    <row customHeight="true" ht="27" r="21">
      <c r="A21" s="13"/>
      <c r="B21" s="48" t="str">
        <v>week19</v>
      </c>
      <c r="C21" s="13">
        <v>79.99</v>
      </c>
      <c r="D21" s="51">
        <v>0</v>
      </c>
      <c r="E21" s="16">
        <v>0</v>
      </c>
      <c r="F21" s="14">
        <f>SUM(C21*(1-D21-E21))</f>
      </c>
      <c r="G21" s="14">
        <v>10.51</v>
      </c>
      <c r="H21" s="14">
        <f>SUM(F21*8%)</f>
      </c>
      <c r="I21" s="14">
        <f>SUM(F21-G21-H21)</f>
      </c>
      <c r="J21" s="14">
        <v>0.5</v>
      </c>
      <c r="K21" s="14">
        <v>0</v>
      </c>
      <c r="L21" s="14">
        <v>40</v>
      </c>
      <c r="M21" s="14">
        <v>3</v>
      </c>
      <c r="N21" s="14">
        <f>SUM(20%*15%*F21+G21+J21+L21+M21+1.04)</f>
      </c>
      <c r="O21" s="12">
        <v>0.044</v>
      </c>
      <c r="P21" s="14">
        <f>SUM(N21*O21/(1-O21))</f>
      </c>
      <c r="Q21" s="14">
        <f>SUM(I21-J21-K21-L21-M21-P21)</f>
      </c>
      <c r="R21" s="12">
        <f>SUM(Q21/C21)</f>
      </c>
      <c r="S21" s="17">
        <f>'总表（阶段盈亏）'!I21</f>
      </c>
      <c r="T21" s="14">
        <f>SUM(Q21*S21)</f>
      </c>
      <c r="U21" s="15">
        <f>SUM(T21)</f>
      </c>
    </row>
    <row customHeight="true" ht="27" r="22">
      <c r="A22" s="13"/>
      <c r="B22" s="48" t="str">
        <v>week20</v>
      </c>
      <c r="C22" s="13">
        <v>79.99</v>
      </c>
      <c r="D22" s="51">
        <v>0</v>
      </c>
      <c r="E22" s="16">
        <v>0</v>
      </c>
      <c r="F22" s="14">
        <f>SUM(C22*(1-D22-E22))</f>
      </c>
      <c r="G22" s="14">
        <v>10.51</v>
      </c>
      <c r="H22" s="14">
        <f>SUM(F22*8%)</f>
      </c>
      <c r="I22" s="14">
        <f>SUM(F22-G22-H22)</f>
      </c>
      <c r="J22" s="14">
        <v>0.5</v>
      </c>
      <c r="K22" s="14">
        <v>0</v>
      </c>
      <c r="L22" s="14">
        <v>40</v>
      </c>
      <c r="M22" s="14">
        <v>3</v>
      </c>
      <c r="N22" s="14">
        <f>SUM(20%*15%*F22+G22+J22+L22+M22+1.04)</f>
      </c>
      <c r="O22" s="12">
        <v>0.044</v>
      </c>
      <c r="P22" s="14">
        <f>SUM(N22*O22/(1-O22))</f>
      </c>
      <c r="Q22" s="14">
        <f>SUM(I22-J22-K22-L22-M22-P22)</f>
      </c>
      <c r="R22" s="12">
        <f>SUM(Q22/C22)</f>
      </c>
      <c r="S22" s="17">
        <f>'总表（阶段盈亏）'!I22</f>
      </c>
      <c r="T22" s="14">
        <f>SUM(Q22*S22)</f>
      </c>
      <c r="U22" s="15">
        <f>SUM(T22)</f>
      </c>
    </row>
    <row customHeight="true" ht="27" r="23">
      <c r="A23" s="13" t="str">
        <v>第六阶段</v>
      </c>
      <c r="B23" s="48" t="str">
        <v>week21</v>
      </c>
      <c r="C23" s="13">
        <v>79.99</v>
      </c>
      <c r="D23" s="51">
        <v>0</v>
      </c>
      <c r="E23" s="16">
        <v>0</v>
      </c>
      <c r="F23" s="14">
        <f>SUM(C23*(1-D23-E23))</f>
      </c>
      <c r="G23" s="14">
        <v>10.51</v>
      </c>
      <c r="H23" s="14">
        <f>SUM(F23*8%)</f>
      </c>
      <c r="I23" s="14">
        <f>SUM(F23-G23-H23)</f>
      </c>
      <c r="J23" s="14">
        <v>0.5</v>
      </c>
      <c r="K23" s="14">
        <v>0</v>
      </c>
      <c r="L23" s="14">
        <v>40</v>
      </c>
      <c r="M23" s="14">
        <v>3</v>
      </c>
      <c r="N23" s="14">
        <f>SUM(20%*15%*F23+G23+J23+L23+M23+1.04)</f>
      </c>
      <c r="O23" s="12">
        <v>0.044</v>
      </c>
      <c r="P23" s="14">
        <f>SUM(N23*O23/(1-O23))</f>
      </c>
      <c r="Q23" s="14">
        <f>SUM(I23-J23-K23-L23-M23-P23)</f>
      </c>
      <c r="R23" s="12">
        <f>SUM(Q23/C23)</f>
      </c>
      <c r="S23" s="17">
        <f>'总表（阶段盈亏）'!I23</f>
      </c>
      <c r="T23" s="14">
        <f>SUM(Q23*S23)</f>
      </c>
      <c r="U23" s="15">
        <f>SUM(T23)</f>
      </c>
    </row>
    <row customHeight="true" ht="27" r="24">
      <c r="A24" s="13"/>
      <c r="B24" s="48" t="str">
        <v>week22</v>
      </c>
      <c r="C24" s="13">
        <v>79.99</v>
      </c>
      <c r="D24" s="51">
        <v>0</v>
      </c>
      <c r="E24" s="16">
        <v>0</v>
      </c>
      <c r="F24" s="14">
        <f>SUM(C24*(1-D24-E24))</f>
      </c>
      <c r="G24" s="14">
        <v>10.51</v>
      </c>
      <c r="H24" s="14">
        <f>SUM(F24*8%)</f>
      </c>
      <c r="I24" s="14">
        <f>SUM(F24-G24-H24)</f>
      </c>
      <c r="J24" s="14">
        <v>0.5</v>
      </c>
      <c r="K24" s="14">
        <v>0</v>
      </c>
      <c r="L24" s="14">
        <v>40</v>
      </c>
      <c r="M24" s="14">
        <v>3</v>
      </c>
      <c r="N24" s="14">
        <f>SUM(20%*15%*F24+G24+J24+L24+M24+1.04)</f>
      </c>
      <c r="O24" s="12">
        <v>0.044</v>
      </c>
      <c r="P24" s="14">
        <f>SUM(N24*O24/(1-O24))</f>
      </c>
      <c r="Q24" s="14">
        <f>SUM(I24-J24-K24-L24-M24-P24)</f>
      </c>
      <c r="R24" s="12">
        <f>SUM(Q24/C24)</f>
      </c>
      <c r="S24" s="17">
        <f>'总表（阶段盈亏）'!I24</f>
      </c>
      <c r="T24" s="14">
        <f>SUM(Q24*S24)</f>
      </c>
      <c r="U24" s="15">
        <f>SUM(T24)</f>
      </c>
    </row>
    <row customHeight="true" ht="27" r="25">
      <c r="A25" s="13"/>
      <c r="B25" s="48" t="str">
        <v>week23</v>
      </c>
      <c r="C25" s="13">
        <v>79.99</v>
      </c>
      <c r="D25" s="51">
        <v>0</v>
      </c>
      <c r="E25" s="16">
        <v>0</v>
      </c>
      <c r="F25" s="14">
        <f>SUM(C25*(1-D25-E25))</f>
      </c>
      <c r="G25" s="14">
        <v>10.51</v>
      </c>
      <c r="H25" s="14">
        <f>SUM(F25*8%)</f>
      </c>
      <c r="I25" s="14">
        <f>SUM(F25-G25-H25)</f>
      </c>
      <c r="J25" s="14">
        <v>0.5</v>
      </c>
      <c r="K25" s="14">
        <v>0</v>
      </c>
      <c r="L25" s="14">
        <v>40</v>
      </c>
      <c r="M25" s="14">
        <v>3</v>
      </c>
      <c r="N25" s="14">
        <f>SUM(20%*15%*F25+G25+J25+L25+M25+1.04)</f>
      </c>
      <c r="O25" s="12">
        <v>0.044</v>
      </c>
      <c r="P25" s="14">
        <f>SUM(N25*O25/(1-O25))</f>
      </c>
      <c r="Q25" s="14">
        <f>SUM(I25-J25-K25-L25-M25-P25)</f>
      </c>
      <c r="R25" s="12">
        <f>SUM(Q25/C25)</f>
      </c>
      <c r="S25" s="17">
        <f>'总表（阶段盈亏）'!I25</f>
      </c>
      <c r="T25" s="14">
        <f>SUM(Q25*S25)</f>
      </c>
      <c r="U25" s="15">
        <f>SUM(T25)</f>
      </c>
    </row>
    <row customHeight="true" ht="27" r="26">
      <c r="A26" s="13"/>
      <c r="B26" s="48" t="str">
        <v>week24</v>
      </c>
      <c r="C26" s="13">
        <v>79.99</v>
      </c>
      <c r="D26" s="51">
        <v>0</v>
      </c>
      <c r="E26" s="16">
        <v>0</v>
      </c>
      <c r="F26" s="14">
        <f>SUM(C26*(1-D26-E26))</f>
      </c>
      <c r="G26" s="14">
        <v>10.51</v>
      </c>
      <c r="H26" s="14">
        <f>SUM(F26*8%)</f>
      </c>
      <c r="I26" s="14">
        <f>SUM(F26-G26-H26)</f>
      </c>
      <c r="J26" s="14">
        <v>0.5</v>
      </c>
      <c r="K26" s="14">
        <v>0</v>
      </c>
      <c r="L26" s="14">
        <v>40</v>
      </c>
      <c r="M26" s="14">
        <v>3</v>
      </c>
      <c r="N26" s="14">
        <f>SUM(20%*15%*F26+G26+J26+L26+M26+1.04)</f>
      </c>
      <c r="O26" s="12">
        <v>0.044</v>
      </c>
      <c r="P26" s="14">
        <f>SUM(N26*O26/(1-O26))</f>
      </c>
      <c r="Q26" s="14">
        <f>SUM(I26-J26-K26-L26-M26-P26)</f>
      </c>
      <c r="R26" s="12">
        <f>SUM(Q26/C26)</f>
      </c>
      <c r="S26" s="17">
        <f>'总表（阶段盈亏）'!I26</f>
      </c>
      <c r="T26" s="14">
        <f>SUM(Q26*S26)</f>
      </c>
      <c r="U26" s="15">
        <f>SUM(T26)</f>
      </c>
    </row>
    <row customHeight="true" ht="17" r="27">
      <c r="A27" s="1"/>
      <c r="B27" s="1"/>
      <c r="C27" s="1"/>
      <c r="D27" s="1"/>
      <c r="E27" s="1"/>
      <c r="F27" s="1"/>
      <c r="G27" s="1"/>
      <c r="H27" s="1"/>
      <c r="I27" s="1"/>
      <c r="J27" s="1"/>
      <c r="K27" s="1"/>
      <c r="L27" s="1"/>
      <c r="M27" s="1"/>
      <c r="N27" s="1"/>
      <c r="O27" s="1"/>
      <c r="P27" s="1"/>
      <c r="Q27" s="1"/>
      <c r="R27" s="1"/>
      <c r="S27" s="1"/>
      <c r="T27" s="1"/>
      <c r="U27" s="1"/>
    </row>
    <row customHeight="true" ht="29" r="28">
      <c r="A28" s="40" t="str">
        <v>每日盈亏真实数据</v>
      </c>
      <c r="B28" s="40"/>
      <c r="C28" s="40"/>
      <c r="D28" s="40"/>
      <c r="E28" s="40"/>
      <c r="F28" s="40"/>
      <c r="G28" s="40"/>
      <c r="H28" s="40"/>
      <c r="I28" s="40"/>
      <c r="J28" s="40"/>
      <c r="K28" s="40"/>
      <c r="L28" s="40"/>
      <c r="M28" s="40"/>
      <c r="N28" s="40"/>
      <c r="O28" s="40"/>
      <c r="P28" s="40"/>
      <c r="Q28" s="40"/>
      <c r="R28" s="40"/>
      <c r="S28" s="40"/>
      <c r="T28" s="40"/>
      <c r="U28" s="40"/>
    </row>
    <row customHeight="true" ht="27" r="29">
      <c r="A29" s="61" t="str">
        <v>第一阶段</v>
      </c>
      <c r="B29" s="70" t="str">
        <v>第1周</v>
      </c>
      <c r="C29" s="61"/>
      <c r="D29" s="67"/>
      <c r="E29" s="72"/>
      <c r="F29" s="71"/>
      <c r="G29" s="71"/>
      <c r="H29" s="71"/>
      <c r="I29" s="71"/>
      <c r="J29" s="71"/>
      <c r="K29" s="71"/>
      <c r="L29" s="71"/>
      <c r="M29" s="71"/>
      <c r="N29" s="71"/>
      <c r="O29" s="74"/>
      <c r="P29" s="71"/>
      <c r="Q29" s="71"/>
      <c r="R29" s="74"/>
      <c r="S29" s="76"/>
      <c r="T29" s="71"/>
      <c r="U29" s="75"/>
    </row>
    <row customHeight="true" ht="27" r="30">
      <c r="A30" s="13"/>
      <c r="B30" s="48" t="str">
        <v>第2周</v>
      </c>
      <c r="C30" s="13"/>
      <c r="D30" s="51"/>
      <c r="E30" s="16"/>
      <c r="F30" s="14"/>
      <c r="G30" s="14"/>
      <c r="H30" s="14"/>
      <c r="I30" s="14"/>
      <c r="J30" s="14"/>
      <c r="K30" s="14"/>
      <c r="L30" s="14"/>
      <c r="M30" s="14"/>
      <c r="N30" s="14"/>
      <c r="O30" s="12"/>
      <c r="P30" s="14"/>
      <c r="Q30" s="14"/>
      <c r="R30" s="12"/>
      <c r="S30" s="17"/>
      <c r="T30" s="14"/>
      <c r="U30" s="15"/>
    </row>
    <row customHeight="true" ht="27" r="31">
      <c r="A31" s="13"/>
      <c r="B31" s="48" t="str">
        <v>第3周</v>
      </c>
      <c r="C31" s="13"/>
      <c r="D31" s="51"/>
      <c r="E31" s="16"/>
      <c r="F31" s="14"/>
      <c r="G31" s="14"/>
      <c r="H31" s="14"/>
      <c r="I31" s="14"/>
      <c r="J31" s="14"/>
      <c r="K31" s="14"/>
      <c r="L31" s="14"/>
      <c r="M31" s="14"/>
      <c r="N31" s="14"/>
      <c r="O31" s="12"/>
      <c r="P31" s="14"/>
      <c r="Q31" s="14"/>
      <c r="R31" s="12"/>
      <c r="S31" s="17"/>
      <c r="T31" s="14"/>
      <c r="U31" s="15"/>
    </row>
    <row customHeight="true" ht="27" r="32">
      <c r="A32" s="13"/>
      <c r="B32" s="48" t="str">
        <v>第4周</v>
      </c>
      <c r="C32" s="13"/>
      <c r="D32" s="51"/>
      <c r="E32" s="16"/>
      <c r="F32" s="14"/>
      <c r="G32" s="14"/>
      <c r="H32" s="14"/>
      <c r="I32" s="14"/>
      <c r="J32" s="14"/>
      <c r="K32" s="14"/>
      <c r="L32" s="14"/>
      <c r="M32" s="14"/>
      <c r="N32" s="14"/>
      <c r="O32" s="12"/>
      <c r="P32" s="14"/>
      <c r="Q32" s="14"/>
      <c r="R32" s="12"/>
      <c r="S32" s="17"/>
      <c r="T32" s="14"/>
      <c r="U32" s="15"/>
    </row>
    <row customHeight="true" ht="27" r="33">
      <c r="A33" s="13" t="str">
        <v>第二阶段</v>
      </c>
      <c r="B33" s="48" t="str">
        <v>第5周</v>
      </c>
      <c r="C33" s="13"/>
      <c r="D33" s="51"/>
      <c r="E33" s="16"/>
      <c r="F33" s="14"/>
      <c r="G33" s="14"/>
      <c r="H33" s="14"/>
      <c r="I33" s="14"/>
      <c r="J33" s="14"/>
      <c r="K33" s="14"/>
      <c r="L33" s="14"/>
      <c r="M33" s="14"/>
      <c r="N33" s="14"/>
      <c r="O33" s="12"/>
      <c r="P33" s="14"/>
      <c r="Q33" s="14"/>
      <c r="R33" s="12"/>
      <c r="S33" s="17"/>
      <c r="T33" s="14"/>
      <c r="U33" s="15"/>
    </row>
    <row customHeight="true" ht="27" r="34">
      <c r="A34" s="13"/>
      <c r="B34" s="48" t="str">
        <v>第6周</v>
      </c>
      <c r="C34" s="13"/>
      <c r="D34" s="51"/>
      <c r="E34" s="16"/>
      <c r="F34" s="14"/>
      <c r="G34" s="14"/>
      <c r="H34" s="14"/>
      <c r="I34" s="14"/>
      <c r="J34" s="14"/>
      <c r="K34" s="14"/>
      <c r="L34" s="14"/>
      <c r="M34" s="14"/>
      <c r="N34" s="14"/>
      <c r="O34" s="12"/>
      <c r="P34" s="14"/>
      <c r="Q34" s="14"/>
      <c r="R34" s="12"/>
      <c r="S34" s="17"/>
      <c r="T34" s="14"/>
      <c r="U34" s="15"/>
    </row>
    <row customHeight="true" ht="27" r="35">
      <c r="A35" s="13"/>
      <c r="B35" s="48" t="str">
        <v>第7周</v>
      </c>
      <c r="C35" s="13"/>
      <c r="D35" s="51"/>
      <c r="E35" s="16"/>
      <c r="F35" s="14"/>
      <c r="G35" s="14"/>
      <c r="H35" s="14"/>
      <c r="I35" s="14"/>
      <c r="J35" s="14"/>
      <c r="K35" s="14"/>
      <c r="L35" s="14"/>
      <c r="M35" s="14"/>
      <c r="N35" s="14"/>
      <c r="O35" s="12"/>
      <c r="P35" s="14"/>
      <c r="Q35" s="14"/>
      <c r="R35" s="12"/>
      <c r="S35" s="17"/>
      <c r="T35" s="14"/>
      <c r="U35" s="15"/>
    </row>
    <row customHeight="true" ht="27" r="36">
      <c r="A36" s="13"/>
      <c r="B36" s="48" t="str">
        <v>第8周</v>
      </c>
      <c r="C36" s="13"/>
      <c r="D36" s="51"/>
      <c r="E36" s="16"/>
      <c r="F36" s="14"/>
      <c r="G36" s="14"/>
      <c r="H36" s="14"/>
      <c r="I36" s="14"/>
      <c r="J36" s="14"/>
      <c r="K36" s="14"/>
      <c r="L36" s="14"/>
      <c r="M36" s="14"/>
      <c r="N36" s="14"/>
      <c r="O36" s="12"/>
      <c r="P36" s="14"/>
      <c r="Q36" s="14"/>
      <c r="R36" s="12"/>
      <c r="S36" s="17"/>
      <c r="T36" s="14"/>
      <c r="U36" s="15"/>
    </row>
    <row customHeight="true" ht="27" r="37">
      <c r="A37" s="13" t="str">
        <v>第三阶段</v>
      </c>
      <c r="B37" s="48" t="str">
        <v>第9周</v>
      </c>
      <c r="C37" s="13"/>
      <c r="D37" s="51"/>
      <c r="E37" s="16"/>
      <c r="F37" s="14"/>
      <c r="G37" s="14"/>
      <c r="H37" s="14"/>
      <c r="I37" s="14"/>
      <c r="J37" s="14"/>
      <c r="K37" s="14"/>
      <c r="L37" s="14"/>
      <c r="M37" s="14"/>
      <c r="N37" s="14"/>
      <c r="O37" s="12"/>
      <c r="P37" s="14"/>
      <c r="Q37" s="14"/>
      <c r="R37" s="12"/>
      <c r="S37" s="17"/>
      <c r="T37" s="14"/>
      <c r="U37" s="15"/>
    </row>
    <row customHeight="true" ht="27" r="38">
      <c r="A38" s="13"/>
      <c r="B38" s="48" t="str">
        <v>第10周</v>
      </c>
      <c r="C38" s="13"/>
      <c r="D38" s="51"/>
      <c r="E38" s="16"/>
      <c r="F38" s="14"/>
      <c r="G38" s="14"/>
      <c r="H38" s="14"/>
      <c r="I38" s="14"/>
      <c r="J38" s="14"/>
      <c r="K38" s="14"/>
      <c r="L38" s="14"/>
      <c r="M38" s="14"/>
      <c r="N38" s="14"/>
      <c r="O38" s="12"/>
      <c r="P38" s="14"/>
      <c r="Q38" s="14"/>
      <c r="R38" s="12"/>
      <c r="S38" s="17"/>
      <c r="T38" s="14"/>
      <c r="U38" s="15"/>
    </row>
    <row customHeight="true" ht="27" r="39">
      <c r="A39" s="13"/>
      <c r="B39" s="48" t="str">
        <v>第11周</v>
      </c>
      <c r="C39" s="13"/>
      <c r="D39" s="51"/>
      <c r="E39" s="16"/>
      <c r="F39" s="14"/>
      <c r="G39" s="14"/>
      <c r="H39" s="14"/>
      <c r="I39" s="14"/>
      <c r="J39" s="14"/>
      <c r="K39" s="14"/>
      <c r="L39" s="14"/>
      <c r="M39" s="14"/>
      <c r="N39" s="14"/>
      <c r="O39" s="12"/>
      <c r="P39" s="14"/>
      <c r="Q39" s="14"/>
      <c r="R39" s="12"/>
      <c r="S39" s="17"/>
      <c r="T39" s="14"/>
      <c r="U39" s="15"/>
    </row>
    <row customHeight="true" ht="27" r="40">
      <c r="A40" s="13"/>
      <c r="B40" s="48" t="str">
        <v>第12周</v>
      </c>
      <c r="C40" s="13"/>
      <c r="D40" s="51"/>
      <c r="E40" s="16"/>
      <c r="F40" s="14"/>
      <c r="G40" s="14"/>
      <c r="H40" s="14"/>
      <c r="I40" s="14"/>
      <c r="J40" s="14"/>
      <c r="K40" s="14"/>
      <c r="L40" s="14"/>
      <c r="M40" s="14"/>
      <c r="N40" s="14"/>
      <c r="O40" s="12"/>
      <c r="P40" s="14"/>
      <c r="Q40" s="14"/>
      <c r="R40" s="12"/>
      <c r="S40" s="17"/>
      <c r="T40" s="14"/>
      <c r="U40" s="15"/>
    </row>
    <row customHeight="true" ht="27" r="41">
      <c r="A41" s="13" t="str">
        <v>第四阶段</v>
      </c>
      <c r="B41" s="48" t="str">
        <v>第13周</v>
      </c>
      <c r="C41" s="13"/>
      <c r="D41" s="51"/>
      <c r="E41" s="16"/>
      <c r="F41" s="14"/>
      <c r="G41" s="14"/>
      <c r="H41" s="14"/>
      <c r="I41" s="14"/>
      <c r="J41" s="14"/>
      <c r="K41" s="14"/>
      <c r="L41" s="14"/>
      <c r="M41" s="14"/>
      <c r="N41" s="14"/>
      <c r="O41" s="12"/>
      <c r="P41" s="14"/>
      <c r="Q41" s="14"/>
      <c r="R41" s="12"/>
      <c r="S41" s="17"/>
      <c r="T41" s="14"/>
      <c r="U41" s="15"/>
    </row>
    <row customHeight="true" ht="27" r="42">
      <c r="A42" s="13"/>
      <c r="B42" s="48" t="str">
        <v>第14周</v>
      </c>
      <c r="C42" s="13"/>
      <c r="D42" s="51"/>
      <c r="E42" s="16"/>
      <c r="F42" s="14"/>
      <c r="G42" s="14"/>
      <c r="H42" s="14"/>
      <c r="I42" s="14"/>
      <c r="J42" s="14"/>
      <c r="K42" s="14"/>
      <c r="L42" s="14"/>
      <c r="M42" s="14"/>
      <c r="N42" s="14"/>
      <c r="O42" s="12"/>
      <c r="P42" s="14"/>
      <c r="Q42" s="14"/>
      <c r="R42" s="12"/>
      <c r="S42" s="17"/>
      <c r="T42" s="14"/>
      <c r="U42" s="15"/>
    </row>
    <row customHeight="true" ht="27" r="43">
      <c r="A43" s="13"/>
      <c r="B43" s="48" t="str">
        <v>第15周</v>
      </c>
      <c r="C43" s="13"/>
      <c r="D43" s="51"/>
      <c r="E43" s="16"/>
      <c r="F43" s="14"/>
      <c r="G43" s="14"/>
      <c r="H43" s="14"/>
      <c r="I43" s="14"/>
      <c r="J43" s="14"/>
      <c r="K43" s="14"/>
      <c r="L43" s="14"/>
      <c r="M43" s="14"/>
      <c r="N43" s="14"/>
      <c r="O43" s="12"/>
      <c r="P43" s="14"/>
      <c r="Q43" s="14"/>
      <c r="R43" s="12"/>
      <c r="S43" s="17"/>
      <c r="T43" s="14"/>
      <c r="U43" s="15"/>
    </row>
    <row customHeight="true" ht="27" r="44">
      <c r="A44" s="13"/>
      <c r="B44" s="48" t="str">
        <v>第16周</v>
      </c>
      <c r="C44" s="13"/>
      <c r="D44" s="51"/>
      <c r="E44" s="16"/>
      <c r="F44" s="14"/>
      <c r="G44" s="14"/>
      <c r="H44" s="14"/>
      <c r="I44" s="14"/>
      <c r="J44" s="14"/>
      <c r="K44" s="14"/>
      <c r="L44" s="14"/>
      <c r="M44" s="14"/>
      <c r="N44" s="14"/>
      <c r="O44" s="12"/>
      <c r="P44" s="14"/>
      <c r="Q44" s="14"/>
      <c r="R44" s="12"/>
      <c r="S44" s="17"/>
      <c r="T44" s="14"/>
      <c r="U44" s="15"/>
    </row>
    <row customHeight="true" ht="27" r="45">
      <c r="A45" s="13" t="str">
        <v>第五阶段</v>
      </c>
      <c r="B45" s="48" t="str">
        <v>第17周</v>
      </c>
      <c r="C45" s="13"/>
      <c r="D45" s="51"/>
      <c r="E45" s="16"/>
      <c r="F45" s="14"/>
      <c r="G45" s="14"/>
      <c r="H45" s="14"/>
      <c r="I45" s="14"/>
      <c r="J45" s="14"/>
      <c r="K45" s="14"/>
      <c r="L45" s="14"/>
      <c r="M45" s="14"/>
      <c r="N45" s="14"/>
      <c r="O45" s="12"/>
      <c r="P45" s="14"/>
      <c r="Q45" s="14"/>
      <c r="R45" s="12"/>
      <c r="S45" s="17"/>
      <c r="T45" s="14"/>
      <c r="U45" s="15"/>
    </row>
    <row customHeight="true" ht="27" r="46">
      <c r="A46" s="13"/>
      <c r="B46" s="48" t="str">
        <v>第18周</v>
      </c>
      <c r="C46" s="13"/>
      <c r="D46" s="51"/>
      <c r="E46" s="16"/>
      <c r="F46" s="14"/>
      <c r="G46" s="14"/>
      <c r="H46" s="14"/>
      <c r="I46" s="14"/>
      <c r="J46" s="14"/>
      <c r="K46" s="14"/>
      <c r="L46" s="14"/>
      <c r="M46" s="14"/>
      <c r="N46" s="14"/>
      <c r="O46" s="12"/>
      <c r="P46" s="14"/>
      <c r="Q46" s="14"/>
      <c r="R46" s="12"/>
      <c r="S46" s="17"/>
      <c r="T46" s="14"/>
      <c r="U46" s="15"/>
    </row>
    <row customHeight="true" ht="27" r="47">
      <c r="A47" s="13"/>
      <c r="B47" s="48" t="str">
        <v>第19周</v>
      </c>
      <c r="C47" s="13"/>
      <c r="D47" s="51"/>
      <c r="E47" s="16"/>
      <c r="F47" s="14"/>
      <c r="G47" s="14"/>
      <c r="H47" s="14"/>
      <c r="I47" s="14"/>
      <c r="J47" s="14"/>
      <c r="K47" s="14"/>
      <c r="L47" s="14"/>
      <c r="M47" s="14"/>
      <c r="N47" s="14"/>
      <c r="O47" s="12"/>
      <c r="P47" s="14"/>
      <c r="Q47" s="14"/>
      <c r="R47" s="12"/>
      <c r="S47" s="17"/>
      <c r="T47" s="14"/>
      <c r="U47" s="15"/>
    </row>
    <row customHeight="true" ht="27" r="48">
      <c r="A48" s="13"/>
      <c r="B48" s="48" t="str">
        <v>第20周</v>
      </c>
      <c r="C48" s="13"/>
      <c r="D48" s="51"/>
      <c r="E48" s="16"/>
      <c r="F48" s="14"/>
      <c r="G48" s="14"/>
      <c r="H48" s="14"/>
      <c r="I48" s="14"/>
      <c r="J48" s="14"/>
      <c r="K48" s="14"/>
      <c r="L48" s="14"/>
      <c r="M48" s="14"/>
      <c r="N48" s="14"/>
      <c r="O48" s="12"/>
      <c r="P48" s="14"/>
      <c r="Q48" s="14"/>
      <c r="R48" s="12"/>
      <c r="S48" s="17"/>
      <c r="T48" s="14"/>
      <c r="U48" s="15"/>
    </row>
    <row customHeight="true" ht="27" r="49">
      <c r="A49" s="13" t="str">
        <v>第六阶段</v>
      </c>
      <c r="B49" s="48" t="str">
        <v>第21周</v>
      </c>
      <c r="C49" s="13"/>
      <c r="D49" s="51"/>
      <c r="E49" s="16"/>
      <c r="F49" s="14"/>
      <c r="G49" s="14"/>
      <c r="H49" s="14"/>
      <c r="I49" s="14"/>
      <c r="J49" s="14"/>
      <c r="K49" s="14"/>
      <c r="L49" s="14"/>
      <c r="M49" s="14"/>
      <c r="N49" s="14"/>
      <c r="O49" s="12"/>
      <c r="P49" s="14"/>
      <c r="Q49" s="14"/>
      <c r="R49" s="12"/>
      <c r="S49" s="17"/>
      <c r="T49" s="14"/>
      <c r="U49" s="15"/>
    </row>
    <row customHeight="true" ht="27" r="50">
      <c r="A50" s="13"/>
      <c r="B50" s="48" t="str">
        <v>第22周</v>
      </c>
      <c r="C50" s="13"/>
      <c r="D50" s="51"/>
      <c r="E50" s="16"/>
      <c r="F50" s="14"/>
      <c r="G50" s="14"/>
      <c r="H50" s="14"/>
      <c r="I50" s="14"/>
      <c r="J50" s="14"/>
      <c r="K50" s="14"/>
      <c r="L50" s="14"/>
      <c r="M50" s="14"/>
      <c r="N50" s="14"/>
      <c r="O50" s="12"/>
      <c r="P50" s="14"/>
      <c r="Q50" s="14"/>
      <c r="R50" s="12"/>
      <c r="S50" s="17"/>
      <c r="T50" s="14"/>
      <c r="U50" s="15"/>
    </row>
    <row customHeight="true" ht="27" r="51">
      <c r="A51" s="13"/>
      <c r="B51" s="48" t="str">
        <v>第23周</v>
      </c>
      <c r="C51" s="13"/>
      <c r="D51" s="51"/>
      <c r="E51" s="16"/>
      <c r="F51" s="14"/>
      <c r="G51" s="14"/>
      <c r="H51" s="14"/>
      <c r="I51" s="14"/>
      <c r="J51" s="14"/>
      <c r="K51" s="14"/>
      <c r="L51" s="14"/>
      <c r="M51" s="14"/>
      <c r="N51" s="14"/>
      <c r="O51" s="12"/>
      <c r="P51" s="14"/>
      <c r="Q51" s="14"/>
      <c r="R51" s="12"/>
      <c r="S51" s="17"/>
      <c r="T51" s="14"/>
      <c r="U51" s="15"/>
    </row>
    <row customHeight="true" ht="27" r="52">
      <c r="A52" s="13"/>
      <c r="B52" s="48" t="str">
        <v>第24周</v>
      </c>
      <c r="C52" s="13"/>
      <c r="D52" s="51"/>
      <c r="E52" s="16"/>
      <c r="F52" s="14"/>
      <c r="G52" s="14"/>
      <c r="H52" s="14"/>
      <c r="I52" s="14"/>
      <c r="J52" s="14"/>
      <c r="K52" s="14"/>
      <c r="L52" s="14"/>
      <c r="M52" s="14"/>
      <c r="N52" s="14"/>
      <c r="O52" s="12"/>
      <c r="P52" s="14"/>
      <c r="Q52" s="14"/>
      <c r="R52" s="12"/>
      <c r="S52" s="17"/>
      <c r="T52" s="14"/>
      <c r="U52" s="15"/>
    </row>
  </sheetData>
  <mergeCells>
    <mergeCell ref="A1:U1"/>
    <mergeCell ref="A3:A6"/>
    <mergeCell ref="A7:A10"/>
    <mergeCell ref="A11:A14"/>
    <mergeCell ref="A15:A18"/>
    <mergeCell ref="A19:A22"/>
    <mergeCell ref="A23:A26"/>
    <mergeCell ref="A28:U28"/>
    <mergeCell ref="A29:A32"/>
    <mergeCell ref="A33:A36"/>
    <mergeCell ref="A37:A40"/>
    <mergeCell ref="A41:A44"/>
    <mergeCell ref="A45:A48"/>
    <mergeCell ref="A49:A52"/>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3" xSplit="2" ySplit="2"/>
    </sheetView>
  </sheetViews>
  <sheetFormatPr defaultColWidth="14" defaultRowHeight="19"/>
  <cols>
    <col collapsed="false" customWidth="true" hidden="false" max="1" min="1" style="0" width="23"/>
    <col collapsed="false" customWidth="true" hidden="false" max="2" min="2" style="0" width="25"/>
    <col collapsed="false" customWidth="true" hidden="false" max="3" min="3" style="0" width="8"/>
    <col collapsed="false" customWidth="true" hidden="false" max="4" min="4" style="0" width="7"/>
    <col collapsed="false" customWidth="true" hidden="false" max="5" min="5" style="0" width="7"/>
    <col collapsed="false" customWidth="true" hidden="false" max="6" min="6" style="0" width="9"/>
    <col collapsed="false" customWidth="true" hidden="false" max="7" min="7" style="0" width="9"/>
    <col collapsed="false" customWidth="true" hidden="false" max="8" min="8" style="0" width="7"/>
    <col collapsed="false" customWidth="true" hidden="false" max="9" min="9" style="0" width="8"/>
    <col collapsed="false" customWidth="true" hidden="false" max="10" min="10" style="0" width="7"/>
    <col collapsed="false" customWidth="true" hidden="false" max="11" min="11" style="0" width="9"/>
    <col collapsed="false" customWidth="true" hidden="false" max="12" min="12" style="0" width="12"/>
    <col collapsed="false" customWidth="true" hidden="false" max="13" min="13" style="0" width="16"/>
    <col collapsed="false" customWidth="true" hidden="false" max="14" min="14" style="0" width="11"/>
    <col collapsed="false" customWidth="true" hidden="false" max="15" min="15" style="0" width="8"/>
    <col collapsed="false" customWidth="true" hidden="false" max="16" min="16" style="0" width="9"/>
    <col collapsed="false" customWidth="true" hidden="false" max="17" min="17" style="0" width="8"/>
    <col collapsed="false" customWidth="true" hidden="false" max="18" min="18" style="0" width="9"/>
    <col collapsed="false" customWidth="true" hidden="false" max="19" min="19" style="0" width="10"/>
    <col collapsed="false" customWidth="true" hidden="false" max="20" min="20" style="0" width="15"/>
    <col collapsed="false" customWidth="true" hidden="false" max="21" min="21" style="0" width="15"/>
    <col collapsed="false" customWidth="true" hidden="false" max="22" min="22" style="0" width="17"/>
    <col collapsed="false" customWidth="true" hidden="false" max="23" min="23" style="0" width="25"/>
    <col collapsed="false" customWidth="true" hidden="false" max="24" min="24" style="0" width="19"/>
    <col collapsed="false" customWidth="true" hidden="false" max="25" min="25" style="0" width="19"/>
    <col collapsed="false" customWidth="true" hidden="false" max="26" min="26" style="0" width="15"/>
    <col collapsed="false" customWidth="true" hidden="false" max="27" min="27" style="0" width="19"/>
    <col collapsed="false" customWidth="true" hidden="false" max="28" min="28" style="0" width="19"/>
    <col collapsed="false" customWidth="true" hidden="false" max="29" min="29" style="0" width="9"/>
    <col collapsed="false" customWidth="true" hidden="false" max="30" min="30" style="0" width="9"/>
    <col collapsed="false" customWidth="true" hidden="false" max="31" min="31" style="0" width="9"/>
    <col collapsed="false" customWidth="true" hidden="false" max="32" min="32" style="0" width="9"/>
    <col collapsed="false" customWidth="true" hidden="false" max="33" min="33" style="0" width="9"/>
    <col collapsed="false" customWidth="true" hidden="false" max="34" min="34" style="0" width="9"/>
    <col collapsed="false" customWidth="true" hidden="false" max="35" min="35" style="0" width="9"/>
    <col collapsed="false" customWidth="true" hidden="false" max="36" min="36" style="0" width="9"/>
    <col collapsed="false" customWidth="true" hidden="false" max="37" min="37" style="0" width="9"/>
    <col collapsed="false" customWidth="true" hidden="false" max="38" min="38" style="0" width="9"/>
    <col collapsed="false" customWidth="true" hidden="false" max="39" min="39" style="0" width="9"/>
    <col collapsed="false" customWidth="true" hidden="false" max="40" min="40" style="0" width="9"/>
    <col collapsed="false" customWidth="true" hidden="false" max="41" min="41" style="0" width="9"/>
    <col collapsed="false" customWidth="true" hidden="false" max="42" min="42" style="0" width="9"/>
  </cols>
  <sheetData>
    <row customHeight="true" ht="32" r="1">
      <c r="A1" s="47" t="str">
        <v>按照每周/每日不同的数据表现情况进行调整：</v>
      </c>
      <c r="B1" s="44"/>
      <c r="C1" s="44"/>
      <c r="D1" s="44"/>
      <c r="E1" s="44"/>
      <c r="F1" s="45"/>
      <c r="G1" s="44"/>
      <c r="H1" s="44"/>
      <c r="I1" s="44"/>
      <c r="J1" s="44"/>
      <c r="K1" s="44"/>
      <c r="L1" s="44"/>
      <c r="M1" s="44"/>
      <c r="N1" s="44"/>
      <c r="O1" s="44"/>
      <c r="P1" s="44"/>
      <c r="Q1" s="44"/>
      <c r="R1" s="44"/>
      <c r="S1" s="44"/>
      <c r="T1" s="44"/>
      <c r="U1" s="44"/>
      <c r="V1" s="44"/>
      <c r="W1" s="44"/>
      <c r="X1" s="44"/>
      <c r="Y1" s="44"/>
      <c r="Z1" s="46"/>
      <c r="AA1" s="1"/>
      <c r="AB1" s="88" t="s">
        <v>4</v>
      </c>
      <c r="AC1" s="1"/>
      <c r="AD1" s="1"/>
      <c r="AE1" s="1"/>
      <c r="AF1" s="1"/>
      <c r="AG1" s="1"/>
      <c r="AH1" s="1"/>
      <c r="AI1" s="1"/>
      <c r="AJ1" s="1"/>
      <c r="AK1" s="1"/>
      <c r="AL1" s="1"/>
      <c r="AM1" s="1"/>
      <c r="AN1" s="1"/>
    </row>
    <row customHeight="true" ht="59" r="2">
      <c r="A2" s="64" t="str">
        <v>周</v>
      </c>
      <c r="B2" s="57" t="str">
        <v>星期</v>
      </c>
      <c r="C2" s="57" t="str">
        <v>名称</v>
      </c>
      <c r="D2" s="57" t="str">
        <v>店铺SKU</v>
      </c>
      <c r="E2" s="65" t="str">
        <v>ASIN</v>
      </c>
      <c r="F2" s="62" t="str">
        <v>Rating数</v>
      </c>
      <c r="G2" s="55" t="str">
        <v>星级</v>
      </c>
      <c r="H2" s="55" t="str">
        <v>QA数量</v>
      </c>
      <c r="I2" s="55" t="str">
        <v>操作</v>
      </c>
      <c r="J2" s="55" t="str">
        <v>flashlihte</v>
      </c>
      <c r="K2" s="53" t="str">
        <v>访问IP数</v>
      </c>
      <c r="L2" s="53" t="str">
        <v>自然流量</v>
      </c>
      <c r="M2" s="53" t="str">
        <v>浏览量</v>
      </c>
      <c r="N2" s="53" t="str">
        <v>转化率</v>
      </c>
      <c r="O2" s="55" t="str">
        <v>总订单</v>
      </c>
      <c r="P2" s="54" t="str">
        <v>总销售额</v>
      </c>
      <c r="Q2" s="54" t="str">
        <v>总销量</v>
      </c>
      <c r="R2" s="54" t="str">
        <v>曝光量</v>
      </c>
      <c r="S2" s="59" t="str">
        <v>点击</v>
      </c>
      <c r="T2" s="55" t="str">
        <v>广告订单</v>
      </c>
      <c r="U2" s="55" t="str">
        <v>CTR</v>
      </c>
      <c r="V2" s="61" t="str">
        <v>CVR</v>
      </c>
      <c r="W2" s="60" t="str">
        <v>总花费</v>
      </c>
      <c r="X2" s="56" t="str">
        <v>CPC</v>
      </c>
      <c r="Y2" s="56" t="str">
        <v>广告销售额</v>
      </c>
      <c r="Z2" s="61" t="str">
        <v>ACOS</v>
      </c>
      <c r="AA2" s="89" t="str">
        <v>广告订单占比</v>
      </c>
      <c r="AB2" s="88" t="str">
        <v>广告订单占比</v>
      </c>
      <c r="AC2" s="1"/>
      <c r="AD2" s="1"/>
      <c r="AE2" s="1"/>
      <c r="AF2" s="1"/>
      <c r="AG2" s="1"/>
      <c r="AH2" s="1"/>
      <c r="AI2" s="1"/>
      <c r="AJ2" s="1"/>
      <c r="AK2" s="1"/>
      <c r="AL2" s="1"/>
      <c r="AM2" s="1"/>
      <c r="AN2" s="1"/>
    </row>
    <row customHeight="true" ht="27" r="3">
      <c r="A3" s="90" t="str">
        <v>①周</v>
      </c>
      <c r="B3" s="48" t="str">
        <v>星期一</v>
      </c>
      <c r="C3" s="13"/>
      <c r="D3" s="51"/>
      <c r="E3" s="16"/>
      <c r="F3" s="49"/>
      <c r="G3" s="13"/>
      <c r="H3" s="13"/>
      <c r="I3" s="13"/>
      <c r="J3" s="13"/>
      <c r="K3" s="49"/>
      <c r="L3" s="49"/>
      <c r="M3" s="49"/>
      <c r="N3" s="49"/>
      <c r="O3" s="13"/>
      <c r="P3" s="50"/>
      <c r="Q3" s="50"/>
      <c r="R3" s="50"/>
      <c r="S3" s="52"/>
      <c r="T3" s="13"/>
      <c r="U3" s="13"/>
      <c r="V3" s="13"/>
      <c r="W3" s="13"/>
      <c r="X3" s="49"/>
      <c r="Y3" s="49"/>
      <c r="Z3" s="13"/>
      <c r="AA3" s="43"/>
      <c r="AB3" s="43" t="str">
        <v>Q&amp;A数   QA图片视频， 评论数，星级，评论的质量： 前台首页无差评 3星，以及点赞数量（前3个评论，首页）</v>
      </c>
      <c r="AC3" s="1"/>
      <c r="AD3" s="1"/>
      <c r="AE3" s="1"/>
      <c r="AF3" s="1"/>
      <c r="AG3" s="1"/>
      <c r="AH3" s="1"/>
      <c r="AI3" s="1"/>
      <c r="AJ3" s="1"/>
      <c r="AK3" s="1"/>
      <c r="AL3" s="1"/>
      <c r="AM3" s="1"/>
      <c r="AN3" s="1"/>
    </row>
    <row customHeight="true" ht="27" r="4">
      <c r="A4" s="85"/>
      <c r="B4" s="48" t="str">
        <v>星期二</v>
      </c>
      <c r="C4" s="13"/>
      <c r="D4" s="51"/>
      <c r="E4" s="16"/>
      <c r="F4" s="49"/>
      <c r="G4" s="13"/>
      <c r="H4" s="13"/>
      <c r="I4" s="13"/>
      <c r="J4" s="13"/>
      <c r="K4" s="49"/>
      <c r="L4" s="49"/>
      <c r="M4" s="49"/>
      <c r="N4" s="49"/>
      <c r="O4" s="13"/>
      <c r="P4" s="50"/>
      <c r="Q4" s="50"/>
      <c r="R4" s="50"/>
      <c r="S4" s="52"/>
      <c r="T4" s="13"/>
      <c r="U4" s="13"/>
      <c r="V4" s="13"/>
      <c r="W4" s="13"/>
      <c r="X4" s="49"/>
      <c r="Y4" s="49"/>
      <c r="Z4" s="13"/>
      <c r="AA4" s="1"/>
      <c r="AB4" s="1"/>
      <c r="AC4" s="1"/>
      <c r="AD4" s="1"/>
      <c r="AE4" s="1"/>
      <c r="AF4" s="1"/>
      <c r="AG4" s="1"/>
      <c r="AH4" s="1"/>
      <c r="AI4" s="1"/>
      <c r="AJ4" s="1"/>
      <c r="AK4" s="1"/>
      <c r="AL4" s="1"/>
      <c r="AM4" s="1"/>
      <c r="AN4" s="1"/>
    </row>
    <row customHeight="true" ht="27" r="5">
      <c r="A5" s="85"/>
      <c r="B5" s="48" t="str">
        <v>星期三</v>
      </c>
      <c r="C5" s="13"/>
      <c r="D5" s="51"/>
      <c r="E5" s="16"/>
      <c r="F5" s="49"/>
      <c r="G5" s="13"/>
      <c r="H5" s="13"/>
      <c r="I5" s="13"/>
      <c r="J5" s="13"/>
      <c r="K5" s="49"/>
      <c r="L5" s="49"/>
      <c r="M5" s="49"/>
      <c r="N5" s="49"/>
      <c r="O5" s="13"/>
      <c r="P5" s="50"/>
      <c r="Q5" s="50"/>
      <c r="R5" s="50"/>
      <c r="S5" s="52"/>
      <c r="T5" s="13"/>
      <c r="U5" s="13"/>
      <c r="V5" s="13"/>
      <c r="W5" s="13"/>
      <c r="X5" s="49"/>
      <c r="Y5" s="49"/>
      <c r="Z5" s="13"/>
      <c r="AA5" s="1"/>
      <c r="AB5" s="1"/>
      <c r="AC5" s="1"/>
      <c r="AD5" s="1"/>
      <c r="AE5" s="1"/>
      <c r="AF5" s="1"/>
      <c r="AG5" s="1"/>
      <c r="AH5" s="1"/>
      <c r="AI5" s="1"/>
      <c r="AJ5" s="1"/>
      <c r="AK5" s="1"/>
      <c r="AL5" s="1"/>
      <c r="AM5" s="1"/>
      <c r="AN5" s="1"/>
    </row>
    <row customHeight="true" ht="27" r="6">
      <c r="A6" s="85"/>
      <c r="B6" s="48" t="str">
        <v>星期四</v>
      </c>
      <c r="C6" s="13"/>
      <c r="D6" s="51"/>
      <c r="E6" s="16"/>
      <c r="F6" s="49"/>
      <c r="G6" s="13"/>
      <c r="H6" s="13"/>
      <c r="I6" s="13"/>
      <c r="J6" s="13"/>
      <c r="K6" s="49"/>
      <c r="L6" s="49"/>
      <c r="M6" s="49"/>
      <c r="N6" s="49"/>
      <c r="O6" s="13"/>
      <c r="P6" s="50"/>
      <c r="Q6" s="50"/>
      <c r="R6" s="50"/>
      <c r="S6" s="52"/>
      <c r="T6" s="13"/>
      <c r="U6" s="13"/>
      <c r="V6" s="13"/>
      <c r="W6" s="13"/>
      <c r="X6" s="49"/>
      <c r="Y6" s="49"/>
      <c r="Z6" s="13"/>
      <c r="AA6" s="1"/>
      <c r="AB6" s="1"/>
      <c r="AC6" s="1"/>
      <c r="AD6" s="1"/>
      <c r="AE6" s="1"/>
      <c r="AF6" s="1"/>
      <c r="AG6" s="1"/>
      <c r="AH6" s="1"/>
      <c r="AI6" s="1"/>
      <c r="AJ6" s="1"/>
      <c r="AK6" s="1"/>
      <c r="AL6" s="1"/>
      <c r="AM6" s="1"/>
      <c r="AN6" s="1"/>
    </row>
    <row customHeight="true" ht="27" r="7">
      <c r="A7" s="85"/>
      <c r="B7" s="48" t="str">
        <v>星期五</v>
      </c>
      <c r="C7" s="13"/>
      <c r="D7" s="51"/>
      <c r="E7" s="16"/>
      <c r="F7" s="49"/>
      <c r="G7" s="13"/>
      <c r="H7" s="13"/>
      <c r="I7" s="13"/>
      <c r="J7" s="13"/>
      <c r="K7" s="49"/>
      <c r="L7" s="49"/>
      <c r="M7" s="49"/>
      <c r="N7" s="49"/>
      <c r="O7" s="13"/>
      <c r="P7" s="50"/>
      <c r="Q7" s="50"/>
      <c r="R7" s="50"/>
      <c r="S7" s="52"/>
      <c r="T7" s="13"/>
      <c r="U7" s="13"/>
      <c r="V7" s="13"/>
      <c r="W7" s="13"/>
      <c r="X7" s="49"/>
      <c r="Y7" s="49"/>
      <c r="Z7" s="13"/>
      <c r="AA7" s="1"/>
      <c r="AB7" s="1"/>
      <c r="AC7" s="1"/>
      <c r="AD7" s="1"/>
      <c r="AE7" s="1"/>
      <c r="AF7" s="1"/>
      <c r="AG7" s="1"/>
      <c r="AH7" s="1"/>
      <c r="AI7" s="1"/>
      <c r="AJ7" s="1"/>
      <c r="AK7" s="1"/>
      <c r="AL7" s="1"/>
      <c r="AM7" s="1"/>
      <c r="AN7" s="1"/>
    </row>
    <row customHeight="true" ht="27" r="8">
      <c r="A8" s="85"/>
      <c r="B8" s="48" t="str">
        <v>星期六</v>
      </c>
      <c r="C8" s="13"/>
      <c r="D8" s="51"/>
      <c r="E8" s="16"/>
      <c r="F8" s="49"/>
      <c r="G8" s="13"/>
      <c r="H8" s="13"/>
      <c r="I8" s="13"/>
      <c r="J8" s="13"/>
      <c r="K8" s="49"/>
      <c r="L8" s="49"/>
      <c r="M8" s="49"/>
      <c r="N8" s="49"/>
      <c r="O8" s="13"/>
      <c r="P8" s="50"/>
      <c r="Q8" s="50"/>
      <c r="R8" s="50"/>
      <c r="S8" s="52"/>
      <c r="T8" s="13"/>
      <c r="U8" s="13"/>
      <c r="V8" s="13"/>
      <c r="W8" s="13"/>
      <c r="X8" s="49"/>
      <c r="Y8" s="49"/>
      <c r="Z8" s="13"/>
      <c r="AA8" s="1"/>
      <c r="AB8" s="1"/>
      <c r="AC8" s="1"/>
      <c r="AD8" s="1"/>
      <c r="AE8" s="1"/>
      <c r="AF8" s="1"/>
      <c r="AG8" s="1"/>
      <c r="AH8" s="1"/>
      <c r="AI8" s="1"/>
      <c r="AJ8" s="1"/>
      <c r="AK8" s="1"/>
      <c r="AL8" s="1"/>
      <c r="AM8" s="1"/>
      <c r="AN8" s="1"/>
    </row>
    <row customHeight="true" ht="27" r="9">
      <c r="A9" s="61"/>
      <c r="B9" s="48" t="str">
        <v>星期日</v>
      </c>
      <c r="C9" s="13"/>
      <c r="D9" s="51"/>
      <c r="E9" s="16"/>
      <c r="F9" s="49"/>
      <c r="G9" s="13"/>
      <c r="H9" s="13"/>
      <c r="I9" s="13"/>
      <c r="J9" s="13"/>
      <c r="K9" s="49"/>
      <c r="L9" s="49"/>
      <c r="M9" s="49"/>
      <c r="N9" s="49"/>
      <c r="O9" s="13"/>
      <c r="P9" s="50"/>
      <c r="Q9" s="50"/>
      <c r="R9" s="50"/>
      <c r="S9" s="52"/>
      <c r="T9" s="13"/>
      <c r="U9" s="13"/>
      <c r="V9" s="13"/>
      <c r="W9" s="13"/>
      <c r="X9" s="49"/>
      <c r="Y9" s="49"/>
      <c r="Z9" s="13"/>
      <c r="AA9" s="1"/>
      <c r="AB9" s="1"/>
      <c r="AC9" s="1"/>
      <c r="AD9" s="1"/>
      <c r="AE9" s="1"/>
      <c r="AF9" s="1"/>
      <c r="AG9" s="1"/>
      <c r="AH9" s="1"/>
      <c r="AI9" s="1"/>
      <c r="AJ9" s="1"/>
      <c r="AK9" s="1"/>
      <c r="AL9" s="1"/>
      <c r="AM9" s="1"/>
      <c r="AN9" s="1"/>
    </row>
    <row customHeight="true" ht="27" r="10">
      <c r="A10" s="13" t="str">
        <v>第一周</v>
      </c>
      <c r="B10" s="48"/>
      <c r="C10" s="13"/>
      <c r="D10" s="51"/>
      <c r="E10" s="16"/>
      <c r="F10" s="49"/>
      <c r="G10" s="13"/>
      <c r="H10" s="13"/>
      <c r="I10" s="13"/>
      <c r="J10" s="13"/>
      <c r="K10" s="49"/>
      <c r="L10" s="49"/>
      <c r="M10" s="49"/>
      <c r="N10" s="49"/>
      <c r="O10" s="13"/>
      <c r="P10" s="50"/>
      <c r="Q10" s="50"/>
      <c r="R10" s="50"/>
      <c r="S10" s="52"/>
      <c r="T10" s="13"/>
      <c r="U10" s="13"/>
      <c r="V10" s="13"/>
      <c r="W10" s="13"/>
      <c r="X10" s="49"/>
      <c r="Y10" s="49"/>
      <c r="Z10" s="13"/>
      <c r="AA10" s="1"/>
      <c r="AB10" s="1"/>
      <c r="AC10" s="1"/>
      <c r="AD10" s="1"/>
      <c r="AE10" s="1"/>
      <c r="AF10" s="1"/>
      <c r="AG10" s="1"/>
      <c r="AH10" s="1"/>
      <c r="AI10" s="1"/>
      <c r="AJ10" s="1"/>
      <c r="AK10" s="1"/>
      <c r="AL10" s="1"/>
      <c r="AM10" s="1"/>
      <c r="AN10" s="1"/>
    </row>
    <row customHeight="true" ht="27" r="11">
      <c r="A11" s="90" t="str">
        <v>②周</v>
      </c>
      <c r="B11" s="48" t="str">
        <v>星期一</v>
      </c>
      <c r="C11" s="13"/>
      <c r="D11" s="51"/>
      <c r="E11" s="16"/>
      <c r="F11" s="49"/>
      <c r="G11" s="13"/>
      <c r="H11" s="13"/>
      <c r="I11" s="13"/>
      <c r="J11" s="13"/>
      <c r="K11" s="49"/>
      <c r="L11" s="49"/>
      <c r="M11" s="49"/>
      <c r="N11" s="49"/>
      <c r="O11" s="13"/>
      <c r="P11" s="50"/>
      <c r="Q11" s="50"/>
      <c r="R11" s="50"/>
      <c r="S11" s="52"/>
      <c r="T11" s="13"/>
      <c r="U11" s="13"/>
      <c r="V11" s="13"/>
      <c r="W11" s="13"/>
      <c r="X11" s="49"/>
      <c r="Y11" s="49"/>
      <c r="Z11" s="13"/>
      <c r="AA11" s="1"/>
      <c r="AB11" s="1"/>
      <c r="AC11" s="1"/>
      <c r="AD11" s="1"/>
      <c r="AE11" s="1"/>
      <c r="AF11" s="1"/>
      <c r="AG11" s="1"/>
      <c r="AH11" s="1"/>
      <c r="AI11" s="1"/>
      <c r="AJ11" s="1"/>
      <c r="AK11" s="1"/>
      <c r="AL11" s="1"/>
      <c r="AM11" s="1"/>
      <c r="AN11" s="1"/>
    </row>
    <row customHeight="true" ht="27" r="12">
      <c r="A12" s="85"/>
      <c r="B12" s="48" t="str">
        <v>星期二</v>
      </c>
      <c r="C12" s="13"/>
      <c r="D12" s="51"/>
      <c r="E12" s="16"/>
      <c r="F12" s="49"/>
      <c r="G12" s="13"/>
      <c r="H12" s="13"/>
      <c r="I12" s="13"/>
      <c r="J12" s="13"/>
      <c r="K12" s="49"/>
      <c r="L12" s="49"/>
      <c r="M12" s="49"/>
      <c r="N12" s="49"/>
      <c r="O12" s="13"/>
      <c r="P12" s="50"/>
      <c r="Q12" s="50"/>
      <c r="R12" s="50"/>
      <c r="S12" s="52"/>
      <c r="T12" s="13"/>
      <c r="U12" s="13"/>
      <c r="V12" s="13"/>
      <c r="W12" s="13"/>
      <c r="X12" s="49"/>
      <c r="Y12" s="49"/>
      <c r="Z12" s="13"/>
      <c r="AA12" s="1"/>
      <c r="AB12" s="1"/>
      <c r="AC12" s="1"/>
      <c r="AD12" s="1"/>
      <c r="AE12" s="1"/>
      <c r="AF12" s="1"/>
      <c r="AG12" s="1"/>
      <c r="AH12" s="1"/>
      <c r="AI12" s="1"/>
      <c r="AJ12" s="1"/>
      <c r="AK12" s="1"/>
      <c r="AL12" s="1"/>
      <c r="AM12" s="1"/>
      <c r="AN12" s="1"/>
    </row>
    <row customHeight="true" ht="27" r="13">
      <c r="A13" s="85"/>
      <c r="B13" s="48" t="str">
        <v>星期三</v>
      </c>
      <c r="C13" s="13"/>
      <c r="D13" s="51"/>
      <c r="E13" s="16"/>
      <c r="F13" s="49"/>
      <c r="G13" s="13"/>
      <c r="H13" s="13"/>
      <c r="I13" s="13"/>
      <c r="J13" s="13"/>
      <c r="K13" s="49"/>
      <c r="L13" s="49"/>
      <c r="M13" s="49"/>
      <c r="N13" s="49"/>
      <c r="O13" s="13"/>
      <c r="P13" s="50"/>
      <c r="Q13" s="50"/>
      <c r="R13" s="50"/>
      <c r="S13" s="52"/>
      <c r="T13" s="13"/>
      <c r="U13" s="13"/>
      <c r="V13" s="13"/>
      <c r="W13" s="13"/>
      <c r="X13" s="49"/>
      <c r="Y13" s="49"/>
      <c r="Z13" s="13"/>
      <c r="AA13" s="1"/>
      <c r="AB13" s="1"/>
      <c r="AC13" s="1"/>
      <c r="AD13" s="1"/>
      <c r="AE13" s="1"/>
      <c r="AF13" s="1"/>
      <c r="AG13" s="1"/>
      <c r="AH13" s="1"/>
      <c r="AI13" s="1"/>
      <c r="AJ13" s="1"/>
      <c r="AK13" s="1"/>
      <c r="AL13" s="1"/>
      <c r="AM13" s="1"/>
      <c r="AN13" s="1"/>
    </row>
    <row customHeight="true" ht="27" r="14">
      <c r="A14" s="85"/>
      <c r="B14" s="48" t="str">
        <v>星期四</v>
      </c>
      <c r="C14" s="13"/>
      <c r="D14" s="51"/>
      <c r="E14" s="16"/>
      <c r="F14" s="49"/>
      <c r="G14" s="13"/>
      <c r="H14" s="13"/>
      <c r="I14" s="13"/>
      <c r="J14" s="13"/>
      <c r="K14" s="49"/>
      <c r="L14" s="49"/>
      <c r="M14" s="49"/>
      <c r="N14" s="49"/>
      <c r="O14" s="13"/>
      <c r="P14" s="50"/>
      <c r="Q14" s="50"/>
      <c r="R14" s="50"/>
      <c r="S14" s="52"/>
      <c r="T14" s="13"/>
      <c r="U14" s="13"/>
      <c r="V14" s="13"/>
      <c r="W14" s="13"/>
      <c r="X14" s="49"/>
      <c r="Y14" s="49"/>
      <c r="Z14" s="13"/>
      <c r="AA14" s="1"/>
      <c r="AB14" s="1"/>
      <c r="AC14" s="1"/>
      <c r="AD14" s="1"/>
      <c r="AE14" s="1"/>
      <c r="AF14" s="1"/>
      <c r="AG14" s="1"/>
      <c r="AH14" s="1"/>
      <c r="AI14" s="1"/>
      <c r="AJ14" s="1"/>
      <c r="AK14" s="1"/>
      <c r="AL14" s="1"/>
      <c r="AM14" s="1"/>
      <c r="AN14" s="1"/>
    </row>
    <row customHeight="true" ht="27" r="15">
      <c r="A15" s="85"/>
      <c r="B15" s="48" t="str">
        <v>星期五</v>
      </c>
      <c r="C15" s="13"/>
      <c r="D15" s="51"/>
      <c r="E15" s="16"/>
      <c r="F15" s="49"/>
      <c r="G15" s="13"/>
      <c r="H15" s="13"/>
      <c r="I15" s="13"/>
      <c r="J15" s="13"/>
      <c r="K15" s="49"/>
      <c r="L15" s="49"/>
      <c r="M15" s="49"/>
      <c r="N15" s="49"/>
      <c r="O15" s="13"/>
      <c r="P15" s="50"/>
      <c r="Q15" s="50"/>
      <c r="R15" s="50"/>
      <c r="S15" s="52"/>
      <c r="T15" s="13"/>
      <c r="U15" s="13"/>
      <c r="V15" s="13"/>
      <c r="W15" s="13"/>
      <c r="X15" s="49"/>
      <c r="Y15" s="49"/>
      <c r="Z15" s="13"/>
      <c r="AA15" s="1"/>
      <c r="AB15" s="1"/>
      <c r="AC15" s="1"/>
      <c r="AD15" s="1"/>
      <c r="AE15" s="1"/>
      <c r="AF15" s="1"/>
      <c r="AG15" s="1"/>
      <c r="AH15" s="1"/>
      <c r="AI15" s="1"/>
      <c r="AJ15" s="1"/>
      <c r="AK15" s="1"/>
      <c r="AL15" s="1"/>
      <c r="AM15" s="1"/>
      <c r="AN15" s="1"/>
    </row>
    <row customHeight="true" ht="27" r="16">
      <c r="A16" s="85"/>
      <c r="B16" s="48" t="str">
        <v>星期六</v>
      </c>
      <c r="C16" s="13"/>
      <c r="D16" s="51"/>
      <c r="E16" s="16"/>
      <c r="F16" s="49"/>
      <c r="G16" s="13"/>
      <c r="H16" s="13"/>
      <c r="I16" s="13"/>
      <c r="J16" s="13"/>
      <c r="K16" s="49"/>
      <c r="L16" s="49"/>
      <c r="M16" s="49"/>
      <c r="N16" s="49"/>
      <c r="O16" s="13"/>
      <c r="P16" s="50"/>
      <c r="Q16" s="50"/>
      <c r="R16" s="50"/>
      <c r="S16" s="52"/>
      <c r="T16" s="13"/>
      <c r="U16" s="13"/>
      <c r="V16" s="13"/>
      <c r="W16" s="13"/>
      <c r="X16" s="49"/>
      <c r="Y16" s="49"/>
      <c r="Z16" s="13"/>
      <c r="AA16" s="1"/>
      <c r="AB16" s="1"/>
      <c r="AC16" s="1"/>
      <c r="AD16" s="1"/>
      <c r="AE16" s="1"/>
      <c r="AF16" s="1"/>
      <c r="AG16" s="1"/>
      <c r="AH16" s="1"/>
      <c r="AI16" s="1"/>
      <c r="AJ16" s="1"/>
      <c r="AK16" s="1"/>
      <c r="AL16" s="1"/>
      <c r="AM16" s="1"/>
      <c r="AN16" s="1"/>
    </row>
    <row customHeight="true" ht="27" r="17">
      <c r="A17" s="61"/>
      <c r="B17" s="48" t="str">
        <v>星期日</v>
      </c>
      <c r="C17" s="13"/>
      <c r="D17" s="51"/>
      <c r="E17" s="16"/>
      <c r="F17" s="49"/>
      <c r="G17" s="13"/>
      <c r="H17" s="13"/>
      <c r="I17" s="13"/>
      <c r="J17" s="13"/>
      <c r="K17" s="49"/>
      <c r="L17" s="49"/>
      <c r="M17" s="49"/>
      <c r="N17" s="49"/>
      <c r="O17" s="13"/>
      <c r="P17" s="50"/>
      <c r="Q17" s="50"/>
      <c r="R17" s="50"/>
      <c r="S17" s="52"/>
      <c r="T17" s="13"/>
      <c r="U17" s="13"/>
      <c r="V17" s="13"/>
      <c r="W17" s="13"/>
      <c r="X17" s="49"/>
      <c r="Y17" s="49"/>
      <c r="Z17" s="13"/>
      <c r="AA17" s="1"/>
      <c r="AB17" s="1"/>
      <c r="AC17" s="1"/>
      <c r="AD17" s="1"/>
      <c r="AE17" s="1"/>
      <c r="AF17" s="1"/>
      <c r="AG17" s="1"/>
      <c r="AH17" s="1"/>
      <c r="AI17" s="1"/>
      <c r="AJ17" s="1"/>
      <c r="AK17" s="1"/>
      <c r="AL17" s="1"/>
      <c r="AM17" s="1"/>
      <c r="AN17" s="1"/>
    </row>
    <row customHeight="true" ht="27" r="18">
      <c r="A18" s="13" t="str">
        <v>第二周</v>
      </c>
      <c r="B18" s="48"/>
      <c r="C18" s="13"/>
      <c r="D18" s="51"/>
      <c r="E18" s="16"/>
      <c r="F18" s="49"/>
      <c r="G18" s="13"/>
      <c r="H18" s="13"/>
      <c r="I18" s="13"/>
      <c r="J18" s="13"/>
      <c r="K18" s="49"/>
      <c r="L18" s="49"/>
      <c r="M18" s="49"/>
      <c r="N18" s="49"/>
      <c r="O18" s="13"/>
      <c r="P18" s="50"/>
      <c r="Q18" s="50"/>
      <c r="R18" s="50"/>
      <c r="S18" s="52"/>
      <c r="T18" s="13"/>
      <c r="U18" s="13"/>
      <c r="V18" s="13"/>
      <c r="W18" s="13"/>
      <c r="X18" s="49"/>
      <c r="Y18" s="49"/>
      <c r="Z18" s="13"/>
      <c r="AA18" s="1"/>
      <c r="AB18" s="1"/>
      <c r="AC18" s="1"/>
      <c r="AD18" s="1"/>
      <c r="AE18" s="1"/>
      <c r="AF18" s="1"/>
      <c r="AG18" s="1"/>
      <c r="AH18" s="1"/>
      <c r="AI18" s="1"/>
      <c r="AJ18" s="1"/>
      <c r="AK18" s="1"/>
      <c r="AL18" s="1"/>
      <c r="AM18" s="1"/>
      <c r="AN18" s="1"/>
    </row>
    <row customHeight="true" ht="27" r="19">
      <c r="A19" s="90" t="str">
        <v>③周</v>
      </c>
      <c r="B19" s="48" t="str">
        <v>星期一</v>
      </c>
      <c r="C19" s="13"/>
      <c r="D19" s="51"/>
      <c r="E19" s="16"/>
      <c r="F19" s="49"/>
      <c r="G19" s="13"/>
      <c r="H19" s="13"/>
      <c r="I19" s="13"/>
      <c r="J19" s="13"/>
      <c r="K19" s="49"/>
      <c r="L19" s="49"/>
      <c r="M19" s="49"/>
      <c r="N19" s="49"/>
      <c r="O19" s="13"/>
      <c r="P19" s="50"/>
      <c r="Q19" s="50"/>
      <c r="R19" s="50"/>
      <c r="S19" s="52"/>
      <c r="T19" s="13"/>
      <c r="U19" s="13"/>
      <c r="V19" s="13"/>
      <c r="W19" s="13"/>
      <c r="X19" s="49"/>
      <c r="Y19" s="49"/>
      <c r="Z19" s="13"/>
      <c r="AA19" s="1"/>
      <c r="AB19" s="1"/>
      <c r="AC19" s="1"/>
      <c r="AD19" s="1"/>
      <c r="AE19" s="1"/>
      <c r="AF19" s="1"/>
      <c r="AG19" s="1"/>
      <c r="AH19" s="1"/>
      <c r="AI19" s="1"/>
      <c r="AJ19" s="1"/>
      <c r="AK19" s="1"/>
      <c r="AL19" s="1"/>
      <c r="AM19" s="1"/>
      <c r="AN19" s="1"/>
    </row>
    <row customHeight="true" ht="27" r="20">
      <c r="A20" s="85"/>
      <c r="B20" s="48" t="str">
        <v>星期二</v>
      </c>
      <c r="C20" s="13"/>
      <c r="D20" s="51"/>
      <c r="E20" s="16"/>
      <c r="F20" s="49"/>
      <c r="G20" s="13"/>
      <c r="H20" s="13"/>
      <c r="I20" s="13"/>
      <c r="J20" s="13"/>
      <c r="K20" s="49"/>
      <c r="L20" s="49"/>
      <c r="M20" s="49"/>
      <c r="N20" s="49"/>
      <c r="O20" s="13"/>
      <c r="P20" s="50"/>
      <c r="Q20" s="50"/>
      <c r="R20" s="50"/>
      <c r="S20" s="52"/>
      <c r="T20" s="13"/>
      <c r="U20" s="13"/>
      <c r="V20" s="13"/>
      <c r="W20" s="13"/>
      <c r="X20" s="49"/>
      <c r="Y20" s="49"/>
      <c r="Z20" s="13"/>
      <c r="AA20" s="1"/>
      <c r="AB20" s="1"/>
      <c r="AC20" s="1"/>
      <c r="AD20" s="1"/>
      <c r="AE20" s="1"/>
      <c r="AF20" s="1"/>
      <c r="AG20" s="1"/>
      <c r="AH20" s="1"/>
      <c r="AI20" s="1"/>
      <c r="AJ20" s="1"/>
      <c r="AK20" s="1"/>
      <c r="AL20" s="1"/>
      <c r="AM20" s="1"/>
      <c r="AN20" s="1"/>
    </row>
    <row customHeight="true" ht="27" r="21">
      <c r="A21" s="85"/>
      <c r="B21" s="48" t="str">
        <v>星期三</v>
      </c>
      <c r="C21" s="13"/>
      <c r="D21" s="51"/>
      <c r="E21" s="16"/>
      <c r="F21" s="49"/>
      <c r="G21" s="13"/>
      <c r="H21" s="13"/>
      <c r="I21" s="13"/>
      <c r="J21" s="13"/>
      <c r="K21" s="49"/>
      <c r="L21" s="49"/>
      <c r="M21" s="49"/>
      <c r="N21" s="49"/>
      <c r="O21" s="13"/>
      <c r="P21" s="50"/>
      <c r="Q21" s="50"/>
      <c r="R21" s="50"/>
      <c r="S21" s="52"/>
      <c r="T21" s="13"/>
      <c r="U21" s="13"/>
      <c r="V21" s="13"/>
      <c r="W21" s="13"/>
      <c r="X21" s="49"/>
      <c r="Y21" s="49"/>
      <c r="Z21" s="13"/>
      <c r="AA21" s="1"/>
      <c r="AB21" s="1"/>
      <c r="AC21" s="1"/>
      <c r="AD21" s="1"/>
      <c r="AE21" s="1"/>
      <c r="AF21" s="1"/>
      <c r="AG21" s="1"/>
      <c r="AH21" s="1"/>
      <c r="AI21" s="1"/>
      <c r="AJ21" s="1"/>
      <c r="AK21" s="1"/>
      <c r="AL21" s="1"/>
      <c r="AM21" s="1"/>
      <c r="AN21" s="1"/>
    </row>
    <row customHeight="true" ht="27" r="22">
      <c r="A22" s="85"/>
      <c r="B22" s="48" t="str">
        <v>星期四</v>
      </c>
      <c r="C22" s="13"/>
      <c r="D22" s="51"/>
      <c r="E22" s="16"/>
      <c r="F22" s="49"/>
      <c r="G22" s="13"/>
      <c r="H22" s="13"/>
      <c r="I22" s="13"/>
      <c r="J22" s="13"/>
      <c r="K22" s="49"/>
      <c r="L22" s="49"/>
      <c r="M22" s="49"/>
      <c r="N22" s="49"/>
      <c r="O22" s="13"/>
      <c r="P22" s="50"/>
      <c r="Q22" s="50"/>
      <c r="R22" s="50"/>
      <c r="S22" s="52"/>
      <c r="T22" s="13"/>
      <c r="U22" s="13"/>
      <c r="V22" s="13"/>
      <c r="W22" s="13"/>
      <c r="X22" s="49"/>
      <c r="Y22" s="49"/>
      <c r="Z22" s="13"/>
      <c r="AA22" s="1"/>
      <c r="AB22" s="1"/>
      <c r="AC22" s="1"/>
      <c r="AD22" s="1"/>
      <c r="AE22" s="1"/>
      <c r="AF22" s="1"/>
      <c r="AG22" s="1"/>
      <c r="AH22" s="1"/>
      <c r="AI22" s="1"/>
      <c r="AJ22" s="1"/>
      <c r="AK22" s="1"/>
      <c r="AL22" s="1"/>
      <c r="AM22" s="1"/>
      <c r="AN22" s="1"/>
    </row>
    <row customHeight="true" ht="27" r="23">
      <c r="A23" s="85"/>
      <c r="B23" s="48" t="str">
        <v>星期五</v>
      </c>
      <c r="C23" s="13"/>
      <c r="D23" s="51"/>
      <c r="E23" s="16"/>
      <c r="F23" s="49"/>
      <c r="G23" s="13"/>
      <c r="H23" s="13"/>
      <c r="I23" s="13"/>
      <c r="J23" s="13"/>
      <c r="K23" s="49"/>
      <c r="L23" s="49"/>
      <c r="M23" s="49"/>
      <c r="N23" s="49"/>
      <c r="O23" s="13"/>
      <c r="P23" s="50"/>
      <c r="Q23" s="50"/>
      <c r="R23" s="50"/>
      <c r="S23" s="52"/>
      <c r="T23" s="13"/>
      <c r="U23" s="13"/>
      <c r="V23" s="13"/>
      <c r="W23" s="13"/>
      <c r="X23" s="49"/>
      <c r="Y23" s="49"/>
      <c r="Z23" s="13"/>
      <c r="AA23" s="1"/>
      <c r="AB23" s="1"/>
      <c r="AC23" s="1"/>
      <c r="AD23" s="1"/>
      <c r="AE23" s="1"/>
      <c r="AF23" s="1"/>
      <c r="AG23" s="1"/>
      <c r="AH23" s="1"/>
      <c r="AI23" s="1"/>
      <c r="AJ23" s="1"/>
      <c r="AK23" s="1"/>
      <c r="AL23" s="1"/>
      <c r="AM23" s="1"/>
      <c r="AN23" s="1"/>
    </row>
    <row customHeight="true" ht="27" r="24">
      <c r="A24" s="85"/>
      <c r="B24" s="48" t="str">
        <v>星期六</v>
      </c>
      <c r="C24" s="13"/>
      <c r="D24" s="51"/>
      <c r="E24" s="16"/>
      <c r="F24" s="49"/>
      <c r="G24" s="13"/>
      <c r="H24" s="13"/>
      <c r="I24" s="13"/>
      <c r="J24" s="13"/>
      <c r="K24" s="49"/>
      <c r="L24" s="49"/>
      <c r="M24" s="49"/>
      <c r="N24" s="49"/>
      <c r="O24" s="13"/>
      <c r="P24" s="50"/>
      <c r="Q24" s="50"/>
      <c r="R24" s="50"/>
      <c r="S24" s="52"/>
      <c r="T24" s="13"/>
      <c r="U24" s="13"/>
      <c r="V24" s="13"/>
      <c r="W24" s="13"/>
      <c r="X24" s="49"/>
      <c r="Y24" s="49"/>
      <c r="Z24" s="13"/>
      <c r="AA24" s="1"/>
      <c r="AB24" s="1"/>
      <c r="AC24" s="1"/>
      <c r="AD24" s="1"/>
      <c r="AE24" s="1"/>
      <c r="AF24" s="1"/>
      <c r="AG24" s="1"/>
      <c r="AH24" s="1"/>
      <c r="AI24" s="1"/>
      <c r="AJ24" s="1"/>
      <c r="AK24" s="1"/>
      <c r="AL24" s="1"/>
      <c r="AM24" s="1"/>
      <c r="AN24" s="1"/>
    </row>
    <row customHeight="true" ht="27" r="25">
      <c r="A25" s="61"/>
      <c r="B25" s="48" t="str">
        <v>星期日</v>
      </c>
      <c r="C25" s="13"/>
      <c r="D25" s="51"/>
      <c r="E25" s="16"/>
      <c r="F25" s="49"/>
      <c r="G25" s="13"/>
      <c r="H25" s="13"/>
      <c r="I25" s="13"/>
      <c r="J25" s="13"/>
      <c r="K25" s="49"/>
      <c r="L25" s="49"/>
      <c r="M25" s="49"/>
      <c r="N25" s="49"/>
      <c r="O25" s="13"/>
      <c r="P25" s="50"/>
      <c r="Q25" s="50"/>
      <c r="R25" s="50"/>
      <c r="S25" s="52"/>
      <c r="T25" s="13"/>
      <c r="U25" s="13"/>
      <c r="V25" s="13"/>
      <c r="W25" s="13"/>
      <c r="X25" s="49"/>
      <c r="Y25" s="49"/>
      <c r="Z25" s="13"/>
      <c r="AA25" s="1"/>
      <c r="AB25" s="1"/>
      <c r="AC25" s="1"/>
      <c r="AD25" s="1"/>
      <c r="AE25" s="1"/>
      <c r="AF25" s="1"/>
      <c r="AG25" s="1"/>
      <c r="AH25" s="1"/>
      <c r="AI25" s="1"/>
      <c r="AJ25" s="1"/>
      <c r="AK25" s="1"/>
      <c r="AL25" s="1"/>
      <c r="AM25" s="1"/>
      <c r="AN25" s="1"/>
    </row>
    <row customHeight="true" ht="27" r="26">
      <c r="A26" s="13" t="str">
        <v>第三周</v>
      </c>
      <c r="B26" s="48"/>
      <c r="C26" s="13"/>
      <c r="D26" s="51"/>
      <c r="E26" s="16"/>
      <c r="F26" s="49"/>
      <c r="G26" s="13"/>
      <c r="H26" s="13"/>
      <c r="I26" s="13"/>
      <c r="J26" s="13"/>
      <c r="K26" s="49"/>
      <c r="L26" s="49"/>
      <c r="M26" s="49"/>
      <c r="N26" s="49"/>
      <c r="O26" s="13"/>
      <c r="P26" s="50"/>
      <c r="Q26" s="50"/>
      <c r="R26" s="50"/>
      <c r="S26" s="52"/>
      <c r="T26" s="13"/>
      <c r="U26" s="13"/>
      <c r="V26" s="13"/>
      <c r="W26" s="13"/>
      <c r="X26" s="49"/>
      <c r="Y26" s="49"/>
      <c r="Z26" s="13"/>
      <c r="AA26" s="1"/>
      <c r="AB26" s="1"/>
      <c r="AC26" s="1"/>
      <c r="AD26" s="1"/>
      <c r="AE26" s="1"/>
      <c r="AF26" s="1"/>
      <c r="AG26" s="1"/>
      <c r="AH26" s="1"/>
      <c r="AI26" s="1"/>
      <c r="AJ26" s="1"/>
      <c r="AK26" s="1"/>
      <c r="AL26" s="1"/>
      <c r="AM26" s="1"/>
      <c r="AN26" s="1"/>
    </row>
    <row customHeight="true" ht="27" r="27">
      <c r="A27" s="90" t="str">
        <v>④周</v>
      </c>
      <c r="B27" s="48" t="str">
        <v>星期一</v>
      </c>
      <c r="C27" s="13"/>
      <c r="D27" s="51"/>
      <c r="E27" s="16"/>
      <c r="F27" s="49"/>
      <c r="G27" s="13"/>
      <c r="H27" s="13"/>
      <c r="I27" s="13"/>
      <c r="J27" s="13"/>
      <c r="K27" s="49"/>
      <c r="L27" s="49"/>
      <c r="M27" s="49"/>
      <c r="N27" s="49"/>
      <c r="O27" s="13"/>
      <c r="P27" s="50"/>
      <c r="Q27" s="50"/>
      <c r="R27" s="50"/>
      <c r="S27" s="52"/>
      <c r="T27" s="13"/>
      <c r="U27" s="13"/>
      <c r="V27" s="13"/>
      <c r="W27" s="13"/>
      <c r="X27" s="49"/>
      <c r="Y27" s="49"/>
      <c r="Z27" s="13"/>
      <c r="AA27" s="1"/>
      <c r="AB27" s="1"/>
      <c r="AC27" s="1"/>
      <c r="AD27" s="1"/>
      <c r="AE27" s="1"/>
      <c r="AF27" s="1"/>
      <c r="AG27" s="1"/>
      <c r="AH27" s="1"/>
      <c r="AI27" s="1"/>
      <c r="AJ27" s="1"/>
      <c r="AK27" s="1"/>
      <c r="AL27" s="1"/>
      <c r="AM27" s="1"/>
      <c r="AN27" s="1"/>
    </row>
    <row customHeight="true" ht="27" r="28">
      <c r="A28" s="85"/>
      <c r="B28" s="48" t="str">
        <v>星期二</v>
      </c>
      <c r="C28" s="13"/>
      <c r="D28" s="51"/>
      <c r="E28" s="16"/>
      <c r="F28" s="49"/>
      <c r="G28" s="13"/>
      <c r="H28" s="13"/>
      <c r="I28" s="13"/>
      <c r="J28" s="13"/>
      <c r="K28" s="49"/>
      <c r="L28" s="49"/>
      <c r="M28" s="49"/>
      <c r="N28" s="49"/>
      <c r="O28" s="13"/>
      <c r="P28" s="50"/>
      <c r="Q28" s="50"/>
      <c r="R28" s="50"/>
      <c r="S28" s="52"/>
      <c r="T28" s="13"/>
      <c r="U28" s="13"/>
      <c r="V28" s="13"/>
      <c r="W28" s="13"/>
      <c r="X28" s="49"/>
      <c r="Y28" s="49"/>
      <c r="Z28" s="13"/>
      <c r="AA28" s="1"/>
      <c r="AB28" s="1"/>
      <c r="AC28" s="1"/>
      <c r="AD28" s="1"/>
      <c r="AE28" s="1"/>
      <c r="AF28" s="1"/>
      <c r="AG28" s="1"/>
      <c r="AH28" s="1"/>
      <c r="AI28" s="1"/>
      <c r="AJ28" s="1"/>
      <c r="AK28" s="1"/>
      <c r="AL28" s="1"/>
      <c r="AM28" s="1"/>
      <c r="AN28" s="1"/>
    </row>
    <row customHeight="true" ht="27" r="29">
      <c r="A29" s="85"/>
      <c r="B29" s="48" t="str">
        <v>星期三</v>
      </c>
      <c r="C29" s="13"/>
      <c r="D29" s="51"/>
      <c r="E29" s="16"/>
      <c r="F29" s="49"/>
      <c r="G29" s="13"/>
      <c r="H29" s="13"/>
      <c r="I29" s="13"/>
      <c r="J29" s="13"/>
      <c r="K29" s="49"/>
      <c r="L29" s="49"/>
      <c r="M29" s="49"/>
      <c r="N29" s="49"/>
      <c r="O29" s="13"/>
      <c r="P29" s="50"/>
      <c r="Q29" s="50"/>
      <c r="R29" s="50"/>
      <c r="S29" s="52"/>
      <c r="T29" s="13"/>
      <c r="U29" s="13"/>
      <c r="V29" s="13"/>
      <c r="W29" s="13"/>
      <c r="X29" s="49"/>
      <c r="Y29" s="49"/>
      <c r="Z29" s="13"/>
      <c r="AA29" s="1"/>
      <c r="AB29" s="1"/>
      <c r="AC29" s="1"/>
      <c r="AD29" s="1"/>
      <c r="AE29" s="1"/>
      <c r="AF29" s="1"/>
      <c r="AG29" s="1"/>
      <c r="AH29" s="1"/>
      <c r="AI29" s="1"/>
      <c r="AJ29" s="1"/>
      <c r="AK29" s="1"/>
      <c r="AL29" s="1"/>
      <c r="AM29" s="1"/>
      <c r="AN29" s="1"/>
    </row>
    <row customHeight="true" ht="27" r="30">
      <c r="A30" s="85"/>
      <c r="B30" s="48" t="str">
        <v>星期四</v>
      </c>
      <c r="C30" s="13"/>
      <c r="D30" s="51"/>
      <c r="E30" s="16"/>
      <c r="F30" s="49"/>
      <c r="G30" s="13"/>
      <c r="H30" s="13"/>
      <c r="I30" s="13"/>
      <c r="J30" s="13"/>
      <c r="K30" s="49"/>
      <c r="L30" s="49"/>
      <c r="M30" s="49"/>
      <c r="N30" s="49"/>
      <c r="O30" s="13"/>
      <c r="P30" s="50"/>
      <c r="Q30" s="50"/>
      <c r="R30" s="50"/>
      <c r="S30" s="52"/>
      <c r="T30" s="13"/>
      <c r="U30" s="13"/>
      <c r="V30" s="13"/>
      <c r="W30" s="13"/>
      <c r="X30" s="49"/>
      <c r="Y30" s="49"/>
      <c r="Z30" s="13"/>
      <c r="AA30" s="1"/>
      <c r="AB30" s="1"/>
      <c r="AC30" s="1"/>
      <c r="AD30" s="1"/>
      <c r="AE30" s="1"/>
      <c r="AF30" s="1"/>
      <c r="AG30" s="1"/>
      <c r="AH30" s="1"/>
      <c r="AI30" s="1"/>
      <c r="AJ30" s="1"/>
      <c r="AK30" s="1"/>
      <c r="AL30" s="1"/>
      <c r="AM30" s="1"/>
      <c r="AN30" s="1"/>
    </row>
    <row customHeight="true" ht="27" r="31">
      <c r="A31" s="85"/>
      <c r="B31" s="48" t="str">
        <v>星期五</v>
      </c>
      <c r="C31" s="49"/>
      <c r="D31" s="51"/>
      <c r="E31" s="16"/>
      <c r="F31" s="49"/>
      <c r="G31" s="13"/>
      <c r="H31" s="13"/>
      <c r="I31" s="13"/>
      <c r="J31" s="13"/>
      <c r="K31" s="49"/>
      <c r="L31" s="49"/>
      <c r="M31" s="49"/>
      <c r="N31" s="49"/>
      <c r="O31" s="13"/>
      <c r="P31" s="50"/>
      <c r="Q31" s="50"/>
      <c r="R31" s="50"/>
      <c r="S31" s="52"/>
      <c r="T31" s="13"/>
      <c r="U31" s="13"/>
      <c r="V31" s="13"/>
      <c r="W31" s="13"/>
      <c r="X31" s="49"/>
      <c r="Y31" s="49"/>
      <c r="Z31" s="13"/>
      <c r="AA31" s="1"/>
      <c r="AB31" s="1"/>
      <c r="AC31" s="1"/>
      <c r="AD31" s="1"/>
      <c r="AE31" s="1"/>
      <c r="AF31" s="1"/>
      <c r="AG31" s="1"/>
      <c r="AH31" s="1"/>
      <c r="AI31" s="1"/>
      <c r="AJ31" s="1"/>
      <c r="AK31" s="1"/>
      <c r="AL31" s="1"/>
      <c r="AM31" s="1"/>
      <c r="AN31" s="1"/>
    </row>
    <row customHeight="true" ht="27" r="32">
      <c r="A32" s="85"/>
      <c r="B32" s="48" t="str">
        <v>星期六</v>
      </c>
      <c r="C32" s="49"/>
      <c r="D32" s="51"/>
      <c r="E32" s="16"/>
      <c r="F32" s="49"/>
      <c r="G32" s="13"/>
      <c r="H32" s="13"/>
      <c r="I32" s="13"/>
      <c r="J32" s="13"/>
      <c r="K32" s="49"/>
      <c r="L32" s="49"/>
      <c r="M32" s="49"/>
      <c r="N32" s="49"/>
      <c r="O32" s="13"/>
      <c r="P32" s="50"/>
      <c r="Q32" s="50"/>
      <c r="R32" s="50"/>
      <c r="S32" s="52"/>
      <c r="T32" s="13"/>
      <c r="U32" s="13"/>
      <c r="V32" s="13"/>
      <c r="W32" s="13"/>
      <c r="X32" s="49"/>
      <c r="Y32" s="49"/>
      <c r="Z32" s="13"/>
      <c r="AA32" s="1"/>
      <c r="AB32" s="1"/>
      <c r="AC32" s="1"/>
      <c r="AD32" s="1"/>
      <c r="AE32" s="1"/>
      <c r="AF32" s="1"/>
      <c r="AG32" s="1"/>
      <c r="AH32" s="1"/>
      <c r="AI32" s="1"/>
      <c r="AJ32" s="1"/>
      <c r="AK32" s="1"/>
      <c r="AL32" s="1"/>
      <c r="AM32" s="1"/>
      <c r="AN32" s="1"/>
    </row>
    <row customHeight="true" ht="27" r="33">
      <c r="A33" s="61"/>
      <c r="B33" s="48" t="str">
        <v>星期日</v>
      </c>
      <c r="C33" s="49"/>
      <c r="D33" s="51"/>
      <c r="E33" s="16"/>
      <c r="F33" s="49"/>
      <c r="G33" s="13"/>
      <c r="H33" s="13"/>
      <c r="I33" s="13"/>
      <c r="J33" s="13"/>
      <c r="K33" s="49"/>
      <c r="L33" s="49"/>
      <c r="M33" s="49"/>
      <c r="N33" s="49"/>
      <c r="O33" s="13"/>
      <c r="P33" s="50"/>
      <c r="Q33" s="50"/>
      <c r="R33" s="50"/>
      <c r="S33" s="52"/>
      <c r="T33" s="13"/>
      <c r="U33" s="13"/>
      <c r="V33" s="13"/>
      <c r="W33" s="13"/>
      <c r="X33" s="49"/>
      <c r="Y33" s="49"/>
      <c r="Z33" s="13"/>
      <c r="AA33" s="1"/>
      <c r="AB33" s="1"/>
      <c r="AC33" s="1"/>
      <c r="AD33" s="1"/>
      <c r="AE33" s="1"/>
      <c r="AF33" s="1"/>
      <c r="AG33" s="1"/>
      <c r="AH33" s="1"/>
      <c r="AI33" s="1"/>
      <c r="AJ33" s="1"/>
      <c r="AK33" s="1"/>
      <c r="AL33" s="1"/>
      <c r="AM33" s="1"/>
      <c r="AN33" s="1"/>
    </row>
    <row customHeight="true" ht="27" r="34">
      <c r="A34" s="13" t="str">
        <v>第四周</v>
      </c>
      <c r="B34" s="48"/>
      <c r="C34" s="49"/>
      <c r="D34" s="51"/>
      <c r="E34" s="16"/>
      <c r="F34" s="49"/>
      <c r="G34" s="13"/>
      <c r="H34" s="13"/>
      <c r="I34" s="13"/>
      <c r="J34" s="13"/>
      <c r="K34" s="49"/>
      <c r="L34" s="49"/>
      <c r="M34" s="49"/>
      <c r="N34" s="49"/>
      <c r="O34" s="13"/>
      <c r="P34" s="50"/>
      <c r="Q34" s="50"/>
      <c r="R34" s="50"/>
      <c r="S34" s="52"/>
      <c r="T34" s="13"/>
      <c r="U34" s="13"/>
      <c r="V34" s="13"/>
      <c r="W34" s="13"/>
      <c r="X34" s="49"/>
      <c r="Y34" s="49"/>
      <c r="Z34" s="13"/>
      <c r="AA34" s="1"/>
      <c r="AB34" s="1"/>
      <c r="AC34" s="1"/>
      <c r="AD34" s="1"/>
      <c r="AE34" s="1"/>
      <c r="AF34" s="1"/>
      <c r="AG34" s="1"/>
      <c r="AH34" s="1"/>
      <c r="AI34" s="1"/>
      <c r="AJ34" s="1"/>
      <c r="AK34" s="1"/>
      <c r="AL34" s="1"/>
      <c r="AM34" s="1"/>
      <c r="AN34" s="1"/>
    </row>
    <row customHeight="true" ht="27" r="35">
      <c r="A35" s="90" t="str">
        <v>⑤周</v>
      </c>
      <c r="B35" s="48" t="str">
        <v>星期一</v>
      </c>
      <c r="C35" s="49"/>
      <c r="D35" s="51"/>
      <c r="E35" s="16"/>
      <c r="F35" s="49"/>
      <c r="G35" s="13"/>
      <c r="H35" s="13"/>
      <c r="I35" s="13"/>
      <c r="J35" s="13"/>
      <c r="K35" s="49"/>
      <c r="L35" s="49"/>
      <c r="M35" s="49"/>
      <c r="N35" s="49"/>
      <c r="O35" s="13"/>
      <c r="P35" s="50"/>
      <c r="Q35" s="50"/>
      <c r="R35" s="50"/>
      <c r="S35" s="52"/>
      <c r="T35" s="13"/>
      <c r="U35" s="13"/>
      <c r="V35" s="13"/>
      <c r="W35" s="13"/>
      <c r="X35" s="49"/>
      <c r="Y35" s="49"/>
      <c r="Z35" s="13"/>
      <c r="AA35" s="1"/>
      <c r="AB35" s="1"/>
      <c r="AC35" s="1"/>
      <c r="AD35" s="1"/>
      <c r="AE35" s="1"/>
      <c r="AF35" s="1"/>
      <c r="AG35" s="1"/>
      <c r="AH35" s="1"/>
      <c r="AI35" s="1"/>
      <c r="AJ35" s="1"/>
      <c r="AK35" s="1"/>
      <c r="AL35" s="1"/>
      <c r="AM35" s="1"/>
      <c r="AN35" s="1"/>
    </row>
    <row customHeight="true" ht="27" r="36">
      <c r="A36" s="85"/>
      <c r="B36" s="48" t="str">
        <v>星期二</v>
      </c>
      <c r="C36" s="49"/>
      <c r="D36" s="51"/>
      <c r="E36" s="16"/>
      <c r="F36" s="49"/>
      <c r="G36" s="13"/>
      <c r="H36" s="13"/>
      <c r="I36" s="13"/>
      <c r="J36" s="13"/>
      <c r="K36" s="49"/>
      <c r="L36" s="49"/>
      <c r="M36" s="49"/>
      <c r="N36" s="49"/>
      <c r="O36" s="13"/>
      <c r="P36" s="50"/>
      <c r="Q36" s="50"/>
      <c r="R36" s="50"/>
      <c r="S36" s="52"/>
      <c r="T36" s="13"/>
      <c r="U36" s="13"/>
      <c r="V36" s="13"/>
      <c r="W36" s="13"/>
      <c r="X36" s="49"/>
      <c r="Y36" s="49"/>
      <c r="Z36" s="13"/>
      <c r="AA36" s="1"/>
      <c r="AB36" s="1"/>
      <c r="AC36" s="1"/>
      <c r="AD36" s="1"/>
      <c r="AE36" s="1"/>
      <c r="AF36" s="1"/>
      <c r="AG36" s="1"/>
      <c r="AH36" s="1"/>
      <c r="AI36" s="1"/>
      <c r="AJ36" s="1"/>
      <c r="AK36" s="1"/>
      <c r="AL36" s="1"/>
      <c r="AM36" s="1"/>
      <c r="AN36" s="1"/>
    </row>
    <row customHeight="true" ht="27" r="37">
      <c r="A37" s="85"/>
      <c r="B37" s="48" t="str">
        <v>星期三</v>
      </c>
      <c r="C37" s="49"/>
      <c r="D37" s="51"/>
      <c r="E37" s="16"/>
      <c r="F37" s="49"/>
      <c r="G37" s="13"/>
      <c r="H37" s="13"/>
      <c r="I37" s="13"/>
      <c r="J37" s="13"/>
      <c r="K37" s="49"/>
      <c r="L37" s="49"/>
      <c r="M37" s="49"/>
      <c r="N37" s="49"/>
      <c r="O37" s="13"/>
      <c r="P37" s="50"/>
      <c r="Q37" s="50"/>
      <c r="R37" s="50"/>
      <c r="S37" s="52"/>
      <c r="T37" s="13"/>
      <c r="U37" s="13"/>
      <c r="V37" s="13"/>
      <c r="W37" s="13"/>
      <c r="X37" s="49"/>
      <c r="Y37" s="49"/>
      <c r="Z37" s="13"/>
      <c r="AA37" s="1"/>
      <c r="AB37" s="1"/>
      <c r="AC37" s="1"/>
      <c r="AD37" s="1"/>
      <c r="AE37" s="1"/>
      <c r="AF37" s="1"/>
      <c r="AG37" s="1"/>
      <c r="AH37" s="1"/>
      <c r="AI37" s="1"/>
      <c r="AJ37" s="1"/>
      <c r="AK37" s="1"/>
      <c r="AL37" s="1"/>
      <c r="AM37" s="1"/>
      <c r="AN37" s="1"/>
    </row>
    <row customHeight="true" ht="27" r="38">
      <c r="A38" s="85"/>
      <c r="B38" s="48" t="str">
        <v>星期四</v>
      </c>
      <c r="C38" s="49"/>
      <c r="D38" s="51"/>
      <c r="E38" s="16"/>
      <c r="F38" s="49"/>
      <c r="G38" s="13"/>
      <c r="H38" s="13"/>
      <c r="I38" s="13"/>
      <c r="J38" s="13"/>
      <c r="K38" s="49"/>
      <c r="L38" s="49"/>
      <c r="M38" s="49"/>
      <c r="N38" s="49"/>
      <c r="O38" s="13"/>
      <c r="P38" s="50"/>
      <c r="Q38" s="50"/>
      <c r="R38" s="50"/>
      <c r="S38" s="52"/>
      <c r="T38" s="13"/>
      <c r="U38" s="13"/>
      <c r="V38" s="13"/>
      <c r="W38" s="13"/>
      <c r="X38" s="49"/>
      <c r="Y38" s="49"/>
      <c r="Z38" s="13"/>
      <c r="AA38" s="1"/>
      <c r="AB38" s="1"/>
      <c r="AC38" s="1"/>
      <c r="AD38" s="1"/>
      <c r="AE38" s="1"/>
      <c r="AF38" s="1"/>
      <c r="AG38" s="1"/>
      <c r="AH38" s="1"/>
      <c r="AI38" s="1"/>
      <c r="AJ38" s="1"/>
      <c r="AK38" s="1"/>
      <c r="AL38" s="1"/>
      <c r="AM38" s="1"/>
      <c r="AN38" s="1"/>
    </row>
    <row customHeight="true" ht="27" r="39">
      <c r="A39" s="85"/>
      <c r="B39" s="48" t="str">
        <v>星期五</v>
      </c>
      <c r="C39" s="49"/>
      <c r="D39" s="51"/>
      <c r="E39" s="16"/>
      <c r="F39" s="49"/>
      <c r="G39" s="13"/>
      <c r="H39" s="13"/>
      <c r="I39" s="13"/>
      <c r="J39" s="13"/>
      <c r="K39" s="49"/>
      <c r="L39" s="49"/>
      <c r="M39" s="49"/>
      <c r="N39" s="49"/>
      <c r="O39" s="13"/>
      <c r="P39" s="50"/>
      <c r="Q39" s="50"/>
      <c r="R39" s="50"/>
      <c r="S39" s="52"/>
      <c r="T39" s="13"/>
      <c r="U39" s="13"/>
      <c r="V39" s="13"/>
      <c r="W39" s="13"/>
      <c r="X39" s="49"/>
      <c r="Y39" s="49"/>
      <c r="Z39" s="13"/>
      <c r="AA39" s="1"/>
      <c r="AB39" s="1"/>
      <c r="AC39" s="1"/>
      <c r="AD39" s="1"/>
      <c r="AE39" s="1"/>
      <c r="AF39" s="1"/>
      <c r="AG39" s="1"/>
      <c r="AH39" s="1"/>
      <c r="AI39" s="1"/>
      <c r="AJ39" s="1"/>
      <c r="AK39" s="1"/>
      <c r="AL39" s="1"/>
      <c r="AM39" s="1"/>
      <c r="AN39" s="1"/>
    </row>
    <row customHeight="true" ht="27" r="40">
      <c r="A40" s="85"/>
      <c r="B40" s="48" t="str">
        <v>星期六</v>
      </c>
      <c r="C40" s="49"/>
      <c r="D40" s="51"/>
      <c r="E40" s="16"/>
      <c r="F40" s="49"/>
      <c r="G40" s="13"/>
      <c r="H40" s="13"/>
      <c r="I40" s="13"/>
      <c r="J40" s="13"/>
      <c r="K40" s="49"/>
      <c r="L40" s="49"/>
      <c r="M40" s="49"/>
      <c r="N40" s="49"/>
      <c r="O40" s="13"/>
      <c r="P40" s="50"/>
      <c r="Q40" s="50"/>
      <c r="R40" s="50"/>
      <c r="S40" s="52"/>
      <c r="T40" s="13"/>
      <c r="U40" s="13"/>
      <c r="V40" s="13"/>
      <c r="W40" s="13"/>
      <c r="X40" s="49"/>
      <c r="Y40" s="49"/>
      <c r="Z40" s="13"/>
      <c r="AA40" s="1"/>
      <c r="AB40" s="1"/>
      <c r="AC40" s="1"/>
      <c r="AD40" s="1"/>
      <c r="AE40" s="1"/>
      <c r="AF40" s="1"/>
      <c r="AG40" s="1"/>
      <c r="AH40" s="1"/>
      <c r="AI40" s="1"/>
      <c r="AJ40" s="1"/>
      <c r="AK40" s="1"/>
      <c r="AL40" s="1"/>
      <c r="AM40" s="1"/>
      <c r="AN40" s="1"/>
    </row>
    <row customHeight="true" ht="27" r="41">
      <c r="A41" s="61"/>
      <c r="B41" s="48" t="str">
        <v>星期日</v>
      </c>
      <c r="C41" s="49"/>
      <c r="D41" s="51"/>
      <c r="E41" s="16"/>
      <c r="F41" s="49"/>
      <c r="G41" s="13"/>
      <c r="H41" s="13"/>
      <c r="I41" s="13"/>
      <c r="J41" s="13"/>
      <c r="K41" s="49"/>
      <c r="L41" s="49"/>
      <c r="M41" s="49"/>
      <c r="N41" s="49"/>
      <c r="O41" s="13"/>
      <c r="P41" s="50"/>
      <c r="Q41" s="50"/>
      <c r="R41" s="50"/>
      <c r="S41" s="52"/>
      <c r="T41" s="13"/>
      <c r="U41" s="13"/>
      <c r="V41" s="13"/>
      <c r="W41" s="13"/>
      <c r="X41" s="49"/>
      <c r="Y41" s="49"/>
      <c r="Z41" s="13"/>
      <c r="AA41" s="1"/>
      <c r="AB41" s="1"/>
      <c r="AC41" s="1"/>
      <c r="AD41" s="1"/>
      <c r="AE41" s="1"/>
      <c r="AF41" s="1"/>
      <c r="AG41" s="1"/>
      <c r="AH41" s="1"/>
      <c r="AI41" s="1"/>
      <c r="AJ41" s="1"/>
      <c r="AK41" s="1"/>
      <c r="AL41" s="1"/>
      <c r="AM41" s="1"/>
      <c r="AN41" s="1"/>
    </row>
    <row customHeight="true" ht="27" r="42">
      <c r="A42" s="13" t="str">
        <v>第五周</v>
      </c>
      <c r="B42" s="48"/>
      <c r="C42" s="49"/>
      <c r="D42" s="51"/>
      <c r="E42" s="16"/>
      <c r="F42" s="49"/>
      <c r="G42" s="13"/>
      <c r="H42" s="13"/>
      <c r="I42" s="13"/>
      <c r="J42" s="13"/>
      <c r="K42" s="49"/>
      <c r="L42" s="49"/>
      <c r="M42" s="49"/>
      <c r="N42" s="49"/>
      <c r="O42" s="13"/>
      <c r="P42" s="50"/>
      <c r="Q42" s="50"/>
      <c r="R42" s="50"/>
      <c r="S42" s="52"/>
      <c r="T42" s="13"/>
      <c r="U42" s="13"/>
      <c r="V42" s="13"/>
      <c r="W42" s="13"/>
      <c r="X42" s="49"/>
      <c r="Y42" s="49"/>
      <c r="Z42" s="13"/>
      <c r="AA42" s="1"/>
      <c r="AB42" s="1"/>
      <c r="AC42" s="1"/>
      <c r="AD42" s="1"/>
      <c r="AE42" s="1"/>
      <c r="AF42" s="1"/>
      <c r="AG42" s="1"/>
      <c r="AH42" s="1"/>
      <c r="AI42" s="1"/>
      <c r="AJ42" s="1"/>
      <c r="AK42" s="1"/>
      <c r="AL42" s="1"/>
      <c r="AM42" s="1"/>
      <c r="AN42" s="1"/>
    </row>
    <row customHeight="true" ht="27" r="43">
      <c r="A43" s="90" t="str">
        <v>⑥周</v>
      </c>
      <c r="B43" s="48" t="str">
        <v>星期一</v>
      </c>
      <c r="C43" s="49"/>
      <c r="D43" s="51"/>
      <c r="E43" s="16"/>
      <c r="F43" s="49"/>
      <c r="G43" s="13"/>
      <c r="H43" s="13"/>
      <c r="I43" s="13"/>
      <c r="J43" s="13"/>
      <c r="K43" s="49"/>
      <c r="L43" s="49"/>
      <c r="M43" s="49"/>
      <c r="N43" s="49"/>
      <c r="O43" s="13"/>
      <c r="P43" s="50"/>
      <c r="Q43" s="50"/>
      <c r="R43" s="50"/>
      <c r="S43" s="52"/>
      <c r="T43" s="13"/>
      <c r="U43" s="13"/>
      <c r="V43" s="13"/>
      <c r="W43" s="13"/>
      <c r="X43" s="49"/>
      <c r="Y43" s="49"/>
      <c r="Z43" s="13"/>
      <c r="AA43" s="1"/>
      <c r="AB43" s="1"/>
      <c r="AC43" s="1"/>
      <c r="AD43" s="1"/>
      <c r="AE43" s="1"/>
      <c r="AF43" s="1"/>
      <c r="AG43" s="1"/>
      <c r="AH43" s="1"/>
      <c r="AI43" s="1"/>
      <c r="AJ43" s="1"/>
      <c r="AK43" s="1"/>
      <c r="AL43" s="1"/>
      <c r="AM43" s="1"/>
      <c r="AN43" s="1"/>
    </row>
    <row customHeight="true" ht="27" r="44">
      <c r="A44" s="85"/>
      <c r="B44" s="48" t="str">
        <v>星期二</v>
      </c>
      <c r="C44" s="49"/>
      <c r="D44" s="51"/>
      <c r="E44" s="16"/>
      <c r="F44" s="49"/>
      <c r="G44" s="13"/>
      <c r="H44" s="13"/>
      <c r="I44" s="13"/>
      <c r="J44" s="13"/>
      <c r="K44" s="49"/>
      <c r="L44" s="49"/>
      <c r="M44" s="49"/>
      <c r="N44" s="49"/>
      <c r="O44" s="13"/>
      <c r="P44" s="50"/>
      <c r="Q44" s="50"/>
      <c r="R44" s="50"/>
      <c r="S44" s="52"/>
      <c r="T44" s="13"/>
      <c r="U44" s="13"/>
      <c r="V44" s="13"/>
      <c r="W44" s="13"/>
      <c r="X44" s="49"/>
      <c r="Y44" s="49"/>
      <c r="Z44" s="13"/>
      <c r="AA44" s="1"/>
      <c r="AB44" s="1"/>
      <c r="AC44" s="1"/>
      <c r="AD44" s="1"/>
      <c r="AE44" s="1"/>
      <c r="AF44" s="1"/>
      <c r="AG44" s="1"/>
      <c r="AH44" s="1"/>
      <c r="AI44" s="1"/>
      <c r="AJ44" s="1"/>
      <c r="AK44" s="1"/>
      <c r="AL44" s="1"/>
      <c r="AM44" s="1"/>
      <c r="AN44" s="1"/>
    </row>
    <row customHeight="true" ht="27" r="45">
      <c r="A45" s="85"/>
      <c r="B45" s="48" t="str">
        <v>星期三</v>
      </c>
      <c r="C45" s="49"/>
      <c r="D45" s="51"/>
      <c r="E45" s="16"/>
      <c r="F45" s="49"/>
      <c r="G45" s="13"/>
      <c r="H45" s="13"/>
      <c r="I45" s="13"/>
      <c r="J45" s="13"/>
      <c r="K45" s="49"/>
      <c r="L45" s="49"/>
      <c r="M45" s="49"/>
      <c r="N45" s="49"/>
      <c r="O45" s="13"/>
      <c r="P45" s="50"/>
      <c r="Q45" s="50"/>
      <c r="R45" s="50"/>
      <c r="S45" s="52"/>
      <c r="T45" s="13"/>
      <c r="U45" s="13"/>
      <c r="V45" s="13"/>
      <c r="W45" s="13"/>
      <c r="X45" s="49"/>
      <c r="Y45" s="49"/>
      <c r="Z45" s="13"/>
      <c r="AA45" s="1"/>
      <c r="AB45" s="1"/>
      <c r="AC45" s="1"/>
      <c r="AD45" s="1"/>
      <c r="AE45" s="1"/>
      <c r="AF45" s="1"/>
      <c r="AG45" s="1"/>
      <c r="AH45" s="1"/>
      <c r="AI45" s="1"/>
      <c r="AJ45" s="1"/>
      <c r="AK45" s="1"/>
      <c r="AL45" s="1"/>
      <c r="AM45" s="1"/>
      <c r="AN45" s="1"/>
    </row>
    <row customHeight="true" ht="27" r="46">
      <c r="A46" s="85"/>
      <c r="B46" s="48" t="str">
        <v>星期四</v>
      </c>
      <c r="C46" s="49"/>
      <c r="D46" s="51"/>
      <c r="E46" s="16"/>
      <c r="F46" s="49"/>
      <c r="G46" s="13"/>
      <c r="H46" s="13"/>
      <c r="I46" s="13"/>
      <c r="J46" s="13"/>
      <c r="K46" s="49"/>
      <c r="L46" s="49"/>
      <c r="M46" s="49"/>
      <c r="N46" s="49"/>
      <c r="O46" s="13"/>
      <c r="P46" s="50"/>
      <c r="Q46" s="50"/>
      <c r="R46" s="50"/>
      <c r="S46" s="52"/>
      <c r="T46" s="13"/>
      <c r="U46" s="13"/>
      <c r="V46" s="13"/>
      <c r="W46" s="13"/>
      <c r="X46" s="49"/>
      <c r="Y46" s="49"/>
      <c r="Z46" s="13"/>
      <c r="AA46" s="1"/>
      <c r="AB46" s="1"/>
      <c r="AC46" s="1"/>
      <c r="AD46" s="1"/>
      <c r="AE46" s="1"/>
      <c r="AF46" s="1"/>
      <c r="AG46" s="1"/>
      <c r="AH46" s="1"/>
      <c r="AI46" s="1"/>
      <c r="AJ46" s="1"/>
      <c r="AK46" s="1"/>
      <c r="AL46" s="1"/>
      <c r="AM46" s="1"/>
      <c r="AN46" s="1"/>
    </row>
    <row customHeight="true" ht="32" r="47">
      <c r="A47" s="85"/>
      <c r="B47" s="48" t="str">
        <v>星期五</v>
      </c>
      <c r="C47" s="49"/>
      <c r="D47" s="51"/>
      <c r="E47" s="16"/>
      <c r="F47" s="49"/>
      <c r="G47" s="13"/>
      <c r="H47" s="13"/>
      <c r="I47" s="13"/>
      <c r="J47" s="13"/>
      <c r="K47" s="49"/>
      <c r="L47" s="49"/>
      <c r="M47" s="49"/>
      <c r="N47" s="49"/>
      <c r="O47" s="13"/>
      <c r="P47" s="50"/>
      <c r="Q47" s="50"/>
      <c r="R47" s="50"/>
      <c r="S47" s="52"/>
      <c r="T47" s="13"/>
      <c r="U47" s="13"/>
      <c r="V47" s="13"/>
      <c r="W47" s="13"/>
      <c r="X47" s="49"/>
      <c r="Y47" s="49"/>
      <c r="Z47" s="13"/>
      <c r="AA47" s="1"/>
      <c r="AB47" s="1"/>
      <c r="AC47" s="1"/>
      <c r="AD47" s="1"/>
      <c r="AE47" s="1"/>
      <c r="AF47" s="1"/>
      <c r="AG47" s="1"/>
      <c r="AH47" s="1"/>
      <c r="AI47" s="1"/>
      <c r="AJ47" s="1"/>
      <c r="AK47" s="1"/>
      <c r="AL47" s="1"/>
      <c r="AM47" s="1"/>
      <c r="AN47" s="1"/>
    </row>
    <row customHeight="true" ht="32" r="48">
      <c r="A48" s="85"/>
      <c r="B48" s="48" t="str">
        <v>星期六</v>
      </c>
      <c r="C48" s="49"/>
      <c r="D48" s="51"/>
      <c r="E48" s="16"/>
      <c r="F48" s="49"/>
      <c r="G48" s="13"/>
      <c r="H48" s="13"/>
      <c r="I48" s="13"/>
      <c r="J48" s="13"/>
      <c r="K48" s="49"/>
      <c r="L48" s="49"/>
      <c r="M48" s="49"/>
      <c r="N48" s="49"/>
      <c r="O48" s="13"/>
      <c r="P48" s="50"/>
      <c r="Q48" s="50"/>
      <c r="R48" s="50"/>
      <c r="S48" s="52"/>
      <c r="T48" s="13"/>
      <c r="U48" s="13"/>
      <c r="V48" s="13"/>
      <c r="W48" s="13"/>
      <c r="X48" s="49"/>
      <c r="Y48" s="49"/>
      <c r="Z48" s="13"/>
      <c r="AA48" s="1"/>
      <c r="AB48" s="1"/>
      <c r="AC48" s="1"/>
      <c r="AD48" s="1"/>
      <c r="AE48" s="1"/>
      <c r="AF48" s="1"/>
      <c r="AG48" s="1"/>
      <c r="AH48" s="1"/>
      <c r="AI48" s="1"/>
      <c r="AJ48" s="1"/>
      <c r="AK48" s="1"/>
      <c r="AL48" s="1"/>
      <c r="AM48" s="1"/>
      <c r="AN48" s="1"/>
    </row>
    <row customHeight="true" ht="32" r="49">
      <c r="A49" s="61"/>
      <c r="B49" s="48" t="str">
        <v>星期日</v>
      </c>
      <c r="C49" s="49"/>
      <c r="D49" s="51"/>
      <c r="E49" s="16"/>
      <c r="F49" s="49"/>
      <c r="G49" s="13"/>
      <c r="H49" s="13"/>
      <c r="I49" s="13"/>
      <c r="J49" s="13"/>
      <c r="K49" s="49"/>
      <c r="L49" s="49"/>
      <c r="M49" s="49"/>
      <c r="N49" s="49"/>
      <c r="O49" s="13"/>
      <c r="P49" s="50"/>
      <c r="Q49" s="50"/>
      <c r="R49" s="50"/>
      <c r="S49" s="52"/>
      <c r="T49" s="13"/>
      <c r="U49" s="13"/>
      <c r="V49" s="13"/>
      <c r="W49" s="13"/>
      <c r="X49" s="49"/>
      <c r="Y49" s="49"/>
      <c r="Z49" s="13"/>
      <c r="AA49" s="1"/>
      <c r="AB49" s="1"/>
      <c r="AC49" s="1"/>
      <c r="AD49" s="1"/>
      <c r="AE49" s="1"/>
      <c r="AF49" s="1"/>
      <c r="AG49" s="1"/>
      <c r="AH49" s="1"/>
      <c r="AI49" s="1"/>
      <c r="AJ49" s="1"/>
      <c r="AK49" s="1"/>
      <c r="AL49" s="1"/>
      <c r="AM49" s="1"/>
      <c r="AN49" s="1"/>
    </row>
    <row customHeight="true" ht="32" r="50">
      <c r="A50" s="1" t="str">
        <v>第六周</v>
      </c>
      <c r="B50" s="1"/>
      <c r="C50" s="1"/>
      <c r="D50" s="4"/>
      <c r="E50" s="4"/>
      <c r="F50" s="2"/>
      <c r="G50" s="1"/>
      <c r="H50" s="1"/>
      <c r="I50" s="1"/>
      <c r="J50" s="1"/>
      <c r="K50" s="2"/>
      <c r="L50" s="2"/>
      <c r="M50" s="2"/>
      <c r="N50" s="2"/>
      <c r="O50" s="1"/>
      <c r="P50" s="87"/>
      <c r="Q50" s="87"/>
      <c r="R50" s="87"/>
      <c r="S50" s="3"/>
      <c r="T50" s="1"/>
      <c r="U50" s="1"/>
      <c r="V50" s="1"/>
      <c r="W50" s="1"/>
      <c r="X50" s="2"/>
      <c r="Y50" s="2"/>
      <c r="Z50" s="1"/>
      <c r="AA50" s="1"/>
      <c r="AB50" s="1"/>
      <c r="AC50" s="1"/>
      <c r="AD50" s="1"/>
      <c r="AE50" s="1"/>
      <c r="AF50" s="1"/>
      <c r="AG50" s="1"/>
      <c r="AH50" s="1"/>
      <c r="AI50" s="1"/>
      <c r="AJ50" s="1"/>
      <c r="AK50" s="1"/>
      <c r="AL50" s="1"/>
      <c r="AM50" s="1"/>
      <c r="AN50" s="1"/>
    </row>
    <row customHeight="true" ht="32" r="51">
      <c r="A51" s="1"/>
      <c r="B51" s="1"/>
      <c r="C51" s="1"/>
      <c r="D51" s="4"/>
      <c r="E51" s="4"/>
      <c r="F51" s="2"/>
      <c r="G51" s="1"/>
      <c r="H51" s="1"/>
      <c r="I51" s="1"/>
      <c r="J51" s="1"/>
      <c r="K51" s="2"/>
      <c r="L51" s="2"/>
      <c r="M51" s="2"/>
      <c r="N51" s="2"/>
      <c r="O51" s="1"/>
      <c r="P51" s="87"/>
      <c r="Q51" s="87"/>
      <c r="R51" s="87"/>
      <c r="S51" s="3"/>
      <c r="T51" s="1"/>
      <c r="U51" s="1"/>
      <c r="V51" s="1"/>
      <c r="W51" s="1"/>
      <c r="X51" s="2"/>
      <c r="Y51" s="2"/>
      <c r="Z51" s="1"/>
      <c r="AA51" s="1"/>
      <c r="AB51" s="1"/>
      <c r="AC51" s="1"/>
      <c r="AD51" s="1"/>
      <c r="AE51" s="1"/>
      <c r="AF51" s="1"/>
      <c r="AG51" s="1"/>
      <c r="AH51" s="1"/>
      <c r="AI51" s="1"/>
      <c r="AJ51" s="1"/>
      <c r="AK51" s="1"/>
      <c r="AL51" s="1"/>
      <c r="AM51" s="1"/>
      <c r="AN51" s="1"/>
    </row>
    <row customHeight="true" ht="32" r="52">
      <c r="A52" s="1"/>
      <c r="B52" s="1"/>
      <c r="C52" s="1"/>
      <c r="D52" s="4"/>
      <c r="E52" s="4"/>
      <c r="F52" s="2"/>
      <c r="G52" s="1"/>
      <c r="H52" s="1"/>
      <c r="I52" s="1"/>
      <c r="J52" s="1"/>
      <c r="K52" s="2"/>
      <c r="L52" s="2"/>
      <c r="M52" s="2"/>
      <c r="N52" s="2"/>
      <c r="O52" s="1"/>
      <c r="P52" s="87"/>
      <c r="Q52" s="87"/>
      <c r="R52" s="87"/>
      <c r="S52" s="3"/>
      <c r="T52" s="1"/>
      <c r="U52" s="1"/>
      <c r="V52" s="1"/>
      <c r="W52" s="1"/>
      <c r="X52" s="2"/>
      <c r="Y52" s="2"/>
      <c r="Z52" s="1"/>
      <c r="AA52" s="1"/>
      <c r="AB52" s="1"/>
      <c r="AC52" s="1"/>
      <c r="AD52" s="1"/>
      <c r="AE52" s="1"/>
      <c r="AF52" s="1"/>
      <c r="AG52" s="1"/>
      <c r="AH52" s="1"/>
      <c r="AI52" s="1"/>
      <c r="AJ52" s="1"/>
      <c r="AK52" s="1"/>
      <c r="AL52" s="1"/>
      <c r="AM52" s="1"/>
      <c r="AN52" s="1"/>
    </row>
    <row customHeight="true" ht="32" r="53">
      <c r="A53" s="1"/>
      <c r="B53" s="1"/>
      <c r="C53" s="1"/>
      <c r="D53" s="4"/>
      <c r="E53" s="4"/>
      <c r="F53" s="2"/>
      <c r="G53" s="1"/>
      <c r="H53" s="1"/>
      <c r="I53" s="1"/>
      <c r="J53" s="1"/>
      <c r="K53" s="2"/>
      <c r="L53" s="2"/>
      <c r="M53" s="2"/>
      <c r="N53" s="2"/>
      <c r="O53" s="1"/>
      <c r="P53" s="87"/>
      <c r="Q53" s="87"/>
      <c r="R53" s="87"/>
      <c r="S53" s="3"/>
      <c r="T53" s="1"/>
      <c r="U53" s="1"/>
      <c r="V53" s="1"/>
      <c r="W53" s="1"/>
      <c r="X53" s="2"/>
      <c r="Y53" s="2"/>
      <c r="Z53" s="1"/>
      <c r="AA53" s="1"/>
      <c r="AB53" s="1"/>
      <c r="AC53" s="1"/>
      <c r="AD53" s="1"/>
      <c r="AE53" s="1"/>
      <c r="AF53" s="1"/>
      <c r="AG53" s="1"/>
      <c r="AH53" s="1"/>
      <c r="AI53" s="1"/>
      <c r="AJ53" s="1"/>
      <c r="AK53" s="1"/>
      <c r="AL53" s="1"/>
      <c r="AM53" s="1"/>
      <c r="AN53" s="1"/>
    </row>
    <row customHeight="true" ht="32" r="54">
      <c r="A54" s="1"/>
      <c r="B54" s="1"/>
      <c r="C54" s="1"/>
      <c r="D54" s="4"/>
      <c r="E54" s="4"/>
      <c r="F54" s="2"/>
      <c r="G54" s="1"/>
      <c r="H54" s="1"/>
      <c r="I54" s="1"/>
      <c r="J54" s="1"/>
      <c r="K54" s="2"/>
      <c r="L54" s="2"/>
      <c r="M54" s="2"/>
      <c r="N54" s="2"/>
      <c r="O54" s="1"/>
      <c r="P54" s="87"/>
      <c r="Q54" s="87"/>
      <c r="R54" s="87"/>
      <c r="S54" s="3"/>
      <c r="T54" s="1"/>
      <c r="U54" s="1"/>
      <c r="V54" s="1"/>
      <c r="W54" s="1"/>
      <c r="X54" s="2"/>
      <c r="Y54" s="2"/>
      <c r="Z54" s="1"/>
      <c r="AA54" s="1"/>
      <c r="AB54" s="1"/>
      <c r="AC54" s="1"/>
      <c r="AD54" s="1"/>
      <c r="AE54" s="1"/>
      <c r="AF54" s="1"/>
      <c r="AG54" s="1"/>
      <c r="AH54" s="1"/>
      <c r="AI54" s="1"/>
      <c r="AJ54" s="1"/>
      <c r="AK54" s="1"/>
      <c r="AL54" s="1"/>
      <c r="AM54" s="1"/>
      <c r="AN54" s="1"/>
    </row>
    <row customHeight="true" ht="32"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customHeight="true" ht="32" r="56">
      <c r="A56" s="5"/>
      <c r="B56" s="5"/>
      <c r="C56" s="5"/>
      <c r="D56" s="5"/>
      <c r="E56" s="5"/>
      <c r="F56" s="86"/>
      <c r="G56" s="5"/>
      <c r="H56" s="5"/>
      <c r="I56" s="5"/>
      <c r="J56" s="5"/>
      <c r="K56" s="5"/>
      <c r="L56" s="5"/>
      <c r="M56" s="5"/>
      <c r="N56" s="5"/>
      <c r="O56" s="5"/>
      <c r="P56" s="5"/>
      <c r="Q56" s="5"/>
      <c r="R56" s="5"/>
      <c r="S56" s="5"/>
      <c r="T56" s="5"/>
      <c r="U56" s="5"/>
      <c r="V56" s="5"/>
      <c r="W56" s="5"/>
      <c r="X56" s="5"/>
      <c r="Y56" s="5"/>
      <c r="Z56" s="5"/>
      <c r="AA56" s="1"/>
      <c r="AB56" s="1"/>
      <c r="AC56" s="1"/>
      <c r="AD56" s="1"/>
      <c r="AE56" s="1"/>
      <c r="AF56" s="1"/>
      <c r="AG56" s="1"/>
      <c r="AH56" s="1"/>
      <c r="AI56" s="1"/>
      <c r="AJ56" s="1"/>
      <c r="AK56" s="1"/>
      <c r="AL56" s="1"/>
      <c r="AM56" s="1"/>
      <c r="AN56" s="1"/>
    </row>
    <row customHeight="true" ht="32" r="57">
      <c r="A57" s="5"/>
      <c r="B57" s="5"/>
      <c r="C57" s="5"/>
      <c r="D57" s="5"/>
      <c r="E57" s="5"/>
      <c r="F57" s="86"/>
      <c r="G57" s="5"/>
      <c r="H57" s="5"/>
      <c r="I57" s="5"/>
      <c r="J57" s="5"/>
      <c r="K57" s="5"/>
      <c r="L57" s="5"/>
      <c r="M57" s="5"/>
      <c r="N57" s="5"/>
      <c r="O57" s="5"/>
      <c r="P57" s="5"/>
      <c r="Q57" s="5"/>
      <c r="R57" s="5"/>
      <c r="S57" s="5"/>
      <c r="T57" s="5"/>
      <c r="U57" s="5"/>
      <c r="V57" s="5"/>
      <c r="W57" s="5"/>
      <c r="X57" s="5"/>
      <c r="Y57" s="5"/>
      <c r="Z57" s="5"/>
      <c r="AA57" s="1"/>
      <c r="AB57" s="1"/>
      <c r="AC57" s="1"/>
      <c r="AD57" s="1"/>
      <c r="AE57" s="1"/>
      <c r="AF57" s="1"/>
      <c r="AG57" s="1"/>
      <c r="AH57" s="1"/>
      <c r="AI57" s="1"/>
      <c r="AJ57" s="1"/>
      <c r="AK57" s="1"/>
      <c r="AL57" s="1"/>
      <c r="AM57" s="1"/>
      <c r="AN57" s="1"/>
    </row>
    <row customHeight="true" ht="32" r="58">
      <c r="A58" s="5"/>
      <c r="B58" s="5"/>
      <c r="C58" s="5"/>
      <c r="D58" s="5"/>
      <c r="E58" s="5"/>
      <c r="F58" s="86"/>
      <c r="G58" s="5"/>
      <c r="H58" s="5"/>
      <c r="I58" s="5"/>
      <c r="J58" s="5"/>
      <c r="K58" s="5"/>
      <c r="L58" s="5"/>
      <c r="M58" s="5"/>
      <c r="N58" s="5"/>
      <c r="O58" s="5"/>
      <c r="P58" s="5"/>
      <c r="Q58" s="5"/>
      <c r="R58" s="5"/>
      <c r="S58" s="5"/>
      <c r="T58" s="5"/>
      <c r="U58" s="5"/>
      <c r="V58" s="5"/>
      <c r="W58" s="5"/>
      <c r="X58" s="5"/>
      <c r="Y58" s="5"/>
      <c r="Z58" s="5"/>
      <c r="AA58" s="1"/>
      <c r="AB58" s="1"/>
      <c r="AC58" s="1"/>
      <c r="AD58" s="1"/>
      <c r="AE58" s="1"/>
      <c r="AF58" s="1"/>
      <c r="AG58" s="1"/>
      <c r="AH58" s="1"/>
      <c r="AI58" s="1"/>
      <c r="AJ58" s="1"/>
      <c r="AK58" s="1"/>
      <c r="AL58" s="1"/>
      <c r="AM58" s="1"/>
      <c r="AN58" s="1"/>
    </row>
    <row customHeight="true" ht="32" r="59">
      <c r="A59" s="5"/>
      <c r="B59" s="5"/>
      <c r="C59" s="5"/>
      <c r="D59" s="5"/>
      <c r="E59" s="5"/>
      <c r="F59" s="86"/>
      <c r="G59" s="5"/>
      <c r="H59" s="5"/>
      <c r="I59" s="5"/>
      <c r="J59" s="5"/>
      <c r="K59" s="5"/>
      <c r="L59" s="5"/>
      <c r="M59" s="5"/>
      <c r="N59" s="5"/>
      <c r="O59" s="5"/>
      <c r="P59" s="5"/>
      <c r="Q59" s="5"/>
      <c r="R59" s="5"/>
      <c r="S59" s="5"/>
      <c r="T59" s="5"/>
      <c r="U59" s="5"/>
      <c r="V59" s="5"/>
      <c r="W59" s="5"/>
      <c r="X59" s="5"/>
      <c r="Y59" s="5"/>
      <c r="Z59" s="5"/>
      <c r="AA59" s="1"/>
      <c r="AB59" s="1"/>
      <c r="AC59" s="1"/>
      <c r="AD59" s="1"/>
      <c r="AE59" s="1"/>
      <c r="AF59" s="1"/>
      <c r="AG59" s="1"/>
      <c r="AH59" s="1"/>
      <c r="AI59" s="1"/>
      <c r="AJ59" s="1"/>
      <c r="AK59" s="1"/>
      <c r="AL59" s="1"/>
      <c r="AM59" s="1"/>
      <c r="AN59" s="1"/>
    </row>
    <row customHeight="true" ht="32" r="60">
      <c r="A60" s="5"/>
      <c r="B60" s="5"/>
      <c r="C60" s="5"/>
      <c r="D60" s="5"/>
      <c r="E60" s="5"/>
      <c r="F60" s="86"/>
      <c r="G60" s="5"/>
      <c r="H60" s="5"/>
      <c r="I60" s="5"/>
      <c r="J60" s="5"/>
      <c r="K60" s="5"/>
      <c r="L60" s="5"/>
      <c r="M60" s="5"/>
      <c r="N60" s="5"/>
      <c r="O60" s="5"/>
      <c r="P60" s="5"/>
      <c r="Q60" s="5"/>
      <c r="R60" s="5"/>
      <c r="S60" s="5"/>
      <c r="T60" s="5"/>
      <c r="U60" s="5"/>
      <c r="V60" s="5"/>
      <c r="W60" s="5"/>
      <c r="X60" s="5"/>
      <c r="Y60" s="5"/>
      <c r="Z60" s="5"/>
      <c r="AA60" s="1"/>
      <c r="AB60" s="1"/>
      <c r="AC60" s="1"/>
      <c r="AD60" s="1"/>
      <c r="AE60" s="1"/>
      <c r="AF60" s="1"/>
      <c r="AG60" s="1"/>
      <c r="AH60" s="1"/>
      <c r="AI60" s="1"/>
      <c r="AJ60" s="1"/>
      <c r="AK60" s="1"/>
      <c r="AL60" s="1"/>
      <c r="AM60" s="1"/>
      <c r="AN60" s="1"/>
    </row>
    <row customHeight="true" ht="32" r="61">
      <c r="A61" s="5"/>
      <c r="B61" s="5"/>
      <c r="C61" s="5"/>
      <c r="D61" s="5"/>
      <c r="E61" s="5"/>
      <c r="F61" s="86"/>
      <c r="G61" s="5"/>
      <c r="H61" s="5"/>
      <c r="I61" s="5"/>
      <c r="J61" s="5"/>
      <c r="K61" s="5"/>
      <c r="L61" s="5"/>
      <c r="M61" s="5"/>
      <c r="N61" s="5"/>
      <c r="O61" s="5"/>
      <c r="P61" s="5"/>
      <c r="Q61" s="5"/>
      <c r="R61" s="5"/>
      <c r="S61" s="5"/>
      <c r="T61" s="5"/>
      <c r="U61" s="5"/>
      <c r="V61" s="5"/>
      <c r="W61" s="5"/>
      <c r="X61" s="5"/>
      <c r="Y61" s="5"/>
      <c r="Z61" s="5"/>
      <c r="AA61" s="1"/>
      <c r="AB61" s="1"/>
      <c r="AC61" s="1"/>
      <c r="AD61" s="1"/>
      <c r="AE61" s="1"/>
      <c r="AF61" s="1"/>
      <c r="AG61" s="1"/>
      <c r="AH61" s="1"/>
      <c r="AI61" s="1"/>
      <c r="AJ61" s="1"/>
      <c r="AK61" s="1"/>
      <c r="AL61" s="1"/>
      <c r="AM61" s="1"/>
      <c r="AN61" s="1"/>
    </row>
    <row customHeight="true" ht="32" r="62">
      <c r="A62" s="5"/>
      <c r="B62" s="5"/>
      <c r="C62" s="5"/>
      <c r="D62" s="5"/>
      <c r="E62" s="5"/>
      <c r="F62" s="86"/>
      <c r="G62" s="5"/>
      <c r="H62" s="5"/>
      <c r="I62" s="5"/>
      <c r="J62" s="5"/>
      <c r="K62" s="5"/>
      <c r="L62" s="5"/>
      <c r="M62" s="5"/>
      <c r="N62" s="5"/>
      <c r="O62" s="5"/>
      <c r="P62" s="5"/>
      <c r="Q62" s="5"/>
      <c r="R62" s="5"/>
      <c r="S62" s="5"/>
      <c r="T62" s="5"/>
      <c r="U62" s="5"/>
      <c r="V62" s="5"/>
      <c r="W62" s="5"/>
      <c r="X62" s="5"/>
      <c r="Y62" s="5"/>
      <c r="Z62" s="5"/>
      <c r="AA62" s="1"/>
      <c r="AB62" s="1"/>
      <c r="AC62" s="1"/>
      <c r="AD62" s="1"/>
      <c r="AE62" s="1"/>
      <c r="AF62" s="1"/>
      <c r="AG62" s="1"/>
      <c r="AH62" s="1"/>
      <c r="AI62" s="1"/>
      <c r="AJ62" s="1"/>
      <c r="AK62" s="1"/>
      <c r="AL62" s="1"/>
      <c r="AM62" s="1"/>
      <c r="AN62" s="1"/>
    </row>
    <row customHeight="true" ht="32" r="63">
      <c r="A63" s="5"/>
      <c r="B63" s="5"/>
      <c r="C63" s="5"/>
      <c r="D63" s="5"/>
      <c r="E63" s="5"/>
      <c r="F63" s="86"/>
      <c r="G63" s="5"/>
      <c r="H63" s="5"/>
      <c r="I63" s="5"/>
      <c r="J63" s="5"/>
      <c r="K63" s="5"/>
      <c r="L63" s="5"/>
      <c r="M63" s="5"/>
      <c r="N63" s="5"/>
      <c r="O63" s="5"/>
      <c r="P63" s="5"/>
      <c r="Q63" s="5"/>
      <c r="R63" s="5"/>
      <c r="S63" s="5"/>
      <c r="T63" s="5"/>
      <c r="U63" s="5"/>
      <c r="V63" s="5"/>
      <c r="W63" s="5"/>
      <c r="X63" s="5"/>
      <c r="Y63" s="5"/>
      <c r="Z63" s="5"/>
      <c r="AA63" s="1"/>
      <c r="AB63" s="1"/>
      <c r="AC63" s="1"/>
      <c r="AD63" s="1"/>
      <c r="AE63" s="1"/>
      <c r="AF63" s="1"/>
      <c r="AG63" s="1"/>
      <c r="AH63" s="1"/>
      <c r="AI63" s="1"/>
      <c r="AJ63" s="1"/>
      <c r="AK63" s="1"/>
      <c r="AL63" s="1"/>
      <c r="AM63" s="1"/>
      <c r="AN63" s="1"/>
    </row>
    <row customHeight="true" ht="32" r="64">
      <c r="A64" s="5"/>
      <c r="B64" s="5"/>
      <c r="C64" s="5"/>
      <c r="D64" s="5"/>
      <c r="E64" s="5"/>
      <c r="F64" s="86"/>
      <c r="G64" s="5"/>
      <c r="H64" s="5"/>
      <c r="I64" s="5"/>
      <c r="J64" s="5"/>
      <c r="K64" s="5"/>
      <c r="L64" s="5"/>
      <c r="M64" s="5"/>
      <c r="N64" s="5"/>
      <c r="O64" s="5"/>
      <c r="P64" s="5"/>
      <c r="Q64" s="5"/>
      <c r="R64" s="5"/>
      <c r="S64" s="5"/>
      <c r="T64" s="5"/>
      <c r="U64" s="5"/>
      <c r="V64" s="5"/>
      <c r="W64" s="5"/>
      <c r="X64" s="5"/>
      <c r="Y64" s="5"/>
      <c r="Z64" s="5"/>
      <c r="AA64" s="1"/>
      <c r="AB64" s="1"/>
      <c r="AC64" s="1"/>
      <c r="AD64" s="1"/>
      <c r="AE64" s="1"/>
      <c r="AF64" s="1"/>
      <c r="AG64" s="1"/>
      <c r="AH64" s="1"/>
      <c r="AI64" s="1"/>
      <c r="AJ64" s="1"/>
      <c r="AK64" s="1"/>
      <c r="AL64" s="1"/>
      <c r="AM64" s="1"/>
      <c r="AN64" s="1"/>
    </row>
    <row customHeight="true" ht="32" r="65">
      <c r="A65" s="5"/>
      <c r="B65" s="5"/>
      <c r="C65" s="5"/>
      <c r="D65" s="5"/>
      <c r="E65" s="5"/>
      <c r="F65" s="86"/>
      <c r="G65" s="5"/>
      <c r="H65" s="5"/>
      <c r="I65" s="5"/>
      <c r="J65" s="5"/>
      <c r="K65" s="5"/>
      <c r="L65" s="5"/>
      <c r="M65" s="5"/>
      <c r="N65" s="5"/>
      <c r="O65" s="5"/>
      <c r="P65" s="5"/>
      <c r="Q65" s="5"/>
      <c r="R65" s="5"/>
      <c r="S65" s="5"/>
      <c r="T65" s="5"/>
      <c r="U65" s="5"/>
      <c r="V65" s="5"/>
      <c r="W65" s="5"/>
      <c r="X65" s="5"/>
      <c r="Y65" s="5"/>
      <c r="Z65" s="5"/>
      <c r="AA65" s="1"/>
      <c r="AB65" s="1"/>
      <c r="AC65" s="1"/>
      <c r="AD65" s="1"/>
      <c r="AE65" s="1"/>
      <c r="AF65" s="1"/>
      <c r="AG65" s="1"/>
      <c r="AH65" s="1"/>
      <c r="AI65" s="1"/>
      <c r="AJ65" s="1"/>
      <c r="AK65" s="1"/>
      <c r="AL65" s="1"/>
      <c r="AM65" s="1"/>
      <c r="AN65" s="1"/>
    </row>
    <row customHeight="true" ht="32" r="66">
      <c r="A66" s="5"/>
      <c r="B66" s="5"/>
      <c r="C66" s="5"/>
      <c r="D66" s="5"/>
      <c r="E66" s="5"/>
      <c r="F66" s="86"/>
      <c r="G66" s="5"/>
      <c r="H66" s="5"/>
      <c r="I66" s="5"/>
      <c r="J66" s="5"/>
      <c r="K66" s="5"/>
      <c r="L66" s="5"/>
      <c r="M66" s="5"/>
      <c r="N66" s="5"/>
      <c r="O66" s="5"/>
      <c r="P66" s="5"/>
      <c r="Q66" s="5"/>
      <c r="R66" s="5"/>
      <c r="S66" s="5"/>
      <c r="T66" s="5"/>
      <c r="U66" s="5"/>
      <c r="V66" s="5"/>
      <c r="W66" s="5"/>
      <c r="X66" s="5"/>
      <c r="Y66" s="5"/>
      <c r="Z66" s="5"/>
      <c r="AA66" s="1"/>
      <c r="AB66" s="1"/>
      <c r="AC66" s="1"/>
      <c r="AD66" s="1"/>
      <c r="AE66" s="1"/>
      <c r="AF66" s="1"/>
      <c r="AG66" s="1"/>
      <c r="AH66" s="1"/>
      <c r="AI66" s="1"/>
      <c r="AJ66" s="1"/>
      <c r="AK66" s="1"/>
      <c r="AL66" s="1"/>
      <c r="AM66" s="1"/>
      <c r="AN66" s="1"/>
    </row>
    <row customHeight="true" ht="32" r="67">
      <c r="A67" s="18" t="str">
        <v>周盈亏真实数据</v>
      </c>
      <c r="B67" s="18"/>
      <c r="C67" s="18"/>
      <c r="D67" s="18"/>
      <c r="E67" s="18"/>
      <c r="F67" s="66"/>
      <c r="G67" s="18"/>
      <c r="H67" s="18"/>
      <c r="I67" s="18"/>
      <c r="J67" s="18"/>
      <c r="K67" s="18"/>
      <c r="L67" s="18"/>
      <c r="M67" s="18"/>
      <c r="N67" s="18"/>
      <c r="O67" s="18"/>
      <c r="P67" s="18"/>
      <c r="Q67" s="18"/>
      <c r="R67" s="18"/>
      <c r="S67" s="18"/>
      <c r="T67" s="18"/>
      <c r="U67" s="18"/>
      <c r="V67" s="18"/>
      <c r="W67" s="18"/>
      <c r="X67" s="18"/>
      <c r="Y67" s="18"/>
      <c r="Z67" s="18"/>
      <c r="AA67" s="1"/>
      <c r="AB67" s="1"/>
      <c r="AC67" s="1"/>
      <c r="AD67" s="1"/>
      <c r="AE67" s="1"/>
      <c r="AF67" s="1"/>
      <c r="AG67" s="1"/>
      <c r="AH67" s="1"/>
      <c r="AI67" s="1"/>
      <c r="AJ67" s="1"/>
      <c r="AK67" s="1"/>
      <c r="AL67" s="1"/>
      <c r="AM67" s="1"/>
      <c r="AN67" s="1"/>
    </row>
    <row customHeight="true" ht="27" r="68">
      <c r="A68" s="61" t="str">
        <v>第一周</v>
      </c>
      <c r="B68" s="70" t="str">
        <v>第1周</v>
      </c>
      <c r="C68" s="61"/>
      <c r="D68" s="67"/>
      <c r="E68" s="72"/>
      <c r="F68" s="71"/>
      <c r="G68" s="61"/>
      <c r="H68" s="61"/>
      <c r="I68" s="61"/>
      <c r="J68" s="61"/>
      <c r="K68" s="56"/>
      <c r="L68" s="56"/>
      <c r="M68" s="56"/>
      <c r="N68" s="56"/>
      <c r="O68" s="61"/>
      <c r="P68" s="68"/>
      <c r="Q68" s="68"/>
      <c r="R68" s="68"/>
      <c r="S68" s="69"/>
      <c r="T68" s="61"/>
      <c r="U68" s="61"/>
      <c r="V68" s="61"/>
      <c r="W68" s="61"/>
      <c r="X68" s="56"/>
      <c r="Y68" s="56"/>
      <c r="Z68" s="61"/>
      <c r="AA68" s="1"/>
      <c r="AB68" s="1"/>
      <c r="AC68" s="1"/>
      <c r="AD68" s="1"/>
      <c r="AE68" s="1"/>
      <c r="AF68" s="1"/>
      <c r="AG68" s="1"/>
      <c r="AH68" s="1"/>
      <c r="AI68" s="1"/>
      <c r="AJ68" s="1"/>
      <c r="AK68" s="1"/>
      <c r="AL68" s="1"/>
      <c r="AM68" s="1"/>
      <c r="AN68" s="1"/>
    </row>
    <row customHeight="true" ht="27" r="69">
      <c r="A69" s="13"/>
      <c r="B69" s="48" t="str">
        <v>第2周</v>
      </c>
      <c r="C69" s="13"/>
      <c r="D69" s="51"/>
      <c r="E69" s="16"/>
      <c r="F69" s="14"/>
      <c r="G69" s="13"/>
      <c r="H69" s="13"/>
      <c r="I69" s="13"/>
      <c r="J69" s="13"/>
      <c r="K69" s="49"/>
      <c r="L69" s="49"/>
      <c r="M69" s="49"/>
      <c r="N69" s="49"/>
      <c r="O69" s="13"/>
      <c r="P69" s="50"/>
      <c r="Q69" s="50"/>
      <c r="R69" s="50"/>
      <c r="S69" s="52"/>
      <c r="T69" s="13"/>
      <c r="U69" s="13"/>
      <c r="V69" s="13"/>
      <c r="W69" s="13"/>
      <c r="X69" s="49"/>
      <c r="Y69" s="49"/>
      <c r="Z69" s="13"/>
      <c r="AA69" s="1"/>
      <c r="AB69" s="1"/>
      <c r="AC69" s="1"/>
      <c r="AD69" s="1"/>
      <c r="AE69" s="1"/>
      <c r="AF69" s="1"/>
      <c r="AG69" s="1"/>
      <c r="AH69" s="1"/>
      <c r="AI69" s="1"/>
      <c r="AJ69" s="1"/>
      <c r="AK69" s="1"/>
      <c r="AL69" s="1"/>
      <c r="AM69" s="1"/>
      <c r="AN69" s="1"/>
    </row>
    <row customHeight="true" ht="27" r="70">
      <c r="A70" s="13"/>
      <c r="B70" s="48" t="str">
        <v>第3周</v>
      </c>
      <c r="C70" s="13"/>
      <c r="D70" s="51"/>
      <c r="E70" s="16"/>
      <c r="F70" s="14"/>
      <c r="G70" s="13"/>
      <c r="H70" s="13"/>
      <c r="I70" s="13"/>
      <c r="J70" s="13"/>
      <c r="K70" s="49"/>
      <c r="L70" s="49"/>
      <c r="M70" s="49"/>
      <c r="N70" s="49"/>
      <c r="O70" s="13"/>
      <c r="P70" s="50"/>
      <c r="Q70" s="50"/>
      <c r="R70" s="50"/>
      <c r="S70" s="52"/>
      <c r="T70" s="13"/>
      <c r="U70" s="13"/>
      <c r="V70" s="13"/>
      <c r="W70" s="13"/>
      <c r="X70" s="49"/>
      <c r="Y70" s="49"/>
      <c r="Z70" s="13"/>
      <c r="AA70" s="1"/>
      <c r="AB70" s="1"/>
      <c r="AC70" s="1"/>
      <c r="AD70" s="1"/>
      <c r="AE70" s="1"/>
      <c r="AF70" s="1"/>
      <c r="AG70" s="1"/>
      <c r="AH70" s="1"/>
      <c r="AI70" s="1"/>
      <c r="AJ70" s="1"/>
      <c r="AK70" s="1"/>
      <c r="AL70" s="1"/>
      <c r="AM70" s="1"/>
      <c r="AN70" s="1"/>
    </row>
    <row customHeight="true" ht="27" r="71">
      <c r="A71" s="13"/>
      <c r="B71" s="48" t="str">
        <v>第4周</v>
      </c>
      <c r="C71" s="13"/>
      <c r="D71" s="51"/>
      <c r="E71" s="16"/>
      <c r="F71" s="14"/>
      <c r="G71" s="13"/>
      <c r="H71" s="13"/>
      <c r="I71" s="13"/>
      <c r="J71" s="13"/>
      <c r="K71" s="49"/>
      <c r="L71" s="49"/>
      <c r="M71" s="49"/>
      <c r="N71" s="49"/>
      <c r="O71" s="13"/>
      <c r="P71" s="50"/>
      <c r="Q71" s="50"/>
      <c r="R71" s="50"/>
      <c r="S71" s="52"/>
      <c r="T71" s="13"/>
      <c r="U71" s="13"/>
      <c r="V71" s="13"/>
      <c r="W71" s="13"/>
      <c r="X71" s="49"/>
      <c r="Y71" s="49"/>
      <c r="Z71" s="13"/>
      <c r="AA71" s="1"/>
      <c r="AB71" s="1"/>
      <c r="AC71" s="1"/>
      <c r="AD71" s="1"/>
      <c r="AE71" s="1"/>
      <c r="AF71" s="1"/>
      <c r="AG71" s="1"/>
      <c r="AH71" s="1"/>
      <c r="AI71" s="1"/>
      <c r="AJ71" s="1"/>
      <c r="AK71" s="1"/>
      <c r="AL71" s="1"/>
      <c r="AM71" s="1"/>
      <c r="AN71" s="1"/>
    </row>
    <row customHeight="true" ht="27" r="72">
      <c r="A72" s="13" t="str">
        <v>第二周</v>
      </c>
      <c r="B72" s="48" t="str">
        <v>第5周</v>
      </c>
      <c r="C72" s="13"/>
      <c r="D72" s="51"/>
      <c r="E72" s="16"/>
      <c r="F72" s="14"/>
      <c r="G72" s="13"/>
      <c r="H72" s="13"/>
      <c r="I72" s="13"/>
      <c r="J72" s="13"/>
      <c r="K72" s="49"/>
      <c r="L72" s="49"/>
      <c r="M72" s="49"/>
      <c r="N72" s="49"/>
      <c r="O72" s="13"/>
      <c r="P72" s="50"/>
      <c r="Q72" s="50"/>
      <c r="R72" s="50"/>
      <c r="S72" s="52"/>
      <c r="T72" s="13"/>
      <c r="U72" s="13"/>
      <c r="V72" s="13"/>
      <c r="W72" s="13"/>
      <c r="X72" s="49"/>
      <c r="Y72" s="49"/>
      <c r="Z72" s="13"/>
      <c r="AA72" s="1"/>
      <c r="AB72" s="1"/>
      <c r="AC72" s="1"/>
      <c r="AD72" s="1"/>
      <c r="AE72" s="1"/>
      <c r="AF72" s="1"/>
      <c r="AG72" s="1"/>
      <c r="AH72" s="1"/>
      <c r="AI72" s="1"/>
      <c r="AJ72" s="1"/>
      <c r="AK72" s="1"/>
      <c r="AL72" s="1"/>
      <c r="AM72" s="1"/>
      <c r="AN72" s="1"/>
    </row>
    <row customHeight="true" ht="27" r="73">
      <c r="A73" s="13"/>
      <c r="B73" s="48" t="str">
        <v>第6周</v>
      </c>
      <c r="C73" s="13"/>
      <c r="D73" s="51"/>
      <c r="E73" s="16"/>
      <c r="F73" s="14"/>
      <c r="G73" s="13"/>
      <c r="H73" s="13"/>
      <c r="I73" s="13"/>
      <c r="J73" s="13"/>
      <c r="K73" s="49"/>
      <c r="L73" s="49"/>
      <c r="M73" s="49"/>
      <c r="N73" s="49"/>
      <c r="O73" s="13"/>
      <c r="P73" s="50"/>
      <c r="Q73" s="50"/>
      <c r="R73" s="50"/>
      <c r="S73" s="52"/>
      <c r="T73" s="13"/>
      <c r="U73" s="13"/>
      <c r="V73" s="13"/>
      <c r="W73" s="13"/>
      <c r="X73" s="49"/>
      <c r="Y73" s="49"/>
      <c r="Z73" s="13"/>
      <c r="AA73" s="1"/>
      <c r="AB73" s="1"/>
      <c r="AC73" s="1"/>
      <c r="AD73" s="1"/>
      <c r="AE73" s="1"/>
      <c r="AF73" s="1"/>
      <c r="AG73" s="1"/>
      <c r="AH73" s="1"/>
      <c r="AI73" s="1"/>
      <c r="AJ73" s="1"/>
      <c r="AK73" s="1"/>
      <c r="AL73" s="1"/>
      <c r="AM73" s="1"/>
      <c r="AN73" s="1"/>
    </row>
    <row customHeight="true" ht="27" r="74">
      <c r="A74" s="13"/>
      <c r="B74" s="48" t="str">
        <v>第7周</v>
      </c>
      <c r="C74" s="13"/>
      <c r="D74" s="51"/>
      <c r="E74" s="16"/>
      <c r="F74" s="14"/>
      <c r="G74" s="13"/>
      <c r="H74" s="13"/>
      <c r="I74" s="13"/>
      <c r="J74" s="13"/>
      <c r="K74" s="49"/>
      <c r="L74" s="49"/>
      <c r="M74" s="49"/>
      <c r="N74" s="49"/>
      <c r="O74" s="13"/>
      <c r="P74" s="50"/>
      <c r="Q74" s="50"/>
      <c r="R74" s="50"/>
      <c r="S74" s="52"/>
      <c r="T74" s="13"/>
      <c r="U74" s="13"/>
      <c r="V74" s="13"/>
      <c r="W74" s="13"/>
      <c r="X74" s="49"/>
      <c r="Y74" s="49"/>
      <c r="Z74" s="13"/>
      <c r="AA74" s="1"/>
      <c r="AB74" s="1"/>
      <c r="AC74" s="1"/>
      <c r="AD74" s="1"/>
      <c r="AE74" s="1"/>
      <c r="AF74" s="1"/>
      <c r="AG74" s="1"/>
      <c r="AH74" s="1"/>
      <c r="AI74" s="1"/>
      <c r="AJ74" s="1"/>
      <c r="AK74" s="1"/>
      <c r="AL74" s="1"/>
      <c r="AM74" s="1"/>
      <c r="AN74" s="1"/>
    </row>
    <row customHeight="true" ht="27" r="75">
      <c r="A75" s="13"/>
      <c r="B75" s="48" t="str">
        <v>第8周</v>
      </c>
      <c r="C75" s="13"/>
      <c r="D75" s="51"/>
      <c r="E75" s="16"/>
      <c r="F75" s="14"/>
      <c r="G75" s="13"/>
      <c r="H75" s="13"/>
      <c r="I75" s="13"/>
      <c r="J75" s="13"/>
      <c r="K75" s="49"/>
      <c r="L75" s="49"/>
      <c r="M75" s="49"/>
      <c r="N75" s="49"/>
      <c r="O75" s="13"/>
      <c r="P75" s="50"/>
      <c r="Q75" s="50"/>
      <c r="R75" s="50"/>
      <c r="S75" s="52"/>
      <c r="T75" s="13"/>
      <c r="U75" s="13"/>
      <c r="V75" s="13"/>
      <c r="W75" s="13"/>
      <c r="X75" s="49"/>
      <c r="Y75" s="49"/>
      <c r="Z75" s="13"/>
      <c r="AA75" s="1"/>
      <c r="AB75" s="1"/>
      <c r="AC75" s="1"/>
      <c r="AD75" s="1"/>
      <c r="AE75" s="1"/>
      <c r="AF75" s="1"/>
      <c r="AG75" s="1"/>
      <c r="AH75" s="1"/>
      <c r="AI75" s="1"/>
      <c r="AJ75" s="1"/>
      <c r="AK75" s="1"/>
      <c r="AL75" s="1"/>
      <c r="AM75" s="1"/>
      <c r="AN75" s="1"/>
    </row>
    <row customHeight="true" ht="27" r="76">
      <c r="A76" s="13" t="str">
        <v>第三周</v>
      </c>
      <c r="B76" s="48" t="str">
        <v>第9周</v>
      </c>
      <c r="C76" s="13"/>
      <c r="D76" s="51"/>
      <c r="E76" s="16"/>
      <c r="F76" s="14"/>
      <c r="G76" s="13"/>
      <c r="H76" s="13"/>
      <c r="I76" s="13"/>
      <c r="J76" s="13"/>
      <c r="K76" s="49"/>
      <c r="L76" s="49"/>
      <c r="M76" s="49"/>
      <c r="N76" s="49"/>
      <c r="O76" s="13"/>
      <c r="P76" s="50"/>
      <c r="Q76" s="50"/>
      <c r="R76" s="50"/>
      <c r="S76" s="52"/>
      <c r="T76" s="13"/>
      <c r="U76" s="13"/>
      <c r="V76" s="13"/>
      <c r="W76" s="13"/>
      <c r="X76" s="49"/>
      <c r="Y76" s="49"/>
      <c r="Z76" s="13"/>
      <c r="AA76" s="1"/>
      <c r="AB76" s="1"/>
      <c r="AC76" s="1"/>
      <c r="AD76" s="1"/>
      <c r="AE76" s="1"/>
      <c r="AF76" s="1"/>
      <c r="AG76" s="1"/>
      <c r="AH76" s="1"/>
      <c r="AI76" s="1"/>
      <c r="AJ76" s="1"/>
      <c r="AK76" s="1"/>
      <c r="AL76" s="1"/>
      <c r="AM76" s="1"/>
      <c r="AN76" s="1"/>
    </row>
    <row customHeight="true" ht="27" r="77">
      <c r="A77" s="13"/>
      <c r="B77" s="48" t="str">
        <v>第10周</v>
      </c>
      <c r="C77" s="13"/>
      <c r="D77" s="51"/>
      <c r="E77" s="16"/>
      <c r="F77" s="14"/>
      <c r="G77" s="13"/>
      <c r="H77" s="13"/>
      <c r="I77" s="13"/>
      <c r="J77" s="13"/>
      <c r="K77" s="49"/>
      <c r="L77" s="49"/>
      <c r="M77" s="49"/>
      <c r="N77" s="49"/>
      <c r="O77" s="13"/>
      <c r="P77" s="50"/>
      <c r="Q77" s="50"/>
      <c r="R77" s="50"/>
      <c r="S77" s="52"/>
      <c r="T77" s="13"/>
      <c r="U77" s="13"/>
      <c r="V77" s="13"/>
      <c r="W77" s="13"/>
      <c r="X77" s="49"/>
      <c r="Y77" s="49"/>
      <c r="Z77" s="13"/>
      <c r="AA77" s="1"/>
      <c r="AB77" s="1"/>
      <c r="AC77" s="1"/>
      <c r="AD77" s="1"/>
      <c r="AE77" s="1"/>
      <c r="AF77" s="1"/>
      <c r="AG77" s="1"/>
      <c r="AH77" s="1"/>
      <c r="AI77" s="1"/>
      <c r="AJ77" s="1"/>
      <c r="AK77" s="1"/>
      <c r="AL77" s="1"/>
      <c r="AM77" s="1"/>
      <c r="AN77" s="1"/>
    </row>
    <row customHeight="true" ht="27" r="78">
      <c r="A78" s="13"/>
      <c r="B78" s="48" t="str">
        <v>第11周</v>
      </c>
      <c r="C78" s="13"/>
      <c r="D78" s="51"/>
      <c r="E78" s="16"/>
      <c r="F78" s="14"/>
      <c r="G78" s="13"/>
      <c r="H78" s="13"/>
      <c r="I78" s="13"/>
      <c r="J78" s="13"/>
      <c r="K78" s="49"/>
      <c r="L78" s="49"/>
      <c r="M78" s="49"/>
      <c r="N78" s="49"/>
      <c r="O78" s="13"/>
      <c r="P78" s="50"/>
      <c r="Q78" s="50"/>
      <c r="R78" s="50"/>
      <c r="S78" s="52"/>
      <c r="T78" s="13"/>
      <c r="U78" s="13"/>
      <c r="V78" s="13"/>
      <c r="W78" s="13"/>
      <c r="X78" s="49"/>
      <c r="Y78" s="49"/>
      <c r="Z78" s="13"/>
      <c r="AA78" s="1"/>
      <c r="AB78" s="1"/>
      <c r="AC78" s="1"/>
      <c r="AD78" s="1"/>
      <c r="AE78" s="1"/>
      <c r="AF78" s="1"/>
      <c r="AG78" s="1"/>
      <c r="AH78" s="1"/>
      <c r="AI78" s="1"/>
      <c r="AJ78" s="1"/>
      <c r="AK78" s="1"/>
      <c r="AL78" s="1"/>
      <c r="AM78" s="1"/>
      <c r="AN78" s="1"/>
    </row>
    <row customHeight="true" ht="27" r="79">
      <c r="A79" s="13"/>
      <c r="B79" s="48" t="str">
        <v>第12周</v>
      </c>
      <c r="C79" s="13"/>
      <c r="D79" s="51"/>
      <c r="E79" s="16"/>
      <c r="F79" s="14"/>
      <c r="G79" s="13"/>
      <c r="H79" s="13"/>
      <c r="I79" s="13"/>
      <c r="J79" s="13"/>
      <c r="K79" s="49"/>
      <c r="L79" s="49"/>
      <c r="M79" s="49"/>
      <c r="N79" s="49"/>
      <c r="O79" s="13"/>
      <c r="P79" s="50"/>
      <c r="Q79" s="50"/>
      <c r="R79" s="50"/>
      <c r="S79" s="52"/>
      <c r="T79" s="13"/>
      <c r="U79" s="13"/>
      <c r="V79" s="13"/>
      <c r="W79" s="13"/>
      <c r="X79" s="49"/>
      <c r="Y79" s="49"/>
      <c r="Z79" s="13"/>
      <c r="AA79" s="1"/>
      <c r="AB79" s="1"/>
      <c r="AC79" s="1"/>
      <c r="AD79" s="1"/>
      <c r="AE79" s="1"/>
      <c r="AF79" s="1"/>
      <c r="AG79" s="1"/>
      <c r="AH79" s="1"/>
      <c r="AI79" s="1"/>
      <c r="AJ79" s="1"/>
      <c r="AK79" s="1"/>
      <c r="AL79" s="1"/>
      <c r="AM79" s="1"/>
      <c r="AN79" s="1"/>
    </row>
    <row customHeight="true" ht="27" r="80">
      <c r="A80" s="13" t="str">
        <v>第四周</v>
      </c>
      <c r="B80" s="48" t="str">
        <v>第13周</v>
      </c>
      <c r="C80" s="13"/>
      <c r="D80" s="51"/>
      <c r="E80" s="16"/>
      <c r="F80" s="14"/>
      <c r="G80" s="13"/>
      <c r="H80" s="13"/>
      <c r="I80" s="13"/>
      <c r="J80" s="13"/>
      <c r="K80" s="49"/>
      <c r="L80" s="49"/>
      <c r="M80" s="49"/>
      <c r="N80" s="49"/>
      <c r="O80" s="13"/>
      <c r="P80" s="50"/>
      <c r="Q80" s="50"/>
      <c r="R80" s="50"/>
      <c r="S80" s="52"/>
      <c r="T80" s="13"/>
      <c r="U80" s="13"/>
      <c r="V80" s="13"/>
      <c r="W80" s="13"/>
      <c r="X80" s="49"/>
      <c r="Y80" s="49"/>
      <c r="Z80" s="13"/>
      <c r="AA80" s="1"/>
      <c r="AB80" s="1"/>
      <c r="AC80" s="1"/>
      <c r="AD80" s="1"/>
      <c r="AE80" s="1"/>
      <c r="AF80" s="1"/>
      <c r="AG80" s="1"/>
      <c r="AH80" s="1"/>
      <c r="AI80" s="1"/>
      <c r="AJ80" s="1"/>
      <c r="AK80" s="1"/>
      <c r="AL80" s="1"/>
      <c r="AM80" s="1"/>
      <c r="AN80" s="1"/>
    </row>
    <row customHeight="true" ht="27" r="81">
      <c r="A81" s="13"/>
      <c r="B81" s="48" t="str">
        <v>第14周</v>
      </c>
      <c r="C81" s="13"/>
      <c r="D81" s="51"/>
      <c r="E81" s="16"/>
      <c r="F81" s="14"/>
      <c r="G81" s="13"/>
      <c r="H81" s="13"/>
      <c r="I81" s="13"/>
      <c r="J81" s="13"/>
      <c r="K81" s="49"/>
      <c r="L81" s="49"/>
      <c r="M81" s="49"/>
      <c r="N81" s="49"/>
      <c r="O81" s="13"/>
      <c r="P81" s="50"/>
      <c r="Q81" s="50"/>
      <c r="R81" s="50"/>
      <c r="S81" s="52"/>
      <c r="T81" s="13"/>
      <c r="U81" s="13"/>
      <c r="V81" s="13"/>
      <c r="W81" s="13"/>
      <c r="X81" s="49"/>
      <c r="Y81" s="49"/>
      <c r="Z81" s="13"/>
      <c r="AA81" s="1"/>
      <c r="AB81" s="1"/>
      <c r="AC81" s="1"/>
      <c r="AD81" s="1"/>
      <c r="AE81" s="1"/>
      <c r="AF81" s="1"/>
      <c r="AG81" s="1"/>
      <c r="AH81" s="1"/>
      <c r="AI81" s="1"/>
      <c r="AJ81" s="1"/>
      <c r="AK81" s="1"/>
      <c r="AL81" s="1"/>
      <c r="AM81" s="1"/>
      <c r="AN81" s="1"/>
    </row>
    <row customHeight="true" ht="27" r="82">
      <c r="A82" s="13"/>
      <c r="B82" s="48" t="str">
        <v>第15周</v>
      </c>
      <c r="C82" s="13"/>
      <c r="D82" s="51"/>
      <c r="E82" s="16"/>
      <c r="F82" s="14"/>
      <c r="G82" s="13"/>
      <c r="H82" s="13"/>
      <c r="I82" s="13"/>
      <c r="J82" s="13"/>
      <c r="K82" s="49"/>
      <c r="L82" s="49"/>
      <c r="M82" s="49"/>
      <c r="N82" s="49"/>
      <c r="O82" s="13"/>
      <c r="P82" s="50"/>
      <c r="Q82" s="50"/>
      <c r="R82" s="50"/>
      <c r="S82" s="52"/>
      <c r="T82" s="13"/>
      <c r="U82" s="13"/>
      <c r="V82" s="13"/>
      <c r="W82" s="13"/>
      <c r="X82" s="49"/>
      <c r="Y82" s="49"/>
      <c r="Z82" s="13"/>
      <c r="AA82" s="1"/>
      <c r="AB82" s="1"/>
      <c r="AC82" s="1"/>
      <c r="AD82" s="1"/>
      <c r="AE82" s="1"/>
      <c r="AF82" s="1"/>
      <c r="AG82" s="1"/>
      <c r="AH82" s="1"/>
      <c r="AI82" s="1"/>
      <c r="AJ82" s="1"/>
      <c r="AK82" s="1"/>
      <c r="AL82" s="1"/>
      <c r="AM82" s="1"/>
      <c r="AN82" s="1"/>
    </row>
    <row customHeight="true" ht="27" r="83">
      <c r="A83" s="13"/>
      <c r="B83" s="48" t="str">
        <v>第16周</v>
      </c>
      <c r="C83" s="13"/>
      <c r="D83" s="51"/>
      <c r="E83" s="16"/>
      <c r="F83" s="14"/>
      <c r="G83" s="13"/>
      <c r="H83" s="13"/>
      <c r="I83" s="13"/>
      <c r="J83" s="13"/>
      <c r="K83" s="49"/>
      <c r="L83" s="49"/>
      <c r="M83" s="49"/>
      <c r="N83" s="49"/>
      <c r="O83" s="13"/>
      <c r="P83" s="50"/>
      <c r="Q83" s="50"/>
      <c r="R83" s="50"/>
      <c r="S83" s="52"/>
      <c r="T83" s="13"/>
      <c r="U83" s="13"/>
      <c r="V83" s="13"/>
      <c r="W83" s="13"/>
      <c r="X83" s="49"/>
      <c r="Y83" s="49"/>
      <c r="Z83" s="13"/>
      <c r="AA83" s="1"/>
      <c r="AB83" s="1"/>
      <c r="AC83" s="1"/>
      <c r="AD83" s="1"/>
      <c r="AE83" s="1"/>
      <c r="AF83" s="1"/>
      <c r="AG83" s="1"/>
      <c r="AH83" s="1"/>
      <c r="AI83" s="1"/>
      <c r="AJ83" s="1"/>
      <c r="AK83" s="1"/>
      <c r="AL83" s="1"/>
      <c r="AM83" s="1"/>
      <c r="AN83" s="1"/>
    </row>
    <row customHeight="true" ht="27" r="84">
      <c r="A84" s="13" t="str">
        <v>第五周</v>
      </c>
      <c r="B84" s="48" t="str">
        <v>第17周</v>
      </c>
      <c r="C84" s="13"/>
      <c r="D84" s="51"/>
      <c r="E84" s="16"/>
      <c r="F84" s="14"/>
      <c r="G84" s="13"/>
      <c r="H84" s="13"/>
      <c r="I84" s="13"/>
      <c r="J84" s="13"/>
      <c r="K84" s="49"/>
      <c r="L84" s="49"/>
      <c r="M84" s="49"/>
      <c r="N84" s="49"/>
      <c r="O84" s="13"/>
      <c r="P84" s="50"/>
      <c r="Q84" s="50"/>
      <c r="R84" s="50"/>
      <c r="S84" s="52"/>
      <c r="T84" s="13"/>
      <c r="U84" s="13"/>
      <c r="V84" s="13"/>
      <c r="W84" s="13"/>
      <c r="X84" s="49"/>
      <c r="Y84" s="49"/>
      <c r="Z84" s="13"/>
      <c r="AA84" s="1"/>
      <c r="AB84" s="1"/>
      <c r="AC84" s="1"/>
      <c r="AD84" s="1"/>
      <c r="AE84" s="1"/>
      <c r="AF84" s="1"/>
      <c r="AG84" s="1"/>
      <c r="AH84" s="1"/>
      <c r="AI84" s="1"/>
      <c r="AJ84" s="1"/>
      <c r="AK84" s="1"/>
      <c r="AL84" s="1"/>
      <c r="AM84" s="1"/>
      <c r="AN84" s="1"/>
    </row>
    <row customHeight="true" ht="27" r="85">
      <c r="A85" s="13"/>
      <c r="B85" s="48" t="str">
        <v>第18周</v>
      </c>
      <c r="C85" s="13"/>
      <c r="D85" s="51"/>
      <c r="E85" s="16"/>
      <c r="F85" s="14"/>
      <c r="G85" s="13"/>
      <c r="H85" s="13"/>
      <c r="I85" s="13"/>
      <c r="J85" s="13"/>
      <c r="K85" s="49"/>
      <c r="L85" s="49"/>
      <c r="M85" s="49"/>
      <c r="N85" s="49"/>
      <c r="O85" s="13"/>
      <c r="P85" s="50"/>
      <c r="Q85" s="50"/>
      <c r="R85" s="50"/>
      <c r="S85" s="52"/>
      <c r="T85" s="13"/>
      <c r="U85" s="13"/>
      <c r="V85" s="13"/>
      <c r="W85" s="13"/>
      <c r="X85" s="49"/>
      <c r="Y85" s="49"/>
      <c r="Z85" s="13"/>
      <c r="AA85" s="1"/>
      <c r="AB85" s="1"/>
      <c r="AC85" s="1"/>
      <c r="AD85" s="1"/>
      <c r="AE85" s="1"/>
      <c r="AF85" s="1"/>
      <c r="AG85" s="1"/>
      <c r="AH85" s="1"/>
      <c r="AI85" s="1"/>
      <c r="AJ85" s="1"/>
      <c r="AK85" s="1"/>
      <c r="AL85" s="1"/>
      <c r="AM85" s="1"/>
      <c r="AN85" s="1"/>
    </row>
    <row customHeight="true" ht="27" r="86">
      <c r="A86" s="13"/>
      <c r="B86" s="48" t="str">
        <v>第19周</v>
      </c>
      <c r="C86" s="13"/>
      <c r="D86" s="51"/>
      <c r="E86" s="16"/>
      <c r="F86" s="14"/>
      <c r="G86" s="13"/>
      <c r="H86" s="13"/>
      <c r="I86" s="13"/>
      <c r="J86" s="13"/>
      <c r="K86" s="49"/>
      <c r="L86" s="49"/>
      <c r="M86" s="49"/>
      <c r="N86" s="49"/>
      <c r="O86" s="13"/>
      <c r="P86" s="50"/>
      <c r="Q86" s="50"/>
      <c r="R86" s="50"/>
      <c r="S86" s="52"/>
      <c r="T86" s="13"/>
      <c r="U86" s="13"/>
      <c r="V86" s="13"/>
      <c r="W86" s="13"/>
      <c r="X86" s="49"/>
      <c r="Y86" s="49"/>
      <c r="Z86" s="13"/>
      <c r="AA86" s="1"/>
      <c r="AB86" s="1"/>
      <c r="AC86" s="1"/>
      <c r="AD86" s="1"/>
      <c r="AE86" s="1"/>
      <c r="AF86" s="1"/>
      <c r="AG86" s="1"/>
      <c r="AH86" s="1"/>
      <c r="AI86" s="1"/>
      <c r="AJ86" s="1"/>
      <c r="AK86" s="1"/>
      <c r="AL86" s="1"/>
      <c r="AM86" s="1"/>
      <c r="AN86" s="1"/>
    </row>
    <row customHeight="true" ht="27" r="87">
      <c r="A87" s="13"/>
      <c r="B87" s="48" t="str">
        <v>第20周</v>
      </c>
      <c r="C87" s="13"/>
      <c r="D87" s="51"/>
      <c r="E87" s="16"/>
      <c r="F87" s="14"/>
      <c r="G87" s="13"/>
      <c r="H87" s="13"/>
      <c r="I87" s="13"/>
      <c r="J87" s="13"/>
      <c r="K87" s="49"/>
      <c r="L87" s="49"/>
      <c r="M87" s="49"/>
      <c r="N87" s="49"/>
      <c r="O87" s="13"/>
      <c r="P87" s="50"/>
      <c r="Q87" s="50"/>
      <c r="R87" s="50"/>
      <c r="S87" s="52"/>
      <c r="T87" s="13"/>
      <c r="U87" s="13"/>
      <c r="V87" s="13"/>
      <c r="W87" s="13"/>
      <c r="X87" s="49"/>
      <c r="Y87" s="49"/>
      <c r="Z87" s="13"/>
      <c r="AA87" s="1"/>
      <c r="AB87" s="1"/>
      <c r="AC87" s="1"/>
      <c r="AD87" s="1"/>
      <c r="AE87" s="1"/>
      <c r="AF87" s="1"/>
      <c r="AG87" s="1"/>
      <c r="AH87" s="1"/>
      <c r="AI87" s="1"/>
      <c r="AJ87" s="1"/>
      <c r="AK87" s="1"/>
      <c r="AL87" s="1"/>
      <c r="AM87" s="1"/>
      <c r="AN87" s="1"/>
    </row>
    <row customHeight="true" ht="27" r="88">
      <c r="A88" s="13" t="str">
        <v>第六周</v>
      </c>
      <c r="B88" s="48" t="str">
        <v>第21周</v>
      </c>
      <c r="C88" s="13"/>
      <c r="D88" s="51"/>
      <c r="E88" s="16"/>
      <c r="F88" s="14"/>
      <c r="G88" s="13"/>
      <c r="H88" s="13"/>
      <c r="I88" s="13"/>
      <c r="J88" s="13"/>
      <c r="K88" s="49"/>
      <c r="L88" s="49"/>
      <c r="M88" s="49"/>
      <c r="N88" s="49"/>
      <c r="O88" s="13"/>
      <c r="P88" s="50"/>
      <c r="Q88" s="50"/>
      <c r="R88" s="50"/>
      <c r="S88" s="52"/>
      <c r="T88" s="13"/>
      <c r="U88" s="13"/>
      <c r="V88" s="13"/>
      <c r="W88" s="13"/>
      <c r="X88" s="49"/>
      <c r="Y88" s="49"/>
      <c r="Z88" s="13"/>
      <c r="AA88" s="1"/>
      <c r="AB88" s="1"/>
      <c r="AC88" s="1"/>
      <c r="AD88" s="1"/>
      <c r="AE88" s="1"/>
      <c r="AF88" s="1"/>
      <c r="AG88" s="1"/>
      <c r="AH88" s="1"/>
      <c r="AI88" s="1"/>
      <c r="AJ88" s="1"/>
      <c r="AK88" s="1"/>
      <c r="AL88" s="1"/>
      <c r="AM88" s="1"/>
      <c r="AN88" s="1"/>
    </row>
    <row customHeight="true" ht="27" r="89">
      <c r="A89" s="13"/>
      <c r="B89" s="48" t="str">
        <v>第22周</v>
      </c>
      <c r="C89" s="13"/>
      <c r="D89" s="51"/>
      <c r="E89" s="16"/>
      <c r="F89" s="14"/>
      <c r="G89" s="13"/>
      <c r="H89" s="13"/>
      <c r="I89" s="13"/>
      <c r="J89" s="13"/>
      <c r="K89" s="49"/>
      <c r="L89" s="49"/>
      <c r="M89" s="49"/>
      <c r="N89" s="49"/>
      <c r="O89" s="13"/>
      <c r="P89" s="50"/>
      <c r="Q89" s="50"/>
      <c r="R89" s="50"/>
      <c r="S89" s="52"/>
      <c r="T89" s="13"/>
      <c r="U89" s="13"/>
      <c r="V89" s="13"/>
      <c r="W89" s="13"/>
      <c r="X89" s="49"/>
      <c r="Y89" s="49"/>
      <c r="Z89" s="13"/>
      <c r="AA89" s="1"/>
      <c r="AB89" s="1"/>
      <c r="AC89" s="1"/>
      <c r="AD89" s="1"/>
      <c r="AE89" s="1"/>
      <c r="AF89" s="1"/>
      <c r="AG89" s="1"/>
      <c r="AH89" s="1"/>
      <c r="AI89" s="1"/>
      <c r="AJ89" s="1"/>
      <c r="AK89" s="1"/>
      <c r="AL89" s="1"/>
      <c r="AM89" s="1"/>
      <c r="AN89" s="1"/>
    </row>
    <row customHeight="true" ht="27" r="90">
      <c r="A90" s="13"/>
      <c r="B90" s="48" t="str">
        <v>第23周</v>
      </c>
      <c r="C90" s="13"/>
      <c r="D90" s="51"/>
      <c r="E90" s="16"/>
      <c r="F90" s="14"/>
      <c r="G90" s="13"/>
      <c r="H90" s="13"/>
      <c r="I90" s="13"/>
      <c r="J90" s="13"/>
      <c r="K90" s="49"/>
      <c r="L90" s="49"/>
      <c r="M90" s="49"/>
      <c r="N90" s="49"/>
      <c r="O90" s="13"/>
      <c r="P90" s="50"/>
      <c r="Q90" s="50"/>
      <c r="R90" s="50"/>
      <c r="S90" s="52"/>
      <c r="T90" s="13"/>
      <c r="U90" s="13"/>
      <c r="V90" s="13"/>
      <c r="W90" s="13"/>
      <c r="X90" s="49"/>
      <c r="Y90" s="49"/>
      <c r="Z90" s="13"/>
      <c r="AA90" s="1"/>
      <c r="AB90" s="1"/>
      <c r="AC90" s="1"/>
      <c r="AD90" s="1"/>
      <c r="AE90" s="1"/>
      <c r="AF90" s="1"/>
      <c r="AG90" s="1"/>
      <c r="AH90" s="1"/>
      <c r="AI90" s="1"/>
      <c r="AJ90" s="1"/>
      <c r="AK90" s="1"/>
      <c r="AL90" s="1"/>
      <c r="AM90" s="1"/>
      <c r="AN90" s="1"/>
    </row>
    <row customHeight="true" ht="27" r="91">
      <c r="A91" s="13"/>
      <c r="B91" s="48" t="str">
        <v>第24周</v>
      </c>
      <c r="C91" s="13"/>
      <c r="D91" s="51"/>
      <c r="E91" s="16"/>
      <c r="F91" s="14"/>
      <c r="G91" s="13"/>
      <c r="H91" s="13"/>
      <c r="I91" s="13"/>
      <c r="J91" s="13"/>
      <c r="K91" s="49"/>
      <c r="L91" s="49"/>
      <c r="M91" s="49"/>
      <c r="N91" s="49"/>
      <c r="O91" s="13"/>
      <c r="P91" s="50"/>
      <c r="Q91" s="50"/>
      <c r="R91" s="50"/>
      <c r="S91" s="52"/>
      <c r="T91" s="13"/>
      <c r="U91" s="13"/>
      <c r="V91" s="13"/>
      <c r="W91" s="13"/>
      <c r="X91" s="49"/>
      <c r="Y91" s="49"/>
      <c r="Z91" s="13"/>
      <c r="AA91" s="1"/>
      <c r="AB91" s="1"/>
      <c r="AC91" s="1"/>
      <c r="AD91" s="1"/>
      <c r="AE91" s="1"/>
      <c r="AF91" s="1"/>
      <c r="AG91" s="1"/>
      <c r="AH91" s="1"/>
      <c r="AI91" s="1"/>
      <c r="AJ91" s="1"/>
      <c r="AK91" s="1"/>
      <c r="AL91" s="1"/>
      <c r="AM91" s="1"/>
      <c r="AN91" s="1"/>
    </row>
  </sheetData>
  <mergeCells>
    <mergeCell ref="A1:Z1"/>
    <mergeCell ref="A3:A9"/>
    <mergeCell ref="A11:A17"/>
    <mergeCell ref="A19:A25"/>
    <mergeCell ref="A27:A33"/>
    <mergeCell ref="A35:A41"/>
    <mergeCell ref="A43:A49"/>
    <mergeCell ref="A67:Z67"/>
    <mergeCell ref="A68:A71"/>
    <mergeCell ref="A72:A75"/>
    <mergeCell ref="A76:A79"/>
    <mergeCell ref="A80:A83"/>
    <mergeCell ref="A84:A87"/>
    <mergeCell ref="A88:A91"/>
  </mergeCells>
  <hyperlinks>
    <hyperlink ref="AB1" display="https://mp.weixin.qq.com/s/hJXWLb-KpYE6J5aK37fUqA?poc_token=HER7cGijba2sEL_p1d8TCVeaPrsbMxX-Mtg-J8JD" r:id="rId1"/>
  </hyperlinks>
  <drawing r:id="rId2"/>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4" xSplit="2" ySplit="3"/>
    </sheetView>
  </sheetViews>
  <sheetFormatPr defaultColWidth="14" defaultRowHeight="19"/>
  <cols>
    <col collapsed="false" customWidth="true" hidden="false" max="1" min="1" style="0" width="9"/>
    <col collapsed="false" customWidth="true" hidden="false" max="2" min="2" style="0" width="9"/>
    <col collapsed="false" customWidth="true" hidden="false" max="3" min="3" style="0" width="7"/>
    <col collapsed="false" customWidth="true" hidden="false" max="4" min="4" style="0" width="6"/>
    <col collapsed="false" customWidth="true" hidden="false" max="5" min="5" style="0" width="6"/>
    <col collapsed="false" customWidth="true" hidden="false" max="6" min="6" style="0" width="18"/>
    <col collapsed="false" customWidth="true" hidden="false" max="7" min="7" style="0" width="6"/>
    <col collapsed="false" customWidth="true" hidden="false" max="8" min="8" style="0" width="7"/>
    <col collapsed="false" customWidth="true" hidden="false" max="9" min="9" style="0" width="8"/>
    <col collapsed="false" customWidth="true" hidden="false" max="10" min="10" style="0" width="7"/>
    <col collapsed="false" customWidth="true" hidden="false" max="11" min="11" style="0" width="9"/>
    <col collapsed="false" customWidth="true" hidden="false" max="12" min="12" style="0" width="7"/>
    <col collapsed="false" customWidth="true" hidden="false" max="13" min="13" style="0" width="5"/>
    <col collapsed="false" customWidth="true" hidden="false" max="14" min="14" style="0" width="6"/>
    <col collapsed="false" customWidth="true" hidden="false" max="15" min="15" style="0" width="10"/>
    <col collapsed="false" customWidth="true" hidden="false" max="16" min="16" style="0" width="6"/>
    <col collapsed="false" customWidth="true" hidden="false" max="17" min="17" style="0" width="12"/>
    <col collapsed="false" customWidth="true" hidden="false" max="18" min="18" style="0" width="9"/>
    <col collapsed="false" customWidth="true" hidden="false" max="19" min="19" style="0" width="6"/>
    <col collapsed="false" customWidth="true" hidden="false" max="20" min="20" style="0" width="19"/>
    <col collapsed="false" customWidth="true" hidden="false" max="21" min="21" style="0" width="10"/>
    <col collapsed="false" customWidth="true" hidden="false" max="22" min="22" style="0" width="10"/>
    <col collapsed="false" customWidth="true" hidden="false" max="23" min="23" style="0" width="10"/>
    <col collapsed="false" customWidth="true" hidden="false" max="24" min="24" style="0" width="7"/>
    <col collapsed="false" customWidth="true" hidden="false" max="25" min="25" style="0" width="8"/>
    <col collapsed="false" customWidth="true" hidden="false" max="26" min="26" style="0" width="9"/>
    <col collapsed="false" customWidth="true" hidden="false" max="27" min="27" style="0" width="9"/>
    <col collapsed="false" customWidth="true" hidden="false" max="28" min="28" style="0" width="10"/>
    <col collapsed="false" customWidth="true" hidden="false" max="29" min="29" style="0" width="34"/>
    <col collapsed="false" customWidth="true" hidden="false" max="30" min="30" style="0" width="37"/>
  </cols>
  <sheetData>
    <row customHeight="true" ht="17" r="1">
      <c r="A1" s="1" t="str">
        <v>广告数据模拟</v>
      </c>
      <c r="B1" s="1"/>
      <c r="C1" s="1"/>
      <c r="D1" s="1"/>
      <c r="E1" s="1"/>
      <c r="F1" s="1"/>
      <c r="G1" s="1"/>
      <c r="H1" s="1"/>
      <c r="I1" s="1"/>
      <c r="J1" s="1"/>
      <c r="K1" s="1"/>
      <c r="L1" s="1"/>
      <c r="M1" s="1"/>
      <c r="N1" s="1"/>
      <c r="O1" s="91"/>
      <c r="P1" s="1"/>
      <c r="Q1" s="1"/>
      <c r="R1" s="1"/>
      <c r="S1" s="1"/>
      <c r="T1" s="1"/>
      <c r="U1" s="1"/>
      <c r="V1" s="1"/>
      <c r="W1" s="1"/>
      <c r="X1" s="1"/>
      <c r="Y1" s="1"/>
      <c r="Z1" s="1"/>
      <c r="AA1" s="1"/>
      <c r="AB1" s="1"/>
      <c r="AC1" s="1"/>
      <c r="AD1" s="1"/>
    </row>
    <row customHeight="true" ht="17" r="2">
      <c r="A2" s="99" t="str">
        <v>常规数据</v>
      </c>
      <c r="B2" s="99"/>
      <c r="C2" s="99"/>
      <c r="D2" s="99"/>
      <c r="E2" s="99"/>
      <c r="F2" s="99"/>
      <c r="G2" s="99"/>
      <c r="H2" s="99"/>
      <c r="I2" s="99"/>
      <c r="J2" s="99"/>
      <c r="K2" s="99"/>
      <c r="L2" s="99"/>
      <c r="M2" s="99"/>
      <c r="N2" s="98" t="str" xml:space="preserve">
        <v>      广告数据</v>
      </c>
      <c r="O2" s="100"/>
      <c r="P2" s="98"/>
      <c r="Q2" s="98"/>
      <c r="R2" s="98"/>
      <c r="S2" s="98"/>
      <c r="T2" s="98"/>
      <c r="U2" s="98"/>
      <c r="V2" s="98"/>
      <c r="W2" s="98"/>
      <c r="X2" s="1"/>
      <c r="Y2" s="1"/>
      <c r="Z2" s="1"/>
      <c r="AA2" s="1"/>
      <c r="AB2" s="102" t="str">
        <v>实时更新</v>
      </c>
      <c r="AC2" s="101" t="str">
        <v>操作备注</v>
      </c>
      <c r="AD2" s="101"/>
    </row>
    <row customHeight="true" ht="35" r="3">
      <c r="A3" s="117" t="str">
        <v>阶段</v>
      </c>
      <c r="B3" s="117" t="str">
        <v>周</v>
      </c>
      <c r="C3" s="117" t="str">
        <v>价格</v>
      </c>
      <c r="D3" s="109" t="str">
        <v>站内
coupon</v>
      </c>
      <c r="E3" s="109" t="str">
        <v>站内
code</v>
      </c>
      <c r="F3" s="109" t="str">
        <v>折后价</v>
      </c>
      <c r="G3" s="105" t="str">
        <v>新品
榜单</v>
      </c>
      <c r="H3" s="105" t="str">
        <v>小类目
排名</v>
      </c>
      <c r="I3" s="115" t="str">
        <v>总
销量</v>
      </c>
      <c r="J3" s="105" t="str">
        <v>总访
问量</v>
      </c>
      <c r="K3" s="115" t="str">
        <v>CVR</v>
      </c>
      <c r="L3" s="112" t="str">
        <v>评论
数量</v>
      </c>
      <c r="M3" s="110" t="str">
        <v>评分</v>
      </c>
      <c r="N3" s="106" t="str">
        <v>曝光量</v>
      </c>
      <c r="O3" s="103" t="str">
        <v>点击量</v>
      </c>
      <c r="P3" s="106" t="str">
        <v>CTR</v>
      </c>
      <c r="Q3" s="121" t="str">
        <v>广告单</v>
      </c>
      <c r="R3" s="111" t="str">
        <v>CVR</v>
      </c>
      <c r="S3" s="104" t="str">
        <v>平均
CPC</v>
      </c>
      <c r="T3" s="113" t="str">
        <v>花费</v>
      </c>
      <c r="U3" s="111" t="str">
        <v>ACOS</v>
      </c>
      <c r="V3" s="122" t="str">
        <v>CPA</v>
      </c>
      <c r="W3" s="104" t="str">
        <v>日均
广告费</v>
      </c>
      <c r="X3" s="120" t="str">
        <v>自然
访问</v>
      </c>
      <c r="Y3" s="119" t="str">
        <v>自然
订单</v>
      </c>
      <c r="Z3" s="118" t="str">
        <v>自然
单占比</v>
      </c>
      <c r="AA3" s="116" t="str">
        <v>最终
盈亏</v>
      </c>
      <c r="AB3" s="114" t="str">
        <v>Sif
质量分</v>
      </c>
      <c r="AC3" s="108" t="str">
        <v>运营调整</v>
      </c>
      <c r="AD3" s="108" t="str">
        <v>广告操作</v>
      </c>
    </row>
    <row customHeight="true" ht="22" r="4">
      <c r="A4" s="13" t="str">
        <v>第一阶段</v>
      </c>
      <c r="B4" s="48"/>
      <c r="C4" s="13">
        <v>79.99</v>
      </c>
      <c r="D4" s="51">
        <v>0.3</v>
      </c>
      <c r="E4" s="16">
        <v>0</v>
      </c>
      <c r="F4" s="14">
        <f>SUM(C4*(1-D4-E4))</f>
      </c>
      <c r="G4" s="13"/>
      <c r="H4" s="13"/>
      <c r="I4" s="13"/>
      <c r="J4" s="13"/>
      <c r="K4" s="95"/>
      <c r="L4" s="97"/>
      <c r="M4" s="52"/>
      <c r="N4" s="13"/>
      <c r="O4" s="92">
        <f>SUM(Q4/R4)</f>
      </c>
      <c r="P4" s="13"/>
      <c r="Q4" s="13">
        <f>'总表（阶段盈亏）'!H3</f>
      </c>
      <c r="R4" s="94">
        <v>0.08</v>
      </c>
      <c r="S4" s="49">
        <v>1.91</v>
      </c>
      <c r="T4" s="13">
        <f>SUM(O4*S4)</f>
      </c>
      <c r="U4" s="94">
        <f>SUM(S4/R4/C4)</f>
      </c>
      <c r="V4" s="93">
        <f>SUM(T4/Q4)</f>
      </c>
      <c r="W4" s="93">
        <f>T4/7</f>
      </c>
      <c r="X4" s="97"/>
      <c r="Y4" s="13"/>
      <c r="Z4" s="95"/>
      <c r="AA4" s="93"/>
      <c r="AB4" s="13"/>
      <c r="AC4" s="13"/>
      <c r="AD4" s="13"/>
    </row>
    <row customHeight="true" ht="22" r="5">
      <c r="A5" s="13"/>
      <c r="B5" s="48"/>
      <c r="C5" s="13">
        <v>89.99</v>
      </c>
      <c r="D5" s="51">
        <v>0.3</v>
      </c>
      <c r="E5" s="16">
        <v>0</v>
      </c>
      <c r="F5" s="14">
        <f>SUM(C5*(1-D5-E5))</f>
      </c>
      <c r="G5" s="13"/>
      <c r="H5" s="13"/>
      <c r="I5" s="13"/>
      <c r="J5" s="13"/>
      <c r="K5" s="95"/>
      <c r="L5" s="97"/>
      <c r="M5" s="52"/>
      <c r="N5" s="13"/>
      <c r="O5" s="92">
        <f>SUM(Q5/R5)</f>
      </c>
      <c r="P5" s="13"/>
      <c r="Q5" s="13">
        <f>'总表（阶段盈亏）'!H4</f>
      </c>
      <c r="R5" s="94">
        <v>0.08</v>
      </c>
      <c r="S5" s="49">
        <v>1.91</v>
      </c>
      <c r="T5" s="13">
        <f>SUM(O5*S5)</f>
      </c>
      <c r="U5" s="94">
        <f>SUM(S5/R5/C5)</f>
      </c>
      <c r="V5" s="93">
        <f>SUM(T5/Q5)</f>
      </c>
      <c r="W5" s="93">
        <f>T5/7</f>
      </c>
      <c r="X5" s="97"/>
      <c r="Y5" s="13"/>
      <c r="Z5" s="95"/>
      <c r="AA5" s="93"/>
      <c r="AB5" s="13"/>
      <c r="AC5" s="13"/>
      <c r="AD5" s="13"/>
    </row>
    <row customHeight="true" ht="22" r="6">
      <c r="A6" s="13"/>
      <c r="B6" s="48"/>
      <c r="C6" s="13">
        <v>89.99</v>
      </c>
      <c r="D6" s="51">
        <v>0.3</v>
      </c>
      <c r="E6" s="16">
        <v>0</v>
      </c>
      <c r="F6" s="14">
        <f>SUM(C6*(1-D6-E6))</f>
      </c>
      <c r="G6" s="13"/>
      <c r="H6" s="13"/>
      <c r="I6" s="13"/>
      <c r="J6" s="13"/>
      <c r="K6" s="95"/>
      <c r="L6" s="97"/>
      <c r="M6" s="52"/>
      <c r="N6" s="13"/>
      <c r="O6" s="92">
        <f>SUM(Q6/R6)</f>
      </c>
      <c r="P6" s="13"/>
      <c r="Q6" s="13">
        <f>'总表（阶段盈亏）'!H5</f>
      </c>
      <c r="R6" s="94">
        <v>0.08</v>
      </c>
      <c r="S6" s="49">
        <v>1.91</v>
      </c>
      <c r="T6" s="13">
        <f>SUM(O6*S6)</f>
      </c>
      <c r="U6" s="94">
        <f>SUM(S6/R6/C6)</f>
      </c>
      <c r="V6" s="93">
        <f>SUM(T6/Q6)</f>
      </c>
      <c r="W6" s="93">
        <f>T6/7</f>
      </c>
      <c r="X6" s="97"/>
      <c r="Y6" s="13"/>
      <c r="Z6" s="95"/>
      <c r="AA6" s="93"/>
      <c r="AB6" s="13"/>
      <c r="AC6" s="13"/>
      <c r="AD6" s="13"/>
    </row>
    <row customHeight="true" ht="22" r="7">
      <c r="A7" s="13"/>
      <c r="B7" s="48"/>
      <c r="C7" s="13">
        <v>89.99</v>
      </c>
      <c r="D7" s="51">
        <v>0.3</v>
      </c>
      <c r="E7" s="16">
        <v>0</v>
      </c>
      <c r="F7" s="14">
        <f>SUM(C7*(1-D7-E7))</f>
      </c>
      <c r="G7" s="13"/>
      <c r="H7" s="13"/>
      <c r="I7" s="13"/>
      <c r="J7" s="13"/>
      <c r="K7" s="95"/>
      <c r="L7" s="50"/>
      <c r="M7" s="52"/>
      <c r="N7" s="13"/>
      <c r="O7" s="92">
        <f>SUM(Q7/R7)</f>
      </c>
      <c r="P7" s="13"/>
      <c r="Q7" s="13">
        <f>'总表（阶段盈亏）'!H6</f>
      </c>
      <c r="R7" s="94">
        <v>0.08</v>
      </c>
      <c r="S7" s="49">
        <v>1.91</v>
      </c>
      <c r="T7" s="13">
        <f>SUM(O7*S7)</f>
      </c>
      <c r="U7" s="94">
        <f>SUM(S7/R7/C7)</f>
      </c>
      <c r="V7" s="93">
        <f>SUM(T7/Q7)</f>
      </c>
      <c r="W7" s="93">
        <f>T7/7</f>
      </c>
      <c r="X7" s="50"/>
      <c r="Y7" s="13"/>
      <c r="Z7" s="13"/>
      <c r="AA7" s="49"/>
      <c r="AB7" s="13"/>
      <c r="AC7" s="13"/>
      <c r="AD7" s="13"/>
    </row>
    <row customHeight="true" ht="17" r="8">
      <c r="A8" s="13" t="str">
        <v>第二阶段</v>
      </c>
      <c r="B8" s="48"/>
      <c r="C8" s="13">
        <v>85.99</v>
      </c>
      <c r="D8" s="51">
        <v>0.2</v>
      </c>
      <c r="E8" s="16">
        <v>0</v>
      </c>
      <c r="F8" s="14">
        <f>SUM(C8*(1-D8-E8))</f>
      </c>
      <c r="G8" s="13"/>
      <c r="H8" s="13"/>
      <c r="I8" s="13"/>
      <c r="J8" s="13"/>
      <c r="K8" s="13"/>
      <c r="L8" s="50"/>
      <c r="M8" s="52"/>
      <c r="N8" s="13"/>
      <c r="O8" s="92">
        <f>SUM(Q8/R8)</f>
      </c>
      <c r="P8" s="13"/>
      <c r="Q8" s="13">
        <f>'总表（阶段盈亏）'!H7</f>
      </c>
      <c r="R8" s="94">
        <v>0.085</v>
      </c>
      <c r="S8" s="49">
        <v>1.87</v>
      </c>
      <c r="T8" s="13">
        <f>SUM(O8*S8)</f>
      </c>
      <c r="U8" s="94">
        <f>SUM(S8/R8/C8)</f>
      </c>
      <c r="V8" s="93">
        <f>SUM(T8/Q8)</f>
      </c>
      <c r="W8" s="93">
        <f>T8/7</f>
      </c>
      <c r="X8" s="50"/>
      <c r="Y8" s="13"/>
      <c r="Z8" s="13"/>
      <c r="AA8" s="49"/>
      <c r="AB8" s="13"/>
      <c r="AC8" s="13"/>
      <c r="AD8" s="13"/>
    </row>
    <row customHeight="true" ht="17" r="9">
      <c r="A9" s="13"/>
      <c r="B9" s="48"/>
      <c r="C9" s="13">
        <v>85.99</v>
      </c>
      <c r="D9" s="51">
        <v>0.2</v>
      </c>
      <c r="E9" s="16">
        <v>0</v>
      </c>
      <c r="F9" s="14">
        <f>SUM(C9*(1-D9-E9))</f>
      </c>
      <c r="G9" s="13"/>
      <c r="H9" s="13"/>
      <c r="I9" s="13"/>
      <c r="J9" s="13"/>
      <c r="K9" s="13"/>
      <c r="L9" s="50"/>
      <c r="M9" s="52"/>
      <c r="N9" s="13"/>
      <c r="O9" s="92">
        <f>SUM(Q9/R9)</f>
      </c>
      <c r="P9" s="13"/>
      <c r="Q9" s="13">
        <f>'总表（阶段盈亏）'!H8</f>
      </c>
      <c r="R9" s="94">
        <v>0.085</v>
      </c>
      <c r="S9" s="49">
        <v>1.87</v>
      </c>
      <c r="T9" s="13">
        <f>SUM(O9*S9)</f>
      </c>
      <c r="U9" s="94">
        <f>SUM(S9/R9/C9)</f>
      </c>
      <c r="V9" s="93">
        <f>SUM(T9/Q9)</f>
      </c>
      <c r="W9" s="93">
        <f>T9/7</f>
      </c>
      <c r="X9" s="50"/>
      <c r="Y9" s="13"/>
      <c r="Z9" s="13"/>
      <c r="AA9" s="49"/>
      <c r="AB9" s="13"/>
      <c r="AC9" s="13"/>
      <c r="AD9" s="13"/>
    </row>
    <row customHeight="true" ht="17" r="10">
      <c r="A10" s="13"/>
      <c r="B10" s="48"/>
      <c r="C10" s="13">
        <v>85.99</v>
      </c>
      <c r="D10" s="51">
        <v>0.2</v>
      </c>
      <c r="E10" s="16">
        <v>0</v>
      </c>
      <c r="F10" s="14">
        <f>SUM(C10*(1-D10-E10))</f>
      </c>
      <c r="G10" s="13"/>
      <c r="H10" s="13"/>
      <c r="I10" s="13"/>
      <c r="J10" s="13"/>
      <c r="K10" s="13"/>
      <c r="L10" s="50"/>
      <c r="M10" s="52"/>
      <c r="N10" s="13"/>
      <c r="O10" s="92">
        <f>SUM(Q10/R10)</f>
      </c>
      <c r="P10" s="13"/>
      <c r="Q10" s="13">
        <f>'总表（阶段盈亏）'!H9</f>
      </c>
      <c r="R10" s="94">
        <v>0.085</v>
      </c>
      <c r="S10" s="49">
        <v>1.87</v>
      </c>
      <c r="T10" s="13">
        <f>SUM(O10*S10)</f>
      </c>
      <c r="U10" s="94">
        <f>SUM(S10/R10/C10)</f>
      </c>
      <c r="V10" s="93">
        <f>SUM(T10/Q10)</f>
      </c>
      <c r="W10" s="93">
        <f>T10/7</f>
      </c>
      <c r="X10" s="50"/>
      <c r="Y10" s="13"/>
      <c r="Z10" s="13"/>
      <c r="AA10" s="49"/>
      <c r="AB10" s="13"/>
      <c r="AC10" s="13"/>
      <c r="AD10" s="13"/>
    </row>
    <row customHeight="true" ht="17" r="11">
      <c r="A11" s="13"/>
      <c r="B11" s="48"/>
      <c r="C11" s="13">
        <v>85.99</v>
      </c>
      <c r="D11" s="51">
        <v>0.2</v>
      </c>
      <c r="E11" s="16">
        <v>0</v>
      </c>
      <c r="F11" s="14">
        <f>SUM(C11*(1-D11-E11))</f>
      </c>
      <c r="G11" s="13"/>
      <c r="H11" s="13"/>
      <c r="I11" s="13"/>
      <c r="J11" s="13"/>
      <c r="K11" s="13"/>
      <c r="L11" s="50"/>
      <c r="M11" s="52"/>
      <c r="N11" s="13"/>
      <c r="O11" s="92">
        <f>SUM(Q11/R11)</f>
      </c>
      <c r="P11" s="13"/>
      <c r="Q11" s="13">
        <f>'总表（阶段盈亏）'!H10</f>
      </c>
      <c r="R11" s="94">
        <v>0.085</v>
      </c>
      <c r="S11" s="49">
        <v>1.87</v>
      </c>
      <c r="T11" s="13">
        <f>SUM(O11*S11)</f>
      </c>
      <c r="U11" s="94">
        <f>SUM(S11/R11/C11)</f>
      </c>
      <c r="V11" s="93">
        <f>SUM(T11/Q11)</f>
      </c>
      <c r="W11" s="93">
        <f>T11/7</f>
      </c>
      <c r="X11" s="50"/>
      <c r="Y11" s="13"/>
      <c r="Z11" s="13"/>
      <c r="AA11" s="49"/>
      <c r="AB11" s="13"/>
      <c r="AC11" s="13"/>
      <c r="AD11" s="13"/>
    </row>
    <row customHeight="true" ht="17" r="12">
      <c r="A12" s="13" t="str">
        <v>第三阶段</v>
      </c>
      <c r="B12" s="48"/>
      <c r="C12" s="13">
        <v>85.99</v>
      </c>
      <c r="D12" s="51">
        <v>0.1</v>
      </c>
      <c r="E12" s="16">
        <v>0</v>
      </c>
      <c r="F12" s="14">
        <f>SUM(C12*(1-D12-E12))</f>
      </c>
      <c r="G12" s="13"/>
      <c r="H12" s="13"/>
      <c r="I12" s="13"/>
      <c r="J12" s="13"/>
      <c r="K12" s="13"/>
      <c r="L12" s="50"/>
      <c r="M12" s="52"/>
      <c r="N12" s="13"/>
      <c r="O12" s="92">
        <f>SUM(Q12/R12)</f>
      </c>
      <c r="P12" s="13"/>
      <c r="Q12" s="13">
        <f>'总表（阶段盈亏）'!H11</f>
      </c>
      <c r="R12" s="94">
        <v>0.09</v>
      </c>
      <c r="S12" s="49">
        <v>1.84</v>
      </c>
      <c r="T12" s="13">
        <f>SUM(O12*S12)</f>
      </c>
      <c r="U12" s="94">
        <f>SUM(S12/R12/C12)</f>
      </c>
      <c r="V12" s="93">
        <f>SUM(T12/Q12)</f>
      </c>
      <c r="W12" s="93">
        <f>T12/7</f>
      </c>
      <c r="X12" s="50"/>
      <c r="Y12" s="13"/>
      <c r="Z12" s="13"/>
      <c r="AA12" s="49"/>
      <c r="AB12" s="13"/>
      <c r="AC12" s="13"/>
      <c r="AD12" s="13"/>
    </row>
    <row customHeight="true" ht="17" r="13">
      <c r="A13" s="13"/>
      <c r="B13" s="48"/>
      <c r="C13" s="13">
        <v>85.99</v>
      </c>
      <c r="D13" s="51">
        <v>0.1</v>
      </c>
      <c r="E13" s="16">
        <v>0</v>
      </c>
      <c r="F13" s="14">
        <f>SUM(C13*(1-D13-E13))</f>
      </c>
      <c r="G13" s="13"/>
      <c r="H13" s="13"/>
      <c r="I13" s="13"/>
      <c r="J13" s="13"/>
      <c r="K13" s="13"/>
      <c r="L13" s="50"/>
      <c r="M13" s="52"/>
      <c r="N13" s="13"/>
      <c r="O13" s="92">
        <f>SUM(Q13/R13)</f>
      </c>
      <c r="P13" s="13"/>
      <c r="Q13" s="13">
        <f>'总表（阶段盈亏）'!H12</f>
      </c>
      <c r="R13" s="94">
        <v>0.09</v>
      </c>
      <c r="S13" s="49">
        <v>1.84</v>
      </c>
      <c r="T13" s="13">
        <f>SUM(O13*S13)</f>
      </c>
      <c r="U13" s="94">
        <f>SUM(S13/R13/C13)</f>
      </c>
      <c r="V13" s="93">
        <f>SUM(T13/Q13)</f>
      </c>
      <c r="W13" s="93">
        <f>T13/7</f>
      </c>
      <c r="X13" s="50"/>
      <c r="Y13" s="13"/>
      <c r="Z13" s="13"/>
      <c r="AA13" s="49"/>
      <c r="AB13" s="13"/>
      <c r="AC13" s="13"/>
      <c r="AD13" s="13"/>
    </row>
    <row customHeight="true" ht="17" r="14">
      <c r="A14" s="13"/>
      <c r="B14" s="48"/>
      <c r="C14" s="13">
        <v>85.99</v>
      </c>
      <c r="D14" s="51">
        <v>0.1</v>
      </c>
      <c r="E14" s="16">
        <v>0</v>
      </c>
      <c r="F14" s="14">
        <f>SUM(C14*(1-D14-E14))</f>
      </c>
      <c r="G14" s="13"/>
      <c r="H14" s="13"/>
      <c r="I14" s="13"/>
      <c r="J14" s="13"/>
      <c r="K14" s="13"/>
      <c r="L14" s="50"/>
      <c r="M14" s="52"/>
      <c r="N14" s="13"/>
      <c r="O14" s="92">
        <f>SUM(Q14/R14)</f>
      </c>
      <c r="P14" s="13"/>
      <c r="Q14" s="13">
        <f>'总表（阶段盈亏）'!H13</f>
      </c>
      <c r="R14" s="94">
        <v>0.09</v>
      </c>
      <c r="S14" s="49">
        <v>1.84</v>
      </c>
      <c r="T14" s="13">
        <f>SUM(O14*S14)</f>
      </c>
      <c r="U14" s="94">
        <f>SUM(S14/R14/C14)</f>
      </c>
      <c r="V14" s="93">
        <f>SUM(T14/Q14)</f>
      </c>
      <c r="W14" s="93">
        <f>T14/7</f>
      </c>
      <c r="X14" s="50"/>
      <c r="Y14" s="13"/>
      <c r="Z14" s="13"/>
      <c r="AA14" s="49"/>
      <c r="AB14" s="13"/>
      <c r="AC14" s="13"/>
      <c r="AD14" s="13"/>
    </row>
    <row customHeight="true" ht="17" r="15">
      <c r="A15" s="13"/>
      <c r="B15" s="48"/>
      <c r="C15" s="13">
        <v>85.99</v>
      </c>
      <c r="D15" s="51">
        <v>0.1</v>
      </c>
      <c r="E15" s="16">
        <v>0</v>
      </c>
      <c r="F15" s="14">
        <f>SUM(C15*(1-D15-E15))</f>
      </c>
      <c r="G15" s="13"/>
      <c r="H15" s="13"/>
      <c r="I15" s="13"/>
      <c r="J15" s="13"/>
      <c r="K15" s="13"/>
      <c r="L15" s="50"/>
      <c r="M15" s="52"/>
      <c r="N15" s="13"/>
      <c r="O15" s="92">
        <f>SUM(Q15/R15)</f>
      </c>
      <c r="P15" s="13"/>
      <c r="Q15" s="13">
        <f>'总表（阶段盈亏）'!H14</f>
      </c>
      <c r="R15" s="94">
        <v>0.09</v>
      </c>
      <c r="S15" s="49">
        <v>1.84</v>
      </c>
      <c r="T15" s="13">
        <f>SUM(O15*S15)</f>
      </c>
      <c r="U15" s="94">
        <f>SUM(S15/R15/C15)</f>
      </c>
      <c r="V15" s="93">
        <f>SUM(T15/Q15)</f>
      </c>
      <c r="W15" s="93">
        <f>T15/7</f>
      </c>
      <c r="X15" s="50"/>
      <c r="Y15" s="13"/>
      <c r="Z15" s="13"/>
      <c r="AA15" s="49"/>
      <c r="AB15" s="13"/>
      <c r="AC15" s="13"/>
      <c r="AD15" s="13"/>
    </row>
    <row customHeight="true" ht="17" r="16">
      <c r="A16" s="13" t="str">
        <v>第四阶段</v>
      </c>
      <c r="B16" s="48"/>
      <c r="C16" s="13">
        <v>79.99</v>
      </c>
      <c r="D16" s="51">
        <v>0</v>
      </c>
      <c r="E16" s="16">
        <v>0</v>
      </c>
      <c r="F16" s="14">
        <f>SUM(C16*(1-D16-E16))</f>
      </c>
      <c r="G16" s="13"/>
      <c r="H16" s="13"/>
      <c r="I16" s="13"/>
      <c r="J16" s="13"/>
      <c r="K16" s="13"/>
      <c r="L16" s="50"/>
      <c r="M16" s="52"/>
      <c r="N16" s="13"/>
      <c r="O16" s="92">
        <f>SUM(Q16/R16)</f>
      </c>
      <c r="P16" s="13"/>
      <c r="Q16" s="13">
        <f>'总表（阶段盈亏）'!H15</f>
      </c>
      <c r="R16" s="94">
        <v>0.085</v>
      </c>
      <c r="S16" s="49">
        <v>1.8</v>
      </c>
      <c r="T16" s="13">
        <f>SUM(O16*S16)</f>
      </c>
      <c r="U16" s="94">
        <f>SUM(S16/R16/C16)</f>
      </c>
      <c r="V16" s="93">
        <f>SUM(T16/Q16)</f>
      </c>
      <c r="W16" s="93">
        <f>T16/7</f>
      </c>
      <c r="X16" s="50"/>
      <c r="Y16" s="13"/>
      <c r="Z16" s="13"/>
      <c r="AA16" s="49"/>
      <c r="AB16" s="13"/>
      <c r="AC16" s="13"/>
      <c r="AD16" s="13"/>
    </row>
    <row customHeight="true" ht="17" r="17">
      <c r="A17" s="13"/>
      <c r="B17" s="48"/>
      <c r="C17" s="13">
        <v>79.99</v>
      </c>
      <c r="D17" s="51">
        <v>0</v>
      </c>
      <c r="E17" s="16">
        <v>0</v>
      </c>
      <c r="F17" s="14">
        <f>SUM(C17*(1-D17-E17))</f>
      </c>
      <c r="G17" s="13"/>
      <c r="H17" s="13"/>
      <c r="I17" s="13"/>
      <c r="J17" s="13"/>
      <c r="K17" s="13"/>
      <c r="L17" s="50"/>
      <c r="M17" s="52"/>
      <c r="N17" s="13"/>
      <c r="O17" s="92">
        <f>SUM(Q17/R17)</f>
      </c>
      <c r="P17" s="13"/>
      <c r="Q17" s="13">
        <f>'总表（阶段盈亏）'!H16</f>
      </c>
      <c r="R17" s="94">
        <v>0.085</v>
      </c>
      <c r="S17" s="49">
        <v>1.8</v>
      </c>
      <c r="T17" s="13">
        <f>SUM(O17*S17)</f>
      </c>
      <c r="U17" s="94">
        <f>SUM(S17/R17/C17)</f>
      </c>
      <c r="V17" s="93">
        <f>SUM(T17/Q17)</f>
      </c>
      <c r="W17" s="93">
        <f>T17/7</f>
      </c>
      <c r="X17" s="50"/>
      <c r="Y17" s="13"/>
      <c r="Z17" s="13"/>
      <c r="AA17" s="49"/>
      <c r="AB17" s="13"/>
      <c r="AC17" s="13"/>
      <c r="AD17" s="13"/>
    </row>
    <row customHeight="true" ht="17" r="18">
      <c r="A18" s="13"/>
      <c r="B18" s="48"/>
      <c r="C18" s="13">
        <v>79.99</v>
      </c>
      <c r="D18" s="51">
        <v>0</v>
      </c>
      <c r="E18" s="16">
        <v>0</v>
      </c>
      <c r="F18" s="14">
        <f>SUM(C18*(1-D18-E18))</f>
      </c>
      <c r="G18" s="13"/>
      <c r="H18" s="13"/>
      <c r="I18" s="13"/>
      <c r="J18" s="13"/>
      <c r="K18" s="13"/>
      <c r="L18" s="50"/>
      <c r="M18" s="52"/>
      <c r="N18" s="13"/>
      <c r="O18" s="92">
        <f>SUM(Q18/R18)</f>
      </c>
      <c r="P18" s="13"/>
      <c r="Q18" s="13">
        <f>'总表（阶段盈亏）'!H17</f>
      </c>
      <c r="R18" s="94">
        <v>0.085</v>
      </c>
      <c r="S18" s="49">
        <v>1.8</v>
      </c>
      <c r="T18" s="13">
        <f>SUM(O18*S18)</f>
      </c>
      <c r="U18" s="94">
        <f>SUM(S18/R18/C18)</f>
      </c>
      <c r="V18" s="93">
        <f>SUM(T18/Q18)</f>
      </c>
      <c r="W18" s="93">
        <f>T18/7</f>
      </c>
      <c r="X18" s="50"/>
      <c r="Y18" s="13"/>
      <c r="Z18" s="13"/>
      <c r="AA18" s="49"/>
      <c r="AB18" s="13"/>
      <c r="AC18" s="13"/>
      <c r="AD18" s="13"/>
    </row>
    <row customHeight="true" ht="17" r="19">
      <c r="A19" s="13"/>
      <c r="B19" s="48"/>
      <c r="C19" s="13">
        <v>79.99</v>
      </c>
      <c r="D19" s="51">
        <v>0</v>
      </c>
      <c r="E19" s="16">
        <v>0</v>
      </c>
      <c r="F19" s="14">
        <f>SUM(C19*(1-D19-E19))</f>
      </c>
      <c r="G19" s="13"/>
      <c r="H19" s="13"/>
      <c r="I19" s="13"/>
      <c r="J19" s="13"/>
      <c r="K19" s="13"/>
      <c r="L19" s="50"/>
      <c r="M19" s="52"/>
      <c r="N19" s="13"/>
      <c r="O19" s="92">
        <f>SUM(Q19/R19)</f>
      </c>
      <c r="P19" s="13"/>
      <c r="Q19" s="13">
        <f>'总表（阶段盈亏）'!H18</f>
      </c>
      <c r="R19" s="94">
        <v>0.085</v>
      </c>
      <c r="S19" s="49">
        <v>1.8</v>
      </c>
      <c r="T19" s="13">
        <f>SUM(O19*S19)</f>
      </c>
      <c r="U19" s="94">
        <f>SUM(S19/R19/C19)</f>
      </c>
      <c r="V19" s="93">
        <f>SUM(T19/Q19)</f>
      </c>
      <c r="W19" s="93">
        <f>T19/7</f>
      </c>
      <c r="X19" s="50"/>
      <c r="Y19" s="13"/>
      <c r="Z19" s="13"/>
      <c r="AA19" s="49"/>
      <c r="AB19" s="13"/>
      <c r="AC19" s="13"/>
      <c r="AD19" s="13"/>
    </row>
    <row customHeight="true" ht="17" r="20">
      <c r="A20" s="13" t="str">
        <v>第五阶段</v>
      </c>
      <c r="B20" s="48"/>
      <c r="C20" s="13">
        <v>79.99</v>
      </c>
      <c r="D20" s="51">
        <v>0</v>
      </c>
      <c r="E20" s="16">
        <v>0</v>
      </c>
      <c r="F20" s="14">
        <f>SUM(C20*(1-D20-E20))</f>
      </c>
      <c r="G20" s="13"/>
      <c r="H20" s="13"/>
      <c r="I20" s="13"/>
      <c r="J20" s="13"/>
      <c r="K20" s="13"/>
      <c r="L20" s="50"/>
      <c r="M20" s="52"/>
      <c r="N20" s="13"/>
      <c r="O20" s="92">
        <f>SUM(Q20/R20)</f>
      </c>
      <c r="P20" s="13"/>
      <c r="Q20" s="13">
        <f>'总表（阶段盈亏）'!H19</f>
      </c>
      <c r="R20" s="94">
        <v>0.085</v>
      </c>
      <c r="S20" s="49">
        <v>1.8</v>
      </c>
      <c r="T20" s="13">
        <f>SUM(O20*S20)</f>
      </c>
      <c r="U20" s="94">
        <f>SUM(S20/R20/C20)</f>
      </c>
      <c r="V20" s="93">
        <f>SUM(T20/Q20)</f>
      </c>
      <c r="W20" s="93">
        <f>T20/7</f>
      </c>
      <c r="X20" s="50"/>
      <c r="Y20" s="13"/>
      <c r="Z20" s="13"/>
      <c r="AA20" s="49"/>
      <c r="AB20" s="13"/>
      <c r="AC20" s="13"/>
      <c r="AD20" s="13"/>
    </row>
    <row customHeight="true" ht="17" r="21">
      <c r="A21" s="13"/>
      <c r="B21" s="48"/>
      <c r="C21" s="13">
        <v>79.99</v>
      </c>
      <c r="D21" s="51">
        <v>0</v>
      </c>
      <c r="E21" s="16">
        <v>0</v>
      </c>
      <c r="F21" s="14">
        <f>SUM(C21*(1-D21-E21))</f>
      </c>
      <c r="G21" s="13"/>
      <c r="H21" s="13"/>
      <c r="I21" s="13"/>
      <c r="J21" s="13"/>
      <c r="K21" s="13"/>
      <c r="L21" s="50"/>
      <c r="M21" s="52"/>
      <c r="N21" s="13"/>
      <c r="O21" s="92">
        <f>SUM(Q21/R21)</f>
      </c>
      <c r="P21" s="13"/>
      <c r="Q21" s="13">
        <f>'总表（阶段盈亏）'!H20</f>
      </c>
      <c r="R21" s="94">
        <v>0.085</v>
      </c>
      <c r="S21" s="49">
        <v>1.8</v>
      </c>
      <c r="T21" s="13">
        <f>SUM(O21*S21)</f>
      </c>
      <c r="U21" s="94">
        <f>SUM(S21/R21/C21)</f>
      </c>
      <c r="V21" s="93">
        <f>SUM(T21/Q21)</f>
      </c>
      <c r="W21" s="93">
        <f>T21/7</f>
      </c>
      <c r="X21" s="50"/>
      <c r="Y21" s="13"/>
      <c r="Z21" s="13"/>
      <c r="AA21" s="49"/>
      <c r="AB21" s="13"/>
      <c r="AC21" s="13"/>
      <c r="AD21" s="13"/>
    </row>
    <row customHeight="true" ht="17" r="22">
      <c r="A22" s="13"/>
      <c r="B22" s="48"/>
      <c r="C22" s="13">
        <v>79.99</v>
      </c>
      <c r="D22" s="51">
        <v>0</v>
      </c>
      <c r="E22" s="16">
        <v>0</v>
      </c>
      <c r="F22" s="14">
        <f>SUM(C22*(1-D22-E22))</f>
      </c>
      <c r="G22" s="13"/>
      <c r="H22" s="13"/>
      <c r="I22" s="13"/>
      <c r="J22" s="13"/>
      <c r="K22" s="13"/>
      <c r="L22" s="50"/>
      <c r="M22" s="52"/>
      <c r="N22" s="13"/>
      <c r="O22" s="92">
        <f>SUM(Q22/R22)</f>
      </c>
      <c r="P22" s="13"/>
      <c r="Q22" s="13">
        <f>'总表（阶段盈亏）'!H21</f>
      </c>
      <c r="R22" s="94">
        <v>0.085</v>
      </c>
      <c r="S22" s="49">
        <v>1.8</v>
      </c>
      <c r="T22" s="13">
        <f>SUM(O22*S22)</f>
      </c>
      <c r="U22" s="94">
        <f>SUM(S22/R22/C22)</f>
      </c>
      <c r="V22" s="93">
        <f>SUM(T22/Q22)</f>
      </c>
      <c r="W22" s="93">
        <f>T22/7</f>
      </c>
      <c r="X22" s="50"/>
      <c r="Y22" s="13"/>
      <c r="Z22" s="13"/>
      <c r="AA22" s="49"/>
      <c r="AB22" s="13"/>
      <c r="AC22" s="13"/>
      <c r="AD22" s="13"/>
    </row>
    <row customHeight="true" ht="17" r="23">
      <c r="A23" s="13"/>
      <c r="B23" s="48"/>
      <c r="C23" s="13">
        <v>79.99</v>
      </c>
      <c r="D23" s="51">
        <v>0</v>
      </c>
      <c r="E23" s="16">
        <v>0</v>
      </c>
      <c r="F23" s="14">
        <f>SUM(C23*(1-D23-E23))</f>
      </c>
      <c r="G23" s="13"/>
      <c r="H23" s="13"/>
      <c r="I23" s="13"/>
      <c r="J23" s="13"/>
      <c r="K23" s="13"/>
      <c r="L23" s="50"/>
      <c r="M23" s="52"/>
      <c r="N23" s="13"/>
      <c r="O23" s="92">
        <f>SUM(Q23/R23)</f>
      </c>
      <c r="P23" s="13"/>
      <c r="Q23" s="13">
        <f>'总表（阶段盈亏）'!H22</f>
      </c>
      <c r="R23" s="94">
        <v>0.085</v>
      </c>
      <c r="S23" s="49">
        <v>1.8</v>
      </c>
      <c r="T23" s="13">
        <f>SUM(O23*S23)</f>
      </c>
      <c r="U23" s="94">
        <f>SUM(S23/R23/C23)</f>
      </c>
      <c r="V23" s="93">
        <f>SUM(T23/Q23)</f>
      </c>
      <c r="W23" s="93">
        <f>T23/7</f>
      </c>
      <c r="X23" s="50"/>
      <c r="Y23" s="13"/>
      <c r="Z23" s="13"/>
      <c r="AA23" s="49"/>
      <c r="AB23" s="13"/>
      <c r="AC23" s="13"/>
      <c r="AD23" s="13"/>
    </row>
    <row customHeight="true" ht="17" r="24">
      <c r="A24" s="13" t="str">
        <v>第六阶段</v>
      </c>
      <c r="B24" s="48"/>
      <c r="C24" s="13">
        <v>79.99</v>
      </c>
      <c r="D24" s="51">
        <v>0</v>
      </c>
      <c r="E24" s="16">
        <v>0</v>
      </c>
      <c r="F24" s="14">
        <f>SUM(C24*(1-D24-E24))</f>
      </c>
      <c r="G24" s="13"/>
      <c r="H24" s="13"/>
      <c r="I24" s="13"/>
      <c r="J24" s="13"/>
      <c r="K24" s="13"/>
      <c r="L24" s="50"/>
      <c r="M24" s="52"/>
      <c r="N24" s="13"/>
      <c r="O24" s="92">
        <f>SUM(Q24/R24)</f>
      </c>
      <c r="P24" s="13"/>
      <c r="Q24" s="13">
        <f>'总表（阶段盈亏）'!H23</f>
      </c>
      <c r="R24" s="94">
        <v>0.085</v>
      </c>
      <c r="S24" s="49">
        <v>1.8</v>
      </c>
      <c r="T24" s="13">
        <f>SUM(O24*S24)</f>
      </c>
      <c r="U24" s="94">
        <f>SUM(S24/R24/C24)</f>
      </c>
      <c r="V24" s="93">
        <f>SUM(T24/Q24)</f>
      </c>
      <c r="W24" s="93">
        <f>T24/7</f>
      </c>
      <c r="X24" s="50"/>
      <c r="Y24" s="13"/>
      <c r="Z24" s="13"/>
      <c r="AA24" s="49"/>
      <c r="AB24" s="13"/>
      <c r="AC24" s="13"/>
      <c r="AD24" s="13"/>
    </row>
    <row customHeight="true" ht="17" r="25">
      <c r="A25" s="13"/>
      <c r="B25" s="48"/>
      <c r="C25" s="13">
        <v>79.99</v>
      </c>
      <c r="D25" s="51">
        <v>0</v>
      </c>
      <c r="E25" s="16">
        <v>0</v>
      </c>
      <c r="F25" s="14">
        <f>SUM(C25*(1-D25-E25))</f>
      </c>
      <c r="G25" s="13"/>
      <c r="H25" s="13"/>
      <c r="I25" s="13"/>
      <c r="J25" s="13"/>
      <c r="K25" s="13"/>
      <c r="L25" s="50"/>
      <c r="M25" s="52"/>
      <c r="N25" s="13"/>
      <c r="O25" s="92">
        <f>SUM(Q25/R25)</f>
      </c>
      <c r="P25" s="13"/>
      <c r="Q25" s="13">
        <f>'总表（阶段盈亏）'!H24</f>
      </c>
      <c r="R25" s="94">
        <v>0.085</v>
      </c>
      <c r="S25" s="49">
        <v>1.8</v>
      </c>
      <c r="T25" s="13">
        <f>SUM(O25*S25)</f>
      </c>
      <c r="U25" s="94">
        <f>SUM(S25/R25/C25)</f>
      </c>
      <c r="V25" s="93">
        <f>SUM(T25/Q25)</f>
      </c>
      <c r="W25" s="93">
        <f>T25/7</f>
      </c>
      <c r="X25" s="50"/>
      <c r="Y25" s="13"/>
      <c r="Z25" s="13"/>
      <c r="AA25" s="49"/>
      <c r="AB25" s="13"/>
      <c r="AC25" s="13"/>
      <c r="AD25" s="13"/>
    </row>
    <row customHeight="true" ht="17" r="26">
      <c r="A26" s="13"/>
      <c r="B26" s="48"/>
      <c r="C26" s="13">
        <v>79.99</v>
      </c>
      <c r="D26" s="51">
        <v>0</v>
      </c>
      <c r="E26" s="16">
        <v>0</v>
      </c>
      <c r="F26" s="14">
        <f>SUM(C26*(1-D26-E26))</f>
      </c>
      <c r="G26" s="13"/>
      <c r="H26" s="13"/>
      <c r="I26" s="13"/>
      <c r="J26" s="13"/>
      <c r="K26" s="13"/>
      <c r="L26" s="50"/>
      <c r="M26" s="52"/>
      <c r="N26" s="13"/>
      <c r="O26" s="92">
        <f>SUM(Q26/R26)</f>
      </c>
      <c r="P26" s="13"/>
      <c r="Q26" s="13">
        <f>'总表（阶段盈亏）'!H25</f>
      </c>
      <c r="R26" s="94">
        <v>0.085</v>
      </c>
      <c r="S26" s="49">
        <v>1.8</v>
      </c>
      <c r="T26" s="13">
        <f>SUM(O26*S26)</f>
      </c>
      <c r="U26" s="94">
        <f>SUM(S26/R26/C26)</f>
      </c>
      <c r="V26" s="93">
        <f>SUM(T26/Q26)</f>
      </c>
      <c r="W26" s="93">
        <f>T26/7</f>
      </c>
      <c r="X26" s="50"/>
      <c r="Y26" s="13"/>
      <c r="Z26" s="13"/>
      <c r="AA26" s="49"/>
      <c r="AB26" s="13"/>
      <c r="AC26" s="13"/>
      <c r="AD26" s="13"/>
    </row>
    <row customHeight="true" ht="17" r="27">
      <c r="A27" s="13"/>
      <c r="B27" s="48"/>
      <c r="C27" s="13">
        <v>79.99</v>
      </c>
      <c r="D27" s="51">
        <v>0</v>
      </c>
      <c r="E27" s="16">
        <v>0</v>
      </c>
      <c r="F27" s="14">
        <f>SUM(C27*(1-D27-E27))</f>
      </c>
      <c r="G27" s="13"/>
      <c r="H27" s="13"/>
      <c r="I27" s="13"/>
      <c r="J27" s="13"/>
      <c r="K27" s="13"/>
      <c r="L27" s="50"/>
      <c r="M27" s="52"/>
      <c r="N27" s="13"/>
      <c r="O27" s="92">
        <f>SUM(Q27/R27)</f>
      </c>
      <c r="P27" s="13"/>
      <c r="Q27" s="13">
        <f>'总表（阶段盈亏）'!H26</f>
      </c>
      <c r="R27" s="94">
        <v>0.085</v>
      </c>
      <c r="S27" s="49">
        <v>1.8</v>
      </c>
      <c r="T27" s="13">
        <f>SUM(O27*S27)</f>
      </c>
      <c r="U27" s="94">
        <f>SUM(S27/R27/C27)</f>
      </c>
      <c r="V27" s="93">
        <f>SUM(T27/Q27)</f>
      </c>
      <c r="W27" s="93">
        <f>T27/7</f>
      </c>
      <c r="X27" s="50"/>
      <c r="Y27" s="13"/>
      <c r="Z27" s="13"/>
      <c r="AA27" s="49"/>
      <c r="AB27" s="13"/>
      <c r="AC27" s="13"/>
      <c r="AD27" s="13"/>
    </row>
    <row customHeight="true" ht="17" r="28">
      <c r="A28" s="1"/>
      <c r="B28" s="1"/>
      <c r="C28" s="1"/>
      <c r="D28" s="1"/>
      <c r="E28" s="1"/>
      <c r="F28" s="1"/>
      <c r="G28" s="1"/>
      <c r="H28" s="1"/>
      <c r="I28" s="1"/>
      <c r="J28" s="1"/>
      <c r="K28" s="1"/>
      <c r="L28" s="1"/>
      <c r="M28" s="1"/>
      <c r="N28" s="1"/>
      <c r="O28" s="91"/>
      <c r="P28" s="1"/>
      <c r="Q28" s="1"/>
      <c r="R28" s="1"/>
      <c r="S28" s="1"/>
      <c r="T28" s="1"/>
      <c r="U28" s="1"/>
      <c r="V28" s="1"/>
      <c r="W28" s="1"/>
      <c r="X28" s="1"/>
      <c r="Y28" s="1"/>
      <c r="Z28" s="1"/>
      <c r="AA28" s="1"/>
      <c r="AB28" s="1"/>
      <c r="AC28" s="1"/>
      <c r="AD28" s="1"/>
    </row>
    <row customHeight="true" ht="17" r="29">
      <c r="A29" s="1" t="str">
        <v>广告真实数据</v>
      </c>
      <c r="B29" s="1"/>
      <c r="C29" s="1"/>
      <c r="D29" s="1"/>
      <c r="E29" s="1"/>
      <c r="F29" s="1"/>
      <c r="G29" s="1"/>
      <c r="H29" s="1"/>
      <c r="I29" s="1"/>
      <c r="J29" s="1"/>
      <c r="K29" s="1"/>
      <c r="L29" s="1"/>
      <c r="M29" s="1"/>
      <c r="N29" s="1"/>
      <c r="O29" s="91"/>
      <c r="P29" s="1"/>
      <c r="Q29" s="1"/>
      <c r="R29" s="1"/>
      <c r="S29" s="1"/>
      <c r="T29" s="1"/>
      <c r="U29" s="1"/>
      <c r="V29" s="1"/>
      <c r="W29" s="1"/>
      <c r="X29" s="1"/>
      <c r="Y29" s="1"/>
      <c r="Z29" s="1"/>
      <c r="AA29" s="1"/>
      <c r="AB29" s="1"/>
      <c r="AC29" s="1"/>
      <c r="AD29" s="1"/>
    </row>
    <row customHeight="true" ht="17" r="30">
      <c r="A30" s="99" t="str">
        <v>常规数据</v>
      </c>
      <c r="B30" s="99"/>
      <c r="C30" s="99"/>
      <c r="D30" s="99"/>
      <c r="E30" s="99"/>
      <c r="F30" s="99"/>
      <c r="G30" s="99"/>
      <c r="H30" s="99"/>
      <c r="I30" s="99"/>
      <c r="J30" s="99"/>
      <c r="K30" s="99"/>
      <c r="L30" s="99"/>
      <c r="M30" s="99"/>
      <c r="N30" s="98" t="str" xml:space="preserve">
        <v>          广告数据</v>
      </c>
      <c r="O30" s="100"/>
      <c r="P30" s="98"/>
      <c r="Q30" s="98"/>
      <c r="R30" s="98"/>
      <c r="S30" s="98"/>
      <c r="T30" s="98"/>
      <c r="U30" s="98"/>
      <c r="V30" s="98"/>
      <c r="W30" s="98"/>
      <c r="X30" s="1"/>
      <c r="Y30" s="1"/>
      <c r="Z30" s="1"/>
      <c r="AA30" s="1"/>
      <c r="AB30" s="102" t="str">
        <v>实时更新</v>
      </c>
      <c r="AC30" s="101" t="str">
        <v>操作备注</v>
      </c>
      <c r="AD30" s="101"/>
    </row>
    <row customHeight="true" ht="35" r="31">
      <c r="A31" s="117" t="str">
        <v>阶段</v>
      </c>
      <c r="B31" s="117" t="str">
        <v>周</v>
      </c>
      <c r="C31" s="117" t="str">
        <v>价格</v>
      </c>
      <c r="D31" s="109" t="str">
        <v>站内
coupon</v>
      </c>
      <c r="E31" s="109" t="str">
        <v>站内
code</v>
      </c>
      <c r="F31" s="109" t="str">
        <v>折后价</v>
      </c>
      <c r="G31" s="105" t="str">
        <v>新品
榜单</v>
      </c>
      <c r="H31" s="105" t="str">
        <v>小类目
排名</v>
      </c>
      <c r="I31" s="115" t="str">
        <v>总
销量</v>
      </c>
      <c r="J31" s="105" t="str">
        <v>总访
问量</v>
      </c>
      <c r="K31" s="115" t="str">
        <v>CVR</v>
      </c>
      <c r="L31" s="112" t="str">
        <v>评论
数量</v>
      </c>
      <c r="M31" s="110" t="str">
        <v>评分</v>
      </c>
      <c r="N31" s="106" t="str">
        <v>曝光量</v>
      </c>
      <c r="O31" s="103" t="str">
        <v>点击量</v>
      </c>
      <c r="P31" s="106" t="str">
        <v>CTR</v>
      </c>
      <c r="Q31" s="106" t="str">
        <v>广告单</v>
      </c>
      <c r="R31" s="111" t="str">
        <v>CVR</v>
      </c>
      <c r="S31" s="104" t="str">
        <v>平均
CPC</v>
      </c>
      <c r="T31" s="113" t="str">
        <v>花费</v>
      </c>
      <c r="U31" s="111" t="str">
        <v>ACOS</v>
      </c>
      <c r="V31" s="107" t="str">
        <v>CPA</v>
      </c>
      <c r="W31" s="104" t="str">
        <v>日均
广告费</v>
      </c>
      <c r="X31" s="120" t="str">
        <v>自然
访问</v>
      </c>
      <c r="Y31" s="119" t="str">
        <v>自然
订单</v>
      </c>
      <c r="Z31" s="118" t="str">
        <v>自然
单占比</v>
      </c>
      <c r="AA31" s="116" t="str">
        <v>最终
盈亏</v>
      </c>
      <c r="AB31" s="114" t="str">
        <v>Sif
质量分</v>
      </c>
      <c r="AC31" s="108" t="str">
        <v>运营调整</v>
      </c>
      <c r="AD31" s="108" t="str">
        <v>广告操作</v>
      </c>
    </row>
    <row customHeight="true" ht="22" r="32">
      <c r="A32" s="13" t="str">
        <v>第一阶段</v>
      </c>
      <c r="B32" s="96" t="str">
        <v>第1周</v>
      </c>
      <c r="C32" s="13"/>
      <c r="D32" s="51"/>
      <c r="E32" s="16"/>
      <c r="F32" s="14"/>
      <c r="G32" s="13"/>
      <c r="H32" s="13"/>
      <c r="I32" s="13"/>
      <c r="J32" s="13"/>
      <c r="K32" s="95"/>
      <c r="L32" s="97"/>
      <c r="M32" s="52"/>
      <c r="N32" s="13"/>
      <c r="O32" s="92"/>
      <c r="P32" s="13"/>
      <c r="Q32" s="13"/>
      <c r="R32" s="94"/>
      <c r="S32" s="49"/>
      <c r="T32" s="13"/>
      <c r="U32" s="94"/>
      <c r="V32" s="93"/>
      <c r="W32" s="93"/>
      <c r="X32" s="97"/>
      <c r="Y32" s="13"/>
      <c r="Z32" s="95"/>
      <c r="AA32" s="93"/>
      <c r="AB32" s="13"/>
      <c r="AC32" s="13"/>
      <c r="AD32" s="13"/>
    </row>
    <row customHeight="true" ht="22" r="33">
      <c r="A33" s="13"/>
      <c r="B33" s="96" t="str">
        <v>第2周</v>
      </c>
      <c r="C33" s="13"/>
      <c r="D33" s="51"/>
      <c r="E33" s="16"/>
      <c r="F33" s="14"/>
      <c r="G33" s="13"/>
      <c r="H33" s="13"/>
      <c r="I33" s="13"/>
      <c r="J33" s="13"/>
      <c r="K33" s="95"/>
      <c r="L33" s="97"/>
      <c r="M33" s="52"/>
      <c r="N33" s="13"/>
      <c r="O33" s="92"/>
      <c r="P33" s="13"/>
      <c r="Q33" s="13"/>
      <c r="R33" s="94"/>
      <c r="S33" s="49"/>
      <c r="T33" s="13"/>
      <c r="U33" s="94"/>
      <c r="V33" s="93"/>
      <c r="W33" s="93"/>
      <c r="X33" s="97"/>
      <c r="Y33" s="13"/>
      <c r="Z33" s="95"/>
      <c r="AA33" s="93"/>
      <c r="AB33" s="13"/>
      <c r="AC33" s="13"/>
      <c r="AD33" s="13"/>
    </row>
    <row customHeight="true" ht="22" r="34">
      <c r="A34" s="13"/>
      <c r="B34" s="96" t="str">
        <v>第3周</v>
      </c>
      <c r="C34" s="13"/>
      <c r="D34" s="51"/>
      <c r="E34" s="16"/>
      <c r="F34" s="14"/>
      <c r="G34" s="13"/>
      <c r="H34" s="13"/>
      <c r="I34" s="13"/>
      <c r="J34" s="13"/>
      <c r="K34" s="95"/>
      <c r="L34" s="97"/>
      <c r="M34" s="52"/>
      <c r="N34" s="13"/>
      <c r="O34" s="92"/>
      <c r="P34" s="13"/>
      <c r="Q34" s="13"/>
      <c r="R34" s="94"/>
      <c r="S34" s="49"/>
      <c r="T34" s="13"/>
      <c r="U34" s="94"/>
      <c r="V34" s="93"/>
      <c r="W34" s="93"/>
      <c r="X34" s="97"/>
      <c r="Y34" s="13"/>
      <c r="Z34" s="95"/>
      <c r="AA34" s="93"/>
      <c r="AB34" s="13"/>
      <c r="AC34" s="13"/>
      <c r="AD34" s="13"/>
    </row>
    <row customHeight="true" ht="22" r="35">
      <c r="A35" s="13"/>
      <c r="B35" s="96" t="str">
        <v>第4周</v>
      </c>
      <c r="C35" s="13"/>
      <c r="D35" s="51"/>
      <c r="E35" s="16"/>
      <c r="F35" s="14"/>
      <c r="G35" s="13"/>
      <c r="H35" s="13"/>
      <c r="I35" s="13"/>
      <c r="J35" s="13"/>
      <c r="K35" s="95"/>
      <c r="L35" s="50"/>
      <c r="M35" s="52"/>
      <c r="N35" s="13"/>
      <c r="O35" s="92"/>
      <c r="P35" s="13"/>
      <c r="Q35" s="13"/>
      <c r="R35" s="94"/>
      <c r="S35" s="49"/>
      <c r="T35" s="13"/>
      <c r="U35" s="94"/>
      <c r="V35" s="93"/>
      <c r="W35" s="93"/>
      <c r="X35" s="50"/>
      <c r="Y35" s="13"/>
      <c r="Z35" s="13"/>
      <c r="AA35" s="49"/>
      <c r="AB35" s="13"/>
      <c r="AC35" s="13"/>
      <c r="AD35" s="13"/>
    </row>
    <row customHeight="true" ht="17" r="36">
      <c r="A36" s="13" t="str">
        <v>第二阶段</v>
      </c>
      <c r="B36" s="96" t="str">
        <v>第5周</v>
      </c>
      <c r="C36" s="13"/>
      <c r="D36" s="51"/>
      <c r="E36" s="16"/>
      <c r="F36" s="14"/>
      <c r="G36" s="13"/>
      <c r="H36" s="13"/>
      <c r="I36" s="13"/>
      <c r="J36" s="13"/>
      <c r="K36" s="13"/>
      <c r="L36" s="50"/>
      <c r="M36" s="52"/>
      <c r="N36" s="13"/>
      <c r="O36" s="92"/>
      <c r="P36" s="13"/>
      <c r="Q36" s="13"/>
      <c r="R36" s="94"/>
      <c r="S36" s="49"/>
      <c r="T36" s="13"/>
      <c r="U36" s="94"/>
      <c r="V36" s="93"/>
      <c r="W36" s="93"/>
      <c r="X36" s="50"/>
      <c r="Y36" s="13"/>
      <c r="Z36" s="13"/>
      <c r="AA36" s="49"/>
      <c r="AB36" s="13"/>
      <c r="AC36" s="13"/>
      <c r="AD36" s="13"/>
    </row>
    <row customHeight="true" ht="17" r="37">
      <c r="A37" s="13"/>
      <c r="B37" s="96" t="str">
        <v>第6周</v>
      </c>
      <c r="C37" s="13"/>
      <c r="D37" s="51"/>
      <c r="E37" s="16"/>
      <c r="F37" s="14"/>
      <c r="G37" s="13"/>
      <c r="H37" s="13"/>
      <c r="I37" s="13"/>
      <c r="J37" s="13"/>
      <c r="K37" s="13"/>
      <c r="L37" s="50"/>
      <c r="M37" s="52"/>
      <c r="N37" s="13"/>
      <c r="O37" s="92"/>
      <c r="P37" s="13"/>
      <c r="Q37" s="13"/>
      <c r="R37" s="94"/>
      <c r="S37" s="49"/>
      <c r="T37" s="13"/>
      <c r="U37" s="94"/>
      <c r="V37" s="93"/>
      <c r="W37" s="93"/>
      <c r="X37" s="50"/>
      <c r="Y37" s="13"/>
      <c r="Z37" s="13"/>
      <c r="AA37" s="49"/>
      <c r="AB37" s="13"/>
      <c r="AC37" s="13"/>
      <c r="AD37" s="13"/>
    </row>
    <row customHeight="true" ht="17" r="38">
      <c r="A38" s="13"/>
      <c r="B38" s="96" t="str">
        <v>第7周</v>
      </c>
      <c r="C38" s="13"/>
      <c r="D38" s="51"/>
      <c r="E38" s="16"/>
      <c r="F38" s="14"/>
      <c r="G38" s="13"/>
      <c r="H38" s="13"/>
      <c r="I38" s="13"/>
      <c r="J38" s="13"/>
      <c r="K38" s="13"/>
      <c r="L38" s="50"/>
      <c r="M38" s="52"/>
      <c r="N38" s="13"/>
      <c r="O38" s="92"/>
      <c r="P38" s="13"/>
      <c r="Q38" s="13"/>
      <c r="R38" s="94"/>
      <c r="S38" s="49"/>
      <c r="T38" s="13"/>
      <c r="U38" s="94"/>
      <c r="V38" s="93"/>
      <c r="W38" s="93"/>
      <c r="X38" s="50"/>
      <c r="Y38" s="13"/>
      <c r="Z38" s="13"/>
      <c r="AA38" s="49"/>
      <c r="AB38" s="13"/>
      <c r="AC38" s="13"/>
      <c r="AD38" s="13"/>
    </row>
    <row customHeight="true" ht="17" r="39">
      <c r="A39" s="13"/>
      <c r="B39" s="96" t="str">
        <v>第8周</v>
      </c>
      <c r="C39" s="13"/>
      <c r="D39" s="51"/>
      <c r="E39" s="16"/>
      <c r="F39" s="14"/>
      <c r="G39" s="13"/>
      <c r="H39" s="13"/>
      <c r="I39" s="13"/>
      <c r="J39" s="13"/>
      <c r="K39" s="13"/>
      <c r="L39" s="50"/>
      <c r="M39" s="52"/>
      <c r="N39" s="13"/>
      <c r="O39" s="92"/>
      <c r="P39" s="13"/>
      <c r="Q39" s="13"/>
      <c r="R39" s="94"/>
      <c r="S39" s="49"/>
      <c r="T39" s="13"/>
      <c r="U39" s="94"/>
      <c r="V39" s="93"/>
      <c r="W39" s="93"/>
      <c r="X39" s="50"/>
      <c r="Y39" s="13"/>
      <c r="Z39" s="13"/>
      <c r="AA39" s="49"/>
      <c r="AB39" s="13"/>
      <c r="AC39" s="13"/>
      <c r="AD39" s="13"/>
    </row>
    <row customHeight="true" ht="17" r="40">
      <c r="A40" s="13" t="str">
        <v>第三阶段</v>
      </c>
      <c r="B40" s="96" t="str">
        <v>第9周</v>
      </c>
      <c r="C40" s="13"/>
      <c r="D40" s="51"/>
      <c r="E40" s="16"/>
      <c r="F40" s="14"/>
      <c r="G40" s="13"/>
      <c r="H40" s="13"/>
      <c r="I40" s="13"/>
      <c r="J40" s="13"/>
      <c r="K40" s="13"/>
      <c r="L40" s="50"/>
      <c r="M40" s="52"/>
      <c r="N40" s="13"/>
      <c r="O40" s="92"/>
      <c r="P40" s="13"/>
      <c r="Q40" s="13"/>
      <c r="R40" s="94"/>
      <c r="S40" s="49"/>
      <c r="T40" s="13"/>
      <c r="U40" s="94"/>
      <c r="V40" s="93"/>
      <c r="W40" s="93"/>
      <c r="X40" s="50"/>
      <c r="Y40" s="13"/>
      <c r="Z40" s="13"/>
      <c r="AA40" s="49"/>
      <c r="AB40" s="13"/>
      <c r="AC40" s="13"/>
      <c r="AD40" s="13"/>
    </row>
    <row customHeight="true" ht="17" r="41">
      <c r="A41" s="13"/>
      <c r="B41" s="96" t="str">
        <v>第10周</v>
      </c>
      <c r="C41" s="13"/>
      <c r="D41" s="51"/>
      <c r="E41" s="16"/>
      <c r="F41" s="14"/>
      <c r="G41" s="13"/>
      <c r="H41" s="13"/>
      <c r="I41" s="13"/>
      <c r="J41" s="13"/>
      <c r="K41" s="13"/>
      <c r="L41" s="50"/>
      <c r="M41" s="52"/>
      <c r="N41" s="13"/>
      <c r="O41" s="92"/>
      <c r="P41" s="13"/>
      <c r="Q41" s="13"/>
      <c r="R41" s="94"/>
      <c r="S41" s="49"/>
      <c r="T41" s="13"/>
      <c r="U41" s="94"/>
      <c r="V41" s="93"/>
      <c r="W41" s="93"/>
      <c r="X41" s="50"/>
      <c r="Y41" s="13"/>
      <c r="Z41" s="13"/>
      <c r="AA41" s="49"/>
      <c r="AB41" s="13"/>
      <c r="AC41" s="13"/>
      <c r="AD41" s="13"/>
    </row>
    <row customHeight="true" ht="17" r="42">
      <c r="A42" s="13"/>
      <c r="B42" s="96" t="str">
        <v>第11周</v>
      </c>
      <c r="C42" s="13"/>
      <c r="D42" s="51"/>
      <c r="E42" s="16"/>
      <c r="F42" s="14"/>
      <c r="G42" s="13"/>
      <c r="H42" s="13"/>
      <c r="I42" s="13"/>
      <c r="J42" s="13"/>
      <c r="K42" s="13"/>
      <c r="L42" s="50"/>
      <c r="M42" s="52"/>
      <c r="N42" s="13"/>
      <c r="O42" s="92"/>
      <c r="P42" s="13"/>
      <c r="Q42" s="13"/>
      <c r="R42" s="94"/>
      <c r="S42" s="49"/>
      <c r="T42" s="13"/>
      <c r="U42" s="94"/>
      <c r="V42" s="93"/>
      <c r="W42" s="93"/>
      <c r="X42" s="50"/>
      <c r="Y42" s="13"/>
      <c r="Z42" s="13"/>
      <c r="AA42" s="49"/>
      <c r="AB42" s="13"/>
      <c r="AC42" s="13"/>
      <c r="AD42" s="13"/>
    </row>
    <row customHeight="true" ht="17" r="43">
      <c r="A43" s="13"/>
      <c r="B43" s="96" t="str">
        <v>第12周</v>
      </c>
      <c r="C43" s="13"/>
      <c r="D43" s="51"/>
      <c r="E43" s="16"/>
      <c r="F43" s="14"/>
      <c r="G43" s="13"/>
      <c r="H43" s="13"/>
      <c r="I43" s="13"/>
      <c r="J43" s="13"/>
      <c r="K43" s="13"/>
      <c r="L43" s="50"/>
      <c r="M43" s="52"/>
      <c r="N43" s="13"/>
      <c r="O43" s="92"/>
      <c r="P43" s="13"/>
      <c r="Q43" s="13"/>
      <c r="R43" s="94"/>
      <c r="S43" s="49"/>
      <c r="T43" s="13"/>
      <c r="U43" s="94"/>
      <c r="V43" s="93"/>
      <c r="W43" s="93"/>
      <c r="X43" s="50"/>
      <c r="Y43" s="13"/>
      <c r="Z43" s="13"/>
      <c r="AA43" s="49"/>
      <c r="AB43" s="13"/>
      <c r="AC43" s="13"/>
      <c r="AD43" s="13"/>
    </row>
    <row customHeight="true" ht="17" r="44">
      <c r="A44" s="13" t="str">
        <v>第四阶段</v>
      </c>
      <c r="B44" s="96" t="str">
        <v>第13周</v>
      </c>
      <c r="C44" s="13"/>
      <c r="D44" s="51"/>
      <c r="E44" s="16"/>
      <c r="F44" s="14"/>
      <c r="G44" s="13"/>
      <c r="H44" s="13"/>
      <c r="I44" s="13"/>
      <c r="J44" s="13"/>
      <c r="K44" s="13"/>
      <c r="L44" s="50"/>
      <c r="M44" s="52"/>
      <c r="N44" s="13"/>
      <c r="O44" s="92"/>
      <c r="P44" s="13"/>
      <c r="Q44" s="13"/>
      <c r="R44" s="94"/>
      <c r="S44" s="49"/>
      <c r="T44" s="13"/>
      <c r="U44" s="94"/>
      <c r="V44" s="93"/>
      <c r="W44" s="93"/>
      <c r="X44" s="50"/>
      <c r="Y44" s="13"/>
      <c r="Z44" s="13"/>
      <c r="AA44" s="49"/>
      <c r="AB44" s="13"/>
      <c r="AC44" s="13"/>
      <c r="AD44" s="13"/>
    </row>
    <row customHeight="true" ht="17" r="45">
      <c r="A45" s="13"/>
      <c r="B45" s="96" t="str">
        <v>第14周</v>
      </c>
      <c r="C45" s="13"/>
      <c r="D45" s="51"/>
      <c r="E45" s="16"/>
      <c r="F45" s="14"/>
      <c r="G45" s="13"/>
      <c r="H45" s="13"/>
      <c r="I45" s="13"/>
      <c r="J45" s="13"/>
      <c r="K45" s="13"/>
      <c r="L45" s="50"/>
      <c r="M45" s="52"/>
      <c r="N45" s="13"/>
      <c r="O45" s="92"/>
      <c r="P45" s="13"/>
      <c r="Q45" s="13"/>
      <c r="R45" s="94"/>
      <c r="S45" s="49"/>
      <c r="T45" s="13"/>
      <c r="U45" s="94"/>
      <c r="V45" s="93"/>
      <c r="W45" s="93"/>
      <c r="X45" s="50"/>
      <c r="Y45" s="13"/>
      <c r="Z45" s="13"/>
      <c r="AA45" s="49"/>
      <c r="AB45" s="13"/>
      <c r="AC45" s="13"/>
      <c r="AD45" s="13"/>
    </row>
    <row customHeight="true" ht="17" r="46">
      <c r="A46" s="13"/>
      <c r="B46" s="96" t="str">
        <v>第15周</v>
      </c>
      <c r="C46" s="13"/>
      <c r="D46" s="51"/>
      <c r="E46" s="16"/>
      <c r="F46" s="14"/>
      <c r="G46" s="13"/>
      <c r="H46" s="13"/>
      <c r="I46" s="13"/>
      <c r="J46" s="13"/>
      <c r="K46" s="13"/>
      <c r="L46" s="50"/>
      <c r="M46" s="52"/>
      <c r="N46" s="13"/>
      <c r="O46" s="92"/>
      <c r="P46" s="13"/>
      <c r="Q46" s="13"/>
      <c r="R46" s="94"/>
      <c r="S46" s="49"/>
      <c r="T46" s="13"/>
      <c r="U46" s="94"/>
      <c r="V46" s="93"/>
      <c r="W46" s="93"/>
      <c r="X46" s="50"/>
      <c r="Y46" s="13"/>
      <c r="Z46" s="13"/>
      <c r="AA46" s="49"/>
      <c r="AB46" s="13"/>
      <c r="AC46" s="13"/>
      <c r="AD46" s="13"/>
    </row>
    <row customHeight="true" ht="17" r="47">
      <c r="A47" s="13"/>
      <c r="B47" s="96" t="str">
        <v>第16周</v>
      </c>
      <c r="C47" s="13"/>
      <c r="D47" s="51"/>
      <c r="E47" s="16"/>
      <c r="F47" s="14"/>
      <c r="G47" s="13"/>
      <c r="H47" s="13"/>
      <c r="I47" s="13"/>
      <c r="J47" s="13"/>
      <c r="K47" s="13"/>
      <c r="L47" s="50"/>
      <c r="M47" s="52"/>
      <c r="N47" s="13"/>
      <c r="O47" s="92"/>
      <c r="P47" s="13"/>
      <c r="Q47" s="13"/>
      <c r="R47" s="94"/>
      <c r="S47" s="49"/>
      <c r="T47" s="13"/>
      <c r="U47" s="94"/>
      <c r="V47" s="93"/>
      <c r="W47" s="93"/>
      <c r="X47" s="50"/>
      <c r="Y47" s="13"/>
      <c r="Z47" s="13"/>
      <c r="AA47" s="49"/>
      <c r="AB47" s="13"/>
      <c r="AC47" s="13"/>
      <c r="AD47" s="13"/>
    </row>
    <row customHeight="true" ht="17" r="48">
      <c r="A48" s="13" t="str">
        <v>第五阶段</v>
      </c>
      <c r="B48" s="96" t="str">
        <v>第17周</v>
      </c>
      <c r="C48" s="13"/>
      <c r="D48" s="51"/>
      <c r="E48" s="16"/>
      <c r="F48" s="14"/>
      <c r="G48" s="13"/>
      <c r="H48" s="13"/>
      <c r="I48" s="13"/>
      <c r="J48" s="13"/>
      <c r="K48" s="13"/>
      <c r="L48" s="50"/>
      <c r="M48" s="52"/>
      <c r="N48" s="13"/>
      <c r="O48" s="92"/>
      <c r="P48" s="13"/>
      <c r="Q48" s="13"/>
      <c r="R48" s="94"/>
      <c r="S48" s="49"/>
      <c r="T48" s="13"/>
      <c r="U48" s="94"/>
      <c r="V48" s="93"/>
      <c r="W48" s="93"/>
      <c r="X48" s="50"/>
      <c r="Y48" s="13"/>
      <c r="Z48" s="13"/>
      <c r="AA48" s="49"/>
      <c r="AB48" s="13"/>
      <c r="AC48" s="13"/>
      <c r="AD48" s="13"/>
    </row>
    <row customHeight="true" ht="17" r="49">
      <c r="A49" s="13"/>
      <c r="B49" s="96" t="str">
        <v>第18周</v>
      </c>
      <c r="C49" s="13"/>
      <c r="D49" s="51"/>
      <c r="E49" s="16"/>
      <c r="F49" s="14"/>
      <c r="G49" s="13"/>
      <c r="H49" s="13"/>
      <c r="I49" s="13"/>
      <c r="J49" s="13"/>
      <c r="K49" s="13"/>
      <c r="L49" s="50"/>
      <c r="M49" s="52"/>
      <c r="N49" s="13"/>
      <c r="O49" s="92"/>
      <c r="P49" s="13"/>
      <c r="Q49" s="13"/>
      <c r="R49" s="94"/>
      <c r="S49" s="49"/>
      <c r="T49" s="13"/>
      <c r="U49" s="94"/>
      <c r="V49" s="93"/>
      <c r="W49" s="93"/>
      <c r="X49" s="50"/>
      <c r="Y49" s="13"/>
      <c r="Z49" s="13"/>
      <c r="AA49" s="49"/>
      <c r="AB49" s="13"/>
      <c r="AC49" s="13"/>
      <c r="AD49" s="13"/>
    </row>
    <row customHeight="true" ht="17" r="50">
      <c r="A50" s="13"/>
      <c r="B50" s="96" t="str">
        <v>第19周</v>
      </c>
      <c r="C50" s="13"/>
      <c r="D50" s="51"/>
      <c r="E50" s="16"/>
      <c r="F50" s="14"/>
      <c r="G50" s="13"/>
      <c r="H50" s="13"/>
      <c r="I50" s="13"/>
      <c r="J50" s="13"/>
      <c r="K50" s="13"/>
      <c r="L50" s="50"/>
      <c r="M50" s="52"/>
      <c r="N50" s="13"/>
      <c r="O50" s="92"/>
      <c r="P50" s="13"/>
      <c r="Q50" s="13"/>
      <c r="R50" s="94"/>
      <c r="S50" s="49"/>
      <c r="T50" s="13"/>
      <c r="U50" s="94"/>
      <c r="V50" s="93"/>
      <c r="W50" s="93"/>
      <c r="X50" s="50"/>
      <c r="Y50" s="13"/>
      <c r="Z50" s="13"/>
      <c r="AA50" s="49"/>
      <c r="AB50" s="13"/>
      <c r="AC50" s="13"/>
      <c r="AD50" s="13"/>
    </row>
    <row customHeight="true" ht="17" r="51">
      <c r="A51" s="13"/>
      <c r="B51" s="96" t="str">
        <v>第20周</v>
      </c>
      <c r="C51" s="13"/>
      <c r="D51" s="51"/>
      <c r="E51" s="16"/>
      <c r="F51" s="14"/>
      <c r="G51" s="13"/>
      <c r="H51" s="13"/>
      <c r="I51" s="13"/>
      <c r="J51" s="13"/>
      <c r="K51" s="13"/>
      <c r="L51" s="50"/>
      <c r="M51" s="52"/>
      <c r="N51" s="13"/>
      <c r="O51" s="92"/>
      <c r="P51" s="13"/>
      <c r="Q51" s="13"/>
      <c r="R51" s="94"/>
      <c r="S51" s="49"/>
      <c r="T51" s="13"/>
      <c r="U51" s="94"/>
      <c r="V51" s="93"/>
      <c r="W51" s="93"/>
      <c r="X51" s="50"/>
      <c r="Y51" s="13"/>
      <c r="Z51" s="13"/>
      <c r="AA51" s="49"/>
      <c r="AB51" s="13"/>
      <c r="AC51" s="13"/>
      <c r="AD51" s="13"/>
    </row>
    <row customHeight="true" ht="17" r="52">
      <c r="A52" s="13" t="str">
        <v>第六阶段</v>
      </c>
      <c r="B52" s="96" t="str">
        <v>第21周</v>
      </c>
      <c r="C52" s="13"/>
      <c r="D52" s="51"/>
      <c r="E52" s="16"/>
      <c r="F52" s="14"/>
      <c r="G52" s="13"/>
      <c r="H52" s="13"/>
      <c r="I52" s="13"/>
      <c r="J52" s="13"/>
      <c r="K52" s="13"/>
      <c r="L52" s="50"/>
      <c r="M52" s="52"/>
      <c r="N52" s="13"/>
      <c r="O52" s="92"/>
      <c r="P52" s="13"/>
      <c r="Q52" s="13"/>
      <c r="R52" s="94"/>
      <c r="S52" s="49"/>
      <c r="T52" s="13"/>
      <c r="U52" s="94"/>
      <c r="V52" s="93"/>
      <c r="W52" s="93"/>
      <c r="X52" s="50"/>
      <c r="Y52" s="13"/>
      <c r="Z52" s="13"/>
      <c r="AA52" s="49"/>
      <c r="AB52" s="13"/>
      <c r="AC52" s="13"/>
      <c r="AD52" s="13"/>
    </row>
    <row customHeight="true" ht="17" r="53">
      <c r="A53" s="13"/>
      <c r="B53" s="96" t="str">
        <v>第22周</v>
      </c>
      <c r="C53" s="13"/>
      <c r="D53" s="51"/>
      <c r="E53" s="16"/>
      <c r="F53" s="14"/>
      <c r="G53" s="13"/>
      <c r="H53" s="13"/>
      <c r="I53" s="13"/>
      <c r="J53" s="13"/>
      <c r="K53" s="13"/>
      <c r="L53" s="50"/>
      <c r="M53" s="52"/>
      <c r="N53" s="13"/>
      <c r="O53" s="92"/>
      <c r="P53" s="13"/>
      <c r="Q53" s="13"/>
      <c r="R53" s="94"/>
      <c r="S53" s="49"/>
      <c r="T53" s="13"/>
      <c r="U53" s="94"/>
      <c r="V53" s="93"/>
      <c r="W53" s="93"/>
      <c r="X53" s="50"/>
      <c r="Y53" s="13"/>
      <c r="Z53" s="13"/>
      <c r="AA53" s="49"/>
      <c r="AB53" s="13"/>
      <c r="AC53" s="13"/>
      <c r="AD53" s="13"/>
    </row>
    <row customHeight="true" ht="17" r="54">
      <c r="A54" s="13"/>
      <c r="B54" s="96" t="str">
        <v>第23周</v>
      </c>
      <c r="C54" s="13"/>
      <c r="D54" s="51"/>
      <c r="E54" s="16"/>
      <c r="F54" s="14"/>
      <c r="G54" s="13"/>
      <c r="H54" s="13"/>
      <c r="I54" s="13"/>
      <c r="J54" s="13"/>
      <c r="K54" s="13"/>
      <c r="L54" s="50"/>
      <c r="M54" s="52"/>
      <c r="N54" s="13"/>
      <c r="O54" s="92"/>
      <c r="P54" s="13"/>
      <c r="Q54" s="13"/>
      <c r="R54" s="94"/>
      <c r="S54" s="49"/>
      <c r="T54" s="13"/>
      <c r="U54" s="94"/>
      <c r="V54" s="93"/>
      <c r="W54" s="93"/>
      <c r="X54" s="50"/>
      <c r="Y54" s="13"/>
      <c r="Z54" s="13"/>
      <c r="AA54" s="49"/>
      <c r="AB54" s="13"/>
      <c r="AC54" s="13"/>
      <c r="AD54" s="13"/>
    </row>
    <row customHeight="true" ht="17" r="55">
      <c r="A55" s="13"/>
      <c r="B55" s="96" t="str">
        <v>第24周</v>
      </c>
      <c r="C55" s="13"/>
      <c r="D55" s="51"/>
      <c r="E55" s="16"/>
      <c r="F55" s="14"/>
      <c r="G55" s="13"/>
      <c r="H55" s="13"/>
      <c r="I55" s="13"/>
      <c r="J55" s="13"/>
      <c r="K55" s="13"/>
      <c r="L55" s="50"/>
      <c r="M55" s="52"/>
      <c r="N55" s="13"/>
      <c r="O55" s="92"/>
      <c r="P55" s="13"/>
      <c r="Q55" s="13"/>
      <c r="R55" s="94"/>
      <c r="S55" s="49"/>
      <c r="T55" s="13"/>
      <c r="U55" s="94"/>
      <c r="V55" s="93"/>
      <c r="W55" s="93"/>
      <c r="X55" s="50"/>
      <c r="Y55" s="13"/>
      <c r="Z55" s="13"/>
      <c r="AA55" s="49"/>
      <c r="AB55" s="13"/>
      <c r="AC55" s="13"/>
      <c r="AD55" s="13"/>
    </row>
  </sheetData>
  <mergeCells>
    <mergeCell ref="A1:AD1"/>
    <mergeCell ref="A2:M2"/>
    <mergeCell ref="N2:W2"/>
    <mergeCell ref="AC2:AD2"/>
    <mergeCell ref="A4:A7"/>
    <mergeCell ref="A8:A11"/>
    <mergeCell ref="A12:A15"/>
    <mergeCell ref="A16:A19"/>
    <mergeCell ref="A20:A23"/>
    <mergeCell ref="A24:A27"/>
    <mergeCell ref="A29:AD29"/>
    <mergeCell ref="A30:M30"/>
    <mergeCell ref="N30:W30"/>
    <mergeCell ref="AC30:AD30"/>
    <mergeCell ref="A32:A35"/>
    <mergeCell ref="A36:A39"/>
    <mergeCell ref="A40:A43"/>
    <mergeCell ref="A44:A47"/>
    <mergeCell ref="A48:A51"/>
    <mergeCell ref="A52:A55"/>
  </mergeCell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3"/>
    <col collapsed="false" customWidth="true" hidden="false" max="2" min="2" style="0" width="49"/>
    <col collapsed="false" customWidth="true" hidden="false" max="3" min="3" style="0" width="19"/>
    <col collapsed="false" customWidth="true" hidden="false" max="4" min="4" style="0" width="20"/>
    <col collapsed="false" customWidth="true" hidden="false" max="5" min="5" style="0" width="14"/>
    <col collapsed="false" customWidth="true" hidden="false" max="6" min="6" style="0" width="9"/>
    <col collapsed="false" customWidth="true" hidden="false" max="7" min="7" style="0" width="14"/>
    <col collapsed="false" customWidth="true" hidden="false" max="8" min="8" style="0" width="14"/>
    <col collapsed="false" customWidth="true" hidden="false" max="9" min="9" style="0" width="29"/>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5"/>
    <col collapsed="false" customWidth="true" hidden="false" max="20" min="20" style="0" width="15"/>
  </cols>
  <sheetData>
    <row customHeight="true" ht="15" r="1">
      <c r="A1" s="141" t="str">
        <v>SKU：R0001EU                            ASIN：Bxxxxxxxx3</v>
      </c>
      <c r="B1" s="141"/>
      <c r="C1" s="141"/>
      <c r="D1" s="141"/>
      <c r="E1" s="141"/>
      <c r="F1" s="126"/>
      <c r="G1" s="124"/>
      <c r="H1" s="124"/>
      <c r="I1" s="142" t="str">
        <v>关键词</v>
      </c>
      <c r="J1" s="126"/>
      <c r="K1" s="126"/>
      <c r="L1" s="126"/>
      <c r="M1" s="126"/>
      <c r="N1" s="126"/>
      <c r="O1" s="124"/>
      <c r="P1" s="124"/>
      <c r="Q1" s="124"/>
      <c r="R1" s="124"/>
    </row>
    <row customHeight="true" ht="13" r="2">
      <c r="A2" s="126"/>
      <c r="B2" s="126"/>
      <c r="C2" s="126"/>
      <c r="D2" s="126"/>
      <c r="E2" s="126"/>
      <c r="F2" s="126"/>
      <c r="G2" s="124"/>
      <c r="H2" s="124"/>
      <c r="I2" s="126"/>
      <c r="J2" s="126"/>
      <c r="K2" s="126"/>
      <c r="L2" s="126"/>
      <c r="M2" s="126"/>
      <c r="N2" s="126"/>
      <c r="O2" s="124"/>
      <c r="P2" s="124"/>
      <c r="Q2" s="124"/>
      <c r="R2" s="124"/>
    </row>
    <row customHeight="true" ht="24" r="3">
      <c r="A3" s="125" t="str">
        <v>上架销售时间：</v>
      </c>
      <c r="B3" s="137">
        <v>45765</v>
      </c>
      <c r="C3" s="124" t="str">
        <v>B0F1F7J8V3</v>
      </c>
      <c r="D3" s="126"/>
      <c r="E3" s="126"/>
      <c r="F3" s="126"/>
      <c r="G3" s="124"/>
      <c r="H3" s="124"/>
      <c r="I3" s="126"/>
      <c r="J3" s="126"/>
      <c r="K3" s="126"/>
      <c r="L3" s="126"/>
      <c r="M3" s="126"/>
      <c r="N3" s="126"/>
      <c r="O3" s="124"/>
      <c r="P3" s="124"/>
      <c r="Q3" s="124"/>
      <c r="R3" s="124"/>
    </row>
    <row customHeight="true" ht="24" r="4">
      <c r="A4" s="125" t="str">
        <v>推广周期：</v>
      </c>
      <c r="B4" s="127" t="str">
        <v>4月20日-6月31日</v>
      </c>
      <c r="C4" s="126"/>
      <c r="D4" s="126"/>
      <c r="E4" s="126"/>
      <c r="F4" s="126"/>
      <c r="G4" s="124"/>
      <c r="H4" s="124"/>
      <c r="I4" s="123" t="str">
        <v>关键词</v>
      </c>
      <c r="J4" s="123" t="str">
        <v>关键词翻译</v>
      </c>
      <c r="K4" s="128" t="str">
        <v>流量占比</v>
      </c>
      <c r="L4" s="129" t="str">
        <v>预估周曝光量</v>
      </c>
      <c r="M4" s="123" t="str">
        <v>关键词类型</v>
      </c>
      <c r="N4" s="123" t="str">
        <v>转化效果自然流量占比</v>
      </c>
      <c r="O4" s="124"/>
      <c r="P4" s="124"/>
      <c r="Q4" s="124"/>
      <c r="R4" s="124"/>
    </row>
    <row customHeight="true" ht="24" r="5">
      <c r="A5" s="125" t="str">
        <v>排名目标：</v>
      </c>
      <c r="B5" s="127" t="str">
        <v>Matratzensauger  #50</v>
      </c>
      <c r="C5" s="126"/>
      <c r="D5" s="126"/>
      <c r="E5" s="126"/>
      <c r="F5" s="126"/>
      <c r="G5" s="124"/>
      <c r="H5" s="124"/>
      <c r="I5" s="134" t="str">
        <v>milbensauger</v>
      </c>
      <c r="J5" s="134" t="str">
        <v>吸螨虫</v>
      </c>
      <c r="K5" s="133">
        <v>0.497508</v>
      </c>
      <c r="L5" s="132">
        <v>13984</v>
      </c>
      <c r="M5" s="136" t="str">
        <v>主要流量词</v>
      </c>
      <c r="N5" s="135">
        <v>0.3471</v>
      </c>
      <c r="O5" s="124"/>
      <c r="P5" s="124"/>
      <c r="Q5" s="124"/>
      <c r="R5" s="124"/>
    </row>
    <row customHeight="true" ht="24" r="6">
      <c r="A6" s="125" t="str">
        <v>目标销量：</v>
      </c>
      <c r="B6" s="127" t="str">
        <v>15-20pcs/天</v>
      </c>
      <c r="C6" s="126"/>
      <c r="D6" s="126"/>
      <c r="E6" s="126"/>
      <c r="F6" s="126"/>
      <c r="G6" s="124"/>
      <c r="H6" s="124"/>
      <c r="I6" s="134" t="str">
        <v>milbensauger für matratzen</v>
      </c>
      <c r="J6" s="134" t="str">
        <v>用于床垫的吸尘器</v>
      </c>
      <c r="K6" s="133">
        <v>0.294441</v>
      </c>
      <c r="L6" s="132">
        <v>8276</v>
      </c>
      <c r="M6" s="136" t="str">
        <v>主要流量词</v>
      </c>
      <c r="N6" s="135">
        <v>0.41862</v>
      </c>
      <c r="O6" s="124"/>
      <c r="P6" s="124"/>
      <c r="Q6" s="124"/>
      <c r="R6" s="124"/>
    </row>
    <row customHeight="true" ht="15" r="7">
      <c r="A7" s="126"/>
      <c r="B7" s="126"/>
      <c r="C7" s="126"/>
      <c r="D7" s="126"/>
      <c r="E7" s="126"/>
      <c r="F7" s="126"/>
      <c r="G7" s="124"/>
      <c r="H7" s="124"/>
      <c r="I7" s="134" t="str">
        <v>sofa reiniger</v>
      </c>
      <c r="J7" s="134" t="str">
        <v>沙发清洁剂</v>
      </c>
      <c r="K7" s="133">
        <v>0.059295</v>
      </c>
      <c r="L7" s="132">
        <v>1667</v>
      </c>
      <c r="M7" s="136"/>
      <c r="N7" s="135">
        <v>0.61722</v>
      </c>
      <c r="O7" s="124"/>
      <c r="P7" s="124"/>
      <c r="Q7" s="124"/>
      <c r="R7" s="124"/>
    </row>
    <row customHeight="true" ht="15" r="8">
      <c r="A8" s="126"/>
      <c r="B8" s="126"/>
      <c r="C8" s="126"/>
      <c r="D8" s="126"/>
      <c r="E8" s="126"/>
      <c r="F8" s="126"/>
      <c r="G8" s="124"/>
      <c r="H8" s="124"/>
      <c r="I8" s="134" t="str">
        <v>matratzenreiniger</v>
      </c>
      <c r="J8" s="134" t="str">
        <v>床垫清洁剂</v>
      </c>
      <c r="K8" s="133">
        <v>0.047246</v>
      </c>
      <c r="L8" s="132">
        <v>1328</v>
      </c>
      <c r="M8" s="136"/>
      <c r="N8" s="135">
        <v>0.80955</v>
      </c>
      <c r="O8" s="124"/>
      <c r="P8" s="124"/>
      <c r="Q8" s="124"/>
      <c r="R8" s="124"/>
    </row>
    <row customHeight="true" ht="15" r="9">
      <c r="A9" s="126"/>
      <c r="B9" s="126"/>
      <c r="C9" s="126"/>
      <c r="D9" s="126"/>
      <c r="E9" s="126"/>
      <c r="F9" s="126"/>
      <c r="G9" s="124"/>
      <c r="H9" s="124"/>
      <c r="I9" s="134" t="str">
        <v>milbensauger für matratzen testsieger</v>
      </c>
      <c r="J9" s="134" t="str">
        <v>用于床垫测试的螨虫吸尘器测试获胜者</v>
      </c>
      <c r="K9" s="133">
        <v>0.02472</v>
      </c>
      <c r="L9" s="132">
        <v>695</v>
      </c>
      <c r="M9" s="136"/>
      <c r="N9" s="135">
        <v>0.46301</v>
      </c>
      <c r="O9" s="124"/>
      <c r="P9" s="124"/>
      <c r="Q9" s="124"/>
      <c r="R9" s="124"/>
    </row>
    <row customHeight="true" ht="15" r="10">
      <c r="A10" s="147" t="str">
        <v>目标管理</v>
      </c>
      <c r="B10" s="147" t="str">
        <v>目标</v>
      </c>
      <c r="C10" s="147" t="str">
        <v>ASIN 1</v>
      </c>
      <c r="D10" s="126"/>
      <c r="E10" s="126"/>
      <c r="F10" s="126"/>
      <c r="G10" s="124"/>
      <c r="H10" s="124"/>
      <c r="I10" s="134" t="str">
        <v>milbensauger mit uv licht</v>
      </c>
      <c r="J10" s="134" t="str">
        <v>带紫外线灯的螨虫奶嘴</v>
      </c>
      <c r="K10" s="133">
        <v>0.019301</v>
      </c>
      <c r="L10" s="132">
        <v>543</v>
      </c>
      <c r="M10" s="136"/>
      <c r="N10" s="135">
        <v>0.06106</v>
      </c>
      <c r="O10" s="124"/>
      <c r="P10" s="124"/>
      <c r="Q10" s="124"/>
      <c r="R10" s="124"/>
    </row>
    <row customHeight="true" ht="15" r="11">
      <c r="A11" s="143" t="str">
        <v>对标竞品</v>
      </c>
      <c r="B11" s="145" t="str">
        <v>B0DKPGKSYS</v>
      </c>
      <c r="C11" s="145" t="str">
        <v>B0DKPGKSYS</v>
      </c>
      <c r="D11" s="126"/>
      <c r="E11" s="126"/>
      <c r="F11" s="126"/>
      <c r="G11" s="124"/>
      <c r="H11" s="124"/>
      <c r="I11" s="134" t="str">
        <v>hoover milbensauger</v>
      </c>
      <c r="J11" s="134" t="str">
        <v>胡佛螨吸盘</v>
      </c>
      <c r="K11" s="133">
        <v>0.017954</v>
      </c>
      <c r="L11" s="132">
        <v>505</v>
      </c>
      <c r="M11" s="136" t="str">
        <v>精准长尾词</v>
      </c>
      <c r="N11" s="135">
        <v>0.50632</v>
      </c>
      <c r="O11" s="124"/>
      <c r="P11" s="124"/>
      <c r="Q11" s="124"/>
      <c r="R11" s="124"/>
    </row>
    <row customHeight="true" ht="15" r="12">
      <c r="A12" s="143" t="str">
        <v>目标排名</v>
      </c>
      <c r="B12" s="145" t="str">
        <v>21-24</v>
      </c>
      <c r="C12" s="145"/>
      <c r="D12" s="126"/>
      <c r="E12" s="126"/>
      <c r="F12" s="126"/>
      <c r="G12" s="124"/>
      <c r="H12" s="124"/>
      <c r="I12" s="134" t="str">
        <v>milbenstaubsauger</v>
      </c>
      <c r="J12" s="134" t="str">
        <v>螨吸尘器</v>
      </c>
      <c r="K12" s="133">
        <v>0.008428</v>
      </c>
      <c r="L12" s="132">
        <v>237</v>
      </c>
      <c r="M12" s="136"/>
      <c r="N12" s="135">
        <v>0.28778</v>
      </c>
      <c r="O12" s="124"/>
      <c r="P12" s="124"/>
      <c r="Q12" s="124"/>
      <c r="R12" s="124"/>
    </row>
    <row customHeight="true" ht="15" r="13">
      <c r="A13" s="143" t="str">
        <v>目标日销</v>
      </c>
      <c r="B13" s="146" t="str" xml:space="preserve">
        <v> 10-15 日销</v>
      </c>
      <c r="C13" s="145"/>
      <c r="D13" s="126"/>
      <c r="E13" s="126"/>
      <c r="F13" s="126"/>
      <c r="G13" s="124"/>
      <c r="H13" s="124"/>
      <c r="I13" s="134" t="str">
        <v>polsterreiniger</v>
      </c>
      <c r="J13" s="134" t="str">
        <v>室内装饰品清洁剂</v>
      </c>
      <c r="K13" s="133">
        <v>0.007424</v>
      </c>
      <c r="L13" s="132">
        <v>209</v>
      </c>
      <c r="M13" s="136"/>
      <c r="N13" s="136">
        <v>15</v>
      </c>
      <c r="O13" s="124"/>
      <c r="P13" s="124"/>
      <c r="Q13" s="124"/>
      <c r="R13" s="124"/>
    </row>
    <row customHeight="true" ht="15" r="14">
      <c r="A14" s="143" t="str">
        <v>价格</v>
      </c>
      <c r="B14" s="145" t="str">
        <v>109-129.99</v>
      </c>
      <c r="C14" s="145"/>
      <c r="D14" s="126"/>
      <c r="E14" s="126"/>
      <c r="F14" s="126"/>
      <c r="G14" s="124"/>
      <c r="H14" s="124"/>
      <c r="I14" s="134" t="str">
        <v>teppichreiniger gerät</v>
      </c>
      <c r="J14" s="134" t="str">
        <v>地毯清洁装置</v>
      </c>
      <c r="K14" s="133">
        <v>0.002209</v>
      </c>
      <c r="L14" s="132">
        <v>62</v>
      </c>
      <c r="M14" s="136" t="str">
        <v>、</v>
      </c>
      <c r="N14" s="136">
        <v>16</v>
      </c>
      <c r="O14" s="124"/>
      <c r="P14" s="124"/>
      <c r="Q14" s="124"/>
      <c r="R14" s="124"/>
    </row>
    <row customHeight="true" ht="15" r="15">
      <c r="A15" s="143" t="str">
        <v>rating</v>
      </c>
      <c r="B15" s="145">
        <v>136</v>
      </c>
      <c r="C15" s="145"/>
      <c r="D15" s="126"/>
      <c r="E15" s="126"/>
      <c r="F15" s="126"/>
      <c r="G15" s="124"/>
      <c r="H15" s="124"/>
      <c r="I15" s="134" t="str">
        <v>polsterreinigungsgerät</v>
      </c>
      <c r="J15" s="134" t="str">
        <v>室内装潢清洗机</v>
      </c>
      <c r="K15" s="133">
        <v>0.001316</v>
      </c>
      <c r="L15" s="132">
        <v>37</v>
      </c>
      <c r="M15" s="136" t="str">
        <v>、</v>
      </c>
      <c r="N15" s="136">
        <v>6</v>
      </c>
      <c r="O15" s="124"/>
      <c r="P15" s="124"/>
      <c r="Q15" s="124"/>
      <c r="R15" s="124"/>
    </row>
    <row customHeight="true" ht="15" r="16">
      <c r="A16" s="143" t="str">
        <v>评分</v>
      </c>
      <c r="B16" s="145">
        <v>4.7</v>
      </c>
      <c r="C16" s="145"/>
      <c r="D16" s="126"/>
      <c r="E16" s="126"/>
      <c r="F16" s="126"/>
      <c r="G16" s="124"/>
      <c r="H16" s="124"/>
      <c r="I16" s="126"/>
      <c r="J16" s="126"/>
      <c r="K16" s="126"/>
      <c r="L16" s="126"/>
      <c r="M16" s="126"/>
      <c r="N16" s="126"/>
      <c r="O16" s="124"/>
      <c r="P16" s="124"/>
      <c r="Q16" s="124"/>
      <c r="R16" s="124"/>
    </row>
    <row customHeight="true" ht="15" r="17">
      <c r="A17" s="143" t="str">
        <v>主推词</v>
      </c>
      <c r="B17" s="144" t="str">
        <v>milbensauger</v>
      </c>
      <c r="C17" s="144"/>
      <c r="D17" s="126"/>
      <c r="E17" s="126"/>
      <c r="F17" s="126"/>
      <c r="G17" s="124"/>
      <c r="H17" s="124"/>
      <c r="I17" s="126"/>
      <c r="J17" s="126"/>
      <c r="K17" s="126"/>
      <c r="L17" s="126"/>
      <c r="M17" s="126"/>
      <c r="N17" s="126"/>
      <c r="O17" s="124"/>
      <c r="P17" s="124"/>
      <c r="Q17" s="124"/>
      <c r="R17" s="124"/>
    </row>
    <row customHeight="true" ht="15" r="18">
      <c r="A18" s="138"/>
      <c r="B18" s="131"/>
      <c r="C18" s="131"/>
      <c r="D18" s="126"/>
      <c r="E18" s="126"/>
      <c r="F18" s="126"/>
      <c r="G18" s="124"/>
      <c r="H18" s="124"/>
      <c r="I18" s="126"/>
      <c r="J18" s="126"/>
      <c r="K18" s="126"/>
      <c r="L18" s="126"/>
      <c r="M18" s="126"/>
      <c r="N18" s="126"/>
      <c r="O18" s="124"/>
      <c r="P18" s="124"/>
      <c r="Q18" s="124"/>
      <c r="R18" s="124"/>
    </row>
    <row customHeight="true" ht="15" r="19">
      <c r="A19" s="138"/>
      <c r="B19" s="126"/>
      <c r="C19" s="126"/>
      <c r="D19" s="126"/>
      <c r="E19" s="126"/>
      <c r="F19" s="126"/>
      <c r="G19" s="124"/>
      <c r="H19" s="124"/>
      <c r="I19" s="126"/>
      <c r="J19" s="126"/>
      <c r="K19" s="126"/>
      <c r="L19" s="126"/>
      <c r="M19" s="126"/>
      <c r="N19" s="126"/>
      <c r="O19" s="124"/>
      <c r="P19" s="124"/>
      <c r="Q19" s="124"/>
      <c r="R19" s="124"/>
    </row>
    <row customHeight="true" ht="15" r="20">
      <c r="A20" s="126"/>
      <c r="B20" s="131"/>
      <c r="C20" s="131"/>
      <c r="D20" s="130" t="str">
        <v>广泛</v>
      </c>
      <c r="E20" s="130" t="str">
        <v>词组</v>
      </c>
      <c r="F20" s="130" t="str">
        <v>精准</v>
      </c>
      <c r="G20" s="124"/>
      <c r="H20" s="124"/>
      <c r="I20" s="126"/>
      <c r="J20" s="126"/>
      <c r="K20" s="126"/>
      <c r="L20" s="126"/>
      <c r="M20" s="126"/>
      <c r="N20" s="126"/>
      <c r="O20" s="124"/>
      <c r="P20" s="124"/>
      <c r="Q20" s="124"/>
      <c r="R20" s="124"/>
    </row>
    <row customHeight="true" ht="15" r="21">
      <c r="A21" s="124" t="str">
        <v>核心关键词 选取，</v>
      </c>
      <c r="B21" s="124" t="str">
        <v>milbensauger</v>
      </c>
      <c r="C21" s="124" t="str">
        <v>除螨仪</v>
      </c>
      <c r="D21" s="130">
        <v>1.33</v>
      </c>
      <c r="E21" s="130">
        <v>1.2</v>
      </c>
      <c r="F21" s="130">
        <v>1.23</v>
      </c>
      <c r="G21" s="124"/>
      <c r="H21" s="124"/>
      <c r="I21" s="126"/>
      <c r="J21" s="126"/>
      <c r="K21" s="126"/>
      <c r="L21" s="126"/>
      <c r="M21" s="126"/>
      <c r="N21" s="126"/>
      <c r="O21" s="124"/>
      <c r="P21" s="124"/>
      <c r="Q21" s="124"/>
      <c r="R21" s="124"/>
    </row>
    <row customHeight="true" ht="15" r="22">
      <c r="A22" s="126"/>
      <c r="B22" s="124" t="str">
        <v>milbenstaubsauger</v>
      </c>
      <c r="C22" s="124" t="str">
        <v>除螨仪</v>
      </c>
      <c r="D22" s="130">
        <v>1.39</v>
      </c>
      <c r="E22" s="130">
        <v>1.24</v>
      </c>
      <c r="F22" s="130">
        <v>1.29</v>
      </c>
      <c r="G22" s="124"/>
      <c r="H22" s="124"/>
      <c r="I22" s="126"/>
      <c r="J22" s="126"/>
      <c r="K22" s="126"/>
      <c r="L22" s="126"/>
      <c r="M22" s="126"/>
      <c r="N22" s="126"/>
      <c r="O22" s="124"/>
      <c r="P22" s="124"/>
      <c r="Q22" s="124"/>
      <c r="R22" s="124"/>
    </row>
    <row customHeight="true" ht="15" r="23">
      <c r="A23" s="126"/>
      <c r="B23" s="124" t="str">
        <v>milbensauger für matratzen</v>
      </c>
      <c r="C23" s="124" t="str">
        <v>床垫除螨仪</v>
      </c>
      <c r="D23" s="130">
        <v>1.33</v>
      </c>
      <c r="E23" s="130">
        <v>1.2</v>
      </c>
      <c r="F23" s="130">
        <v>1.21</v>
      </c>
      <c r="G23" s="124"/>
      <c r="H23" s="124"/>
      <c r="I23" s="126"/>
      <c r="J23" s="126"/>
      <c r="K23" s="126"/>
      <c r="L23" s="126"/>
      <c r="M23" s="126"/>
      <c r="N23" s="126"/>
      <c r="O23" s="124"/>
      <c r="P23" s="124"/>
      <c r="Q23" s="124"/>
      <c r="R23" s="124"/>
    </row>
    <row customHeight="true" ht="15" r="24">
      <c r="A24" s="126"/>
      <c r="B24" s="124" t="str">
        <v>milbensauger mit uv licht</v>
      </c>
      <c r="C24" s="124" t="str">
        <v>带紫外除螨仪</v>
      </c>
      <c r="D24" s="130">
        <v>1.36</v>
      </c>
      <c r="E24" s="130">
        <v>1.22</v>
      </c>
      <c r="F24" s="130">
        <v>1.28</v>
      </c>
      <c r="G24" s="124"/>
      <c r="H24" s="124"/>
      <c r="I24" s="126"/>
      <c r="J24" s="126"/>
      <c r="K24" s="126"/>
      <c r="L24" s="126"/>
      <c r="M24" s="126"/>
      <c r="N24" s="126"/>
      <c r="O24" s="124"/>
      <c r="P24" s="124"/>
      <c r="Q24" s="124"/>
      <c r="R24" s="124"/>
    </row>
    <row customHeight="true" ht="15" r="25">
      <c r="A25" s="126"/>
      <c r="B25" s="124" t="str">
        <v>milbensauger für matratzen testsieger</v>
      </c>
      <c r="C25" s="124" t="str">
        <v>床垫除螨仪冠军</v>
      </c>
      <c r="D25" s="130">
        <v>1.29</v>
      </c>
      <c r="E25" s="130">
        <v>1.16</v>
      </c>
      <c r="F25" s="130">
        <v>1.21</v>
      </c>
      <c r="G25" s="124"/>
      <c r="H25" s="124"/>
      <c r="I25" s="126"/>
      <c r="J25" s="126"/>
      <c r="K25" s="126"/>
      <c r="L25" s="126"/>
      <c r="M25" s="126"/>
      <c r="N25" s="126"/>
      <c r="O25" s="124"/>
      <c r="P25" s="124"/>
      <c r="Q25" s="124"/>
      <c r="R25" s="124"/>
    </row>
    <row customHeight="true" ht="15" r="26">
      <c r="A26" s="126"/>
      <c r="B26" s="124" t="str">
        <v>Milbensauger</v>
      </c>
      <c r="C26" s="124" t="str">
        <v>除螨仪</v>
      </c>
      <c r="D26" s="130">
        <v>1.33</v>
      </c>
      <c r="E26" s="130">
        <v>1.2</v>
      </c>
      <c r="F26" s="130">
        <v>1.23</v>
      </c>
      <c r="G26" s="124"/>
      <c r="H26" s="124"/>
      <c r="I26" s="126"/>
      <c r="J26" s="126"/>
      <c r="K26" s="126"/>
      <c r="L26" s="126"/>
      <c r="M26" s="126"/>
      <c r="N26" s="126"/>
      <c r="O26" s="124"/>
      <c r="P26" s="124"/>
      <c r="Q26" s="124"/>
      <c r="R26" s="124"/>
    </row>
    <row customHeight="true" ht="15" r="27">
      <c r="A27" s="126"/>
      <c r="B27" s="124" t="str">
        <v>jigoo milbensauger</v>
      </c>
      <c r="C27" s="124" t="str">
        <v>jigoo 除螨仪</v>
      </c>
      <c r="D27" s="130">
        <v>1.47</v>
      </c>
      <c r="E27" s="130">
        <v>1.3</v>
      </c>
      <c r="F27" s="130">
        <v>1.36</v>
      </c>
      <c r="G27" s="124"/>
      <c r="H27" s="124"/>
      <c r="I27" s="126"/>
      <c r="J27" s="126"/>
      <c r="K27" s="126"/>
      <c r="L27" s="126"/>
      <c r="M27" s="126"/>
      <c r="N27" s="126"/>
      <c r="O27" s="124"/>
      <c r="P27" s="124"/>
      <c r="Q27" s="124"/>
      <c r="R27" s="124"/>
    </row>
    <row customHeight="true" ht="15" r="28">
      <c r="A28" s="126"/>
      <c r="B28" s="124" t="str">
        <v>Hoover milbensauger</v>
      </c>
      <c r="C28" s="124" t="str">
        <v>Hoover除螨仪</v>
      </c>
      <c r="D28" s="130">
        <v>1.65</v>
      </c>
      <c r="E28" s="130">
        <v>1.33</v>
      </c>
      <c r="F28" s="130">
        <v>2.01</v>
      </c>
      <c r="G28" s="124"/>
      <c r="H28" s="124"/>
      <c r="I28" s="126"/>
      <c r="J28" s="126"/>
      <c r="K28" s="126"/>
      <c r="L28" s="126"/>
      <c r="M28" s="126"/>
      <c r="N28" s="126"/>
      <c r="O28" s="124"/>
      <c r="P28" s="124"/>
      <c r="Q28" s="124"/>
      <c r="R28" s="124"/>
    </row>
    <row customHeight="true" ht="15" r="29">
      <c r="A29" s="124" t="str">
        <v>长尾词 选取</v>
      </c>
      <c r="B29" s="126"/>
      <c r="C29" s="126"/>
      <c r="D29" s="130"/>
      <c r="E29" s="130"/>
      <c r="F29" s="130"/>
      <c r="G29" s="124"/>
      <c r="H29" s="124"/>
      <c r="I29" s="126"/>
      <c r="J29" s="126"/>
      <c r="K29" s="126"/>
      <c r="L29" s="126"/>
      <c r="M29" s="126"/>
      <c r="N29" s="126"/>
      <c r="O29" s="124"/>
      <c r="P29" s="124"/>
      <c r="Q29" s="124"/>
      <c r="R29" s="124"/>
    </row>
    <row customHeight="true" ht="15" r="30">
      <c r="A30" s="126"/>
      <c r="B30" s="124" t="str">
        <v>milbenstaubsauger</v>
      </c>
      <c r="C30" s="126" t="str">
        <v>除螨仪</v>
      </c>
      <c r="D30" s="130">
        <v>1.39</v>
      </c>
      <c r="E30" s="130">
        <v>1.2</v>
      </c>
      <c r="F30" s="130">
        <v>1.23</v>
      </c>
      <c r="G30" s="124"/>
      <c r="H30" s="124"/>
      <c r="I30" s="126"/>
      <c r="J30" s="126"/>
      <c r="K30" s="126"/>
      <c r="L30" s="126"/>
      <c r="M30" s="126"/>
      <c r="N30" s="126"/>
      <c r="O30" s="124"/>
      <c r="P30" s="124"/>
      <c r="Q30" s="124"/>
      <c r="R30" s="124"/>
    </row>
    <row customHeight="true" ht="15" r="31">
      <c r="A31" s="126"/>
      <c r="B31" s="124" t="str">
        <v>handstaubsauger</v>
      </c>
      <c r="C31" s="124" t="str">
        <v>手持吸尘器</v>
      </c>
      <c r="D31" s="130">
        <v>0.64</v>
      </c>
      <c r="E31" s="130">
        <v>0.58</v>
      </c>
      <c r="F31" s="130">
        <v>0.63</v>
      </c>
      <c r="G31" s="124"/>
      <c r="H31" s="124"/>
      <c r="I31" s="126"/>
      <c r="J31" s="126"/>
      <c r="K31" s="126"/>
      <c r="L31" s="126"/>
      <c r="M31" s="126"/>
      <c r="N31" s="126"/>
      <c r="O31" s="124"/>
      <c r="P31" s="124"/>
      <c r="Q31" s="124"/>
      <c r="R31" s="124"/>
    </row>
    <row customHeight="true" ht="15" r="32">
      <c r="A32" s="126"/>
      <c r="B32" s="124" t="str">
        <v>milbensauger für matratzen testsieger</v>
      </c>
      <c r="C32" s="124" t="str">
        <v>床垫除螨仪冠军</v>
      </c>
      <c r="D32" s="130">
        <v>1.29</v>
      </c>
      <c r="E32" s="130">
        <v>1.16</v>
      </c>
      <c r="F32" s="130">
        <v>1.21</v>
      </c>
      <c r="G32" s="124"/>
      <c r="H32" s="124"/>
      <c r="I32" s="126"/>
      <c r="J32" s="126"/>
      <c r="K32" s="126"/>
      <c r="L32" s="126"/>
      <c r="M32" s="126"/>
      <c r="N32" s="126"/>
      <c r="O32" s="124"/>
      <c r="P32" s="124"/>
      <c r="Q32" s="124"/>
      <c r="R32" s="124"/>
    </row>
    <row customHeight="true" ht="15" r="33">
      <c r="A33" s="126"/>
      <c r="B33" s="124" t="str">
        <v>matratzenreiniger gerät</v>
      </c>
      <c r="C33" s="124" t="str">
        <v>除螨仪冠军</v>
      </c>
      <c r="D33" s="130">
        <v>1.08</v>
      </c>
      <c r="E33" s="130">
        <v>0.97</v>
      </c>
      <c r="F33" s="130">
        <v>1.01</v>
      </c>
      <c r="G33" s="124"/>
      <c r="H33" s="124"/>
      <c r="I33" s="126"/>
      <c r="J33" s="126"/>
      <c r="K33" s="126"/>
      <c r="L33" s="126"/>
      <c r="M33" s="126"/>
      <c r="N33" s="126"/>
      <c r="O33" s="124"/>
      <c r="P33" s="124"/>
      <c r="Q33" s="124"/>
      <c r="R33" s="124"/>
    </row>
    <row customHeight="true" ht="13" r="34">
      <c r="A34" s="126"/>
      <c r="B34" s="126"/>
      <c r="C34" s="126"/>
      <c r="D34" s="126"/>
      <c r="E34" s="126"/>
      <c r="F34" s="126"/>
      <c r="G34" s="124"/>
      <c r="H34" s="124"/>
      <c r="I34" s="126"/>
      <c r="J34" s="126"/>
      <c r="K34" s="126"/>
      <c r="L34" s="126"/>
      <c r="M34" s="126"/>
      <c r="N34" s="126"/>
      <c r="O34" s="124"/>
      <c r="P34" s="124"/>
      <c r="Q34" s="124"/>
      <c r="R34" s="124"/>
    </row>
    <row customHeight="true" ht="15" r="35">
      <c r="A35" s="124" t="str">
        <v>蓝海词</v>
      </c>
      <c r="B35" s="124" t="str">
        <v>polsterreiniger gerät</v>
      </c>
      <c r="C35" s="140" t="str" xml:space="preserve">
        <v>  “沙发清洁器”“软家具清洁设备”</v>
      </c>
      <c r="D35" s="139">
        <v>1.01</v>
      </c>
      <c r="E35" s="139">
        <v>0.94</v>
      </c>
      <c r="F35" s="139">
        <v>0.89</v>
      </c>
      <c r="G35" s="124"/>
      <c r="H35" s="124"/>
      <c r="I35" s="126"/>
      <c r="J35" s="126"/>
      <c r="K35" s="126"/>
      <c r="L35" s="126"/>
      <c r="M35" s="126"/>
      <c r="N35" s="126"/>
      <c r="O35" s="124"/>
      <c r="P35" s="124"/>
      <c r="Q35" s="124"/>
      <c r="R35" s="124"/>
    </row>
    <row customHeight="true" ht="13" r="36">
      <c r="A36" s="126"/>
      <c r="B36" s="126"/>
      <c r="C36" s="126"/>
      <c r="D36" s="126"/>
      <c r="E36" s="126"/>
      <c r="F36" s="126"/>
      <c r="G36" s="124"/>
      <c r="H36" s="124"/>
      <c r="I36" s="126"/>
      <c r="J36" s="126"/>
      <c r="K36" s="126"/>
      <c r="L36" s="126"/>
      <c r="M36" s="126"/>
      <c r="N36" s="126"/>
      <c r="O36" s="124"/>
      <c r="P36" s="124"/>
      <c r="Q36" s="124"/>
      <c r="R36" s="124"/>
    </row>
    <row customHeight="true" ht="13" r="37">
      <c r="A37" s="126"/>
      <c r="B37" s="126" t="str">
        <v>其他品牌相关 品牌词词组</v>
      </c>
      <c r="C37" s="126"/>
      <c r="D37" s="126"/>
      <c r="E37" s="126"/>
      <c r="F37" s="126"/>
      <c r="G37" s="124"/>
      <c r="H37" s="124"/>
      <c r="I37" s="126"/>
      <c r="J37" s="126"/>
      <c r="K37" s="126"/>
      <c r="L37" s="126"/>
      <c r="M37" s="126"/>
      <c r="N37" s="126"/>
      <c r="O37" s="124"/>
      <c r="P37" s="124"/>
      <c r="Q37" s="124"/>
      <c r="R37" s="124"/>
    </row>
    <row customHeight="true" ht="13" r="38">
      <c r="A38" s="126"/>
      <c r="B38" s="126"/>
      <c r="C38" s="126"/>
      <c r="D38" s="126"/>
      <c r="E38" s="126"/>
      <c r="F38" s="126"/>
      <c r="G38" s="124"/>
      <c r="H38" s="124"/>
      <c r="I38" s="126"/>
      <c r="J38" s="126"/>
      <c r="K38" s="126"/>
      <c r="L38" s="126"/>
      <c r="M38" s="126"/>
      <c r="N38" s="126"/>
      <c r="O38" s="124"/>
      <c r="P38" s="124"/>
      <c r="Q38" s="124"/>
      <c r="R38" s="124"/>
    </row>
    <row customHeight="true" ht="13" r="39">
      <c r="A39" s="126"/>
      <c r="B39" s="126"/>
      <c r="C39" s="126"/>
      <c r="D39" s="126"/>
      <c r="E39" s="126"/>
      <c r="F39" s="126"/>
      <c r="G39" s="124"/>
      <c r="H39" s="124"/>
      <c r="I39" s="126"/>
      <c r="J39" s="126"/>
      <c r="K39" s="126"/>
      <c r="L39" s="126"/>
      <c r="M39" s="126"/>
      <c r="N39" s="126"/>
      <c r="O39" s="124"/>
      <c r="P39" s="124"/>
      <c r="Q39" s="124"/>
      <c r="R39" s="124"/>
    </row>
    <row customHeight="true" ht="13" r="40">
      <c r="A40" s="126"/>
      <c r="B40" s="126"/>
      <c r="C40" s="126"/>
      <c r="D40" s="126"/>
      <c r="E40" s="126"/>
      <c r="F40" s="126"/>
      <c r="G40" s="124"/>
      <c r="H40" s="124"/>
      <c r="I40" s="126"/>
      <c r="J40" s="126"/>
      <c r="K40" s="126"/>
      <c r="L40" s="126"/>
      <c r="M40" s="126"/>
      <c r="N40" s="126"/>
      <c r="O40" s="124"/>
      <c r="P40" s="124"/>
      <c r="Q40" s="124"/>
      <c r="R40" s="124"/>
    </row>
    <row customHeight="true" ht="13" r="41">
      <c r="A41" s="126"/>
      <c r="B41" s="126"/>
      <c r="C41" s="126"/>
      <c r="D41" s="126"/>
      <c r="E41" s="126"/>
      <c r="F41" s="126"/>
      <c r="G41" s="124"/>
      <c r="H41" s="124"/>
      <c r="I41" s="126"/>
      <c r="J41" s="126"/>
      <c r="K41" s="126"/>
      <c r="L41" s="126"/>
      <c r="M41" s="126"/>
      <c r="N41" s="126"/>
      <c r="O41" s="124"/>
      <c r="P41" s="124"/>
      <c r="Q41" s="124"/>
      <c r="R41" s="124"/>
    </row>
    <row customHeight="true" ht="13" r="42">
      <c r="A42" s="126"/>
      <c r="B42" s="126"/>
      <c r="C42" s="126"/>
      <c r="D42" s="126"/>
      <c r="E42" s="126"/>
      <c r="F42" s="126"/>
      <c r="G42" s="124"/>
      <c r="H42" s="124"/>
      <c r="I42" s="126"/>
      <c r="J42" s="126"/>
      <c r="K42" s="126"/>
      <c r="L42" s="126"/>
      <c r="M42" s="126"/>
      <c r="N42" s="126"/>
      <c r="O42" s="124"/>
      <c r="P42" s="124"/>
      <c r="Q42" s="124"/>
      <c r="R42" s="124"/>
    </row>
    <row customHeight="true" ht="13" r="43">
      <c r="A43" s="126"/>
      <c r="B43" s="126"/>
      <c r="C43" s="126"/>
      <c r="D43" s="126"/>
      <c r="E43" s="126"/>
      <c r="F43" s="126"/>
      <c r="G43" s="124"/>
      <c r="H43" s="124"/>
      <c r="I43" s="126"/>
      <c r="J43" s="126"/>
      <c r="K43" s="126"/>
      <c r="L43" s="126"/>
      <c r="M43" s="126"/>
      <c r="N43" s="126"/>
      <c r="O43" s="124"/>
      <c r="P43" s="124"/>
      <c r="Q43" s="124"/>
      <c r="R43" s="124"/>
    </row>
    <row customHeight="true" ht="13" r="44">
      <c r="A44" s="126"/>
      <c r="B44" s="126"/>
      <c r="C44" s="126"/>
      <c r="D44" s="126"/>
      <c r="E44" s="126"/>
      <c r="F44" s="126"/>
      <c r="G44" s="124"/>
      <c r="H44" s="124"/>
      <c r="I44" s="126"/>
      <c r="J44" s="126"/>
      <c r="K44" s="126"/>
      <c r="L44" s="126"/>
      <c r="M44" s="126"/>
      <c r="N44" s="126"/>
      <c r="O44" s="124"/>
      <c r="P44" s="124"/>
      <c r="Q44" s="124"/>
      <c r="R44" s="124"/>
    </row>
    <row customHeight="true" ht="13" r="45">
      <c r="A45" s="126"/>
      <c r="B45" s="126"/>
      <c r="C45" s="126"/>
      <c r="D45" s="126"/>
      <c r="E45" s="126"/>
      <c r="F45" s="126"/>
      <c r="G45" s="124"/>
      <c r="H45" s="124"/>
      <c r="I45" s="126"/>
      <c r="J45" s="126"/>
      <c r="K45" s="126"/>
      <c r="L45" s="126"/>
      <c r="M45" s="126"/>
      <c r="N45" s="126"/>
      <c r="O45" s="124"/>
      <c r="P45" s="124"/>
      <c r="Q45" s="124"/>
      <c r="R45" s="124"/>
    </row>
    <row customHeight="true" ht="13" r="46">
      <c r="A46" s="126"/>
      <c r="B46" s="126"/>
      <c r="C46" s="126"/>
      <c r="D46" s="126"/>
      <c r="E46" s="126"/>
      <c r="F46" s="126"/>
      <c r="G46" s="124"/>
      <c r="H46" s="124"/>
      <c r="I46" s="126"/>
      <c r="J46" s="126"/>
      <c r="K46" s="126"/>
      <c r="L46" s="126"/>
      <c r="M46" s="126"/>
      <c r="N46" s="126"/>
      <c r="O46" s="124"/>
      <c r="P46" s="124"/>
      <c r="Q46" s="124"/>
      <c r="R46" s="124"/>
    </row>
    <row customHeight="true" ht="13" r="47">
      <c r="A47" s="126"/>
      <c r="B47" s="126"/>
      <c r="C47" s="126"/>
      <c r="D47" s="126"/>
      <c r="E47" s="126"/>
      <c r="F47" s="126"/>
      <c r="G47" s="124"/>
      <c r="H47" s="124"/>
      <c r="I47" s="126"/>
      <c r="J47" s="126"/>
      <c r="K47" s="126"/>
      <c r="L47" s="126"/>
      <c r="M47" s="126"/>
      <c r="N47" s="126"/>
      <c r="O47" s="124"/>
      <c r="P47" s="124"/>
      <c r="Q47" s="124"/>
      <c r="R47" s="124"/>
    </row>
    <row customHeight="true" ht="13" r="48">
      <c r="A48" s="126"/>
      <c r="B48" s="126"/>
      <c r="C48" s="126"/>
      <c r="D48" s="126"/>
      <c r="E48" s="126"/>
      <c r="F48" s="126"/>
      <c r="G48" s="124"/>
      <c r="H48" s="124"/>
      <c r="I48" s="126"/>
      <c r="J48" s="126"/>
      <c r="K48" s="126"/>
      <c r="L48" s="126"/>
      <c r="M48" s="126"/>
      <c r="N48" s="126"/>
      <c r="O48" s="124"/>
      <c r="P48" s="124"/>
      <c r="Q48" s="124"/>
      <c r="R48" s="124"/>
    </row>
    <row customHeight="true" ht="13" r="49">
      <c r="A49" s="126"/>
      <c r="B49" s="126"/>
      <c r="C49" s="126"/>
      <c r="D49" s="126"/>
      <c r="E49" s="126"/>
      <c r="F49" s="126"/>
      <c r="G49" s="124"/>
      <c r="H49" s="124"/>
      <c r="I49" s="126"/>
      <c r="J49" s="126"/>
      <c r="K49" s="126"/>
      <c r="L49" s="126"/>
      <c r="M49" s="126"/>
      <c r="N49" s="126"/>
      <c r="O49" s="124"/>
      <c r="P49" s="124"/>
      <c r="Q49" s="124"/>
      <c r="R49" s="124"/>
    </row>
    <row customHeight="true" ht="13" r="50">
      <c r="A50" s="126"/>
      <c r="B50" s="126"/>
      <c r="C50" s="126"/>
      <c r="D50" s="126"/>
      <c r="E50" s="126"/>
      <c r="F50" s="126"/>
      <c r="G50" s="124"/>
      <c r="H50" s="124"/>
      <c r="I50" s="126"/>
      <c r="J50" s="126"/>
      <c r="K50" s="126"/>
      <c r="L50" s="126"/>
      <c r="M50" s="126"/>
      <c r="N50" s="126"/>
      <c r="O50" s="124"/>
      <c r="P50" s="124"/>
      <c r="Q50" s="124"/>
      <c r="R50" s="124"/>
    </row>
    <row customHeight="true" ht="13" r="51">
      <c r="A51" s="126"/>
      <c r="B51" s="126"/>
      <c r="C51" s="126"/>
      <c r="D51" s="126"/>
      <c r="E51" s="126"/>
      <c r="F51" s="126"/>
      <c r="G51" s="124"/>
      <c r="H51" s="124"/>
      <c r="I51" s="126"/>
      <c r="J51" s="126"/>
      <c r="K51" s="126"/>
      <c r="L51" s="126"/>
      <c r="M51" s="126"/>
      <c r="N51" s="126"/>
      <c r="O51" s="124"/>
      <c r="P51" s="124"/>
      <c r="Q51" s="124"/>
      <c r="R51" s="124"/>
    </row>
    <row customHeight="true" ht="13" r="52">
      <c r="A52" s="126"/>
      <c r="B52" s="126"/>
      <c r="C52" s="126"/>
      <c r="D52" s="126"/>
      <c r="E52" s="126"/>
      <c r="F52" s="126"/>
      <c r="G52" s="124"/>
      <c r="H52" s="124"/>
      <c r="I52" s="126"/>
      <c r="J52" s="126"/>
      <c r="K52" s="126"/>
      <c r="L52" s="126"/>
      <c r="M52" s="126"/>
      <c r="N52" s="126"/>
      <c r="O52" s="124"/>
      <c r="P52" s="124"/>
      <c r="Q52" s="124"/>
      <c r="R52" s="124"/>
    </row>
    <row customHeight="true" ht="13" r="53">
      <c r="A53" s="126"/>
      <c r="B53" s="126"/>
      <c r="C53" s="126"/>
      <c r="D53" s="126"/>
      <c r="E53" s="126"/>
      <c r="F53" s="126"/>
      <c r="G53" s="124"/>
      <c r="H53" s="124"/>
      <c r="I53" s="126"/>
      <c r="J53" s="126"/>
      <c r="K53" s="126"/>
      <c r="L53" s="126"/>
      <c r="M53" s="126"/>
      <c r="N53" s="126"/>
      <c r="O53" s="124"/>
      <c r="P53" s="124"/>
      <c r="Q53" s="124"/>
      <c r="R53" s="124"/>
    </row>
    <row customHeight="true" ht="13" r="54">
      <c r="A54" s="126"/>
      <c r="B54" s="126"/>
      <c r="C54" s="126"/>
      <c r="D54" s="126"/>
      <c r="E54" s="126"/>
      <c r="F54" s="126"/>
      <c r="G54" s="124"/>
      <c r="H54" s="124"/>
      <c r="I54" s="126"/>
      <c r="J54" s="126"/>
      <c r="K54" s="126"/>
      <c r="L54" s="126"/>
      <c r="M54" s="126"/>
      <c r="N54" s="126"/>
      <c r="O54" s="124"/>
      <c r="P54" s="124"/>
      <c r="Q54" s="124"/>
      <c r="R54" s="124"/>
    </row>
    <row customHeight="true" ht="13" r="55">
      <c r="A55" s="126"/>
      <c r="B55" s="126"/>
      <c r="C55" s="126"/>
      <c r="D55" s="126"/>
      <c r="E55" s="126"/>
      <c r="F55" s="126"/>
      <c r="G55" s="124"/>
      <c r="H55" s="124"/>
      <c r="I55" s="126"/>
      <c r="J55" s="126"/>
      <c r="K55" s="126"/>
      <c r="L55" s="126"/>
      <c r="M55" s="126"/>
      <c r="N55" s="126"/>
      <c r="O55" s="124"/>
      <c r="P55" s="124"/>
      <c r="Q55" s="124"/>
      <c r="R55" s="124"/>
    </row>
    <row customHeight="true" ht="13" r="56">
      <c r="A56" s="126"/>
      <c r="B56" s="126"/>
      <c r="C56" s="126"/>
      <c r="D56" s="126"/>
      <c r="E56" s="126"/>
      <c r="F56" s="126"/>
      <c r="G56" s="124"/>
      <c r="H56" s="124"/>
      <c r="I56" s="126"/>
      <c r="J56" s="126"/>
      <c r="K56" s="126"/>
      <c r="L56" s="126"/>
      <c r="M56" s="126"/>
      <c r="N56" s="126"/>
      <c r="O56" s="124"/>
      <c r="P56" s="124"/>
      <c r="Q56" s="124"/>
      <c r="R56" s="124"/>
    </row>
    <row customHeight="true" ht="13" r="57">
      <c r="A57" s="126"/>
      <c r="B57" s="126"/>
      <c r="C57" s="126"/>
      <c r="D57" s="126"/>
      <c r="E57" s="126"/>
      <c r="F57" s="126"/>
      <c r="G57" s="124"/>
      <c r="H57" s="124"/>
      <c r="I57" s="126"/>
      <c r="J57" s="126"/>
      <c r="K57" s="126"/>
      <c r="L57" s="126"/>
      <c r="M57" s="126"/>
      <c r="N57" s="126"/>
      <c r="O57" s="124"/>
      <c r="P57" s="124"/>
      <c r="Q57" s="124"/>
      <c r="R57" s="124"/>
    </row>
    <row customHeight="true" ht="13" r="58">
      <c r="A58" s="126"/>
      <c r="B58" s="126"/>
      <c r="C58" s="126"/>
      <c r="D58" s="126"/>
      <c r="E58" s="126"/>
      <c r="F58" s="126"/>
      <c r="G58" s="124"/>
      <c r="H58" s="124"/>
      <c r="I58" s="126"/>
      <c r="J58" s="126"/>
      <c r="K58" s="126"/>
      <c r="L58" s="126"/>
      <c r="M58" s="126"/>
      <c r="N58" s="126"/>
      <c r="O58" s="124"/>
      <c r="P58" s="124"/>
      <c r="Q58" s="124"/>
      <c r="R58" s="124"/>
    </row>
    <row customHeight="true" ht="13" r="59">
      <c r="A59" s="126"/>
      <c r="B59" s="126"/>
      <c r="C59" s="126"/>
      <c r="D59" s="126"/>
      <c r="E59" s="126"/>
      <c r="F59" s="126"/>
      <c r="G59" s="124"/>
      <c r="H59" s="124"/>
      <c r="I59" s="126"/>
      <c r="J59" s="126"/>
      <c r="K59" s="126"/>
      <c r="L59" s="126"/>
      <c r="M59" s="126"/>
      <c r="N59" s="126"/>
      <c r="O59" s="124"/>
      <c r="P59" s="124"/>
      <c r="Q59" s="124"/>
      <c r="R59" s="124"/>
    </row>
    <row customHeight="true" ht="13" r="60">
      <c r="A60" s="126"/>
      <c r="B60" s="126"/>
      <c r="C60" s="126"/>
      <c r="D60" s="126"/>
      <c r="E60" s="126"/>
      <c r="F60" s="126"/>
      <c r="G60" s="124"/>
      <c r="H60" s="124"/>
      <c r="I60" s="126"/>
      <c r="J60" s="126"/>
      <c r="K60" s="126"/>
      <c r="L60" s="126"/>
      <c r="M60" s="126"/>
      <c r="N60" s="126"/>
      <c r="O60" s="124"/>
      <c r="P60" s="124"/>
      <c r="Q60" s="124"/>
      <c r="R60" s="124"/>
    </row>
    <row customHeight="true" ht="13" r="61">
      <c r="A61" s="126"/>
      <c r="B61" s="126"/>
      <c r="C61" s="126"/>
      <c r="D61" s="126"/>
      <c r="E61" s="126"/>
      <c r="F61" s="126"/>
      <c r="G61" s="124"/>
      <c r="H61" s="124"/>
      <c r="I61" s="126"/>
      <c r="J61" s="126"/>
      <c r="K61" s="126"/>
      <c r="L61" s="126"/>
      <c r="M61" s="126"/>
      <c r="N61" s="126"/>
      <c r="O61" s="124"/>
      <c r="P61" s="124"/>
      <c r="Q61" s="124"/>
      <c r="R61" s="124"/>
    </row>
    <row customHeight="true" ht="13" r="62">
      <c r="A62" s="126"/>
      <c r="B62" s="126"/>
      <c r="C62" s="126"/>
      <c r="D62" s="126"/>
      <c r="E62" s="126"/>
      <c r="F62" s="126"/>
      <c r="G62" s="124"/>
      <c r="H62" s="124"/>
      <c r="I62" s="126"/>
      <c r="J62" s="126"/>
      <c r="K62" s="126"/>
      <c r="L62" s="126"/>
      <c r="M62" s="126"/>
      <c r="N62" s="126"/>
      <c r="O62" s="124"/>
      <c r="P62" s="124"/>
      <c r="Q62" s="124"/>
      <c r="R62" s="124"/>
    </row>
    <row customHeight="true" ht="13" r="63">
      <c r="A63" s="126"/>
      <c r="B63" s="126"/>
      <c r="C63" s="126"/>
      <c r="D63" s="126"/>
      <c r="E63" s="126"/>
      <c r="F63" s="126"/>
      <c r="G63" s="124"/>
      <c r="H63" s="124"/>
      <c r="I63" s="126"/>
      <c r="J63" s="126"/>
      <c r="K63" s="126"/>
      <c r="L63" s="126"/>
      <c r="M63" s="126"/>
      <c r="N63" s="126"/>
      <c r="O63" s="124"/>
      <c r="P63" s="124"/>
      <c r="Q63" s="124"/>
      <c r="R63" s="124"/>
    </row>
    <row customHeight="true" ht="13" r="64">
      <c r="A64" s="126"/>
      <c r="B64" s="126"/>
      <c r="C64" s="126"/>
      <c r="D64" s="126"/>
      <c r="E64" s="126"/>
      <c r="F64" s="126"/>
      <c r="G64" s="124"/>
      <c r="H64" s="124"/>
      <c r="I64" s="126"/>
      <c r="J64" s="126"/>
      <c r="K64" s="126"/>
      <c r="L64" s="126"/>
      <c r="M64" s="126"/>
      <c r="N64" s="126"/>
      <c r="O64" s="124"/>
      <c r="P64" s="124"/>
      <c r="Q64" s="124"/>
      <c r="R64" s="124"/>
    </row>
    <row customHeight="true" ht="13" r="65">
      <c r="A65" s="126"/>
      <c r="B65" s="126"/>
      <c r="C65" s="126"/>
      <c r="D65" s="126"/>
      <c r="E65" s="126"/>
      <c r="F65" s="126"/>
      <c r="G65" s="124"/>
      <c r="H65" s="124"/>
      <c r="I65" s="126"/>
      <c r="J65" s="126"/>
      <c r="K65" s="126"/>
      <c r="L65" s="126"/>
      <c r="M65" s="126"/>
      <c r="N65" s="126"/>
      <c r="O65" s="124"/>
      <c r="P65" s="124"/>
      <c r="Q65" s="124"/>
      <c r="R65" s="124"/>
    </row>
    <row customHeight="true" ht="13" r="66">
      <c r="A66" s="126"/>
      <c r="B66" s="126"/>
      <c r="C66" s="126"/>
      <c r="D66" s="126"/>
      <c r="E66" s="126"/>
      <c r="F66" s="126"/>
      <c r="G66" s="124"/>
      <c r="H66" s="124"/>
      <c r="I66" s="126"/>
      <c r="J66" s="126"/>
      <c r="K66" s="126"/>
      <c r="L66" s="126"/>
      <c r="M66" s="126"/>
      <c r="N66" s="126"/>
      <c r="O66" s="124"/>
      <c r="P66" s="124"/>
      <c r="Q66" s="124"/>
      <c r="R66" s="124"/>
    </row>
    <row customHeight="true" ht="13" r="67">
      <c r="A67" s="126"/>
      <c r="B67" s="126"/>
      <c r="C67" s="126"/>
      <c r="D67" s="126"/>
      <c r="E67" s="126"/>
      <c r="F67" s="126"/>
      <c r="G67" s="124"/>
      <c r="H67" s="124"/>
      <c r="I67" s="126"/>
      <c r="J67" s="126"/>
      <c r="K67" s="126"/>
      <c r="L67" s="126"/>
      <c r="M67" s="126"/>
      <c r="N67" s="126"/>
      <c r="O67" s="124"/>
      <c r="P67" s="124"/>
      <c r="Q67" s="124"/>
      <c r="R67" s="124"/>
    </row>
    <row customHeight="true" ht="13" r="68">
      <c r="A68" s="126"/>
      <c r="B68" s="126"/>
      <c r="C68" s="126"/>
      <c r="D68" s="126"/>
      <c r="E68" s="126"/>
      <c r="F68" s="126"/>
      <c r="G68" s="124"/>
      <c r="H68" s="124"/>
      <c r="I68" s="126"/>
      <c r="J68" s="126"/>
      <c r="K68" s="126"/>
      <c r="L68" s="126"/>
      <c r="M68" s="126"/>
      <c r="N68" s="126"/>
      <c r="O68" s="124"/>
      <c r="P68" s="124"/>
      <c r="Q68" s="124"/>
      <c r="R68" s="124"/>
    </row>
    <row customHeight="true" ht="13" r="69">
      <c r="A69" s="126"/>
      <c r="B69" s="126"/>
      <c r="C69" s="126"/>
      <c r="D69" s="126"/>
      <c r="E69" s="126"/>
      <c r="F69" s="126"/>
      <c r="G69" s="124"/>
      <c r="H69" s="124"/>
      <c r="I69" s="126"/>
      <c r="J69" s="126"/>
      <c r="K69" s="126"/>
      <c r="L69" s="126"/>
      <c r="M69" s="126"/>
      <c r="N69" s="126"/>
      <c r="O69" s="124"/>
      <c r="P69" s="124"/>
      <c r="Q69" s="124"/>
      <c r="R69" s="124"/>
    </row>
    <row customHeight="true" ht="13" r="70">
      <c r="A70" s="126"/>
      <c r="B70" s="126"/>
      <c r="C70" s="126"/>
      <c r="D70" s="126"/>
      <c r="E70" s="126"/>
      <c r="F70" s="126"/>
      <c r="G70" s="124"/>
      <c r="H70" s="124"/>
      <c r="I70" s="126"/>
      <c r="J70" s="126"/>
      <c r="K70" s="126"/>
      <c r="L70" s="126"/>
      <c r="M70" s="126"/>
      <c r="N70" s="126"/>
      <c r="O70" s="124"/>
      <c r="P70" s="124"/>
      <c r="Q70" s="124"/>
      <c r="R70" s="124"/>
    </row>
    <row customHeight="true" ht="13" r="71">
      <c r="A71" s="126"/>
      <c r="B71" s="126"/>
      <c r="C71" s="126"/>
      <c r="D71" s="126"/>
      <c r="E71" s="126"/>
      <c r="F71" s="126"/>
      <c r="G71" s="124"/>
      <c r="H71" s="124"/>
      <c r="I71" s="126"/>
      <c r="J71" s="126"/>
      <c r="K71" s="126"/>
      <c r="L71" s="126"/>
      <c r="M71" s="126"/>
      <c r="N71" s="126"/>
      <c r="O71" s="124"/>
      <c r="P71" s="124"/>
      <c r="Q71" s="124"/>
      <c r="R71" s="124"/>
    </row>
    <row customHeight="true" ht="13" r="72">
      <c r="A72" s="126"/>
      <c r="B72" s="126"/>
      <c r="C72" s="126"/>
      <c r="D72" s="126"/>
      <c r="E72" s="126"/>
      <c r="F72" s="126"/>
      <c r="G72" s="124"/>
      <c r="H72" s="124"/>
      <c r="I72" s="126"/>
      <c r="J72" s="126"/>
      <c r="K72" s="126"/>
      <c r="L72" s="126"/>
      <c r="M72" s="126"/>
      <c r="N72" s="126"/>
      <c r="O72" s="124"/>
      <c r="P72" s="124"/>
      <c r="Q72" s="124"/>
      <c r="R72" s="124"/>
    </row>
    <row customHeight="true" ht="13" r="73">
      <c r="A73" s="126"/>
      <c r="B73" s="126"/>
      <c r="C73" s="126"/>
      <c r="D73" s="126"/>
      <c r="E73" s="126"/>
      <c r="F73" s="126"/>
      <c r="G73" s="124"/>
      <c r="H73" s="124"/>
      <c r="I73" s="126"/>
      <c r="J73" s="126"/>
      <c r="K73" s="126"/>
      <c r="L73" s="126"/>
      <c r="M73" s="126"/>
      <c r="N73" s="126"/>
      <c r="O73" s="124"/>
      <c r="P73" s="124"/>
      <c r="Q73" s="124"/>
      <c r="R73" s="124"/>
    </row>
    <row customHeight="true" ht="13" r="74">
      <c r="A74" s="126"/>
      <c r="B74" s="126"/>
      <c r="C74" s="126"/>
      <c r="D74" s="126"/>
      <c r="E74" s="126"/>
      <c r="F74" s="126"/>
      <c r="G74" s="124"/>
      <c r="H74" s="124"/>
      <c r="I74" s="126"/>
      <c r="J74" s="126"/>
      <c r="K74" s="126"/>
      <c r="L74" s="126"/>
      <c r="M74" s="126"/>
      <c r="N74" s="126"/>
      <c r="O74" s="124"/>
      <c r="P74" s="124"/>
      <c r="Q74" s="124"/>
      <c r="R74" s="124"/>
    </row>
    <row customHeight="true" ht="13" r="75">
      <c r="A75" s="126"/>
      <c r="B75" s="126"/>
      <c r="C75" s="126"/>
      <c r="D75" s="126"/>
      <c r="E75" s="126"/>
      <c r="F75" s="126"/>
      <c r="G75" s="124"/>
      <c r="H75" s="124"/>
      <c r="I75" s="126"/>
      <c r="J75" s="126"/>
      <c r="K75" s="126"/>
      <c r="L75" s="126"/>
      <c r="M75" s="126"/>
      <c r="N75" s="126"/>
      <c r="O75" s="124"/>
      <c r="P75" s="124"/>
      <c r="Q75" s="124"/>
      <c r="R75" s="124"/>
    </row>
    <row customHeight="true" ht="13" r="76">
      <c r="A76" s="126"/>
      <c r="B76" s="126"/>
      <c r="C76" s="126"/>
      <c r="D76" s="126"/>
      <c r="E76" s="126"/>
      <c r="F76" s="126"/>
      <c r="G76" s="124"/>
      <c r="H76" s="124"/>
      <c r="I76" s="126"/>
      <c r="J76" s="126"/>
      <c r="K76" s="126"/>
      <c r="L76" s="126"/>
      <c r="M76" s="126"/>
      <c r="N76" s="126"/>
      <c r="O76" s="124"/>
      <c r="P76" s="124"/>
      <c r="Q76" s="124"/>
      <c r="R76" s="124"/>
    </row>
    <row customHeight="true" ht="13" r="77">
      <c r="A77" s="126"/>
      <c r="B77" s="126"/>
      <c r="C77" s="126"/>
      <c r="D77" s="126"/>
      <c r="E77" s="126"/>
      <c r="F77" s="126"/>
      <c r="G77" s="124"/>
      <c r="H77" s="124"/>
      <c r="I77" s="126"/>
      <c r="J77" s="126"/>
      <c r="K77" s="126"/>
      <c r="L77" s="126"/>
      <c r="M77" s="126"/>
      <c r="N77" s="126"/>
      <c r="O77" s="124"/>
      <c r="P77" s="124"/>
      <c r="Q77" s="124"/>
      <c r="R77" s="124"/>
    </row>
    <row customHeight="true" ht="13" r="78">
      <c r="A78" s="126"/>
      <c r="B78" s="126"/>
      <c r="C78" s="126"/>
      <c r="D78" s="126"/>
      <c r="E78" s="126"/>
      <c r="F78" s="126"/>
      <c r="G78" s="124"/>
      <c r="H78" s="124"/>
      <c r="I78" s="126"/>
      <c r="J78" s="126"/>
      <c r="K78" s="126"/>
      <c r="L78" s="126"/>
      <c r="M78" s="126"/>
      <c r="N78" s="126"/>
      <c r="O78" s="124"/>
      <c r="P78" s="124"/>
      <c r="Q78" s="124"/>
      <c r="R78" s="124"/>
    </row>
    <row customHeight="true" ht="13" r="79">
      <c r="A79" s="123" t="str">
        <v>关键词</v>
      </c>
      <c r="B79" s="123" t="str">
        <v>关键词翻译</v>
      </c>
      <c r="C79" s="128" t="str">
        <v>流量占比</v>
      </c>
      <c r="D79" s="129" t="str">
        <v>预估周曝光量</v>
      </c>
      <c r="E79" s="123" t="str">
        <v>关键词类型</v>
      </c>
      <c r="F79" s="123" t="str">
        <v>转化效果自然流量占比</v>
      </c>
      <c r="G79" s="124" t="str">
        <v>B0F1F7J8V3</v>
      </c>
      <c r="H79" s="124"/>
      <c r="I79" s="126"/>
      <c r="J79" s="126"/>
      <c r="K79" s="126"/>
      <c r="L79" s="126"/>
      <c r="M79" s="126"/>
      <c r="N79" s="126"/>
      <c r="O79" s="124"/>
      <c r="P79" s="124"/>
      <c r="Q79" s="124"/>
      <c r="R79" s="124"/>
    </row>
    <row customHeight="true" ht="15" r="80">
      <c r="A80" s="134" t="str">
        <v>milbensauger</v>
      </c>
      <c r="B80" s="134" t="str">
        <v>吸螨虫</v>
      </c>
      <c r="C80" s="133">
        <v>0.497508</v>
      </c>
      <c r="D80" s="132">
        <v>13984</v>
      </c>
      <c r="E80" s="136" t="str">
        <v>主要流量词</v>
      </c>
      <c r="F80" s="135">
        <v>0.3471</v>
      </c>
      <c r="G80" s="124"/>
      <c r="H80" s="124"/>
      <c r="I80" s="126"/>
      <c r="J80" s="126"/>
      <c r="K80" s="126"/>
      <c r="L80" s="126"/>
      <c r="M80" s="126"/>
      <c r="N80" s="126"/>
      <c r="O80" s="124"/>
      <c r="P80" s="124"/>
      <c r="Q80" s="124"/>
      <c r="R80" s="124"/>
    </row>
    <row customHeight="true" ht="15" r="81">
      <c r="A81" s="134" t="str">
        <v>milbensauger für matratzen</v>
      </c>
      <c r="B81" s="134" t="str">
        <v>用于床垫的吸尘器</v>
      </c>
      <c r="C81" s="133">
        <v>0.294441</v>
      </c>
      <c r="D81" s="132">
        <v>8276</v>
      </c>
      <c r="E81" s="136" t="str">
        <v>主要流量词</v>
      </c>
      <c r="F81" s="135">
        <v>0.41862</v>
      </c>
      <c r="G81" s="124"/>
      <c r="H81" s="124"/>
      <c r="I81" s="126"/>
      <c r="J81" s="126"/>
      <c r="K81" s="126"/>
      <c r="L81" s="126"/>
      <c r="M81" s="126"/>
      <c r="N81" s="126"/>
      <c r="O81" s="124"/>
      <c r="P81" s="124"/>
      <c r="Q81" s="124"/>
      <c r="R81" s="124"/>
    </row>
    <row customHeight="true" ht="15" r="82">
      <c r="A82" s="134" t="str">
        <v>sofa reiniger</v>
      </c>
      <c r="B82" s="134" t="str">
        <v>沙发清洁剂</v>
      </c>
      <c r="C82" s="133">
        <v>0.059295</v>
      </c>
      <c r="D82" s="132">
        <v>1667</v>
      </c>
      <c r="E82" s="136"/>
      <c r="F82" s="135">
        <v>0.61722</v>
      </c>
      <c r="G82" s="124"/>
      <c r="H82" s="124"/>
      <c r="I82" s="126"/>
      <c r="J82" s="126"/>
      <c r="K82" s="126"/>
      <c r="L82" s="126"/>
      <c r="M82" s="126"/>
      <c r="N82" s="126"/>
      <c r="O82" s="124"/>
      <c r="P82" s="124"/>
      <c r="Q82" s="124"/>
      <c r="R82" s="124"/>
    </row>
    <row customHeight="true" ht="15" r="83">
      <c r="A83" s="134" t="str">
        <v>matratzenreiniger</v>
      </c>
      <c r="B83" s="134" t="str">
        <v>床垫清洁剂</v>
      </c>
      <c r="C83" s="133">
        <v>0.047246</v>
      </c>
      <c r="D83" s="132">
        <v>1328</v>
      </c>
      <c r="E83" s="136"/>
      <c r="F83" s="135">
        <v>0.80955</v>
      </c>
      <c r="G83" s="124"/>
      <c r="H83" s="124"/>
      <c r="I83" s="126"/>
      <c r="J83" s="126"/>
      <c r="K83" s="126"/>
      <c r="L83" s="126"/>
      <c r="M83" s="126"/>
      <c r="N83" s="126"/>
      <c r="O83" s="124"/>
      <c r="P83" s="124"/>
      <c r="Q83" s="124"/>
      <c r="R83" s="124"/>
    </row>
    <row customHeight="true" ht="15" r="84">
      <c r="A84" s="134" t="str">
        <v>milbensauger für matratzen testsieger</v>
      </c>
      <c r="B84" s="134" t="str">
        <v>用于床垫测试的螨虫吸尘器测试获胜者</v>
      </c>
      <c r="C84" s="133">
        <v>0.02472</v>
      </c>
      <c r="D84" s="132">
        <v>695</v>
      </c>
      <c r="E84" s="136"/>
      <c r="F84" s="135">
        <v>0.46301</v>
      </c>
      <c r="G84" s="124"/>
      <c r="H84" s="124"/>
      <c r="I84" s="126"/>
      <c r="J84" s="126"/>
      <c r="K84" s="126"/>
      <c r="L84" s="126"/>
      <c r="M84" s="126"/>
      <c r="N84" s="126"/>
      <c r="O84" s="124"/>
      <c r="P84" s="124"/>
      <c r="Q84" s="124"/>
      <c r="R84" s="124"/>
    </row>
    <row customHeight="true" ht="15" r="85">
      <c r="A85" s="134" t="str">
        <v>milbensauger mit uv licht</v>
      </c>
      <c r="B85" s="134" t="str">
        <v>带紫外线灯的螨虫奶嘴</v>
      </c>
      <c r="C85" s="133">
        <v>0.019301</v>
      </c>
      <c r="D85" s="132">
        <v>543</v>
      </c>
      <c r="E85" s="136"/>
      <c r="F85" s="135">
        <v>0.06106</v>
      </c>
      <c r="G85" s="124"/>
      <c r="H85" s="124"/>
      <c r="I85" s="126"/>
      <c r="J85" s="126"/>
      <c r="K85" s="126"/>
      <c r="L85" s="126"/>
      <c r="M85" s="126"/>
      <c r="N85" s="126"/>
      <c r="O85" s="124"/>
      <c r="P85" s="124"/>
      <c r="Q85" s="124"/>
      <c r="R85" s="124"/>
    </row>
    <row customHeight="true" ht="15" r="86">
      <c r="A86" s="134" t="str">
        <v>hoover milbensauger</v>
      </c>
      <c r="B86" s="134" t="str">
        <v>胡佛螨吸盘</v>
      </c>
      <c r="C86" s="133">
        <v>0.017954</v>
      </c>
      <c r="D86" s="132">
        <v>505</v>
      </c>
      <c r="E86" s="136" t="str">
        <v>精准长尾词</v>
      </c>
      <c r="F86" s="135">
        <v>0.50632</v>
      </c>
      <c r="G86" s="124"/>
      <c r="H86" s="124"/>
      <c r="I86" s="126"/>
      <c r="J86" s="126"/>
      <c r="K86" s="126"/>
      <c r="L86" s="126"/>
      <c r="M86" s="126"/>
      <c r="N86" s="126"/>
      <c r="O86" s="124"/>
      <c r="P86" s="124"/>
      <c r="Q86" s="124"/>
      <c r="R86" s="124"/>
    </row>
    <row customHeight="true" ht="15" r="87">
      <c r="A87" s="134" t="str">
        <v>milbenstaubsauger</v>
      </c>
      <c r="B87" s="134" t="str">
        <v>螨吸尘器</v>
      </c>
      <c r="C87" s="133">
        <v>0.008428</v>
      </c>
      <c r="D87" s="132">
        <v>237</v>
      </c>
      <c r="E87" s="136"/>
      <c r="F87" s="135">
        <v>0.28778</v>
      </c>
      <c r="G87" s="124"/>
      <c r="H87" s="124"/>
      <c r="I87" s="126"/>
      <c r="J87" s="126"/>
      <c r="K87" s="126"/>
      <c r="L87" s="126"/>
      <c r="M87" s="126"/>
      <c r="N87" s="126"/>
      <c r="O87" s="124"/>
      <c r="P87" s="124"/>
      <c r="Q87" s="124"/>
      <c r="R87" s="124"/>
    </row>
    <row customHeight="true" ht="15" r="88">
      <c r="A88" s="134" t="str">
        <v>polsterreiniger</v>
      </c>
      <c r="B88" s="134" t="str">
        <v>室内装饰品清洁剂</v>
      </c>
      <c r="C88" s="133">
        <v>0.007424</v>
      </c>
      <c r="D88" s="132">
        <v>209</v>
      </c>
      <c r="E88" s="136"/>
      <c r="F88" s="136"/>
      <c r="G88" s="124"/>
      <c r="H88" s="124"/>
      <c r="I88" s="126"/>
      <c r="J88" s="126"/>
      <c r="K88" s="126"/>
      <c r="L88" s="126"/>
      <c r="M88" s="126"/>
      <c r="N88" s="126"/>
      <c r="O88" s="124"/>
      <c r="P88" s="124"/>
      <c r="Q88" s="124"/>
      <c r="R88" s="124"/>
    </row>
    <row customHeight="true" ht="15" r="89">
      <c r="A89" s="134" t="str">
        <v>teppichreiniger gerät</v>
      </c>
      <c r="B89" s="134" t="str">
        <v>地毯清洁装置</v>
      </c>
      <c r="C89" s="133">
        <v>0.002209</v>
      </c>
      <c r="D89" s="132">
        <v>62</v>
      </c>
      <c r="E89" s="136"/>
      <c r="F89" s="136"/>
      <c r="G89" s="124"/>
      <c r="H89" s="124"/>
      <c r="I89" s="126"/>
      <c r="J89" s="126"/>
      <c r="K89" s="126"/>
      <c r="L89" s="126"/>
      <c r="M89" s="126"/>
      <c r="N89" s="126"/>
      <c r="O89" s="124"/>
      <c r="P89" s="124"/>
      <c r="Q89" s="124"/>
      <c r="R89" s="124"/>
    </row>
    <row customHeight="true" ht="15" r="90">
      <c r="A90" s="134" t="str">
        <v>polsterreinigungsgerät</v>
      </c>
      <c r="B90" s="134" t="str">
        <v>室内装潢清洗机</v>
      </c>
      <c r="C90" s="133">
        <v>0.001316</v>
      </c>
      <c r="D90" s="132">
        <v>37</v>
      </c>
      <c r="E90" s="136"/>
      <c r="F90" s="136"/>
      <c r="G90" s="124"/>
      <c r="H90" s="124"/>
      <c r="I90" s="126"/>
      <c r="J90" s="126"/>
      <c r="K90" s="126"/>
      <c r="L90" s="126"/>
      <c r="M90" s="126"/>
      <c r="N90" s="126"/>
      <c r="O90" s="124"/>
      <c r="P90" s="124"/>
      <c r="Q90" s="124"/>
      <c r="R90" s="124"/>
    </row>
  </sheetData>
  <mergeCells>
    <mergeCell ref="A1:E1"/>
  </mergeCells>
  <drawing r:id="rId1"/>
  <legacyDrawing r:id="rId2"/>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3" xSplit="2" ySplit="2"/>
    </sheetView>
  </sheetViews>
  <sheetFormatPr defaultColWidth="14" defaultRowHeight="19"/>
  <cols>
    <col collapsed="false" customWidth="true" hidden="false" max="1" min="1" style="0" width="14"/>
    <col collapsed="false" customWidth="true" hidden="false" max="2" min="2" style="0" width="15"/>
    <col collapsed="false" customWidth="true" hidden="false" max="3" min="3" style="0" width="18"/>
    <col collapsed="false" customWidth="true" hidden="false" max="4" min="4" style="0" width="14"/>
    <col collapsed="false" customWidth="true" hidden="false" max="5" min="5" style="0" width="14"/>
    <col collapsed="false" customWidth="true" hidden="false" max="6" min="6" style="0" width="19"/>
    <col collapsed="false" customWidth="true" hidden="false" max="7" min="7" style="0" width="20"/>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20"/>
    <col collapsed="false" customWidth="true" hidden="false" max="13" min="13" style="0" width="14"/>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33"/>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7"/>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2"/>
    <col collapsed="false" customWidth="true" hidden="false" max="28" min="28" style="0" width="12"/>
    <col collapsed="false" customWidth="true" hidden="false" max="29" min="29" style="0" width="14"/>
    <col collapsed="false" customWidth="true" hidden="false" max="30" min="30" style="0" width="14"/>
    <col collapsed="false" customWidth="true" hidden="false" max="31" min="31" style="0" width="14"/>
  </cols>
  <sheetData>
    <row customHeight="true" ht="18" r="1">
      <c r="A1" s="175" t="str">
        <v>WEEK</v>
      </c>
      <c r="B1" s="175" t="str">
        <v>Date</v>
      </c>
      <c r="C1" s="174" t="str">
        <v>SKU</v>
      </c>
      <c r="D1" s="174" t="str">
        <v>售价</v>
      </c>
      <c r="E1" s="174" t="str">
        <v>COUPON</v>
      </c>
      <c r="F1" s="174" t="str">
        <v>Action</v>
      </c>
      <c r="G1" s="174" t="str">
        <v>目标平均日销</v>
      </c>
      <c r="H1" s="175" t="str">
        <v>周销</v>
      </c>
      <c r="I1" s="174" t="str">
        <v>目标排名</v>
      </c>
      <c r="J1" s="174" t="str">
        <v>Review星级/数量</v>
      </c>
      <c r="K1" s="171" t="str">
        <v>REVIEW计划</v>
      </c>
      <c r="L1" s="171"/>
      <c r="M1" s="177" t="str">
        <v>周消耗库存</v>
      </c>
      <c r="N1" s="175" t="str">
        <v>销售额</v>
      </c>
      <c r="O1" s="175" t="str">
        <v>日均流量</v>
      </c>
      <c r="P1" s="174" t="str">
        <v>转化率</v>
      </c>
      <c r="Q1" s="174" t="str">
        <v>主关键词自然搜索排名</v>
      </c>
      <c r="R1" s="172" t="str">
        <v>广告计划</v>
      </c>
      <c r="S1" s="172"/>
      <c r="T1" s="172"/>
      <c r="U1" s="172"/>
      <c r="V1" s="172"/>
      <c r="W1" s="172"/>
      <c r="X1" s="176" t="str">
        <v>库存计划</v>
      </c>
      <c r="Y1" s="173"/>
      <c r="Z1" s="173"/>
      <c r="AA1" s="173"/>
      <c r="AB1" s="173"/>
      <c r="AC1" s="173"/>
      <c r="AD1" s="173"/>
      <c r="AE1" s="169"/>
    </row>
    <row customHeight="true" ht="35" r="2">
      <c r="A2" s="179"/>
      <c r="B2" s="179"/>
      <c r="C2" s="178"/>
      <c r="D2" s="178"/>
      <c r="E2" s="178"/>
      <c r="F2" s="178"/>
      <c r="G2" s="178"/>
      <c r="H2" s="179"/>
      <c r="I2" s="178"/>
      <c r="J2" s="178"/>
      <c r="K2" s="171" t="str">
        <v>送出数量</v>
      </c>
      <c r="L2" s="171" t="str">
        <v>措施</v>
      </c>
      <c r="M2" s="179"/>
      <c r="N2" s="179"/>
      <c r="O2" s="179"/>
      <c r="P2" s="178"/>
      <c r="Q2" s="178"/>
      <c r="R2" s="172" t="str">
        <v>广告日预算</v>
      </c>
      <c r="S2" s="172" t="str">
        <v>每日点击</v>
      </c>
      <c r="T2" s="171" t="str">
        <v>CPC</v>
      </c>
      <c r="U2" s="181" t="str">
        <v>CVR</v>
      </c>
      <c r="V2" s="172" t="str">
        <v>广告日订单</v>
      </c>
      <c r="W2" s="180" t="str">
        <v>广告订单占比</v>
      </c>
      <c r="X2" s="180"/>
      <c r="Y2" s="180"/>
      <c r="Z2" s="180" t="str">
        <v>LBS库存</v>
      </c>
      <c r="AA2" s="180" t="str">
        <v>SZ</v>
      </c>
      <c r="AB2" s="180" t="str">
        <v>LBS在途</v>
      </c>
      <c r="AC2" s="180" t="str">
        <v>LBS发货</v>
      </c>
      <c r="AD2" s="180" t="str">
        <v>采购计划</v>
      </c>
      <c r="AE2" s="169"/>
    </row>
    <row customHeight="true" ht="45" r="3">
      <c r="A3" s="162" t="str">
        <v>WEEK1</v>
      </c>
      <c r="B3" s="162" t="str">
        <v>4.18-4.25</v>
      </c>
      <c r="C3" s="151" t="str">
        <v>R0001EU</v>
      </c>
      <c r="D3" s="151">
        <v>109.99</v>
      </c>
      <c r="E3" s="161">
        <v>20</v>
      </c>
      <c r="F3" s="151" t="str">
        <v>10 coupon+广告</v>
      </c>
      <c r="G3" s="167">
        <f>M3/7</f>
      </c>
      <c r="H3" s="162">
        <f>G3*7</f>
      </c>
      <c r="I3" s="162">
        <v>60</v>
      </c>
      <c r="J3" s="162">
        <v>4.7</v>
      </c>
      <c r="K3" s="162" t="str">
        <v>首单测评1单5星</v>
      </c>
      <c r="L3" s="166" t="str">
        <v>直评 10个</v>
      </c>
      <c r="M3" s="162">
        <v>44</v>
      </c>
      <c r="N3" s="162">
        <f>D3*H3</f>
      </c>
      <c r="O3" s="165">
        <v>66</v>
      </c>
      <c r="P3" s="168">
        <f>G3/O3</f>
      </c>
      <c r="Q3" s="151" t="str">
        <v>主推关键词：milbensauger,milbensauger für matratzen
目标：第5页</v>
      </c>
      <c r="R3" s="150">
        <f>T3*S3</f>
      </c>
      <c r="S3" s="167">
        <f>V3/U3</f>
      </c>
      <c r="T3" s="150">
        <v>1.2</v>
      </c>
      <c r="U3" s="164">
        <v>0.11</v>
      </c>
      <c r="V3" s="165">
        <f>G3*W3</f>
      </c>
      <c r="W3" s="157">
        <v>0.7</v>
      </c>
      <c r="X3" s="162">
        <v>1200</v>
      </c>
      <c r="Y3" s="162">
        <v>0</v>
      </c>
      <c r="Z3" s="162">
        <v>0</v>
      </c>
      <c r="AA3" s="162">
        <v>1310</v>
      </c>
      <c r="AB3" s="162" t="str">
        <v>2490海运</v>
      </c>
      <c r="AC3" s="162"/>
      <c r="AD3" s="162"/>
      <c r="AE3" s="169"/>
    </row>
    <row customHeight="true" ht="45" r="4">
      <c r="A4" s="162" t="str">
        <v>WEEK2</v>
      </c>
      <c r="B4" s="162" t="str">
        <v>4.26-5.2</v>
      </c>
      <c r="C4" s="151" t="str">
        <v>R0001EU</v>
      </c>
      <c r="D4" s="151">
        <v>109.99</v>
      </c>
      <c r="E4" s="161">
        <v>20</v>
      </c>
      <c r="F4" s="151" t="str">
        <v>coupon+广告</v>
      </c>
      <c r="G4" s="167">
        <f>M4/7</f>
      </c>
      <c r="H4" s="162">
        <f>G4*7</f>
      </c>
      <c r="I4" s="162">
        <v>40</v>
      </c>
      <c r="J4" s="162">
        <v>4.7</v>
      </c>
      <c r="K4" s="162" t="str">
        <v>绿标10个</v>
      </c>
      <c r="L4" s="166" t="str">
        <v>直评补 3-5个</v>
      </c>
      <c r="M4" s="162">
        <v>81</v>
      </c>
      <c r="N4" s="162">
        <f>D4*H4</f>
      </c>
      <c r="O4" s="165">
        <v>88</v>
      </c>
      <c r="P4" s="168">
        <f>G4/O4</f>
      </c>
      <c r="Q4" s="151" t="str">
        <v>主推关键词：milbensauger,milbensauger für matratzen
目标：第4页</v>
      </c>
      <c r="R4" s="150">
        <f>T4*S4</f>
      </c>
      <c r="S4" s="167">
        <f>V4/U4</f>
      </c>
      <c r="T4" s="150">
        <v>1.2</v>
      </c>
      <c r="U4" s="164">
        <v>0.12</v>
      </c>
      <c r="V4" s="165">
        <f>G4*W4</f>
      </c>
      <c r="W4" s="157">
        <v>0.65</v>
      </c>
      <c r="X4" s="162">
        <f>X3-H3</f>
      </c>
      <c r="Y4" s="162">
        <v>0</v>
      </c>
      <c r="Z4" s="162">
        <v>0</v>
      </c>
      <c r="AA4" s="162">
        <v>1310</v>
      </c>
      <c r="AB4" s="162">
        <v>2490</v>
      </c>
      <c r="AC4" s="162"/>
      <c r="AD4" s="162"/>
      <c r="AE4" s="169"/>
    </row>
    <row customHeight="true" ht="45" r="5">
      <c r="A5" s="162" t="str">
        <v>WEEK3</v>
      </c>
      <c r="B5" s="162" t="str">
        <v>5.3-5.9</v>
      </c>
      <c r="C5" s="151" t="str">
        <v>R0001EU</v>
      </c>
      <c r="D5" s="151">
        <v>109.99</v>
      </c>
      <c r="E5" s="161">
        <v>20</v>
      </c>
      <c r="F5" s="151" t="str">
        <v>coupon+广告</v>
      </c>
      <c r="G5" s="167">
        <f>M5/7</f>
      </c>
      <c r="H5" s="162">
        <f>G5*7</f>
      </c>
      <c r="I5" s="182">
        <v>30</v>
      </c>
      <c r="J5" s="162">
        <v>4.7</v>
      </c>
      <c r="K5" s="162">
        <v>1</v>
      </c>
      <c r="L5" s="166" t="str">
        <v>测评</v>
      </c>
      <c r="M5" s="162">
        <v>55</v>
      </c>
      <c r="N5" s="162">
        <f>D5*H5</f>
      </c>
      <c r="O5" s="165">
        <v>60</v>
      </c>
      <c r="P5" s="168">
        <f>G5/O5</f>
      </c>
      <c r="Q5" s="151" t="str">
        <v>主推关键词：milbensauger,milbensauger für matratzen
目标：第3页</v>
      </c>
      <c r="R5" s="150">
        <f>T5*S5</f>
      </c>
      <c r="S5" s="167">
        <f>V5/U5</f>
      </c>
      <c r="T5" s="150">
        <v>1.1</v>
      </c>
      <c r="U5" s="164">
        <v>0.13</v>
      </c>
      <c r="V5" s="165">
        <f>G5*W5</f>
      </c>
      <c r="W5" s="157">
        <v>0.6</v>
      </c>
      <c r="X5" s="162">
        <f>X4-H4</f>
      </c>
      <c r="Y5" s="162">
        <v>0</v>
      </c>
      <c r="Z5" s="162">
        <v>2490</v>
      </c>
      <c r="AA5" s="162">
        <v>0</v>
      </c>
      <c r="AB5" s="162" t="str">
        <v>1310卡派</v>
      </c>
      <c r="AC5" s="162" t="str">
        <v>720至TT
600至RUI备用</v>
      </c>
      <c r="AD5" s="162"/>
      <c r="AE5" s="169"/>
    </row>
    <row customHeight="true" ht="45" r="6">
      <c r="A6" s="162" t="str">
        <v>WEEK4</v>
      </c>
      <c r="B6" s="162" t="str">
        <v>5.10-5.16</v>
      </c>
      <c r="C6" s="151" t="str">
        <v>R0001EU</v>
      </c>
      <c r="D6" s="151">
        <v>109.99</v>
      </c>
      <c r="E6" s="161">
        <v>20</v>
      </c>
      <c r="F6" s="163" t="str">
        <v>10 coupon+7DD+加大广告投放</v>
      </c>
      <c r="G6" s="167">
        <f>M6/7</f>
      </c>
      <c r="H6" s="162">
        <f>G6*7</f>
      </c>
      <c r="I6" s="162">
        <v>20</v>
      </c>
      <c r="J6" s="162">
        <v>4.6</v>
      </c>
      <c r="K6" s="162">
        <v>2</v>
      </c>
      <c r="L6" s="166" t="str">
        <v>测评</v>
      </c>
      <c r="M6" s="162">
        <v>48</v>
      </c>
      <c r="N6" s="162">
        <f>D6*H6</f>
      </c>
      <c r="O6" s="165">
        <v>50</v>
      </c>
      <c r="P6" s="168">
        <f>G6/O6</f>
      </c>
      <c r="Q6" s="151" t="str">
        <v>主推关键词：milbensauger,milbensauger für matratzen
目标：第3页</v>
      </c>
      <c r="R6" s="150">
        <f>T6*S6</f>
      </c>
      <c r="S6" s="167">
        <f>V6/U6</f>
      </c>
      <c r="T6" s="150">
        <v>1.1</v>
      </c>
      <c r="U6" s="164">
        <v>0.15</v>
      </c>
      <c r="V6" s="165">
        <f>G6*W6</f>
      </c>
      <c r="W6" s="157">
        <v>0.5</v>
      </c>
      <c r="X6" s="162">
        <f>X5-H5+720</f>
      </c>
      <c r="Y6" s="162">
        <v>600</v>
      </c>
      <c r="Z6" s="162">
        <v>1170</v>
      </c>
      <c r="AA6" s="162">
        <v>0</v>
      </c>
      <c r="AB6" s="162">
        <v>1310</v>
      </c>
      <c r="AC6" s="162"/>
      <c r="AD6" s="162">
        <v>1500</v>
      </c>
      <c r="AE6" s="169"/>
    </row>
    <row customHeight="true" ht="45" r="7">
      <c r="A7" s="162" t="str">
        <v>WEEK5</v>
      </c>
      <c r="B7" s="162" t="str">
        <v>5.17-5.23</v>
      </c>
      <c r="C7" s="151" t="str">
        <v>R0001EU</v>
      </c>
      <c r="D7" s="151">
        <v>119.99</v>
      </c>
      <c r="E7" s="161">
        <v>10</v>
      </c>
      <c r="F7" s="151" t="str">
        <v>coupon+广告</v>
      </c>
      <c r="G7" s="167">
        <f>M7/7</f>
      </c>
      <c r="H7" s="162">
        <f>G7*7</f>
      </c>
      <c r="I7" s="162">
        <v>28</v>
      </c>
      <c r="J7" s="162">
        <v>4.6</v>
      </c>
      <c r="K7" s="152">
        <v>2</v>
      </c>
      <c r="L7" s="166" t="str">
        <v>测评</v>
      </c>
      <c r="M7" s="162">
        <v>52</v>
      </c>
      <c r="N7" s="162">
        <f>D7*H7</f>
      </c>
      <c r="O7" s="165">
        <v>56</v>
      </c>
      <c r="P7" s="168">
        <f>G7/O7</f>
      </c>
      <c r="Q7" s="151" t="str">
        <v>主推关键词：milbensauger,milbensauger für matratzen
目标：第2页</v>
      </c>
      <c r="R7" s="150">
        <f>T7*S7</f>
      </c>
      <c r="S7" s="167">
        <f>V7/U7</f>
      </c>
      <c r="T7" s="150">
        <v>1</v>
      </c>
      <c r="U7" s="164">
        <v>0.15</v>
      </c>
      <c r="V7" s="165">
        <f>G7*W7</f>
      </c>
      <c r="W7" s="157">
        <v>0.55</v>
      </c>
      <c r="X7" s="162">
        <f>X6-H6</f>
      </c>
      <c r="Y7" s="162">
        <v>600</v>
      </c>
      <c r="Z7" s="162">
        <v>1170</v>
      </c>
      <c r="AA7" s="162">
        <v>0</v>
      </c>
      <c r="AB7" s="162">
        <v>1310</v>
      </c>
      <c r="AC7" s="162"/>
      <c r="AD7" s="162"/>
      <c r="AE7" s="169"/>
    </row>
    <row customHeight="true" ht="45" r="8">
      <c r="A8" s="162" t="str">
        <v>WEEK6</v>
      </c>
      <c r="B8" s="162" t="str">
        <v>5.24-5.30</v>
      </c>
      <c r="C8" s="151" t="str">
        <v>R0001EU</v>
      </c>
      <c r="D8" s="151">
        <v>119.99</v>
      </c>
      <c r="E8" s="161">
        <v>10</v>
      </c>
      <c r="F8" s="151" t="str">
        <v>coupon+广告</v>
      </c>
      <c r="G8" s="167">
        <f>M8/7</f>
      </c>
      <c r="H8" s="162">
        <f>G8*7</f>
      </c>
      <c r="I8" s="162">
        <v>26</v>
      </c>
      <c r="J8" s="162">
        <v>4.6</v>
      </c>
      <c r="K8" s="152">
        <v>2</v>
      </c>
      <c r="L8" s="166" t="str">
        <v>测评</v>
      </c>
      <c r="M8" s="162">
        <v>50</v>
      </c>
      <c r="N8" s="162">
        <f>D8*H8</f>
      </c>
      <c r="O8" s="165">
        <v>60</v>
      </c>
      <c r="P8" s="168">
        <f>G8/O8</f>
      </c>
      <c r="Q8" s="151" t="str">
        <v>主推关键词：milbensauger,milbensauger für matratzen
目标：第2页</v>
      </c>
      <c r="R8" s="150">
        <f>T8*S8</f>
      </c>
      <c r="S8" s="167">
        <f>V8/U8</f>
      </c>
      <c r="T8" s="150">
        <v>1</v>
      </c>
      <c r="U8" s="164">
        <v>0.15</v>
      </c>
      <c r="V8" s="165">
        <f>G8*W8</f>
      </c>
      <c r="W8" s="157">
        <v>0.5</v>
      </c>
      <c r="X8" s="162">
        <f>X7-H7</f>
      </c>
      <c r="Y8" s="162">
        <v>600</v>
      </c>
      <c r="Z8" s="162">
        <v>1170</v>
      </c>
      <c r="AA8" s="162">
        <v>0</v>
      </c>
      <c r="AB8" s="162">
        <v>1310</v>
      </c>
      <c r="AC8" s="162" t="str">
        <v>900至TT
</v>
      </c>
      <c r="AD8" s="162"/>
      <c r="AE8" s="169"/>
    </row>
    <row customHeight="true" ht="45" r="9">
      <c r="A9" s="162" t="str">
        <v>WEEK7</v>
      </c>
      <c r="B9" s="162" t="str">
        <v>5.31-6.6</v>
      </c>
      <c r="C9" s="151" t="str">
        <v>R0001EU</v>
      </c>
      <c r="D9" s="151">
        <v>119.99</v>
      </c>
      <c r="E9" s="161">
        <v>10</v>
      </c>
      <c r="F9" s="163" t="str">
        <v>7DD+加大广告投放</v>
      </c>
      <c r="G9" s="167">
        <f>M9/7</f>
      </c>
      <c r="H9" s="162">
        <f>G9*7</f>
      </c>
      <c r="I9" s="162">
        <v>20</v>
      </c>
      <c r="J9" s="162">
        <v>4.6</v>
      </c>
      <c r="K9" s="152">
        <v>2</v>
      </c>
      <c r="L9" s="166" t="str">
        <v>测评</v>
      </c>
      <c r="M9" s="162">
        <v>58</v>
      </c>
      <c r="N9" s="162">
        <f>D9*H9</f>
      </c>
      <c r="O9" s="165">
        <v>68</v>
      </c>
      <c r="P9" s="168">
        <f>G9/O9</f>
      </c>
      <c r="Q9" s="151" t="str">
        <v>主推关键词：milbensauger,milbensauger für matratzen
目标：第2页</v>
      </c>
      <c r="R9" s="150">
        <f>T9*S9</f>
      </c>
      <c r="S9" s="167">
        <f>V9/U9</f>
      </c>
      <c r="T9" s="150">
        <v>0.9</v>
      </c>
      <c r="U9" s="164">
        <v>0.16</v>
      </c>
      <c r="V9" s="165">
        <f>G9*W9</f>
      </c>
      <c r="W9" s="157">
        <v>0.4</v>
      </c>
      <c r="X9" s="162">
        <f>X8-H8+900</f>
      </c>
      <c r="Y9" s="162">
        <v>600</v>
      </c>
      <c r="Z9" s="162">
        <f>Z8-900</f>
      </c>
      <c r="AA9" s="162">
        <v>0</v>
      </c>
      <c r="AB9" s="162">
        <v>1310</v>
      </c>
      <c r="AC9" s="162"/>
      <c r="AD9" s="162" t="str">
        <v>1980(PD)</v>
      </c>
      <c r="AE9" s="169"/>
    </row>
    <row customHeight="true" ht="45" r="10">
      <c r="A10" s="162" t="str">
        <v>WEEK8</v>
      </c>
      <c r="B10" s="162" t="str">
        <v>6.7-6.13</v>
      </c>
      <c r="C10" s="151" t="str">
        <v>R0001EU</v>
      </c>
      <c r="D10" s="151">
        <v>119.99</v>
      </c>
      <c r="E10" s="161">
        <v>10</v>
      </c>
      <c r="F10" s="151" t="str">
        <v>coupon+广告</v>
      </c>
      <c r="G10" s="167">
        <f>M10/7</f>
      </c>
      <c r="H10" s="162">
        <f>G10*7</f>
      </c>
      <c r="I10" s="162">
        <v>25</v>
      </c>
      <c r="J10" s="162">
        <v>4.6</v>
      </c>
      <c r="K10" s="152">
        <v>2</v>
      </c>
      <c r="L10" s="166" t="str">
        <v>测评</v>
      </c>
      <c r="M10" s="162">
        <v>50</v>
      </c>
      <c r="N10" s="162">
        <f>D10*H10</f>
      </c>
      <c r="O10" s="165">
        <v>68</v>
      </c>
      <c r="P10" s="168">
        <f>G10/O10</f>
      </c>
      <c r="Q10" s="151" t="str">
        <v>主推关键词：milbensauger,milbensauger für matratzen
目标：第1页</v>
      </c>
      <c r="R10" s="150">
        <f>T10*S10</f>
      </c>
      <c r="S10" s="167">
        <f>V10/U10</f>
      </c>
      <c r="T10" s="150">
        <v>0.9</v>
      </c>
      <c r="U10" s="164">
        <v>0.16</v>
      </c>
      <c r="V10" s="165">
        <f>G10*W10</f>
      </c>
      <c r="W10" s="157">
        <v>0.45</v>
      </c>
      <c r="X10" s="162">
        <f>X9-H9</f>
      </c>
      <c r="Y10" s="162">
        <v>600</v>
      </c>
      <c r="Z10" s="162">
        <v>1580</v>
      </c>
      <c r="AA10" s="162">
        <v>1500</v>
      </c>
      <c r="AB10" s="162">
        <v>0</v>
      </c>
      <c r="AC10" s="162" t="str">
        <v>900至TT</v>
      </c>
      <c r="AD10" s="162"/>
      <c r="AE10" s="169"/>
    </row>
    <row customHeight="true" ht="45" r="11">
      <c r="A11" s="162" t="str">
        <v>WEEK9</v>
      </c>
      <c r="B11" s="162" t="str">
        <v>6.14-6.20</v>
      </c>
      <c r="C11" s="151" t="str">
        <v>R0001EU</v>
      </c>
      <c r="D11" s="151">
        <v>119.99</v>
      </c>
      <c r="E11" s="151">
        <v>10</v>
      </c>
      <c r="F11" s="151" t="str">
        <v>coupon+广告</v>
      </c>
      <c r="G11" s="167">
        <f>M11/7</f>
      </c>
      <c r="H11" s="162">
        <f>G11*7</f>
      </c>
      <c r="I11" s="162">
        <v>24</v>
      </c>
      <c r="J11" s="162">
        <v>4.6</v>
      </c>
      <c r="K11" s="152">
        <v>2</v>
      </c>
      <c r="L11" s="166" t="str">
        <v>测评</v>
      </c>
      <c r="M11" s="162">
        <v>55</v>
      </c>
      <c r="N11" s="162">
        <f>D11*H11</f>
      </c>
      <c r="O11" s="165">
        <v>70</v>
      </c>
      <c r="P11" s="168">
        <f>G11/O11</f>
      </c>
      <c r="Q11" s="151" t="str">
        <v>主推关键词：milbensauger,milbensauger für matratzen
目标：第1页</v>
      </c>
      <c r="R11" s="150">
        <f>T11*S11</f>
      </c>
      <c r="S11" s="167">
        <f>V11/U11</f>
      </c>
      <c r="T11" s="150">
        <v>0.9</v>
      </c>
      <c r="U11" s="164">
        <v>0.16</v>
      </c>
      <c r="V11" s="165">
        <f>G11*W11</f>
      </c>
      <c r="W11" s="157">
        <v>0.4</v>
      </c>
      <c r="X11" s="162">
        <f>X10-H10+900</f>
      </c>
      <c r="Y11" s="162">
        <v>600</v>
      </c>
      <c r="Z11" s="162">
        <v>680</v>
      </c>
      <c r="AA11" s="162">
        <v>0</v>
      </c>
      <c r="AB11" s="162" t="str">
        <v>1500卡派</v>
      </c>
      <c r="AC11" s="162"/>
      <c r="AD11" s="162">
        <v>2100</v>
      </c>
      <c r="AE11" s="169"/>
    </row>
    <row customHeight="true" ht="45" r="12">
      <c r="A12" s="162" t="str">
        <v>WEEK10</v>
      </c>
      <c r="B12" s="162" t="str">
        <v>6.21-6.27</v>
      </c>
      <c r="C12" s="151" t="str">
        <v>R0001EU</v>
      </c>
      <c r="D12" s="151">
        <v>119.99</v>
      </c>
      <c r="E12" s="151">
        <v>10</v>
      </c>
      <c r="F12" s="163" t="str">
        <v>7DD+加大广告投放</v>
      </c>
      <c r="G12" s="167">
        <f>M12/7</f>
      </c>
      <c r="H12" s="162">
        <f>G12*7</f>
      </c>
      <c r="I12" s="162">
        <v>20</v>
      </c>
      <c r="J12" s="162">
        <v>4.6</v>
      </c>
      <c r="K12" s="152">
        <v>2</v>
      </c>
      <c r="L12" s="166" t="str">
        <v>测评</v>
      </c>
      <c r="M12" s="1">
        <v>65</v>
      </c>
      <c r="N12" s="162">
        <f>D12*H12</f>
      </c>
      <c r="O12" s="165">
        <v>75</v>
      </c>
      <c r="P12" s="168">
        <f>G12/O12</f>
      </c>
      <c r="Q12" s="151" t="str">
        <v>主推关键词：milbensauger,milbensauger für matratzen
目标：第1页</v>
      </c>
      <c r="R12" s="150">
        <f>T12*S12</f>
      </c>
      <c r="S12" s="167">
        <f>V12/U12</f>
      </c>
      <c r="T12" s="150">
        <v>0.9</v>
      </c>
      <c r="U12" s="164">
        <v>0.16</v>
      </c>
      <c r="V12" s="165">
        <f>G12*W12</f>
      </c>
      <c r="W12" s="157">
        <v>0.35</v>
      </c>
      <c r="X12" s="162">
        <f>X11-H11</f>
      </c>
      <c r="Y12" s="162">
        <v>600</v>
      </c>
      <c r="Z12" s="162">
        <v>680</v>
      </c>
      <c r="AA12" s="162">
        <v>0</v>
      </c>
      <c r="AB12" s="162">
        <v>1500</v>
      </c>
      <c r="AC12" s="162" t="str">
        <v>680至TT</v>
      </c>
      <c r="AD12" s="162"/>
      <c r="AE12" s="169"/>
    </row>
    <row customHeight="true" ht="45" r="13">
      <c r="A13" s="162" t="str">
        <v>WEEK11</v>
      </c>
      <c r="B13" s="162" t="str">
        <v>6.28-7.4</v>
      </c>
      <c r="C13" s="151" t="str">
        <v>R0001EU</v>
      </c>
      <c r="D13" s="151">
        <v>119.99</v>
      </c>
      <c r="E13" s="151">
        <v>10</v>
      </c>
      <c r="F13" s="151" t="str">
        <v>coupon+广告</v>
      </c>
      <c r="G13" s="167">
        <f>M13/7</f>
      </c>
      <c r="H13" s="162">
        <f>G13*7</f>
      </c>
      <c r="I13" s="162">
        <v>22</v>
      </c>
      <c r="J13" s="162">
        <v>4.6</v>
      </c>
      <c r="K13" s="152">
        <v>2</v>
      </c>
      <c r="L13" s="166" t="str">
        <v>测评</v>
      </c>
      <c r="M13" s="1">
        <v>72</v>
      </c>
      <c r="N13" s="162">
        <f>D13*H13</f>
      </c>
      <c r="O13" s="165">
        <v>75</v>
      </c>
      <c r="P13" s="168">
        <f>G13/O13</f>
      </c>
      <c r="Q13" s="151" t="str">
        <v>主推关键词：milbensauger,milbensauger für matratzen
目标：第1页</v>
      </c>
      <c r="R13" s="150">
        <f>T13*S13</f>
      </c>
      <c r="S13" s="167">
        <f>V13/U13</f>
      </c>
      <c r="T13" s="150">
        <v>0.9</v>
      </c>
      <c r="U13" s="164">
        <v>0.16</v>
      </c>
      <c r="V13" s="165">
        <f>G13*W13</f>
      </c>
      <c r="W13" s="157">
        <v>0.35</v>
      </c>
      <c r="X13" s="162">
        <f>X12-H12+680</f>
      </c>
      <c r="Y13" s="162">
        <v>600</v>
      </c>
      <c r="Z13" s="162">
        <v>0</v>
      </c>
      <c r="AA13" s="162">
        <v>1980</v>
      </c>
      <c r="AB13" s="162">
        <v>1500</v>
      </c>
      <c r="AC13" s="162"/>
      <c r="AD13" s="162"/>
      <c r="AE13" s="169"/>
    </row>
    <row customHeight="true" ht="45" r="14">
      <c r="A14" s="162" t="str">
        <v>WEEK12</v>
      </c>
      <c r="B14" s="162" t="str">
        <v>7.5-7.11</v>
      </c>
      <c r="C14" s="151" t="str">
        <v>R0001EU</v>
      </c>
      <c r="D14" s="151">
        <v>119.99</v>
      </c>
      <c r="E14" s="151">
        <v>10</v>
      </c>
      <c r="F14" s="151" t="str">
        <v>coupon+广告</v>
      </c>
      <c r="G14" s="167">
        <f>M14/7</f>
      </c>
      <c r="H14" s="162">
        <f>G14*7</f>
      </c>
      <c r="I14" s="162">
        <v>21</v>
      </c>
      <c r="J14" s="162">
        <v>4.6</v>
      </c>
      <c r="K14" s="152">
        <v>2</v>
      </c>
      <c r="L14" s="166" t="str">
        <v>测评</v>
      </c>
      <c r="M14" s="1">
        <v>75</v>
      </c>
      <c r="N14" s="162">
        <f>D14*H14</f>
      </c>
      <c r="O14" s="165">
        <v>75</v>
      </c>
      <c r="P14" s="168">
        <f>G14/O14</f>
      </c>
      <c r="Q14" s="151" t="str">
        <v>主推关键词：milbensauger,milbensauger für matratzen
目标：第1页</v>
      </c>
      <c r="R14" s="150">
        <f>T14*S14</f>
      </c>
      <c r="S14" s="167">
        <f>V14/U14</f>
      </c>
      <c r="T14" s="150">
        <v>0.9</v>
      </c>
      <c r="U14" s="164">
        <v>0.16</v>
      </c>
      <c r="V14" s="165">
        <f>G14*W14</f>
      </c>
      <c r="W14" s="157">
        <v>0.3</v>
      </c>
      <c r="X14" s="162">
        <v>1355</v>
      </c>
      <c r="Y14" s="162">
        <f>Y13-H13</f>
      </c>
      <c r="Z14" s="162">
        <v>1500</v>
      </c>
      <c r="AA14" s="162">
        <v>0</v>
      </c>
      <c r="AB14" s="162" t="str">
        <v>1980卡派</v>
      </c>
      <c r="AC14" s="162"/>
      <c r="AD14" s="162"/>
      <c r="AE14" s="169" t="str">
        <v>切换到RUI卖</v>
      </c>
    </row>
    <row customHeight="true" ht="45" r="15">
      <c r="A15" s="162" t="str">
        <v>WEEK13</v>
      </c>
      <c r="B15" s="162" t="str">
        <v>7.12-7.18</v>
      </c>
      <c r="C15" s="151" t="str">
        <v>R0001EU</v>
      </c>
      <c r="D15" s="151">
        <v>119.99</v>
      </c>
      <c r="E15" s="151">
        <v>10</v>
      </c>
      <c r="F15" s="163" t="str">
        <v>7DD+加大广告投放</v>
      </c>
      <c r="G15" s="167">
        <f>M15/7</f>
      </c>
      <c r="H15" s="162">
        <f>G15*7</f>
      </c>
      <c r="I15" s="162">
        <v>20</v>
      </c>
      <c r="J15" s="162">
        <v>4.6</v>
      </c>
      <c r="K15" s="152">
        <v>2</v>
      </c>
      <c r="L15" s="166" t="str">
        <v>测评</v>
      </c>
      <c r="M15" s="1">
        <v>80</v>
      </c>
      <c r="N15" s="162">
        <f>D15*H15</f>
      </c>
      <c r="O15" s="165">
        <v>75</v>
      </c>
      <c r="P15" s="168">
        <f>G15/O15</f>
      </c>
      <c r="Q15" s="151" t="str">
        <v>主推关键词：milbensauger,milbensauger für matratzen
目标：第1页</v>
      </c>
      <c r="R15" s="150">
        <f>T15*S15</f>
      </c>
      <c r="S15" s="167">
        <f>V15/U15</f>
      </c>
      <c r="T15" s="150">
        <v>0.9</v>
      </c>
      <c r="U15" s="164">
        <v>0.17</v>
      </c>
      <c r="V15" s="165">
        <f>G15*W15</f>
      </c>
      <c r="W15" s="157">
        <v>0.3</v>
      </c>
      <c r="X15" s="162">
        <f>X14-H14</f>
      </c>
      <c r="Y15" s="162">
        <v>264</v>
      </c>
      <c r="Z15" s="162">
        <v>1500</v>
      </c>
      <c r="AA15" s="162">
        <v>2100</v>
      </c>
      <c r="AB15" s="162">
        <v>1980</v>
      </c>
      <c r="AC15" s="162"/>
      <c r="AD15" s="162"/>
      <c r="AE15" s="169"/>
    </row>
    <row customHeight="true" ht="45" r="16">
      <c r="A16" s="162" t="str">
        <v>WEEK14</v>
      </c>
      <c r="B16" s="162" t="str">
        <v>7.19-7.25</v>
      </c>
      <c r="C16" s="151" t="str">
        <v>R0001EU</v>
      </c>
      <c r="D16" s="151">
        <v>119.99</v>
      </c>
      <c r="E16" s="170">
        <v>0.1</v>
      </c>
      <c r="F16" s="163" t="str">
        <v>7DD+加大广告投放</v>
      </c>
      <c r="G16" s="167">
        <f>M16/7</f>
      </c>
      <c r="H16" s="162">
        <f>G16*7</f>
      </c>
      <c r="I16" s="162">
        <v>20</v>
      </c>
      <c r="J16" s="162">
        <v>4.6</v>
      </c>
      <c r="K16" s="152">
        <v>2</v>
      </c>
      <c r="L16" s="166" t="str">
        <v>测评</v>
      </c>
      <c r="M16" s="1">
        <v>85</v>
      </c>
      <c r="N16" s="162">
        <f>D16*H16</f>
      </c>
      <c r="O16" s="165">
        <v>75</v>
      </c>
      <c r="P16" s="168">
        <f>G16/O16</f>
      </c>
      <c r="Q16" s="151" t="str">
        <v>主推关键词：milbensauger,milbensauger für matratzen
目标：第1页</v>
      </c>
      <c r="R16" s="150">
        <f>T16*S16</f>
      </c>
      <c r="S16" s="167">
        <f>V16/U16</f>
      </c>
      <c r="T16" s="150">
        <v>0.9</v>
      </c>
      <c r="U16" s="164">
        <v>0.17</v>
      </c>
      <c r="V16" s="165">
        <f>G16*W16</f>
      </c>
      <c r="W16" s="157">
        <v>0.3</v>
      </c>
      <c r="X16" s="162">
        <f>X15-H15</f>
      </c>
      <c r="Y16" s="162">
        <v>264</v>
      </c>
      <c r="Z16" s="162">
        <v>1500</v>
      </c>
      <c r="AA16" s="162">
        <v>2100</v>
      </c>
      <c r="AB16" s="162">
        <v>1980</v>
      </c>
      <c r="AC16" s="162"/>
      <c r="AD16" s="162"/>
      <c r="AE16" s="169"/>
    </row>
    <row customHeight="true" ht="45" r="17">
      <c r="A17" s="162" t="str">
        <v>WEEK15</v>
      </c>
      <c r="B17" s="162" t="str">
        <v>7.26--8.2</v>
      </c>
      <c r="C17" s="151" t="str">
        <v>R0001EU</v>
      </c>
      <c r="D17" s="151">
        <v>119.99</v>
      </c>
      <c r="E17" s="170">
        <v>0.1</v>
      </c>
      <c r="F17" s="163" t="str">
        <v>7DD+加大广告投放</v>
      </c>
      <c r="G17" s="167">
        <f>M17/7</f>
      </c>
      <c r="H17" s="162">
        <f>G17*7</f>
      </c>
      <c r="I17" s="162">
        <v>20</v>
      </c>
      <c r="J17" s="162">
        <v>4.6</v>
      </c>
      <c r="K17" s="152">
        <v>2</v>
      </c>
      <c r="L17" s="166" t="str">
        <v>测评</v>
      </c>
      <c r="M17" s="1">
        <v>95</v>
      </c>
      <c r="N17" s="162">
        <f>D17*H17</f>
      </c>
      <c r="O17" s="165">
        <v>80</v>
      </c>
      <c r="P17" s="168">
        <f>G17/O17</f>
      </c>
      <c r="Q17" s="151" t="str">
        <v>主推关键词：milbensauger,milbensauger für matratzen
目标：第1页</v>
      </c>
      <c r="R17" s="150">
        <f>T17*S17</f>
      </c>
      <c r="S17" s="167">
        <f>V17/U17</f>
      </c>
      <c r="T17" s="150">
        <v>0.9</v>
      </c>
      <c r="U17" s="164">
        <v>0.17</v>
      </c>
      <c r="V17" s="165">
        <f>G17*W17</f>
      </c>
      <c r="W17" s="157">
        <v>0.3</v>
      </c>
      <c r="X17" s="162">
        <f>X16-H16</f>
      </c>
      <c r="Y17" s="162">
        <v>264</v>
      </c>
      <c r="Z17" s="162">
        <v>1500</v>
      </c>
      <c r="AA17" s="162">
        <v>2100</v>
      </c>
      <c r="AB17" s="162">
        <v>1980</v>
      </c>
      <c r="AC17" s="162"/>
      <c r="AD17" s="162"/>
      <c r="AE17" s="169"/>
    </row>
    <row customHeight="true" ht="45" r="18">
      <c r="A18" s="162" t="str">
        <v>WEEK16</v>
      </c>
      <c r="B18" s="162" t="str">
        <v>8.3-8.9</v>
      </c>
      <c r="C18" s="151" t="str">
        <v>R0001EU</v>
      </c>
      <c r="D18" s="151">
        <v>119.99</v>
      </c>
      <c r="E18" s="170">
        <v>0.1</v>
      </c>
      <c r="F18" s="163" t="str">
        <v>7DD+加大广告投放</v>
      </c>
      <c r="G18" s="167">
        <f>M18/7</f>
      </c>
      <c r="H18" s="162">
        <f>G18*7</f>
      </c>
      <c r="I18" s="162">
        <v>20</v>
      </c>
      <c r="J18" s="162">
        <v>4.6</v>
      </c>
      <c r="K18" s="152">
        <v>2</v>
      </c>
      <c r="L18" s="166" t="str">
        <v>测评</v>
      </c>
      <c r="M18" s="1">
        <v>100</v>
      </c>
      <c r="N18" s="162">
        <f>D18*H18</f>
      </c>
      <c r="O18" s="165">
        <v>80</v>
      </c>
      <c r="P18" s="168">
        <f>G18/O18</f>
      </c>
      <c r="Q18" s="151" t="str">
        <v>主推关键词：milbensauger,milbensauger für matratzen
目标：第1页</v>
      </c>
      <c r="R18" s="150">
        <f>T18*S18</f>
      </c>
      <c r="S18" s="167">
        <f>V18/U18</f>
      </c>
      <c r="T18" s="150">
        <v>0.9</v>
      </c>
      <c r="U18" s="164">
        <v>0.17</v>
      </c>
      <c r="V18" s="165">
        <f>G18*W18</f>
      </c>
      <c r="W18" s="157">
        <v>0.3</v>
      </c>
      <c r="X18" s="162">
        <f>X17-H17</f>
      </c>
      <c r="Y18" s="162">
        <v>264</v>
      </c>
      <c r="Z18" s="162">
        <v>1500</v>
      </c>
      <c r="AA18" s="162">
        <v>2100</v>
      </c>
      <c r="AB18" s="162">
        <v>1980</v>
      </c>
      <c r="AC18" s="162"/>
      <c r="AD18" s="162"/>
      <c r="AE18" s="169"/>
    </row>
    <row customHeight="true" ht="45" r="19">
      <c r="A19" s="162" t="str">
        <v>WEEK17</v>
      </c>
      <c r="B19" s="162" t="str">
        <v>8.10-8.16</v>
      </c>
      <c r="C19" s="151" t="str">
        <v>R0001EU</v>
      </c>
      <c r="D19" s="151">
        <v>119.99</v>
      </c>
      <c r="E19" s="170">
        <v>0.1</v>
      </c>
      <c r="F19" s="163" t="str">
        <v>7DD+加大广告投放</v>
      </c>
      <c r="G19" s="167">
        <f>M19/7</f>
      </c>
      <c r="H19" s="162">
        <f>G19*7</f>
      </c>
      <c r="I19" s="162">
        <v>20</v>
      </c>
      <c r="J19" s="162">
        <v>4.6</v>
      </c>
      <c r="K19" s="152">
        <v>2</v>
      </c>
      <c r="L19" s="166" t="str">
        <v>测评</v>
      </c>
      <c r="M19" s="1">
        <v>80</v>
      </c>
      <c r="N19" s="162">
        <f>D19*H19</f>
      </c>
      <c r="O19" s="165">
        <v>80</v>
      </c>
      <c r="P19" s="168">
        <f>G19/O19</f>
      </c>
      <c r="Q19" s="151" t="str">
        <v>主推关键词：milbensauger,milbensauger für matratzen
目标：第1页</v>
      </c>
      <c r="R19" s="150">
        <f>T19*S19</f>
      </c>
      <c r="S19" s="167">
        <f>V19/U19</f>
      </c>
      <c r="T19" s="150">
        <v>0.9</v>
      </c>
      <c r="U19" s="164">
        <v>0.17</v>
      </c>
      <c r="V19" s="165">
        <f>G19*W19</f>
      </c>
      <c r="W19" s="157">
        <v>0.3</v>
      </c>
      <c r="X19" s="162">
        <f>X18-H18</f>
      </c>
      <c r="Y19" s="162">
        <v>264</v>
      </c>
      <c r="Z19" s="162">
        <v>1500</v>
      </c>
      <c r="AA19" s="162">
        <v>2100</v>
      </c>
      <c r="AB19" s="162">
        <v>1980</v>
      </c>
      <c r="AC19" s="162"/>
      <c r="AD19" s="162"/>
      <c r="AE19" s="169"/>
    </row>
    <row customHeight="true" ht="45" r="20">
      <c r="A20" s="162" t="str">
        <v>WEEK18</v>
      </c>
      <c r="B20" s="162" t="str">
        <v>8.17-8.23</v>
      </c>
      <c r="C20" s="151" t="str">
        <v>R0001EU</v>
      </c>
      <c r="D20" s="151">
        <v>119.99</v>
      </c>
      <c r="E20" s="170">
        <v>0.1</v>
      </c>
      <c r="F20" s="163" t="str">
        <v>7DD+加大广告投放</v>
      </c>
      <c r="G20" s="167">
        <f>M20/7</f>
      </c>
      <c r="H20" s="162">
        <f>G20*7</f>
      </c>
      <c r="I20" s="162">
        <v>20</v>
      </c>
      <c r="J20" s="162">
        <v>4.6</v>
      </c>
      <c r="K20" s="152">
        <v>2</v>
      </c>
      <c r="L20" s="166" t="str">
        <v>测评</v>
      </c>
      <c r="M20" s="1">
        <v>60</v>
      </c>
      <c r="N20" s="162">
        <f>D20*H20</f>
      </c>
      <c r="O20" s="165">
        <v>60</v>
      </c>
      <c r="P20" s="168">
        <f>G20/O20</f>
      </c>
      <c r="Q20" s="151" t="str">
        <v>主推关键词：milbensauger,milbensauger für matratzen
目标：第1页</v>
      </c>
      <c r="R20" s="150">
        <f>T20*S20</f>
      </c>
      <c r="S20" s="167">
        <f>V20/U20</f>
      </c>
      <c r="T20" s="150">
        <v>0.9</v>
      </c>
      <c r="U20" s="164">
        <v>0.17</v>
      </c>
      <c r="V20" s="165">
        <f>G20*W20</f>
      </c>
      <c r="W20" s="157">
        <v>0.3</v>
      </c>
      <c r="X20" s="162">
        <f>X19-H19</f>
      </c>
      <c r="Y20" s="162">
        <v>264</v>
      </c>
      <c r="Z20" s="162">
        <v>1500</v>
      </c>
      <c r="AA20" s="162">
        <v>2100</v>
      </c>
      <c r="AB20" s="162">
        <v>1980</v>
      </c>
      <c r="AC20" s="162"/>
      <c r="AD20" s="162"/>
      <c r="AE20" s="169"/>
    </row>
    <row customHeight="true" ht="45" r="21">
      <c r="A21" s="154" t="str">
        <v>WEEK19</v>
      </c>
      <c r="B21" s="154" t="str">
        <v>8.24-8.30</v>
      </c>
      <c r="C21" s="151" t="str">
        <v>R0001EU</v>
      </c>
      <c r="D21" s="148">
        <v>119.99</v>
      </c>
      <c r="E21" s="160">
        <v>0.1</v>
      </c>
      <c r="F21" s="159" t="str">
        <v>7DD+加大广告投放</v>
      </c>
      <c r="G21" s="153">
        <f>M21/7</f>
      </c>
      <c r="H21" s="154">
        <f>G21*7</f>
      </c>
      <c r="I21" s="154">
        <v>20</v>
      </c>
      <c r="J21" s="154">
        <v>4.6</v>
      </c>
      <c r="K21" s="152">
        <v>2</v>
      </c>
      <c r="L21" s="166" t="str">
        <v>测评</v>
      </c>
      <c r="M21" s="1">
        <v>65</v>
      </c>
      <c r="N21" s="154">
        <f>D21*H21</f>
      </c>
      <c r="O21" s="158">
        <v>60</v>
      </c>
      <c r="P21" s="156">
        <f>G21/O21</f>
      </c>
      <c r="Q21" s="148" t="str">
        <v>主推关键词：milbensauger,milbensauger für matratzen
目标：第1页</v>
      </c>
      <c r="R21" s="155">
        <f>T21*S21</f>
      </c>
      <c r="S21" s="153">
        <f>V21/U21</f>
      </c>
      <c r="T21" s="150">
        <v>0.9</v>
      </c>
      <c r="U21" s="184">
        <v>0.17</v>
      </c>
      <c r="V21" s="158">
        <f>G21*W21</f>
      </c>
      <c r="W21" s="183">
        <v>0.3</v>
      </c>
      <c r="X21" s="154">
        <f>X20-H20</f>
      </c>
      <c r="Y21" s="154">
        <v>264</v>
      </c>
      <c r="Z21" s="154">
        <v>1500</v>
      </c>
      <c r="AA21" s="154">
        <v>2100</v>
      </c>
      <c r="AB21" s="154">
        <v>1980</v>
      </c>
      <c r="AC21" s="154"/>
      <c r="AD21" s="154"/>
      <c r="AE21" s="169"/>
    </row>
    <row customHeight="true" ht="58" r="22">
      <c r="A22" s="154" t="str">
        <v>WEEK20</v>
      </c>
      <c r="B22" s="154" t="str">
        <v>8.24-8.30</v>
      </c>
      <c r="C22" s="151" t="str">
        <v>R0001EU</v>
      </c>
      <c r="D22" s="148">
        <v>119.99</v>
      </c>
      <c r="E22" s="160">
        <v>0.1</v>
      </c>
      <c r="F22" s="159" t="str">
        <v>7DD+加大广告投放</v>
      </c>
      <c r="G22" s="153">
        <f>M22/7</f>
      </c>
      <c r="H22" s="154">
        <f>G22*7</f>
      </c>
      <c r="I22" s="154">
        <v>20</v>
      </c>
      <c r="J22" s="154">
        <v>4.6</v>
      </c>
      <c r="K22" s="152">
        <v>2</v>
      </c>
      <c r="L22" s="166" t="str">
        <v>测评</v>
      </c>
      <c r="M22" s="13">
        <v>75</v>
      </c>
      <c r="N22" s="154">
        <f>D22*H22</f>
      </c>
      <c r="O22" s="158">
        <v>60</v>
      </c>
      <c r="P22" s="156">
        <f>G22/O22</f>
      </c>
      <c r="Q22" s="148" t="str">
        <v>主推关键词：milbensauger,milbensauger für matratzen
目标：第1页</v>
      </c>
      <c r="R22" s="155">
        <f>T22*S22</f>
      </c>
      <c r="S22" s="153">
        <f>V22/U22</f>
      </c>
      <c r="T22" s="150">
        <v>0.9</v>
      </c>
      <c r="U22" s="149"/>
      <c r="V22" s="149"/>
      <c r="W22" s="157"/>
      <c r="X22" s="157"/>
      <c r="Y22" s="149"/>
      <c r="Z22" s="149"/>
      <c r="AA22" s="149"/>
      <c r="AB22" s="149"/>
      <c r="AC22" s="149"/>
      <c r="AD22" s="149"/>
      <c r="AE22" s="149"/>
    </row>
    <row customHeight="true" ht="58" r="23">
      <c r="A23" s="154" t="str">
        <v>WEEK21</v>
      </c>
      <c r="B23" s="154" t="str">
        <v>8.24-8.30</v>
      </c>
      <c r="C23" s="151" t="str">
        <v>R0001EU</v>
      </c>
      <c r="D23" s="148">
        <v>119.99</v>
      </c>
      <c r="E23" s="160">
        <v>0.1</v>
      </c>
      <c r="F23" s="159" t="str">
        <v>7DD+加大广告投放</v>
      </c>
      <c r="G23" s="153">
        <f>M23/7</f>
      </c>
      <c r="H23" s="154">
        <f>G23*7</f>
      </c>
      <c r="I23" s="154">
        <v>20</v>
      </c>
      <c r="J23" s="154">
        <v>4.6</v>
      </c>
      <c r="K23" s="152">
        <v>2</v>
      </c>
      <c r="L23" s="166" t="str">
        <v>测评</v>
      </c>
      <c r="M23" s="13">
        <v>80</v>
      </c>
      <c r="N23" s="154">
        <f>D23*H23</f>
      </c>
      <c r="O23" s="158">
        <v>60</v>
      </c>
      <c r="P23" s="156">
        <f>G23/O23</f>
      </c>
      <c r="Q23" s="148" t="str">
        <v>主推关键词：milbensauger,milbensauger für matratzen
目标：第1页</v>
      </c>
      <c r="R23" s="155">
        <f>T23*S23</f>
      </c>
      <c r="S23" s="153">
        <f>V23/U23</f>
      </c>
      <c r="T23" s="150">
        <v>0.9</v>
      </c>
      <c r="U23" s="149"/>
      <c r="V23" s="149"/>
      <c r="W23" s="157"/>
      <c r="X23" s="157"/>
      <c r="Y23" s="149"/>
      <c r="Z23" s="149"/>
      <c r="AA23" s="149"/>
      <c r="AB23" s="149"/>
      <c r="AC23" s="149"/>
      <c r="AD23" s="149"/>
      <c r="AE23" s="149"/>
    </row>
    <row customHeight="true" ht="58" r="24">
      <c r="A24" s="154" t="str">
        <v>WEEK22</v>
      </c>
      <c r="B24" s="154" t="str">
        <v>8.24-8.30</v>
      </c>
      <c r="C24" s="151" t="str">
        <v>R0001EU</v>
      </c>
      <c r="D24" s="148">
        <v>119.99</v>
      </c>
      <c r="E24" s="160">
        <v>0.1</v>
      </c>
      <c r="F24" s="159" t="str">
        <v>7DD+加大广告投放</v>
      </c>
      <c r="G24" s="153">
        <f>M24/7</f>
      </c>
      <c r="H24" s="154">
        <f>G24*7</f>
      </c>
      <c r="I24" s="154">
        <v>20</v>
      </c>
      <c r="J24" s="154">
        <v>4.6</v>
      </c>
      <c r="K24" s="152">
        <v>2</v>
      </c>
      <c r="L24" s="166" t="str">
        <v>测评</v>
      </c>
      <c r="M24" s="13">
        <v>90</v>
      </c>
      <c r="N24" s="154">
        <f>D24*H24</f>
      </c>
      <c r="O24" s="158">
        <v>60</v>
      </c>
      <c r="P24" s="156">
        <f>G24/O24</f>
      </c>
      <c r="Q24" s="148" t="str">
        <v>主推关键词：milbensauger,milbensauger für matratzen
目标：第1页</v>
      </c>
      <c r="R24" s="155">
        <f>T24*S24</f>
      </c>
      <c r="S24" s="153">
        <f>V24/U24</f>
      </c>
      <c r="T24" s="150">
        <v>0.9</v>
      </c>
      <c r="U24" s="149"/>
      <c r="V24" s="149"/>
      <c r="W24" s="157"/>
      <c r="X24" s="157"/>
      <c r="Y24" s="149"/>
      <c r="Z24" s="149"/>
      <c r="AA24" s="149"/>
      <c r="AB24" s="149"/>
      <c r="AC24" s="149"/>
      <c r="AD24" s="149"/>
      <c r="AE24" s="149"/>
    </row>
    <row customHeight="true" ht="58" r="25">
      <c r="A25" s="154" t="str">
        <v>WEEK23</v>
      </c>
      <c r="B25" s="154" t="str">
        <v>8.24-8.30</v>
      </c>
      <c r="C25" s="151" t="str">
        <v>R0001EU</v>
      </c>
      <c r="D25" s="148">
        <v>119.99</v>
      </c>
      <c r="E25" s="160">
        <v>0.1</v>
      </c>
      <c r="F25" s="159" t="str">
        <v>7DD+加大广告投放</v>
      </c>
      <c r="G25" s="153">
        <f>M25/7</f>
      </c>
      <c r="H25" s="154">
        <f>G25*7</f>
      </c>
      <c r="I25" s="154">
        <v>20</v>
      </c>
      <c r="J25" s="154">
        <v>4.6</v>
      </c>
      <c r="K25" s="152">
        <v>2</v>
      </c>
      <c r="L25" s="166" t="str">
        <v>测评</v>
      </c>
      <c r="M25" s="13">
        <v>95</v>
      </c>
      <c r="N25" s="154">
        <f>D25*H25</f>
      </c>
      <c r="O25" s="158">
        <v>60</v>
      </c>
      <c r="P25" s="156">
        <f>G25/O25</f>
      </c>
      <c r="Q25" s="148" t="str">
        <v>主推关键词：milbensauger,milbensauger für matratzen
目标：第1页</v>
      </c>
      <c r="R25" s="155">
        <f>T25*S25</f>
      </c>
      <c r="S25" s="153">
        <f>V25/U25</f>
      </c>
      <c r="T25" s="150">
        <v>0.9</v>
      </c>
      <c r="U25" s="149"/>
      <c r="V25" s="149"/>
      <c r="W25" s="157"/>
      <c r="X25" s="157"/>
      <c r="Y25" s="149"/>
      <c r="Z25" s="149"/>
      <c r="AA25" s="149"/>
      <c r="AB25" s="149"/>
      <c r="AC25" s="149"/>
      <c r="AD25" s="149"/>
      <c r="AE25" s="149"/>
    </row>
    <row customHeight="true" ht="58" r="26">
      <c r="A26" s="154" t="str">
        <v>WEEK24</v>
      </c>
      <c r="B26" s="154" t="str">
        <v>8.24-8.30</v>
      </c>
      <c r="C26" s="151" t="str">
        <v>R0001EU</v>
      </c>
      <c r="D26" s="148">
        <v>119.99</v>
      </c>
      <c r="E26" s="160">
        <v>0.1</v>
      </c>
      <c r="F26" s="159" t="str">
        <v>7DD+加大广告投放</v>
      </c>
      <c r="G26" s="153">
        <f>M26/7</f>
      </c>
      <c r="H26" s="154">
        <f>G26*7</f>
      </c>
      <c r="I26" s="154">
        <v>20</v>
      </c>
      <c r="J26" s="154">
        <v>4.6</v>
      </c>
      <c r="K26" s="152">
        <v>2</v>
      </c>
      <c r="L26" s="166" t="str">
        <v>测评</v>
      </c>
      <c r="M26" s="13">
        <v>100</v>
      </c>
      <c r="N26" s="154">
        <f>D26*H26</f>
      </c>
      <c r="O26" s="158">
        <v>60</v>
      </c>
      <c r="P26" s="156">
        <f>G26/O26</f>
      </c>
      <c r="Q26" s="148" t="str">
        <v>主推关键词：milbensauger,milbensauger für matratzen
目标：第1页</v>
      </c>
      <c r="R26" s="155">
        <f>T26*S26</f>
      </c>
      <c r="S26" s="153">
        <f>V26/U26</f>
      </c>
      <c r="T26" s="150">
        <v>0.9</v>
      </c>
      <c r="U26" s="149"/>
      <c r="V26" s="149"/>
      <c r="W26" s="157"/>
      <c r="X26" s="157"/>
      <c r="Y26" s="149"/>
      <c r="Z26" s="149"/>
      <c r="AA26" s="149"/>
      <c r="AB26" s="149"/>
      <c r="AC26" s="149"/>
      <c r="AD26" s="149"/>
      <c r="AE26" s="149"/>
    </row>
    <row customHeight="true" ht="58" r="27">
      <c r="A27" s="154" t="str">
        <v>WEEK25</v>
      </c>
      <c r="B27" s="154" t="str">
        <v>8.24-8.30</v>
      </c>
      <c r="C27" s="151" t="str">
        <v>R0001EU</v>
      </c>
      <c r="D27" s="148">
        <v>119.99</v>
      </c>
      <c r="E27" s="160">
        <v>0.1</v>
      </c>
      <c r="F27" s="159" t="str">
        <v>7DD+加大广告投放</v>
      </c>
      <c r="G27" s="153">
        <f>M27/7</f>
      </c>
      <c r="H27" s="154">
        <f>G27*7</f>
      </c>
      <c r="I27" s="154">
        <v>20</v>
      </c>
      <c r="J27" s="154">
        <v>4.6</v>
      </c>
      <c r="K27" s="152">
        <v>2</v>
      </c>
      <c r="L27" s="166" t="str">
        <v>测评</v>
      </c>
      <c r="M27" s="149">
        <v>120</v>
      </c>
      <c r="N27" s="154">
        <f>D27*H27</f>
      </c>
      <c r="O27" s="158">
        <v>60</v>
      </c>
      <c r="P27" s="156">
        <f>G27/O27</f>
      </c>
      <c r="Q27" s="148" t="str">
        <v>主推关键词：milbensauger,milbensauger für matratzen
目标：第1页</v>
      </c>
      <c r="R27" s="155">
        <f>T27*S27</f>
      </c>
      <c r="S27" s="153">
        <f>V27/U27</f>
      </c>
      <c r="T27" s="150">
        <v>0.9</v>
      </c>
      <c r="U27" s="149"/>
      <c r="V27" s="149"/>
      <c r="W27" s="157"/>
      <c r="X27" s="157"/>
      <c r="Y27" s="149"/>
      <c r="Z27" s="149"/>
      <c r="AA27" s="149"/>
      <c r="AB27" s="149"/>
      <c r="AC27" s="149"/>
      <c r="AD27" s="149"/>
      <c r="AE27" s="149"/>
    </row>
    <row customHeight="true" ht="58" r="28">
      <c r="A28" s="154" t="str">
        <v>WEEK25</v>
      </c>
      <c r="B28" s="154" t="str">
        <v>8.24-8.30</v>
      </c>
      <c r="C28" s="151" t="str">
        <v>R0001EU</v>
      </c>
      <c r="D28" s="148">
        <v>119.99</v>
      </c>
      <c r="E28" s="160">
        <v>0.1</v>
      </c>
      <c r="F28" s="159" t="str">
        <v>7DD+加大广告投放</v>
      </c>
      <c r="G28" s="153">
        <f>M28/7</f>
      </c>
      <c r="H28" s="154">
        <f>G28*7</f>
      </c>
      <c r="I28" s="154">
        <v>20</v>
      </c>
      <c r="J28" s="154">
        <v>4.6</v>
      </c>
      <c r="K28" s="152">
        <v>2</v>
      </c>
      <c r="L28" s="166" t="str">
        <v>测评</v>
      </c>
      <c r="M28" s="149">
        <v>120</v>
      </c>
      <c r="N28" s="154">
        <f>D28*H28</f>
      </c>
      <c r="O28" s="158">
        <v>60</v>
      </c>
      <c r="P28" s="156">
        <f>G28/O28</f>
      </c>
      <c r="Q28" s="148" t="str">
        <v>主推关键词：milbensauger,milbensauger für matratzen
目标：第1页</v>
      </c>
      <c r="R28" s="155">
        <f>T28*S28</f>
      </c>
      <c r="S28" s="153">
        <f>V28/U28</f>
      </c>
      <c r="T28" s="150">
        <v>0.9</v>
      </c>
      <c r="U28" s="149"/>
      <c r="V28" s="149"/>
      <c r="W28" s="157"/>
      <c r="X28" s="157"/>
      <c r="Y28" s="149"/>
      <c r="Z28" s="149"/>
      <c r="AA28" s="149"/>
      <c r="AB28" s="149"/>
      <c r="AC28" s="149"/>
      <c r="AD28" s="149"/>
      <c r="AE28" s="149"/>
    </row>
    <row customHeight="true" ht="58" r="29">
      <c r="A29" s="154" t="str">
        <v>WEEK25</v>
      </c>
      <c r="B29" s="154" t="str">
        <v>8.24-8.30</v>
      </c>
      <c r="C29" s="151" t="str">
        <v>R0001EU</v>
      </c>
      <c r="D29" s="148">
        <v>119.99</v>
      </c>
      <c r="E29" s="160">
        <v>0.1</v>
      </c>
      <c r="F29" s="159" t="str">
        <v>7DD+加大广告投放</v>
      </c>
      <c r="G29" s="153">
        <f>M29/7</f>
      </c>
      <c r="H29" s="154">
        <f>G29*7</f>
      </c>
      <c r="I29" s="154">
        <v>20</v>
      </c>
      <c r="J29" s="154">
        <v>4.6</v>
      </c>
      <c r="K29" s="152">
        <v>2</v>
      </c>
      <c r="L29" s="166" t="str">
        <v>测评</v>
      </c>
      <c r="M29" s="149">
        <v>120</v>
      </c>
      <c r="N29" s="154">
        <f>D29*H29</f>
      </c>
      <c r="O29" s="158">
        <v>60</v>
      </c>
      <c r="P29" s="156">
        <f>G29/O29</f>
      </c>
      <c r="Q29" s="148" t="str">
        <v>主推关键词：milbensauger,milbensauger für matratzen
目标：第1页</v>
      </c>
      <c r="R29" s="155">
        <f>T29*S29</f>
      </c>
      <c r="S29" s="153">
        <f>V29/U29</f>
      </c>
      <c r="T29" s="150">
        <v>0.9</v>
      </c>
      <c r="U29" s="149"/>
      <c r="V29" s="149"/>
      <c r="W29" s="157"/>
      <c r="X29" s="157"/>
      <c r="Y29" s="149"/>
      <c r="Z29" s="149"/>
      <c r="AA29" s="149"/>
      <c r="AB29" s="149"/>
      <c r="AC29" s="149"/>
      <c r="AD29" s="149"/>
      <c r="AE29" s="149"/>
    </row>
    <row r="30">
      <c r="A30" s="154"/>
      <c r="B30" s="154"/>
      <c r="C30" s="151"/>
      <c r="D30" s="148"/>
      <c r="E30" s="160"/>
      <c r="F30" s="159"/>
      <c r="G30" s="153"/>
      <c r="H30" s="154"/>
      <c r="I30" s="154"/>
      <c r="J30" s="154"/>
      <c r="K30" s="152"/>
      <c r="L30" s="149"/>
      <c r="M30" s="149"/>
      <c r="N30" s="154"/>
      <c r="O30" s="158"/>
      <c r="P30" s="156"/>
      <c r="Q30" s="148"/>
      <c r="R30" s="155"/>
      <c r="S30" s="153"/>
      <c r="T30" s="150"/>
      <c r="U30" s="149"/>
      <c r="V30" s="149"/>
      <c r="W30" s="157"/>
      <c r="X30" s="157"/>
      <c r="Y30" s="149"/>
      <c r="Z30" s="149"/>
      <c r="AA30" s="149"/>
      <c r="AB30" s="149"/>
      <c r="AC30" s="149"/>
      <c r="AD30" s="149"/>
      <c r="AE30" s="149"/>
    </row>
    <row r="31">
      <c r="A31" s="154"/>
      <c r="B31" s="154"/>
      <c r="C31" s="151"/>
      <c r="D31" s="148"/>
      <c r="E31" s="160"/>
      <c r="F31" s="159"/>
      <c r="G31" s="153"/>
      <c r="H31" s="154"/>
      <c r="I31" s="154"/>
      <c r="J31" s="154"/>
      <c r="K31" s="152"/>
      <c r="L31" s="149"/>
      <c r="M31" s="149"/>
      <c r="N31" s="154"/>
      <c r="O31" s="158"/>
      <c r="P31" s="156"/>
      <c r="Q31" s="148"/>
      <c r="R31" s="155"/>
      <c r="S31" s="153"/>
      <c r="T31" s="150"/>
      <c r="U31" s="149"/>
      <c r="V31" s="149"/>
      <c r="W31" s="157"/>
      <c r="X31" s="157"/>
      <c r="Y31" s="149"/>
      <c r="Z31" s="149"/>
      <c r="AA31" s="149"/>
      <c r="AB31" s="149"/>
      <c r="AC31" s="149"/>
      <c r="AD31" s="149"/>
      <c r="AE31" s="149"/>
    </row>
    <row r="32">
      <c r="A32" s="154"/>
      <c r="B32" s="154"/>
      <c r="C32" s="151"/>
      <c r="D32" s="148"/>
      <c r="E32" s="160"/>
      <c r="F32" s="159"/>
      <c r="G32" s="153"/>
      <c r="H32" s="154"/>
      <c r="I32" s="154"/>
      <c r="J32" s="154"/>
      <c r="K32" s="152"/>
      <c r="L32" s="149"/>
      <c r="M32" s="149"/>
      <c r="N32" s="154"/>
      <c r="O32" s="158"/>
      <c r="P32" s="156"/>
      <c r="Q32" s="148"/>
      <c r="R32" s="155"/>
      <c r="S32" s="153"/>
      <c r="T32" s="150"/>
      <c r="U32" s="149"/>
      <c r="V32" s="149"/>
      <c r="W32" s="157"/>
      <c r="X32" s="157"/>
      <c r="Y32" s="149"/>
      <c r="Z32" s="149"/>
      <c r="AA32" s="149"/>
      <c r="AB32" s="149"/>
      <c r="AC32" s="149"/>
      <c r="AD32" s="149"/>
      <c r="AE32" s="149"/>
    </row>
    <row r="33">
      <c r="A33" s="154"/>
      <c r="B33" s="154"/>
      <c r="C33" s="151"/>
      <c r="D33" s="148"/>
      <c r="E33" s="160"/>
      <c r="F33" s="159"/>
      <c r="G33" s="153"/>
      <c r="H33" s="154"/>
      <c r="I33" s="154"/>
      <c r="J33" s="154"/>
      <c r="K33" s="152"/>
      <c r="L33" s="149"/>
      <c r="M33" s="149"/>
      <c r="N33" s="154"/>
      <c r="O33" s="158"/>
      <c r="P33" s="156"/>
      <c r="Q33" s="148"/>
      <c r="R33" s="155"/>
      <c r="S33" s="153"/>
      <c r="T33" s="150"/>
      <c r="U33" s="149"/>
      <c r="V33" s="149"/>
      <c r="W33" s="157"/>
      <c r="X33" s="157"/>
      <c r="Y33" s="149"/>
      <c r="Z33" s="149"/>
      <c r="AA33" s="149"/>
      <c r="AB33" s="149"/>
      <c r="AC33" s="149"/>
      <c r="AD33" s="149"/>
      <c r="AE33" s="149"/>
    </row>
    <row r="34">
      <c r="A34" s="154"/>
      <c r="B34" s="154"/>
      <c r="C34" s="151"/>
      <c r="D34" s="148"/>
      <c r="E34" s="160"/>
      <c r="F34" s="159"/>
      <c r="G34" s="153"/>
      <c r="H34" s="154"/>
      <c r="I34" s="154"/>
      <c r="J34" s="154"/>
      <c r="K34" s="152"/>
      <c r="L34" s="149"/>
      <c r="M34" s="149"/>
      <c r="N34" s="154"/>
      <c r="O34" s="158"/>
      <c r="P34" s="156"/>
      <c r="Q34" s="148"/>
      <c r="R34" s="155"/>
      <c r="S34" s="153"/>
      <c r="T34" s="150"/>
      <c r="U34" s="149"/>
      <c r="V34" s="149"/>
      <c r="W34" s="157"/>
      <c r="X34" s="157"/>
      <c r="Y34" s="149"/>
      <c r="Z34" s="149"/>
      <c r="AA34" s="149"/>
      <c r="AB34" s="149"/>
      <c r="AC34" s="149"/>
      <c r="AD34" s="149"/>
      <c r="AE34" s="149"/>
    </row>
    <row r="35">
      <c r="A35" s="154"/>
      <c r="B35" s="154"/>
      <c r="C35" s="151"/>
      <c r="D35" s="148"/>
      <c r="E35" s="160"/>
      <c r="F35" s="159"/>
      <c r="G35" s="153"/>
      <c r="H35" s="154"/>
      <c r="I35" s="154"/>
      <c r="J35" s="154"/>
      <c r="K35" s="152"/>
      <c r="L35" s="149"/>
      <c r="M35" s="149"/>
      <c r="N35" s="154"/>
      <c r="O35" s="158"/>
      <c r="P35" s="156"/>
      <c r="Q35" s="148"/>
      <c r="R35" s="155"/>
      <c r="S35" s="153"/>
      <c r="T35" s="150"/>
      <c r="U35" s="149"/>
      <c r="V35" s="149"/>
      <c r="W35" s="157"/>
      <c r="X35" s="157"/>
      <c r="Y35" s="149"/>
      <c r="Z35" s="149"/>
      <c r="AA35" s="149"/>
      <c r="AB35" s="149"/>
      <c r="AC35" s="149"/>
      <c r="AD35" s="149"/>
      <c r="AE35" s="149"/>
    </row>
    <row r="36">
      <c r="A36" s="154"/>
      <c r="B36" s="154"/>
      <c r="C36" s="151"/>
      <c r="D36" s="148"/>
      <c r="E36" s="160"/>
      <c r="F36" s="159"/>
      <c r="G36" s="153"/>
      <c r="H36" s="154"/>
      <c r="I36" s="154"/>
      <c r="J36" s="154"/>
      <c r="K36" s="152"/>
      <c r="L36" s="149"/>
      <c r="M36" s="149"/>
      <c r="N36" s="154"/>
      <c r="O36" s="158"/>
      <c r="P36" s="156"/>
      <c r="Q36" s="148"/>
      <c r="R36" s="155"/>
      <c r="S36" s="153"/>
      <c r="T36" s="150"/>
      <c r="U36" s="149"/>
      <c r="V36" s="149"/>
      <c r="W36" s="157"/>
      <c r="X36" s="157"/>
      <c r="Y36" s="149"/>
      <c r="Z36" s="149"/>
      <c r="AA36" s="149"/>
      <c r="AB36" s="149"/>
      <c r="AC36" s="149"/>
      <c r="AD36" s="149"/>
      <c r="AE36" s="149"/>
    </row>
    <row r="37">
      <c r="A37" s="154"/>
      <c r="B37" s="154"/>
      <c r="C37" s="151"/>
      <c r="D37" s="148"/>
      <c r="E37" s="160"/>
      <c r="F37" s="159"/>
      <c r="G37" s="153"/>
      <c r="H37" s="154"/>
      <c r="I37" s="154"/>
      <c r="J37" s="154"/>
      <c r="K37" s="152"/>
      <c r="L37" s="149"/>
      <c r="M37" s="149"/>
      <c r="N37" s="154"/>
      <c r="O37" s="158"/>
      <c r="P37" s="156"/>
      <c r="Q37" s="148"/>
      <c r="R37" s="155"/>
      <c r="S37" s="153"/>
      <c r="T37" s="150"/>
      <c r="U37" s="149"/>
      <c r="V37" s="149"/>
      <c r="W37" s="157"/>
      <c r="X37" s="157"/>
      <c r="Y37" s="149"/>
      <c r="Z37" s="149"/>
      <c r="AA37" s="149"/>
      <c r="AB37" s="149"/>
      <c r="AC37" s="149"/>
      <c r="AD37" s="149"/>
      <c r="AE37" s="149"/>
    </row>
    <row r="38">
      <c r="A38" s="154"/>
      <c r="B38" s="154"/>
      <c r="C38" s="151"/>
      <c r="D38" s="148"/>
      <c r="E38" s="160"/>
      <c r="F38" s="159"/>
      <c r="G38" s="153"/>
      <c r="H38" s="154"/>
      <c r="I38" s="154"/>
      <c r="J38" s="154"/>
      <c r="K38" s="152"/>
      <c r="L38" s="149"/>
      <c r="M38" s="149"/>
      <c r="N38" s="154"/>
      <c r="O38" s="158"/>
      <c r="P38" s="156"/>
      <c r="Q38" s="148"/>
      <c r="R38" s="155"/>
      <c r="S38" s="153"/>
      <c r="T38" s="150"/>
      <c r="U38" s="149"/>
      <c r="V38" s="149"/>
      <c r="W38" s="157"/>
      <c r="X38" s="157"/>
      <c r="Y38" s="149"/>
      <c r="Z38" s="149"/>
      <c r="AA38" s="149"/>
      <c r="AB38" s="149"/>
      <c r="AC38" s="149"/>
      <c r="AD38" s="149"/>
      <c r="AE38" s="149"/>
    </row>
    <row r="39">
      <c r="A39" s="154"/>
      <c r="B39" s="154"/>
      <c r="C39" s="151"/>
      <c r="D39" s="148"/>
      <c r="E39" s="160"/>
      <c r="F39" s="159"/>
      <c r="G39" s="153"/>
      <c r="H39" s="154"/>
      <c r="I39" s="154"/>
      <c r="J39" s="154"/>
      <c r="K39" s="152"/>
      <c r="L39" s="149"/>
      <c r="M39" s="149"/>
      <c r="N39" s="154"/>
      <c r="O39" s="158"/>
      <c r="P39" s="156"/>
      <c r="Q39" s="148"/>
      <c r="R39" s="155"/>
      <c r="S39" s="153"/>
      <c r="T39" s="150"/>
      <c r="U39" s="149"/>
      <c r="V39" s="149"/>
      <c r="W39" s="157"/>
      <c r="X39" s="157"/>
      <c r="Y39" s="149"/>
      <c r="Z39" s="149"/>
      <c r="AA39" s="149"/>
      <c r="AB39" s="149"/>
      <c r="AC39" s="149"/>
      <c r="AD39" s="149"/>
      <c r="AE39" s="149"/>
    </row>
    <row r="40">
      <c r="A40" s="154"/>
      <c r="B40" s="154"/>
      <c r="C40" s="151"/>
      <c r="D40" s="148"/>
      <c r="E40" s="160"/>
      <c r="F40" s="159"/>
      <c r="G40" s="153"/>
      <c r="H40" s="154"/>
      <c r="I40" s="154"/>
      <c r="J40" s="154"/>
      <c r="K40" s="152"/>
      <c r="L40" s="149"/>
      <c r="M40" s="149"/>
      <c r="N40" s="154"/>
      <c r="O40" s="158"/>
      <c r="P40" s="156"/>
      <c r="Q40" s="148"/>
      <c r="R40" s="155"/>
      <c r="S40" s="153"/>
      <c r="T40" s="150"/>
      <c r="U40" s="149"/>
      <c r="V40" s="149"/>
      <c r="W40" s="157"/>
      <c r="X40" s="157"/>
      <c r="Y40" s="149"/>
      <c r="Z40" s="149"/>
      <c r="AA40" s="149"/>
      <c r="AB40" s="149"/>
      <c r="AC40" s="149"/>
      <c r="AD40" s="149"/>
      <c r="AE40" s="149"/>
    </row>
    <row r="41">
      <c r="A41" s="154"/>
      <c r="B41" s="154"/>
      <c r="C41" s="151"/>
      <c r="D41" s="148"/>
      <c r="E41" s="160"/>
      <c r="F41" s="159"/>
      <c r="G41" s="153"/>
      <c r="H41" s="154"/>
      <c r="I41" s="154"/>
      <c r="J41" s="154"/>
      <c r="K41" s="152"/>
      <c r="L41" s="149"/>
      <c r="M41" s="149"/>
      <c r="N41" s="154"/>
      <c r="O41" s="158"/>
      <c r="P41" s="156"/>
      <c r="Q41" s="148"/>
      <c r="R41" s="155"/>
      <c r="S41" s="153"/>
      <c r="T41" s="150"/>
      <c r="U41" s="149"/>
      <c r="V41" s="149"/>
      <c r="W41" s="157"/>
      <c r="X41" s="157"/>
      <c r="Y41" s="149"/>
      <c r="Z41" s="149"/>
      <c r="AA41" s="149"/>
      <c r="AB41" s="149"/>
      <c r="AC41" s="149"/>
      <c r="AD41" s="149"/>
      <c r="AE41" s="149"/>
    </row>
    <row r="42">
      <c r="A42" s="154"/>
      <c r="B42" s="154"/>
      <c r="C42" s="151"/>
      <c r="D42" s="148"/>
      <c r="E42" s="160"/>
      <c r="F42" s="159"/>
      <c r="G42" s="153"/>
      <c r="H42" s="154"/>
      <c r="I42" s="154"/>
      <c r="J42" s="154"/>
      <c r="K42" s="152"/>
      <c r="L42" s="149"/>
      <c r="M42" s="149"/>
      <c r="N42" s="154"/>
      <c r="O42" s="158"/>
      <c r="P42" s="156"/>
      <c r="Q42" s="148"/>
      <c r="R42" s="155"/>
      <c r="S42" s="153"/>
      <c r="T42" s="150"/>
      <c r="U42" s="149"/>
      <c r="V42" s="149"/>
      <c r="W42" s="157"/>
      <c r="X42" s="157"/>
      <c r="Y42" s="149"/>
      <c r="Z42" s="149"/>
      <c r="AA42" s="149"/>
      <c r="AB42" s="149"/>
      <c r="AC42" s="149"/>
      <c r="AD42" s="149"/>
      <c r="AE42" s="149"/>
    </row>
    <row r="43">
      <c r="A43" s="154"/>
      <c r="B43" s="154"/>
      <c r="C43" s="151"/>
      <c r="D43" s="148"/>
      <c r="E43" s="160"/>
      <c r="F43" s="159"/>
      <c r="G43" s="153"/>
      <c r="H43" s="154"/>
      <c r="I43" s="154"/>
      <c r="J43" s="154"/>
      <c r="K43" s="152"/>
      <c r="L43" s="149"/>
      <c r="M43" s="149"/>
      <c r="N43" s="154"/>
      <c r="O43" s="158"/>
      <c r="P43" s="156"/>
      <c r="Q43" s="148"/>
      <c r="R43" s="155"/>
      <c r="S43" s="153"/>
      <c r="T43" s="150"/>
      <c r="U43" s="149"/>
      <c r="V43" s="149"/>
      <c r="W43" s="157"/>
      <c r="X43" s="157"/>
      <c r="Y43" s="149"/>
      <c r="Z43" s="149"/>
      <c r="AA43" s="149"/>
      <c r="AB43" s="149"/>
      <c r="AC43" s="149"/>
      <c r="AD43" s="149"/>
      <c r="AE43" s="149"/>
    </row>
    <row r="44">
      <c r="A44" s="154"/>
      <c r="B44" s="154"/>
      <c r="C44" s="151"/>
      <c r="D44" s="148"/>
      <c r="E44" s="160"/>
      <c r="F44" s="159"/>
      <c r="G44" s="153"/>
      <c r="H44" s="154"/>
      <c r="I44" s="154"/>
      <c r="J44" s="154"/>
      <c r="K44" s="152"/>
      <c r="L44" s="149"/>
      <c r="M44" s="149"/>
      <c r="N44" s="154"/>
      <c r="O44" s="158"/>
      <c r="P44" s="156"/>
      <c r="Q44" s="148"/>
      <c r="R44" s="155"/>
      <c r="S44" s="153"/>
      <c r="T44" s="150"/>
      <c r="U44" s="149"/>
      <c r="V44" s="149"/>
      <c r="W44" s="157"/>
      <c r="X44" s="157"/>
      <c r="Y44" s="149"/>
      <c r="Z44" s="149"/>
      <c r="AA44" s="149"/>
      <c r="AB44" s="149"/>
      <c r="AC44" s="149"/>
      <c r="AD44" s="149"/>
      <c r="AE44" s="149"/>
    </row>
    <row r="45">
      <c r="A45" s="154"/>
      <c r="B45" s="154"/>
      <c r="C45" s="151"/>
      <c r="D45" s="148"/>
      <c r="E45" s="160"/>
      <c r="F45" s="159"/>
      <c r="G45" s="153"/>
      <c r="H45" s="154"/>
      <c r="I45" s="154"/>
      <c r="J45" s="154"/>
      <c r="K45" s="152"/>
      <c r="L45" s="149"/>
      <c r="M45" s="149"/>
      <c r="N45" s="154"/>
      <c r="O45" s="158"/>
      <c r="P45" s="156"/>
      <c r="Q45" s="148"/>
      <c r="R45" s="155"/>
      <c r="S45" s="153"/>
      <c r="T45" s="150"/>
      <c r="U45" s="149"/>
      <c r="V45" s="149"/>
      <c r="W45" s="157"/>
      <c r="X45" s="157"/>
      <c r="Y45" s="149"/>
      <c r="Z45" s="149"/>
      <c r="AA45" s="149"/>
      <c r="AB45" s="149"/>
      <c r="AC45" s="149"/>
      <c r="AD45" s="149"/>
      <c r="AE45" s="149"/>
    </row>
    <row r="46">
      <c r="A46" s="154"/>
      <c r="B46" s="154"/>
      <c r="C46" s="151"/>
      <c r="D46" s="148"/>
      <c r="E46" s="160"/>
      <c r="F46" s="159"/>
      <c r="G46" s="153"/>
      <c r="H46" s="154"/>
      <c r="I46" s="154"/>
      <c r="J46" s="154"/>
      <c r="K46" s="152"/>
      <c r="L46" s="149"/>
      <c r="M46" s="149"/>
      <c r="N46" s="154"/>
      <c r="O46" s="158"/>
      <c r="P46" s="156"/>
      <c r="Q46" s="148"/>
      <c r="R46" s="155"/>
      <c r="S46" s="153"/>
      <c r="T46" s="150"/>
      <c r="U46" s="149"/>
      <c r="V46" s="149"/>
      <c r="W46" s="157"/>
      <c r="X46" s="157"/>
      <c r="Y46" s="149"/>
      <c r="Z46" s="149"/>
      <c r="AA46" s="149"/>
      <c r="AB46" s="149"/>
      <c r="AC46" s="149"/>
      <c r="AD46" s="149"/>
      <c r="AE46" s="149"/>
    </row>
    <row r="47">
      <c r="A47" s="154"/>
      <c r="B47" s="154"/>
      <c r="C47" s="151"/>
      <c r="D47" s="148"/>
      <c r="E47" s="160"/>
      <c r="F47" s="159"/>
      <c r="G47" s="153"/>
      <c r="H47" s="154"/>
      <c r="I47" s="154"/>
      <c r="J47" s="154"/>
      <c r="K47" s="152"/>
      <c r="L47" s="149"/>
      <c r="M47" s="149"/>
      <c r="N47" s="154"/>
      <c r="O47" s="158"/>
      <c r="P47" s="156"/>
      <c r="Q47" s="148"/>
      <c r="R47" s="155"/>
      <c r="S47" s="153"/>
      <c r="T47" s="150"/>
      <c r="U47" s="149"/>
      <c r="V47" s="149"/>
      <c r="W47" s="157"/>
      <c r="X47" s="157"/>
      <c r="Y47" s="149"/>
      <c r="Z47" s="149"/>
      <c r="AA47" s="149"/>
      <c r="AB47" s="149"/>
      <c r="AC47" s="149"/>
      <c r="AD47" s="149"/>
      <c r="AE47" s="149"/>
    </row>
    <row r="48">
      <c r="A48" s="154"/>
      <c r="B48" s="154"/>
      <c r="C48" s="151"/>
      <c r="D48" s="148"/>
      <c r="E48" s="160"/>
      <c r="F48" s="159"/>
      <c r="G48" s="153"/>
      <c r="H48" s="154"/>
      <c r="I48" s="154"/>
      <c r="J48" s="154"/>
      <c r="K48" s="152"/>
      <c r="L48" s="149"/>
      <c r="M48" s="149"/>
      <c r="N48" s="154"/>
      <c r="O48" s="158"/>
      <c r="P48" s="156"/>
      <c r="Q48" s="148"/>
      <c r="R48" s="155"/>
      <c r="S48" s="153"/>
      <c r="T48" s="150"/>
      <c r="U48" s="149"/>
      <c r="V48" s="149"/>
      <c r="W48" s="157"/>
      <c r="X48" s="157"/>
      <c r="Y48" s="149"/>
      <c r="Z48" s="149"/>
      <c r="AA48" s="149"/>
      <c r="AB48" s="149"/>
      <c r="AC48" s="149"/>
      <c r="AD48" s="149"/>
      <c r="AE48" s="149"/>
    </row>
    <row r="49">
      <c r="A49" s="154"/>
      <c r="B49" s="154"/>
      <c r="C49" s="151"/>
      <c r="D49" s="148"/>
      <c r="E49" s="160"/>
      <c r="F49" s="159"/>
      <c r="G49" s="153"/>
      <c r="H49" s="154"/>
      <c r="I49" s="154"/>
      <c r="J49" s="154"/>
      <c r="K49" s="152"/>
      <c r="L49" s="149"/>
      <c r="M49" s="149"/>
      <c r="N49" s="154"/>
      <c r="O49" s="158"/>
      <c r="P49" s="156"/>
      <c r="Q49" s="148"/>
      <c r="R49" s="155"/>
      <c r="S49" s="153"/>
      <c r="T49" s="150"/>
      <c r="U49" s="149"/>
      <c r="V49" s="149"/>
      <c r="W49" s="157"/>
      <c r="X49" s="157"/>
      <c r="Y49" s="149"/>
      <c r="Z49" s="149"/>
      <c r="AA49" s="149"/>
      <c r="AB49" s="149"/>
      <c r="AC49" s="149"/>
      <c r="AD49" s="149"/>
      <c r="AE49" s="149"/>
    </row>
    <row r="50">
      <c r="A50" s="154"/>
      <c r="B50" s="154"/>
      <c r="C50" s="151"/>
      <c r="D50" s="148"/>
      <c r="E50" s="160"/>
      <c r="F50" s="159"/>
      <c r="G50" s="153"/>
      <c r="H50" s="154"/>
      <c r="I50" s="154"/>
      <c r="J50" s="154"/>
      <c r="K50" s="152"/>
      <c r="L50" s="149"/>
      <c r="M50" s="149"/>
      <c r="N50" s="154"/>
      <c r="O50" s="158"/>
      <c r="P50" s="156"/>
      <c r="Q50" s="148"/>
      <c r="R50" s="155"/>
      <c r="S50" s="153"/>
      <c r="T50" s="150"/>
      <c r="U50" s="149"/>
      <c r="V50" s="149"/>
      <c r="W50" s="157"/>
      <c r="X50" s="157"/>
      <c r="Y50" s="149"/>
      <c r="Z50" s="149"/>
      <c r="AA50" s="149"/>
      <c r="AB50" s="149"/>
      <c r="AC50" s="149"/>
      <c r="AD50" s="149"/>
      <c r="AE50" s="149"/>
    </row>
    <row r="51">
      <c r="A51" s="154"/>
      <c r="B51" s="154"/>
      <c r="C51" s="151"/>
      <c r="D51" s="148"/>
      <c r="E51" s="160"/>
      <c r="F51" s="159"/>
      <c r="G51" s="153"/>
      <c r="H51" s="154"/>
      <c r="I51" s="154"/>
      <c r="J51" s="154"/>
      <c r="K51" s="152"/>
      <c r="L51" s="149"/>
      <c r="M51" s="149"/>
      <c r="N51" s="154"/>
      <c r="O51" s="158"/>
      <c r="P51" s="156"/>
      <c r="Q51" s="148"/>
      <c r="R51" s="155"/>
      <c r="S51" s="153"/>
      <c r="T51" s="150"/>
      <c r="U51" s="149"/>
      <c r="V51" s="149"/>
      <c r="W51" s="157"/>
      <c r="X51" s="157"/>
      <c r="Y51" s="149"/>
      <c r="Z51" s="149"/>
      <c r="AA51" s="149"/>
      <c r="AB51" s="149"/>
      <c r="AC51" s="149"/>
      <c r="AD51" s="149"/>
      <c r="AE51" s="149"/>
    </row>
    <row r="52">
      <c r="A52" s="154"/>
      <c r="B52" s="154"/>
      <c r="C52" s="151"/>
      <c r="D52" s="148"/>
      <c r="E52" s="160"/>
      <c r="F52" s="159"/>
      <c r="G52" s="153"/>
      <c r="H52" s="154"/>
      <c r="I52" s="154"/>
      <c r="J52" s="154"/>
      <c r="K52" s="152"/>
      <c r="L52" s="149"/>
      <c r="M52" s="149"/>
      <c r="N52" s="154"/>
      <c r="O52" s="158"/>
      <c r="P52" s="156"/>
      <c r="Q52" s="148"/>
      <c r="R52" s="155"/>
      <c r="S52" s="153"/>
      <c r="T52" s="150"/>
      <c r="U52" s="149"/>
      <c r="V52" s="149"/>
      <c r="W52" s="157"/>
      <c r="X52" s="157"/>
      <c r="Y52" s="149"/>
      <c r="Z52" s="149"/>
      <c r="AA52" s="149"/>
      <c r="AB52" s="149"/>
      <c r="AC52" s="149"/>
      <c r="AD52" s="149"/>
      <c r="AE52" s="149"/>
    </row>
    <row r="53">
      <c r="A53" s="154"/>
      <c r="B53" s="154"/>
      <c r="C53" s="151"/>
      <c r="D53" s="148"/>
      <c r="E53" s="160"/>
      <c r="F53" s="159"/>
      <c r="G53" s="153"/>
      <c r="H53" s="154"/>
      <c r="I53" s="154"/>
      <c r="J53" s="154"/>
      <c r="K53" s="152"/>
      <c r="L53" s="149"/>
      <c r="M53" s="149"/>
      <c r="N53" s="154"/>
      <c r="O53" s="158"/>
      <c r="P53" s="156"/>
      <c r="Q53" s="148"/>
      <c r="R53" s="155"/>
      <c r="S53" s="153"/>
      <c r="T53" s="150"/>
      <c r="U53" s="149"/>
      <c r="V53" s="149"/>
      <c r="W53" s="157"/>
      <c r="X53" s="157"/>
      <c r="Y53" s="149"/>
      <c r="Z53" s="149"/>
      <c r="AA53" s="149"/>
      <c r="AB53" s="149"/>
      <c r="AC53" s="149"/>
      <c r="AD53" s="149"/>
      <c r="AE53" s="149"/>
    </row>
    <row r="54">
      <c r="A54" s="154"/>
      <c r="B54" s="154"/>
      <c r="C54" s="151"/>
      <c r="D54" s="148"/>
      <c r="E54" s="160"/>
      <c r="F54" s="159"/>
      <c r="G54" s="153"/>
      <c r="H54" s="154"/>
      <c r="I54" s="154"/>
      <c r="J54" s="154"/>
      <c r="K54" s="152"/>
      <c r="L54" s="149"/>
      <c r="M54" s="149"/>
      <c r="N54" s="154"/>
      <c r="O54" s="158"/>
      <c r="P54" s="156"/>
      <c r="Q54" s="148"/>
      <c r="R54" s="155"/>
      <c r="S54" s="153"/>
      <c r="T54" s="150"/>
      <c r="U54" s="149"/>
      <c r="V54" s="149"/>
      <c r="W54" s="157"/>
      <c r="X54" s="157"/>
      <c r="Y54" s="149"/>
      <c r="Z54" s="149"/>
      <c r="AA54" s="149"/>
      <c r="AB54" s="149"/>
      <c r="AC54" s="149"/>
      <c r="AD54" s="149"/>
      <c r="AE54" s="149"/>
    </row>
    <row r="55">
      <c r="A55" s="154"/>
      <c r="B55" s="154"/>
      <c r="C55" s="151"/>
      <c r="D55" s="148"/>
      <c r="E55" s="160"/>
      <c r="F55" s="159"/>
      <c r="G55" s="153"/>
      <c r="H55" s="154"/>
      <c r="I55" s="154"/>
      <c r="J55" s="154"/>
      <c r="K55" s="152"/>
      <c r="L55" s="149"/>
      <c r="M55" s="149"/>
      <c r="N55" s="154"/>
      <c r="O55" s="158"/>
      <c r="P55" s="156"/>
      <c r="Q55" s="148"/>
      <c r="R55" s="155"/>
      <c r="S55" s="153"/>
      <c r="T55" s="150"/>
      <c r="U55" s="149"/>
      <c r="V55" s="149"/>
      <c r="W55" s="157"/>
      <c r="X55" s="157"/>
      <c r="Y55" s="149"/>
      <c r="Z55" s="149"/>
      <c r="AA55" s="149"/>
      <c r="AB55" s="149"/>
      <c r="AC55" s="149"/>
      <c r="AD55" s="149"/>
      <c r="AE55" s="149"/>
    </row>
    <row r="56">
      <c r="A56" s="154"/>
      <c r="B56" s="154"/>
      <c r="C56" s="151"/>
      <c r="D56" s="148"/>
      <c r="E56" s="160"/>
      <c r="F56" s="159"/>
      <c r="G56" s="153"/>
      <c r="H56" s="154"/>
      <c r="I56" s="154"/>
      <c r="J56" s="154"/>
      <c r="K56" s="152"/>
      <c r="L56" s="149"/>
      <c r="M56" s="149"/>
      <c r="N56" s="154"/>
      <c r="O56" s="158"/>
      <c r="P56" s="156"/>
      <c r="Q56" s="148"/>
      <c r="R56" s="155"/>
      <c r="S56" s="153"/>
      <c r="T56" s="150"/>
      <c r="U56" s="149"/>
      <c r="V56" s="149"/>
      <c r="W56" s="157"/>
      <c r="X56" s="157"/>
      <c r="Y56" s="149"/>
      <c r="Z56" s="149"/>
      <c r="AA56" s="149"/>
      <c r="AB56" s="149"/>
      <c r="AC56" s="149"/>
      <c r="AD56" s="149"/>
      <c r="AE56" s="149"/>
    </row>
    <row r="57">
      <c r="A57" s="154"/>
      <c r="B57" s="154"/>
      <c r="C57" s="151"/>
      <c r="D57" s="148"/>
      <c r="E57" s="160"/>
      <c r="F57" s="159"/>
      <c r="G57" s="153"/>
      <c r="H57" s="154"/>
      <c r="I57" s="154"/>
      <c r="J57" s="154"/>
      <c r="K57" s="152"/>
      <c r="L57" s="149"/>
      <c r="M57" s="149"/>
      <c r="N57" s="154"/>
      <c r="O57" s="158"/>
      <c r="P57" s="156"/>
      <c r="Q57" s="148"/>
      <c r="R57" s="155"/>
      <c r="S57" s="153"/>
      <c r="T57" s="150"/>
      <c r="U57" s="149"/>
      <c r="V57" s="149"/>
      <c r="W57" s="157"/>
      <c r="X57" s="157"/>
      <c r="Y57" s="149"/>
      <c r="Z57" s="149"/>
      <c r="AA57" s="149"/>
      <c r="AB57" s="149"/>
      <c r="AC57" s="149"/>
      <c r="AD57" s="149"/>
      <c r="AE57" s="149"/>
    </row>
    <row r="58">
      <c r="A58" s="154"/>
      <c r="B58" s="154"/>
      <c r="C58" s="151"/>
      <c r="D58" s="148"/>
      <c r="E58" s="160"/>
      <c r="F58" s="159"/>
      <c r="G58" s="153"/>
      <c r="H58" s="154"/>
      <c r="I58" s="154"/>
      <c r="J58" s="154"/>
      <c r="K58" s="152"/>
      <c r="L58" s="149"/>
      <c r="M58" s="149"/>
      <c r="N58" s="154"/>
      <c r="O58" s="158"/>
      <c r="P58" s="156"/>
      <c r="Q58" s="148"/>
      <c r="R58" s="155"/>
      <c r="S58" s="153"/>
      <c r="T58" s="150"/>
      <c r="U58" s="149"/>
      <c r="V58" s="149"/>
      <c r="W58" s="157"/>
      <c r="X58" s="157"/>
      <c r="Y58" s="149"/>
      <c r="Z58" s="149"/>
      <c r="AA58" s="149"/>
      <c r="AB58" s="149"/>
      <c r="AC58" s="149"/>
      <c r="AD58" s="149"/>
      <c r="AE58" s="149"/>
    </row>
    <row r="59">
      <c r="A59" s="154"/>
      <c r="B59" s="154"/>
      <c r="C59" s="151"/>
      <c r="D59" s="148"/>
      <c r="E59" s="160"/>
      <c r="F59" s="159"/>
      <c r="G59" s="153"/>
      <c r="H59" s="154"/>
      <c r="I59" s="154"/>
      <c r="J59" s="154"/>
      <c r="K59" s="152"/>
      <c r="L59" s="149"/>
      <c r="M59" s="149"/>
      <c r="N59" s="154"/>
      <c r="O59" s="158"/>
      <c r="P59" s="156"/>
      <c r="Q59" s="148"/>
      <c r="R59" s="155"/>
      <c r="S59" s="153"/>
      <c r="T59" s="150"/>
      <c r="U59" s="149"/>
      <c r="V59" s="149"/>
      <c r="W59" s="157"/>
      <c r="X59" s="157"/>
      <c r="Y59" s="149"/>
      <c r="Z59" s="149"/>
      <c r="AA59" s="149"/>
      <c r="AB59" s="149"/>
      <c r="AC59" s="149"/>
      <c r="AD59" s="149"/>
      <c r="AE59" s="149"/>
    </row>
    <row r="60">
      <c r="A60" s="154"/>
      <c r="B60" s="154"/>
      <c r="C60" s="151"/>
      <c r="D60" s="148"/>
      <c r="E60" s="160"/>
      <c r="F60" s="159"/>
      <c r="G60" s="153"/>
      <c r="H60" s="154"/>
      <c r="I60" s="154"/>
      <c r="J60" s="154"/>
      <c r="K60" s="152"/>
      <c r="L60" s="149"/>
      <c r="M60" s="149"/>
      <c r="N60" s="154"/>
      <c r="O60" s="158"/>
      <c r="P60" s="156"/>
      <c r="Q60" s="148"/>
      <c r="R60" s="155"/>
      <c r="S60" s="153"/>
      <c r="T60" s="150"/>
      <c r="U60" s="149"/>
      <c r="V60" s="149"/>
      <c r="W60" s="157"/>
      <c r="X60" s="157"/>
      <c r="Y60" s="149"/>
      <c r="Z60" s="149"/>
      <c r="AA60" s="149"/>
      <c r="AB60" s="149"/>
      <c r="AC60" s="149"/>
      <c r="AD60" s="149"/>
      <c r="AE60" s="149"/>
    </row>
    <row r="61">
      <c r="A61" s="154"/>
      <c r="B61" s="154"/>
      <c r="C61" s="151"/>
      <c r="D61" s="148"/>
      <c r="E61" s="160"/>
      <c r="F61" s="159"/>
      <c r="G61" s="153"/>
      <c r="H61" s="154"/>
      <c r="I61" s="154"/>
      <c r="J61" s="154"/>
      <c r="K61" s="152"/>
      <c r="L61" s="149"/>
      <c r="M61" s="149"/>
      <c r="N61" s="154"/>
      <c r="O61" s="158"/>
      <c r="P61" s="156"/>
      <c r="Q61" s="148"/>
      <c r="R61" s="155"/>
      <c r="S61" s="153"/>
      <c r="T61" s="150"/>
      <c r="U61" s="149"/>
      <c r="V61" s="149"/>
      <c r="W61" s="157"/>
      <c r="X61" s="157"/>
      <c r="Y61" s="149"/>
      <c r="Z61" s="149"/>
      <c r="AA61" s="149"/>
      <c r="AB61" s="149"/>
      <c r="AC61" s="149"/>
      <c r="AD61" s="149"/>
      <c r="AE61" s="149"/>
    </row>
    <row r="62">
      <c r="A62" s="154"/>
      <c r="B62" s="154"/>
      <c r="C62" s="151"/>
      <c r="D62" s="148"/>
      <c r="E62" s="160"/>
      <c r="F62" s="159"/>
      <c r="G62" s="153"/>
      <c r="H62" s="154"/>
      <c r="I62" s="154"/>
      <c r="J62" s="154"/>
      <c r="K62" s="152"/>
      <c r="L62" s="149"/>
      <c r="M62" s="149"/>
      <c r="N62" s="154"/>
      <c r="O62" s="158"/>
      <c r="P62" s="156"/>
      <c r="Q62" s="148"/>
      <c r="R62" s="155"/>
      <c r="S62" s="153"/>
      <c r="T62" s="150"/>
      <c r="U62" s="149"/>
      <c r="V62" s="149"/>
      <c r="W62" s="157"/>
      <c r="X62" s="157"/>
      <c r="Y62" s="149"/>
      <c r="Z62" s="149"/>
      <c r="AA62" s="149"/>
      <c r="AB62" s="149"/>
      <c r="AC62" s="149"/>
      <c r="AD62" s="149"/>
      <c r="AE62" s="149"/>
    </row>
    <row r="63">
      <c r="A63" s="154"/>
      <c r="B63" s="154"/>
      <c r="C63" s="151"/>
      <c r="D63" s="148"/>
      <c r="E63" s="160"/>
      <c r="F63" s="159"/>
      <c r="G63" s="153"/>
      <c r="H63" s="154"/>
      <c r="I63" s="154"/>
      <c r="J63" s="154"/>
      <c r="K63" s="152"/>
      <c r="L63" s="149"/>
      <c r="M63" s="149"/>
      <c r="N63" s="154"/>
      <c r="O63" s="158"/>
      <c r="P63" s="156"/>
      <c r="Q63" s="148"/>
      <c r="R63" s="155"/>
      <c r="S63" s="153"/>
      <c r="T63" s="150"/>
      <c r="U63" s="149"/>
      <c r="V63" s="149"/>
      <c r="W63" s="157"/>
      <c r="X63" s="157"/>
      <c r="Y63" s="149"/>
      <c r="Z63" s="149"/>
      <c r="AA63" s="149"/>
      <c r="AB63" s="149"/>
      <c r="AC63" s="149"/>
      <c r="AD63" s="149"/>
      <c r="AE63" s="149"/>
    </row>
    <row r="64">
      <c r="A64" s="154"/>
      <c r="B64" s="154"/>
      <c r="C64" s="151"/>
      <c r="D64" s="148"/>
      <c r="E64" s="160"/>
      <c r="F64" s="159"/>
      <c r="G64" s="153"/>
      <c r="H64" s="154"/>
      <c r="I64" s="154"/>
      <c r="J64" s="154"/>
      <c r="K64" s="152"/>
      <c r="L64" s="149"/>
      <c r="M64" s="149"/>
      <c r="N64" s="154"/>
      <c r="O64" s="158"/>
      <c r="P64" s="156"/>
      <c r="Q64" s="148"/>
      <c r="R64" s="155"/>
      <c r="S64" s="153"/>
      <c r="T64" s="150"/>
      <c r="U64" s="149"/>
      <c r="V64" s="149"/>
      <c r="W64" s="157"/>
      <c r="X64" s="157"/>
      <c r="Y64" s="149"/>
      <c r="Z64" s="149"/>
      <c r="AA64" s="149"/>
      <c r="AB64" s="149"/>
      <c r="AC64" s="149"/>
      <c r="AD64" s="149"/>
      <c r="AE64" s="149"/>
    </row>
    <row r="65">
      <c r="A65" s="154"/>
      <c r="B65" s="154"/>
      <c r="C65" s="151"/>
      <c r="D65" s="148"/>
      <c r="E65" s="160"/>
      <c r="F65" s="159"/>
      <c r="G65" s="153"/>
      <c r="H65" s="154"/>
      <c r="I65" s="154"/>
      <c r="J65" s="154"/>
      <c r="K65" s="152"/>
      <c r="L65" s="149"/>
      <c r="M65" s="149"/>
      <c r="N65" s="154"/>
      <c r="O65" s="158"/>
      <c r="P65" s="156"/>
      <c r="Q65" s="148"/>
      <c r="R65" s="155"/>
      <c r="S65" s="153"/>
      <c r="T65" s="150"/>
      <c r="U65" s="149"/>
      <c r="V65" s="149"/>
      <c r="W65" s="157"/>
      <c r="X65" s="157"/>
      <c r="Y65" s="149"/>
      <c r="Z65" s="149"/>
      <c r="AA65" s="149"/>
      <c r="AB65" s="149"/>
      <c r="AC65" s="149"/>
      <c r="AD65" s="149"/>
      <c r="AE65" s="149"/>
    </row>
    <row r="66">
      <c r="A66" s="154"/>
      <c r="B66" s="154"/>
      <c r="C66" s="151"/>
      <c r="D66" s="148"/>
      <c r="E66" s="160"/>
      <c r="F66" s="159"/>
      <c r="G66" s="153"/>
      <c r="H66" s="154"/>
      <c r="I66" s="154"/>
      <c r="J66" s="154"/>
      <c r="K66" s="152"/>
      <c r="L66" s="149"/>
      <c r="M66" s="149"/>
      <c r="N66" s="154"/>
      <c r="O66" s="158"/>
      <c r="P66" s="156"/>
      <c r="Q66" s="148"/>
      <c r="R66" s="155"/>
      <c r="S66" s="153"/>
      <c r="T66" s="150"/>
      <c r="U66" s="149"/>
      <c r="V66" s="149"/>
      <c r="W66" s="157"/>
      <c r="X66" s="157"/>
      <c r="Y66" s="149"/>
      <c r="Z66" s="149"/>
      <c r="AA66" s="149"/>
      <c r="AB66" s="149"/>
      <c r="AC66" s="149"/>
      <c r="AD66" s="149"/>
      <c r="AE66" s="149"/>
    </row>
    <row r="67">
      <c r="A67" s="154"/>
      <c r="B67" s="154"/>
      <c r="C67" s="151"/>
      <c r="D67" s="148"/>
      <c r="E67" s="160"/>
      <c r="F67" s="159"/>
      <c r="G67" s="153"/>
      <c r="H67" s="154"/>
      <c r="I67" s="154"/>
      <c r="J67" s="154"/>
      <c r="K67" s="152"/>
      <c r="L67" s="149"/>
      <c r="M67" s="149"/>
      <c r="N67" s="154"/>
      <c r="O67" s="158"/>
      <c r="P67" s="156"/>
      <c r="Q67" s="148"/>
      <c r="R67" s="155"/>
      <c r="S67" s="153"/>
      <c r="T67" s="150"/>
      <c r="U67" s="149"/>
      <c r="V67" s="149"/>
      <c r="W67" s="157"/>
      <c r="X67" s="157"/>
      <c r="Y67" s="149"/>
      <c r="Z67" s="149"/>
      <c r="AA67" s="149"/>
      <c r="AB67" s="149"/>
      <c r="AC67" s="149"/>
      <c r="AD67" s="149"/>
      <c r="AE67" s="149"/>
    </row>
    <row r="68">
      <c r="A68" s="154"/>
      <c r="B68" s="154"/>
      <c r="C68" s="151"/>
      <c r="D68" s="148"/>
      <c r="E68" s="160"/>
      <c r="F68" s="159"/>
      <c r="G68" s="153"/>
      <c r="H68" s="154"/>
      <c r="I68" s="154"/>
      <c r="J68" s="154"/>
      <c r="K68" s="152"/>
      <c r="L68" s="149"/>
      <c r="M68" s="149"/>
      <c r="N68" s="154"/>
      <c r="O68" s="158"/>
      <c r="P68" s="156"/>
      <c r="Q68" s="148"/>
      <c r="R68" s="155"/>
      <c r="S68" s="153"/>
      <c r="T68" s="150"/>
      <c r="U68" s="149"/>
      <c r="V68" s="149"/>
      <c r="W68" s="157"/>
      <c r="X68" s="157"/>
      <c r="Y68" s="149"/>
      <c r="Z68" s="149"/>
      <c r="AA68" s="149"/>
      <c r="AB68" s="149"/>
      <c r="AC68" s="149"/>
      <c r="AD68" s="149"/>
      <c r="AE68" s="149"/>
    </row>
    <row r="69">
      <c r="A69" s="154"/>
      <c r="B69" s="154"/>
      <c r="C69" s="151"/>
      <c r="D69" s="148"/>
      <c r="E69" s="160"/>
      <c r="F69" s="159"/>
      <c r="G69" s="153"/>
      <c r="H69" s="154"/>
      <c r="I69" s="154"/>
      <c r="J69" s="154"/>
      <c r="K69" s="152"/>
      <c r="L69" s="149"/>
      <c r="M69" s="149"/>
      <c r="N69" s="154"/>
      <c r="O69" s="158"/>
      <c r="P69" s="156"/>
      <c r="Q69" s="148"/>
      <c r="R69" s="155"/>
      <c r="S69" s="153"/>
      <c r="T69" s="150"/>
      <c r="U69" s="149"/>
      <c r="V69" s="149"/>
      <c r="W69" s="157"/>
      <c r="X69" s="157"/>
      <c r="Y69" s="149"/>
      <c r="Z69" s="149"/>
      <c r="AA69" s="149"/>
      <c r="AB69" s="149"/>
      <c r="AC69" s="149"/>
      <c r="AD69" s="149"/>
      <c r="AE69" s="149"/>
    </row>
    <row r="70">
      <c r="A70" s="154"/>
      <c r="B70" s="154"/>
      <c r="C70" s="151"/>
      <c r="D70" s="148"/>
      <c r="E70" s="160"/>
      <c r="F70" s="159"/>
      <c r="G70" s="153"/>
      <c r="H70" s="154"/>
      <c r="I70" s="154"/>
      <c r="J70" s="154"/>
      <c r="K70" s="152"/>
      <c r="L70" s="149"/>
      <c r="M70" s="149"/>
      <c r="N70" s="154"/>
      <c r="O70" s="158"/>
      <c r="P70" s="156"/>
      <c r="Q70" s="148"/>
      <c r="R70" s="155"/>
      <c r="S70" s="153"/>
      <c r="T70" s="150"/>
      <c r="U70" s="149"/>
      <c r="V70" s="149"/>
      <c r="W70" s="157"/>
      <c r="X70" s="157"/>
      <c r="Y70" s="149"/>
      <c r="Z70" s="149"/>
      <c r="AA70" s="149"/>
      <c r="AB70" s="149"/>
      <c r="AC70" s="149"/>
      <c r="AD70" s="149"/>
      <c r="AE70" s="149"/>
    </row>
    <row r="71">
      <c r="A71" s="154"/>
      <c r="B71" s="154"/>
      <c r="C71" s="151"/>
      <c r="D71" s="148"/>
      <c r="E71" s="160"/>
      <c r="F71" s="159"/>
      <c r="G71" s="153"/>
      <c r="H71" s="154"/>
      <c r="I71" s="154"/>
      <c r="J71" s="154"/>
      <c r="K71" s="152"/>
      <c r="L71" s="149"/>
      <c r="M71" s="149"/>
      <c r="N71" s="154"/>
      <c r="O71" s="158"/>
      <c r="P71" s="156"/>
      <c r="Q71" s="148"/>
      <c r="R71" s="155"/>
      <c r="S71" s="153"/>
      <c r="T71" s="150"/>
      <c r="U71" s="149"/>
      <c r="V71" s="149"/>
      <c r="W71" s="157"/>
      <c r="X71" s="157"/>
      <c r="Y71" s="149"/>
      <c r="Z71" s="149"/>
      <c r="AA71" s="149"/>
      <c r="AB71" s="149"/>
      <c r="AC71" s="149"/>
      <c r="AD71" s="149"/>
      <c r="AE71" s="149"/>
    </row>
    <row r="72">
      <c r="A72" s="154"/>
      <c r="B72" s="154"/>
      <c r="C72" s="151"/>
      <c r="D72" s="148"/>
      <c r="E72" s="160"/>
      <c r="F72" s="159"/>
      <c r="G72" s="153"/>
      <c r="H72" s="154"/>
      <c r="I72" s="154"/>
      <c r="J72" s="154"/>
      <c r="K72" s="152"/>
      <c r="L72" s="149"/>
      <c r="M72" s="149"/>
      <c r="N72" s="154"/>
      <c r="O72" s="158"/>
      <c r="P72" s="156"/>
      <c r="Q72" s="148"/>
      <c r="R72" s="155"/>
      <c r="S72" s="153"/>
      <c r="T72" s="150"/>
      <c r="U72" s="149"/>
      <c r="V72" s="149"/>
      <c r="W72" s="157"/>
      <c r="X72" s="157"/>
      <c r="Y72" s="149"/>
      <c r="Z72" s="149"/>
      <c r="AA72" s="149"/>
      <c r="AB72" s="149"/>
      <c r="AC72" s="149"/>
      <c r="AD72" s="149"/>
      <c r="AE72" s="149"/>
    </row>
    <row r="73">
      <c r="A73" s="154"/>
      <c r="B73" s="154"/>
      <c r="C73" s="151"/>
      <c r="D73" s="148"/>
      <c r="E73" s="160"/>
      <c r="F73" s="159"/>
      <c r="G73" s="153"/>
      <c r="H73" s="154"/>
      <c r="I73" s="154"/>
      <c r="J73" s="154"/>
      <c r="K73" s="152"/>
      <c r="L73" s="149"/>
      <c r="M73" s="149"/>
      <c r="N73" s="154"/>
      <c r="O73" s="158"/>
      <c r="P73" s="156"/>
      <c r="Q73" s="148"/>
      <c r="R73" s="155"/>
      <c r="S73" s="153"/>
      <c r="T73" s="150"/>
      <c r="U73" s="149"/>
      <c r="V73" s="149"/>
      <c r="W73" s="157"/>
      <c r="X73" s="157"/>
      <c r="Y73" s="149"/>
      <c r="Z73" s="149"/>
      <c r="AA73" s="149"/>
      <c r="AB73" s="149"/>
      <c r="AC73" s="149"/>
      <c r="AD73" s="149"/>
      <c r="AE73" s="149"/>
    </row>
    <row r="74">
      <c r="A74" s="154"/>
      <c r="B74" s="154"/>
      <c r="C74" s="151"/>
      <c r="D74" s="148"/>
      <c r="E74" s="160"/>
      <c r="F74" s="159"/>
      <c r="G74" s="153"/>
      <c r="H74" s="154"/>
      <c r="I74" s="154"/>
      <c r="J74" s="154"/>
      <c r="K74" s="152"/>
      <c r="L74" s="149"/>
      <c r="M74" s="149"/>
      <c r="N74" s="154"/>
      <c r="O74" s="158"/>
      <c r="P74" s="156"/>
      <c r="Q74" s="148"/>
      <c r="R74" s="155"/>
      <c r="S74" s="153"/>
      <c r="T74" s="150"/>
      <c r="U74" s="149"/>
      <c r="V74" s="149"/>
      <c r="W74" s="157"/>
      <c r="X74" s="157"/>
      <c r="Y74" s="149"/>
      <c r="Z74" s="149"/>
      <c r="AA74" s="149"/>
      <c r="AB74" s="149"/>
      <c r="AC74" s="149"/>
      <c r="AD74" s="149"/>
      <c r="AE74" s="149"/>
    </row>
    <row r="75">
      <c r="A75" s="154"/>
      <c r="B75" s="154"/>
      <c r="C75" s="151"/>
      <c r="D75" s="148"/>
      <c r="E75" s="160"/>
      <c r="F75" s="159"/>
      <c r="G75" s="153"/>
      <c r="H75" s="154"/>
      <c r="I75" s="154"/>
      <c r="J75" s="154"/>
      <c r="K75" s="152"/>
      <c r="L75" s="149"/>
      <c r="M75" s="149"/>
      <c r="N75" s="154"/>
      <c r="O75" s="158"/>
      <c r="P75" s="156"/>
      <c r="Q75" s="148"/>
      <c r="R75" s="155"/>
      <c r="S75" s="153"/>
      <c r="T75" s="150"/>
      <c r="U75" s="149"/>
      <c r="V75" s="149"/>
      <c r="W75" s="157"/>
      <c r="X75" s="157"/>
      <c r="Y75" s="149"/>
      <c r="Z75" s="149"/>
      <c r="AA75" s="149"/>
      <c r="AB75" s="149"/>
      <c r="AC75" s="149"/>
      <c r="AD75" s="149"/>
      <c r="AE75" s="149"/>
    </row>
    <row r="76">
      <c r="A76" s="154"/>
      <c r="B76" s="154"/>
      <c r="C76" s="151"/>
      <c r="D76" s="148"/>
      <c r="E76" s="160"/>
      <c r="F76" s="159"/>
      <c r="G76" s="153"/>
      <c r="H76" s="154"/>
      <c r="I76" s="154"/>
      <c r="J76" s="154"/>
      <c r="K76" s="152"/>
      <c r="L76" s="149"/>
      <c r="M76" s="149"/>
      <c r="N76" s="154"/>
      <c r="O76" s="158"/>
      <c r="P76" s="156"/>
      <c r="Q76" s="148"/>
      <c r="R76" s="155"/>
      <c r="S76" s="153"/>
      <c r="T76" s="150"/>
      <c r="U76" s="149"/>
      <c r="V76" s="149"/>
      <c r="W76" s="157"/>
      <c r="X76" s="157"/>
      <c r="Y76" s="149"/>
      <c r="Z76" s="149"/>
      <c r="AA76" s="149"/>
      <c r="AB76" s="149"/>
      <c r="AC76" s="149"/>
      <c r="AD76" s="149"/>
      <c r="AE76" s="149"/>
    </row>
    <row r="77">
      <c r="A77" s="154"/>
      <c r="B77" s="154"/>
      <c r="C77" s="151"/>
      <c r="D77" s="148"/>
      <c r="E77" s="160"/>
      <c r="F77" s="159"/>
      <c r="G77" s="153"/>
      <c r="H77" s="154"/>
      <c r="I77" s="154"/>
      <c r="J77" s="154"/>
      <c r="K77" s="152"/>
      <c r="L77" s="149"/>
      <c r="M77" s="149"/>
      <c r="N77" s="154"/>
      <c r="O77" s="158"/>
      <c r="P77" s="156"/>
      <c r="Q77" s="148"/>
      <c r="R77" s="155"/>
      <c r="S77" s="153"/>
      <c r="T77" s="150"/>
      <c r="U77" s="149"/>
      <c r="V77" s="149"/>
      <c r="W77" s="157"/>
      <c r="X77" s="157"/>
      <c r="Y77" s="149"/>
      <c r="Z77" s="149"/>
      <c r="AA77" s="149"/>
      <c r="AB77" s="149"/>
      <c r="AC77" s="149"/>
      <c r="AD77" s="149"/>
      <c r="AE77" s="149"/>
    </row>
    <row r="78">
      <c r="A78" s="154"/>
      <c r="B78" s="154"/>
      <c r="C78" s="151"/>
      <c r="D78" s="148"/>
      <c r="E78" s="160"/>
      <c r="F78" s="159"/>
      <c r="G78" s="153"/>
      <c r="H78" s="154"/>
      <c r="I78" s="154"/>
      <c r="J78" s="154"/>
      <c r="K78" s="152"/>
      <c r="L78" s="149"/>
      <c r="M78" s="149"/>
      <c r="N78" s="154"/>
      <c r="O78" s="158"/>
      <c r="P78" s="156"/>
      <c r="Q78" s="148"/>
      <c r="R78" s="155"/>
      <c r="S78" s="153"/>
      <c r="T78" s="150"/>
      <c r="U78" s="149"/>
      <c r="V78" s="149"/>
      <c r="W78" s="157"/>
      <c r="X78" s="157"/>
      <c r="Y78" s="149"/>
      <c r="Z78" s="149"/>
      <c r="AA78" s="149"/>
      <c r="AB78" s="149"/>
      <c r="AC78" s="149"/>
      <c r="AD78" s="149"/>
      <c r="AE78" s="149"/>
    </row>
    <row r="79">
      <c r="A79" s="154"/>
      <c r="B79" s="154"/>
      <c r="C79" s="151"/>
      <c r="D79" s="148"/>
      <c r="E79" s="160"/>
      <c r="F79" s="159"/>
      <c r="G79" s="153"/>
      <c r="H79" s="154"/>
      <c r="I79" s="154"/>
      <c r="J79" s="154"/>
      <c r="K79" s="152"/>
      <c r="L79" s="149"/>
      <c r="M79" s="149"/>
      <c r="N79" s="154"/>
      <c r="O79" s="158"/>
      <c r="P79" s="156"/>
      <c r="Q79" s="148"/>
      <c r="R79" s="155"/>
      <c r="S79" s="153"/>
      <c r="T79" s="150"/>
      <c r="U79" s="149"/>
      <c r="V79" s="149"/>
      <c r="W79" s="157"/>
      <c r="X79" s="157"/>
      <c r="Y79" s="149"/>
      <c r="Z79" s="149"/>
      <c r="AA79" s="149"/>
      <c r="AB79" s="149"/>
      <c r="AC79" s="149"/>
      <c r="AD79" s="149"/>
      <c r="AE79" s="149"/>
    </row>
    <row r="80">
      <c r="A80" s="154"/>
      <c r="B80" s="154"/>
      <c r="C80" s="151"/>
      <c r="D80" s="148"/>
      <c r="E80" s="160"/>
      <c r="F80" s="159"/>
      <c r="G80" s="153"/>
      <c r="H80" s="154"/>
      <c r="I80" s="154"/>
      <c r="J80" s="154"/>
      <c r="K80" s="152"/>
      <c r="L80" s="149"/>
      <c r="M80" s="149"/>
      <c r="N80" s="154"/>
      <c r="O80" s="158"/>
      <c r="P80" s="156"/>
      <c r="Q80" s="148"/>
      <c r="R80" s="155"/>
      <c r="S80" s="153"/>
      <c r="T80" s="150"/>
      <c r="U80" s="149"/>
      <c r="V80" s="149"/>
      <c r="W80" s="157"/>
      <c r="X80" s="157"/>
      <c r="Y80" s="149"/>
      <c r="Z80" s="149"/>
      <c r="AA80" s="149"/>
      <c r="AB80" s="149"/>
      <c r="AC80" s="149"/>
      <c r="AD80" s="149"/>
      <c r="AE80" s="149"/>
    </row>
    <row r="81">
      <c r="A81" s="154"/>
      <c r="B81" s="154"/>
      <c r="C81" s="151"/>
      <c r="D81" s="148"/>
      <c r="E81" s="160"/>
      <c r="F81" s="159"/>
      <c r="G81" s="153"/>
      <c r="H81" s="154"/>
      <c r="I81" s="154"/>
      <c r="J81" s="154"/>
      <c r="K81" s="152"/>
      <c r="L81" s="149"/>
      <c r="M81" s="149"/>
      <c r="N81" s="154"/>
      <c r="O81" s="158"/>
      <c r="P81" s="156"/>
      <c r="Q81" s="148"/>
      <c r="R81" s="155"/>
      <c r="S81" s="153"/>
      <c r="T81" s="150"/>
      <c r="U81" s="149"/>
      <c r="V81" s="149"/>
      <c r="W81" s="157"/>
      <c r="X81" s="157"/>
      <c r="Y81" s="149"/>
      <c r="Z81" s="149"/>
      <c r="AA81" s="149"/>
      <c r="AB81" s="149"/>
      <c r="AC81" s="149"/>
      <c r="AD81" s="149"/>
      <c r="AE81" s="149"/>
    </row>
    <row r="82">
      <c r="A82" s="154"/>
      <c r="B82" s="154"/>
      <c r="C82" s="151"/>
      <c r="D82" s="148"/>
      <c r="E82" s="160"/>
      <c r="F82" s="159"/>
      <c r="G82" s="153"/>
      <c r="H82" s="154"/>
      <c r="I82" s="154"/>
      <c r="J82" s="154"/>
      <c r="K82" s="152"/>
      <c r="L82" s="149"/>
      <c r="M82" s="149"/>
      <c r="N82" s="154"/>
      <c r="O82" s="158"/>
      <c r="P82" s="156"/>
      <c r="Q82" s="148"/>
      <c r="R82" s="155"/>
      <c r="S82" s="153"/>
      <c r="T82" s="150"/>
      <c r="U82" s="149"/>
      <c r="V82" s="149"/>
      <c r="W82" s="157"/>
      <c r="X82" s="157"/>
      <c r="Y82" s="149"/>
      <c r="Z82" s="149"/>
      <c r="AA82" s="149"/>
      <c r="AB82" s="149"/>
      <c r="AC82" s="149"/>
      <c r="AD82" s="149"/>
      <c r="AE82" s="149"/>
    </row>
    <row r="83">
      <c r="A83" s="154"/>
      <c r="B83" s="154"/>
      <c r="C83" s="151"/>
      <c r="D83" s="148"/>
      <c r="E83" s="160"/>
      <c r="F83" s="159"/>
      <c r="G83" s="153"/>
      <c r="H83" s="154"/>
      <c r="I83" s="154"/>
      <c r="J83" s="154"/>
      <c r="K83" s="152"/>
      <c r="L83" s="149"/>
      <c r="M83" s="149"/>
      <c r="N83" s="154"/>
      <c r="O83" s="158"/>
      <c r="P83" s="156"/>
      <c r="Q83" s="148"/>
      <c r="R83" s="155"/>
      <c r="S83" s="153"/>
      <c r="T83" s="150"/>
      <c r="U83" s="149"/>
      <c r="V83" s="149"/>
      <c r="W83" s="157"/>
      <c r="X83" s="157"/>
      <c r="Y83" s="149"/>
      <c r="Z83" s="149"/>
      <c r="AA83" s="149"/>
      <c r="AB83" s="149"/>
      <c r="AC83" s="149"/>
      <c r="AD83" s="149"/>
      <c r="AE83" s="149"/>
    </row>
    <row r="84">
      <c r="A84" s="154"/>
      <c r="B84" s="154"/>
      <c r="C84" s="151"/>
      <c r="D84" s="148"/>
      <c r="E84" s="160"/>
      <c r="F84" s="159"/>
      <c r="G84" s="153"/>
      <c r="H84" s="154"/>
      <c r="I84" s="154"/>
      <c r="J84" s="154"/>
      <c r="K84" s="152"/>
      <c r="L84" s="149"/>
      <c r="M84" s="149"/>
      <c r="N84" s="154"/>
      <c r="O84" s="158"/>
      <c r="P84" s="156"/>
      <c r="Q84" s="148"/>
      <c r="R84" s="155"/>
      <c r="S84" s="153"/>
      <c r="T84" s="150"/>
      <c r="U84" s="149"/>
      <c r="V84" s="149"/>
      <c r="W84" s="157"/>
      <c r="X84" s="157"/>
      <c r="Y84" s="149"/>
      <c r="Z84" s="149"/>
      <c r="AA84" s="149"/>
      <c r="AB84" s="149"/>
      <c r="AC84" s="149"/>
      <c r="AD84" s="149"/>
      <c r="AE84" s="149"/>
    </row>
    <row r="85">
      <c r="A85" s="154"/>
      <c r="B85" s="154"/>
      <c r="C85" s="151"/>
      <c r="D85" s="148"/>
      <c r="E85" s="160"/>
      <c r="F85" s="159"/>
      <c r="G85" s="153"/>
      <c r="H85" s="154"/>
      <c r="I85" s="154"/>
      <c r="J85" s="154"/>
      <c r="K85" s="152"/>
      <c r="L85" s="149"/>
      <c r="M85" s="149"/>
      <c r="N85" s="154"/>
      <c r="O85" s="158"/>
      <c r="P85" s="156"/>
      <c r="Q85" s="148"/>
      <c r="R85" s="155"/>
      <c r="S85" s="153"/>
      <c r="T85" s="150"/>
      <c r="U85" s="149"/>
      <c r="V85" s="149"/>
      <c r="W85" s="157"/>
      <c r="X85" s="157"/>
      <c r="Y85" s="149"/>
      <c r="Z85" s="149"/>
      <c r="AA85" s="149"/>
      <c r="AB85" s="149"/>
      <c r="AC85" s="149"/>
      <c r="AD85" s="149"/>
      <c r="AE85" s="149"/>
    </row>
    <row r="86">
      <c r="A86" s="154"/>
      <c r="B86" s="154"/>
      <c r="C86" s="151"/>
      <c r="D86" s="148"/>
      <c r="E86" s="160"/>
      <c r="F86" s="159"/>
      <c r="G86" s="153"/>
      <c r="H86" s="154"/>
      <c r="I86" s="154"/>
      <c r="J86" s="154"/>
      <c r="K86" s="152"/>
      <c r="L86" s="149"/>
      <c r="M86" s="149"/>
      <c r="N86" s="154"/>
      <c r="O86" s="158"/>
      <c r="P86" s="156"/>
      <c r="Q86" s="148"/>
      <c r="R86" s="155"/>
      <c r="S86" s="153"/>
      <c r="T86" s="150"/>
      <c r="U86" s="149"/>
      <c r="V86" s="149"/>
      <c r="W86" s="157"/>
      <c r="X86" s="157"/>
      <c r="Y86" s="149"/>
      <c r="Z86" s="149"/>
      <c r="AA86" s="149"/>
      <c r="AB86" s="149"/>
      <c r="AC86" s="149"/>
      <c r="AD86" s="149"/>
      <c r="AE86" s="149"/>
    </row>
    <row r="87">
      <c r="A87" s="154"/>
      <c r="B87" s="154"/>
      <c r="C87" s="151"/>
      <c r="D87" s="148"/>
      <c r="E87" s="160"/>
      <c r="F87" s="159"/>
      <c r="G87" s="153"/>
      <c r="H87" s="154"/>
      <c r="I87" s="154"/>
      <c r="J87" s="154"/>
      <c r="K87" s="152"/>
      <c r="L87" s="149"/>
      <c r="M87" s="149"/>
      <c r="N87" s="154"/>
      <c r="O87" s="158"/>
      <c r="P87" s="156"/>
      <c r="Q87" s="148"/>
      <c r="R87" s="155"/>
      <c r="S87" s="153"/>
      <c r="T87" s="150"/>
      <c r="U87" s="149"/>
      <c r="V87" s="149"/>
      <c r="W87" s="157"/>
      <c r="X87" s="157"/>
      <c r="Y87" s="149"/>
      <c r="Z87" s="149"/>
      <c r="AA87" s="149"/>
      <c r="AB87" s="149"/>
      <c r="AC87" s="149"/>
      <c r="AD87" s="149"/>
      <c r="AE87" s="149"/>
    </row>
    <row r="88">
      <c r="A88" s="154"/>
      <c r="B88" s="154"/>
      <c r="C88" s="151"/>
      <c r="D88" s="148"/>
      <c r="E88" s="160"/>
      <c r="F88" s="159"/>
      <c r="G88" s="153"/>
      <c r="H88" s="154"/>
      <c r="I88" s="154"/>
      <c r="J88" s="154"/>
      <c r="K88" s="152"/>
      <c r="L88" s="149"/>
      <c r="M88" s="149"/>
      <c r="N88" s="154"/>
      <c r="O88" s="158"/>
      <c r="P88" s="156"/>
      <c r="Q88" s="148"/>
      <c r="R88" s="155"/>
      <c r="S88" s="153"/>
      <c r="T88" s="150"/>
      <c r="U88" s="149"/>
      <c r="V88" s="149"/>
      <c r="W88" s="157"/>
      <c r="X88" s="157"/>
      <c r="Y88" s="149"/>
      <c r="Z88" s="149"/>
      <c r="AA88" s="149"/>
      <c r="AB88" s="149"/>
      <c r="AC88" s="149"/>
      <c r="AD88" s="149"/>
      <c r="AE88" s="149"/>
    </row>
    <row r="89">
      <c r="A89" s="154"/>
      <c r="B89" s="154"/>
      <c r="C89" s="151"/>
      <c r="D89" s="148"/>
      <c r="E89" s="160"/>
      <c r="F89" s="159"/>
      <c r="G89" s="153"/>
      <c r="H89" s="154"/>
      <c r="I89" s="154"/>
      <c r="J89" s="154"/>
      <c r="K89" s="152"/>
      <c r="L89" s="149"/>
      <c r="M89" s="149"/>
      <c r="N89" s="154"/>
      <c r="O89" s="158"/>
      <c r="P89" s="156"/>
      <c r="Q89" s="148"/>
      <c r="R89" s="155"/>
      <c r="S89" s="153"/>
      <c r="T89" s="150"/>
      <c r="U89" s="149"/>
      <c r="V89" s="149"/>
      <c r="W89" s="157"/>
      <c r="X89" s="157"/>
      <c r="Y89" s="149"/>
      <c r="Z89" s="149"/>
      <c r="AA89" s="149"/>
      <c r="AB89" s="149"/>
      <c r="AC89" s="149"/>
      <c r="AD89" s="149"/>
      <c r="AE89" s="149"/>
    </row>
    <row r="90">
      <c r="A90" s="154"/>
      <c r="B90" s="154"/>
      <c r="C90" s="151"/>
      <c r="D90" s="148"/>
      <c r="E90" s="160"/>
      <c r="F90" s="159"/>
      <c r="G90" s="153"/>
      <c r="H90" s="154"/>
      <c r="I90" s="154"/>
      <c r="J90" s="154"/>
      <c r="K90" s="152"/>
      <c r="L90" s="149"/>
      <c r="M90" s="149"/>
      <c r="N90" s="154"/>
      <c r="O90" s="158"/>
      <c r="P90" s="156"/>
      <c r="Q90" s="148"/>
      <c r="R90" s="155"/>
      <c r="S90" s="153"/>
      <c r="T90" s="150"/>
      <c r="U90" s="149"/>
      <c r="V90" s="149"/>
      <c r="W90" s="157"/>
      <c r="X90" s="157"/>
      <c r="Y90" s="149"/>
      <c r="Z90" s="149"/>
      <c r="AA90" s="149"/>
      <c r="AB90" s="149"/>
      <c r="AC90" s="149"/>
      <c r="AD90" s="149"/>
      <c r="AE90" s="149"/>
    </row>
    <row r="91">
      <c r="A91" s="154"/>
      <c r="B91" s="154"/>
      <c r="C91" s="151"/>
      <c r="D91" s="148"/>
      <c r="E91" s="160"/>
      <c r="F91" s="159"/>
      <c r="G91" s="153"/>
      <c r="H91" s="154"/>
      <c r="I91" s="154"/>
      <c r="J91" s="154"/>
      <c r="K91" s="152"/>
      <c r="L91" s="149"/>
      <c r="M91" s="149"/>
      <c r="N91" s="154"/>
      <c r="O91" s="158"/>
      <c r="P91" s="156"/>
      <c r="Q91" s="148"/>
      <c r="R91" s="155"/>
      <c r="S91" s="153"/>
      <c r="T91" s="150"/>
      <c r="U91" s="149"/>
      <c r="V91" s="149"/>
      <c r="W91" s="157"/>
      <c r="X91" s="157"/>
      <c r="Y91" s="149"/>
      <c r="Z91" s="149"/>
      <c r="AA91" s="149"/>
      <c r="AB91" s="149"/>
      <c r="AC91" s="149"/>
      <c r="AD91" s="149"/>
      <c r="AE91" s="149"/>
    </row>
    <row r="92">
      <c r="A92" s="154"/>
      <c r="B92" s="154"/>
      <c r="C92" s="151"/>
      <c r="D92" s="148"/>
      <c r="E92" s="160"/>
      <c r="F92" s="159"/>
      <c r="G92" s="153"/>
      <c r="H92" s="154"/>
      <c r="I92" s="154"/>
      <c r="J92" s="154"/>
      <c r="K92" s="152"/>
      <c r="L92" s="149"/>
      <c r="M92" s="149"/>
      <c r="N92" s="154"/>
      <c r="O92" s="158"/>
      <c r="P92" s="156"/>
      <c r="Q92" s="148"/>
      <c r="R92" s="155"/>
      <c r="S92" s="153"/>
      <c r="T92" s="150"/>
      <c r="U92" s="149"/>
      <c r="V92" s="149"/>
      <c r="W92" s="157"/>
      <c r="X92" s="157"/>
      <c r="Y92" s="149"/>
      <c r="Z92" s="149"/>
      <c r="AA92" s="149"/>
      <c r="AB92" s="149"/>
      <c r="AC92" s="149"/>
      <c r="AD92" s="149"/>
      <c r="AE92" s="149"/>
    </row>
    <row r="93">
      <c r="A93" s="154"/>
      <c r="B93" s="154"/>
      <c r="C93" s="151"/>
      <c r="D93" s="148"/>
      <c r="E93" s="160"/>
      <c r="F93" s="159"/>
      <c r="G93" s="153"/>
      <c r="H93" s="154"/>
      <c r="I93" s="154"/>
      <c r="J93" s="154"/>
      <c r="K93" s="152"/>
      <c r="L93" s="149"/>
      <c r="M93" s="149"/>
      <c r="N93" s="154"/>
      <c r="O93" s="158"/>
      <c r="P93" s="156"/>
      <c r="Q93" s="148"/>
      <c r="R93" s="155"/>
      <c r="S93" s="153"/>
      <c r="T93" s="150"/>
      <c r="U93" s="149"/>
      <c r="V93" s="149"/>
      <c r="W93" s="157"/>
      <c r="X93" s="157"/>
      <c r="Y93" s="149"/>
      <c r="Z93" s="149"/>
      <c r="AA93" s="149"/>
      <c r="AB93" s="149"/>
      <c r="AC93" s="149"/>
      <c r="AD93" s="149"/>
      <c r="AE93" s="149"/>
    </row>
    <row r="94">
      <c r="A94" s="154"/>
      <c r="B94" s="154"/>
      <c r="C94" s="151"/>
      <c r="D94" s="148"/>
      <c r="E94" s="160"/>
      <c r="F94" s="159"/>
      <c r="G94" s="153"/>
      <c r="H94" s="154"/>
      <c r="I94" s="154"/>
      <c r="J94" s="154"/>
      <c r="K94" s="152"/>
      <c r="L94" s="149"/>
      <c r="M94" s="149"/>
      <c r="N94" s="154"/>
      <c r="O94" s="158"/>
      <c r="P94" s="156"/>
      <c r="Q94" s="148"/>
      <c r="R94" s="155"/>
      <c r="S94" s="153"/>
      <c r="T94" s="150"/>
      <c r="U94" s="149"/>
      <c r="V94" s="149"/>
      <c r="W94" s="157"/>
      <c r="X94" s="157"/>
      <c r="Y94" s="149"/>
      <c r="Z94" s="149"/>
      <c r="AA94" s="149"/>
      <c r="AB94" s="149"/>
      <c r="AC94" s="149"/>
      <c r="AD94" s="149"/>
      <c r="AE94" s="149"/>
    </row>
    <row r="95">
      <c r="A95" s="154"/>
      <c r="B95" s="154"/>
      <c r="C95" s="151"/>
      <c r="D95" s="148"/>
      <c r="E95" s="160"/>
      <c r="F95" s="159"/>
      <c r="G95" s="153"/>
      <c r="H95" s="154"/>
      <c r="I95" s="154"/>
      <c r="J95" s="154"/>
      <c r="K95" s="152"/>
      <c r="L95" s="149"/>
      <c r="M95" s="149"/>
      <c r="N95" s="154"/>
      <c r="O95" s="158"/>
      <c r="P95" s="156"/>
      <c r="Q95" s="148"/>
      <c r="R95" s="155"/>
      <c r="S95" s="153"/>
      <c r="T95" s="150"/>
      <c r="U95" s="149"/>
      <c r="V95" s="149"/>
      <c r="W95" s="157"/>
      <c r="X95" s="157"/>
      <c r="Y95" s="149"/>
      <c r="Z95" s="149"/>
      <c r="AA95" s="149"/>
      <c r="AB95" s="149"/>
      <c r="AC95" s="149"/>
      <c r="AD95" s="149"/>
      <c r="AE95" s="149"/>
    </row>
    <row r="96">
      <c r="A96" s="154"/>
      <c r="B96" s="154"/>
      <c r="C96" s="151"/>
      <c r="D96" s="148"/>
      <c r="E96" s="160"/>
      <c r="F96" s="159"/>
      <c r="G96" s="153"/>
      <c r="H96" s="154"/>
      <c r="I96" s="154"/>
      <c r="J96" s="154"/>
      <c r="K96" s="152"/>
      <c r="L96" s="149"/>
      <c r="M96" s="149"/>
      <c r="N96" s="154"/>
      <c r="O96" s="158"/>
      <c r="P96" s="156"/>
      <c r="Q96" s="148"/>
      <c r="R96" s="155"/>
      <c r="S96" s="153"/>
      <c r="T96" s="150"/>
      <c r="U96" s="149"/>
      <c r="V96" s="149"/>
      <c r="W96" s="157"/>
      <c r="X96" s="157"/>
      <c r="Y96" s="149"/>
      <c r="Z96" s="149"/>
      <c r="AA96" s="149"/>
      <c r="AB96" s="149"/>
      <c r="AC96" s="149"/>
      <c r="AD96" s="149"/>
      <c r="AE96" s="149"/>
    </row>
    <row r="97">
      <c r="A97" s="154"/>
      <c r="B97" s="154"/>
      <c r="C97" s="151"/>
      <c r="D97" s="148"/>
      <c r="E97" s="160"/>
      <c r="F97" s="159"/>
      <c r="G97" s="153"/>
      <c r="H97" s="154"/>
      <c r="I97" s="154"/>
      <c r="J97" s="154"/>
      <c r="K97" s="152"/>
      <c r="L97" s="149"/>
      <c r="M97" s="149"/>
      <c r="N97" s="154"/>
      <c r="O97" s="158"/>
      <c r="P97" s="156"/>
      <c r="Q97" s="148"/>
      <c r="R97" s="155"/>
      <c r="S97" s="153"/>
      <c r="T97" s="150"/>
      <c r="U97" s="149"/>
      <c r="V97" s="149"/>
      <c r="W97" s="157"/>
      <c r="X97" s="157"/>
      <c r="Y97" s="149"/>
      <c r="Z97" s="149"/>
      <c r="AA97" s="149"/>
      <c r="AB97" s="149"/>
      <c r="AC97" s="149"/>
      <c r="AD97" s="149"/>
      <c r="AE97" s="149"/>
    </row>
    <row r="98">
      <c r="A98" s="154"/>
      <c r="B98" s="154"/>
      <c r="C98" s="151"/>
      <c r="D98" s="148"/>
      <c r="E98" s="160"/>
      <c r="F98" s="159"/>
      <c r="G98" s="153"/>
      <c r="H98" s="154"/>
      <c r="I98" s="154"/>
      <c r="J98" s="154"/>
      <c r="K98" s="152"/>
      <c r="L98" s="149"/>
      <c r="M98" s="149"/>
      <c r="N98" s="154"/>
      <c r="O98" s="158"/>
      <c r="P98" s="156"/>
      <c r="Q98" s="148"/>
      <c r="R98" s="155"/>
      <c r="S98" s="153"/>
      <c r="T98" s="150"/>
      <c r="U98" s="149"/>
      <c r="V98" s="149"/>
      <c r="W98" s="157"/>
      <c r="X98" s="157"/>
      <c r="Y98" s="149"/>
      <c r="Z98" s="149"/>
      <c r="AA98" s="149"/>
      <c r="AB98" s="149"/>
      <c r="AC98" s="149"/>
      <c r="AD98" s="149"/>
      <c r="AE98" s="149"/>
    </row>
    <row r="99">
      <c r="A99" s="154"/>
      <c r="B99" s="154"/>
      <c r="C99" s="151"/>
      <c r="D99" s="148"/>
      <c r="E99" s="160"/>
      <c r="F99" s="159"/>
      <c r="G99" s="153"/>
      <c r="H99" s="154"/>
      <c r="I99" s="154"/>
      <c r="J99" s="154"/>
      <c r="K99" s="152"/>
      <c r="L99" s="149"/>
      <c r="M99" s="149"/>
      <c r="N99" s="154"/>
      <c r="O99" s="158"/>
      <c r="P99" s="156"/>
      <c r="Q99" s="148"/>
      <c r="R99" s="155"/>
      <c r="S99" s="153"/>
      <c r="T99" s="150"/>
      <c r="U99" s="149"/>
      <c r="V99" s="149"/>
      <c r="W99" s="157"/>
      <c r="X99" s="157"/>
      <c r="Y99" s="149"/>
      <c r="Z99" s="149"/>
      <c r="AA99" s="149"/>
      <c r="AB99" s="149"/>
      <c r="AC99" s="149"/>
      <c r="AD99" s="149"/>
      <c r="AE99" s="149"/>
    </row>
    <row r="100">
      <c r="A100" s="154"/>
      <c r="B100" s="154"/>
      <c r="C100" s="151"/>
      <c r="D100" s="148"/>
      <c r="E100" s="160"/>
      <c r="F100" s="159"/>
      <c r="G100" s="153"/>
      <c r="H100" s="154"/>
      <c r="I100" s="154"/>
      <c r="J100" s="154"/>
      <c r="K100" s="152"/>
      <c r="L100" s="149"/>
      <c r="M100" s="149"/>
      <c r="N100" s="154"/>
      <c r="O100" s="158"/>
      <c r="P100" s="156"/>
      <c r="Q100" s="148"/>
      <c r="R100" s="155"/>
      <c r="S100" s="153"/>
      <c r="T100" s="150"/>
      <c r="U100" s="149"/>
      <c r="V100" s="149"/>
      <c r="W100" s="157"/>
      <c r="X100" s="157"/>
      <c r="Y100" s="149"/>
      <c r="Z100" s="149"/>
      <c r="AA100" s="149"/>
      <c r="AB100" s="149"/>
      <c r="AC100" s="149"/>
      <c r="AD100" s="149"/>
      <c r="AE100" s="149"/>
    </row>
    <row r="101">
      <c r="A101" s="154"/>
      <c r="B101" s="154"/>
      <c r="C101" s="151"/>
      <c r="D101" s="148"/>
      <c r="E101" s="160"/>
      <c r="F101" s="159"/>
      <c r="G101" s="153"/>
      <c r="H101" s="154"/>
      <c r="I101" s="154"/>
      <c r="J101" s="154"/>
      <c r="K101" s="152"/>
      <c r="L101" s="149"/>
      <c r="M101" s="149"/>
      <c r="N101" s="154"/>
      <c r="O101" s="158"/>
      <c r="P101" s="156"/>
      <c r="Q101" s="148"/>
      <c r="R101" s="155"/>
      <c r="S101" s="153"/>
      <c r="T101" s="150"/>
      <c r="U101" s="149"/>
      <c r="V101" s="149"/>
      <c r="W101" s="157"/>
      <c r="X101" s="157"/>
      <c r="Y101" s="149"/>
      <c r="Z101" s="149"/>
      <c r="AA101" s="149"/>
      <c r="AB101" s="149"/>
      <c r="AC101" s="149"/>
      <c r="AD101" s="149"/>
      <c r="AE101" s="149"/>
    </row>
    <row r="102">
      <c r="A102" s="154"/>
      <c r="B102" s="154"/>
      <c r="C102" s="151"/>
      <c r="D102" s="148"/>
      <c r="E102" s="160"/>
      <c r="F102" s="159"/>
      <c r="G102" s="153"/>
      <c r="H102" s="154"/>
      <c r="I102" s="154"/>
      <c r="J102" s="154"/>
      <c r="K102" s="152"/>
      <c r="L102" s="149"/>
      <c r="M102" s="149"/>
      <c r="N102" s="154"/>
      <c r="O102" s="158"/>
      <c r="P102" s="156"/>
      <c r="Q102" s="148"/>
      <c r="R102" s="155"/>
      <c r="S102" s="153"/>
      <c r="T102" s="150"/>
      <c r="U102" s="149"/>
      <c r="V102" s="149"/>
      <c r="W102" s="157"/>
      <c r="X102" s="157"/>
      <c r="Y102" s="149"/>
      <c r="Z102" s="149"/>
      <c r="AA102" s="149"/>
      <c r="AB102" s="149"/>
      <c r="AC102" s="149"/>
      <c r="AD102" s="149"/>
      <c r="AE102" s="149"/>
    </row>
    <row r="103">
      <c r="A103" s="154"/>
      <c r="B103" s="154"/>
      <c r="C103" s="151"/>
      <c r="D103" s="148"/>
      <c r="E103" s="160"/>
      <c r="F103" s="159"/>
      <c r="G103" s="153"/>
      <c r="H103" s="154"/>
      <c r="I103" s="154"/>
      <c r="J103" s="154"/>
      <c r="K103" s="152"/>
      <c r="L103" s="149"/>
      <c r="M103" s="149"/>
      <c r="N103" s="154"/>
      <c r="O103" s="158"/>
      <c r="P103" s="156"/>
      <c r="Q103" s="148"/>
      <c r="R103" s="155"/>
      <c r="S103" s="153"/>
      <c r="T103" s="150"/>
      <c r="U103" s="149"/>
      <c r="V103" s="149"/>
      <c r="W103" s="157"/>
      <c r="X103" s="157"/>
      <c r="Y103" s="149"/>
      <c r="Z103" s="149"/>
      <c r="AA103" s="149"/>
      <c r="AB103" s="149"/>
      <c r="AC103" s="149"/>
      <c r="AD103" s="149"/>
      <c r="AE103" s="149"/>
    </row>
    <row r="104">
      <c r="A104" s="154"/>
      <c r="B104" s="154"/>
      <c r="C104" s="151"/>
      <c r="D104" s="148"/>
      <c r="E104" s="160"/>
      <c r="F104" s="159"/>
      <c r="G104" s="153"/>
      <c r="H104" s="154"/>
      <c r="I104" s="154"/>
      <c r="J104" s="154"/>
      <c r="K104" s="152"/>
      <c r="L104" s="149"/>
      <c r="M104" s="149"/>
      <c r="N104" s="154"/>
      <c r="O104" s="158"/>
      <c r="P104" s="156"/>
      <c r="Q104" s="148"/>
      <c r="R104" s="155"/>
      <c r="S104" s="153"/>
      <c r="T104" s="150"/>
      <c r="U104" s="149"/>
      <c r="V104" s="149"/>
      <c r="W104" s="157"/>
      <c r="X104" s="157"/>
      <c r="Y104" s="149"/>
      <c r="Z104" s="149"/>
      <c r="AA104" s="149"/>
      <c r="AB104" s="149"/>
      <c r="AC104" s="149"/>
      <c r="AD104" s="149"/>
      <c r="AE104" s="149"/>
    </row>
    <row r="105">
      <c r="A105" s="154"/>
      <c r="B105" s="154"/>
      <c r="C105" s="151"/>
      <c r="D105" s="148"/>
      <c r="E105" s="160"/>
      <c r="F105" s="159"/>
      <c r="G105" s="153"/>
      <c r="H105" s="154"/>
      <c r="I105" s="154"/>
      <c r="J105" s="154"/>
      <c r="K105" s="152"/>
      <c r="L105" s="149"/>
      <c r="M105" s="149"/>
      <c r="N105" s="154"/>
      <c r="O105" s="158"/>
      <c r="P105" s="156"/>
      <c r="Q105" s="148"/>
      <c r="R105" s="155"/>
      <c r="S105" s="153"/>
      <c r="T105" s="150"/>
      <c r="U105" s="149"/>
      <c r="V105" s="149"/>
      <c r="W105" s="157"/>
      <c r="X105" s="157"/>
      <c r="Y105" s="149"/>
      <c r="Z105" s="149"/>
      <c r="AA105" s="149"/>
      <c r="AB105" s="149"/>
      <c r="AC105" s="149"/>
      <c r="AD105" s="149"/>
      <c r="AE105" s="149"/>
    </row>
    <row r="106">
      <c r="A106" s="154"/>
      <c r="B106" s="154"/>
      <c r="C106" s="151"/>
      <c r="D106" s="148"/>
      <c r="E106" s="160"/>
      <c r="F106" s="159"/>
      <c r="G106" s="153"/>
      <c r="H106" s="154"/>
      <c r="I106" s="154"/>
      <c r="J106" s="154"/>
      <c r="K106" s="152"/>
      <c r="L106" s="149"/>
      <c r="M106" s="149"/>
      <c r="N106" s="154"/>
      <c r="O106" s="158"/>
      <c r="P106" s="156"/>
      <c r="Q106" s="148"/>
      <c r="R106" s="155"/>
      <c r="S106" s="153"/>
      <c r="T106" s="150"/>
      <c r="U106" s="149"/>
      <c r="V106" s="149"/>
      <c r="W106" s="157"/>
      <c r="X106" s="157"/>
      <c r="Y106" s="149"/>
      <c r="Z106" s="149"/>
      <c r="AA106" s="149"/>
      <c r="AB106" s="149"/>
      <c r="AC106" s="149"/>
      <c r="AD106" s="149"/>
      <c r="AE106" s="149"/>
    </row>
    <row r="107">
      <c r="A107" s="154"/>
      <c r="B107" s="154"/>
      <c r="C107" s="151"/>
      <c r="D107" s="148"/>
      <c r="E107" s="160"/>
      <c r="F107" s="159"/>
      <c r="G107" s="153"/>
      <c r="H107" s="154"/>
      <c r="I107" s="154"/>
      <c r="J107" s="154"/>
      <c r="K107" s="152"/>
      <c r="L107" s="149"/>
      <c r="M107" s="149"/>
      <c r="N107" s="154"/>
      <c r="O107" s="158"/>
      <c r="P107" s="156"/>
      <c r="Q107" s="148"/>
      <c r="R107" s="155"/>
      <c r="S107" s="153"/>
      <c r="T107" s="150"/>
      <c r="U107" s="149"/>
      <c r="V107" s="149"/>
      <c r="W107" s="157"/>
      <c r="X107" s="157"/>
      <c r="Y107" s="149"/>
      <c r="Z107" s="149"/>
      <c r="AA107" s="149"/>
      <c r="AB107" s="149"/>
      <c r="AC107" s="149"/>
      <c r="AD107" s="149"/>
      <c r="AE107" s="149"/>
    </row>
    <row r="108">
      <c r="A108" s="154"/>
      <c r="B108" s="154"/>
      <c r="C108" s="151"/>
      <c r="D108" s="148"/>
      <c r="E108" s="160"/>
      <c r="F108" s="159"/>
      <c r="G108" s="153"/>
      <c r="H108" s="154"/>
      <c r="I108" s="154"/>
      <c r="J108" s="154"/>
      <c r="K108" s="152"/>
      <c r="L108" s="149"/>
      <c r="M108" s="149"/>
      <c r="N108" s="154"/>
      <c r="O108" s="158"/>
      <c r="P108" s="156"/>
      <c r="Q108" s="148"/>
      <c r="R108" s="155"/>
      <c r="S108" s="153"/>
      <c r="T108" s="150"/>
      <c r="U108" s="149"/>
      <c r="V108" s="149"/>
      <c r="W108" s="157"/>
      <c r="X108" s="157"/>
      <c r="Y108" s="149"/>
      <c r="Z108" s="149"/>
      <c r="AA108" s="149"/>
      <c r="AB108" s="149"/>
      <c r="AC108" s="149"/>
      <c r="AD108" s="149"/>
      <c r="AE108" s="149"/>
    </row>
    <row r="109">
      <c r="A109" s="154"/>
      <c r="B109" s="154"/>
      <c r="C109" s="151"/>
      <c r="D109" s="148"/>
      <c r="E109" s="160"/>
      <c r="F109" s="159"/>
      <c r="G109" s="153"/>
      <c r="H109" s="154"/>
      <c r="I109" s="154"/>
      <c r="J109" s="154"/>
      <c r="K109" s="152"/>
      <c r="L109" s="149"/>
      <c r="M109" s="149"/>
      <c r="N109" s="154"/>
      <c r="O109" s="158"/>
      <c r="P109" s="156"/>
      <c r="Q109" s="148"/>
      <c r="R109" s="155"/>
      <c r="S109" s="153"/>
      <c r="T109" s="150"/>
      <c r="U109" s="149"/>
      <c r="V109" s="149"/>
      <c r="W109" s="157"/>
      <c r="X109" s="157"/>
      <c r="Y109" s="149"/>
      <c r="Z109" s="149"/>
      <c r="AA109" s="149"/>
      <c r="AB109" s="149"/>
      <c r="AC109" s="149"/>
      <c r="AD109" s="149"/>
      <c r="AE109" s="149"/>
    </row>
    <row r="110">
      <c r="A110" s="154"/>
      <c r="B110" s="154"/>
      <c r="C110" s="151"/>
      <c r="D110" s="148"/>
      <c r="E110" s="160"/>
      <c r="F110" s="159"/>
      <c r="G110" s="153"/>
      <c r="H110" s="154"/>
      <c r="I110" s="154"/>
      <c r="J110" s="154"/>
      <c r="K110" s="152"/>
      <c r="L110" s="149"/>
      <c r="M110" s="149"/>
      <c r="N110" s="154"/>
      <c r="O110" s="158"/>
      <c r="P110" s="156"/>
      <c r="Q110" s="148"/>
      <c r="R110" s="155"/>
      <c r="S110" s="153"/>
      <c r="T110" s="150"/>
      <c r="U110" s="149"/>
      <c r="V110" s="149"/>
      <c r="W110" s="157"/>
      <c r="X110" s="157"/>
      <c r="Y110" s="149"/>
      <c r="Z110" s="149"/>
      <c r="AA110" s="149"/>
      <c r="AB110" s="149"/>
      <c r="AC110" s="149"/>
      <c r="AD110" s="149"/>
      <c r="AE110" s="149"/>
    </row>
    <row r="111">
      <c r="A111" s="154"/>
      <c r="B111" s="154"/>
      <c r="C111" s="151"/>
      <c r="D111" s="148"/>
      <c r="E111" s="160"/>
      <c r="F111" s="159"/>
      <c r="G111" s="153"/>
      <c r="H111" s="154"/>
      <c r="I111" s="154"/>
      <c r="J111" s="154"/>
      <c r="K111" s="152"/>
      <c r="L111" s="149"/>
      <c r="M111" s="149"/>
      <c r="N111" s="154"/>
      <c r="O111" s="158"/>
      <c r="P111" s="156"/>
      <c r="Q111" s="148"/>
      <c r="R111" s="155"/>
      <c r="S111" s="153"/>
      <c r="T111" s="150"/>
      <c r="U111" s="149"/>
      <c r="V111" s="149"/>
      <c r="W111" s="157"/>
      <c r="X111" s="157"/>
      <c r="Y111" s="149"/>
      <c r="Z111" s="149"/>
      <c r="AA111" s="149"/>
      <c r="AB111" s="149"/>
      <c r="AC111" s="149"/>
      <c r="AD111" s="149"/>
      <c r="AE111" s="149"/>
    </row>
    <row r="112">
      <c r="A112" s="154"/>
      <c r="B112" s="154"/>
      <c r="C112" s="151"/>
      <c r="D112" s="148"/>
      <c r="E112" s="160"/>
      <c r="F112" s="159"/>
      <c r="G112" s="153"/>
      <c r="H112" s="154"/>
      <c r="I112" s="154"/>
      <c r="J112" s="154"/>
      <c r="K112" s="152"/>
      <c r="L112" s="149"/>
      <c r="M112" s="149"/>
      <c r="N112" s="154"/>
      <c r="O112" s="158"/>
      <c r="P112" s="156"/>
      <c r="Q112" s="148"/>
      <c r="R112" s="155"/>
      <c r="S112" s="153"/>
      <c r="T112" s="150"/>
      <c r="U112" s="149"/>
      <c r="V112" s="149"/>
      <c r="W112" s="157"/>
      <c r="X112" s="157"/>
      <c r="Y112" s="149"/>
      <c r="Z112" s="149"/>
      <c r="AA112" s="149"/>
      <c r="AB112" s="149"/>
      <c r="AC112" s="149"/>
      <c r="AD112" s="149"/>
      <c r="AE112" s="149"/>
    </row>
    <row r="113">
      <c r="A113" s="154"/>
      <c r="B113" s="154"/>
      <c r="C113" s="151"/>
      <c r="D113" s="148"/>
      <c r="E113" s="160"/>
      <c r="F113" s="159"/>
      <c r="G113" s="153"/>
      <c r="H113" s="154"/>
      <c r="I113" s="154"/>
      <c r="J113" s="154"/>
      <c r="K113" s="152"/>
      <c r="L113" s="149"/>
      <c r="M113" s="149"/>
      <c r="N113" s="154"/>
      <c r="O113" s="158"/>
      <c r="P113" s="156"/>
      <c r="Q113" s="148"/>
      <c r="R113" s="155"/>
      <c r="S113" s="153"/>
      <c r="T113" s="150"/>
      <c r="U113" s="149"/>
      <c r="V113" s="149"/>
      <c r="W113" s="157"/>
      <c r="X113" s="157"/>
      <c r="Y113" s="149"/>
      <c r="Z113" s="149"/>
      <c r="AA113" s="149"/>
      <c r="AB113" s="149"/>
      <c r="AC113" s="149"/>
      <c r="AD113" s="149"/>
      <c r="AE113" s="149"/>
    </row>
    <row r="114">
      <c r="A114" s="154"/>
      <c r="B114" s="154"/>
      <c r="C114" s="151"/>
      <c r="D114" s="148"/>
      <c r="E114" s="160"/>
      <c r="F114" s="159"/>
      <c r="G114" s="153"/>
      <c r="H114" s="154"/>
      <c r="I114" s="154"/>
      <c r="J114" s="154"/>
      <c r="K114" s="152"/>
      <c r="L114" s="149"/>
      <c r="M114" s="149"/>
      <c r="N114" s="154"/>
      <c r="O114" s="158"/>
      <c r="P114" s="156"/>
      <c r="Q114" s="148"/>
      <c r="R114" s="155"/>
      <c r="S114" s="153"/>
      <c r="T114" s="150"/>
      <c r="U114" s="149"/>
      <c r="V114" s="149"/>
      <c r="W114" s="157"/>
      <c r="X114" s="157"/>
      <c r="Y114" s="149"/>
      <c r="Z114" s="149"/>
      <c r="AA114" s="149"/>
      <c r="AB114" s="149"/>
      <c r="AC114" s="149"/>
      <c r="AD114" s="149"/>
      <c r="AE114" s="149"/>
    </row>
    <row r="115">
      <c r="A115" s="154"/>
      <c r="B115" s="154"/>
      <c r="C115" s="151"/>
      <c r="D115" s="148"/>
      <c r="E115" s="160"/>
      <c r="F115" s="159"/>
      <c r="G115" s="153"/>
      <c r="H115" s="154"/>
      <c r="I115" s="154"/>
      <c r="J115" s="154"/>
      <c r="K115" s="152"/>
      <c r="L115" s="149"/>
      <c r="M115" s="149"/>
      <c r="N115" s="154"/>
      <c r="O115" s="158"/>
      <c r="P115" s="156"/>
      <c r="Q115" s="148"/>
      <c r="R115" s="155"/>
      <c r="S115" s="153"/>
      <c r="T115" s="150"/>
      <c r="U115" s="149"/>
      <c r="V115" s="149"/>
      <c r="W115" s="157"/>
      <c r="X115" s="157"/>
      <c r="Y115" s="149"/>
      <c r="Z115" s="149"/>
      <c r="AA115" s="149"/>
      <c r="AB115" s="149"/>
      <c r="AC115" s="149"/>
      <c r="AD115" s="149"/>
      <c r="AE115" s="149"/>
    </row>
    <row r="116">
      <c r="A116" s="154"/>
      <c r="B116" s="154"/>
      <c r="C116" s="151"/>
      <c r="D116" s="148"/>
      <c r="E116" s="160"/>
      <c r="F116" s="159"/>
      <c r="G116" s="153"/>
      <c r="H116" s="154"/>
      <c r="I116" s="154"/>
      <c r="J116" s="154"/>
      <c r="K116" s="152"/>
      <c r="L116" s="149"/>
      <c r="M116" s="149"/>
      <c r="N116" s="154"/>
      <c r="O116" s="158"/>
      <c r="P116" s="156"/>
      <c r="Q116" s="148"/>
      <c r="R116" s="155"/>
      <c r="S116" s="153"/>
      <c r="T116" s="150"/>
      <c r="U116" s="149"/>
      <c r="V116" s="149"/>
      <c r="W116" s="157"/>
      <c r="X116" s="157"/>
      <c r="Y116" s="149"/>
      <c r="Z116" s="149"/>
      <c r="AA116" s="149"/>
      <c r="AB116" s="149"/>
      <c r="AC116" s="149"/>
      <c r="AD116" s="149"/>
      <c r="AE116" s="149"/>
    </row>
    <row r="117">
      <c r="A117" s="154"/>
      <c r="B117" s="154"/>
      <c r="C117" s="151"/>
      <c r="D117" s="148"/>
      <c r="E117" s="160"/>
      <c r="F117" s="159"/>
      <c r="G117" s="153"/>
      <c r="H117" s="154"/>
      <c r="I117" s="154"/>
      <c r="J117" s="154"/>
      <c r="K117" s="152"/>
      <c r="L117" s="149"/>
      <c r="M117" s="149"/>
      <c r="N117" s="154"/>
      <c r="O117" s="158"/>
      <c r="P117" s="156"/>
      <c r="Q117" s="148"/>
      <c r="R117" s="155"/>
      <c r="S117" s="153"/>
      <c r="T117" s="150"/>
      <c r="U117" s="149"/>
      <c r="V117" s="149"/>
      <c r="W117" s="157"/>
      <c r="X117" s="157"/>
      <c r="Y117" s="149"/>
      <c r="Z117" s="149"/>
      <c r="AA117" s="149"/>
      <c r="AB117" s="149"/>
      <c r="AC117" s="149"/>
      <c r="AD117" s="149"/>
      <c r="AE117" s="149"/>
    </row>
    <row r="118">
      <c r="A118" s="154"/>
      <c r="B118" s="154"/>
      <c r="C118" s="151"/>
      <c r="D118" s="148"/>
      <c r="E118" s="160"/>
      <c r="F118" s="159"/>
      <c r="G118" s="153"/>
      <c r="H118" s="154"/>
      <c r="I118" s="154"/>
      <c r="J118" s="154"/>
      <c r="K118" s="152"/>
      <c r="L118" s="149"/>
      <c r="M118" s="149"/>
      <c r="N118" s="154"/>
      <c r="O118" s="158"/>
      <c r="P118" s="156"/>
      <c r="Q118" s="148"/>
      <c r="R118" s="155"/>
      <c r="S118" s="153"/>
      <c r="T118" s="150"/>
      <c r="U118" s="149"/>
      <c r="V118" s="149"/>
      <c r="W118" s="157"/>
      <c r="X118" s="157"/>
      <c r="Y118" s="149"/>
      <c r="Z118" s="149"/>
      <c r="AA118" s="149"/>
      <c r="AB118" s="149"/>
      <c r="AC118" s="149"/>
      <c r="AD118" s="149"/>
      <c r="AE118" s="149"/>
    </row>
    <row r="119">
      <c r="A119" s="154"/>
      <c r="B119" s="154"/>
      <c r="C119" s="151"/>
      <c r="D119" s="148"/>
      <c r="E119" s="160"/>
      <c r="F119" s="159"/>
      <c r="G119" s="153"/>
      <c r="H119" s="154"/>
      <c r="I119" s="154"/>
      <c r="J119" s="154"/>
      <c r="K119" s="152"/>
      <c r="L119" s="149"/>
      <c r="M119" s="149"/>
      <c r="N119" s="154"/>
      <c r="O119" s="158"/>
      <c r="P119" s="156"/>
      <c r="Q119" s="148"/>
      <c r="R119" s="155"/>
      <c r="S119" s="153"/>
      <c r="T119" s="150"/>
      <c r="U119" s="149"/>
      <c r="V119" s="149"/>
      <c r="W119" s="157"/>
      <c r="X119" s="157"/>
      <c r="Y119" s="149"/>
      <c r="Z119" s="149"/>
      <c r="AA119" s="149"/>
      <c r="AB119" s="149"/>
      <c r="AC119" s="149"/>
      <c r="AD119" s="149"/>
      <c r="AE119" s="149"/>
    </row>
    <row r="120">
      <c r="A120" s="154"/>
      <c r="B120" s="154"/>
      <c r="C120" s="151"/>
      <c r="D120" s="148"/>
      <c r="E120" s="160"/>
      <c r="F120" s="159"/>
      <c r="G120" s="153"/>
      <c r="H120" s="154"/>
      <c r="I120" s="154"/>
      <c r="J120" s="154"/>
      <c r="K120" s="152"/>
      <c r="L120" s="149"/>
      <c r="M120" s="149"/>
      <c r="N120" s="154"/>
      <c r="O120" s="158"/>
      <c r="P120" s="156"/>
      <c r="Q120" s="148"/>
      <c r="R120" s="155"/>
      <c r="S120" s="153"/>
      <c r="T120" s="150"/>
      <c r="U120" s="149"/>
      <c r="V120" s="149"/>
      <c r="W120" s="157"/>
      <c r="X120" s="157"/>
      <c r="Y120" s="149"/>
      <c r="Z120" s="149"/>
      <c r="AA120" s="149"/>
      <c r="AB120" s="149"/>
      <c r="AC120" s="149"/>
      <c r="AD120" s="149"/>
      <c r="AE120" s="149"/>
    </row>
    <row r="121">
      <c r="A121" s="154"/>
      <c r="B121" s="154"/>
      <c r="C121" s="151"/>
      <c r="D121" s="148"/>
      <c r="E121" s="160"/>
      <c r="F121" s="159"/>
      <c r="G121" s="153"/>
      <c r="H121" s="154"/>
      <c r="I121" s="154"/>
      <c r="J121" s="154"/>
      <c r="K121" s="152"/>
      <c r="L121" s="149"/>
      <c r="M121" s="149"/>
      <c r="N121" s="154"/>
      <c r="O121" s="158"/>
      <c r="P121" s="156"/>
      <c r="Q121" s="148"/>
      <c r="R121" s="155"/>
      <c r="S121" s="153"/>
      <c r="T121" s="150"/>
      <c r="U121" s="149"/>
      <c r="V121" s="149"/>
      <c r="W121" s="157"/>
      <c r="X121" s="157"/>
      <c r="Y121" s="149"/>
      <c r="Z121" s="149"/>
      <c r="AA121" s="149"/>
      <c r="AB121" s="149"/>
      <c r="AC121" s="149"/>
      <c r="AD121" s="149"/>
      <c r="AE121" s="149"/>
    </row>
    <row r="122">
      <c r="A122" s="154"/>
      <c r="B122" s="154"/>
      <c r="C122" s="151"/>
      <c r="D122" s="148"/>
      <c r="E122" s="160"/>
      <c r="F122" s="159"/>
      <c r="G122" s="153"/>
      <c r="H122" s="154"/>
      <c r="I122" s="154"/>
      <c r="J122" s="154"/>
      <c r="K122" s="152"/>
      <c r="L122" s="149"/>
      <c r="M122" s="149"/>
      <c r="N122" s="154"/>
      <c r="O122" s="158"/>
      <c r="P122" s="156"/>
      <c r="Q122" s="148"/>
      <c r="R122" s="155"/>
      <c r="S122" s="153"/>
      <c r="T122" s="150"/>
      <c r="U122" s="149"/>
      <c r="V122" s="149"/>
      <c r="W122" s="157"/>
      <c r="X122" s="157"/>
      <c r="Y122" s="149"/>
      <c r="Z122" s="149"/>
      <c r="AA122" s="149"/>
      <c r="AB122" s="149"/>
      <c r="AC122" s="149"/>
      <c r="AD122" s="149"/>
      <c r="AE122" s="149"/>
    </row>
    <row r="123">
      <c r="A123" s="154"/>
      <c r="B123" s="154"/>
      <c r="C123" s="151"/>
      <c r="D123" s="148"/>
      <c r="E123" s="160"/>
      <c r="F123" s="159"/>
      <c r="G123" s="153"/>
      <c r="H123" s="154"/>
      <c r="I123" s="154"/>
      <c r="J123" s="154"/>
      <c r="K123" s="152"/>
      <c r="L123" s="149"/>
      <c r="M123" s="149"/>
      <c r="N123" s="154"/>
      <c r="O123" s="158"/>
      <c r="P123" s="156"/>
      <c r="Q123" s="148"/>
      <c r="R123" s="155"/>
      <c r="S123" s="153"/>
      <c r="T123" s="150"/>
      <c r="U123" s="149"/>
      <c r="V123" s="149"/>
      <c r="W123" s="157"/>
      <c r="X123" s="157"/>
      <c r="Y123" s="149"/>
      <c r="Z123" s="149"/>
      <c r="AA123" s="149"/>
      <c r="AB123" s="149"/>
      <c r="AC123" s="149"/>
      <c r="AD123" s="149"/>
      <c r="AE123" s="149"/>
    </row>
    <row r="124">
      <c r="A124" s="154"/>
      <c r="B124" s="154"/>
      <c r="C124" s="151"/>
      <c r="D124" s="148"/>
      <c r="E124" s="160"/>
      <c r="F124" s="159"/>
      <c r="G124" s="153"/>
      <c r="H124" s="154"/>
      <c r="I124" s="154"/>
      <c r="J124" s="154"/>
      <c r="K124" s="152"/>
      <c r="L124" s="149"/>
      <c r="M124" s="149"/>
      <c r="N124" s="154"/>
      <c r="O124" s="158"/>
      <c r="P124" s="156"/>
      <c r="Q124" s="148"/>
      <c r="R124" s="155"/>
      <c r="S124" s="153"/>
      <c r="T124" s="150"/>
      <c r="U124" s="149"/>
      <c r="V124" s="149"/>
      <c r="W124" s="157"/>
      <c r="X124" s="157"/>
      <c r="Y124" s="149"/>
      <c r="Z124" s="149"/>
      <c r="AA124" s="149"/>
      <c r="AB124" s="149"/>
      <c r="AC124" s="149"/>
      <c r="AD124" s="149"/>
      <c r="AE124" s="149"/>
    </row>
    <row r="125">
      <c r="A125" s="154"/>
      <c r="B125" s="154"/>
      <c r="C125" s="151"/>
      <c r="D125" s="148"/>
      <c r="E125" s="160"/>
      <c r="F125" s="159"/>
      <c r="G125" s="153"/>
      <c r="H125" s="154"/>
      <c r="I125" s="154"/>
      <c r="J125" s="154"/>
      <c r="K125" s="152"/>
      <c r="L125" s="149"/>
      <c r="M125" s="149"/>
      <c r="N125" s="154"/>
      <c r="O125" s="158"/>
      <c r="P125" s="156"/>
      <c r="Q125" s="148"/>
      <c r="R125" s="155"/>
      <c r="S125" s="153"/>
      <c r="T125" s="150"/>
      <c r="U125" s="149"/>
      <c r="V125" s="149"/>
      <c r="W125" s="157"/>
      <c r="X125" s="157"/>
      <c r="Y125" s="149"/>
      <c r="Z125" s="149"/>
      <c r="AA125" s="149"/>
      <c r="AB125" s="149"/>
      <c r="AC125" s="149"/>
      <c r="AD125" s="149"/>
      <c r="AE125" s="149"/>
    </row>
    <row r="126">
      <c r="A126" s="154"/>
      <c r="B126" s="154"/>
      <c r="C126" s="151"/>
      <c r="D126" s="148"/>
      <c r="E126" s="160"/>
      <c r="F126" s="159"/>
      <c r="G126" s="153"/>
      <c r="H126" s="154"/>
      <c r="I126" s="154"/>
      <c r="J126" s="154"/>
      <c r="K126" s="152"/>
      <c r="L126" s="149"/>
      <c r="M126" s="149"/>
      <c r="N126" s="154"/>
      <c r="O126" s="158"/>
      <c r="P126" s="156"/>
      <c r="Q126" s="148"/>
      <c r="R126" s="155"/>
      <c r="S126" s="153"/>
      <c r="T126" s="150"/>
      <c r="U126" s="149"/>
      <c r="V126" s="149"/>
      <c r="W126" s="157"/>
      <c r="X126" s="157"/>
      <c r="Y126" s="149"/>
      <c r="Z126" s="149"/>
      <c r="AA126" s="149"/>
      <c r="AB126" s="149"/>
      <c r="AC126" s="149"/>
      <c r="AD126" s="149"/>
      <c r="AE126" s="149"/>
    </row>
    <row r="127">
      <c r="A127" s="154"/>
      <c r="B127" s="154"/>
      <c r="C127" s="151"/>
      <c r="D127" s="148"/>
      <c r="E127" s="160"/>
      <c r="F127" s="159"/>
      <c r="G127" s="153"/>
      <c r="H127" s="154"/>
      <c r="I127" s="154"/>
      <c r="J127" s="154"/>
      <c r="K127" s="152"/>
      <c r="L127" s="149"/>
      <c r="M127" s="149"/>
      <c r="N127" s="154"/>
      <c r="O127" s="158"/>
      <c r="P127" s="156"/>
      <c r="Q127" s="148"/>
      <c r="R127" s="155"/>
      <c r="S127" s="153"/>
      <c r="T127" s="150"/>
      <c r="U127" s="149"/>
      <c r="V127" s="149"/>
      <c r="W127" s="157"/>
      <c r="X127" s="157"/>
      <c r="Y127" s="149"/>
      <c r="Z127" s="149"/>
      <c r="AA127" s="149"/>
      <c r="AB127" s="149"/>
      <c r="AC127" s="149"/>
      <c r="AD127" s="149"/>
      <c r="AE127" s="149"/>
    </row>
    <row r="128">
      <c r="A128" s="154"/>
      <c r="B128" s="154"/>
      <c r="C128" s="151"/>
      <c r="D128" s="148"/>
      <c r="E128" s="160"/>
      <c r="F128" s="159"/>
      <c r="G128" s="153"/>
      <c r="H128" s="154"/>
      <c r="I128" s="154"/>
      <c r="J128" s="154"/>
      <c r="K128" s="152"/>
      <c r="L128" s="149"/>
      <c r="M128" s="149"/>
      <c r="N128" s="154"/>
      <c r="O128" s="158"/>
      <c r="P128" s="156"/>
      <c r="Q128" s="148"/>
      <c r="R128" s="155"/>
      <c r="S128" s="153"/>
      <c r="T128" s="150"/>
      <c r="U128" s="149"/>
      <c r="V128" s="149"/>
      <c r="W128" s="157"/>
      <c r="X128" s="157"/>
      <c r="Y128" s="149"/>
      <c r="Z128" s="149"/>
      <c r="AA128" s="149"/>
      <c r="AB128" s="149"/>
      <c r="AC128" s="149"/>
      <c r="AD128" s="149"/>
      <c r="AE128" s="149"/>
    </row>
    <row r="129">
      <c r="A129" s="154"/>
      <c r="B129" s="154"/>
      <c r="C129" s="151"/>
      <c r="D129" s="148"/>
      <c r="E129" s="160"/>
      <c r="F129" s="159"/>
      <c r="G129" s="153"/>
      <c r="H129" s="154"/>
      <c r="I129" s="154"/>
      <c r="J129" s="154"/>
      <c r="K129" s="152"/>
      <c r="L129" s="149"/>
      <c r="M129" s="149"/>
      <c r="N129" s="154"/>
      <c r="O129" s="158"/>
      <c r="P129" s="156"/>
      <c r="Q129" s="148"/>
      <c r="R129" s="155"/>
      <c r="S129" s="153"/>
      <c r="T129" s="150"/>
      <c r="U129" s="149"/>
      <c r="V129" s="149"/>
      <c r="W129" s="157"/>
      <c r="X129" s="157"/>
      <c r="Y129" s="149"/>
      <c r="Z129" s="149"/>
      <c r="AA129" s="149"/>
      <c r="AB129" s="149"/>
      <c r="AC129" s="149"/>
      <c r="AD129" s="149"/>
      <c r="AE129" s="149"/>
    </row>
    <row r="130">
      <c r="A130" s="154"/>
      <c r="B130" s="154"/>
      <c r="C130" s="151"/>
      <c r="D130" s="148"/>
      <c r="E130" s="160"/>
      <c r="F130" s="159"/>
      <c r="G130" s="153"/>
      <c r="H130" s="154"/>
      <c r="I130" s="154"/>
      <c r="J130" s="154"/>
      <c r="K130" s="152"/>
      <c r="L130" s="149"/>
      <c r="M130" s="149"/>
      <c r="N130" s="154"/>
      <c r="O130" s="158"/>
      <c r="P130" s="156"/>
      <c r="Q130" s="148"/>
      <c r="R130" s="155"/>
      <c r="S130" s="153"/>
      <c r="T130" s="150"/>
      <c r="U130" s="149"/>
      <c r="V130" s="149"/>
      <c r="W130" s="157"/>
      <c r="X130" s="157"/>
      <c r="Y130" s="149"/>
      <c r="Z130" s="149"/>
      <c r="AA130" s="149"/>
      <c r="AB130" s="149"/>
      <c r="AC130" s="149"/>
      <c r="AD130" s="149"/>
      <c r="AE130" s="149"/>
    </row>
    <row r="131">
      <c r="A131" s="154"/>
      <c r="B131" s="154"/>
      <c r="C131" s="151"/>
      <c r="D131" s="148"/>
      <c r="E131" s="160"/>
      <c r="F131" s="159"/>
      <c r="G131" s="153"/>
      <c r="H131" s="154"/>
      <c r="I131" s="154"/>
      <c r="J131" s="154"/>
      <c r="K131" s="152"/>
      <c r="L131" s="149"/>
      <c r="M131" s="149"/>
      <c r="N131" s="154"/>
      <c r="O131" s="158"/>
      <c r="P131" s="156"/>
      <c r="Q131" s="148"/>
      <c r="R131" s="155"/>
      <c r="S131" s="153"/>
      <c r="T131" s="150"/>
      <c r="U131" s="149"/>
      <c r="V131" s="149"/>
      <c r="W131" s="157"/>
      <c r="X131" s="157"/>
      <c r="Y131" s="149"/>
      <c r="Z131" s="149"/>
      <c r="AA131" s="149"/>
      <c r="AB131" s="149"/>
      <c r="AC131" s="149"/>
      <c r="AD131" s="149"/>
      <c r="AE131" s="149"/>
    </row>
    <row r="132">
      <c r="A132" s="154"/>
      <c r="B132" s="154"/>
      <c r="C132" s="151"/>
      <c r="D132" s="148"/>
      <c r="E132" s="160"/>
      <c r="F132" s="159"/>
      <c r="G132" s="153"/>
      <c r="H132" s="154"/>
      <c r="I132" s="154"/>
      <c r="J132" s="154"/>
      <c r="K132" s="152"/>
      <c r="L132" s="149"/>
      <c r="M132" s="149"/>
      <c r="N132" s="154"/>
      <c r="O132" s="158"/>
      <c r="P132" s="156"/>
      <c r="Q132" s="148"/>
      <c r="R132" s="155"/>
      <c r="S132" s="153"/>
      <c r="T132" s="150"/>
      <c r="U132" s="149"/>
      <c r="V132" s="149"/>
      <c r="W132" s="157"/>
      <c r="X132" s="157"/>
      <c r="Y132" s="149"/>
      <c r="Z132" s="149"/>
      <c r="AA132" s="149"/>
      <c r="AB132" s="149"/>
      <c r="AC132" s="149"/>
      <c r="AD132" s="149"/>
      <c r="AE132" s="149"/>
    </row>
    <row r="133">
      <c r="A133" s="154"/>
      <c r="B133" s="154"/>
      <c r="C133" s="151"/>
      <c r="D133" s="148"/>
      <c r="E133" s="160"/>
      <c r="F133" s="159"/>
      <c r="G133" s="153"/>
      <c r="H133" s="154"/>
      <c r="I133" s="154"/>
      <c r="J133" s="154"/>
      <c r="K133" s="152"/>
      <c r="L133" s="149"/>
      <c r="M133" s="149"/>
      <c r="N133" s="154"/>
      <c r="O133" s="158"/>
      <c r="P133" s="156"/>
      <c r="Q133" s="148"/>
      <c r="R133" s="155"/>
      <c r="S133" s="153"/>
      <c r="T133" s="150"/>
      <c r="U133" s="149"/>
      <c r="V133" s="149"/>
      <c r="W133" s="157"/>
      <c r="X133" s="157"/>
      <c r="Y133" s="149"/>
      <c r="Z133" s="149"/>
      <c r="AA133" s="149"/>
      <c r="AB133" s="149"/>
      <c r="AC133" s="149"/>
      <c r="AD133" s="149"/>
      <c r="AE133" s="149"/>
    </row>
    <row r="134">
      <c r="A134" s="154"/>
      <c r="B134" s="154"/>
      <c r="C134" s="151"/>
      <c r="D134" s="148"/>
      <c r="E134" s="160"/>
      <c r="F134" s="159"/>
      <c r="G134" s="153"/>
      <c r="H134" s="154"/>
      <c r="I134" s="154"/>
      <c r="J134" s="154"/>
      <c r="K134" s="152"/>
      <c r="L134" s="149"/>
      <c r="M134" s="149"/>
      <c r="N134" s="154"/>
      <c r="O134" s="158"/>
      <c r="P134" s="156"/>
      <c r="Q134" s="148"/>
      <c r="R134" s="155"/>
      <c r="S134" s="153"/>
      <c r="T134" s="150"/>
      <c r="U134" s="149"/>
      <c r="V134" s="149"/>
      <c r="W134" s="157"/>
      <c r="X134" s="157"/>
      <c r="Y134" s="149"/>
      <c r="Z134" s="149"/>
      <c r="AA134" s="149"/>
      <c r="AB134" s="149"/>
      <c r="AC134" s="149"/>
      <c r="AD134" s="149"/>
      <c r="AE134" s="149"/>
    </row>
    <row r="135">
      <c r="A135" s="154"/>
      <c r="B135" s="154"/>
      <c r="C135" s="151"/>
      <c r="D135" s="148"/>
      <c r="E135" s="160"/>
      <c r="F135" s="159"/>
      <c r="G135" s="153"/>
      <c r="H135" s="154"/>
      <c r="I135" s="154"/>
      <c r="J135" s="154"/>
      <c r="K135" s="152"/>
      <c r="L135" s="149"/>
      <c r="M135" s="149"/>
      <c r="N135" s="154"/>
      <c r="O135" s="158"/>
      <c r="P135" s="156"/>
      <c r="Q135" s="148"/>
      <c r="R135" s="155"/>
      <c r="S135" s="153"/>
      <c r="T135" s="150"/>
      <c r="U135" s="149"/>
      <c r="V135" s="149"/>
      <c r="W135" s="157"/>
      <c r="X135" s="157"/>
      <c r="Y135" s="149"/>
      <c r="Z135" s="149"/>
      <c r="AA135" s="149"/>
      <c r="AB135" s="149"/>
      <c r="AC135" s="149"/>
      <c r="AD135" s="149"/>
      <c r="AE135" s="149"/>
    </row>
    <row r="136">
      <c r="A136" s="154"/>
      <c r="B136" s="154"/>
      <c r="C136" s="151"/>
      <c r="D136" s="148"/>
      <c r="E136" s="160"/>
      <c r="F136" s="159"/>
      <c r="G136" s="153"/>
      <c r="H136" s="154"/>
      <c r="I136" s="154"/>
      <c r="J136" s="154"/>
      <c r="K136" s="152"/>
      <c r="L136" s="149"/>
      <c r="M136" s="149"/>
      <c r="N136" s="154"/>
      <c r="O136" s="158"/>
      <c r="P136" s="156"/>
      <c r="Q136" s="148"/>
      <c r="R136" s="155"/>
      <c r="S136" s="153"/>
      <c r="T136" s="150"/>
      <c r="U136" s="149"/>
      <c r="V136" s="149"/>
      <c r="W136" s="157"/>
      <c r="X136" s="157"/>
      <c r="Y136" s="149"/>
      <c r="Z136" s="149"/>
      <c r="AA136" s="149"/>
      <c r="AB136" s="149"/>
      <c r="AC136" s="149"/>
      <c r="AD136" s="149"/>
      <c r="AE136" s="149"/>
    </row>
    <row r="137">
      <c r="A137" s="154"/>
      <c r="B137" s="154"/>
      <c r="C137" s="151"/>
      <c r="D137" s="148"/>
      <c r="E137" s="160"/>
      <c r="F137" s="159"/>
      <c r="G137" s="153"/>
      <c r="H137" s="154"/>
      <c r="I137" s="154"/>
      <c r="J137" s="154"/>
      <c r="K137" s="152"/>
      <c r="L137" s="149"/>
      <c r="M137" s="149"/>
      <c r="N137" s="154"/>
      <c r="O137" s="158"/>
      <c r="P137" s="156"/>
      <c r="Q137" s="148"/>
      <c r="R137" s="155"/>
      <c r="S137" s="153"/>
      <c r="T137" s="150"/>
      <c r="U137" s="149"/>
      <c r="V137" s="149"/>
      <c r="W137" s="157"/>
      <c r="X137" s="157"/>
      <c r="Y137" s="149"/>
      <c r="Z137" s="149"/>
      <c r="AA137" s="149"/>
      <c r="AB137" s="149"/>
      <c r="AC137" s="149"/>
      <c r="AD137" s="149"/>
      <c r="AE137" s="149"/>
    </row>
    <row r="138">
      <c r="A138" s="154"/>
      <c r="B138" s="154"/>
      <c r="C138" s="151"/>
      <c r="D138" s="148"/>
      <c r="E138" s="160"/>
      <c r="F138" s="159"/>
      <c r="G138" s="153"/>
      <c r="H138" s="154"/>
      <c r="I138" s="154"/>
      <c r="J138" s="154"/>
      <c r="K138" s="152"/>
      <c r="L138" s="149"/>
      <c r="M138" s="149"/>
      <c r="N138" s="154"/>
      <c r="O138" s="158"/>
      <c r="P138" s="156"/>
      <c r="Q138" s="148"/>
      <c r="R138" s="155"/>
      <c r="S138" s="153"/>
      <c r="T138" s="150"/>
      <c r="U138" s="149"/>
      <c r="V138" s="149"/>
      <c r="W138" s="157"/>
      <c r="X138" s="157"/>
      <c r="Y138" s="149"/>
      <c r="Z138" s="149"/>
      <c r="AA138" s="149"/>
      <c r="AB138" s="149"/>
      <c r="AC138" s="149"/>
      <c r="AD138" s="149"/>
      <c r="AE138" s="149"/>
    </row>
    <row r="139">
      <c r="A139" s="154"/>
      <c r="B139" s="154"/>
      <c r="C139" s="151"/>
      <c r="D139" s="148"/>
      <c r="E139" s="160"/>
      <c r="F139" s="159"/>
      <c r="G139" s="153"/>
      <c r="H139" s="154"/>
      <c r="I139" s="154"/>
      <c r="J139" s="154"/>
      <c r="K139" s="152"/>
      <c r="L139" s="149"/>
      <c r="M139" s="149"/>
      <c r="N139" s="154"/>
      <c r="O139" s="158"/>
      <c r="P139" s="156"/>
      <c r="Q139" s="148"/>
      <c r="R139" s="155"/>
      <c r="S139" s="153"/>
      <c r="T139" s="150"/>
      <c r="U139" s="149"/>
      <c r="V139" s="149"/>
      <c r="W139" s="157"/>
      <c r="X139" s="157"/>
      <c r="Y139" s="149"/>
      <c r="Z139" s="149"/>
      <c r="AA139" s="149"/>
      <c r="AB139" s="149"/>
      <c r="AC139" s="149"/>
      <c r="AD139" s="149"/>
      <c r="AE139" s="149"/>
    </row>
    <row r="140">
      <c r="A140" s="154"/>
      <c r="B140" s="154"/>
      <c r="C140" s="151"/>
      <c r="D140" s="148"/>
      <c r="E140" s="160"/>
      <c r="F140" s="159"/>
      <c r="G140" s="153"/>
      <c r="H140" s="154"/>
      <c r="I140" s="154"/>
      <c r="J140" s="154"/>
      <c r="K140" s="152"/>
      <c r="L140" s="149"/>
      <c r="M140" s="149"/>
      <c r="N140" s="154"/>
      <c r="O140" s="158"/>
      <c r="P140" s="156"/>
      <c r="Q140" s="148"/>
      <c r="R140" s="155"/>
      <c r="S140" s="153"/>
      <c r="T140" s="150"/>
      <c r="U140" s="149"/>
      <c r="V140" s="149"/>
      <c r="W140" s="157"/>
      <c r="X140" s="157"/>
      <c r="Y140" s="149"/>
      <c r="Z140" s="149"/>
      <c r="AA140" s="149"/>
      <c r="AB140" s="149"/>
      <c r="AC140" s="149"/>
      <c r="AD140" s="149"/>
      <c r="AE140" s="149"/>
    </row>
    <row r="141">
      <c r="A141" s="154"/>
      <c r="B141" s="154"/>
      <c r="C141" s="151"/>
      <c r="D141" s="148"/>
      <c r="E141" s="160"/>
      <c r="F141" s="159"/>
      <c r="G141" s="153"/>
      <c r="H141" s="154"/>
      <c r="I141" s="154"/>
      <c r="J141" s="154"/>
      <c r="K141" s="152"/>
      <c r="L141" s="149"/>
      <c r="M141" s="149"/>
      <c r="N141" s="154"/>
      <c r="O141" s="158"/>
      <c r="P141" s="156"/>
      <c r="Q141" s="148"/>
      <c r="R141" s="155"/>
      <c r="S141" s="153"/>
      <c r="T141" s="150"/>
      <c r="U141" s="149"/>
      <c r="V141" s="149"/>
      <c r="W141" s="157"/>
      <c r="X141" s="157"/>
      <c r="Y141" s="149"/>
      <c r="Z141" s="149"/>
      <c r="AA141" s="149"/>
      <c r="AB141" s="149"/>
      <c r="AC141" s="149"/>
      <c r="AD141" s="149"/>
      <c r="AE141" s="149"/>
    </row>
    <row r="142">
      <c r="A142" s="154"/>
      <c r="B142" s="154"/>
      <c r="C142" s="151"/>
      <c r="D142" s="148"/>
      <c r="E142" s="160"/>
      <c r="F142" s="159"/>
      <c r="G142" s="153"/>
      <c r="H142" s="154"/>
      <c r="I142" s="154"/>
      <c r="J142" s="154"/>
      <c r="K142" s="152"/>
      <c r="L142" s="149"/>
      <c r="M142" s="149"/>
      <c r="N142" s="154"/>
      <c r="O142" s="158"/>
      <c r="P142" s="156"/>
      <c r="Q142" s="148"/>
      <c r="R142" s="155"/>
      <c r="S142" s="153"/>
      <c r="T142" s="150"/>
      <c r="U142" s="149"/>
      <c r="V142" s="149"/>
      <c r="W142" s="157"/>
      <c r="X142" s="157"/>
      <c r="Y142" s="149"/>
      <c r="Z142" s="149"/>
      <c r="AA142" s="149"/>
      <c r="AB142" s="149"/>
      <c r="AC142" s="149"/>
      <c r="AD142" s="149"/>
      <c r="AE142" s="149"/>
    </row>
    <row r="143">
      <c r="A143" s="154"/>
      <c r="B143" s="154"/>
      <c r="C143" s="151"/>
      <c r="D143" s="148"/>
      <c r="E143" s="160"/>
      <c r="F143" s="159"/>
      <c r="G143" s="153"/>
      <c r="H143" s="154"/>
      <c r="I143" s="154"/>
      <c r="J143" s="154"/>
      <c r="K143" s="152"/>
      <c r="L143" s="149"/>
      <c r="M143" s="149"/>
      <c r="N143" s="154"/>
      <c r="O143" s="158"/>
      <c r="P143" s="156"/>
      <c r="Q143" s="148"/>
      <c r="R143" s="155"/>
      <c r="S143" s="153"/>
      <c r="T143" s="150"/>
      <c r="U143" s="149"/>
      <c r="V143" s="149"/>
      <c r="W143" s="157"/>
      <c r="X143" s="157"/>
      <c r="Y143" s="149"/>
      <c r="Z143" s="149"/>
      <c r="AA143" s="149"/>
      <c r="AB143" s="149"/>
      <c r="AC143" s="149"/>
      <c r="AD143" s="149"/>
      <c r="AE143" s="149"/>
    </row>
    <row r="144">
      <c r="A144" s="154"/>
      <c r="B144" s="154"/>
      <c r="C144" s="151"/>
      <c r="D144" s="148"/>
      <c r="E144" s="160"/>
      <c r="F144" s="159"/>
      <c r="G144" s="153"/>
      <c r="H144" s="154"/>
      <c r="I144" s="154"/>
      <c r="J144" s="154"/>
      <c r="K144" s="152"/>
      <c r="L144" s="149"/>
      <c r="M144" s="149"/>
      <c r="N144" s="154"/>
      <c r="O144" s="158"/>
      <c r="P144" s="156"/>
      <c r="Q144" s="148"/>
      <c r="R144" s="155"/>
      <c r="S144" s="153"/>
      <c r="T144" s="150"/>
      <c r="U144" s="149"/>
      <c r="V144" s="149"/>
      <c r="W144" s="157"/>
      <c r="X144" s="157"/>
      <c r="Y144" s="149"/>
      <c r="Z144" s="149"/>
      <c r="AA144" s="149"/>
      <c r="AB144" s="149"/>
      <c r="AC144" s="149"/>
      <c r="AD144" s="149"/>
      <c r="AE144" s="149"/>
    </row>
    <row r="145">
      <c r="A145" s="154"/>
      <c r="B145" s="154"/>
      <c r="C145" s="151"/>
      <c r="D145" s="148"/>
      <c r="E145" s="160"/>
      <c r="F145" s="159"/>
      <c r="G145" s="153"/>
      <c r="H145" s="154"/>
      <c r="I145" s="154"/>
      <c r="J145" s="154"/>
      <c r="K145" s="152"/>
      <c r="L145" s="149"/>
      <c r="M145" s="149"/>
      <c r="N145" s="154"/>
      <c r="O145" s="158"/>
      <c r="P145" s="156"/>
      <c r="Q145" s="148"/>
      <c r="R145" s="155"/>
      <c r="S145" s="153"/>
      <c r="T145" s="150"/>
      <c r="U145" s="149"/>
      <c r="V145" s="149"/>
      <c r="W145" s="157"/>
      <c r="X145" s="157"/>
      <c r="Y145" s="149"/>
      <c r="Z145" s="149"/>
      <c r="AA145" s="149"/>
      <c r="AB145" s="149"/>
      <c r="AC145" s="149"/>
      <c r="AD145" s="149"/>
      <c r="AE145" s="149"/>
    </row>
    <row r="146">
      <c r="A146" s="154"/>
      <c r="B146" s="154"/>
      <c r="C146" s="151"/>
      <c r="D146" s="148"/>
      <c r="E146" s="160"/>
      <c r="F146" s="159"/>
      <c r="G146" s="153"/>
      <c r="H146" s="154"/>
      <c r="I146" s="154"/>
      <c r="J146" s="154"/>
      <c r="K146" s="152"/>
      <c r="L146" s="149"/>
      <c r="M146" s="149"/>
      <c r="N146" s="154"/>
      <c r="O146" s="158"/>
      <c r="P146" s="156"/>
      <c r="Q146" s="148"/>
      <c r="R146" s="155"/>
      <c r="S146" s="153"/>
      <c r="T146" s="150"/>
      <c r="U146" s="149"/>
      <c r="V146" s="149"/>
      <c r="W146" s="157"/>
      <c r="X146" s="157"/>
      <c r="Y146" s="149"/>
      <c r="Z146" s="149"/>
      <c r="AA146" s="149"/>
      <c r="AB146" s="149"/>
      <c r="AC146" s="149"/>
      <c r="AD146" s="149"/>
      <c r="AE146" s="149"/>
    </row>
    <row r="147">
      <c r="A147" s="154"/>
      <c r="B147" s="154"/>
      <c r="C147" s="151"/>
      <c r="D147" s="148"/>
      <c r="E147" s="160"/>
      <c r="F147" s="159"/>
      <c r="G147" s="153"/>
      <c r="H147" s="154"/>
      <c r="I147" s="154"/>
      <c r="J147" s="154"/>
      <c r="K147" s="152"/>
      <c r="L147" s="149"/>
      <c r="M147" s="149"/>
      <c r="N147" s="154"/>
      <c r="O147" s="158"/>
      <c r="P147" s="156"/>
      <c r="Q147" s="148"/>
      <c r="R147" s="155"/>
      <c r="S147" s="153"/>
      <c r="T147" s="150"/>
      <c r="U147" s="149"/>
      <c r="V147" s="149"/>
      <c r="W147" s="157"/>
      <c r="X147" s="157"/>
      <c r="Y147" s="149"/>
      <c r="Z147" s="149"/>
      <c r="AA147" s="149"/>
      <c r="AB147" s="149"/>
      <c r="AC147" s="149"/>
      <c r="AD147" s="149"/>
      <c r="AE147" s="149"/>
    </row>
    <row r="148">
      <c r="A148" s="154"/>
      <c r="B148" s="154"/>
      <c r="C148" s="151"/>
      <c r="D148" s="148"/>
      <c r="E148" s="160"/>
      <c r="F148" s="159"/>
      <c r="G148" s="153"/>
      <c r="H148" s="154"/>
      <c r="I148" s="154"/>
      <c r="J148" s="154"/>
      <c r="K148" s="152"/>
      <c r="L148" s="149"/>
      <c r="M148" s="149"/>
      <c r="N148" s="154"/>
      <c r="O148" s="158"/>
      <c r="P148" s="156"/>
      <c r="Q148" s="148"/>
      <c r="R148" s="155"/>
      <c r="S148" s="153"/>
      <c r="T148" s="150"/>
      <c r="U148" s="149"/>
      <c r="V148" s="149"/>
      <c r="W148" s="157"/>
      <c r="X148" s="157"/>
      <c r="Y148" s="149"/>
      <c r="Z148" s="149"/>
      <c r="AA148" s="149"/>
      <c r="AB148" s="149"/>
      <c r="AC148" s="149"/>
      <c r="AD148" s="149"/>
      <c r="AE148" s="149"/>
    </row>
    <row r="149">
      <c r="A149" s="154"/>
      <c r="B149" s="154"/>
      <c r="C149" s="151"/>
      <c r="D149" s="148"/>
      <c r="E149" s="160"/>
      <c r="F149" s="159"/>
      <c r="G149" s="153"/>
      <c r="H149" s="154"/>
      <c r="I149" s="154"/>
      <c r="J149" s="154"/>
      <c r="K149" s="152"/>
      <c r="L149" s="149"/>
      <c r="M149" s="149"/>
      <c r="N149" s="154"/>
      <c r="O149" s="158"/>
      <c r="P149" s="156"/>
      <c r="Q149" s="148"/>
      <c r="R149" s="155"/>
      <c r="S149" s="153"/>
      <c r="T149" s="150"/>
      <c r="U149" s="149"/>
      <c r="V149" s="149"/>
      <c r="W149" s="157"/>
      <c r="X149" s="157"/>
      <c r="Y149" s="149"/>
      <c r="Z149" s="149"/>
      <c r="AA149" s="149"/>
      <c r="AB149" s="149"/>
      <c r="AC149" s="149"/>
      <c r="AD149" s="149"/>
      <c r="AE149" s="149"/>
    </row>
    <row r="150">
      <c r="A150" s="154"/>
      <c r="B150" s="154"/>
      <c r="C150" s="151"/>
      <c r="D150" s="148"/>
      <c r="E150" s="160"/>
      <c r="F150" s="159"/>
      <c r="G150" s="153"/>
      <c r="H150" s="154"/>
      <c r="I150" s="154"/>
      <c r="J150" s="154"/>
      <c r="K150" s="152"/>
      <c r="L150" s="149"/>
      <c r="M150" s="149"/>
      <c r="N150" s="154"/>
      <c r="O150" s="158"/>
      <c r="P150" s="156"/>
      <c r="Q150" s="148"/>
      <c r="R150" s="155"/>
      <c r="S150" s="153"/>
      <c r="T150" s="150"/>
      <c r="U150" s="149"/>
      <c r="V150" s="149"/>
      <c r="W150" s="157"/>
      <c r="X150" s="157"/>
      <c r="Y150" s="149"/>
      <c r="Z150" s="149"/>
      <c r="AA150" s="149"/>
      <c r="AB150" s="149"/>
      <c r="AC150" s="149"/>
      <c r="AD150" s="149"/>
      <c r="AE150" s="149"/>
    </row>
    <row r="151">
      <c r="A151" s="154"/>
      <c r="B151" s="154"/>
      <c r="C151" s="151"/>
      <c r="D151" s="148"/>
      <c r="E151" s="160"/>
      <c r="F151" s="159"/>
      <c r="G151" s="153"/>
      <c r="H151" s="154"/>
      <c r="I151" s="154"/>
      <c r="J151" s="154"/>
      <c r="K151" s="152"/>
      <c r="L151" s="149"/>
      <c r="M151" s="149"/>
      <c r="N151" s="154"/>
      <c r="O151" s="158"/>
      <c r="P151" s="156"/>
      <c r="Q151" s="148"/>
      <c r="R151" s="155"/>
      <c r="S151" s="153"/>
      <c r="T151" s="150"/>
      <c r="U151" s="149"/>
      <c r="V151" s="149"/>
      <c r="W151" s="157"/>
      <c r="X151" s="157"/>
      <c r="Y151" s="149"/>
      <c r="Z151" s="149"/>
      <c r="AA151" s="149"/>
      <c r="AB151" s="149"/>
      <c r="AC151" s="149"/>
      <c r="AD151" s="149"/>
      <c r="AE151" s="149"/>
    </row>
    <row r="152">
      <c r="A152" s="154"/>
      <c r="B152" s="154"/>
      <c r="C152" s="151"/>
      <c r="D152" s="148"/>
      <c r="E152" s="160"/>
      <c r="F152" s="159"/>
      <c r="G152" s="153"/>
      <c r="H152" s="154"/>
      <c r="I152" s="154"/>
      <c r="J152" s="154"/>
      <c r="K152" s="152"/>
      <c r="L152" s="149"/>
      <c r="M152" s="149"/>
      <c r="N152" s="154"/>
      <c r="O152" s="158"/>
      <c r="P152" s="156"/>
      <c r="Q152" s="148"/>
      <c r="R152" s="155"/>
      <c r="S152" s="153"/>
      <c r="T152" s="150"/>
      <c r="U152" s="149"/>
      <c r="V152" s="149"/>
      <c r="W152" s="157"/>
      <c r="X152" s="157"/>
      <c r="Y152" s="149"/>
      <c r="Z152" s="149"/>
      <c r="AA152" s="149"/>
      <c r="AB152" s="149"/>
      <c r="AC152" s="149"/>
      <c r="AD152" s="149"/>
      <c r="AE152" s="149"/>
    </row>
    <row r="153">
      <c r="A153" s="154"/>
      <c r="B153" s="154"/>
      <c r="C153" s="151"/>
      <c r="D153" s="148"/>
      <c r="E153" s="160"/>
      <c r="F153" s="159"/>
      <c r="G153" s="153"/>
      <c r="H153" s="154"/>
      <c r="I153" s="154"/>
      <c r="J153" s="154"/>
      <c r="K153" s="152"/>
      <c r="L153" s="149"/>
      <c r="M153" s="149"/>
      <c r="N153" s="154"/>
      <c r="O153" s="158"/>
      <c r="P153" s="156"/>
      <c r="Q153" s="148"/>
      <c r="R153" s="155"/>
      <c r="S153" s="153"/>
      <c r="T153" s="150"/>
      <c r="U153" s="149"/>
      <c r="V153" s="149"/>
      <c r="W153" s="157"/>
      <c r="X153" s="157"/>
      <c r="Y153" s="149"/>
      <c r="Z153" s="149"/>
      <c r="AA153" s="149"/>
      <c r="AB153" s="149"/>
      <c r="AC153" s="149"/>
      <c r="AD153" s="149"/>
      <c r="AE153" s="149"/>
    </row>
    <row r="154">
      <c r="A154" s="154"/>
      <c r="B154" s="154"/>
      <c r="C154" s="151"/>
      <c r="D154" s="148"/>
      <c r="E154" s="160"/>
      <c r="F154" s="159"/>
      <c r="G154" s="153"/>
      <c r="H154" s="154"/>
      <c r="I154" s="154"/>
      <c r="J154" s="154"/>
      <c r="K154" s="152"/>
      <c r="L154" s="149"/>
      <c r="M154" s="149"/>
      <c r="N154" s="154"/>
      <c r="O154" s="158"/>
      <c r="P154" s="156"/>
      <c r="Q154" s="148"/>
      <c r="R154" s="155"/>
      <c r="S154" s="153"/>
      <c r="T154" s="150"/>
      <c r="U154" s="149"/>
      <c r="V154" s="149"/>
      <c r="W154" s="157"/>
      <c r="X154" s="157"/>
      <c r="Y154" s="149"/>
      <c r="Z154" s="149"/>
      <c r="AA154" s="149"/>
      <c r="AB154" s="149"/>
      <c r="AC154" s="149"/>
      <c r="AD154" s="149"/>
      <c r="AE154" s="149"/>
    </row>
    <row r="155">
      <c r="A155" s="154"/>
      <c r="B155" s="154"/>
      <c r="C155" s="151"/>
      <c r="D155" s="148"/>
      <c r="E155" s="160"/>
      <c r="F155" s="159"/>
      <c r="G155" s="153"/>
      <c r="H155" s="154"/>
      <c r="I155" s="154"/>
      <c r="J155" s="154"/>
      <c r="K155" s="152"/>
      <c r="L155" s="149"/>
      <c r="M155" s="149"/>
      <c r="N155" s="154"/>
      <c r="O155" s="158"/>
      <c r="P155" s="156"/>
      <c r="Q155" s="148"/>
      <c r="R155" s="155"/>
      <c r="S155" s="153"/>
      <c r="T155" s="150"/>
      <c r="U155" s="149"/>
      <c r="V155" s="149"/>
      <c r="W155" s="157"/>
      <c r="X155" s="157"/>
      <c r="Y155" s="149"/>
      <c r="Z155" s="149"/>
      <c r="AA155" s="149"/>
      <c r="AB155" s="149"/>
      <c r="AC155" s="149"/>
      <c r="AD155" s="149"/>
      <c r="AE155" s="149"/>
    </row>
    <row r="156">
      <c r="A156" s="154"/>
      <c r="B156" s="154"/>
      <c r="C156" s="151"/>
      <c r="D156" s="148"/>
      <c r="E156" s="160"/>
      <c r="F156" s="159"/>
      <c r="G156" s="153"/>
      <c r="H156" s="154"/>
      <c r="I156" s="154"/>
      <c r="J156" s="154"/>
      <c r="K156" s="152"/>
      <c r="L156" s="149"/>
      <c r="M156" s="149"/>
      <c r="N156" s="154"/>
      <c r="O156" s="158"/>
      <c r="P156" s="156"/>
      <c r="Q156" s="148"/>
      <c r="R156" s="155"/>
      <c r="S156" s="153"/>
      <c r="T156" s="150"/>
      <c r="U156" s="149"/>
      <c r="V156" s="149"/>
      <c r="W156" s="157"/>
      <c r="X156" s="157"/>
      <c r="Y156" s="149"/>
      <c r="Z156" s="149"/>
      <c r="AA156" s="149"/>
      <c r="AB156" s="149"/>
      <c r="AC156" s="149"/>
      <c r="AD156" s="149"/>
      <c r="AE156" s="149"/>
    </row>
    <row r="157">
      <c r="A157" s="154"/>
      <c r="B157" s="154"/>
      <c r="C157" s="151"/>
      <c r="D157" s="148"/>
      <c r="E157" s="160"/>
      <c r="F157" s="159"/>
      <c r="G157" s="153"/>
      <c r="H157" s="154"/>
      <c r="I157" s="154"/>
      <c r="J157" s="154"/>
      <c r="K157" s="152"/>
      <c r="L157" s="149"/>
      <c r="M157" s="149"/>
      <c r="N157" s="154"/>
      <c r="O157" s="158"/>
      <c r="P157" s="156"/>
      <c r="Q157" s="148"/>
      <c r="R157" s="155"/>
      <c r="S157" s="153"/>
      <c r="T157" s="150"/>
      <c r="U157" s="149"/>
      <c r="V157" s="149"/>
      <c r="W157" s="157"/>
      <c r="X157" s="157"/>
      <c r="Y157" s="149"/>
      <c r="Z157" s="149"/>
      <c r="AA157" s="149"/>
      <c r="AB157" s="149"/>
      <c r="AC157" s="149"/>
      <c r="AD157" s="149"/>
      <c r="AE157" s="149"/>
    </row>
    <row r="158">
      <c r="A158" s="154"/>
      <c r="B158" s="154"/>
      <c r="C158" s="151"/>
      <c r="D158" s="148"/>
      <c r="E158" s="160"/>
      <c r="F158" s="159"/>
      <c r="G158" s="153"/>
      <c r="H158" s="154"/>
      <c r="I158" s="154"/>
      <c r="J158" s="154"/>
      <c r="K158" s="152"/>
      <c r="L158" s="149"/>
      <c r="M158" s="149"/>
      <c r="N158" s="154"/>
      <c r="O158" s="158"/>
      <c r="P158" s="156"/>
      <c r="Q158" s="148"/>
      <c r="R158" s="155"/>
      <c r="S158" s="153"/>
      <c r="T158" s="150"/>
      <c r="U158" s="149"/>
      <c r="V158" s="149"/>
      <c r="W158" s="157"/>
      <c r="X158" s="157"/>
      <c r="Y158" s="149"/>
      <c r="Z158" s="149"/>
      <c r="AA158" s="149"/>
      <c r="AB158" s="149"/>
      <c r="AC158" s="149"/>
      <c r="AD158" s="149"/>
      <c r="AE158" s="149"/>
    </row>
    <row r="159">
      <c r="A159" s="154"/>
      <c r="B159" s="154"/>
      <c r="C159" s="151"/>
      <c r="D159" s="148"/>
      <c r="E159" s="160"/>
      <c r="F159" s="159"/>
      <c r="G159" s="153"/>
      <c r="H159" s="154"/>
      <c r="I159" s="154"/>
      <c r="J159" s="154"/>
      <c r="K159" s="152"/>
      <c r="L159" s="149"/>
      <c r="M159" s="149"/>
      <c r="N159" s="154"/>
      <c r="O159" s="158"/>
      <c r="P159" s="156"/>
      <c r="Q159" s="148"/>
      <c r="R159" s="155"/>
      <c r="S159" s="153"/>
      <c r="T159" s="150"/>
      <c r="U159" s="149"/>
      <c r="V159" s="149"/>
      <c r="W159" s="157"/>
      <c r="X159" s="157"/>
      <c r="Y159" s="149"/>
      <c r="Z159" s="149"/>
      <c r="AA159" s="149"/>
      <c r="AB159" s="149"/>
      <c r="AC159" s="149"/>
      <c r="AD159" s="149"/>
      <c r="AE159" s="149"/>
    </row>
    <row r="160">
      <c r="A160" s="154"/>
      <c r="B160" s="154"/>
      <c r="C160" s="151"/>
      <c r="D160" s="148"/>
      <c r="E160" s="160"/>
      <c r="F160" s="159"/>
      <c r="G160" s="153"/>
      <c r="H160" s="154"/>
      <c r="I160" s="154"/>
      <c r="J160" s="154"/>
      <c r="K160" s="152"/>
      <c r="L160" s="149"/>
      <c r="M160" s="149"/>
      <c r="N160" s="154"/>
      <c r="O160" s="158"/>
      <c r="P160" s="156"/>
      <c r="Q160" s="148"/>
      <c r="R160" s="155"/>
      <c r="S160" s="153"/>
      <c r="T160" s="150"/>
      <c r="U160" s="149"/>
      <c r="V160" s="149"/>
      <c r="W160" s="157"/>
      <c r="X160" s="157"/>
      <c r="Y160" s="149"/>
      <c r="Z160" s="149"/>
      <c r="AA160" s="149"/>
      <c r="AB160" s="149"/>
      <c r="AC160" s="149"/>
      <c r="AD160" s="149"/>
      <c r="AE160" s="149"/>
    </row>
    <row r="161">
      <c r="A161" s="154"/>
      <c r="B161" s="154"/>
      <c r="C161" s="151"/>
      <c r="D161" s="148"/>
      <c r="E161" s="160"/>
      <c r="F161" s="159"/>
      <c r="G161" s="153"/>
      <c r="H161" s="154"/>
      <c r="I161" s="154"/>
      <c r="J161" s="154"/>
      <c r="K161" s="152"/>
      <c r="L161" s="149"/>
      <c r="M161" s="149"/>
      <c r="N161" s="154"/>
      <c r="O161" s="158"/>
      <c r="P161" s="156"/>
      <c r="Q161" s="148"/>
      <c r="R161" s="155"/>
      <c r="S161" s="153"/>
      <c r="T161" s="150"/>
      <c r="U161" s="149"/>
      <c r="V161" s="149"/>
      <c r="W161" s="157"/>
      <c r="X161" s="157"/>
      <c r="Y161" s="149"/>
      <c r="Z161" s="149"/>
      <c r="AA161" s="149"/>
      <c r="AB161" s="149"/>
      <c r="AC161" s="149"/>
      <c r="AD161" s="149"/>
      <c r="AE161" s="149"/>
    </row>
    <row r="162">
      <c r="A162" s="154"/>
      <c r="B162" s="154"/>
      <c r="C162" s="151"/>
      <c r="D162" s="148"/>
      <c r="E162" s="160"/>
      <c r="F162" s="159"/>
      <c r="G162" s="153"/>
      <c r="H162" s="154"/>
      <c r="I162" s="154"/>
      <c r="J162" s="154"/>
      <c r="K162" s="152"/>
      <c r="L162" s="149"/>
      <c r="M162" s="149"/>
      <c r="N162" s="154"/>
      <c r="O162" s="158"/>
      <c r="P162" s="156"/>
      <c r="Q162" s="148"/>
      <c r="R162" s="155"/>
      <c r="S162" s="153"/>
      <c r="T162" s="150"/>
      <c r="U162" s="149"/>
      <c r="V162" s="149"/>
      <c r="W162" s="157"/>
      <c r="X162" s="157"/>
      <c r="Y162" s="149"/>
      <c r="Z162" s="149"/>
      <c r="AA162" s="149"/>
      <c r="AB162" s="149"/>
      <c r="AC162" s="149"/>
      <c r="AD162" s="149"/>
      <c r="AE162" s="149"/>
    </row>
    <row r="163">
      <c r="A163" s="154"/>
      <c r="B163" s="154"/>
      <c r="C163" s="151"/>
      <c r="D163" s="148"/>
      <c r="E163" s="160"/>
      <c r="F163" s="159"/>
      <c r="G163" s="153"/>
      <c r="H163" s="154"/>
      <c r="I163" s="154"/>
      <c r="J163" s="154"/>
      <c r="K163" s="152"/>
      <c r="L163" s="149"/>
      <c r="M163" s="149"/>
      <c r="N163" s="154"/>
      <c r="O163" s="158"/>
      <c r="P163" s="156"/>
      <c r="Q163" s="148"/>
      <c r="R163" s="155"/>
      <c r="S163" s="153"/>
      <c r="T163" s="150"/>
      <c r="U163" s="149"/>
      <c r="V163" s="149"/>
      <c r="W163" s="157"/>
      <c r="X163" s="157"/>
      <c r="Y163" s="149"/>
      <c r="Z163" s="149"/>
      <c r="AA163" s="149"/>
      <c r="AB163" s="149"/>
      <c r="AC163" s="149"/>
      <c r="AD163" s="149"/>
      <c r="AE163" s="149"/>
    </row>
    <row r="164">
      <c r="A164" s="154"/>
      <c r="B164" s="154"/>
      <c r="C164" s="151"/>
      <c r="D164" s="148"/>
      <c r="E164" s="160"/>
      <c r="F164" s="159"/>
      <c r="G164" s="153"/>
      <c r="H164" s="154"/>
      <c r="I164" s="154"/>
      <c r="J164" s="154"/>
      <c r="K164" s="152"/>
      <c r="L164" s="149"/>
      <c r="M164" s="149"/>
      <c r="N164" s="154"/>
      <c r="O164" s="158"/>
      <c r="P164" s="156"/>
      <c r="Q164" s="148"/>
      <c r="R164" s="155"/>
      <c r="S164" s="153"/>
      <c r="T164" s="150"/>
      <c r="U164" s="149"/>
      <c r="V164" s="149"/>
      <c r="W164" s="157"/>
      <c r="X164" s="157"/>
      <c r="Y164" s="149"/>
      <c r="Z164" s="149"/>
      <c r="AA164" s="149"/>
      <c r="AB164" s="149"/>
      <c r="AC164" s="149"/>
      <c r="AD164" s="149"/>
      <c r="AE164" s="149"/>
    </row>
    <row r="165">
      <c r="A165" s="154"/>
      <c r="B165" s="154"/>
      <c r="C165" s="151"/>
      <c r="D165" s="148"/>
      <c r="E165" s="160"/>
      <c r="F165" s="159"/>
      <c r="G165" s="153"/>
      <c r="H165" s="154"/>
      <c r="I165" s="154"/>
      <c r="J165" s="154"/>
      <c r="K165" s="152"/>
      <c r="L165" s="149"/>
      <c r="M165" s="149"/>
      <c r="N165" s="154"/>
      <c r="O165" s="158"/>
      <c r="P165" s="156"/>
      <c r="Q165" s="148"/>
      <c r="R165" s="155"/>
      <c r="S165" s="153"/>
      <c r="T165" s="150"/>
      <c r="U165" s="149"/>
      <c r="V165" s="149"/>
      <c r="W165" s="157"/>
      <c r="X165" s="157"/>
      <c r="Y165" s="149"/>
      <c r="Z165" s="149"/>
      <c r="AA165" s="149"/>
      <c r="AB165" s="149"/>
      <c r="AC165" s="149"/>
      <c r="AD165" s="149"/>
      <c r="AE165" s="149"/>
    </row>
    <row r="166">
      <c r="A166" s="154"/>
      <c r="B166" s="154"/>
      <c r="C166" s="151"/>
      <c r="D166" s="148"/>
      <c r="E166" s="160"/>
      <c r="F166" s="159"/>
      <c r="G166" s="153"/>
      <c r="H166" s="154"/>
      <c r="I166" s="154"/>
      <c r="J166" s="154"/>
      <c r="K166" s="152"/>
      <c r="L166" s="149"/>
      <c r="M166" s="149"/>
      <c r="N166" s="154"/>
      <c r="O166" s="158"/>
      <c r="P166" s="156"/>
      <c r="Q166" s="148"/>
      <c r="R166" s="155"/>
      <c r="S166" s="153"/>
      <c r="T166" s="150"/>
      <c r="U166" s="149"/>
      <c r="V166" s="149"/>
      <c r="W166" s="157"/>
      <c r="X166" s="157"/>
      <c r="Y166" s="149"/>
      <c r="Z166" s="149"/>
      <c r="AA166" s="149"/>
      <c r="AB166" s="149"/>
      <c r="AC166" s="149"/>
      <c r="AD166" s="149"/>
      <c r="AE166" s="149"/>
    </row>
    <row r="167">
      <c r="A167" s="154"/>
      <c r="B167" s="154"/>
      <c r="C167" s="151"/>
      <c r="D167" s="148"/>
      <c r="E167" s="160"/>
      <c r="F167" s="159"/>
      <c r="G167" s="153"/>
      <c r="H167" s="154"/>
      <c r="I167" s="154"/>
      <c r="J167" s="154"/>
      <c r="K167" s="152"/>
      <c r="L167" s="149"/>
      <c r="M167" s="149"/>
      <c r="N167" s="154"/>
      <c r="O167" s="158"/>
      <c r="P167" s="156"/>
      <c r="Q167" s="148"/>
      <c r="R167" s="155"/>
      <c r="S167" s="153"/>
      <c r="T167" s="150"/>
      <c r="U167" s="149"/>
      <c r="V167" s="149"/>
      <c r="W167" s="157"/>
      <c r="X167" s="157"/>
      <c r="Y167" s="149"/>
      <c r="Z167" s="149"/>
      <c r="AA167" s="149"/>
      <c r="AB167" s="149"/>
      <c r="AC167" s="149"/>
      <c r="AD167" s="149"/>
      <c r="AE167" s="149"/>
    </row>
    <row r="168">
      <c r="A168" s="154"/>
      <c r="B168" s="154"/>
      <c r="C168" s="151"/>
      <c r="D168" s="148"/>
      <c r="E168" s="160"/>
      <c r="F168" s="159"/>
      <c r="G168" s="153"/>
      <c r="H168" s="154"/>
      <c r="I168" s="154"/>
      <c r="J168" s="154"/>
      <c r="K168" s="152"/>
      <c r="L168" s="149"/>
      <c r="M168" s="149"/>
      <c r="N168" s="154"/>
      <c r="O168" s="158"/>
      <c r="P168" s="156"/>
      <c r="Q168" s="148"/>
      <c r="R168" s="155"/>
      <c r="S168" s="153"/>
      <c r="T168" s="150"/>
      <c r="U168" s="149"/>
      <c r="V168" s="149"/>
      <c r="W168" s="157"/>
      <c r="X168" s="157"/>
      <c r="Y168" s="149"/>
      <c r="Z168" s="149"/>
      <c r="AA168" s="149"/>
      <c r="AB168" s="149"/>
      <c r="AC168" s="149"/>
      <c r="AD168" s="149"/>
      <c r="AE168" s="149"/>
    </row>
    <row r="169">
      <c r="A169" s="154"/>
      <c r="B169" s="154"/>
      <c r="C169" s="151"/>
      <c r="D169" s="148"/>
      <c r="E169" s="160"/>
      <c r="F169" s="159"/>
      <c r="G169" s="153"/>
      <c r="H169" s="154"/>
      <c r="I169" s="154"/>
      <c r="J169" s="154"/>
      <c r="K169" s="152"/>
      <c r="L169" s="149"/>
      <c r="M169" s="149"/>
      <c r="N169" s="154"/>
      <c r="O169" s="158"/>
      <c r="P169" s="156"/>
      <c r="Q169" s="148"/>
      <c r="R169" s="155"/>
      <c r="S169" s="153"/>
      <c r="T169" s="150"/>
      <c r="U169" s="149"/>
      <c r="V169" s="149"/>
      <c r="W169" s="157"/>
      <c r="X169" s="157"/>
      <c r="Y169" s="149"/>
      <c r="Z169" s="149"/>
      <c r="AA169" s="149"/>
      <c r="AB169" s="149"/>
      <c r="AC169" s="149"/>
      <c r="AD169" s="149"/>
      <c r="AE169" s="149"/>
    </row>
    <row r="170">
      <c r="A170" s="154"/>
      <c r="B170" s="154"/>
      <c r="C170" s="151"/>
      <c r="D170" s="148"/>
      <c r="E170" s="160"/>
      <c r="F170" s="159"/>
      <c r="G170" s="153"/>
      <c r="H170" s="154"/>
      <c r="I170" s="154"/>
      <c r="J170" s="154"/>
      <c r="K170" s="152"/>
      <c r="L170" s="149"/>
      <c r="M170" s="149"/>
      <c r="N170" s="154"/>
      <c r="O170" s="158"/>
      <c r="P170" s="156"/>
      <c r="Q170" s="148"/>
      <c r="R170" s="155"/>
      <c r="S170" s="153"/>
      <c r="T170" s="150"/>
      <c r="U170" s="149"/>
      <c r="V170" s="149"/>
      <c r="W170" s="157"/>
      <c r="X170" s="157"/>
      <c r="Y170" s="149"/>
      <c r="Z170" s="149"/>
      <c r="AA170" s="149"/>
      <c r="AB170" s="149"/>
      <c r="AC170" s="149"/>
      <c r="AD170" s="149"/>
      <c r="AE170" s="149"/>
    </row>
    <row r="171">
      <c r="A171" s="154"/>
      <c r="B171" s="154"/>
      <c r="C171" s="151"/>
      <c r="D171" s="148"/>
      <c r="E171" s="160"/>
      <c r="F171" s="159"/>
      <c r="G171" s="153"/>
      <c r="H171" s="154"/>
      <c r="I171" s="154"/>
      <c r="J171" s="154"/>
      <c r="K171" s="152"/>
      <c r="L171" s="149"/>
      <c r="M171" s="149"/>
      <c r="N171" s="154"/>
      <c r="O171" s="158"/>
      <c r="P171" s="156"/>
      <c r="Q171" s="148"/>
      <c r="R171" s="155"/>
      <c r="S171" s="153"/>
      <c r="T171" s="150"/>
      <c r="U171" s="149"/>
      <c r="V171" s="149"/>
      <c r="W171" s="157"/>
      <c r="X171" s="157"/>
      <c r="Y171" s="149"/>
      <c r="Z171" s="149"/>
      <c r="AA171" s="149"/>
      <c r="AB171" s="149"/>
      <c r="AC171" s="149"/>
      <c r="AD171" s="149"/>
      <c r="AE171" s="149"/>
    </row>
    <row r="172">
      <c r="A172" s="154"/>
      <c r="B172" s="154"/>
      <c r="C172" s="151"/>
      <c r="D172" s="148"/>
      <c r="E172" s="160"/>
      <c r="F172" s="159"/>
      <c r="G172" s="153"/>
      <c r="H172" s="154"/>
      <c r="I172" s="154"/>
      <c r="J172" s="154"/>
      <c r="K172" s="152"/>
      <c r="L172" s="149"/>
      <c r="M172" s="149"/>
      <c r="N172" s="154"/>
      <c r="O172" s="158"/>
      <c r="P172" s="156"/>
      <c r="Q172" s="148"/>
      <c r="R172" s="155"/>
      <c r="S172" s="153"/>
      <c r="T172" s="150"/>
      <c r="U172" s="149"/>
      <c r="V172" s="149"/>
      <c r="W172" s="157"/>
      <c r="X172" s="157"/>
      <c r="Y172" s="149"/>
      <c r="Z172" s="149"/>
      <c r="AA172" s="149"/>
      <c r="AB172" s="149"/>
      <c r="AC172" s="149"/>
      <c r="AD172" s="149"/>
      <c r="AE172" s="149"/>
    </row>
    <row r="173">
      <c r="A173" s="154"/>
      <c r="B173" s="154"/>
      <c r="C173" s="151"/>
      <c r="D173" s="148"/>
      <c r="E173" s="160"/>
      <c r="F173" s="159"/>
      <c r="G173" s="153"/>
      <c r="H173" s="154"/>
      <c r="I173" s="154"/>
      <c r="J173" s="154"/>
      <c r="K173" s="152"/>
      <c r="L173" s="149"/>
      <c r="M173" s="149"/>
      <c r="N173" s="154"/>
      <c r="O173" s="158"/>
      <c r="P173" s="156"/>
      <c r="Q173" s="148"/>
      <c r="R173" s="155"/>
      <c r="S173" s="153"/>
      <c r="T173" s="150"/>
      <c r="U173" s="149"/>
      <c r="V173" s="149"/>
      <c r="W173" s="157"/>
      <c r="X173" s="157"/>
      <c r="Y173" s="149"/>
      <c r="Z173" s="149"/>
      <c r="AA173" s="149"/>
      <c r="AB173" s="149"/>
      <c r="AC173" s="149"/>
      <c r="AD173" s="149"/>
      <c r="AE173" s="149"/>
    </row>
    <row r="174">
      <c r="A174" s="154"/>
      <c r="B174" s="154"/>
      <c r="C174" s="151"/>
      <c r="D174" s="148"/>
      <c r="E174" s="160"/>
      <c r="F174" s="159"/>
      <c r="G174" s="153"/>
      <c r="H174" s="154"/>
      <c r="I174" s="154"/>
      <c r="J174" s="154"/>
      <c r="K174" s="152"/>
      <c r="L174" s="149"/>
      <c r="M174" s="149"/>
      <c r="N174" s="154"/>
      <c r="O174" s="158"/>
      <c r="P174" s="156"/>
      <c r="Q174" s="148"/>
      <c r="R174" s="155"/>
      <c r="S174" s="153"/>
      <c r="T174" s="150"/>
      <c r="U174" s="149"/>
      <c r="V174" s="149"/>
      <c r="W174" s="157"/>
      <c r="X174" s="157"/>
      <c r="Y174" s="149"/>
      <c r="Z174" s="149"/>
      <c r="AA174" s="149"/>
      <c r="AB174" s="149"/>
      <c r="AC174" s="149"/>
      <c r="AD174" s="149"/>
      <c r="AE174" s="149"/>
    </row>
    <row r="175">
      <c r="A175" s="154"/>
      <c r="B175" s="154"/>
      <c r="C175" s="151"/>
      <c r="D175" s="148"/>
      <c r="E175" s="160"/>
      <c r="F175" s="159"/>
      <c r="G175" s="153"/>
      <c r="H175" s="154"/>
      <c r="I175" s="154"/>
      <c r="J175" s="154"/>
      <c r="K175" s="152"/>
      <c r="L175" s="149"/>
      <c r="M175" s="149"/>
      <c r="N175" s="154"/>
      <c r="O175" s="158"/>
      <c r="P175" s="156"/>
      <c r="Q175" s="148"/>
      <c r="R175" s="155"/>
      <c r="S175" s="153"/>
      <c r="T175" s="150"/>
      <c r="U175" s="149"/>
      <c r="V175" s="149"/>
      <c r="W175" s="157"/>
      <c r="X175" s="157"/>
      <c r="Y175" s="149"/>
      <c r="Z175" s="149"/>
      <c r="AA175" s="149"/>
      <c r="AB175" s="149"/>
      <c r="AC175" s="149"/>
      <c r="AD175" s="149"/>
      <c r="AE175" s="149"/>
    </row>
    <row r="176">
      <c r="A176" s="154"/>
      <c r="B176" s="154"/>
      <c r="C176" s="151"/>
      <c r="D176" s="148"/>
      <c r="E176" s="160"/>
      <c r="F176" s="159"/>
      <c r="G176" s="153"/>
      <c r="H176" s="154"/>
      <c r="I176" s="154"/>
      <c r="J176" s="154"/>
      <c r="K176" s="152"/>
      <c r="L176" s="149"/>
      <c r="M176" s="149"/>
      <c r="N176" s="154"/>
      <c r="O176" s="158"/>
      <c r="P176" s="156"/>
      <c r="Q176" s="148"/>
      <c r="R176" s="155"/>
      <c r="S176" s="153"/>
      <c r="T176" s="150"/>
      <c r="U176" s="149"/>
      <c r="V176" s="149"/>
      <c r="W176" s="157"/>
      <c r="X176" s="157"/>
      <c r="Y176" s="149"/>
      <c r="Z176" s="149"/>
      <c r="AA176" s="149"/>
      <c r="AB176" s="149"/>
      <c r="AC176" s="149"/>
      <c r="AD176" s="149"/>
      <c r="AE176" s="149"/>
    </row>
    <row r="177">
      <c r="A177" s="154"/>
      <c r="B177" s="154"/>
      <c r="C177" s="151"/>
      <c r="D177" s="148"/>
      <c r="E177" s="160"/>
      <c r="F177" s="159"/>
      <c r="G177" s="153"/>
      <c r="H177" s="154"/>
      <c r="I177" s="154"/>
      <c r="J177" s="154"/>
      <c r="K177" s="152"/>
      <c r="L177" s="149"/>
      <c r="M177" s="149"/>
      <c r="N177" s="154"/>
      <c r="O177" s="158"/>
      <c r="P177" s="156"/>
      <c r="Q177" s="148"/>
      <c r="R177" s="155"/>
      <c r="S177" s="153"/>
      <c r="T177" s="150"/>
      <c r="U177" s="149"/>
      <c r="V177" s="149"/>
      <c r="W177" s="157"/>
      <c r="X177" s="157"/>
      <c r="Y177" s="149"/>
      <c r="Z177" s="149"/>
      <c r="AA177" s="149"/>
      <c r="AB177" s="149"/>
      <c r="AC177" s="149"/>
      <c r="AD177" s="149"/>
      <c r="AE177" s="149"/>
    </row>
    <row r="178">
      <c r="A178" s="154"/>
      <c r="B178" s="154"/>
      <c r="C178" s="151"/>
      <c r="D178" s="148"/>
      <c r="E178" s="160"/>
      <c r="F178" s="159"/>
      <c r="G178" s="153"/>
      <c r="H178" s="154"/>
      <c r="I178" s="154"/>
      <c r="J178" s="154"/>
      <c r="K178" s="152"/>
      <c r="L178" s="149"/>
      <c r="M178" s="149"/>
      <c r="N178" s="154"/>
      <c r="O178" s="158"/>
      <c r="P178" s="156"/>
      <c r="Q178" s="148"/>
      <c r="R178" s="155"/>
      <c r="S178" s="153"/>
      <c r="T178" s="150"/>
      <c r="U178" s="149"/>
      <c r="V178" s="149"/>
      <c r="W178" s="157"/>
      <c r="X178" s="157"/>
      <c r="Y178" s="149"/>
      <c r="Z178" s="149"/>
      <c r="AA178" s="149"/>
      <c r="AB178" s="149"/>
      <c r="AC178" s="149"/>
      <c r="AD178" s="149"/>
      <c r="AE178" s="149"/>
    </row>
    <row r="179">
      <c r="A179" s="154"/>
      <c r="B179" s="154"/>
      <c r="C179" s="151"/>
      <c r="D179" s="148"/>
      <c r="E179" s="160"/>
      <c r="F179" s="159"/>
      <c r="G179" s="153"/>
      <c r="H179" s="154"/>
      <c r="I179" s="154"/>
      <c r="J179" s="154"/>
      <c r="K179" s="152"/>
      <c r="L179" s="149"/>
      <c r="M179" s="149"/>
      <c r="N179" s="154"/>
      <c r="O179" s="158"/>
      <c r="P179" s="156"/>
      <c r="Q179" s="148"/>
      <c r="R179" s="155"/>
      <c r="S179" s="153"/>
      <c r="T179" s="150"/>
      <c r="U179" s="149"/>
      <c r="V179" s="149"/>
      <c r="W179" s="157"/>
      <c r="X179" s="157"/>
      <c r="Y179" s="149"/>
      <c r="Z179" s="149"/>
      <c r="AA179" s="149"/>
      <c r="AB179" s="149"/>
      <c r="AC179" s="149"/>
      <c r="AD179" s="149"/>
      <c r="AE179" s="149"/>
    </row>
    <row r="180">
      <c r="A180" s="154"/>
      <c r="B180" s="154"/>
      <c r="C180" s="151"/>
      <c r="D180" s="148"/>
      <c r="E180" s="160"/>
      <c r="F180" s="159"/>
      <c r="G180" s="153"/>
      <c r="H180" s="154"/>
      <c r="I180" s="154"/>
      <c r="J180" s="154"/>
      <c r="K180" s="152"/>
      <c r="L180" s="149"/>
      <c r="M180" s="149"/>
      <c r="N180" s="154"/>
      <c r="O180" s="158"/>
      <c r="P180" s="156"/>
      <c r="Q180" s="148"/>
      <c r="R180" s="155"/>
      <c r="S180" s="153"/>
      <c r="T180" s="150"/>
      <c r="U180" s="149"/>
      <c r="V180" s="149"/>
      <c r="W180" s="157"/>
      <c r="X180" s="157"/>
      <c r="Y180" s="149"/>
      <c r="Z180" s="149"/>
      <c r="AA180" s="149"/>
      <c r="AB180" s="149"/>
      <c r="AC180" s="149"/>
      <c r="AD180" s="149"/>
      <c r="AE180" s="149"/>
    </row>
    <row r="181">
      <c r="A181" s="154"/>
      <c r="B181" s="154"/>
      <c r="C181" s="151"/>
      <c r="D181" s="148"/>
      <c r="E181" s="160"/>
      <c r="F181" s="159"/>
      <c r="G181" s="153"/>
      <c r="H181" s="154"/>
      <c r="I181" s="154"/>
      <c r="J181" s="154"/>
      <c r="K181" s="152"/>
      <c r="L181" s="149"/>
      <c r="M181" s="149"/>
      <c r="N181" s="154"/>
      <c r="O181" s="158"/>
      <c r="P181" s="156"/>
      <c r="Q181" s="148"/>
      <c r="R181" s="155"/>
      <c r="S181" s="153"/>
      <c r="T181" s="150"/>
      <c r="U181" s="149"/>
      <c r="V181" s="149"/>
      <c r="W181" s="157"/>
      <c r="X181" s="157"/>
      <c r="Y181" s="149"/>
      <c r="Z181" s="149"/>
      <c r="AA181" s="149"/>
      <c r="AB181" s="149"/>
      <c r="AC181" s="149"/>
      <c r="AD181" s="149"/>
      <c r="AE181" s="149"/>
    </row>
    <row r="182">
      <c r="A182" s="154"/>
      <c r="B182" s="154"/>
      <c r="C182" s="151"/>
      <c r="D182" s="148"/>
      <c r="E182" s="160"/>
      <c r="F182" s="159"/>
      <c r="G182" s="153"/>
      <c r="H182" s="154"/>
      <c r="I182" s="154"/>
      <c r="J182" s="154"/>
      <c r="K182" s="152"/>
      <c r="L182" s="149"/>
      <c r="M182" s="149"/>
      <c r="N182" s="154"/>
      <c r="O182" s="158"/>
      <c r="P182" s="156"/>
      <c r="Q182" s="148"/>
      <c r="R182" s="155"/>
      <c r="S182" s="153"/>
      <c r="T182" s="150"/>
      <c r="U182" s="149"/>
      <c r="V182" s="149"/>
      <c r="W182" s="157"/>
      <c r="X182" s="157"/>
      <c r="Y182" s="149"/>
      <c r="Z182" s="149"/>
      <c r="AA182" s="149"/>
      <c r="AB182" s="149"/>
      <c r="AC182" s="149"/>
      <c r="AD182" s="149"/>
      <c r="AE182" s="149"/>
    </row>
    <row r="183">
      <c r="A183" s="154"/>
      <c r="B183" s="154"/>
      <c r="C183" s="151"/>
      <c r="D183" s="148"/>
      <c r="E183" s="160"/>
      <c r="F183" s="159"/>
      <c r="G183" s="153"/>
      <c r="H183" s="154"/>
      <c r="I183" s="154"/>
      <c r="J183" s="154"/>
      <c r="K183" s="152"/>
      <c r="L183" s="149"/>
      <c r="M183" s="149"/>
      <c r="N183" s="154"/>
      <c r="O183" s="158"/>
      <c r="P183" s="156"/>
      <c r="Q183" s="148"/>
      <c r="R183" s="155"/>
      <c r="S183" s="153"/>
      <c r="T183" s="150"/>
      <c r="U183" s="149"/>
      <c r="V183" s="149"/>
      <c r="W183" s="157"/>
      <c r="X183" s="157"/>
      <c r="Y183" s="149"/>
      <c r="Z183" s="149"/>
      <c r="AA183" s="149"/>
      <c r="AB183" s="149"/>
      <c r="AC183" s="149"/>
      <c r="AD183" s="149"/>
      <c r="AE183" s="149"/>
    </row>
    <row r="184">
      <c r="A184" s="154"/>
      <c r="B184" s="154"/>
      <c r="C184" s="151"/>
      <c r="D184" s="148"/>
      <c r="E184" s="160"/>
      <c r="F184" s="159"/>
      <c r="G184" s="153"/>
      <c r="H184" s="154"/>
      <c r="I184" s="154"/>
      <c r="J184" s="154"/>
      <c r="K184" s="152"/>
      <c r="L184" s="149"/>
      <c r="M184" s="149"/>
      <c r="N184" s="154"/>
      <c r="O184" s="158"/>
      <c r="P184" s="156"/>
      <c r="Q184" s="148"/>
      <c r="R184" s="155"/>
      <c r="S184" s="153"/>
      <c r="T184" s="150"/>
      <c r="U184" s="149"/>
      <c r="V184" s="149"/>
      <c r="W184" s="157"/>
      <c r="X184" s="157"/>
      <c r="Y184" s="149"/>
      <c r="Z184" s="149"/>
      <c r="AA184" s="149"/>
      <c r="AB184" s="149"/>
      <c r="AC184" s="149"/>
      <c r="AD184" s="149"/>
      <c r="AE184" s="149"/>
    </row>
    <row r="185">
      <c r="A185" s="154"/>
      <c r="B185" s="154"/>
      <c r="C185" s="151"/>
      <c r="D185" s="148"/>
      <c r="E185" s="160"/>
      <c r="F185" s="159"/>
      <c r="G185" s="153"/>
      <c r="H185" s="154"/>
      <c r="I185" s="154"/>
      <c r="J185" s="154"/>
      <c r="K185" s="152"/>
      <c r="L185" s="149"/>
      <c r="M185" s="149"/>
      <c r="N185" s="154"/>
      <c r="O185" s="158"/>
      <c r="P185" s="156"/>
      <c r="Q185" s="148"/>
      <c r="R185" s="155"/>
      <c r="S185" s="153"/>
      <c r="T185" s="150"/>
      <c r="U185" s="149"/>
      <c r="V185" s="149"/>
      <c r="W185" s="157"/>
      <c r="X185" s="157"/>
      <c r="Y185" s="149"/>
      <c r="Z185" s="149"/>
      <c r="AA185" s="149"/>
      <c r="AB185" s="149"/>
      <c r="AC185" s="149"/>
      <c r="AD185" s="149"/>
      <c r="AE185" s="149"/>
    </row>
    <row r="186">
      <c r="A186" s="154"/>
      <c r="B186" s="154"/>
      <c r="C186" s="151"/>
      <c r="D186" s="148"/>
      <c r="E186" s="160"/>
      <c r="F186" s="159"/>
      <c r="G186" s="153"/>
      <c r="H186" s="154"/>
      <c r="I186" s="154"/>
      <c r="J186" s="154"/>
      <c r="K186" s="152"/>
      <c r="L186" s="149"/>
      <c r="M186" s="149"/>
      <c r="N186" s="154"/>
      <c r="O186" s="158"/>
      <c r="P186" s="156"/>
      <c r="Q186" s="148"/>
      <c r="R186" s="155"/>
      <c r="S186" s="153"/>
      <c r="T186" s="150"/>
      <c r="U186" s="149"/>
      <c r="V186" s="149"/>
      <c r="W186" s="157"/>
      <c r="X186" s="157"/>
      <c r="Y186" s="149"/>
      <c r="Z186" s="149"/>
      <c r="AA186" s="149"/>
      <c r="AB186" s="149"/>
      <c r="AC186" s="149"/>
      <c r="AD186" s="149"/>
      <c r="AE186" s="149"/>
    </row>
    <row r="187">
      <c r="A187" s="154"/>
      <c r="B187" s="154"/>
      <c r="C187" s="151"/>
      <c r="D187" s="148"/>
      <c r="E187" s="160"/>
      <c r="F187" s="159"/>
      <c r="G187" s="153"/>
      <c r="H187" s="154"/>
      <c r="I187" s="154"/>
      <c r="J187" s="154"/>
      <c r="K187" s="152"/>
      <c r="L187" s="149"/>
      <c r="M187" s="149"/>
      <c r="N187" s="154"/>
      <c r="O187" s="158"/>
      <c r="P187" s="156"/>
      <c r="Q187" s="148"/>
      <c r="R187" s="155"/>
      <c r="S187" s="153"/>
      <c r="T187" s="150"/>
      <c r="U187" s="149"/>
      <c r="V187" s="149"/>
      <c r="W187" s="157"/>
      <c r="X187" s="157"/>
      <c r="Y187" s="149"/>
      <c r="Z187" s="149"/>
      <c r="AA187" s="149"/>
      <c r="AB187" s="149"/>
      <c r="AC187" s="149"/>
      <c r="AD187" s="149"/>
      <c r="AE187" s="149"/>
    </row>
    <row r="188">
      <c r="A188" s="154"/>
      <c r="B188" s="154"/>
      <c r="C188" s="151"/>
      <c r="D188" s="148"/>
      <c r="E188" s="160"/>
      <c r="F188" s="159"/>
      <c r="G188" s="153"/>
      <c r="H188" s="154"/>
      <c r="I188" s="154"/>
      <c r="J188" s="154"/>
      <c r="K188" s="152"/>
      <c r="L188" s="149"/>
      <c r="M188" s="149"/>
      <c r="N188" s="154"/>
      <c r="O188" s="158"/>
      <c r="P188" s="156"/>
      <c r="Q188" s="148"/>
      <c r="R188" s="155"/>
      <c r="S188" s="153"/>
      <c r="T188" s="150"/>
      <c r="U188" s="149"/>
      <c r="V188" s="149"/>
      <c r="W188" s="157"/>
      <c r="X188" s="157"/>
      <c r="Y188" s="149"/>
      <c r="Z188" s="149"/>
      <c r="AA188" s="149"/>
      <c r="AB188" s="149"/>
      <c r="AC188" s="149"/>
      <c r="AD188" s="149"/>
      <c r="AE188" s="149"/>
    </row>
    <row r="189">
      <c r="A189" s="154"/>
      <c r="B189" s="154"/>
      <c r="C189" s="151"/>
      <c r="D189" s="148"/>
      <c r="E189" s="160"/>
      <c r="F189" s="159"/>
      <c r="G189" s="153"/>
      <c r="H189" s="154"/>
      <c r="I189" s="154"/>
      <c r="J189" s="154"/>
      <c r="K189" s="152"/>
      <c r="L189" s="149"/>
      <c r="M189" s="149"/>
      <c r="N189" s="154"/>
      <c r="O189" s="158"/>
      <c r="P189" s="156"/>
      <c r="Q189" s="148"/>
      <c r="R189" s="155"/>
      <c r="S189" s="153"/>
      <c r="T189" s="150"/>
      <c r="U189" s="149"/>
      <c r="V189" s="149"/>
      <c r="W189" s="157"/>
      <c r="X189" s="157"/>
      <c r="Y189" s="149"/>
      <c r="Z189" s="149"/>
      <c r="AA189" s="149"/>
      <c r="AB189" s="149"/>
      <c r="AC189" s="149"/>
      <c r="AD189" s="149"/>
      <c r="AE189" s="149"/>
    </row>
    <row r="190">
      <c r="A190" s="154"/>
      <c r="B190" s="154"/>
      <c r="C190" s="151"/>
      <c r="D190" s="148"/>
      <c r="E190" s="160"/>
      <c r="F190" s="159"/>
      <c r="G190" s="153"/>
      <c r="H190" s="154"/>
      <c r="I190" s="154"/>
      <c r="J190" s="154"/>
      <c r="K190" s="152"/>
      <c r="L190" s="149"/>
      <c r="M190" s="149"/>
      <c r="N190" s="154"/>
      <c r="O190" s="158"/>
      <c r="P190" s="156"/>
      <c r="Q190" s="148"/>
      <c r="R190" s="155"/>
      <c r="S190" s="153"/>
      <c r="T190" s="150"/>
      <c r="U190" s="149"/>
      <c r="V190" s="149"/>
      <c r="W190" s="157"/>
      <c r="X190" s="157"/>
      <c r="Y190" s="149"/>
      <c r="Z190" s="149"/>
      <c r="AA190" s="149"/>
      <c r="AB190" s="149"/>
      <c r="AC190" s="149"/>
      <c r="AD190" s="149"/>
      <c r="AE190" s="149"/>
    </row>
    <row r="191">
      <c r="A191" s="154"/>
      <c r="B191" s="154"/>
      <c r="C191" s="151"/>
      <c r="D191" s="148"/>
      <c r="E191" s="160"/>
      <c r="F191" s="159"/>
      <c r="G191" s="153"/>
      <c r="H191" s="154"/>
      <c r="I191" s="154"/>
      <c r="J191" s="154"/>
      <c r="K191" s="152"/>
      <c r="L191" s="149"/>
      <c r="M191" s="149"/>
      <c r="N191" s="154"/>
      <c r="O191" s="158"/>
      <c r="P191" s="156"/>
      <c r="Q191" s="148"/>
      <c r="R191" s="155"/>
      <c r="S191" s="153"/>
      <c r="T191" s="150"/>
      <c r="U191" s="149"/>
      <c r="V191" s="149"/>
      <c r="W191" s="157"/>
      <c r="X191" s="157"/>
      <c r="Y191" s="149"/>
      <c r="Z191" s="149"/>
      <c r="AA191" s="149"/>
      <c r="AB191" s="149"/>
      <c r="AC191" s="149"/>
      <c r="AD191" s="149"/>
      <c r="AE191" s="149"/>
    </row>
    <row r="192">
      <c r="A192" s="154"/>
      <c r="B192" s="154"/>
      <c r="C192" s="151"/>
      <c r="D192" s="148"/>
      <c r="E192" s="160"/>
      <c r="F192" s="159"/>
      <c r="G192" s="153"/>
      <c r="H192" s="154"/>
      <c r="I192" s="154"/>
      <c r="J192" s="154"/>
      <c r="K192" s="152"/>
      <c r="L192" s="149"/>
      <c r="M192" s="149"/>
      <c r="N192" s="154"/>
      <c r="O192" s="158"/>
      <c r="P192" s="156"/>
      <c r="Q192" s="148"/>
      <c r="R192" s="155"/>
      <c r="S192" s="153"/>
      <c r="T192" s="150"/>
      <c r="U192" s="149"/>
      <c r="V192" s="149"/>
      <c r="W192" s="157"/>
      <c r="X192" s="157"/>
      <c r="Y192" s="149"/>
      <c r="Z192" s="149"/>
      <c r="AA192" s="149"/>
      <c r="AB192" s="149"/>
      <c r="AC192" s="149"/>
      <c r="AD192" s="149"/>
      <c r="AE192" s="149"/>
    </row>
    <row r="193">
      <c r="A193" s="154"/>
      <c r="B193" s="154"/>
      <c r="C193" s="151"/>
      <c r="D193" s="148"/>
      <c r="E193" s="160"/>
      <c r="F193" s="159"/>
      <c r="G193" s="153"/>
      <c r="H193" s="154"/>
      <c r="I193" s="154"/>
      <c r="J193" s="154"/>
      <c r="K193" s="152"/>
      <c r="L193" s="149"/>
      <c r="M193" s="149"/>
      <c r="N193" s="154"/>
      <c r="O193" s="158"/>
      <c r="P193" s="156"/>
      <c r="Q193" s="148"/>
      <c r="R193" s="155"/>
      <c r="S193" s="153"/>
      <c r="T193" s="150"/>
      <c r="U193" s="149"/>
      <c r="V193" s="149"/>
      <c r="W193" s="157"/>
      <c r="X193" s="157"/>
      <c r="Y193" s="149"/>
      <c r="Z193" s="149"/>
      <c r="AA193" s="149"/>
      <c r="AB193" s="149"/>
      <c r="AC193" s="149"/>
      <c r="AD193" s="149"/>
      <c r="AE193" s="149"/>
    </row>
    <row r="194">
      <c r="A194" s="154"/>
      <c r="B194" s="154"/>
      <c r="C194" s="151"/>
      <c r="D194" s="148"/>
      <c r="E194" s="160"/>
      <c r="F194" s="159"/>
      <c r="G194" s="153"/>
      <c r="H194" s="154"/>
      <c r="I194" s="154"/>
      <c r="J194" s="154"/>
      <c r="K194" s="152"/>
      <c r="L194" s="149"/>
      <c r="M194" s="149"/>
      <c r="N194" s="154"/>
      <c r="O194" s="158"/>
      <c r="P194" s="156"/>
      <c r="Q194" s="148"/>
      <c r="R194" s="155"/>
      <c r="S194" s="153"/>
      <c r="T194" s="150"/>
      <c r="U194" s="149"/>
      <c r="V194" s="149"/>
      <c r="W194" s="157"/>
      <c r="X194" s="157"/>
      <c r="Y194" s="149"/>
      <c r="Z194" s="149"/>
      <c r="AA194" s="149"/>
      <c r="AB194" s="149"/>
      <c r="AC194" s="149"/>
      <c r="AD194" s="149"/>
      <c r="AE194" s="149"/>
    </row>
    <row r="195">
      <c r="A195" s="154"/>
      <c r="B195" s="154"/>
      <c r="C195" s="151"/>
      <c r="D195" s="148"/>
      <c r="E195" s="160"/>
      <c r="F195" s="159"/>
      <c r="G195" s="153"/>
      <c r="H195" s="154"/>
      <c r="I195" s="154"/>
      <c r="J195" s="154"/>
      <c r="K195" s="152"/>
      <c r="L195" s="149"/>
      <c r="M195" s="149"/>
      <c r="N195" s="154"/>
      <c r="O195" s="158"/>
      <c r="P195" s="156"/>
      <c r="Q195" s="148"/>
      <c r="R195" s="155"/>
      <c r="S195" s="153"/>
      <c r="T195" s="150"/>
      <c r="U195" s="149"/>
      <c r="V195" s="149"/>
      <c r="W195" s="157"/>
      <c r="X195" s="157"/>
      <c r="Y195" s="149"/>
      <c r="Z195" s="149"/>
      <c r="AA195" s="149"/>
      <c r="AB195" s="149"/>
      <c r="AC195" s="149"/>
      <c r="AD195" s="149"/>
      <c r="AE195" s="149"/>
    </row>
    <row r="196">
      <c r="A196" s="154"/>
      <c r="B196" s="154"/>
      <c r="C196" s="151"/>
      <c r="D196" s="148"/>
      <c r="E196" s="160"/>
      <c r="F196" s="159"/>
      <c r="G196" s="153"/>
      <c r="H196" s="154"/>
      <c r="I196" s="154"/>
      <c r="J196" s="154"/>
      <c r="K196" s="152"/>
      <c r="L196" s="149"/>
      <c r="M196" s="149"/>
      <c r="N196" s="154"/>
      <c r="O196" s="158"/>
      <c r="P196" s="156"/>
      <c r="Q196" s="148"/>
      <c r="R196" s="155"/>
      <c r="S196" s="153"/>
      <c r="T196" s="150"/>
      <c r="U196" s="149"/>
      <c r="V196" s="149"/>
      <c r="W196" s="157"/>
      <c r="X196" s="157"/>
      <c r="Y196" s="149"/>
      <c r="Z196" s="149"/>
      <c r="AA196" s="149"/>
      <c r="AB196" s="149"/>
      <c r="AC196" s="149"/>
      <c r="AD196" s="149"/>
      <c r="AE196" s="149"/>
    </row>
    <row r="197">
      <c r="A197" s="154"/>
      <c r="B197" s="154"/>
      <c r="C197" s="151"/>
      <c r="D197" s="148"/>
      <c r="E197" s="160"/>
      <c r="F197" s="159"/>
      <c r="G197" s="153"/>
      <c r="H197" s="154"/>
      <c r="I197" s="154"/>
      <c r="J197" s="154"/>
      <c r="K197" s="152"/>
      <c r="L197" s="149"/>
      <c r="M197" s="149"/>
      <c r="N197" s="154"/>
      <c r="O197" s="158"/>
      <c r="P197" s="156"/>
      <c r="Q197" s="148"/>
      <c r="R197" s="155"/>
      <c r="S197" s="153"/>
      <c r="T197" s="150"/>
      <c r="U197" s="149"/>
      <c r="V197" s="149"/>
      <c r="W197" s="157"/>
      <c r="X197" s="157"/>
      <c r="Y197" s="149"/>
      <c r="Z197" s="149"/>
      <c r="AA197" s="149"/>
      <c r="AB197" s="149"/>
      <c r="AC197" s="149"/>
      <c r="AD197" s="149"/>
      <c r="AE197" s="149"/>
    </row>
    <row r="198">
      <c r="A198" s="154"/>
      <c r="B198" s="154"/>
      <c r="C198" s="151"/>
      <c r="D198" s="148"/>
      <c r="E198" s="160"/>
      <c r="F198" s="159"/>
      <c r="G198" s="153"/>
      <c r="H198" s="154"/>
      <c r="I198" s="154"/>
      <c r="J198" s="154"/>
      <c r="K198" s="152"/>
      <c r="L198" s="149"/>
      <c r="M198" s="149"/>
      <c r="N198" s="154"/>
      <c r="O198" s="158"/>
      <c r="P198" s="156"/>
      <c r="Q198" s="148"/>
      <c r="R198" s="155"/>
      <c r="S198" s="153"/>
      <c r="T198" s="150"/>
      <c r="U198" s="149"/>
      <c r="V198" s="149"/>
      <c r="W198" s="157"/>
      <c r="X198" s="157"/>
      <c r="Y198" s="149"/>
      <c r="Z198" s="149"/>
      <c r="AA198" s="149"/>
      <c r="AB198" s="149"/>
      <c r="AC198" s="149"/>
      <c r="AD198" s="149"/>
      <c r="AE198" s="149"/>
    </row>
    <row r="199">
      <c r="A199" s="154"/>
      <c r="B199" s="154"/>
      <c r="C199" s="151"/>
      <c r="D199" s="148"/>
      <c r="E199" s="160"/>
      <c r="F199" s="159"/>
      <c r="G199" s="153"/>
      <c r="H199" s="154"/>
      <c r="I199" s="154"/>
      <c r="J199" s="154"/>
      <c r="K199" s="152"/>
      <c r="L199" s="149"/>
      <c r="M199" s="149"/>
      <c r="N199" s="154"/>
      <c r="O199" s="158"/>
      <c r="P199" s="156"/>
      <c r="Q199" s="148"/>
      <c r="R199" s="155"/>
      <c r="S199" s="153"/>
      <c r="T199" s="150"/>
      <c r="U199" s="149"/>
      <c r="V199" s="149"/>
      <c r="W199" s="157"/>
      <c r="X199" s="157"/>
      <c r="Y199" s="149"/>
      <c r="Z199" s="149"/>
      <c r="AA199" s="149"/>
      <c r="AB199" s="149"/>
      <c r="AC199" s="149"/>
      <c r="AD199" s="149"/>
      <c r="AE199" s="149"/>
    </row>
    <row r="200">
      <c r="A200" s="154"/>
      <c r="B200" s="154"/>
      <c r="C200" s="151"/>
      <c r="D200" s="148"/>
      <c r="E200" s="160"/>
      <c r="F200" s="159"/>
      <c r="G200" s="153"/>
      <c r="H200" s="154"/>
      <c r="I200" s="154"/>
      <c r="J200" s="154"/>
      <c r="K200" s="152"/>
      <c r="L200" s="149"/>
      <c r="M200" s="149"/>
      <c r="N200" s="154"/>
      <c r="O200" s="158"/>
      <c r="P200" s="156"/>
      <c r="Q200" s="148"/>
      <c r="R200" s="155"/>
      <c r="S200" s="153"/>
      <c r="T200" s="150"/>
      <c r="U200" s="149"/>
      <c r="V200" s="149"/>
      <c r="W200" s="157"/>
      <c r="X200" s="157"/>
      <c r="Y200" s="149"/>
      <c r="Z200" s="149"/>
      <c r="AA200" s="149"/>
      <c r="AB200" s="149"/>
      <c r="AC200" s="149"/>
      <c r="AD200" s="149"/>
      <c r="AE200" s="149"/>
    </row>
    <row r="201">
      <c r="A201" s="154"/>
      <c r="B201" s="154"/>
      <c r="C201" s="151"/>
      <c r="D201" s="148"/>
      <c r="E201" s="160"/>
      <c r="F201" s="159"/>
      <c r="G201" s="153"/>
      <c r="H201" s="154"/>
      <c r="I201" s="154"/>
      <c r="J201" s="154"/>
      <c r="K201" s="152"/>
      <c r="L201" s="149"/>
      <c r="M201" s="149"/>
      <c r="N201" s="154"/>
      <c r="O201" s="158"/>
      <c r="P201" s="156"/>
      <c r="Q201" s="148"/>
      <c r="R201" s="155"/>
      <c r="S201" s="153"/>
      <c r="T201" s="150"/>
      <c r="U201" s="149"/>
      <c r="V201" s="149"/>
      <c r="W201" s="157"/>
      <c r="X201" s="157"/>
      <c r="Y201" s="149"/>
      <c r="Z201" s="149"/>
      <c r="AA201" s="149"/>
      <c r="AB201" s="149"/>
      <c r="AC201" s="149"/>
      <c r="AD201" s="149"/>
      <c r="AE201" s="149"/>
    </row>
    <row r="202">
      <c r="A202" s="154"/>
      <c r="B202" s="154"/>
      <c r="C202" s="151"/>
      <c r="D202" s="148"/>
      <c r="E202" s="160"/>
      <c r="F202" s="159"/>
      <c r="G202" s="153"/>
      <c r="H202" s="154"/>
      <c r="I202" s="154"/>
      <c r="J202" s="154"/>
      <c r="K202" s="152"/>
      <c r="L202" s="149"/>
      <c r="M202" s="149"/>
      <c r="N202" s="154"/>
      <c r="O202" s="158"/>
      <c r="P202" s="156"/>
      <c r="Q202" s="148"/>
      <c r="R202" s="155"/>
      <c r="S202" s="153"/>
      <c r="T202" s="150"/>
      <c r="U202" s="149"/>
      <c r="V202" s="149"/>
      <c r="W202" s="157"/>
      <c r="X202" s="157"/>
      <c r="Y202" s="149"/>
      <c r="Z202" s="149"/>
      <c r="AA202" s="149"/>
      <c r="AB202" s="149"/>
      <c r="AC202" s="149"/>
      <c r="AD202" s="149"/>
      <c r="AE202" s="149"/>
    </row>
    <row r="203">
      <c r="A203" s="154"/>
      <c r="B203" s="154"/>
      <c r="C203" s="151"/>
      <c r="D203" s="148"/>
      <c r="E203" s="160"/>
      <c r="F203" s="159"/>
      <c r="G203" s="153"/>
      <c r="H203" s="154"/>
      <c r="I203" s="154"/>
      <c r="J203" s="154"/>
      <c r="K203" s="152"/>
      <c r="L203" s="149"/>
      <c r="M203" s="149"/>
      <c r="N203" s="154"/>
      <c r="O203" s="158"/>
      <c r="P203" s="156"/>
      <c r="Q203" s="148"/>
      <c r="R203" s="155"/>
      <c r="S203" s="153"/>
      <c r="T203" s="150"/>
      <c r="U203" s="149"/>
      <c r="V203" s="149"/>
      <c r="W203" s="157"/>
      <c r="X203" s="157"/>
      <c r="Y203" s="149"/>
      <c r="Z203" s="149"/>
      <c r="AA203" s="149"/>
      <c r="AB203" s="149"/>
      <c r="AC203" s="149"/>
      <c r="AD203" s="149"/>
      <c r="AE203" s="149"/>
    </row>
    <row r="204">
      <c r="A204" s="154"/>
      <c r="B204" s="154"/>
      <c r="C204" s="151"/>
      <c r="D204" s="148"/>
      <c r="E204" s="160"/>
      <c r="F204" s="159"/>
      <c r="G204" s="153"/>
      <c r="H204" s="154"/>
      <c r="I204" s="154"/>
      <c r="J204" s="154"/>
      <c r="K204" s="152"/>
      <c r="L204" s="149"/>
      <c r="M204" s="149"/>
      <c r="N204" s="154"/>
      <c r="O204" s="158"/>
      <c r="P204" s="156"/>
      <c r="Q204" s="148"/>
      <c r="R204" s="155"/>
      <c r="S204" s="153"/>
      <c r="T204" s="150"/>
      <c r="U204" s="149"/>
      <c r="V204" s="149"/>
      <c r="W204" s="157"/>
      <c r="X204" s="157"/>
      <c r="Y204" s="149"/>
      <c r="Z204" s="149"/>
      <c r="AA204" s="149"/>
      <c r="AB204" s="149"/>
      <c r="AC204" s="149"/>
      <c r="AD204" s="149"/>
      <c r="AE204" s="149"/>
    </row>
    <row r="205">
      <c r="A205" s="154"/>
      <c r="B205" s="154"/>
      <c r="C205" s="151"/>
      <c r="D205" s="148"/>
      <c r="E205" s="160"/>
      <c r="F205" s="159"/>
      <c r="G205" s="153"/>
      <c r="H205" s="154"/>
      <c r="I205" s="154"/>
      <c r="J205" s="154"/>
      <c r="K205" s="152"/>
      <c r="L205" s="149"/>
      <c r="M205" s="149"/>
      <c r="N205" s="154"/>
      <c r="O205" s="158"/>
      <c r="P205" s="156"/>
      <c r="Q205" s="148"/>
      <c r="R205" s="155"/>
      <c r="S205" s="153"/>
      <c r="T205" s="150"/>
      <c r="U205" s="149"/>
      <c r="V205" s="149"/>
      <c r="W205" s="157"/>
      <c r="X205" s="157"/>
      <c r="Y205" s="149"/>
      <c r="Z205" s="149"/>
      <c r="AA205" s="149"/>
      <c r="AB205" s="149"/>
      <c r="AC205" s="149"/>
      <c r="AD205" s="149"/>
      <c r="AE205" s="149"/>
    </row>
    <row r="206">
      <c r="A206" s="154"/>
      <c r="B206" s="154"/>
      <c r="C206" s="151"/>
      <c r="D206" s="148"/>
      <c r="E206" s="160"/>
      <c r="F206" s="159"/>
      <c r="G206" s="153"/>
      <c r="H206" s="154"/>
      <c r="I206" s="154"/>
      <c r="J206" s="154"/>
      <c r="K206" s="152"/>
      <c r="L206" s="149"/>
      <c r="M206" s="149"/>
      <c r="N206" s="154"/>
      <c r="O206" s="158"/>
      <c r="P206" s="156"/>
      <c r="Q206" s="148"/>
      <c r="R206" s="155"/>
      <c r="S206" s="153"/>
      <c r="T206" s="150"/>
      <c r="U206" s="149"/>
      <c r="V206" s="149"/>
      <c r="W206" s="157"/>
      <c r="X206" s="157"/>
      <c r="Y206" s="149"/>
      <c r="Z206" s="149"/>
      <c r="AA206" s="149"/>
      <c r="AB206" s="149"/>
      <c r="AC206" s="149"/>
      <c r="AD206" s="149"/>
      <c r="AE206" s="149"/>
    </row>
    <row r="207">
      <c r="A207" s="154"/>
      <c r="B207" s="154"/>
      <c r="C207" s="151"/>
      <c r="D207" s="148"/>
      <c r="E207" s="160"/>
      <c r="F207" s="159"/>
      <c r="G207" s="153"/>
      <c r="H207" s="154"/>
      <c r="I207" s="154"/>
      <c r="J207" s="154"/>
      <c r="K207" s="152"/>
      <c r="L207" s="149"/>
      <c r="M207" s="149"/>
      <c r="N207" s="154"/>
      <c r="O207" s="158"/>
      <c r="P207" s="156"/>
      <c r="Q207" s="148"/>
      <c r="R207" s="155"/>
      <c r="S207" s="153"/>
      <c r="T207" s="150"/>
      <c r="U207" s="149"/>
      <c r="V207" s="149"/>
      <c r="W207" s="157"/>
      <c r="X207" s="157"/>
      <c r="Y207" s="149"/>
      <c r="Z207" s="149"/>
      <c r="AA207" s="149"/>
      <c r="AB207" s="149"/>
      <c r="AC207" s="149"/>
      <c r="AD207" s="149"/>
      <c r="AE207" s="149"/>
    </row>
    <row r="208">
      <c r="A208" s="154"/>
      <c r="B208" s="154"/>
      <c r="C208" s="151"/>
      <c r="D208" s="148"/>
      <c r="E208" s="160"/>
      <c r="F208" s="159"/>
      <c r="G208" s="153"/>
      <c r="H208" s="154"/>
      <c r="I208" s="154"/>
      <c r="J208" s="154"/>
      <c r="K208" s="152"/>
      <c r="L208" s="149"/>
      <c r="M208" s="149"/>
      <c r="N208" s="154"/>
      <c r="O208" s="158"/>
      <c r="P208" s="156"/>
      <c r="Q208" s="148"/>
      <c r="R208" s="155"/>
      <c r="S208" s="153"/>
      <c r="T208" s="150"/>
      <c r="U208" s="149"/>
      <c r="V208" s="149"/>
      <c r="W208" s="157"/>
      <c r="X208" s="157"/>
      <c r="Y208" s="149"/>
      <c r="Z208" s="149"/>
      <c r="AA208" s="149"/>
      <c r="AB208" s="149"/>
      <c r="AC208" s="149"/>
      <c r="AD208" s="149"/>
      <c r="AE208" s="149"/>
    </row>
    <row r="209">
      <c r="A209" s="154"/>
      <c r="B209" s="154"/>
      <c r="C209" s="151"/>
      <c r="D209" s="148"/>
      <c r="E209" s="160"/>
      <c r="F209" s="159"/>
      <c r="G209" s="153"/>
      <c r="H209" s="154"/>
      <c r="I209" s="154"/>
      <c r="J209" s="154"/>
      <c r="K209" s="152"/>
      <c r="L209" s="149"/>
      <c r="M209" s="149"/>
      <c r="N209" s="154"/>
      <c r="O209" s="158"/>
      <c r="P209" s="156"/>
      <c r="Q209" s="148"/>
      <c r="R209" s="155"/>
      <c r="S209" s="153"/>
      <c r="T209" s="150"/>
      <c r="U209" s="149"/>
      <c r="V209" s="149"/>
      <c r="W209" s="157"/>
      <c r="X209" s="157"/>
      <c r="Y209" s="149"/>
      <c r="Z209" s="149"/>
      <c r="AA209" s="149"/>
      <c r="AB209" s="149"/>
      <c r="AC209" s="149"/>
      <c r="AD209" s="149"/>
      <c r="AE209" s="149"/>
    </row>
    <row r="210">
      <c r="A210" s="154"/>
      <c r="B210" s="154"/>
      <c r="C210" s="151"/>
      <c r="D210" s="148"/>
      <c r="E210" s="160"/>
      <c r="F210" s="159"/>
      <c r="G210" s="153"/>
      <c r="H210" s="154"/>
      <c r="I210" s="154"/>
      <c r="J210" s="154"/>
      <c r="K210" s="152"/>
      <c r="L210" s="149"/>
      <c r="M210" s="149"/>
      <c r="N210" s="154"/>
      <c r="O210" s="158"/>
      <c r="P210" s="156"/>
      <c r="Q210" s="148"/>
      <c r="R210" s="155"/>
      <c r="S210" s="153"/>
      <c r="T210" s="150"/>
      <c r="U210" s="149"/>
      <c r="V210" s="149"/>
      <c r="W210" s="157"/>
      <c r="X210" s="157"/>
      <c r="Y210" s="149"/>
      <c r="Z210" s="149"/>
      <c r="AA210" s="149"/>
      <c r="AB210" s="149"/>
      <c r="AC210" s="149"/>
      <c r="AD210" s="149"/>
      <c r="AE210" s="149"/>
    </row>
    <row r="211">
      <c r="A211" s="154"/>
      <c r="B211" s="154"/>
      <c r="C211" s="151"/>
      <c r="D211" s="148"/>
      <c r="E211" s="160"/>
      <c r="F211" s="159"/>
      <c r="G211" s="153"/>
      <c r="H211" s="154"/>
      <c r="I211" s="154"/>
      <c r="J211" s="154"/>
      <c r="K211" s="152"/>
      <c r="L211" s="149"/>
      <c r="M211" s="149"/>
      <c r="N211" s="154"/>
      <c r="O211" s="158"/>
      <c r="P211" s="156"/>
      <c r="Q211" s="148"/>
      <c r="R211" s="155"/>
      <c r="S211" s="153"/>
      <c r="T211" s="150"/>
      <c r="U211" s="149"/>
      <c r="V211" s="149"/>
      <c r="W211" s="157"/>
      <c r="X211" s="157"/>
      <c r="Y211" s="149"/>
      <c r="Z211" s="149"/>
      <c r="AA211" s="149"/>
      <c r="AB211" s="149"/>
      <c r="AC211" s="149"/>
      <c r="AD211" s="149"/>
      <c r="AE211" s="149"/>
    </row>
    <row r="212">
      <c r="A212" s="154"/>
      <c r="B212" s="154"/>
      <c r="C212" s="151"/>
      <c r="D212" s="148"/>
      <c r="E212" s="160"/>
      <c r="F212" s="159"/>
      <c r="G212" s="153"/>
      <c r="H212" s="154"/>
      <c r="I212" s="154"/>
      <c r="J212" s="154"/>
      <c r="K212" s="152"/>
      <c r="L212" s="149"/>
      <c r="M212" s="149"/>
      <c r="N212" s="154"/>
      <c r="O212" s="158"/>
      <c r="P212" s="156"/>
      <c r="Q212" s="148"/>
      <c r="R212" s="155"/>
      <c r="S212" s="153"/>
      <c r="T212" s="150"/>
      <c r="U212" s="149"/>
      <c r="V212" s="149"/>
      <c r="W212" s="157"/>
      <c r="X212" s="157"/>
      <c r="Y212" s="149"/>
      <c r="Z212" s="149"/>
      <c r="AA212" s="149"/>
      <c r="AB212" s="149"/>
      <c r="AC212" s="149"/>
      <c r="AD212" s="149"/>
      <c r="AE212" s="149"/>
    </row>
    <row r="213">
      <c r="A213" s="154"/>
      <c r="B213" s="154"/>
      <c r="C213" s="151"/>
      <c r="D213" s="148"/>
      <c r="E213" s="160"/>
      <c r="F213" s="159"/>
      <c r="G213" s="153"/>
      <c r="H213" s="154"/>
      <c r="I213" s="154"/>
      <c r="J213" s="154"/>
      <c r="K213" s="152"/>
      <c r="L213" s="149"/>
      <c r="M213" s="149"/>
      <c r="N213" s="154"/>
      <c r="O213" s="158"/>
      <c r="P213" s="156"/>
      <c r="Q213" s="148"/>
      <c r="R213" s="155"/>
      <c r="S213" s="153"/>
      <c r="T213" s="150"/>
      <c r="U213" s="149"/>
      <c r="V213" s="149"/>
      <c r="W213" s="157"/>
      <c r="X213" s="157"/>
      <c r="Y213" s="149"/>
      <c r="Z213" s="149"/>
      <c r="AA213" s="149"/>
      <c r="AB213" s="149"/>
      <c r="AC213" s="149"/>
      <c r="AD213" s="149"/>
      <c r="AE213" s="149"/>
    </row>
    <row r="214">
      <c r="A214" s="154"/>
      <c r="B214" s="154"/>
      <c r="C214" s="151"/>
      <c r="D214" s="148"/>
      <c r="E214" s="160"/>
      <c r="F214" s="159"/>
      <c r="G214" s="153"/>
      <c r="H214" s="154"/>
      <c r="I214" s="154"/>
      <c r="J214" s="154"/>
      <c r="K214" s="152"/>
      <c r="L214" s="149"/>
      <c r="M214" s="149"/>
      <c r="N214" s="154"/>
      <c r="O214" s="158"/>
      <c r="P214" s="156"/>
      <c r="Q214" s="148"/>
      <c r="R214" s="155"/>
      <c r="S214" s="153"/>
      <c r="T214" s="150"/>
      <c r="U214" s="149"/>
      <c r="V214" s="149"/>
      <c r="W214" s="157"/>
      <c r="X214" s="157"/>
      <c r="Y214" s="149"/>
      <c r="Z214" s="149"/>
      <c r="AA214" s="149"/>
      <c r="AB214" s="149"/>
      <c r="AC214" s="149"/>
      <c r="AD214" s="149"/>
      <c r="AE214" s="149"/>
    </row>
    <row r="215">
      <c r="A215" s="154"/>
      <c r="B215" s="154"/>
      <c r="C215" s="151"/>
      <c r="D215" s="148"/>
      <c r="E215" s="160"/>
      <c r="F215" s="159"/>
      <c r="G215" s="153"/>
      <c r="H215" s="154"/>
      <c r="I215" s="154"/>
      <c r="J215" s="154"/>
      <c r="K215" s="152"/>
      <c r="L215" s="149"/>
      <c r="M215" s="149"/>
      <c r="N215" s="154"/>
      <c r="O215" s="158"/>
      <c r="P215" s="156"/>
      <c r="Q215" s="148"/>
      <c r="R215" s="155"/>
      <c r="S215" s="153"/>
      <c r="T215" s="150"/>
      <c r="U215" s="149"/>
      <c r="V215" s="149"/>
      <c r="W215" s="157"/>
      <c r="X215" s="157"/>
      <c r="Y215" s="149"/>
      <c r="Z215" s="149"/>
      <c r="AA215" s="149"/>
      <c r="AB215" s="149"/>
      <c r="AC215" s="149"/>
      <c r="AD215" s="149"/>
      <c r="AE215" s="149"/>
    </row>
    <row r="216">
      <c r="A216" s="154"/>
      <c r="B216" s="154"/>
      <c r="C216" s="151"/>
      <c r="D216" s="148"/>
      <c r="E216" s="160"/>
      <c r="F216" s="159"/>
      <c r="G216" s="153"/>
      <c r="H216" s="154"/>
      <c r="I216" s="154"/>
      <c r="J216" s="154"/>
      <c r="K216" s="152"/>
      <c r="L216" s="149"/>
      <c r="M216" s="149"/>
      <c r="N216" s="154"/>
      <c r="O216" s="158"/>
      <c r="P216" s="156"/>
      <c r="Q216" s="148"/>
      <c r="R216" s="155"/>
      <c r="S216" s="153"/>
      <c r="T216" s="150"/>
      <c r="U216" s="149"/>
      <c r="V216" s="149"/>
      <c r="W216" s="157"/>
      <c r="X216" s="157"/>
      <c r="Y216" s="149"/>
      <c r="Z216" s="149"/>
      <c r="AA216" s="149"/>
      <c r="AB216" s="149"/>
      <c r="AC216" s="149"/>
      <c r="AD216" s="149"/>
      <c r="AE216" s="149"/>
    </row>
    <row r="217">
      <c r="A217" s="154"/>
      <c r="B217" s="154"/>
      <c r="C217" s="151"/>
      <c r="D217" s="148"/>
      <c r="E217" s="160"/>
      <c r="F217" s="159"/>
      <c r="G217" s="153"/>
      <c r="H217" s="154"/>
      <c r="I217" s="154"/>
      <c r="J217" s="154"/>
      <c r="K217" s="152"/>
      <c r="L217" s="149"/>
      <c r="M217" s="149"/>
      <c r="N217" s="154"/>
      <c r="O217" s="158"/>
      <c r="P217" s="156"/>
      <c r="Q217" s="148"/>
      <c r="R217" s="155"/>
      <c r="S217" s="153"/>
      <c r="T217" s="150"/>
      <c r="U217" s="149"/>
      <c r="V217" s="149"/>
      <c r="W217" s="157"/>
      <c r="X217" s="157"/>
      <c r="Y217" s="149"/>
      <c r="Z217" s="149"/>
      <c r="AA217" s="149"/>
      <c r="AB217" s="149"/>
      <c r="AC217" s="149"/>
      <c r="AD217" s="149"/>
      <c r="AE217" s="149"/>
    </row>
    <row r="218">
      <c r="A218" s="154"/>
      <c r="B218" s="154"/>
      <c r="C218" s="151"/>
      <c r="D218" s="148"/>
      <c r="E218" s="160"/>
      <c r="F218" s="159"/>
      <c r="G218" s="153"/>
      <c r="H218" s="154"/>
      <c r="I218" s="154"/>
      <c r="J218" s="154"/>
      <c r="K218" s="152"/>
      <c r="L218" s="149"/>
      <c r="M218" s="149"/>
      <c r="N218" s="154"/>
      <c r="O218" s="158"/>
      <c r="P218" s="156"/>
      <c r="Q218" s="148"/>
      <c r="R218" s="155"/>
      <c r="S218" s="153"/>
      <c r="T218" s="150"/>
      <c r="U218" s="149"/>
      <c r="V218" s="149"/>
      <c r="W218" s="157"/>
      <c r="X218" s="157"/>
      <c r="Y218" s="149"/>
      <c r="Z218" s="149"/>
      <c r="AA218" s="149"/>
      <c r="AB218" s="149"/>
      <c r="AC218" s="149"/>
      <c r="AD218" s="149"/>
      <c r="AE218" s="149"/>
    </row>
    <row r="219">
      <c r="A219" s="154"/>
      <c r="B219" s="154"/>
      <c r="C219" s="151"/>
      <c r="D219" s="148"/>
      <c r="E219" s="160"/>
      <c r="F219" s="159"/>
      <c r="G219" s="153"/>
      <c r="H219" s="154"/>
      <c r="I219" s="154"/>
      <c r="J219" s="154"/>
      <c r="K219" s="152"/>
      <c r="L219" s="149"/>
      <c r="M219" s="149"/>
      <c r="N219" s="154"/>
      <c r="O219" s="158"/>
      <c r="P219" s="156"/>
      <c r="Q219" s="148"/>
      <c r="R219" s="155"/>
      <c r="S219" s="153"/>
      <c r="T219" s="150"/>
      <c r="U219" s="149"/>
      <c r="V219" s="149"/>
      <c r="W219" s="157"/>
      <c r="X219" s="157"/>
      <c r="Y219" s="149"/>
      <c r="Z219" s="149"/>
      <c r="AA219" s="149"/>
      <c r="AB219" s="149"/>
      <c r="AC219" s="149"/>
      <c r="AD219" s="149"/>
      <c r="AE219" s="149"/>
    </row>
    <row r="220">
      <c r="A220" s="154"/>
      <c r="B220" s="154"/>
      <c r="C220" s="151"/>
      <c r="D220" s="148"/>
      <c r="E220" s="160"/>
      <c r="F220" s="159"/>
      <c r="G220" s="153"/>
      <c r="H220" s="154"/>
      <c r="I220" s="154"/>
      <c r="J220" s="154"/>
      <c r="K220" s="152"/>
      <c r="L220" s="149"/>
      <c r="M220" s="149"/>
      <c r="N220" s="154"/>
      <c r="O220" s="158"/>
      <c r="P220" s="156"/>
      <c r="Q220" s="148"/>
      <c r="R220" s="155"/>
      <c r="S220" s="153"/>
      <c r="T220" s="150"/>
      <c r="U220" s="149"/>
      <c r="V220" s="149"/>
      <c r="W220" s="157"/>
      <c r="X220" s="157"/>
      <c r="Y220" s="149"/>
      <c r="Z220" s="149"/>
      <c r="AA220" s="149"/>
      <c r="AB220" s="149"/>
      <c r="AC220" s="149"/>
      <c r="AD220" s="149"/>
      <c r="AE220" s="149"/>
    </row>
    <row r="221">
      <c r="A221" s="154"/>
      <c r="B221" s="154"/>
      <c r="C221" s="151"/>
      <c r="D221" s="148"/>
      <c r="E221" s="160"/>
      <c r="F221" s="159"/>
      <c r="G221" s="153"/>
      <c r="H221" s="154"/>
      <c r="I221" s="154"/>
      <c r="J221" s="154"/>
      <c r="K221" s="152"/>
      <c r="L221" s="149"/>
      <c r="M221" s="149"/>
      <c r="N221" s="154"/>
      <c r="O221" s="158"/>
      <c r="P221" s="156"/>
      <c r="Q221" s="148"/>
      <c r="R221" s="155"/>
      <c r="S221" s="153"/>
      <c r="T221" s="150"/>
      <c r="U221" s="149"/>
      <c r="V221" s="149"/>
      <c r="W221" s="157"/>
      <c r="X221" s="157"/>
      <c r="Y221" s="149"/>
      <c r="Z221" s="149"/>
      <c r="AA221" s="149"/>
      <c r="AB221" s="149"/>
      <c r="AC221" s="149"/>
      <c r="AD221" s="149"/>
      <c r="AE221" s="149"/>
    </row>
    <row r="222">
      <c r="A222" s="154"/>
      <c r="B222" s="154"/>
      <c r="C222" s="151"/>
      <c r="D222" s="148"/>
      <c r="E222" s="160"/>
      <c r="F222" s="159"/>
      <c r="G222" s="153"/>
      <c r="H222" s="154"/>
      <c r="I222" s="154"/>
      <c r="J222" s="154"/>
      <c r="K222" s="152"/>
      <c r="L222" s="149"/>
      <c r="M222" s="149"/>
      <c r="N222" s="154"/>
      <c r="O222" s="158"/>
      <c r="P222" s="156"/>
      <c r="Q222" s="148"/>
      <c r="R222" s="155"/>
      <c r="S222" s="153"/>
      <c r="T222" s="150"/>
      <c r="U222" s="149"/>
      <c r="V222" s="149"/>
      <c r="W222" s="157"/>
      <c r="X222" s="157"/>
      <c r="Y222" s="149"/>
      <c r="Z222" s="149"/>
      <c r="AA222" s="149"/>
      <c r="AB222" s="149"/>
      <c r="AC222" s="149"/>
      <c r="AD222" s="149"/>
      <c r="AE222" s="149"/>
    </row>
    <row r="223">
      <c r="A223" s="154"/>
      <c r="B223" s="154"/>
      <c r="C223" s="151"/>
      <c r="D223" s="148"/>
      <c r="E223" s="160"/>
      <c r="F223" s="159"/>
      <c r="G223" s="153"/>
      <c r="H223" s="154"/>
      <c r="I223" s="154"/>
      <c r="J223" s="154"/>
      <c r="K223" s="152"/>
      <c r="L223" s="149"/>
      <c r="M223" s="149"/>
      <c r="N223" s="154"/>
      <c r="O223" s="158"/>
      <c r="P223" s="156"/>
      <c r="Q223" s="148"/>
      <c r="R223" s="155"/>
      <c r="S223" s="153"/>
      <c r="T223" s="150"/>
      <c r="U223" s="149"/>
      <c r="V223" s="149"/>
      <c r="W223" s="157"/>
      <c r="X223" s="157"/>
      <c r="Y223" s="149"/>
      <c r="Z223" s="149"/>
      <c r="AA223" s="149"/>
      <c r="AB223" s="149"/>
      <c r="AC223" s="149"/>
      <c r="AD223" s="149"/>
      <c r="AE223" s="149"/>
    </row>
    <row r="224">
      <c r="A224" s="154"/>
      <c r="B224" s="154"/>
      <c r="C224" s="151"/>
      <c r="D224" s="148"/>
      <c r="E224" s="160"/>
      <c r="F224" s="159"/>
      <c r="G224" s="153"/>
      <c r="H224" s="154"/>
      <c r="I224" s="154"/>
      <c r="J224" s="154"/>
      <c r="K224" s="152"/>
      <c r="L224" s="149"/>
      <c r="M224" s="149"/>
      <c r="N224" s="154"/>
      <c r="O224" s="158"/>
      <c r="P224" s="156"/>
      <c r="Q224" s="148"/>
      <c r="R224" s="155"/>
      <c r="S224" s="153"/>
      <c r="T224" s="150"/>
      <c r="U224" s="149"/>
      <c r="V224" s="149"/>
      <c r="W224" s="157"/>
      <c r="X224" s="157"/>
      <c r="Y224" s="149"/>
      <c r="Z224" s="149"/>
      <c r="AA224" s="149"/>
      <c r="AB224" s="149"/>
      <c r="AC224" s="149"/>
      <c r="AD224" s="149"/>
      <c r="AE224" s="149"/>
    </row>
    <row r="225">
      <c r="A225" s="154"/>
      <c r="B225" s="154"/>
      <c r="C225" s="151"/>
      <c r="D225" s="148"/>
      <c r="E225" s="160"/>
      <c r="F225" s="159"/>
      <c r="G225" s="153"/>
      <c r="H225" s="154"/>
      <c r="I225" s="154"/>
      <c r="J225" s="154"/>
      <c r="K225" s="152"/>
      <c r="L225" s="149"/>
      <c r="M225" s="149"/>
      <c r="N225" s="154"/>
      <c r="O225" s="158"/>
      <c r="P225" s="156"/>
      <c r="Q225" s="148"/>
      <c r="R225" s="155"/>
      <c r="S225" s="153"/>
      <c r="T225" s="150"/>
      <c r="U225" s="149"/>
      <c r="V225" s="149"/>
      <c r="W225" s="157"/>
      <c r="X225" s="157"/>
      <c r="Y225" s="149"/>
      <c r="Z225" s="149"/>
      <c r="AA225" s="149"/>
      <c r="AB225" s="149"/>
      <c r="AC225" s="149"/>
      <c r="AD225" s="149"/>
      <c r="AE225" s="149"/>
    </row>
    <row r="226">
      <c r="A226" s="154"/>
      <c r="B226" s="154"/>
      <c r="C226" s="151"/>
      <c r="D226" s="148"/>
      <c r="E226" s="160"/>
      <c r="F226" s="159"/>
      <c r="G226" s="153"/>
      <c r="H226" s="154"/>
      <c r="I226" s="154"/>
      <c r="J226" s="154"/>
      <c r="K226" s="152"/>
      <c r="L226" s="149"/>
      <c r="M226" s="149"/>
      <c r="N226" s="154"/>
      <c r="O226" s="158"/>
      <c r="P226" s="156"/>
      <c r="Q226" s="148"/>
      <c r="R226" s="155"/>
      <c r="S226" s="153"/>
      <c r="T226" s="150"/>
      <c r="U226" s="149"/>
      <c r="V226" s="149"/>
      <c r="W226" s="157"/>
      <c r="X226" s="157"/>
      <c r="Y226" s="149"/>
      <c r="Z226" s="149"/>
      <c r="AA226" s="149"/>
      <c r="AB226" s="149"/>
      <c r="AC226" s="149"/>
      <c r="AD226" s="149"/>
      <c r="AE226" s="149"/>
    </row>
    <row r="227">
      <c r="A227" s="154"/>
      <c r="B227" s="154"/>
      <c r="C227" s="151"/>
      <c r="D227" s="148"/>
      <c r="E227" s="160"/>
      <c r="F227" s="159"/>
      <c r="G227" s="153"/>
      <c r="H227" s="154"/>
      <c r="I227" s="154"/>
      <c r="J227" s="154"/>
      <c r="K227" s="152"/>
      <c r="L227" s="149"/>
      <c r="M227" s="149"/>
      <c r="N227" s="154"/>
      <c r="O227" s="158"/>
      <c r="P227" s="156"/>
      <c r="Q227" s="148"/>
      <c r="R227" s="155"/>
      <c r="S227" s="153"/>
      <c r="T227" s="150"/>
      <c r="U227" s="149"/>
      <c r="V227" s="149"/>
      <c r="W227" s="157"/>
      <c r="X227" s="157"/>
      <c r="Y227" s="149"/>
      <c r="Z227" s="149"/>
      <c r="AA227" s="149"/>
      <c r="AB227" s="149"/>
      <c r="AC227" s="149"/>
      <c r="AD227" s="149"/>
      <c r="AE227" s="149"/>
    </row>
    <row r="228">
      <c r="A228" s="154"/>
      <c r="B228" s="154"/>
      <c r="C228" s="151"/>
      <c r="D228" s="148"/>
      <c r="E228" s="160"/>
      <c r="F228" s="159"/>
      <c r="G228" s="153"/>
      <c r="H228" s="154"/>
      <c r="I228" s="154"/>
      <c r="J228" s="154"/>
      <c r="K228" s="152"/>
      <c r="L228" s="149"/>
      <c r="M228" s="149"/>
      <c r="N228" s="154"/>
      <c r="O228" s="158"/>
      <c r="P228" s="156"/>
      <c r="Q228" s="148"/>
      <c r="R228" s="155"/>
      <c r="S228" s="153"/>
      <c r="T228" s="150"/>
      <c r="U228" s="149"/>
      <c r="V228" s="149"/>
      <c r="W228" s="157"/>
      <c r="X228" s="157"/>
      <c r="Y228" s="149"/>
      <c r="Z228" s="149"/>
      <c r="AA228" s="149"/>
      <c r="AB228" s="149"/>
      <c r="AC228" s="149"/>
      <c r="AD228" s="149"/>
      <c r="AE228" s="149"/>
    </row>
    <row r="229">
      <c r="A229" s="154"/>
      <c r="B229" s="154"/>
      <c r="C229" s="151"/>
      <c r="D229" s="148"/>
      <c r="E229" s="160"/>
      <c r="F229" s="159"/>
      <c r="G229" s="153"/>
      <c r="H229" s="154"/>
      <c r="I229" s="154"/>
      <c r="J229" s="154"/>
      <c r="K229" s="152"/>
      <c r="L229" s="149"/>
      <c r="M229" s="149"/>
      <c r="N229" s="154"/>
      <c r="O229" s="158"/>
      <c r="P229" s="156"/>
      <c r="Q229" s="148"/>
      <c r="R229" s="155"/>
      <c r="S229" s="153"/>
      <c r="T229" s="150"/>
      <c r="U229" s="149"/>
      <c r="V229" s="149"/>
      <c r="W229" s="157"/>
      <c r="X229" s="157"/>
      <c r="Y229" s="149"/>
      <c r="Z229" s="149"/>
      <c r="AA229" s="149"/>
      <c r="AB229" s="149"/>
      <c r="AC229" s="149"/>
      <c r="AD229" s="149"/>
      <c r="AE229" s="149"/>
    </row>
  </sheetData>
  <mergeCells>
    <mergeCell ref="A1:A2"/>
    <mergeCell ref="B1:B2"/>
    <mergeCell ref="C1:C2"/>
    <mergeCell ref="D1:D2"/>
    <mergeCell ref="E1:E2"/>
    <mergeCell ref="F1:F2"/>
    <mergeCell ref="G1:G2"/>
    <mergeCell ref="H1:H2"/>
    <mergeCell ref="I1:I2"/>
    <mergeCell ref="J1:J2"/>
    <mergeCell ref="K1:L1"/>
    <mergeCell ref="M1:M2"/>
    <mergeCell ref="N1:N2"/>
    <mergeCell ref="O1:O2"/>
    <mergeCell ref="P1:P2"/>
    <mergeCell ref="Q1:Q2"/>
    <mergeCell ref="R1:W1"/>
    <mergeCell ref="X1:AD1"/>
  </mergeCell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4B083"/>
    <outlinePr summaryBelow="false" summaryRight="false"/>
  </sheetPr>
  <dimension ref="A1"/>
  <sheetViews>
    <sheetView showGridLines="true" workbookViewId="0">
      <pane state="frozen" topLeftCell="K12" xSplit="10" ySplit="11"/>
    </sheetView>
  </sheetViews>
  <sheetFormatPr defaultColWidth="14" defaultRowHeight="19"/>
  <cols>
    <col collapsed="false" customWidth="true" hidden="false" max="1" min="1" style="0" width="7"/>
    <col collapsed="false" customWidth="true" hidden="false" max="2" min="2" style="0" width="17"/>
    <col collapsed="false" customWidth="true" hidden="false" max="3" min="3" style="0" width="12"/>
    <col collapsed="false" customWidth="true" hidden="false" max="4" min="4" style="0" width="11"/>
    <col collapsed="false" customWidth="true" hidden="false" max="5" min="5" style="0" width="13"/>
    <col collapsed="false" customWidth="true" hidden="false" max="6" min="6" style="0" width="11"/>
    <col collapsed="false" customWidth="true" hidden="false" max="7" min="7" style="0" width="8"/>
    <col collapsed="false" customWidth="true" hidden="false" max="8" min="8" style="0" width="9"/>
    <col collapsed="false" customWidth="true" hidden="false" max="9" min="9" style="0" width="12"/>
    <col collapsed="false" customWidth="true" hidden="false" max="10" min="10" style="0" width="13"/>
    <col collapsed="false" customWidth="true" hidden="false" max="11" min="11" style="0" width="13"/>
    <col collapsed="false" customWidth="true" hidden="false" max="12" min="12" style="0" width="11"/>
    <col collapsed="false" customWidth="true" hidden="false" max="13" min="13" style="0" width="12"/>
    <col collapsed="false" customWidth="true" hidden="false" max="14" min="14" style="0" width="17"/>
    <col collapsed="false" customWidth="true" hidden="false" max="15" min="15" style="0" width="46"/>
    <col collapsed="false" customWidth="true" hidden="false" max="16" min="16" style="0" width="31"/>
    <col collapsed="false" customWidth="true" hidden="false" max="17" min="17" style="0" width="54"/>
    <col collapsed="false" customWidth="true" hidden="false" max="18" min="18" style="0" width="19"/>
    <col collapsed="false" customWidth="true" hidden="false" max="19" min="19" style="0" width="11"/>
    <col collapsed="false" customWidth="true" hidden="false" max="20" min="20" style="0" width="11"/>
    <col collapsed="false" customWidth="true" hidden="false" max="21" min="21" style="0" width="11"/>
    <col collapsed="false" customWidth="true" hidden="false" max="22" min="22" style="0" width="11"/>
    <col collapsed="false" customWidth="true" hidden="false" max="23" min="23" style="0" width="11"/>
    <col collapsed="false" customWidth="true" hidden="false" max="24" min="24" style="0" width="11"/>
  </cols>
  <sheetData>
    <row customHeight="true" ht="17" r="1">
      <c r="A1" s="243" t="s">
        <v>7</v>
      </c>
      <c r="B1" s="241"/>
      <c r="C1" s="241"/>
      <c r="D1" s="241"/>
      <c r="E1" s="241"/>
      <c r="F1" s="241"/>
      <c r="G1" s="241"/>
      <c r="H1" s="241"/>
      <c r="I1" s="241"/>
      <c r="J1" s="241"/>
      <c r="K1" s="242"/>
      <c r="L1" s="242"/>
      <c r="M1" s="126"/>
      <c r="N1" s="230"/>
      <c r="O1" s="126"/>
      <c r="P1" s="126"/>
      <c r="Q1" s="126"/>
      <c r="R1" s="126"/>
      <c r="S1" s="126"/>
      <c r="T1" s="126"/>
      <c r="U1" s="126"/>
      <c r="V1" s="126"/>
      <c r="W1" s="126"/>
      <c r="X1" s="126"/>
    </row>
    <row customHeight="true" ht="15" r="2">
      <c r="A2" s="241"/>
      <c r="B2" s="241"/>
      <c r="C2" s="241"/>
      <c r="D2" s="241"/>
      <c r="E2" s="241"/>
      <c r="F2" s="241"/>
      <c r="G2" s="241"/>
      <c r="H2" s="241"/>
      <c r="I2" s="241"/>
      <c r="J2" s="241"/>
      <c r="K2" s="242"/>
      <c r="L2" s="242"/>
      <c r="M2" s="126"/>
      <c r="N2" s="230"/>
      <c r="O2" s="126"/>
      <c r="P2" s="126"/>
      <c r="Q2" s="126"/>
      <c r="R2" s="126"/>
      <c r="S2" s="126"/>
      <c r="T2" s="126"/>
      <c r="U2" s="126"/>
      <c r="V2" s="126"/>
      <c r="W2" s="126"/>
      <c r="X2" s="126"/>
    </row>
    <row customHeight="true" ht="15" r="3">
      <c r="A3" s="241"/>
      <c r="B3" s="241"/>
      <c r="C3" s="241"/>
      <c r="D3" s="241"/>
      <c r="E3" s="241"/>
      <c r="F3" s="241"/>
      <c r="G3" s="241"/>
      <c r="H3" s="241"/>
      <c r="I3" s="241"/>
      <c r="J3" s="241"/>
      <c r="K3" s="242"/>
      <c r="L3" s="242"/>
      <c r="M3" s="126"/>
      <c r="N3" s="230"/>
      <c r="O3" s="126"/>
      <c r="P3" s="126"/>
      <c r="Q3" s="126"/>
      <c r="R3" s="126"/>
      <c r="S3" s="126"/>
      <c r="T3" s="126"/>
      <c r="U3" s="126"/>
      <c r="V3" s="126"/>
      <c r="W3" s="126"/>
      <c r="X3" s="126"/>
    </row>
    <row customHeight="true" ht="15" r="4">
      <c r="A4" s="241"/>
      <c r="B4" s="241"/>
      <c r="C4" s="241"/>
      <c r="D4" s="241"/>
      <c r="E4" s="241"/>
      <c r="F4" s="241"/>
      <c r="G4" s="241"/>
      <c r="H4" s="241"/>
      <c r="I4" s="241"/>
      <c r="J4" s="241"/>
      <c r="K4" s="242"/>
      <c r="L4" s="242"/>
      <c r="M4" s="126"/>
      <c r="N4" s="230"/>
      <c r="O4" s="126"/>
      <c r="P4" s="126"/>
      <c r="Q4" s="126"/>
      <c r="R4" s="126"/>
      <c r="S4" s="126"/>
      <c r="T4" s="126"/>
      <c r="U4" s="126"/>
      <c r="V4" s="126"/>
      <c r="W4" s="126"/>
      <c r="X4" s="126"/>
    </row>
    <row customHeight="true" ht="15" r="5">
      <c r="A5" s="241"/>
      <c r="B5" s="241"/>
      <c r="C5" s="241"/>
      <c r="D5" s="241"/>
      <c r="E5" s="241"/>
      <c r="F5" s="241"/>
      <c r="G5" s="241"/>
      <c r="H5" s="241"/>
      <c r="I5" s="241"/>
      <c r="J5" s="241"/>
      <c r="K5" s="242"/>
      <c r="L5" s="242"/>
      <c r="M5" s="126"/>
      <c r="N5" s="230"/>
      <c r="O5" s="126"/>
      <c r="P5" s="126"/>
      <c r="Q5" s="126"/>
      <c r="R5" s="126"/>
      <c r="S5" s="126"/>
      <c r="T5" s="126"/>
      <c r="U5" s="126"/>
      <c r="V5" s="126"/>
      <c r="W5" s="126"/>
      <c r="X5" s="126"/>
    </row>
    <row customHeight="true" ht="15" r="6">
      <c r="A6" s="241"/>
      <c r="B6" s="241"/>
      <c r="C6" s="241"/>
      <c r="D6" s="241"/>
      <c r="E6" s="241"/>
      <c r="F6" s="241"/>
      <c r="G6" s="241"/>
      <c r="H6" s="241"/>
      <c r="I6" s="241"/>
      <c r="J6" s="241"/>
      <c r="K6" s="242"/>
      <c r="L6" s="242"/>
      <c r="M6" s="126"/>
      <c r="N6" s="230"/>
      <c r="O6" s="126"/>
      <c r="P6" s="126"/>
      <c r="Q6" s="126"/>
      <c r="R6" s="126"/>
      <c r="S6" s="126"/>
      <c r="T6" s="126"/>
      <c r="U6" s="126"/>
      <c r="V6" s="126"/>
      <c r="W6" s="126"/>
      <c r="X6" s="126"/>
    </row>
    <row customHeight="true" ht="15" r="7">
      <c r="A7" s="241"/>
      <c r="B7" s="241"/>
      <c r="C7" s="241"/>
      <c r="D7" s="241"/>
      <c r="E7" s="241"/>
      <c r="F7" s="241"/>
      <c r="G7" s="241"/>
      <c r="H7" s="241"/>
      <c r="I7" s="241"/>
      <c r="J7" s="241"/>
      <c r="K7" s="242"/>
      <c r="L7" s="242"/>
      <c r="M7" s="126"/>
      <c r="N7" s="230"/>
      <c r="O7" s="126"/>
      <c r="P7" s="126"/>
      <c r="Q7" s="126"/>
      <c r="R7" s="126"/>
      <c r="S7" s="126"/>
      <c r="T7" s="126"/>
      <c r="U7" s="126"/>
      <c r="V7" s="126"/>
      <c r="W7" s="126"/>
      <c r="X7" s="126"/>
    </row>
    <row customHeight="true" ht="15" r="8">
      <c r="A8" s="241"/>
      <c r="B8" s="241"/>
      <c r="C8" s="241"/>
      <c r="D8" s="241"/>
      <c r="E8" s="241"/>
      <c r="F8" s="241"/>
      <c r="G8" s="241"/>
      <c r="H8" s="241"/>
      <c r="I8" s="241"/>
      <c r="J8" s="241"/>
      <c r="K8" s="242"/>
      <c r="L8" s="242"/>
      <c r="M8" s="126"/>
      <c r="N8" s="230"/>
      <c r="O8" s="126"/>
      <c r="P8" s="126"/>
      <c r="Q8" s="126"/>
      <c r="R8" s="126"/>
      <c r="S8" s="126"/>
      <c r="T8" s="126"/>
      <c r="U8" s="126"/>
      <c r="V8" s="126"/>
      <c r="W8" s="126"/>
      <c r="X8" s="126"/>
    </row>
    <row customHeight="true" ht="36" r="9">
      <c r="A9" s="228"/>
      <c r="B9" s="228"/>
      <c r="C9" s="228"/>
      <c r="D9" s="228"/>
      <c r="E9" s="228"/>
      <c r="F9" s="228"/>
      <c r="G9" s="228"/>
      <c r="H9" s="228"/>
      <c r="I9" s="228"/>
      <c r="J9" s="228"/>
      <c r="K9" s="229"/>
      <c r="L9" s="229"/>
      <c r="M9" s="126"/>
      <c r="N9" s="230"/>
      <c r="O9" s="126"/>
      <c r="P9" s="126"/>
      <c r="Q9" s="126"/>
      <c r="R9" s="126"/>
      <c r="S9" s="126"/>
      <c r="T9" s="126"/>
      <c r="U9" s="126"/>
      <c r="V9" s="126"/>
      <c r="W9" s="126"/>
      <c r="X9" s="126"/>
    </row>
    <row customHeight="true" ht="20" r="10">
      <c r="A10" s="172" t="str">
        <v>WEEK</v>
      </c>
      <c r="B10" s="172" t="str">
        <v>Date</v>
      </c>
      <c r="C10" s="172" t="str">
        <v>售价</v>
      </c>
      <c r="D10" s="172" t="str">
        <v>目标平均日销</v>
      </c>
      <c r="E10" s="172" t="str">
        <v>销售额</v>
      </c>
      <c r="F10" s="172" t="str">
        <v>转化率</v>
      </c>
      <c r="G10" s="172" t="str">
        <v>日均流量</v>
      </c>
      <c r="H10" s="223" t="str">
        <v>广告销量</v>
      </c>
      <c r="I10" s="223" t="str">
        <v>广告销售额</v>
      </c>
      <c r="J10" s="223" t="str">
        <v>广告订单占比</v>
      </c>
      <c r="K10" s="223" t="str">
        <v>广告费</v>
      </c>
      <c r="L10" s="226" t="str">
        <v>点击量</v>
      </c>
      <c r="M10" s="224" t="str">
        <v>预估量</v>
      </c>
      <c r="N10" s="224"/>
      <c r="O10" s="225" t="str">
        <v>广告结构</v>
      </c>
      <c r="P10" s="227" t="str">
        <v>广告目标及关注指标</v>
      </c>
      <c r="Q10" s="225" t="str">
        <v>广告关键词</v>
      </c>
      <c r="R10" s="225" t="str">
        <v>不同广告类型预算分配</v>
      </c>
      <c r="S10" s="7"/>
      <c r="T10" s="7"/>
      <c r="U10" s="7"/>
      <c r="V10" s="7"/>
      <c r="W10" s="7"/>
      <c r="X10" s="7"/>
    </row>
    <row customHeight="true" ht="20" r="11">
      <c r="A11" s="175"/>
      <c r="B11" s="175"/>
      <c r="C11" s="175"/>
      <c r="D11" s="175"/>
      <c r="E11" s="175"/>
      <c r="F11" s="175"/>
      <c r="G11" s="175"/>
      <c r="H11" s="235"/>
      <c r="I11" s="235"/>
      <c r="J11" s="235"/>
      <c r="K11" s="235"/>
      <c r="L11" s="236" t="str">
        <v>点击量</v>
      </c>
      <c r="M11" s="238" t="str">
        <v>平均cpc</v>
      </c>
      <c r="N11" s="239" t="str">
        <v>广告转化率</v>
      </c>
      <c r="O11" s="227"/>
      <c r="P11" s="237"/>
      <c r="Q11" s="227"/>
      <c r="R11" s="227"/>
      <c r="S11" s="7"/>
      <c r="T11" s="7"/>
      <c r="U11" s="7"/>
      <c r="V11" s="7"/>
      <c r="W11" s="7"/>
      <c r="X11" s="7"/>
    </row>
    <row customHeight="true" ht="20" r="12">
      <c r="A12" s="216" t="str">
        <v>WEEK1</v>
      </c>
      <c r="B12" s="234" t="str">
        <v>
4.28-5.6</v>
      </c>
      <c r="C12" s="210">
        <v>109.99</v>
      </c>
      <c r="D12" s="210">
        <v>6.28571428571429</v>
      </c>
      <c r="E12" s="210">
        <f>C12*D12*7</f>
      </c>
      <c r="F12" s="214">
        <v>0.0952380952380952</v>
      </c>
      <c r="G12" s="211">
        <f>D12/F12</f>
      </c>
      <c r="H12" s="68">
        <f>D12*J12</f>
      </c>
      <c r="I12" s="56">
        <f>H12*C12</f>
      </c>
      <c r="J12" s="72">
        <v>0.7</v>
      </c>
      <c r="K12" s="232">
        <f>L12*M12</f>
      </c>
      <c r="L12" s="231">
        <f>$H$12/N12</f>
      </c>
      <c r="M12" s="192">
        <v>1.2</v>
      </c>
      <c r="N12" s="189">
        <v>0.11</v>
      </c>
      <c r="O12" s="233" t="str">
        <v>campaign1：自动广告
campaign2：手动广告测试组B
campaign3：SD-categories
campaign4：PT
campaign5：手动广告核心关键词E</v>
      </c>
      <c r="P12" s="203" t="s">
        <v>6</v>
      </c>
      <c r="Q12" s="197" t="str">
        <v>milbensauger（主推）
milbensauger für matratzen
核心词
milbensauger
milbenstaubsauger
milbensauger für matratzen
milbensauger mit uv licht
milbensauger für matratzen testsieger
Milbensauger
Hoover milbensauger
长尾词  
milbenstaubsauger
handstaubsauger
milbensauger für matratzen testsieger
matratzenreiniger gerät
polsterreiniger gerät   “沙发清洁器”“软家具清洁设备”
 milbensauger
milbenstaubsauger
milbensauger für matratzen testsieger
欧11531  jimmy jv35
12362   jigoo t600 milbensauger
44157   jigoo milbensauger
53568    hoover milbensauger
62790    milbensauger für matratzen testsieger
90467   jimmy jv35 milbensauger
125594  milbenstaubsauger
247901 milbensauger mit uv licht
2625420 milbensauger für matratzen
5657246 milbensauger
  关键词分析  milbensauger，
milbensauger für matratzen testsieger，
Milbenstaubsauger
milbensauger mit uv licht
milbensauger für matratzen 
 Milbensauger
 jigoo milbensauger 
 Hoover milbensauger
核心关键词 选取，milbensauger，  milbenstaubsauger 
milbensauger für matratzen，
milbensauger mit uv licht  
 长尾词
milbenstaubsauger
handstaubsauger手持吸尘器
milbensauger für matratzen testsieger
matratzenreiniger gerät
关键词竞价分析：除螨仪milbensauger 竞价CPC 1-1.54欧
Milbenstaubsauger 除螨仪 1.5-2.3欧
关键词竞价分析：床垫除螨仪milbensauger für matratzen 竞价CPC 1-2.4欧
带紫外线除螨仪   milbensauger mit uv licht 1.8-2.9欧
milbensauger für matratzen testsieger 1- 2.2欧
hoover milbensauger   1.8-2.8欧 
jimmy jv35 milbensauger  1.1-3欧
以词拓词
Milbensauger
</v>
      </c>
      <c r="R12" s="206"/>
      <c r="S12" s="126"/>
      <c r="T12" s="126"/>
      <c r="U12" s="126"/>
      <c r="V12" s="126"/>
      <c r="W12" s="126"/>
      <c r="X12" s="126"/>
    </row>
    <row customHeight="true" ht="20" r="13">
      <c r="A13" s="208"/>
      <c r="B13" s="162"/>
      <c r="C13" s="162"/>
      <c r="D13" s="162"/>
      <c r="E13" s="162"/>
      <c r="F13" s="168"/>
      <c r="G13" s="165"/>
      <c r="H13" s="50"/>
      <c r="I13" s="49"/>
      <c r="J13" s="16"/>
      <c r="K13" s="204">
        <f>L13*M13</f>
      </c>
      <c r="L13" s="202">
        <f>$H$12/N13</f>
      </c>
      <c r="M13" s="192">
        <v>1.2</v>
      </c>
      <c r="N13" s="189">
        <v>0.11</v>
      </c>
      <c r="O13" s="205"/>
      <c r="P13" s="203"/>
      <c r="Q13" s="197"/>
      <c r="R13" s="206"/>
      <c r="S13" s="126"/>
      <c r="T13" s="126"/>
      <c r="U13" s="126"/>
      <c r="V13" s="126"/>
      <c r="W13" s="126"/>
      <c r="X13" s="126"/>
    </row>
    <row customHeight="true" ht="20" r="14">
      <c r="A14" s="208"/>
      <c r="B14" s="162"/>
      <c r="C14" s="162"/>
      <c r="D14" s="162"/>
      <c r="E14" s="162"/>
      <c r="F14" s="168"/>
      <c r="G14" s="165"/>
      <c r="H14" s="50"/>
      <c r="I14" s="49"/>
      <c r="J14" s="16"/>
      <c r="K14" s="204">
        <f>L14*M14</f>
      </c>
      <c r="L14" s="202">
        <f>$H$12/N14</f>
      </c>
      <c r="M14" s="192">
        <v>1.2</v>
      </c>
      <c r="N14" s="189">
        <v>0.11</v>
      </c>
      <c r="O14" s="205"/>
      <c r="P14" s="203"/>
      <c r="Q14" s="197"/>
      <c r="R14" s="206"/>
      <c r="S14" s="126"/>
      <c r="T14" s="126"/>
      <c r="U14" s="126"/>
      <c r="V14" s="126"/>
      <c r="W14" s="126"/>
      <c r="X14" s="126"/>
    </row>
    <row customHeight="true" ht="16" r="15">
      <c r="A15" s="190"/>
      <c r="B15" s="186"/>
      <c r="C15" s="186"/>
      <c r="D15" s="186"/>
      <c r="E15" s="186"/>
      <c r="F15" s="187"/>
      <c r="G15" s="198"/>
      <c r="H15" s="194"/>
      <c r="I15" s="191"/>
      <c r="J15" s="188"/>
      <c r="K15" s="199">
        <f>L15*M15</f>
      </c>
      <c r="L15" s="195">
        <f>$H$12/N15</f>
      </c>
      <c r="M15" s="192">
        <v>1.2</v>
      </c>
      <c r="N15" s="189">
        <v>0.11</v>
      </c>
      <c r="O15" s="200"/>
      <c r="P15" s="203"/>
      <c r="Q15" s="197"/>
      <c r="R15" s="193"/>
      <c r="S15" s="126"/>
      <c r="T15" s="126"/>
      <c r="U15" s="126"/>
      <c r="V15" s="126"/>
      <c r="W15" s="126"/>
      <c r="X15" s="126"/>
    </row>
    <row customHeight="true" ht="24" r="16">
      <c r="A16" s="220" t="str">
        <v>WEEK2</v>
      </c>
      <c r="B16" s="213" t="str">
        <v>
5.7-5.13</v>
      </c>
      <c r="C16" s="210">
        <v>109.99</v>
      </c>
      <c r="D16" s="210">
        <v>11.5714285714286</v>
      </c>
      <c r="E16" s="210">
        <f>C16*D16*7</f>
      </c>
      <c r="F16" s="214">
        <v>0.131493506493506</v>
      </c>
      <c r="G16" s="211">
        <f>D16/F16</f>
      </c>
      <c r="H16" s="218">
        <f>D16*J16</f>
      </c>
      <c r="I16" s="217">
        <f>H16*C16</f>
      </c>
      <c r="J16" s="215">
        <v>0.65</v>
      </c>
      <c r="K16" s="212">
        <f>L16*M16</f>
      </c>
      <c r="L16" s="219">
        <f>$H$16/N16</f>
      </c>
      <c r="M16" s="192">
        <v>1.2</v>
      </c>
      <c r="N16" s="189">
        <v>0.12</v>
      </c>
      <c r="O16" s="209" t="str">
        <v>campaign1：自动广告
campaign2：手动广告测试组B
campaign3：SD-categories
campaign4：PT
campaign5：手动广告核心关键词E
campaign6：SBV-PT / SBV-KT</v>
      </c>
      <c r="P16" s="203"/>
      <c r="Q16" s="197"/>
      <c r="R16" s="221" t="str">
        <v>SP:70%
SD:15%
SB:15%</v>
      </c>
      <c r="S16" s="123" t="str">
        <v>关键词</v>
      </c>
      <c r="T16" s="123" t="str">
        <v>关键词翻译</v>
      </c>
      <c r="U16" s="128" t="str">
        <v>流量占比</v>
      </c>
      <c r="V16" s="129" t="str">
        <v>预估周曝光量</v>
      </c>
      <c r="W16" s="123" t="str">
        <v>关键词类型</v>
      </c>
      <c r="X16" s="123" t="str">
        <v>转化效果自然流量占比</v>
      </c>
    </row>
    <row customHeight="true" ht="24" r="17">
      <c r="A17" s="208"/>
      <c r="B17" s="207"/>
      <c r="C17" s="162"/>
      <c r="D17" s="162"/>
      <c r="E17" s="162"/>
      <c r="F17" s="168"/>
      <c r="G17" s="165"/>
      <c r="H17" s="50"/>
      <c r="I17" s="49"/>
      <c r="J17" s="16"/>
      <c r="K17" s="204">
        <f>L17*M17</f>
      </c>
      <c r="L17" s="202">
        <f>$H$16/N17</f>
      </c>
      <c r="M17" s="192">
        <v>1.2</v>
      </c>
      <c r="N17" s="189">
        <v>0.12</v>
      </c>
      <c r="O17" s="205"/>
      <c r="P17" s="203"/>
      <c r="Q17" s="197"/>
      <c r="R17" s="206"/>
      <c r="S17" s="134" t="str">
        <v>milbensauger</v>
      </c>
      <c r="T17" s="134" t="str">
        <v>吸螨虫</v>
      </c>
      <c r="U17" s="133">
        <v>0.497508</v>
      </c>
      <c r="V17" s="132">
        <v>13984</v>
      </c>
      <c r="W17" s="136" t="str">
        <v>主要流量词</v>
      </c>
      <c r="X17" s="135">
        <v>0.3471</v>
      </c>
    </row>
    <row customHeight="true" ht="24" r="18">
      <c r="A18" s="208"/>
      <c r="B18" s="207"/>
      <c r="C18" s="162"/>
      <c r="D18" s="162"/>
      <c r="E18" s="162"/>
      <c r="F18" s="168"/>
      <c r="G18" s="165"/>
      <c r="H18" s="50"/>
      <c r="I18" s="49"/>
      <c r="J18" s="16"/>
      <c r="K18" s="204">
        <f>L18*M18</f>
      </c>
      <c r="L18" s="202">
        <f>$H$16/N18</f>
      </c>
      <c r="M18" s="192">
        <v>1.2</v>
      </c>
      <c r="N18" s="189">
        <v>0.12</v>
      </c>
      <c r="O18" s="205"/>
      <c r="P18" s="203"/>
      <c r="Q18" s="197"/>
      <c r="R18" s="206"/>
      <c r="S18" s="134" t="str">
        <v>milbensauger für matratzen</v>
      </c>
      <c r="T18" s="134" t="str">
        <v>用于床垫的吸尘器</v>
      </c>
      <c r="U18" s="133">
        <v>0.294441</v>
      </c>
      <c r="V18" s="132">
        <v>8276</v>
      </c>
      <c r="W18" s="136" t="str">
        <v>主要流量词</v>
      </c>
      <c r="X18" s="135">
        <v>0.41862</v>
      </c>
    </row>
    <row customHeight="true" ht="24" r="19">
      <c r="A19" s="190"/>
      <c r="B19" s="185"/>
      <c r="C19" s="186"/>
      <c r="D19" s="186"/>
      <c r="E19" s="186"/>
      <c r="F19" s="187"/>
      <c r="G19" s="198"/>
      <c r="H19" s="194"/>
      <c r="I19" s="191"/>
      <c r="J19" s="188"/>
      <c r="K19" s="199">
        <f>L19*M19</f>
      </c>
      <c r="L19" s="195">
        <f>$H$16/N19</f>
      </c>
      <c r="M19" s="192">
        <v>1.2</v>
      </c>
      <c r="N19" s="189">
        <v>0.12</v>
      </c>
      <c r="O19" s="200"/>
      <c r="P19" s="203"/>
      <c r="Q19" s="197"/>
      <c r="R19" s="206"/>
      <c r="S19" s="134" t="str">
        <v>sofa reiniger</v>
      </c>
      <c r="T19" s="134" t="str">
        <v>沙发清洁剂</v>
      </c>
      <c r="U19" s="133">
        <v>0.059295</v>
      </c>
      <c r="V19" s="132">
        <v>1667</v>
      </c>
      <c r="W19" s="136"/>
      <c r="X19" s="135">
        <v>0.61722</v>
      </c>
    </row>
    <row customHeight="true" ht="25" r="20">
      <c r="A20" s="216" t="str">
        <v>WEEK3</v>
      </c>
      <c r="B20" s="213" t="str">
        <v>
5.14-5.20</v>
      </c>
      <c r="C20" s="210">
        <v>109.99</v>
      </c>
      <c r="D20" s="210">
        <v>7.85714285714286</v>
      </c>
      <c r="E20" s="210">
        <f>C20*D20*7</f>
      </c>
      <c r="F20" s="214">
        <v>0.130952380952381</v>
      </c>
      <c r="G20" s="211">
        <f>D20/F20</f>
      </c>
      <c r="H20" s="218">
        <f>D20*J20</f>
      </c>
      <c r="I20" s="217">
        <f>H20*C20</f>
      </c>
      <c r="J20" s="215">
        <v>0.6</v>
      </c>
      <c r="K20" s="212">
        <f>L20*M20</f>
      </c>
      <c r="L20" s="219">
        <f>$H$20/N20</f>
      </c>
      <c r="M20" s="192">
        <v>1.1</v>
      </c>
      <c r="N20" s="189">
        <v>0.13</v>
      </c>
      <c r="O20" s="209" t="str">
        <v>campaign1：自动广告
campaign2：手动广告测试组B
campaign3：SD-categories
campaign4：PT
campaign5：手动广告核心关键词E
campaign6：SBV-PT / SBV-KT</v>
      </c>
      <c r="P20" s="203"/>
      <c r="Q20" s="197"/>
      <c r="R20" s="206"/>
      <c r="S20" s="134" t="str">
        <v>matratzenreiniger</v>
      </c>
      <c r="T20" s="134" t="str">
        <v>床垫清洁剂</v>
      </c>
      <c r="U20" s="133">
        <v>0.047246</v>
      </c>
      <c r="V20" s="132">
        <v>1328</v>
      </c>
      <c r="W20" s="136"/>
      <c r="X20" s="135">
        <v>0.80955</v>
      </c>
    </row>
    <row customHeight="true" ht="25" r="21">
      <c r="A21" s="208"/>
      <c r="B21" s="207"/>
      <c r="C21" s="162"/>
      <c r="D21" s="162"/>
      <c r="E21" s="162"/>
      <c r="F21" s="168"/>
      <c r="G21" s="165"/>
      <c r="H21" s="50"/>
      <c r="I21" s="49"/>
      <c r="J21" s="16"/>
      <c r="K21" s="204">
        <f>L21*M21</f>
      </c>
      <c r="L21" s="202">
        <f>$H$20/N21</f>
      </c>
      <c r="M21" s="192">
        <v>1.1</v>
      </c>
      <c r="N21" s="189">
        <v>0.13</v>
      </c>
      <c r="O21" s="205"/>
      <c r="P21" s="203"/>
      <c r="Q21" s="197"/>
      <c r="R21" s="206"/>
      <c r="S21" s="134" t="str">
        <v>milbensauger für matratzen testsieger</v>
      </c>
      <c r="T21" s="134" t="str">
        <v>用于床垫测试的螨虫吸尘器测试获胜者</v>
      </c>
      <c r="U21" s="133">
        <v>0.02472</v>
      </c>
      <c r="V21" s="132">
        <v>695</v>
      </c>
      <c r="W21" s="136"/>
      <c r="X21" s="135">
        <v>0.46301</v>
      </c>
    </row>
    <row customHeight="true" ht="25" r="22">
      <c r="A22" s="208"/>
      <c r="B22" s="207"/>
      <c r="C22" s="162"/>
      <c r="D22" s="162"/>
      <c r="E22" s="162"/>
      <c r="F22" s="168"/>
      <c r="G22" s="165"/>
      <c r="H22" s="50"/>
      <c r="I22" s="49"/>
      <c r="J22" s="16"/>
      <c r="K22" s="204">
        <f>L22*M22</f>
      </c>
      <c r="L22" s="202">
        <f>$H$20/N22</f>
      </c>
      <c r="M22" s="192">
        <v>1.1</v>
      </c>
      <c r="N22" s="189">
        <v>0.13</v>
      </c>
      <c r="O22" s="205"/>
      <c r="P22" s="203"/>
      <c r="Q22" s="197"/>
      <c r="R22" s="206"/>
      <c r="S22" s="134" t="str">
        <v>milbensauger mit uv licht</v>
      </c>
      <c r="T22" s="134" t="str">
        <v>带紫外线灯的螨虫奶嘴</v>
      </c>
      <c r="U22" s="133">
        <v>0.019301</v>
      </c>
      <c r="V22" s="132">
        <v>543</v>
      </c>
      <c r="W22" s="136"/>
      <c r="X22" s="135">
        <v>0.06106</v>
      </c>
    </row>
    <row customHeight="true" ht="25" r="23">
      <c r="A23" s="190"/>
      <c r="B23" s="185"/>
      <c r="C23" s="186"/>
      <c r="D23" s="186"/>
      <c r="E23" s="186"/>
      <c r="F23" s="187"/>
      <c r="G23" s="198"/>
      <c r="H23" s="194"/>
      <c r="I23" s="191"/>
      <c r="J23" s="188"/>
      <c r="K23" s="199">
        <f>L23*M23</f>
      </c>
      <c r="L23" s="195">
        <f>$H$20/N23</f>
      </c>
      <c r="M23" s="192">
        <v>1.1</v>
      </c>
      <c r="N23" s="189">
        <v>0.13</v>
      </c>
      <c r="O23" s="200"/>
      <c r="P23" s="203"/>
      <c r="Q23" s="197"/>
      <c r="R23" s="193"/>
      <c r="S23" s="134" t="str">
        <v>hoover milbensauger</v>
      </c>
      <c r="T23" s="134" t="str">
        <v>胡佛螨吸盘</v>
      </c>
      <c r="U23" s="133">
        <v>0.017954</v>
      </c>
      <c r="V23" s="132">
        <v>505</v>
      </c>
      <c r="W23" s="136" t="str">
        <v>精准长尾词</v>
      </c>
      <c r="X23" s="135">
        <v>0.50632</v>
      </c>
    </row>
    <row customHeight="true" ht="27" r="24">
      <c r="A24" s="220" t="str">
        <v>WEEK4</v>
      </c>
      <c r="B24" s="213" t="str">
        <v>
5.21-5.27</v>
      </c>
      <c r="C24" s="210">
        <v>109.99</v>
      </c>
      <c r="D24" s="210">
        <v>6.85714285714286</v>
      </c>
      <c r="E24" s="210">
        <f>C24*D24*7</f>
      </c>
      <c r="F24" s="214">
        <v>0.137142857142857</v>
      </c>
      <c r="G24" s="211">
        <f>D24/F24</f>
      </c>
      <c r="H24" s="218">
        <f>D24*J24</f>
      </c>
      <c r="I24" s="217">
        <f>H24*C24</f>
      </c>
      <c r="J24" s="215">
        <v>0.55</v>
      </c>
      <c r="K24" s="212">
        <f>L24*M24</f>
      </c>
      <c r="L24" s="219">
        <f>$H$24/N24</f>
      </c>
      <c r="M24" s="192">
        <v>1.1</v>
      </c>
      <c r="N24" s="189">
        <v>0.15</v>
      </c>
      <c r="O24" s="209" t="str">
        <v>campaign1：自动广告
campaign2：手动广告测试组B
campaign3：SD-categories
campaign4：PT
campaign5：手动广告核心关键词E
campaign6：SBV-PT / SBV-KT</v>
      </c>
      <c r="P24" s="203"/>
      <c r="Q24" s="197"/>
      <c r="R24" s="221" t="str">
        <v>SP:70%
SD:15%
SB:15%</v>
      </c>
      <c r="S24" s="134" t="str">
        <v>milbenstaubsauger</v>
      </c>
      <c r="T24" s="134" t="str">
        <v>螨吸尘器</v>
      </c>
      <c r="U24" s="133">
        <v>0.008428</v>
      </c>
      <c r="V24" s="132">
        <v>237</v>
      </c>
      <c r="W24" s="136"/>
      <c r="X24" s="135">
        <v>0.28778</v>
      </c>
    </row>
    <row customHeight="true" ht="27" r="25">
      <c r="A25" s="208"/>
      <c r="B25" s="207"/>
      <c r="C25" s="162"/>
      <c r="D25" s="162"/>
      <c r="E25" s="162"/>
      <c r="F25" s="168"/>
      <c r="G25" s="165"/>
      <c r="H25" s="50"/>
      <c r="I25" s="49"/>
      <c r="J25" s="16"/>
      <c r="K25" s="204">
        <f>L25*M25</f>
      </c>
      <c r="L25" s="202">
        <f>$H$24/N25</f>
      </c>
      <c r="M25" s="192">
        <v>1.1</v>
      </c>
      <c r="N25" s="189">
        <v>0.15</v>
      </c>
      <c r="O25" s="205"/>
      <c r="P25" s="203"/>
      <c r="Q25" s="197"/>
      <c r="R25" s="206"/>
      <c r="S25" s="134" t="str">
        <v>polsterreiniger</v>
      </c>
      <c r="T25" s="134" t="str">
        <v>室内装饰品清洁剂</v>
      </c>
      <c r="U25" s="133">
        <v>0.007424</v>
      </c>
      <c r="V25" s="132">
        <v>209</v>
      </c>
      <c r="W25" s="136"/>
      <c r="X25" s="136"/>
    </row>
    <row customHeight="true" ht="27" r="26">
      <c r="A26" s="208"/>
      <c r="B26" s="207"/>
      <c r="C26" s="162"/>
      <c r="D26" s="162"/>
      <c r="E26" s="162"/>
      <c r="F26" s="168"/>
      <c r="G26" s="165"/>
      <c r="H26" s="50"/>
      <c r="I26" s="49"/>
      <c r="J26" s="16"/>
      <c r="K26" s="204">
        <f>L26*M26</f>
      </c>
      <c r="L26" s="202">
        <f>$H$24/N26</f>
      </c>
      <c r="M26" s="192">
        <v>1.1</v>
      </c>
      <c r="N26" s="189">
        <v>0.15</v>
      </c>
      <c r="O26" s="205"/>
      <c r="P26" s="203"/>
      <c r="Q26" s="197"/>
      <c r="R26" s="206"/>
      <c r="S26" s="134" t="str">
        <v>teppichreiniger gerät</v>
      </c>
      <c r="T26" s="134" t="str">
        <v>地毯清洁装置</v>
      </c>
      <c r="U26" s="133">
        <v>0.002209</v>
      </c>
      <c r="V26" s="132">
        <v>62</v>
      </c>
      <c r="W26" s="136"/>
      <c r="X26" s="136"/>
    </row>
    <row customHeight="true" ht="27" r="27">
      <c r="A27" s="190"/>
      <c r="B27" s="185"/>
      <c r="C27" s="186"/>
      <c r="D27" s="186"/>
      <c r="E27" s="186"/>
      <c r="F27" s="187"/>
      <c r="G27" s="198"/>
      <c r="H27" s="194"/>
      <c r="I27" s="191"/>
      <c r="J27" s="188"/>
      <c r="K27" s="199">
        <f>L27*M27</f>
      </c>
      <c r="L27" s="195">
        <f>$H$24/N27</f>
      </c>
      <c r="M27" s="192">
        <v>1.1</v>
      </c>
      <c r="N27" s="189">
        <v>0.15</v>
      </c>
      <c r="O27" s="200"/>
      <c r="P27" s="196"/>
      <c r="Q27" s="197"/>
      <c r="R27" s="206"/>
      <c r="S27" s="134" t="str">
        <v>polsterreinigungsgerät</v>
      </c>
      <c r="T27" s="134" t="str">
        <v>室内装潢清洗机</v>
      </c>
      <c r="U27" s="133">
        <v>0.001316</v>
      </c>
      <c r="V27" s="132">
        <v>37</v>
      </c>
      <c r="W27" s="136"/>
      <c r="X27" s="136"/>
    </row>
    <row customHeight="true" ht="28" r="28">
      <c r="A28" s="216" t="str">
        <v>WEEK5</v>
      </c>
      <c r="B28" s="213" t="str">
        <v>
5.28-6.3</v>
      </c>
      <c r="C28" s="210">
        <v>119.99</v>
      </c>
      <c r="D28" s="210">
        <v>7.42857142857143</v>
      </c>
      <c r="E28" s="210">
        <f>C28*D28*7</f>
      </c>
      <c r="F28" s="214">
        <v>0.13265306122449</v>
      </c>
      <c r="G28" s="211">
        <f>D28/F28</f>
      </c>
      <c r="H28" s="218">
        <f>D28*J28</f>
      </c>
      <c r="I28" s="217">
        <f>H28*C28</f>
      </c>
      <c r="J28" s="215">
        <v>0.5</v>
      </c>
      <c r="K28" s="212">
        <f>L28*M28</f>
      </c>
      <c r="L28" s="219">
        <f>$H$28/N28</f>
      </c>
      <c r="M28" s="192">
        <v>1</v>
      </c>
      <c r="N28" s="189">
        <v>0.15</v>
      </c>
      <c r="O28" s="209" t="str">
        <v>campaign1：自动广告
campaign2：手动广告主推词BP
campaign3：SD-categories
campaign4：PT
campaign5：手动广告核心关键词E
campaign6：SBV-PT / SBV-KT</v>
      </c>
      <c r="P28" s="222" t="s">
        <v>5</v>
      </c>
      <c r="Q28" s="197"/>
      <c r="R28" s="206"/>
      <c r="S28" s="126"/>
      <c r="T28" s="126"/>
      <c r="U28" s="126"/>
      <c r="V28" s="126"/>
      <c r="W28" s="126"/>
      <c r="X28" s="126"/>
    </row>
    <row customHeight="true" ht="28" r="29">
      <c r="A29" s="208"/>
      <c r="B29" s="207"/>
      <c r="C29" s="162"/>
      <c r="D29" s="162"/>
      <c r="E29" s="162"/>
      <c r="F29" s="168"/>
      <c r="G29" s="165"/>
      <c r="H29" s="50"/>
      <c r="I29" s="49"/>
      <c r="J29" s="16"/>
      <c r="K29" s="204">
        <f>L29*M29</f>
      </c>
      <c r="L29" s="202">
        <f>$H$28/N29</f>
      </c>
      <c r="M29" s="192">
        <v>1</v>
      </c>
      <c r="N29" s="189">
        <v>0.15</v>
      </c>
      <c r="O29" s="205"/>
      <c r="P29" s="203"/>
      <c r="Q29" s="197"/>
      <c r="R29" s="206"/>
      <c r="S29" s="126"/>
      <c r="T29" s="126"/>
      <c r="U29" s="126"/>
      <c r="V29" s="126"/>
      <c r="W29" s="126"/>
      <c r="X29" s="126"/>
    </row>
    <row customHeight="true" ht="28" r="30">
      <c r="A30" s="208"/>
      <c r="B30" s="207"/>
      <c r="C30" s="162"/>
      <c r="D30" s="162"/>
      <c r="E30" s="162"/>
      <c r="F30" s="168"/>
      <c r="G30" s="165"/>
      <c r="H30" s="50"/>
      <c r="I30" s="49"/>
      <c r="J30" s="16"/>
      <c r="K30" s="204">
        <f>L30*M30</f>
      </c>
      <c r="L30" s="202">
        <f>$H$28/N30</f>
      </c>
      <c r="M30" s="192">
        <v>1</v>
      </c>
      <c r="N30" s="189">
        <v>0.15</v>
      </c>
      <c r="O30" s="205"/>
      <c r="P30" s="203"/>
      <c r="Q30" s="197"/>
      <c r="R30" s="206"/>
      <c r="S30" s="126"/>
      <c r="T30" s="126"/>
      <c r="U30" s="126"/>
      <c r="V30" s="126"/>
      <c r="W30" s="126"/>
      <c r="X30" s="126"/>
    </row>
    <row customHeight="true" ht="28" r="31">
      <c r="A31" s="190"/>
      <c r="B31" s="185"/>
      <c r="C31" s="186"/>
      <c r="D31" s="186"/>
      <c r="E31" s="186"/>
      <c r="F31" s="187"/>
      <c r="G31" s="198"/>
      <c r="H31" s="194"/>
      <c r="I31" s="191"/>
      <c r="J31" s="188"/>
      <c r="K31" s="199">
        <f>L31*M31</f>
      </c>
      <c r="L31" s="195">
        <f>$H$28/N31</f>
      </c>
      <c r="M31" s="192">
        <v>1</v>
      </c>
      <c r="N31" s="189">
        <v>0.15</v>
      </c>
      <c r="O31" s="200"/>
      <c r="P31" s="203"/>
      <c r="Q31" s="197"/>
      <c r="R31" s="193"/>
      <c r="S31" s="126"/>
      <c r="T31" s="126"/>
      <c r="U31" s="126"/>
      <c r="V31" s="126"/>
      <c r="W31" s="126"/>
      <c r="X31" s="126"/>
    </row>
    <row customHeight="true" ht="28" r="32">
      <c r="A32" s="220" t="str">
        <v>WEEK6</v>
      </c>
      <c r="B32" s="213" t="str">
        <v>6.4-6.10</v>
      </c>
      <c r="C32" s="210">
        <v>119.99</v>
      </c>
      <c r="D32" s="210">
        <v>7.14285714285714</v>
      </c>
      <c r="E32" s="210">
        <f>C32*D32*7</f>
      </c>
      <c r="F32" s="214">
        <v>0.119047619047619</v>
      </c>
      <c r="G32" s="211">
        <f>D32/F32</f>
      </c>
      <c r="H32" s="218">
        <f>D32*J32</f>
      </c>
      <c r="I32" s="217">
        <f>H32*C32</f>
      </c>
      <c r="J32" s="215">
        <v>0.5</v>
      </c>
      <c r="K32" s="212">
        <f>L32*M32</f>
      </c>
      <c r="L32" s="219">
        <f>$H$32/N32</f>
      </c>
      <c r="M32" s="192">
        <v>1</v>
      </c>
      <c r="N32" s="189">
        <v>0.15</v>
      </c>
      <c r="O32" s="209" t="str">
        <v>campaign1：自动广告
campaign2：手动广告主推词BP
campaign3：SD-categories
campaign4：PT
campaign5：手动广告核心关键词E
campaign6：SBV-PT / SBV-KT</v>
      </c>
      <c r="P32" s="203"/>
      <c r="Q32" s="197"/>
      <c r="R32" s="221" t="str">
        <v>SP:70%
SD:15%
SB:15%</v>
      </c>
      <c r="S32" s="126"/>
      <c r="T32" s="126"/>
      <c r="U32" s="126"/>
      <c r="V32" s="126"/>
      <c r="W32" s="126"/>
      <c r="X32" s="126"/>
    </row>
    <row customHeight="true" ht="28" r="33">
      <c r="A33" s="208"/>
      <c r="B33" s="207"/>
      <c r="C33" s="162"/>
      <c r="D33" s="162"/>
      <c r="E33" s="162"/>
      <c r="F33" s="168"/>
      <c r="G33" s="165"/>
      <c r="H33" s="50"/>
      <c r="I33" s="49"/>
      <c r="J33" s="16"/>
      <c r="K33" s="204">
        <f>L33*M33</f>
      </c>
      <c r="L33" s="202">
        <f>$H$32/N33</f>
      </c>
      <c r="M33" s="192">
        <v>1</v>
      </c>
      <c r="N33" s="189">
        <v>0.15</v>
      </c>
      <c r="O33" s="205"/>
      <c r="P33" s="203"/>
      <c r="Q33" s="197"/>
      <c r="R33" s="206"/>
      <c r="S33" s="126"/>
      <c r="T33" s="126"/>
      <c r="U33" s="126"/>
      <c r="V33" s="126"/>
      <c r="W33" s="126"/>
      <c r="X33" s="126"/>
    </row>
    <row customHeight="true" ht="28" r="34">
      <c r="A34" s="208"/>
      <c r="B34" s="207"/>
      <c r="C34" s="162"/>
      <c r="D34" s="162"/>
      <c r="E34" s="162"/>
      <c r="F34" s="168"/>
      <c r="G34" s="165"/>
      <c r="H34" s="50"/>
      <c r="I34" s="49"/>
      <c r="J34" s="16"/>
      <c r="K34" s="204">
        <f>L34*M34</f>
      </c>
      <c r="L34" s="202">
        <f>$H$32/N34</f>
      </c>
      <c r="M34" s="192">
        <v>1</v>
      </c>
      <c r="N34" s="189">
        <v>0.15</v>
      </c>
      <c r="O34" s="205"/>
      <c r="P34" s="203"/>
      <c r="Q34" s="197"/>
      <c r="R34" s="206"/>
      <c r="S34" s="126"/>
      <c r="T34" s="126"/>
      <c r="U34" s="126"/>
      <c r="V34" s="126"/>
      <c r="W34" s="126"/>
      <c r="X34" s="126"/>
    </row>
    <row customHeight="true" ht="28" r="35">
      <c r="A35" s="190"/>
      <c r="B35" s="185"/>
      <c r="C35" s="186"/>
      <c r="D35" s="186"/>
      <c r="E35" s="186"/>
      <c r="F35" s="187"/>
      <c r="G35" s="198"/>
      <c r="H35" s="194"/>
      <c r="I35" s="191"/>
      <c r="J35" s="188"/>
      <c r="K35" s="199">
        <f>L35*M35</f>
      </c>
      <c r="L35" s="195">
        <f>$H$32/N35</f>
      </c>
      <c r="M35" s="192">
        <v>1</v>
      </c>
      <c r="N35" s="189">
        <v>0.15</v>
      </c>
      <c r="O35" s="200"/>
      <c r="P35" s="203"/>
      <c r="Q35" s="197"/>
      <c r="R35" s="206"/>
      <c r="S35" s="126"/>
      <c r="T35" s="126"/>
      <c r="U35" s="126"/>
      <c r="V35" s="126"/>
      <c r="W35" s="126"/>
      <c r="X35" s="126"/>
    </row>
    <row customHeight="true" ht="28" r="36">
      <c r="A36" s="216" t="str">
        <v>WEEK7</v>
      </c>
      <c r="B36" s="213" t="str">
        <v>6.11-6.17</v>
      </c>
      <c r="C36" s="210">
        <v>119.99</v>
      </c>
      <c r="D36" s="210">
        <v>8.28571428571429</v>
      </c>
      <c r="E36" s="210">
        <f>C36*D36*7</f>
      </c>
      <c r="F36" s="214">
        <v>0.121848739495798</v>
      </c>
      <c r="G36" s="211">
        <f>D36/F36</f>
      </c>
      <c r="H36" s="218">
        <f>D36*J36</f>
      </c>
      <c r="I36" s="217">
        <f>H36*C36</f>
      </c>
      <c r="J36" s="215">
        <v>0.5</v>
      </c>
      <c r="K36" s="212">
        <f>L36*M36</f>
      </c>
      <c r="L36" s="219">
        <f>$H$36/N36</f>
      </c>
      <c r="M36" s="192">
        <v>0.9</v>
      </c>
      <c r="N36" s="189">
        <v>0.16</v>
      </c>
      <c r="O36" s="209" t="str">
        <v>campaign1：自动广告
campaign2：手动广告主推词BP
campaign3：SD-categories
campaign4：PT
campaign5：手动广告核心关键词E
campaign6：SBV-PT / SBV-KT</v>
      </c>
      <c r="P36" s="203"/>
      <c r="Q36" s="197"/>
      <c r="R36" s="206"/>
      <c r="S36" s="126"/>
      <c r="T36" s="126"/>
      <c r="U36" s="126"/>
      <c r="V36" s="126"/>
      <c r="W36" s="126"/>
      <c r="X36" s="126"/>
    </row>
    <row customHeight="true" ht="28" r="37">
      <c r="A37" s="208"/>
      <c r="B37" s="207"/>
      <c r="C37" s="162"/>
      <c r="D37" s="162"/>
      <c r="E37" s="162"/>
      <c r="F37" s="168"/>
      <c r="G37" s="165"/>
      <c r="H37" s="50"/>
      <c r="I37" s="49"/>
      <c r="J37" s="16"/>
      <c r="K37" s="204">
        <f>L37*M37</f>
      </c>
      <c r="L37" s="202">
        <f>$H$36/N37</f>
      </c>
      <c r="M37" s="192">
        <v>0.9</v>
      </c>
      <c r="N37" s="189">
        <v>0.16</v>
      </c>
      <c r="O37" s="205"/>
      <c r="P37" s="203"/>
      <c r="Q37" s="197"/>
      <c r="R37" s="206"/>
      <c r="S37" s="126"/>
      <c r="T37" s="126"/>
      <c r="U37" s="126"/>
      <c r="V37" s="126"/>
      <c r="W37" s="126"/>
      <c r="X37" s="126"/>
    </row>
    <row customHeight="true" ht="28" r="38">
      <c r="A38" s="208"/>
      <c r="B38" s="207"/>
      <c r="C38" s="162"/>
      <c r="D38" s="162"/>
      <c r="E38" s="162"/>
      <c r="F38" s="168"/>
      <c r="G38" s="165"/>
      <c r="H38" s="50"/>
      <c r="I38" s="49"/>
      <c r="J38" s="16"/>
      <c r="K38" s="204">
        <f>L38*M38</f>
      </c>
      <c r="L38" s="202">
        <f>$H$36/N38</f>
      </c>
      <c r="M38" s="192">
        <v>0.9</v>
      </c>
      <c r="N38" s="189">
        <v>0.16</v>
      </c>
      <c r="O38" s="205"/>
      <c r="P38" s="203"/>
      <c r="Q38" s="197"/>
      <c r="R38" s="206"/>
      <c r="S38" s="126"/>
      <c r="T38" s="126"/>
      <c r="U38" s="126"/>
      <c r="V38" s="126"/>
      <c r="W38" s="126"/>
      <c r="X38" s="126"/>
    </row>
    <row customHeight="true" ht="28" r="39">
      <c r="A39" s="190"/>
      <c r="B39" s="185"/>
      <c r="C39" s="186"/>
      <c r="D39" s="186"/>
      <c r="E39" s="186"/>
      <c r="F39" s="187"/>
      <c r="G39" s="198"/>
      <c r="H39" s="194"/>
      <c r="I39" s="191"/>
      <c r="J39" s="188"/>
      <c r="K39" s="199">
        <f>L39*M39</f>
      </c>
      <c r="L39" s="195">
        <f>$H$36/N39</f>
      </c>
      <c r="M39" s="192">
        <v>0.9</v>
      </c>
      <c r="N39" s="189">
        <v>0.16</v>
      </c>
      <c r="O39" s="200"/>
      <c r="P39" s="203"/>
      <c r="Q39" s="197"/>
      <c r="R39" s="193"/>
      <c r="S39" s="126"/>
      <c r="T39" s="126"/>
      <c r="U39" s="126"/>
      <c r="V39" s="126"/>
      <c r="W39" s="126"/>
      <c r="X39" s="126"/>
    </row>
    <row customHeight="true" ht="28" r="40">
      <c r="A40" s="220" t="str">
        <v>WEEK8</v>
      </c>
      <c r="B40" s="213" t="str">
        <v>6.18-6.24</v>
      </c>
      <c r="C40" s="210">
        <v>119.99</v>
      </c>
      <c r="D40" s="210">
        <v>7.14285714285714</v>
      </c>
      <c r="E40" s="210">
        <f>C40*D40*7</f>
      </c>
      <c r="F40" s="214">
        <v>0.105042016806723</v>
      </c>
      <c r="G40" s="211">
        <f>D40/F40</f>
      </c>
      <c r="H40" s="218">
        <f>D40*J40</f>
      </c>
      <c r="I40" s="217">
        <f>H40*C40</f>
      </c>
      <c r="J40" s="215">
        <v>0.45</v>
      </c>
      <c r="K40" s="212">
        <f>L40*M40</f>
      </c>
      <c r="L40" s="219">
        <f>$H$40/N40</f>
      </c>
      <c r="M40" s="192">
        <v>0.9</v>
      </c>
      <c r="N40" s="189">
        <v>0.16</v>
      </c>
      <c r="O40" s="209" t="str">
        <v>campaign1：自动广告
campaign2：手动广告主推词BP
campaign3：SD-categories
campaign4：PT
campaign5：手动广告核心关键词E
campaign6：SBV-PT / SBV-KT</v>
      </c>
      <c r="P40" s="203"/>
      <c r="Q40" s="197"/>
      <c r="R40" s="221" t="str">
        <v>SP:70%
SD:15%
SB:15%</v>
      </c>
      <c r="S40" s="126"/>
      <c r="T40" s="126"/>
      <c r="U40" s="126"/>
      <c r="V40" s="126"/>
      <c r="W40" s="126"/>
      <c r="X40" s="126"/>
    </row>
    <row customHeight="true" ht="28" r="41">
      <c r="A41" s="208"/>
      <c r="B41" s="207"/>
      <c r="C41" s="162"/>
      <c r="D41" s="162"/>
      <c r="E41" s="162"/>
      <c r="F41" s="168"/>
      <c r="G41" s="165"/>
      <c r="H41" s="50"/>
      <c r="I41" s="49"/>
      <c r="J41" s="16"/>
      <c r="K41" s="204">
        <f>L41*M41</f>
      </c>
      <c r="L41" s="202">
        <f>$H$40/N41</f>
      </c>
      <c r="M41" s="192">
        <v>0.9</v>
      </c>
      <c r="N41" s="189">
        <v>0.16</v>
      </c>
      <c r="O41" s="205"/>
      <c r="P41" s="203"/>
      <c r="Q41" s="197"/>
      <c r="R41" s="206"/>
      <c r="S41" s="126"/>
      <c r="T41" s="126"/>
      <c r="U41" s="126"/>
      <c r="V41" s="126"/>
      <c r="W41" s="126"/>
      <c r="X41" s="126"/>
    </row>
    <row customHeight="true" ht="28" r="42">
      <c r="A42" s="208"/>
      <c r="B42" s="207"/>
      <c r="C42" s="162"/>
      <c r="D42" s="162"/>
      <c r="E42" s="162"/>
      <c r="F42" s="168"/>
      <c r="G42" s="165"/>
      <c r="H42" s="50"/>
      <c r="I42" s="49"/>
      <c r="J42" s="16"/>
      <c r="K42" s="204">
        <f>L42*M42</f>
      </c>
      <c r="L42" s="202">
        <f>$H$40/N42</f>
      </c>
      <c r="M42" s="192">
        <v>0.9</v>
      </c>
      <c r="N42" s="189">
        <v>0.16</v>
      </c>
      <c r="O42" s="205"/>
      <c r="P42" s="203"/>
      <c r="Q42" s="197"/>
      <c r="R42" s="206"/>
      <c r="S42" s="126"/>
      <c r="T42" s="126"/>
      <c r="U42" s="126"/>
      <c r="V42" s="126"/>
      <c r="W42" s="126"/>
      <c r="X42" s="126"/>
    </row>
    <row customHeight="true" ht="28" r="43">
      <c r="A43" s="190"/>
      <c r="B43" s="185"/>
      <c r="C43" s="186"/>
      <c r="D43" s="186"/>
      <c r="E43" s="186"/>
      <c r="F43" s="187"/>
      <c r="G43" s="198"/>
      <c r="H43" s="194"/>
      <c r="I43" s="191"/>
      <c r="J43" s="188"/>
      <c r="K43" s="199">
        <f>L43*M43</f>
      </c>
      <c r="L43" s="195">
        <f>$H$40/N43</f>
      </c>
      <c r="M43" s="192">
        <v>0.9</v>
      </c>
      <c r="N43" s="189">
        <v>0.16</v>
      </c>
      <c r="O43" s="200"/>
      <c r="P43" s="203"/>
      <c r="Q43" s="197"/>
      <c r="R43" s="206"/>
      <c r="S43" s="126"/>
      <c r="T43" s="126"/>
      <c r="U43" s="126"/>
      <c r="V43" s="126"/>
      <c r="W43" s="126"/>
      <c r="X43" s="126"/>
    </row>
    <row customHeight="true" ht="28" r="44">
      <c r="A44" s="216" t="str">
        <v>WEEK9</v>
      </c>
      <c r="B44" s="213" t="str">
        <v>6.25-7.1</v>
      </c>
      <c r="C44" s="210">
        <v>119.99</v>
      </c>
      <c r="D44" s="210">
        <v>7.85714285714286</v>
      </c>
      <c r="E44" s="210">
        <f>C44*D44*7</f>
      </c>
      <c r="F44" s="214">
        <v>0.112244897959184</v>
      </c>
      <c r="G44" s="211">
        <f>D44/F44</f>
      </c>
      <c r="H44" s="218">
        <f>D44*J44</f>
      </c>
      <c r="I44" s="217">
        <f>H44*C44</f>
      </c>
      <c r="J44" s="215">
        <v>0.45</v>
      </c>
      <c r="K44" s="212">
        <f>L44*M44</f>
      </c>
      <c r="L44" s="219">
        <f>$H$44/N44</f>
      </c>
      <c r="M44" s="192">
        <v>0.9</v>
      </c>
      <c r="N44" s="189">
        <v>0.16</v>
      </c>
      <c r="O44" s="209" t="str">
        <v>campaign1：自动广告
campaign2：手动广告主推词BP
campaign3：SD-categories
campaign4：PT
campaign5：手动广告核心关键词E
campaign6：SBV-PT / SBV-KT</v>
      </c>
      <c r="P44" s="203"/>
      <c r="Q44" s="197"/>
      <c r="R44" s="206"/>
      <c r="S44" s="126"/>
      <c r="T44" s="126"/>
      <c r="U44" s="126"/>
      <c r="V44" s="126"/>
      <c r="W44" s="126"/>
      <c r="X44" s="126"/>
    </row>
    <row customHeight="true" ht="28" r="45">
      <c r="A45" s="208"/>
      <c r="B45" s="207"/>
      <c r="C45" s="162"/>
      <c r="D45" s="162"/>
      <c r="E45" s="162"/>
      <c r="F45" s="168"/>
      <c r="G45" s="165"/>
      <c r="H45" s="50"/>
      <c r="I45" s="49"/>
      <c r="J45" s="16"/>
      <c r="K45" s="204">
        <f>L45*M45</f>
      </c>
      <c r="L45" s="202">
        <f>$H$44/N45</f>
      </c>
      <c r="M45" s="192">
        <v>0.9</v>
      </c>
      <c r="N45" s="189">
        <v>0.16</v>
      </c>
      <c r="O45" s="205"/>
      <c r="P45" s="203"/>
      <c r="Q45" s="197"/>
      <c r="R45" s="206"/>
      <c r="S45" s="126"/>
      <c r="T45" s="126"/>
      <c r="U45" s="126"/>
      <c r="V45" s="126"/>
      <c r="W45" s="126"/>
      <c r="X45" s="126"/>
    </row>
    <row customHeight="true" ht="28" r="46">
      <c r="A46" s="208"/>
      <c r="B46" s="207"/>
      <c r="C46" s="162"/>
      <c r="D46" s="162"/>
      <c r="E46" s="162"/>
      <c r="F46" s="168"/>
      <c r="G46" s="165"/>
      <c r="H46" s="50"/>
      <c r="I46" s="49"/>
      <c r="J46" s="16"/>
      <c r="K46" s="204">
        <f>L46*M46</f>
      </c>
      <c r="L46" s="202">
        <f>$H$44/N46</f>
      </c>
      <c r="M46" s="192">
        <v>0.9</v>
      </c>
      <c r="N46" s="189">
        <v>0.16</v>
      </c>
      <c r="O46" s="205"/>
      <c r="P46" s="203"/>
      <c r="Q46" s="197"/>
      <c r="R46" s="206"/>
      <c r="S46" s="126"/>
      <c r="T46" s="126"/>
      <c r="U46" s="126"/>
      <c r="V46" s="126"/>
      <c r="W46" s="126"/>
      <c r="X46" s="126"/>
    </row>
    <row customHeight="true" ht="28" r="47">
      <c r="A47" s="190"/>
      <c r="B47" s="185"/>
      <c r="C47" s="186"/>
      <c r="D47" s="186"/>
      <c r="E47" s="186"/>
      <c r="F47" s="187"/>
      <c r="G47" s="198"/>
      <c r="H47" s="194"/>
      <c r="I47" s="191"/>
      <c r="J47" s="188"/>
      <c r="K47" s="199">
        <f>L47*M47</f>
      </c>
      <c r="L47" s="195">
        <f>$H$44/N47</f>
      </c>
      <c r="M47" s="192">
        <v>0.9</v>
      </c>
      <c r="N47" s="189">
        <v>0.16</v>
      </c>
      <c r="O47" s="200"/>
      <c r="P47" s="203"/>
      <c r="Q47" s="197"/>
      <c r="R47" s="193"/>
      <c r="S47" s="126"/>
      <c r="T47" s="126"/>
      <c r="U47" s="126"/>
      <c r="V47" s="126"/>
      <c r="W47" s="126"/>
      <c r="X47" s="126"/>
    </row>
    <row customHeight="true" ht="28" r="48">
      <c r="A48" s="220" t="str">
        <v>WEEK10</v>
      </c>
      <c r="B48" s="213" t="str">
        <v>7.2-7.8</v>
      </c>
      <c r="C48" s="210">
        <v>119.99</v>
      </c>
      <c r="D48" s="210">
        <v>9.28571428571429</v>
      </c>
      <c r="E48" s="210">
        <f>C48*D48*7</f>
      </c>
      <c r="F48" s="214">
        <v>0.123809523809524</v>
      </c>
      <c r="G48" s="211">
        <f>D48/F48</f>
      </c>
      <c r="H48" s="218">
        <f>D48*J48</f>
      </c>
      <c r="I48" s="217">
        <f>H48*C48</f>
      </c>
      <c r="J48" s="215">
        <v>0.4</v>
      </c>
      <c r="K48" s="212">
        <f>L48*M48</f>
      </c>
      <c r="L48" s="219">
        <f>$H$48/N48</f>
      </c>
      <c r="M48" s="192">
        <v>0.9</v>
      </c>
      <c r="N48" s="189">
        <v>0.16</v>
      </c>
      <c r="O48" s="209" t="str">
        <v>campaign1：自动广告
campaign2：手动广告主推词BP
campaign3：SD-categories
campaign4：PT
campaign5：手动广告核心关键词E
campaign6：SBV-PT / SBV-KT</v>
      </c>
      <c r="P48" s="203"/>
      <c r="Q48" s="197"/>
      <c r="R48" s="221" t="str">
        <v>SP:70%
SD:15%
SB:15%</v>
      </c>
      <c r="S48" s="126"/>
      <c r="T48" s="126"/>
      <c r="U48" s="126"/>
      <c r="V48" s="126"/>
      <c r="W48" s="126"/>
      <c r="X48" s="126"/>
    </row>
    <row customHeight="true" ht="28" r="49">
      <c r="A49" s="208"/>
      <c r="B49" s="207"/>
      <c r="C49" s="162"/>
      <c r="D49" s="162"/>
      <c r="E49" s="162"/>
      <c r="F49" s="168"/>
      <c r="G49" s="165"/>
      <c r="H49" s="50"/>
      <c r="I49" s="49"/>
      <c r="J49" s="16"/>
      <c r="K49" s="204">
        <f>L49*M49</f>
      </c>
      <c r="L49" s="202">
        <f>$H$48/N49</f>
      </c>
      <c r="M49" s="192">
        <v>0.9</v>
      </c>
      <c r="N49" s="189">
        <v>0.16</v>
      </c>
      <c r="O49" s="205"/>
      <c r="P49" s="203"/>
      <c r="Q49" s="197"/>
      <c r="R49" s="206"/>
      <c r="S49" s="126"/>
      <c r="T49" s="126"/>
      <c r="U49" s="126"/>
      <c r="V49" s="126"/>
      <c r="W49" s="126"/>
      <c r="X49" s="126"/>
    </row>
    <row customHeight="true" ht="28" r="50">
      <c r="A50" s="208"/>
      <c r="B50" s="207"/>
      <c r="C50" s="162"/>
      <c r="D50" s="162"/>
      <c r="E50" s="162"/>
      <c r="F50" s="168"/>
      <c r="G50" s="165"/>
      <c r="H50" s="50"/>
      <c r="I50" s="49"/>
      <c r="J50" s="16"/>
      <c r="K50" s="204">
        <f>L50*M50</f>
      </c>
      <c r="L50" s="202">
        <f>$H$48/N50</f>
      </c>
      <c r="M50" s="192">
        <v>0.9</v>
      </c>
      <c r="N50" s="189">
        <v>0.16</v>
      </c>
      <c r="O50" s="205"/>
      <c r="P50" s="203"/>
      <c r="Q50" s="197"/>
      <c r="R50" s="206"/>
      <c r="S50" s="126"/>
      <c r="T50" s="126"/>
      <c r="U50" s="126"/>
      <c r="V50" s="126"/>
      <c r="W50" s="126"/>
      <c r="X50" s="126"/>
    </row>
    <row customHeight="true" ht="28" r="51">
      <c r="A51" s="190"/>
      <c r="B51" s="185"/>
      <c r="C51" s="186"/>
      <c r="D51" s="186"/>
      <c r="E51" s="186"/>
      <c r="F51" s="187"/>
      <c r="G51" s="198"/>
      <c r="H51" s="194"/>
      <c r="I51" s="191"/>
      <c r="J51" s="188"/>
      <c r="K51" s="199">
        <f>L51*M51</f>
      </c>
      <c r="L51" s="195">
        <f>$H$48/N51</f>
      </c>
      <c r="M51" s="192">
        <v>0.9</v>
      </c>
      <c r="N51" s="189">
        <v>0.16</v>
      </c>
      <c r="O51" s="200"/>
      <c r="P51" s="203"/>
      <c r="Q51" s="197"/>
      <c r="R51" s="206"/>
      <c r="S51" s="126"/>
      <c r="T51" s="126"/>
      <c r="U51" s="126"/>
      <c r="V51" s="126"/>
      <c r="W51" s="126"/>
      <c r="X51" s="126"/>
    </row>
    <row customHeight="true" ht="28" r="52">
      <c r="A52" s="216" t="str">
        <v>WEEK11</v>
      </c>
      <c r="B52" s="213" t="str">
        <v>7.9-7.15</v>
      </c>
      <c r="C52" s="210">
        <v>119.99</v>
      </c>
      <c r="D52" s="210">
        <v>10.2857142857143</v>
      </c>
      <c r="E52" s="210">
        <f>C52*D52*7</f>
      </c>
      <c r="F52" s="214">
        <v>0.137142857142857</v>
      </c>
      <c r="G52" s="211">
        <f>D52/F52</f>
      </c>
      <c r="H52" s="218">
        <f>D52*J52</f>
      </c>
      <c r="I52" s="217">
        <f>H52*C52</f>
      </c>
      <c r="J52" s="215">
        <v>0.35</v>
      </c>
      <c r="K52" s="212">
        <f>L52*M52</f>
      </c>
      <c r="L52" s="219">
        <f>$H$52/N52</f>
      </c>
      <c r="M52" s="192">
        <v>0.9</v>
      </c>
      <c r="N52" s="189">
        <v>0.16</v>
      </c>
      <c r="O52" s="209" t="str">
        <v>campaign1：自动广告
campaign2：手动广告主推词BP
campaign3：SD-categories
campaign4：PT
campaign5：手动广告核心关键词E
campaign6：SBV-PT / SBV-KT</v>
      </c>
      <c r="P52" s="203"/>
      <c r="Q52" s="197"/>
      <c r="R52" s="206"/>
      <c r="S52" s="126"/>
      <c r="T52" s="126"/>
      <c r="U52" s="126"/>
      <c r="V52" s="126"/>
      <c r="W52" s="126"/>
      <c r="X52" s="126"/>
    </row>
    <row customHeight="true" ht="28" r="53">
      <c r="A53" s="208"/>
      <c r="B53" s="207"/>
      <c r="C53" s="162"/>
      <c r="D53" s="162"/>
      <c r="E53" s="162"/>
      <c r="F53" s="168"/>
      <c r="G53" s="165"/>
      <c r="H53" s="50"/>
      <c r="I53" s="49"/>
      <c r="J53" s="16"/>
      <c r="K53" s="204">
        <f>L53*M53</f>
      </c>
      <c r="L53" s="202">
        <f>$H$52/N53</f>
      </c>
      <c r="M53" s="192">
        <v>0.9</v>
      </c>
      <c r="N53" s="189">
        <v>0.16</v>
      </c>
      <c r="O53" s="205"/>
      <c r="P53" s="203"/>
      <c r="Q53" s="197"/>
      <c r="R53" s="206"/>
      <c r="S53" s="126"/>
      <c r="T53" s="126"/>
      <c r="U53" s="126"/>
      <c r="V53" s="126"/>
      <c r="W53" s="126"/>
      <c r="X53" s="126"/>
    </row>
    <row customHeight="true" ht="28" r="54">
      <c r="A54" s="208"/>
      <c r="B54" s="207"/>
      <c r="C54" s="162"/>
      <c r="D54" s="162"/>
      <c r="E54" s="162"/>
      <c r="F54" s="168"/>
      <c r="G54" s="165"/>
      <c r="H54" s="50"/>
      <c r="I54" s="49"/>
      <c r="J54" s="16"/>
      <c r="K54" s="204">
        <f>L54*M54</f>
      </c>
      <c r="L54" s="202">
        <f>$H$52/N54</f>
      </c>
      <c r="M54" s="192">
        <v>0.9</v>
      </c>
      <c r="N54" s="189">
        <v>0.16</v>
      </c>
      <c r="O54" s="205"/>
      <c r="P54" s="203"/>
      <c r="Q54" s="197"/>
      <c r="R54" s="206"/>
      <c r="S54" s="126"/>
      <c r="T54" s="126"/>
      <c r="U54" s="126"/>
      <c r="V54" s="126"/>
      <c r="W54" s="126"/>
      <c r="X54" s="126"/>
    </row>
    <row customHeight="true" ht="28" r="55">
      <c r="A55" s="190"/>
      <c r="B55" s="185"/>
      <c r="C55" s="186"/>
      <c r="D55" s="186"/>
      <c r="E55" s="186"/>
      <c r="F55" s="187"/>
      <c r="G55" s="198"/>
      <c r="H55" s="194"/>
      <c r="I55" s="191"/>
      <c r="J55" s="188"/>
      <c r="K55" s="199">
        <f>L55*M55</f>
      </c>
      <c r="L55" s="195">
        <f>$H$52/N55</f>
      </c>
      <c r="M55" s="192">
        <v>0.9</v>
      </c>
      <c r="N55" s="189">
        <v>0.16</v>
      </c>
      <c r="O55" s="200"/>
      <c r="P55" s="196"/>
      <c r="Q55" s="197"/>
      <c r="R55" s="193"/>
      <c r="S55" s="126"/>
      <c r="T55" s="126"/>
      <c r="U55" s="126"/>
      <c r="V55" s="126"/>
      <c r="W55" s="126"/>
      <c r="X55" s="126"/>
    </row>
    <row customHeight="true" ht="28" r="56">
      <c r="A56" s="220" t="str">
        <v>WEEK12</v>
      </c>
      <c r="B56" s="213" t="str">
        <v>7.16-7.22</v>
      </c>
      <c r="C56" s="210">
        <v>119.99</v>
      </c>
      <c r="D56" s="210">
        <v>10.7142857142857</v>
      </c>
      <c r="E56" s="210">
        <f>C56*D56*7</f>
      </c>
      <c r="F56" s="214">
        <v>0.142857142857143</v>
      </c>
      <c r="G56" s="211">
        <f>D56/F56</f>
      </c>
      <c r="H56" s="218">
        <f>D56*J56</f>
      </c>
      <c r="I56" s="217">
        <f>H56*C56</f>
      </c>
      <c r="J56" s="215">
        <v>0.3</v>
      </c>
      <c r="K56" s="212">
        <f>L56*M56</f>
      </c>
      <c r="L56" s="219">
        <f>$H$56/N56</f>
      </c>
      <c r="M56" s="192">
        <v>0.9</v>
      </c>
      <c r="N56" s="189">
        <v>0.16</v>
      </c>
      <c r="O56" s="209" t="str">
        <v>campaign1：自动广告
campaign2：手动广告主推词PE
campaign3：SD-categories
campaign4：PT
campaign5：手动广告核心关键词E
campaign6：SBV-PT / SBV-KT</v>
      </c>
      <c r="P56" s="222" t="s">
        <v>9</v>
      </c>
      <c r="Q56" s="197"/>
      <c r="R56" s="221" t="str">
        <v>SP:60%
SD:20%
SB:20%</v>
      </c>
      <c r="S56" s="126"/>
      <c r="T56" s="126"/>
      <c r="U56" s="126"/>
      <c r="V56" s="126"/>
      <c r="W56" s="126"/>
      <c r="X56" s="126"/>
    </row>
    <row customHeight="true" ht="28" r="57">
      <c r="A57" s="208"/>
      <c r="B57" s="207"/>
      <c r="C57" s="162"/>
      <c r="D57" s="162"/>
      <c r="E57" s="162"/>
      <c r="F57" s="168"/>
      <c r="G57" s="165"/>
      <c r="H57" s="50"/>
      <c r="I57" s="49"/>
      <c r="J57" s="16"/>
      <c r="K57" s="204">
        <f>L57*M57</f>
      </c>
      <c r="L57" s="202">
        <f>$H$56/N57</f>
      </c>
      <c r="M57" s="192">
        <v>0.9</v>
      </c>
      <c r="N57" s="189">
        <v>0.16</v>
      </c>
      <c r="O57" s="205"/>
      <c r="P57" s="203"/>
      <c r="Q57" s="197"/>
      <c r="R57" s="206"/>
      <c r="S57" s="126"/>
      <c r="T57" s="126"/>
      <c r="U57" s="126"/>
      <c r="V57" s="126"/>
      <c r="W57" s="126"/>
      <c r="X57" s="126"/>
    </row>
    <row customHeight="true" ht="28" r="58">
      <c r="A58" s="208"/>
      <c r="B58" s="207"/>
      <c r="C58" s="162"/>
      <c r="D58" s="162"/>
      <c r="E58" s="162"/>
      <c r="F58" s="168"/>
      <c r="G58" s="165"/>
      <c r="H58" s="50"/>
      <c r="I58" s="49"/>
      <c r="J58" s="16"/>
      <c r="K58" s="204">
        <f>L58*M58</f>
      </c>
      <c r="L58" s="202">
        <f>$H$56/N58</f>
      </c>
      <c r="M58" s="192">
        <v>0.9</v>
      </c>
      <c r="N58" s="189">
        <v>0.16</v>
      </c>
      <c r="O58" s="205"/>
      <c r="P58" s="203"/>
      <c r="Q58" s="197"/>
      <c r="R58" s="206"/>
      <c r="S58" s="126"/>
      <c r="T58" s="126"/>
      <c r="U58" s="126"/>
      <c r="V58" s="126"/>
      <c r="W58" s="126"/>
      <c r="X58" s="126"/>
    </row>
    <row customHeight="true" ht="28" r="59">
      <c r="A59" s="190"/>
      <c r="B59" s="185"/>
      <c r="C59" s="186"/>
      <c r="D59" s="186"/>
      <c r="E59" s="186"/>
      <c r="F59" s="187"/>
      <c r="G59" s="198"/>
      <c r="H59" s="194"/>
      <c r="I59" s="191"/>
      <c r="J59" s="188"/>
      <c r="K59" s="199">
        <f>L59*M59</f>
      </c>
      <c r="L59" s="195">
        <f>$H$56/N59</f>
      </c>
      <c r="M59" s="192">
        <v>0.9</v>
      </c>
      <c r="N59" s="189">
        <v>0.16</v>
      </c>
      <c r="O59" s="200"/>
      <c r="P59" s="203"/>
      <c r="Q59" s="197"/>
      <c r="R59" s="206"/>
      <c r="S59" s="126"/>
      <c r="T59" s="126"/>
      <c r="U59" s="126"/>
      <c r="V59" s="126"/>
      <c r="W59" s="126"/>
      <c r="X59" s="126"/>
    </row>
    <row customHeight="true" ht="28" r="60">
      <c r="A60" s="216" t="str">
        <v>WEEK13</v>
      </c>
      <c r="B60" s="213" t="str">
        <v>7.23-7.31</v>
      </c>
      <c r="C60" s="210">
        <v>119.99</v>
      </c>
      <c r="D60" s="210">
        <v>11.4285714285714</v>
      </c>
      <c r="E60" s="210">
        <f>C60*D60*7</f>
      </c>
      <c r="F60" s="214">
        <v>0.152380952380952</v>
      </c>
      <c r="G60" s="211">
        <f>D60/F60</f>
      </c>
      <c r="H60" s="218">
        <f>D60*J60</f>
      </c>
      <c r="I60" s="217">
        <f>H60*C60</f>
      </c>
      <c r="J60" s="215">
        <v>0.3</v>
      </c>
      <c r="K60" s="212">
        <f>L60*M60</f>
      </c>
      <c r="L60" s="219">
        <f>$H$60/N60</f>
      </c>
      <c r="M60" s="192">
        <v>0.9</v>
      </c>
      <c r="N60" s="189">
        <v>0.17</v>
      </c>
      <c r="O60" s="209" t="str">
        <v>campaign1：自动广告
campaign2：手动广告主推词PE
campaign3：SD-categories
campaign4：PT
campaign5：手动广告核心关键词E
campaign6：SBV-PT / SBV-KT</v>
      </c>
      <c r="P60" s="203"/>
      <c r="Q60" s="197"/>
      <c r="R60" s="206"/>
      <c r="S60" s="126"/>
      <c r="T60" s="126"/>
      <c r="U60" s="126"/>
      <c r="V60" s="126"/>
      <c r="W60" s="126"/>
      <c r="X60" s="126"/>
    </row>
    <row customHeight="true" ht="28" r="61">
      <c r="A61" s="208"/>
      <c r="B61" s="207"/>
      <c r="C61" s="162"/>
      <c r="D61" s="162"/>
      <c r="E61" s="162"/>
      <c r="F61" s="168"/>
      <c r="G61" s="165"/>
      <c r="H61" s="50"/>
      <c r="I61" s="49"/>
      <c r="J61" s="16"/>
      <c r="K61" s="204">
        <f>L61*M61</f>
      </c>
      <c r="L61" s="202">
        <f>$H$60/N61</f>
      </c>
      <c r="M61" s="192">
        <v>0.9</v>
      </c>
      <c r="N61" s="189">
        <v>0.17</v>
      </c>
      <c r="O61" s="205"/>
      <c r="P61" s="203"/>
      <c r="Q61" s="197"/>
      <c r="R61" s="206"/>
      <c r="S61" s="126"/>
      <c r="T61" s="126"/>
      <c r="U61" s="126"/>
      <c r="V61" s="126"/>
      <c r="W61" s="126"/>
      <c r="X61" s="126"/>
    </row>
    <row customHeight="true" ht="28" r="62">
      <c r="A62" s="208"/>
      <c r="B62" s="207"/>
      <c r="C62" s="162"/>
      <c r="D62" s="162"/>
      <c r="E62" s="162"/>
      <c r="F62" s="168"/>
      <c r="G62" s="165"/>
      <c r="H62" s="50"/>
      <c r="I62" s="49"/>
      <c r="J62" s="16"/>
      <c r="K62" s="204">
        <f>L62*M62</f>
      </c>
      <c r="L62" s="202">
        <f>$H$60/N62</f>
      </c>
      <c r="M62" s="192">
        <v>0.9</v>
      </c>
      <c r="N62" s="189">
        <v>0.17</v>
      </c>
      <c r="O62" s="205"/>
      <c r="P62" s="203"/>
      <c r="Q62" s="197"/>
      <c r="R62" s="206"/>
      <c r="S62" s="126"/>
      <c r="T62" s="126"/>
      <c r="U62" s="126"/>
      <c r="V62" s="126"/>
      <c r="W62" s="126"/>
      <c r="X62" s="126"/>
    </row>
    <row customHeight="true" ht="28" r="63">
      <c r="A63" s="190"/>
      <c r="B63" s="185"/>
      <c r="C63" s="186"/>
      <c r="D63" s="186"/>
      <c r="E63" s="186"/>
      <c r="F63" s="187"/>
      <c r="G63" s="198"/>
      <c r="H63" s="194"/>
      <c r="I63" s="191"/>
      <c r="J63" s="188"/>
      <c r="K63" s="199">
        <f>L63*M63</f>
      </c>
      <c r="L63" s="195">
        <f>$H$60/N63</f>
      </c>
      <c r="M63" s="192">
        <v>0.9</v>
      </c>
      <c r="N63" s="189">
        <v>0.17</v>
      </c>
      <c r="O63" s="200"/>
      <c r="P63" s="196"/>
      <c r="Q63" s="201"/>
      <c r="R63" s="193"/>
      <c r="S63" s="126"/>
      <c r="T63" s="126"/>
      <c r="U63" s="126"/>
      <c r="V63" s="126"/>
      <c r="W63" s="126"/>
      <c r="X63" s="126"/>
    </row>
    <row customHeight="true" ht="28" r="64">
      <c r="A64" s="220" t="str">
        <v>WEEK12</v>
      </c>
      <c r="B64" s="213" t="str">
        <v>7.16-7.22</v>
      </c>
      <c r="C64" s="210">
        <v>119.99</v>
      </c>
      <c r="D64" s="210">
        <v>10.7142857142857</v>
      </c>
      <c r="E64" s="210">
        <f>C64*D64*7</f>
      </c>
      <c r="F64" s="214">
        <v>0.178571428571429</v>
      </c>
      <c r="G64" s="211">
        <f>D64/F64</f>
      </c>
      <c r="H64" s="218">
        <f>D64*J64</f>
      </c>
      <c r="I64" s="217">
        <f>H64*C64</f>
      </c>
      <c r="J64" s="215">
        <v>0.3</v>
      </c>
      <c r="K64" s="212">
        <f>L64*M64</f>
      </c>
      <c r="L64" s="219">
        <f>$H$56/N64</f>
      </c>
      <c r="M64" s="192">
        <v>0.9</v>
      </c>
      <c r="N64" s="189">
        <v>0.17</v>
      </c>
      <c r="O64" s="209" t="str">
        <v>campaign1：自动广告
campaign2：手动广告主推词PE
campaign3：SD-categories
campaign4：PT
campaign5：手动广告核心关键词E
campaign6：SBV-PT / SBV-KT</v>
      </c>
      <c r="P64" s="244" t="s">
        <v>8</v>
      </c>
      <c r="Q64" s="240" t="str">
        <v>milbensauger</v>
      </c>
      <c r="R64" s="221" t="str">
        <v>SP:60%
SD:20%
SB:20%</v>
      </c>
      <c r="S64" s="126"/>
      <c r="T64" s="126"/>
      <c r="U64" s="126"/>
      <c r="V64" s="126"/>
      <c r="W64" s="126"/>
      <c r="X64" s="126"/>
    </row>
    <row customHeight="true" ht="28" r="65">
      <c r="A65" s="208"/>
      <c r="B65" s="207"/>
      <c r="C65" s="162"/>
      <c r="D65" s="162"/>
      <c r="E65" s="162"/>
      <c r="F65" s="168"/>
      <c r="G65" s="165"/>
      <c r="H65" s="50"/>
      <c r="I65" s="49"/>
      <c r="J65" s="16"/>
      <c r="K65" s="204">
        <f>L65*M65</f>
      </c>
      <c r="L65" s="202">
        <f>$H$56/N65</f>
      </c>
      <c r="M65" s="192">
        <v>0.9</v>
      </c>
      <c r="N65" s="189">
        <v>0.17</v>
      </c>
      <c r="O65" s="205"/>
      <c r="P65" s="203"/>
      <c r="Q65" s="240" t="str">
        <v>milbensauger</v>
      </c>
      <c r="R65" s="206"/>
      <c r="S65" s="126"/>
      <c r="T65" s="126"/>
      <c r="U65" s="126"/>
      <c r="V65" s="126"/>
      <c r="W65" s="126"/>
      <c r="X65" s="126"/>
    </row>
    <row customHeight="true" ht="28" r="66">
      <c r="A66" s="208"/>
      <c r="B66" s="207"/>
      <c r="C66" s="162"/>
      <c r="D66" s="162"/>
      <c r="E66" s="162"/>
      <c r="F66" s="168"/>
      <c r="G66" s="165"/>
      <c r="H66" s="50"/>
      <c r="I66" s="49"/>
      <c r="J66" s="16"/>
      <c r="K66" s="204">
        <f>L66*M66</f>
      </c>
      <c r="L66" s="202">
        <f>$H$56/N66</f>
      </c>
      <c r="M66" s="192">
        <v>0.9</v>
      </c>
      <c r="N66" s="189">
        <v>0.17</v>
      </c>
      <c r="O66" s="205"/>
      <c r="P66" s="203"/>
      <c r="Q66" s="240" t="str">
        <v>milbensauger</v>
      </c>
      <c r="R66" s="206"/>
      <c r="S66" s="126"/>
      <c r="T66" s="126"/>
      <c r="U66" s="126"/>
      <c r="V66" s="126"/>
      <c r="W66" s="126"/>
      <c r="X66" s="126"/>
    </row>
    <row customHeight="true" ht="28" r="67">
      <c r="A67" s="190"/>
      <c r="B67" s="185"/>
      <c r="C67" s="186"/>
      <c r="D67" s="186"/>
      <c r="E67" s="186"/>
      <c r="F67" s="187"/>
      <c r="G67" s="198"/>
      <c r="H67" s="194"/>
      <c r="I67" s="191"/>
      <c r="J67" s="188"/>
      <c r="K67" s="199">
        <f>L67*M67</f>
      </c>
      <c r="L67" s="195">
        <f>$H$56/N67</f>
      </c>
      <c r="M67" s="192">
        <v>0.9</v>
      </c>
      <c r="N67" s="189">
        <v>0.17</v>
      </c>
      <c r="O67" s="200"/>
      <c r="P67" s="203"/>
      <c r="Q67" s="240" t="str">
        <v>milbensauger</v>
      </c>
      <c r="R67" s="206"/>
      <c r="S67" s="126"/>
      <c r="T67" s="126"/>
      <c r="U67" s="126"/>
      <c r="V67" s="126"/>
      <c r="W67" s="126"/>
      <c r="X67" s="126"/>
    </row>
    <row customHeight="true" ht="28" r="68">
      <c r="A68" s="216" t="str">
        <v>WEEK13</v>
      </c>
      <c r="B68" s="213" t="str">
        <v>7.23-7.31</v>
      </c>
      <c r="C68" s="210">
        <v>119.99</v>
      </c>
      <c r="D68" s="210">
        <v>11.4285714285714</v>
      </c>
      <c r="E68" s="210">
        <f>C68*D68*7</f>
      </c>
      <c r="F68" s="214">
        <v>0.19047619047619</v>
      </c>
      <c r="G68" s="211">
        <f>D68/F68</f>
      </c>
      <c r="H68" s="218">
        <f>D68*J68</f>
      </c>
      <c r="I68" s="217">
        <f>H68*C68</f>
      </c>
      <c r="J68" s="215">
        <v>0.3</v>
      </c>
      <c r="K68" s="212">
        <f>L68*M68</f>
      </c>
      <c r="L68" s="219">
        <f>$H$60/N68</f>
      </c>
      <c r="M68" s="192">
        <v>0.9</v>
      </c>
      <c r="N68" s="189">
        <v>0.17</v>
      </c>
      <c r="O68" s="209" t="str">
        <v>campaign1：自动广告
campaign2：手动广告主推词PE
campaign3：SD-categories
campaign4：PT
campaign5：手动广告核心关键词E
campaign6：SBV-PT / SBV-KT</v>
      </c>
      <c r="P68" s="203"/>
      <c r="Q68" s="240" t="str">
        <v>milbensauger</v>
      </c>
      <c r="R68" s="206"/>
      <c r="S68" s="126"/>
      <c r="T68" s="126"/>
      <c r="U68" s="126"/>
      <c r="V68" s="126"/>
      <c r="W68" s="126"/>
      <c r="X68" s="126"/>
    </row>
    <row customHeight="true" ht="28" r="69">
      <c r="A69" s="208"/>
      <c r="B69" s="207"/>
      <c r="C69" s="162"/>
      <c r="D69" s="162"/>
      <c r="E69" s="162"/>
      <c r="F69" s="168"/>
      <c r="G69" s="165"/>
      <c r="H69" s="50"/>
      <c r="I69" s="49"/>
      <c r="J69" s="16"/>
      <c r="K69" s="204">
        <f>L69*M69</f>
      </c>
      <c r="L69" s="202">
        <f>$H$60/N69</f>
      </c>
      <c r="M69" s="192">
        <v>0.9</v>
      </c>
      <c r="N69" s="189">
        <v>0.17</v>
      </c>
      <c r="O69" s="205"/>
      <c r="P69" s="203"/>
      <c r="Q69" s="240" t="str">
        <v>milbensauger</v>
      </c>
      <c r="R69" s="206"/>
      <c r="S69" s="126"/>
      <c r="T69" s="126"/>
      <c r="U69" s="126"/>
      <c r="V69" s="126"/>
      <c r="W69" s="126"/>
      <c r="X69" s="126"/>
    </row>
    <row customHeight="true" ht="28" r="70">
      <c r="A70" s="208"/>
      <c r="B70" s="207"/>
      <c r="C70" s="162"/>
      <c r="D70" s="162"/>
      <c r="E70" s="162"/>
      <c r="F70" s="168"/>
      <c r="G70" s="165"/>
      <c r="H70" s="50"/>
      <c r="I70" s="49"/>
      <c r="J70" s="16"/>
      <c r="K70" s="204">
        <f>L70*M70</f>
      </c>
      <c r="L70" s="202">
        <f>$H$60/N70</f>
      </c>
      <c r="M70" s="192">
        <v>0.9</v>
      </c>
      <c r="N70" s="189">
        <v>0.17</v>
      </c>
      <c r="O70" s="205"/>
      <c r="P70" s="203"/>
      <c r="Q70" s="240" t="str">
        <v>milbensauger</v>
      </c>
      <c r="R70" s="206"/>
      <c r="S70" s="126"/>
      <c r="T70" s="126"/>
      <c r="U70" s="126"/>
      <c r="V70" s="126"/>
      <c r="W70" s="126"/>
      <c r="X70" s="126"/>
    </row>
    <row customHeight="true" ht="28" r="71">
      <c r="A71" s="190"/>
      <c r="B71" s="185"/>
      <c r="C71" s="186"/>
      <c r="D71" s="186"/>
      <c r="E71" s="186"/>
      <c r="F71" s="187"/>
      <c r="G71" s="198"/>
      <c r="H71" s="194"/>
      <c r="I71" s="191"/>
      <c r="J71" s="188"/>
      <c r="K71" s="199">
        <f>L71*M71</f>
      </c>
      <c r="L71" s="195">
        <f>$H$60/N71</f>
      </c>
      <c r="M71" s="192">
        <v>0.9</v>
      </c>
      <c r="N71" s="189">
        <v>0.17</v>
      </c>
      <c r="O71" s="200"/>
      <c r="P71" s="196"/>
      <c r="Q71" s="240" t="str">
        <v>milbensauger</v>
      </c>
      <c r="R71" s="193"/>
      <c r="S71" s="126"/>
      <c r="T71" s="126"/>
      <c r="U71" s="126"/>
      <c r="V71" s="126"/>
      <c r="W71" s="126"/>
      <c r="X71" s="126"/>
    </row>
    <row r="72">
      <c r="A72" s="190"/>
      <c r="B72" s="185"/>
      <c r="C72" s="186"/>
      <c r="D72" s="186"/>
      <c r="E72" s="186"/>
      <c r="F72" s="187"/>
      <c r="G72" s="198"/>
      <c r="H72" s="194"/>
      <c r="I72" s="191"/>
      <c r="J72" s="188"/>
      <c r="K72" s="199"/>
      <c r="L72" s="195"/>
      <c r="M72" s="192"/>
      <c r="N72" s="189"/>
      <c r="O72" s="200"/>
      <c r="P72" s="196"/>
      <c r="Q72" s="201"/>
      <c r="R72" s="193"/>
      <c r="S72" s="126"/>
      <c r="T72" s="126"/>
      <c r="U72" s="126"/>
      <c r="V72" s="126"/>
      <c r="W72" s="126"/>
      <c r="X72" s="126"/>
    </row>
    <row r="73">
      <c r="A73" s="190"/>
      <c r="B73" s="185"/>
      <c r="C73" s="186"/>
      <c r="D73" s="186"/>
      <c r="E73" s="186"/>
      <c r="F73" s="187"/>
      <c r="G73" s="198"/>
      <c r="H73" s="194"/>
      <c r="I73" s="191"/>
      <c r="J73" s="188"/>
      <c r="K73" s="199"/>
      <c r="L73" s="195"/>
      <c r="M73" s="192"/>
      <c r="N73" s="189"/>
      <c r="O73" s="200"/>
      <c r="P73" s="196"/>
      <c r="Q73" s="201"/>
      <c r="R73" s="193"/>
      <c r="S73" s="126"/>
      <c r="T73" s="126"/>
      <c r="U73" s="126"/>
      <c r="V73" s="126"/>
      <c r="W73" s="126"/>
      <c r="X73" s="126"/>
    </row>
    <row r="74">
      <c r="A74" s="190"/>
      <c r="B74" s="185"/>
      <c r="C74" s="186"/>
      <c r="D74" s="186"/>
      <c r="E74" s="186"/>
      <c r="F74" s="187"/>
      <c r="G74" s="198"/>
      <c r="H74" s="194"/>
      <c r="I74" s="191"/>
      <c r="J74" s="188"/>
      <c r="K74" s="199"/>
      <c r="L74" s="195"/>
      <c r="M74" s="192"/>
      <c r="N74" s="189"/>
      <c r="O74" s="200"/>
      <c r="P74" s="196"/>
      <c r="Q74" s="201"/>
      <c r="R74" s="193"/>
      <c r="S74" s="126"/>
      <c r="T74" s="126"/>
      <c r="U74" s="126"/>
      <c r="V74" s="126"/>
      <c r="W74" s="126"/>
      <c r="X74" s="126"/>
    </row>
    <row r="75">
      <c r="A75" s="190"/>
      <c r="B75" s="185"/>
      <c r="C75" s="186"/>
      <c r="D75" s="186"/>
      <c r="E75" s="186"/>
      <c r="F75" s="187"/>
      <c r="G75" s="198"/>
      <c r="H75" s="194"/>
      <c r="I75" s="191"/>
      <c r="J75" s="188"/>
      <c r="K75" s="199"/>
      <c r="L75" s="195"/>
      <c r="M75" s="192"/>
      <c r="N75" s="189"/>
      <c r="O75" s="200"/>
      <c r="P75" s="196"/>
      <c r="Q75" s="201"/>
      <c r="R75" s="193"/>
      <c r="S75" s="126"/>
      <c r="T75" s="126"/>
      <c r="U75" s="126"/>
      <c r="V75" s="126"/>
      <c r="W75" s="126"/>
      <c r="X75" s="126"/>
    </row>
    <row r="76">
      <c r="A76" s="190"/>
      <c r="B76" s="185"/>
      <c r="C76" s="186"/>
      <c r="D76" s="186"/>
      <c r="E76" s="186"/>
      <c r="F76" s="187"/>
      <c r="G76" s="198"/>
      <c r="H76" s="194"/>
      <c r="I76" s="191"/>
      <c r="J76" s="188"/>
      <c r="K76" s="199"/>
      <c r="L76" s="195"/>
      <c r="M76" s="192"/>
      <c r="N76" s="189"/>
      <c r="O76" s="200"/>
      <c r="P76" s="196"/>
      <c r="Q76" s="201"/>
      <c r="R76" s="193"/>
      <c r="S76" s="126"/>
      <c r="T76" s="126"/>
      <c r="U76" s="126"/>
      <c r="V76" s="126"/>
      <c r="W76" s="126"/>
      <c r="X76" s="126"/>
    </row>
    <row r="77">
      <c r="A77" s="190"/>
      <c r="B77" s="185"/>
      <c r="C77" s="186"/>
      <c r="D77" s="186"/>
      <c r="E77" s="186"/>
      <c r="F77" s="187"/>
      <c r="G77" s="198"/>
      <c r="H77" s="194"/>
      <c r="I77" s="191"/>
      <c r="J77" s="188"/>
      <c r="K77" s="199"/>
      <c r="L77" s="195"/>
      <c r="M77" s="192"/>
      <c r="N77" s="189"/>
      <c r="O77" s="200"/>
      <c r="P77" s="196"/>
      <c r="Q77" s="201"/>
      <c r="R77" s="193"/>
      <c r="S77" s="126"/>
      <c r="T77" s="126"/>
      <c r="U77" s="126"/>
      <c r="V77" s="126"/>
      <c r="W77" s="126"/>
      <c r="X77" s="126"/>
    </row>
    <row r="78">
      <c r="A78" s="190"/>
      <c r="B78" s="185"/>
      <c r="C78" s="186"/>
      <c r="D78" s="186"/>
      <c r="E78" s="186"/>
      <c r="F78" s="187"/>
      <c r="G78" s="198"/>
      <c r="H78" s="194"/>
      <c r="I78" s="191"/>
      <c r="J78" s="188"/>
      <c r="K78" s="199"/>
      <c r="L78" s="195"/>
      <c r="M78" s="192"/>
      <c r="N78" s="189"/>
      <c r="O78" s="200"/>
      <c r="P78" s="196"/>
      <c r="Q78" s="201"/>
      <c r="R78" s="193"/>
      <c r="S78" s="126"/>
      <c r="T78" s="126"/>
      <c r="U78" s="126"/>
      <c r="V78" s="126"/>
      <c r="W78" s="126"/>
      <c r="X78" s="126"/>
    </row>
    <row r="79">
      <c r="A79" s="190"/>
      <c r="B79" s="185"/>
      <c r="C79" s="186"/>
      <c r="D79" s="186"/>
      <c r="E79" s="186"/>
      <c r="F79" s="187"/>
      <c r="G79" s="198"/>
      <c r="H79" s="194"/>
      <c r="I79" s="191"/>
      <c r="J79" s="188"/>
      <c r="K79" s="199"/>
      <c r="L79" s="195"/>
      <c r="M79" s="192"/>
      <c r="N79" s="189"/>
      <c r="O79" s="200"/>
      <c r="P79" s="196"/>
      <c r="Q79" s="201"/>
      <c r="R79" s="193"/>
      <c r="S79" s="126"/>
      <c r="T79" s="126"/>
      <c r="U79" s="126"/>
      <c r="V79" s="126"/>
      <c r="W79" s="126"/>
      <c r="X79" s="126"/>
    </row>
    <row r="80">
      <c r="A80" s="190"/>
      <c r="B80" s="185"/>
      <c r="C80" s="186"/>
      <c r="D80" s="186"/>
      <c r="E80" s="186"/>
      <c r="F80" s="187"/>
      <c r="G80" s="198"/>
      <c r="H80" s="194"/>
      <c r="I80" s="191"/>
      <c r="J80" s="188"/>
      <c r="K80" s="199"/>
      <c r="L80" s="195"/>
      <c r="M80" s="192"/>
      <c r="N80" s="189"/>
      <c r="O80" s="200"/>
      <c r="P80" s="196"/>
      <c r="Q80" s="201"/>
      <c r="R80" s="193"/>
      <c r="S80" s="126"/>
      <c r="T80" s="126"/>
      <c r="U80" s="126"/>
      <c r="V80" s="126"/>
      <c r="W80" s="126"/>
      <c r="X80" s="126"/>
    </row>
    <row r="81">
      <c r="A81" s="190"/>
      <c r="B81" s="185"/>
      <c r="C81" s="186"/>
      <c r="D81" s="186"/>
      <c r="E81" s="186"/>
      <c r="F81" s="187"/>
      <c r="G81" s="198"/>
      <c r="H81" s="194"/>
      <c r="I81" s="191"/>
      <c r="J81" s="188"/>
      <c r="K81" s="199"/>
      <c r="L81" s="195"/>
      <c r="M81" s="192"/>
      <c r="N81" s="189"/>
      <c r="O81" s="200"/>
      <c r="P81" s="196"/>
      <c r="Q81" s="201"/>
      <c r="R81" s="193"/>
      <c r="S81" s="126"/>
      <c r="T81" s="126"/>
      <c r="U81" s="126"/>
      <c r="V81" s="126"/>
      <c r="W81" s="126"/>
      <c r="X81" s="126"/>
    </row>
    <row r="82">
      <c r="A82" s="190"/>
      <c r="B82" s="185"/>
      <c r="C82" s="186"/>
      <c r="D82" s="186"/>
      <c r="E82" s="186"/>
      <c r="F82" s="187"/>
      <c r="G82" s="198"/>
      <c r="H82" s="194"/>
      <c r="I82" s="191"/>
      <c r="J82" s="188"/>
      <c r="K82" s="199"/>
      <c r="L82" s="195"/>
      <c r="M82" s="192"/>
      <c r="N82" s="189"/>
      <c r="O82" s="200"/>
      <c r="P82" s="196"/>
      <c r="Q82" s="201"/>
      <c r="R82" s="193"/>
      <c r="S82" s="126"/>
      <c r="T82" s="126"/>
      <c r="U82" s="126"/>
      <c r="V82" s="126"/>
      <c r="W82" s="126"/>
      <c r="X82" s="126"/>
    </row>
    <row r="83">
      <c r="A83" s="190"/>
      <c r="B83" s="185"/>
      <c r="C83" s="186"/>
      <c r="D83" s="186"/>
      <c r="E83" s="186"/>
      <c r="F83" s="187"/>
      <c r="G83" s="198"/>
      <c r="H83" s="194"/>
      <c r="I83" s="191"/>
      <c r="J83" s="188"/>
      <c r="K83" s="199"/>
      <c r="L83" s="195"/>
      <c r="M83" s="192"/>
      <c r="N83" s="189"/>
      <c r="O83" s="200"/>
      <c r="P83" s="196"/>
      <c r="Q83" s="201"/>
      <c r="R83" s="193"/>
      <c r="S83" s="126"/>
      <c r="T83" s="126"/>
      <c r="U83" s="126"/>
      <c r="V83" s="126"/>
      <c r="W83" s="126"/>
      <c r="X83" s="126"/>
    </row>
    <row r="84">
      <c r="A84" s="190"/>
      <c r="B84" s="185"/>
      <c r="C84" s="186"/>
      <c r="D84" s="186"/>
      <c r="E84" s="186"/>
      <c r="F84" s="187"/>
      <c r="G84" s="198"/>
      <c r="H84" s="194"/>
      <c r="I84" s="191"/>
      <c r="J84" s="188"/>
      <c r="K84" s="199"/>
      <c r="L84" s="195"/>
      <c r="M84" s="192"/>
      <c r="N84" s="189"/>
      <c r="O84" s="200"/>
      <c r="P84" s="196"/>
      <c r="Q84" s="201"/>
      <c r="R84" s="193"/>
      <c r="S84" s="126"/>
      <c r="T84" s="126"/>
      <c r="U84" s="126"/>
      <c r="V84" s="126"/>
      <c r="W84" s="126"/>
      <c r="X84" s="126"/>
    </row>
    <row r="85">
      <c r="A85" s="190"/>
      <c r="B85" s="185"/>
      <c r="C85" s="186"/>
      <c r="D85" s="186"/>
      <c r="E85" s="186"/>
      <c r="F85" s="187"/>
      <c r="G85" s="198"/>
      <c r="H85" s="194"/>
      <c r="I85" s="191"/>
      <c r="J85" s="188"/>
      <c r="K85" s="199"/>
      <c r="L85" s="195"/>
      <c r="M85" s="192"/>
      <c r="N85" s="189"/>
      <c r="O85" s="200"/>
      <c r="P85" s="196"/>
      <c r="Q85" s="201"/>
      <c r="R85" s="193"/>
      <c r="S85" s="126"/>
      <c r="T85" s="126"/>
      <c r="U85" s="126"/>
      <c r="V85" s="126"/>
      <c r="W85" s="126"/>
      <c r="X85" s="126"/>
    </row>
    <row r="86">
      <c r="A86" s="190"/>
      <c r="B86" s="185"/>
      <c r="C86" s="186"/>
      <c r="D86" s="186"/>
      <c r="E86" s="186"/>
      <c r="F86" s="187"/>
      <c r="G86" s="198"/>
      <c r="H86" s="194"/>
      <c r="I86" s="191"/>
      <c r="J86" s="188"/>
      <c r="K86" s="199"/>
      <c r="L86" s="195"/>
      <c r="M86" s="192"/>
      <c r="N86" s="189"/>
      <c r="O86" s="200"/>
      <c r="P86" s="196"/>
      <c r="Q86" s="201"/>
      <c r="R86" s="193"/>
      <c r="S86" s="126"/>
      <c r="T86" s="126"/>
      <c r="U86" s="126"/>
      <c r="V86" s="126"/>
      <c r="W86" s="126"/>
      <c r="X86" s="126"/>
    </row>
    <row r="87">
      <c r="A87" s="190"/>
      <c r="B87" s="185"/>
      <c r="C87" s="186"/>
      <c r="D87" s="186"/>
      <c r="E87" s="186"/>
      <c r="F87" s="187"/>
      <c r="G87" s="198"/>
      <c r="H87" s="194"/>
      <c r="I87" s="191"/>
      <c r="J87" s="188"/>
      <c r="K87" s="199"/>
      <c r="L87" s="195"/>
      <c r="M87" s="192"/>
      <c r="N87" s="189"/>
      <c r="O87" s="200"/>
      <c r="P87" s="196"/>
      <c r="Q87" s="201"/>
      <c r="R87" s="193"/>
      <c r="S87" s="126"/>
      <c r="T87" s="126"/>
      <c r="U87" s="126"/>
      <c r="V87" s="126"/>
      <c r="W87" s="126"/>
      <c r="X87" s="126"/>
    </row>
    <row r="88">
      <c r="A88" s="190"/>
      <c r="B88" s="185"/>
      <c r="C88" s="186"/>
      <c r="D88" s="186"/>
      <c r="E88" s="186"/>
      <c r="F88" s="187"/>
      <c r="G88" s="198"/>
      <c r="H88" s="194"/>
      <c r="I88" s="191"/>
      <c r="J88" s="188"/>
      <c r="K88" s="199"/>
      <c r="L88" s="195"/>
      <c r="M88" s="192"/>
      <c r="N88" s="189"/>
      <c r="O88" s="200"/>
      <c r="P88" s="196"/>
      <c r="Q88" s="201"/>
      <c r="R88" s="193"/>
      <c r="S88" s="126"/>
      <c r="T88" s="126"/>
      <c r="U88" s="126"/>
      <c r="V88" s="126"/>
      <c r="W88" s="126"/>
      <c r="X88" s="126"/>
    </row>
    <row r="89">
      <c r="A89" s="190"/>
      <c r="B89" s="185"/>
      <c r="C89" s="186"/>
      <c r="D89" s="186"/>
      <c r="E89" s="186"/>
      <c r="F89" s="187"/>
      <c r="G89" s="198"/>
      <c r="H89" s="194"/>
      <c r="I89" s="191"/>
      <c r="J89" s="188"/>
      <c r="K89" s="199"/>
      <c r="L89" s="195"/>
      <c r="M89" s="192"/>
      <c r="N89" s="189"/>
      <c r="O89" s="200"/>
      <c r="P89" s="196"/>
      <c r="Q89" s="201"/>
      <c r="R89" s="193"/>
      <c r="S89" s="126"/>
      <c r="T89" s="126"/>
      <c r="U89" s="126"/>
      <c r="V89" s="126"/>
      <c r="W89" s="126"/>
      <c r="X89" s="126"/>
    </row>
    <row r="90">
      <c r="A90" s="190"/>
      <c r="B90" s="185"/>
      <c r="C90" s="186"/>
      <c r="D90" s="186"/>
      <c r="E90" s="186"/>
      <c r="F90" s="187"/>
      <c r="G90" s="198"/>
      <c r="H90" s="194"/>
      <c r="I90" s="191"/>
      <c r="J90" s="188"/>
      <c r="K90" s="199"/>
      <c r="L90" s="195"/>
      <c r="M90" s="192"/>
      <c r="N90" s="189"/>
      <c r="O90" s="200"/>
      <c r="P90" s="196"/>
      <c r="Q90" s="201"/>
      <c r="R90" s="193"/>
      <c r="S90" s="126"/>
      <c r="T90" s="126"/>
      <c r="U90" s="126"/>
      <c r="V90" s="126"/>
      <c r="W90" s="126"/>
      <c r="X90" s="126"/>
    </row>
    <row r="91">
      <c r="A91" s="190"/>
      <c r="B91" s="185"/>
      <c r="C91" s="186"/>
      <c r="D91" s="186"/>
      <c r="E91" s="186"/>
      <c r="F91" s="187"/>
      <c r="G91" s="198"/>
      <c r="H91" s="194"/>
      <c r="I91" s="191"/>
      <c r="J91" s="188"/>
      <c r="K91" s="199"/>
      <c r="L91" s="195"/>
      <c r="M91" s="192"/>
      <c r="N91" s="189"/>
      <c r="O91" s="200"/>
      <c r="P91" s="196"/>
      <c r="Q91" s="201"/>
      <c r="R91" s="193"/>
      <c r="S91" s="126"/>
      <c r="T91" s="126"/>
      <c r="U91" s="126"/>
      <c r="V91" s="126"/>
      <c r="W91" s="126"/>
      <c r="X91" s="126"/>
    </row>
    <row r="92">
      <c r="A92" s="190"/>
      <c r="B92" s="185"/>
      <c r="C92" s="186"/>
      <c r="D92" s="186"/>
      <c r="E92" s="186"/>
      <c r="F92" s="187"/>
      <c r="G92" s="198"/>
      <c r="H92" s="194"/>
      <c r="I92" s="191"/>
      <c r="J92" s="188"/>
      <c r="K92" s="199"/>
      <c r="L92" s="195"/>
      <c r="M92" s="192"/>
      <c r="N92" s="189"/>
      <c r="O92" s="200"/>
      <c r="P92" s="196"/>
      <c r="Q92" s="201"/>
      <c r="R92" s="193"/>
      <c r="S92" s="126"/>
      <c r="T92" s="126"/>
      <c r="U92" s="126"/>
      <c r="V92" s="126"/>
      <c r="W92" s="126"/>
      <c r="X92" s="126"/>
    </row>
    <row r="93">
      <c r="A93" s="190"/>
      <c r="B93" s="185"/>
      <c r="C93" s="186"/>
      <c r="D93" s="186"/>
      <c r="E93" s="186"/>
      <c r="F93" s="187"/>
      <c r="G93" s="198"/>
      <c r="H93" s="194"/>
      <c r="I93" s="191"/>
      <c r="J93" s="188"/>
      <c r="K93" s="199"/>
      <c r="L93" s="195"/>
      <c r="M93" s="192"/>
      <c r="N93" s="189"/>
      <c r="O93" s="200"/>
      <c r="P93" s="196"/>
      <c r="Q93" s="201"/>
      <c r="R93" s="193"/>
      <c r="S93" s="126"/>
      <c r="T93" s="126"/>
      <c r="U93" s="126"/>
      <c r="V93" s="126"/>
      <c r="W93" s="126"/>
      <c r="X93" s="126"/>
    </row>
    <row r="94">
      <c r="A94" s="190"/>
      <c r="B94" s="185"/>
      <c r="C94" s="186"/>
      <c r="D94" s="186"/>
      <c r="E94" s="186"/>
      <c r="F94" s="187"/>
      <c r="G94" s="198"/>
      <c r="H94" s="194"/>
      <c r="I94" s="191"/>
      <c r="J94" s="188"/>
      <c r="K94" s="199"/>
      <c r="L94" s="195"/>
      <c r="M94" s="192"/>
      <c r="N94" s="189"/>
      <c r="O94" s="200"/>
      <c r="P94" s="196"/>
      <c r="Q94" s="201"/>
      <c r="R94" s="193"/>
      <c r="S94" s="126"/>
      <c r="T94" s="126"/>
      <c r="U94" s="126"/>
      <c r="V94" s="126"/>
      <c r="W94" s="126"/>
      <c r="X94" s="126"/>
    </row>
    <row r="95">
      <c r="A95" s="190"/>
      <c r="B95" s="185"/>
      <c r="C95" s="186"/>
      <c r="D95" s="186"/>
      <c r="E95" s="186"/>
      <c r="F95" s="187"/>
      <c r="G95" s="198"/>
      <c r="H95" s="194"/>
      <c r="I95" s="191"/>
      <c r="J95" s="188"/>
      <c r="K95" s="199"/>
      <c r="L95" s="195"/>
      <c r="M95" s="192"/>
      <c r="N95" s="189"/>
      <c r="O95" s="200"/>
      <c r="P95" s="196"/>
      <c r="Q95" s="201"/>
      <c r="R95" s="193"/>
      <c r="S95" s="126"/>
      <c r="T95" s="126"/>
      <c r="U95" s="126"/>
      <c r="V95" s="126"/>
      <c r="W95" s="126"/>
      <c r="X95" s="126"/>
    </row>
    <row r="96">
      <c r="A96" s="190"/>
      <c r="B96" s="185"/>
      <c r="C96" s="186"/>
      <c r="D96" s="186"/>
      <c r="E96" s="186"/>
      <c r="F96" s="187"/>
      <c r="G96" s="198"/>
      <c r="H96" s="194"/>
      <c r="I96" s="191"/>
      <c r="J96" s="188"/>
      <c r="K96" s="199"/>
      <c r="L96" s="195"/>
      <c r="M96" s="192"/>
      <c r="N96" s="189"/>
      <c r="O96" s="200"/>
      <c r="P96" s="196"/>
      <c r="Q96" s="201"/>
      <c r="R96" s="193"/>
      <c r="S96" s="126"/>
      <c r="T96" s="126"/>
      <c r="U96" s="126"/>
      <c r="V96" s="126"/>
      <c r="W96" s="126"/>
      <c r="X96" s="126"/>
    </row>
    <row r="97">
      <c r="A97" s="190"/>
      <c r="B97" s="185"/>
      <c r="C97" s="186"/>
      <c r="D97" s="186"/>
      <c r="E97" s="186"/>
      <c r="F97" s="187"/>
      <c r="G97" s="198"/>
      <c r="H97" s="194"/>
      <c r="I97" s="191"/>
      <c r="J97" s="188"/>
      <c r="K97" s="199"/>
      <c r="L97" s="195"/>
      <c r="M97" s="192"/>
      <c r="N97" s="189"/>
      <c r="O97" s="200"/>
      <c r="P97" s="196"/>
      <c r="Q97" s="201"/>
      <c r="R97" s="193"/>
      <c r="S97" s="126"/>
      <c r="T97" s="126"/>
      <c r="U97" s="126"/>
      <c r="V97" s="126"/>
      <c r="W97" s="126"/>
      <c r="X97" s="126"/>
    </row>
    <row r="98">
      <c r="A98" s="190"/>
      <c r="B98" s="185"/>
      <c r="C98" s="186"/>
      <c r="D98" s="186"/>
      <c r="E98" s="186"/>
      <c r="F98" s="187"/>
      <c r="G98" s="198"/>
      <c r="H98" s="194"/>
      <c r="I98" s="191"/>
      <c r="J98" s="188"/>
      <c r="K98" s="199"/>
      <c r="L98" s="195"/>
      <c r="M98" s="192"/>
      <c r="N98" s="189"/>
      <c r="O98" s="200"/>
      <c r="P98" s="196"/>
      <c r="Q98" s="201"/>
      <c r="R98" s="193"/>
      <c r="S98" s="126"/>
      <c r="T98" s="126"/>
      <c r="U98" s="126"/>
      <c r="V98" s="126"/>
      <c r="W98" s="126"/>
      <c r="X98" s="126"/>
    </row>
    <row r="99">
      <c r="A99" s="190"/>
      <c r="B99" s="185"/>
      <c r="C99" s="186"/>
      <c r="D99" s="186"/>
      <c r="E99" s="186"/>
      <c r="F99" s="187"/>
      <c r="G99" s="198"/>
      <c r="H99" s="194"/>
      <c r="I99" s="191"/>
      <c r="J99" s="188"/>
      <c r="K99" s="199"/>
      <c r="L99" s="195"/>
      <c r="M99" s="192"/>
      <c r="N99" s="189"/>
      <c r="O99" s="200"/>
      <c r="P99" s="196"/>
      <c r="Q99" s="201"/>
      <c r="R99" s="193"/>
      <c r="S99" s="126"/>
      <c r="T99" s="126"/>
      <c r="U99" s="126"/>
      <c r="V99" s="126"/>
      <c r="W99" s="126"/>
      <c r="X99" s="126"/>
    </row>
    <row r="100">
      <c r="A100" s="190"/>
      <c r="B100" s="185"/>
      <c r="C100" s="186"/>
      <c r="D100" s="186"/>
      <c r="E100" s="186"/>
      <c r="F100" s="187"/>
      <c r="G100" s="198"/>
      <c r="H100" s="194"/>
      <c r="I100" s="191"/>
      <c r="J100" s="188"/>
      <c r="K100" s="199"/>
      <c r="L100" s="195"/>
      <c r="M100" s="192"/>
      <c r="N100" s="189"/>
      <c r="O100" s="200"/>
      <c r="P100" s="196"/>
      <c r="Q100" s="201"/>
      <c r="R100" s="193"/>
      <c r="S100" s="126"/>
      <c r="T100" s="126"/>
      <c r="U100" s="126"/>
      <c r="V100" s="126"/>
      <c r="W100" s="126"/>
      <c r="X100" s="126"/>
    </row>
    <row r="101">
      <c r="A101" s="190"/>
      <c r="B101" s="185"/>
      <c r="C101" s="186"/>
      <c r="D101" s="186"/>
      <c r="E101" s="186"/>
      <c r="F101" s="187"/>
      <c r="G101" s="198"/>
      <c r="H101" s="194"/>
      <c r="I101" s="191"/>
      <c r="J101" s="188"/>
      <c r="K101" s="199"/>
      <c r="L101" s="195"/>
      <c r="M101" s="192"/>
      <c r="N101" s="189"/>
      <c r="O101" s="200"/>
      <c r="P101" s="196"/>
      <c r="Q101" s="201"/>
      <c r="R101" s="193"/>
      <c r="S101" s="126"/>
      <c r="T101" s="126"/>
      <c r="U101" s="126"/>
      <c r="V101" s="126"/>
      <c r="W101" s="126"/>
      <c r="X101" s="126"/>
    </row>
    <row r="102">
      <c r="A102" s="190"/>
      <c r="B102" s="185"/>
      <c r="C102" s="186"/>
      <c r="D102" s="186"/>
      <c r="E102" s="186"/>
      <c r="F102" s="187"/>
      <c r="G102" s="198"/>
      <c r="H102" s="194"/>
      <c r="I102" s="191"/>
      <c r="J102" s="188"/>
      <c r="K102" s="199"/>
      <c r="L102" s="195"/>
      <c r="M102" s="192"/>
      <c r="N102" s="189"/>
      <c r="O102" s="200"/>
      <c r="P102" s="196"/>
      <c r="Q102" s="201"/>
      <c r="R102" s="193"/>
      <c r="S102" s="126"/>
      <c r="T102" s="126"/>
      <c r="U102" s="126"/>
      <c r="V102" s="126"/>
      <c r="W102" s="126"/>
      <c r="X102" s="126"/>
    </row>
    <row r="103">
      <c r="A103" s="190"/>
      <c r="B103" s="185"/>
      <c r="C103" s="186"/>
      <c r="D103" s="186"/>
      <c r="E103" s="186"/>
      <c r="F103" s="187"/>
      <c r="G103" s="198"/>
      <c r="H103" s="194"/>
      <c r="I103" s="191"/>
      <c r="J103" s="188"/>
      <c r="K103" s="199"/>
      <c r="L103" s="195"/>
      <c r="M103" s="192"/>
      <c r="N103" s="189"/>
      <c r="O103" s="200"/>
      <c r="P103" s="196"/>
      <c r="Q103" s="201"/>
      <c r="R103" s="193"/>
      <c r="S103" s="126"/>
      <c r="T103" s="126"/>
      <c r="U103" s="126"/>
      <c r="V103" s="126"/>
      <c r="W103" s="126"/>
      <c r="X103" s="126"/>
    </row>
    <row r="104">
      <c r="A104" s="190"/>
      <c r="B104" s="185"/>
      <c r="C104" s="186"/>
      <c r="D104" s="186"/>
      <c r="E104" s="186"/>
      <c r="F104" s="187"/>
      <c r="G104" s="198"/>
      <c r="H104" s="194"/>
      <c r="I104" s="191"/>
      <c r="J104" s="188"/>
      <c r="K104" s="199"/>
      <c r="L104" s="195"/>
      <c r="M104" s="192"/>
      <c r="N104" s="189"/>
      <c r="O104" s="200"/>
      <c r="P104" s="196"/>
      <c r="Q104" s="201"/>
      <c r="R104" s="193"/>
      <c r="S104" s="126"/>
      <c r="T104" s="126"/>
      <c r="U104" s="126"/>
      <c r="V104" s="126"/>
      <c r="W104" s="126"/>
      <c r="X104" s="126"/>
    </row>
    <row r="105">
      <c r="A105" s="190"/>
      <c r="B105" s="185"/>
      <c r="C105" s="186"/>
      <c r="D105" s="186"/>
      <c r="E105" s="186"/>
      <c r="F105" s="187"/>
      <c r="G105" s="198"/>
      <c r="H105" s="194"/>
      <c r="I105" s="191"/>
      <c r="J105" s="188"/>
      <c r="K105" s="199"/>
      <c r="L105" s="195"/>
      <c r="M105" s="192"/>
      <c r="N105" s="189"/>
      <c r="O105" s="200"/>
      <c r="P105" s="196"/>
      <c r="Q105" s="201"/>
      <c r="R105" s="193"/>
      <c r="S105" s="126"/>
      <c r="T105" s="126"/>
      <c r="U105" s="126"/>
      <c r="V105" s="126"/>
      <c r="W105" s="126"/>
      <c r="X105" s="126"/>
    </row>
    <row r="106">
      <c r="A106" s="190"/>
      <c r="B106" s="185"/>
      <c r="C106" s="186"/>
      <c r="D106" s="186"/>
      <c r="E106" s="186"/>
      <c r="F106" s="187"/>
      <c r="G106" s="198"/>
      <c r="H106" s="194"/>
      <c r="I106" s="191"/>
      <c r="J106" s="188"/>
      <c r="K106" s="199"/>
      <c r="L106" s="195"/>
      <c r="M106" s="192"/>
      <c r="N106" s="189"/>
      <c r="O106" s="200"/>
      <c r="P106" s="196"/>
      <c r="Q106" s="201"/>
      <c r="R106" s="193"/>
      <c r="S106" s="126"/>
      <c r="T106" s="126"/>
      <c r="U106" s="126"/>
      <c r="V106" s="126"/>
      <c r="W106" s="126"/>
      <c r="X106" s="126"/>
    </row>
    <row r="107">
      <c r="A107" s="190"/>
      <c r="B107" s="185"/>
      <c r="C107" s="186"/>
      <c r="D107" s="186"/>
      <c r="E107" s="186"/>
      <c r="F107" s="187"/>
      <c r="G107" s="198"/>
      <c r="H107" s="194"/>
      <c r="I107" s="191"/>
      <c r="J107" s="188"/>
      <c r="K107" s="199"/>
      <c r="L107" s="195"/>
      <c r="M107" s="192"/>
      <c r="N107" s="189"/>
      <c r="O107" s="200"/>
      <c r="P107" s="196"/>
      <c r="Q107" s="201"/>
      <c r="R107" s="193"/>
      <c r="S107" s="126"/>
      <c r="T107" s="126"/>
      <c r="U107" s="126"/>
      <c r="V107" s="126"/>
      <c r="W107" s="126"/>
      <c r="X107" s="126"/>
    </row>
    <row r="108">
      <c r="A108" s="190"/>
      <c r="B108" s="185"/>
      <c r="C108" s="186"/>
      <c r="D108" s="186"/>
      <c r="E108" s="186"/>
      <c r="F108" s="187"/>
      <c r="G108" s="198"/>
      <c r="H108" s="194"/>
      <c r="I108" s="191"/>
      <c r="J108" s="188"/>
      <c r="K108" s="199"/>
      <c r="L108" s="195"/>
      <c r="M108" s="192"/>
      <c r="N108" s="189"/>
      <c r="O108" s="200"/>
      <c r="P108" s="196"/>
      <c r="Q108" s="201"/>
      <c r="R108" s="193"/>
      <c r="S108" s="126"/>
      <c r="T108" s="126"/>
      <c r="U108" s="126"/>
      <c r="V108" s="126"/>
      <c r="W108" s="126"/>
      <c r="X108" s="126"/>
    </row>
    <row r="109">
      <c r="A109" s="190"/>
      <c r="B109" s="185"/>
      <c r="C109" s="186"/>
      <c r="D109" s="186"/>
      <c r="E109" s="186"/>
      <c r="F109" s="187"/>
      <c r="G109" s="198"/>
      <c r="H109" s="194"/>
      <c r="I109" s="191"/>
      <c r="J109" s="188"/>
      <c r="K109" s="199"/>
      <c r="L109" s="195"/>
      <c r="M109" s="192"/>
      <c r="N109" s="189"/>
      <c r="O109" s="200"/>
      <c r="P109" s="196"/>
      <c r="Q109" s="201"/>
      <c r="R109" s="193"/>
      <c r="S109" s="126"/>
      <c r="T109" s="126"/>
      <c r="U109" s="126"/>
      <c r="V109" s="126"/>
      <c r="W109" s="126"/>
      <c r="X109" s="126"/>
    </row>
    <row r="110">
      <c r="A110" s="190"/>
      <c r="B110" s="185"/>
      <c r="C110" s="186"/>
      <c r="D110" s="186"/>
      <c r="E110" s="186"/>
      <c r="F110" s="187"/>
      <c r="G110" s="198"/>
      <c r="H110" s="194"/>
      <c r="I110" s="191"/>
      <c r="J110" s="188"/>
      <c r="K110" s="199"/>
      <c r="L110" s="195"/>
      <c r="M110" s="192"/>
      <c r="N110" s="189"/>
      <c r="O110" s="200"/>
      <c r="P110" s="196"/>
      <c r="Q110" s="201"/>
      <c r="R110" s="193"/>
      <c r="S110" s="126"/>
      <c r="T110" s="126"/>
      <c r="U110" s="126"/>
      <c r="V110" s="126"/>
      <c r="W110" s="126"/>
      <c r="X110" s="126"/>
    </row>
    <row r="111">
      <c r="A111" s="190"/>
      <c r="B111" s="185"/>
      <c r="C111" s="186"/>
      <c r="D111" s="186"/>
      <c r="E111" s="186"/>
      <c r="F111" s="187"/>
      <c r="G111" s="198"/>
      <c r="H111" s="194"/>
      <c r="I111" s="191"/>
      <c r="J111" s="188"/>
      <c r="K111" s="199"/>
      <c r="L111" s="195"/>
      <c r="M111" s="192"/>
      <c r="N111" s="189"/>
      <c r="O111" s="200"/>
      <c r="P111" s="196"/>
      <c r="Q111" s="201"/>
      <c r="R111" s="193"/>
      <c r="S111" s="126"/>
      <c r="T111" s="126"/>
      <c r="U111" s="126"/>
      <c r="V111" s="126"/>
      <c r="W111" s="126"/>
      <c r="X111" s="126"/>
    </row>
    <row r="112">
      <c r="A112" s="190"/>
      <c r="B112" s="185"/>
      <c r="C112" s="186"/>
      <c r="D112" s="186"/>
      <c r="E112" s="186"/>
      <c r="F112" s="187"/>
      <c r="G112" s="198"/>
      <c r="H112" s="194"/>
      <c r="I112" s="191"/>
      <c r="J112" s="188"/>
      <c r="K112" s="199"/>
      <c r="L112" s="195"/>
      <c r="M112" s="192"/>
      <c r="N112" s="189"/>
      <c r="O112" s="200"/>
      <c r="P112" s="196"/>
      <c r="Q112" s="201"/>
      <c r="R112" s="193"/>
      <c r="S112" s="126"/>
      <c r="T112" s="126"/>
      <c r="U112" s="126"/>
      <c r="V112" s="126"/>
      <c r="W112" s="126"/>
      <c r="X112" s="126"/>
    </row>
    <row r="113">
      <c r="A113" s="190"/>
      <c r="B113" s="185"/>
      <c r="C113" s="186"/>
      <c r="D113" s="186"/>
      <c r="E113" s="186"/>
      <c r="F113" s="187"/>
      <c r="G113" s="198"/>
      <c r="H113" s="194"/>
      <c r="I113" s="191"/>
      <c r="J113" s="188"/>
      <c r="K113" s="199"/>
      <c r="L113" s="195"/>
      <c r="M113" s="192"/>
      <c r="N113" s="189"/>
      <c r="O113" s="200"/>
      <c r="P113" s="196"/>
      <c r="Q113" s="201"/>
      <c r="R113" s="193"/>
      <c r="S113" s="126"/>
      <c r="T113" s="126"/>
      <c r="U113" s="126"/>
      <c r="V113" s="126"/>
      <c r="W113" s="126"/>
      <c r="X113" s="126"/>
    </row>
    <row r="114">
      <c r="A114" s="190"/>
      <c r="B114" s="185"/>
      <c r="C114" s="186"/>
      <c r="D114" s="186"/>
      <c r="E114" s="186"/>
      <c r="F114" s="187"/>
      <c r="G114" s="198"/>
      <c r="H114" s="194"/>
      <c r="I114" s="191"/>
      <c r="J114" s="188"/>
      <c r="K114" s="199"/>
      <c r="L114" s="195"/>
      <c r="M114" s="192"/>
      <c r="N114" s="189"/>
      <c r="O114" s="200"/>
      <c r="P114" s="196"/>
      <c r="Q114" s="201"/>
      <c r="R114" s="193"/>
      <c r="S114" s="126"/>
      <c r="T114" s="126"/>
      <c r="U114" s="126"/>
      <c r="V114" s="126"/>
      <c r="W114" s="126"/>
      <c r="X114" s="126"/>
    </row>
    <row r="115">
      <c r="A115" s="190"/>
      <c r="B115" s="185"/>
      <c r="C115" s="186"/>
      <c r="D115" s="186"/>
      <c r="E115" s="186"/>
      <c r="F115" s="187"/>
      <c r="G115" s="198"/>
      <c r="H115" s="194"/>
      <c r="I115" s="191"/>
      <c r="J115" s="188"/>
      <c r="K115" s="199"/>
      <c r="L115" s="195"/>
      <c r="M115" s="192"/>
      <c r="N115" s="189"/>
      <c r="O115" s="200"/>
      <c r="P115" s="196"/>
      <c r="Q115" s="201"/>
      <c r="R115" s="193"/>
      <c r="S115" s="126"/>
      <c r="T115" s="126"/>
      <c r="U115" s="126"/>
      <c r="V115" s="126"/>
      <c r="W115" s="126"/>
      <c r="X115" s="126"/>
    </row>
    <row r="116">
      <c r="A116" s="190"/>
      <c r="B116" s="185"/>
      <c r="C116" s="186"/>
      <c r="D116" s="186"/>
      <c r="E116" s="186"/>
      <c r="F116" s="187"/>
      <c r="G116" s="198"/>
      <c r="H116" s="194"/>
      <c r="I116" s="191"/>
      <c r="J116" s="188"/>
      <c r="K116" s="199"/>
      <c r="L116" s="195"/>
      <c r="M116" s="192"/>
      <c r="N116" s="189"/>
      <c r="O116" s="200"/>
      <c r="P116" s="196"/>
      <c r="Q116" s="201"/>
      <c r="R116" s="193"/>
      <c r="S116" s="126"/>
      <c r="T116" s="126"/>
      <c r="U116" s="126"/>
      <c r="V116" s="126"/>
      <c r="W116" s="126"/>
      <c r="X116" s="126"/>
    </row>
    <row r="117">
      <c r="A117" s="190"/>
      <c r="B117" s="185"/>
      <c r="C117" s="186"/>
      <c r="D117" s="186"/>
      <c r="E117" s="186"/>
      <c r="F117" s="187"/>
      <c r="G117" s="198"/>
      <c r="H117" s="194"/>
      <c r="I117" s="191"/>
      <c r="J117" s="188"/>
      <c r="K117" s="199"/>
      <c r="L117" s="195"/>
      <c r="M117" s="192"/>
      <c r="N117" s="189"/>
      <c r="O117" s="200"/>
      <c r="P117" s="196"/>
      <c r="Q117" s="201"/>
      <c r="R117" s="193"/>
      <c r="S117" s="126"/>
      <c r="T117" s="126"/>
      <c r="U117" s="126"/>
      <c r="V117" s="126"/>
      <c r="W117" s="126"/>
      <c r="X117" s="126"/>
    </row>
    <row r="118">
      <c r="A118" s="190"/>
      <c r="B118" s="185"/>
      <c r="C118" s="186"/>
      <c r="D118" s="186"/>
      <c r="E118" s="186"/>
      <c r="F118" s="187"/>
      <c r="G118" s="198"/>
      <c r="H118" s="194"/>
      <c r="I118" s="191"/>
      <c r="J118" s="188"/>
      <c r="K118" s="199"/>
      <c r="L118" s="195"/>
      <c r="M118" s="192"/>
      <c r="N118" s="189"/>
      <c r="O118" s="200"/>
      <c r="P118" s="196"/>
      <c r="Q118" s="201"/>
      <c r="R118" s="193"/>
      <c r="S118" s="126"/>
      <c r="T118" s="126"/>
      <c r="U118" s="126"/>
      <c r="V118" s="126"/>
      <c r="W118" s="126"/>
      <c r="X118" s="126"/>
    </row>
    <row r="119">
      <c r="A119" s="190"/>
      <c r="B119" s="185"/>
      <c r="C119" s="186"/>
      <c r="D119" s="186"/>
      <c r="E119" s="186"/>
      <c r="F119" s="187"/>
      <c r="G119" s="198"/>
      <c r="H119" s="194"/>
      <c r="I119" s="191"/>
      <c r="J119" s="188"/>
      <c r="K119" s="199"/>
      <c r="L119" s="195"/>
      <c r="M119" s="192"/>
      <c r="N119" s="189"/>
      <c r="O119" s="200"/>
      <c r="P119" s="196"/>
      <c r="Q119" s="201"/>
      <c r="R119" s="193"/>
      <c r="S119" s="126"/>
      <c r="T119" s="126"/>
      <c r="U119" s="126"/>
      <c r="V119" s="126"/>
      <c r="W119" s="126"/>
      <c r="X119" s="126"/>
    </row>
    <row r="120">
      <c r="A120" s="190"/>
      <c r="B120" s="185"/>
      <c r="C120" s="186"/>
      <c r="D120" s="186"/>
      <c r="E120" s="186"/>
      <c r="F120" s="187"/>
      <c r="G120" s="198"/>
      <c r="H120" s="194"/>
      <c r="I120" s="191"/>
      <c r="J120" s="188"/>
      <c r="K120" s="199"/>
      <c r="L120" s="195"/>
      <c r="M120" s="192"/>
      <c r="N120" s="189"/>
      <c r="O120" s="200"/>
      <c r="P120" s="196"/>
      <c r="Q120" s="201"/>
      <c r="R120" s="193"/>
      <c r="S120" s="126"/>
      <c r="T120" s="126"/>
      <c r="U120" s="126"/>
      <c r="V120" s="126"/>
      <c r="W120" s="126"/>
      <c r="X120" s="126"/>
    </row>
    <row r="121">
      <c r="A121" s="190"/>
      <c r="B121" s="185"/>
      <c r="C121" s="186"/>
      <c r="D121" s="186"/>
      <c r="E121" s="186"/>
      <c r="F121" s="187"/>
      <c r="G121" s="198"/>
      <c r="H121" s="194"/>
      <c r="I121" s="191"/>
      <c r="J121" s="188"/>
      <c r="K121" s="199"/>
      <c r="L121" s="195"/>
      <c r="M121" s="192"/>
      <c r="N121" s="189"/>
      <c r="O121" s="200"/>
      <c r="P121" s="196"/>
      <c r="Q121" s="201"/>
      <c r="R121" s="193"/>
      <c r="S121" s="126"/>
      <c r="T121" s="126"/>
      <c r="U121" s="126"/>
      <c r="V121" s="126"/>
      <c r="W121" s="126"/>
      <c r="X121" s="126"/>
    </row>
    <row r="122">
      <c r="A122" s="190"/>
      <c r="B122" s="185"/>
      <c r="C122" s="186"/>
      <c r="D122" s="186"/>
      <c r="E122" s="186"/>
      <c r="F122" s="187"/>
      <c r="G122" s="198"/>
      <c r="H122" s="194"/>
      <c r="I122" s="191"/>
      <c r="J122" s="188"/>
      <c r="K122" s="199"/>
      <c r="L122" s="195"/>
      <c r="M122" s="192"/>
      <c r="N122" s="189"/>
      <c r="O122" s="200"/>
      <c r="P122" s="196"/>
      <c r="Q122" s="201"/>
      <c r="R122" s="193"/>
      <c r="S122" s="126"/>
      <c r="T122" s="126"/>
      <c r="U122" s="126"/>
      <c r="V122" s="126"/>
      <c r="W122" s="126"/>
      <c r="X122" s="126"/>
    </row>
    <row r="123">
      <c r="A123" s="190"/>
      <c r="B123" s="185"/>
      <c r="C123" s="186"/>
      <c r="D123" s="186"/>
      <c r="E123" s="186"/>
      <c r="F123" s="187"/>
      <c r="G123" s="198"/>
      <c r="H123" s="194"/>
      <c r="I123" s="191"/>
      <c r="J123" s="188"/>
      <c r="K123" s="199"/>
      <c r="L123" s="195"/>
      <c r="M123" s="192"/>
      <c r="N123" s="189"/>
      <c r="O123" s="200"/>
      <c r="P123" s="196"/>
      <c r="Q123" s="201"/>
      <c r="R123" s="193"/>
      <c r="S123" s="126"/>
      <c r="T123" s="126"/>
      <c r="U123" s="126"/>
      <c r="V123" s="126"/>
      <c r="W123" s="126"/>
      <c r="X123" s="126"/>
    </row>
    <row r="124">
      <c r="A124" s="190"/>
      <c r="B124" s="185"/>
      <c r="C124" s="186"/>
      <c r="D124" s="186"/>
      <c r="E124" s="186"/>
      <c r="F124" s="187"/>
      <c r="G124" s="198"/>
      <c r="H124" s="194"/>
      <c r="I124" s="191"/>
      <c r="J124" s="188"/>
      <c r="K124" s="199"/>
      <c r="L124" s="195"/>
      <c r="M124" s="192"/>
      <c r="N124" s="189"/>
      <c r="O124" s="200"/>
      <c r="P124" s="196"/>
      <c r="Q124" s="201"/>
      <c r="R124" s="193"/>
      <c r="S124" s="126"/>
      <c r="T124" s="126"/>
      <c r="U124" s="126"/>
      <c r="V124" s="126"/>
      <c r="W124" s="126"/>
      <c r="X124" s="126"/>
    </row>
    <row r="125">
      <c r="A125" s="190"/>
      <c r="B125" s="185"/>
      <c r="C125" s="186"/>
      <c r="D125" s="186"/>
      <c r="E125" s="186"/>
      <c r="F125" s="187"/>
      <c r="G125" s="198"/>
      <c r="H125" s="194"/>
      <c r="I125" s="191"/>
      <c r="J125" s="188"/>
      <c r="K125" s="199"/>
      <c r="L125" s="195"/>
      <c r="M125" s="192"/>
      <c r="N125" s="189"/>
      <c r="O125" s="200"/>
      <c r="P125" s="196"/>
      <c r="Q125" s="201"/>
      <c r="R125" s="193"/>
      <c r="S125" s="126"/>
      <c r="T125" s="126"/>
      <c r="U125" s="126"/>
      <c r="V125" s="126"/>
      <c r="W125" s="126"/>
      <c r="X125" s="126"/>
    </row>
    <row r="126">
      <c r="A126" s="190"/>
      <c r="B126" s="185"/>
      <c r="C126" s="186"/>
      <c r="D126" s="186"/>
      <c r="E126" s="186"/>
      <c r="F126" s="187"/>
      <c r="G126" s="198"/>
      <c r="H126" s="194"/>
      <c r="I126" s="191"/>
      <c r="J126" s="188"/>
      <c r="K126" s="199"/>
      <c r="L126" s="195"/>
      <c r="M126" s="192"/>
      <c r="N126" s="189"/>
      <c r="O126" s="200"/>
      <c r="P126" s="196"/>
      <c r="Q126" s="201"/>
      <c r="R126" s="193"/>
      <c r="S126" s="126"/>
      <c r="T126" s="126"/>
      <c r="U126" s="126"/>
      <c r="V126" s="126"/>
      <c r="W126" s="126"/>
      <c r="X126" s="126"/>
    </row>
    <row r="127">
      <c r="A127" s="190"/>
      <c r="B127" s="185"/>
      <c r="C127" s="186"/>
      <c r="D127" s="186"/>
      <c r="E127" s="186"/>
      <c r="F127" s="187"/>
      <c r="G127" s="198"/>
      <c r="H127" s="194"/>
      <c r="I127" s="191"/>
      <c r="J127" s="188"/>
      <c r="K127" s="199"/>
      <c r="L127" s="195"/>
      <c r="M127" s="192"/>
      <c r="N127" s="189"/>
      <c r="O127" s="200"/>
      <c r="P127" s="196"/>
      <c r="Q127" s="201"/>
      <c r="R127" s="193"/>
      <c r="S127" s="126"/>
      <c r="T127" s="126"/>
      <c r="U127" s="126"/>
      <c r="V127" s="126"/>
      <c r="W127" s="126"/>
      <c r="X127" s="126"/>
    </row>
    <row r="128">
      <c r="A128" s="190"/>
      <c r="B128" s="185"/>
      <c r="C128" s="186"/>
      <c r="D128" s="186"/>
      <c r="E128" s="186"/>
      <c r="F128" s="187"/>
      <c r="G128" s="198"/>
      <c r="H128" s="194"/>
      <c r="I128" s="191"/>
      <c r="J128" s="188"/>
      <c r="K128" s="199"/>
      <c r="L128" s="195"/>
      <c r="M128" s="192"/>
      <c r="N128" s="189"/>
      <c r="O128" s="200"/>
      <c r="P128" s="196"/>
      <c r="Q128" s="201"/>
      <c r="R128" s="193"/>
      <c r="S128" s="126"/>
      <c r="T128" s="126"/>
      <c r="U128" s="126"/>
      <c r="V128" s="126"/>
      <c r="W128" s="126"/>
      <c r="X128" s="126"/>
    </row>
    <row r="129">
      <c r="A129" s="190"/>
      <c r="B129" s="185"/>
      <c r="C129" s="186"/>
      <c r="D129" s="186"/>
      <c r="E129" s="186"/>
      <c r="F129" s="187"/>
      <c r="G129" s="198"/>
      <c r="H129" s="194"/>
      <c r="I129" s="191"/>
      <c r="J129" s="188"/>
      <c r="K129" s="199"/>
      <c r="L129" s="195"/>
      <c r="M129" s="192"/>
      <c r="N129" s="189"/>
      <c r="O129" s="200"/>
      <c r="P129" s="196"/>
      <c r="Q129" s="201"/>
      <c r="R129" s="193"/>
      <c r="S129" s="126"/>
      <c r="T129" s="126"/>
      <c r="U129" s="126"/>
      <c r="V129" s="126"/>
      <c r="W129" s="126"/>
      <c r="X129" s="126"/>
    </row>
    <row r="130">
      <c r="A130" s="190"/>
      <c r="B130" s="185"/>
      <c r="C130" s="186"/>
      <c r="D130" s="186"/>
      <c r="E130" s="186"/>
      <c r="F130" s="187"/>
      <c r="G130" s="198"/>
      <c r="H130" s="194"/>
      <c r="I130" s="191"/>
      <c r="J130" s="188"/>
      <c r="K130" s="199"/>
      <c r="L130" s="195"/>
      <c r="M130" s="192"/>
      <c r="N130" s="189"/>
      <c r="O130" s="200"/>
      <c r="P130" s="196"/>
      <c r="Q130" s="201"/>
      <c r="R130" s="193"/>
      <c r="S130" s="126"/>
      <c r="T130" s="126"/>
      <c r="U130" s="126"/>
      <c r="V130" s="126"/>
      <c r="W130" s="126"/>
      <c r="X130" s="126"/>
    </row>
    <row r="131">
      <c r="A131" s="190"/>
      <c r="B131" s="185"/>
      <c r="C131" s="186"/>
      <c r="D131" s="186"/>
      <c r="E131" s="186"/>
      <c r="F131" s="187"/>
      <c r="G131" s="198"/>
      <c r="H131" s="194"/>
      <c r="I131" s="191"/>
      <c r="J131" s="188"/>
      <c r="K131" s="199"/>
      <c r="L131" s="195"/>
      <c r="M131" s="192"/>
      <c r="N131" s="189"/>
      <c r="O131" s="200"/>
      <c r="P131" s="196"/>
      <c r="Q131" s="201"/>
      <c r="R131" s="193"/>
      <c r="S131" s="126"/>
      <c r="T131" s="126"/>
      <c r="U131" s="126"/>
      <c r="V131" s="126"/>
      <c r="W131" s="126"/>
      <c r="X131" s="126"/>
    </row>
    <row r="132">
      <c r="A132" s="190"/>
      <c r="B132" s="185"/>
      <c r="C132" s="186"/>
      <c r="D132" s="186"/>
      <c r="E132" s="186"/>
      <c r="F132" s="187"/>
      <c r="G132" s="198"/>
      <c r="H132" s="194"/>
      <c r="I132" s="191"/>
      <c r="J132" s="188"/>
      <c r="K132" s="199"/>
      <c r="L132" s="195"/>
      <c r="M132" s="192"/>
      <c r="N132" s="189"/>
      <c r="O132" s="200"/>
      <c r="P132" s="196"/>
      <c r="Q132" s="201"/>
      <c r="R132" s="193"/>
      <c r="S132" s="126"/>
      <c r="T132" s="126"/>
      <c r="U132" s="126"/>
      <c r="V132" s="126"/>
      <c r="W132" s="126"/>
      <c r="X132" s="126"/>
    </row>
    <row r="133">
      <c r="A133" s="190"/>
      <c r="B133" s="185"/>
      <c r="C133" s="186"/>
      <c r="D133" s="186"/>
      <c r="E133" s="186"/>
      <c r="F133" s="187"/>
      <c r="G133" s="198"/>
      <c r="H133" s="194"/>
      <c r="I133" s="191"/>
      <c r="J133" s="188"/>
      <c r="K133" s="199"/>
      <c r="L133" s="195"/>
      <c r="M133" s="192"/>
      <c r="N133" s="189"/>
      <c r="O133" s="200"/>
      <c r="P133" s="196"/>
      <c r="Q133" s="201"/>
      <c r="R133" s="193"/>
      <c r="S133" s="126"/>
      <c r="T133" s="126"/>
      <c r="U133" s="126"/>
      <c r="V133" s="126"/>
      <c r="W133" s="126"/>
      <c r="X133" s="126"/>
    </row>
    <row r="134">
      <c r="A134" s="190"/>
      <c r="B134" s="185"/>
      <c r="C134" s="186"/>
      <c r="D134" s="186"/>
      <c r="E134" s="186"/>
      <c r="F134" s="187"/>
      <c r="G134" s="198"/>
      <c r="H134" s="194"/>
      <c r="I134" s="191"/>
      <c r="J134" s="188"/>
      <c r="K134" s="199"/>
      <c r="L134" s="195"/>
      <c r="M134" s="192"/>
      <c r="N134" s="189"/>
      <c r="O134" s="200"/>
      <c r="P134" s="196"/>
      <c r="Q134" s="201"/>
      <c r="R134" s="193"/>
      <c r="S134" s="126"/>
      <c r="T134" s="126"/>
      <c r="U134" s="126"/>
      <c r="V134" s="126"/>
      <c r="W134" s="126"/>
      <c r="X134" s="126"/>
    </row>
    <row r="135">
      <c r="A135" s="190"/>
      <c r="B135" s="185"/>
      <c r="C135" s="186"/>
      <c r="D135" s="186"/>
      <c r="E135" s="186"/>
      <c r="F135" s="187"/>
      <c r="G135" s="198"/>
      <c r="H135" s="194"/>
      <c r="I135" s="191"/>
      <c r="J135" s="188"/>
      <c r="K135" s="199"/>
      <c r="L135" s="195"/>
      <c r="M135" s="192"/>
      <c r="N135" s="189"/>
      <c r="O135" s="200"/>
      <c r="P135" s="196"/>
      <c r="Q135" s="201"/>
      <c r="R135" s="193"/>
      <c r="S135" s="126"/>
      <c r="T135" s="126"/>
      <c r="U135" s="126"/>
      <c r="V135" s="126"/>
      <c r="W135" s="126"/>
      <c r="X135" s="126"/>
    </row>
    <row r="136">
      <c r="A136" s="190"/>
      <c r="B136" s="185"/>
      <c r="C136" s="186"/>
      <c r="D136" s="186"/>
      <c r="E136" s="186"/>
      <c r="F136" s="187"/>
      <c r="G136" s="198"/>
      <c r="H136" s="194"/>
      <c r="I136" s="191"/>
      <c r="J136" s="188"/>
      <c r="K136" s="199"/>
      <c r="L136" s="195"/>
      <c r="M136" s="192"/>
      <c r="N136" s="189"/>
      <c r="O136" s="200"/>
      <c r="P136" s="196"/>
      <c r="Q136" s="201"/>
      <c r="R136" s="193"/>
      <c r="S136" s="126"/>
      <c r="T136" s="126"/>
      <c r="U136" s="126"/>
      <c r="V136" s="126"/>
      <c r="W136" s="126"/>
      <c r="X136" s="126"/>
    </row>
    <row r="137">
      <c r="A137" s="190"/>
      <c r="B137" s="185"/>
      <c r="C137" s="186"/>
      <c r="D137" s="186"/>
      <c r="E137" s="186"/>
      <c r="F137" s="187"/>
      <c r="G137" s="198"/>
      <c r="H137" s="194"/>
      <c r="I137" s="191"/>
      <c r="J137" s="188"/>
      <c r="K137" s="199"/>
      <c r="L137" s="195"/>
      <c r="M137" s="192"/>
      <c r="N137" s="189"/>
      <c r="O137" s="200"/>
      <c r="P137" s="196"/>
      <c r="Q137" s="201"/>
      <c r="R137" s="193"/>
      <c r="S137" s="126"/>
      <c r="T137" s="126"/>
      <c r="U137" s="126"/>
      <c r="V137" s="126"/>
      <c r="W137" s="126"/>
      <c r="X137" s="126"/>
    </row>
    <row r="138">
      <c r="A138" s="190"/>
      <c r="B138" s="185"/>
      <c r="C138" s="186"/>
      <c r="D138" s="186"/>
      <c r="E138" s="186"/>
      <c r="F138" s="187"/>
      <c r="G138" s="198"/>
      <c r="H138" s="194"/>
      <c r="I138" s="191"/>
      <c r="J138" s="188"/>
      <c r="K138" s="199"/>
      <c r="L138" s="195"/>
      <c r="M138" s="192"/>
      <c r="N138" s="189"/>
      <c r="O138" s="200"/>
      <c r="P138" s="196"/>
      <c r="Q138" s="201"/>
      <c r="R138" s="193"/>
      <c r="S138" s="126"/>
      <c r="T138" s="126"/>
      <c r="U138" s="126"/>
      <c r="V138" s="126"/>
      <c r="W138" s="126"/>
      <c r="X138" s="126"/>
    </row>
    <row r="139">
      <c r="A139" s="190"/>
      <c r="B139" s="185"/>
      <c r="C139" s="186"/>
      <c r="D139" s="186"/>
      <c r="E139" s="186"/>
      <c r="F139" s="187"/>
      <c r="G139" s="198"/>
      <c r="H139" s="194"/>
      <c r="I139" s="191"/>
      <c r="J139" s="188"/>
      <c r="K139" s="199"/>
      <c r="L139" s="195"/>
      <c r="M139" s="192"/>
      <c r="N139" s="189"/>
      <c r="O139" s="200"/>
      <c r="P139" s="196"/>
      <c r="Q139" s="201"/>
      <c r="R139" s="193"/>
      <c r="S139" s="126"/>
      <c r="T139" s="126"/>
      <c r="U139" s="126"/>
      <c r="V139" s="126"/>
      <c r="W139" s="126"/>
      <c r="X139" s="126"/>
    </row>
    <row r="140">
      <c r="A140" s="190"/>
      <c r="B140" s="185"/>
      <c r="C140" s="186"/>
      <c r="D140" s="186"/>
      <c r="E140" s="186"/>
      <c r="F140" s="187"/>
      <c r="G140" s="198"/>
      <c r="H140" s="194"/>
      <c r="I140" s="191"/>
      <c r="J140" s="188"/>
      <c r="K140" s="199"/>
      <c r="L140" s="195"/>
      <c r="M140" s="192"/>
      <c r="N140" s="189"/>
      <c r="O140" s="200"/>
      <c r="P140" s="196"/>
      <c r="Q140" s="201"/>
      <c r="R140" s="193"/>
      <c r="S140" s="126"/>
      <c r="T140" s="126"/>
      <c r="U140" s="126"/>
      <c r="V140" s="126"/>
      <c r="W140" s="126"/>
      <c r="X140" s="126"/>
    </row>
    <row r="141">
      <c r="A141" s="190"/>
      <c r="B141" s="185"/>
      <c r="C141" s="186"/>
      <c r="D141" s="186"/>
      <c r="E141" s="186"/>
      <c r="F141" s="187"/>
      <c r="G141" s="198"/>
      <c r="H141" s="194"/>
      <c r="I141" s="191"/>
      <c r="J141" s="188"/>
      <c r="K141" s="199"/>
      <c r="L141" s="195"/>
      <c r="M141" s="192"/>
      <c r="N141" s="189"/>
      <c r="O141" s="200"/>
      <c r="P141" s="196"/>
      <c r="Q141" s="201"/>
      <c r="R141" s="193"/>
      <c r="S141" s="126"/>
      <c r="T141" s="126"/>
      <c r="U141" s="126"/>
      <c r="V141" s="126"/>
      <c r="W141" s="126"/>
      <c r="X141" s="126"/>
    </row>
    <row r="142">
      <c r="A142" s="190"/>
      <c r="B142" s="185"/>
      <c r="C142" s="186"/>
      <c r="D142" s="186"/>
      <c r="E142" s="186"/>
      <c r="F142" s="187"/>
      <c r="G142" s="198"/>
      <c r="H142" s="194"/>
      <c r="I142" s="191"/>
      <c r="J142" s="188"/>
      <c r="K142" s="199"/>
      <c r="L142" s="195"/>
      <c r="M142" s="192"/>
      <c r="N142" s="189"/>
      <c r="O142" s="200"/>
      <c r="P142" s="196"/>
      <c r="Q142" s="201"/>
      <c r="R142" s="193"/>
      <c r="S142" s="126"/>
      <c r="T142" s="126"/>
      <c r="U142" s="126"/>
      <c r="V142" s="126"/>
      <c r="W142" s="126"/>
      <c r="X142" s="126"/>
    </row>
    <row r="143">
      <c r="A143" s="190"/>
      <c r="B143" s="185"/>
      <c r="C143" s="186"/>
      <c r="D143" s="186"/>
      <c r="E143" s="186"/>
      <c r="F143" s="187"/>
      <c r="G143" s="198"/>
      <c r="H143" s="194"/>
      <c r="I143" s="191"/>
      <c r="J143" s="188"/>
      <c r="K143" s="199"/>
      <c r="L143" s="195"/>
      <c r="M143" s="192"/>
      <c r="N143" s="189"/>
      <c r="O143" s="200"/>
      <c r="P143" s="196"/>
      <c r="Q143" s="201"/>
      <c r="R143" s="193"/>
      <c r="S143" s="126"/>
      <c r="T143" s="126"/>
      <c r="U143" s="126"/>
      <c r="V143" s="126"/>
      <c r="W143" s="126"/>
      <c r="X143" s="126"/>
    </row>
    <row r="144">
      <c r="A144" s="190"/>
      <c r="B144" s="185"/>
      <c r="C144" s="186"/>
      <c r="D144" s="186"/>
      <c r="E144" s="186"/>
      <c r="F144" s="187"/>
      <c r="G144" s="198"/>
      <c r="H144" s="194"/>
      <c r="I144" s="191"/>
      <c r="J144" s="188"/>
      <c r="K144" s="199"/>
      <c r="L144" s="195"/>
      <c r="M144" s="192"/>
      <c r="N144" s="189"/>
      <c r="O144" s="200"/>
      <c r="P144" s="196"/>
      <c r="Q144" s="201"/>
      <c r="R144" s="193"/>
      <c r="S144" s="126"/>
      <c r="T144" s="126"/>
      <c r="U144" s="126"/>
      <c r="V144" s="126"/>
      <c r="W144" s="126"/>
      <c r="X144" s="126"/>
    </row>
    <row r="145">
      <c r="A145" s="190"/>
      <c r="B145" s="185"/>
      <c r="C145" s="186"/>
      <c r="D145" s="186"/>
      <c r="E145" s="186"/>
      <c r="F145" s="187"/>
      <c r="G145" s="198"/>
      <c r="H145" s="194"/>
      <c r="I145" s="191"/>
      <c r="J145" s="188"/>
      <c r="K145" s="199"/>
      <c r="L145" s="195"/>
      <c r="M145" s="192"/>
      <c r="N145" s="189"/>
      <c r="O145" s="200"/>
      <c r="P145" s="196"/>
      <c r="Q145" s="201"/>
      <c r="R145" s="193"/>
      <c r="S145" s="126"/>
      <c r="T145" s="126"/>
      <c r="U145" s="126"/>
      <c r="V145" s="126"/>
      <c r="W145" s="126"/>
      <c r="X145" s="126"/>
    </row>
    <row r="146">
      <c r="A146" s="190"/>
      <c r="B146" s="185"/>
      <c r="C146" s="186"/>
      <c r="D146" s="186"/>
      <c r="E146" s="186"/>
      <c r="F146" s="187"/>
      <c r="G146" s="198"/>
      <c r="H146" s="194"/>
      <c r="I146" s="191"/>
      <c r="J146" s="188"/>
      <c r="K146" s="199"/>
      <c r="L146" s="195"/>
      <c r="M146" s="192"/>
      <c r="N146" s="189"/>
      <c r="O146" s="200"/>
      <c r="P146" s="196"/>
      <c r="Q146" s="201"/>
      <c r="R146" s="193"/>
      <c r="S146" s="126"/>
      <c r="T146" s="126"/>
      <c r="U146" s="126"/>
      <c r="V146" s="126"/>
      <c r="W146" s="126"/>
      <c r="X146" s="126"/>
    </row>
    <row r="147">
      <c r="A147" s="190"/>
      <c r="B147" s="185"/>
      <c r="C147" s="186"/>
      <c r="D147" s="186"/>
      <c r="E147" s="186"/>
      <c r="F147" s="187"/>
      <c r="G147" s="198"/>
      <c r="H147" s="194"/>
      <c r="I147" s="191"/>
      <c r="J147" s="188"/>
      <c r="K147" s="199"/>
      <c r="L147" s="195"/>
      <c r="M147" s="192"/>
      <c r="N147" s="189"/>
      <c r="O147" s="200"/>
      <c r="P147" s="196"/>
      <c r="Q147" s="201"/>
      <c r="R147" s="193"/>
      <c r="S147" s="126"/>
      <c r="T147" s="126"/>
      <c r="U147" s="126"/>
      <c r="V147" s="126"/>
      <c r="W147" s="126"/>
      <c r="X147" s="126"/>
    </row>
    <row r="148">
      <c r="A148" s="190"/>
      <c r="B148" s="185"/>
      <c r="C148" s="186"/>
      <c r="D148" s="186"/>
      <c r="E148" s="186"/>
      <c r="F148" s="187"/>
      <c r="G148" s="198"/>
      <c r="H148" s="194"/>
      <c r="I148" s="191"/>
      <c r="J148" s="188"/>
      <c r="K148" s="199"/>
      <c r="L148" s="195"/>
      <c r="M148" s="192"/>
      <c r="N148" s="189"/>
      <c r="O148" s="200"/>
      <c r="P148" s="196"/>
      <c r="Q148" s="201"/>
      <c r="R148" s="193"/>
      <c r="S148" s="126"/>
      <c r="T148" s="126"/>
      <c r="U148" s="126"/>
      <c r="V148" s="126"/>
      <c r="W148" s="126"/>
      <c r="X148" s="126"/>
    </row>
    <row r="149">
      <c r="A149" s="190"/>
      <c r="B149" s="185"/>
      <c r="C149" s="186"/>
      <c r="D149" s="186"/>
      <c r="E149" s="186"/>
      <c r="F149" s="187"/>
      <c r="G149" s="198"/>
      <c r="H149" s="194"/>
      <c r="I149" s="191"/>
      <c r="J149" s="188"/>
      <c r="K149" s="199"/>
      <c r="L149" s="195"/>
      <c r="M149" s="192"/>
      <c r="N149" s="189"/>
      <c r="O149" s="200"/>
      <c r="P149" s="196"/>
      <c r="Q149" s="201"/>
      <c r="R149" s="193"/>
      <c r="S149" s="126"/>
      <c r="T149" s="126"/>
      <c r="U149" s="126"/>
      <c r="V149" s="126"/>
      <c r="W149" s="126"/>
      <c r="X149" s="126"/>
    </row>
    <row r="150">
      <c r="A150" s="190"/>
      <c r="B150" s="185"/>
      <c r="C150" s="186"/>
      <c r="D150" s="186"/>
      <c r="E150" s="186"/>
      <c r="F150" s="187"/>
      <c r="G150" s="198"/>
      <c r="H150" s="194"/>
      <c r="I150" s="191"/>
      <c r="J150" s="188"/>
      <c r="K150" s="199"/>
      <c r="L150" s="195"/>
      <c r="M150" s="192"/>
      <c r="N150" s="189"/>
      <c r="O150" s="200"/>
      <c r="P150" s="196"/>
      <c r="Q150" s="201"/>
      <c r="R150" s="193"/>
      <c r="S150" s="126"/>
      <c r="T150" s="126"/>
      <c r="U150" s="126"/>
      <c r="V150" s="126"/>
      <c r="W150" s="126"/>
      <c r="X150" s="126"/>
    </row>
    <row r="151">
      <c r="A151" s="190"/>
      <c r="B151" s="185"/>
      <c r="C151" s="186"/>
      <c r="D151" s="186"/>
      <c r="E151" s="186"/>
      <c r="F151" s="187"/>
      <c r="G151" s="198"/>
      <c r="H151" s="194"/>
      <c r="I151" s="191"/>
      <c r="J151" s="188"/>
      <c r="K151" s="199"/>
      <c r="L151" s="195"/>
      <c r="M151" s="192"/>
      <c r="N151" s="189"/>
      <c r="O151" s="200"/>
      <c r="P151" s="196"/>
      <c r="Q151" s="201"/>
      <c r="R151" s="193"/>
      <c r="S151" s="126"/>
      <c r="T151" s="126"/>
      <c r="U151" s="126"/>
      <c r="V151" s="126"/>
      <c r="W151" s="126"/>
      <c r="X151" s="126"/>
    </row>
    <row r="152">
      <c r="A152" s="190"/>
      <c r="B152" s="185"/>
      <c r="C152" s="186"/>
      <c r="D152" s="186"/>
      <c r="E152" s="186"/>
      <c r="F152" s="187"/>
      <c r="G152" s="198"/>
      <c r="H152" s="194"/>
      <c r="I152" s="191"/>
      <c r="J152" s="188"/>
      <c r="K152" s="199"/>
      <c r="L152" s="195"/>
      <c r="M152" s="192"/>
      <c r="N152" s="189"/>
      <c r="O152" s="200"/>
      <c r="P152" s="196"/>
      <c r="Q152" s="201"/>
      <c r="R152" s="193"/>
      <c r="S152" s="126"/>
      <c r="T152" s="126"/>
      <c r="U152" s="126"/>
      <c r="V152" s="126"/>
      <c r="W152" s="126"/>
      <c r="X152" s="126"/>
    </row>
    <row r="153">
      <c r="A153" s="190"/>
      <c r="B153" s="185"/>
      <c r="C153" s="186"/>
      <c r="D153" s="186"/>
      <c r="E153" s="186"/>
      <c r="F153" s="187"/>
      <c r="G153" s="198"/>
      <c r="H153" s="194"/>
      <c r="I153" s="191"/>
      <c r="J153" s="188"/>
      <c r="K153" s="199"/>
      <c r="L153" s="195"/>
      <c r="M153" s="192"/>
      <c r="N153" s="189"/>
      <c r="O153" s="200"/>
      <c r="P153" s="196"/>
      <c r="Q153" s="201"/>
      <c r="R153" s="193"/>
      <c r="S153" s="126"/>
      <c r="T153" s="126"/>
      <c r="U153" s="126"/>
      <c r="V153" s="126"/>
      <c r="W153" s="126"/>
      <c r="X153" s="126"/>
    </row>
    <row r="154">
      <c r="A154" s="190"/>
      <c r="B154" s="185"/>
      <c r="C154" s="186"/>
      <c r="D154" s="186"/>
      <c r="E154" s="186"/>
      <c r="F154" s="187"/>
      <c r="G154" s="198"/>
      <c r="H154" s="194"/>
      <c r="I154" s="191"/>
      <c r="J154" s="188"/>
      <c r="K154" s="199"/>
      <c r="L154" s="195"/>
      <c r="M154" s="192"/>
      <c r="N154" s="189"/>
      <c r="O154" s="200"/>
      <c r="P154" s="196"/>
      <c r="Q154" s="201"/>
      <c r="R154" s="193"/>
      <c r="S154" s="126"/>
      <c r="T154" s="126"/>
      <c r="U154" s="126"/>
      <c r="V154" s="126"/>
      <c r="W154" s="126"/>
      <c r="X154" s="126"/>
    </row>
    <row r="155">
      <c r="A155" s="190"/>
      <c r="B155" s="185"/>
      <c r="C155" s="186"/>
      <c r="D155" s="186"/>
      <c r="E155" s="186"/>
      <c r="F155" s="187"/>
      <c r="G155" s="198"/>
      <c r="H155" s="194"/>
      <c r="I155" s="191"/>
      <c r="J155" s="188"/>
      <c r="K155" s="199"/>
      <c r="L155" s="195"/>
      <c r="M155" s="192"/>
      <c r="N155" s="189"/>
      <c r="O155" s="200"/>
      <c r="P155" s="196"/>
      <c r="Q155" s="201"/>
      <c r="R155" s="193"/>
      <c r="S155" s="126"/>
      <c r="T155" s="126"/>
      <c r="U155" s="126"/>
      <c r="V155" s="126"/>
      <c r="W155" s="126"/>
      <c r="X155" s="126"/>
    </row>
    <row r="156">
      <c r="A156" s="190"/>
      <c r="B156" s="185"/>
      <c r="C156" s="186"/>
      <c r="D156" s="186"/>
      <c r="E156" s="186"/>
      <c r="F156" s="187"/>
      <c r="G156" s="198"/>
      <c r="H156" s="194"/>
      <c r="I156" s="191"/>
      <c r="J156" s="188"/>
      <c r="K156" s="199"/>
      <c r="L156" s="195"/>
      <c r="M156" s="192"/>
      <c r="N156" s="189"/>
      <c r="O156" s="200"/>
      <c r="P156" s="196"/>
      <c r="Q156" s="201"/>
      <c r="R156" s="193"/>
      <c r="S156" s="126"/>
      <c r="T156" s="126"/>
      <c r="U156" s="126"/>
      <c r="V156" s="126"/>
      <c r="W156" s="126"/>
      <c r="X156" s="126"/>
    </row>
    <row r="157">
      <c r="A157" s="190"/>
      <c r="B157" s="185"/>
      <c r="C157" s="186"/>
      <c r="D157" s="186"/>
      <c r="E157" s="186"/>
      <c r="F157" s="187"/>
      <c r="G157" s="198"/>
      <c r="H157" s="194"/>
      <c r="I157" s="191"/>
      <c r="J157" s="188"/>
      <c r="K157" s="199"/>
      <c r="L157" s="195"/>
      <c r="M157" s="192"/>
      <c r="N157" s="189"/>
      <c r="O157" s="200"/>
      <c r="P157" s="196"/>
      <c r="Q157" s="201"/>
      <c r="R157" s="193"/>
      <c r="S157" s="126"/>
      <c r="T157" s="126"/>
      <c r="U157" s="126"/>
      <c r="V157" s="126"/>
      <c r="W157" s="126"/>
      <c r="X157" s="126"/>
    </row>
    <row r="158">
      <c r="A158" s="190"/>
      <c r="B158" s="185"/>
      <c r="C158" s="186"/>
      <c r="D158" s="186"/>
      <c r="E158" s="186"/>
      <c r="F158" s="187"/>
      <c r="G158" s="198"/>
      <c r="H158" s="194"/>
      <c r="I158" s="191"/>
      <c r="J158" s="188"/>
      <c r="K158" s="199"/>
      <c r="L158" s="195"/>
      <c r="M158" s="192"/>
      <c r="N158" s="189"/>
      <c r="O158" s="200"/>
      <c r="P158" s="196"/>
      <c r="Q158" s="201"/>
      <c r="R158" s="193"/>
      <c r="S158" s="126"/>
      <c r="T158" s="126"/>
      <c r="U158" s="126"/>
      <c r="V158" s="126"/>
      <c r="W158" s="126"/>
      <c r="X158" s="126"/>
    </row>
    <row r="159">
      <c r="A159" s="190"/>
      <c r="B159" s="185"/>
      <c r="C159" s="186"/>
      <c r="D159" s="186"/>
      <c r="E159" s="186"/>
      <c r="F159" s="187"/>
      <c r="G159" s="198"/>
      <c r="H159" s="194"/>
      <c r="I159" s="191"/>
      <c r="J159" s="188"/>
      <c r="K159" s="199"/>
      <c r="L159" s="195"/>
      <c r="M159" s="192"/>
      <c r="N159" s="189"/>
      <c r="O159" s="200"/>
      <c r="P159" s="196"/>
      <c r="Q159" s="201"/>
      <c r="R159" s="193"/>
      <c r="S159" s="126"/>
      <c r="T159" s="126"/>
      <c r="U159" s="126"/>
      <c r="V159" s="126"/>
      <c r="W159" s="126"/>
      <c r="X159" s="126"/>
    </row>
    <row r="160">
      <c r="A160" s="190"/>
      <c r="B160" s="185"/>
      <c r="C160" s="186"/>
      <c r="D160" s="186"/>
      <c r="E160" s="186"/>
      <c r="F160" s="187"/>
      <c r="G160" s="198"/>
      <c r="H160" s="194"/>
      <c r="I160" s="191"/>
      <c r="J160" s="188"/>
      <c r="K160" s="199"/>
      <c r="L160" s="195"/>
      <c r="M160" s="192"/>
      <c r="N160" s="189"/>
      <c r="O160" s="200"/>
      <c r="P160" s="196"/>
      <c r="Q160" s="201"/>
      <c r="R160" s="193"/>
      <c r="S160" s="126"/>
      <c r="T160" s="126"/>
      <c r="U160" s="126"/>
      <c r="V160" s="126"/>
      <c r="W160" s="126"/>
      <c r="X160" s="126"/>
    </row>
    <row r="161">
      <c r="A161" s="190"/>
      <c r="B161" s="185"/>
      <c r="C161" s="186"/>
      <c r="D161" s="186"/>
      <c r="E161" s="186"/>
      <c r="F161" s="187"/>
      <c r="G161" s="198"/>
      <c r="H161" s="194"/>
      <c r="I161" s="191"/>
      <c r="J161" s="188"/>
      <c r="K161" s="199"/>
      <c r="L161" s="195"/>
      <c r="M161" s="192"/>
      <c r="N161" s="189"/>
      <c r="O161" s="200"/>
      <c r="P161" s="196"/>
      <c r="Q161" s="201"/>
      <c r="R161" s="193"/>
      <c r="S161" s="126"/>
      <c r="T161" s="126"/>
      <c r="U161" s="126"/>
      <c r="V161" s="126"/>
      <c r="W161" s="126"/>
      <c r="X161" s="126"/>
    </row>
    <row r="162">
      <c r="A162" s="190"/>
      <c r="B162" s="185"/>
      <c r="C162" s="186"/>
      <c r="D162" s="186"/>
      <c r="E162" s="186"/>
      <c r="F162" s="187"/>
      <c r="G162" s="198"/>
      <c r="H162" s="194"/>
      <c r="I162" s="191"/>
      <c r="J162" s="188"/>
      <c r="K162" s="199"/>
      <c r="L162" s="195"/>
      <c r="M162" s="192"/>
      <c r="N162" s="189"/>
      <c r="O162" s="200"/>
      <c r="P162" s="196"/>
      <c r="Q162" s="201"/>
      <c r="R162" s="193"/>
      <c r="S162" s="126"/>
      <c r="T162" s="126"/>
      <c r="U162" s="126"/>
      <c r="V162" s="126"/>
      <c r="W162" s="126"/>
      <c r="X162" s="126"/>
    </row>
    <row r="163">
      <c r="A163" s="190"/>
      <c r="B163" s="185"/>
      <c r="C163" s="186"/>
      <c r="D163" s="186"/>
      <c r="E163" s="186"/>
      <c r="F163" s="187"/>
      <c r="G163" s="198"/>
      <c r="H163" s="194"/>
      <c r="I163" s="191"/>
      <c r="J163" s="188"/>
      <c r="K163" s="199"/>
      <c r="L163" s="195"/>
      <c r="M163" s="192"/>
      <c r="N163" s="189"/>
      <c r="O163" s="200"/>
      <c r="P163" s="196"/>
      <c r="Q163" s="201"/>
      <c r="R163" s="193"/>
      <c r="S163" s="126"/>
      <c r="T163" s="126"/>
      <c r="U163" s="126"/>
      <c r="V163" s="126"/>
      <c r="W163" s="126"/>
      <c r="X163" s="126"/>
    </row>
    <row r="164">
      <c r="A164" s="190"/>
      <c r="B164" s="185"/>
      <c r="C164" s="186"/>
      <c r="D164" s="186"/>
      <c r="E164" s="186"/>
      <c r="F164" s="187"/>
      <c r="G164" s="198"/>
      <c r="H164" s="194"/>
      <c r="I164" s="191"/>
      <c r="J164" s="188"/>
      <c r="K164" s="199"/>
      <c r="L164" s="195"/>
      <c r="M164" s="192"/>
      <c r="N164" s="189"/>
      <c r="O164" s="200"/>
      <c r="P164" s="196"/>
      <c r="Q164" s="201"/>
      <c r="R164" s="193"/>
      <c r="S164" s="126"/>
      <c r="T164" s="126"/>
      <c r="U164" s="126"/>
      <c r="V164" s="126"/>
      <c r="W164" s="126"/>
      <c r="X164" s="126"/>
    </row>
    <row r="165">
      <c r="A165" s="190"/>
      <c r="B165" s="185"/>
      <c r="C165" s="186"/>
      <c r="D165" s="186"/>
      <c r="E165" s="186"/>
      <c r="F165" s="187"/>
      <c r="G165" s="198"/>
      <c r="H165" s="194"/>
      <c r="I165" s="191"/>
      <c r="J165" s="188"/>
      <c r="K165" s="199"/>
      <c r="L165" s="195"/>
      <c r="M165" s="192"/>
      <c r="N165" s="189"/>
      <c r="O165" s="200"/>
      <c r="P165" s="196"/>
      <c r="Q165" s="201"/>
      <c r="R165" s="193"/>
      <c r="S165" s="126"/>
      <c r="T165" s="126"/>
      <c r="U165" s="126"/>
      <c r="V165" s="126"/>
      <c r="W165" s="126"/>
      <c r="X165" s="126"/>
    </row>
    <row r="166">
      <c r="A166" s="190"/>
      <c r="B166" s="185"/>
      <c r="C166" s="186"/>
      <c r="D166" s="186"/>
      <c r="E166" s="186"/>
      <c r="F166" s="187"/>
      <c r="G166" s="198"/>
      <c r="H166" s="194"/>
      <c r="I166" s="191"/>
      <c r="J166" s="188"/>
      <c r="K166" s="199"/>
      <c r="L166" s="195"/>
      <c r="M166" s="192"/>
      <c r="N166" s="189"/>
      <c r="O166" s="200"/>
      <c r="P166" s="196"/>
      <c r="Q166" s="201"/>
      <c r="R166" s="193"/>
      <c r="S166" s="126"/>
      <c r="T166" s="126"/>
      <c r="U166" s="126"/>
      <c r="V166" s="126"/>
      <c r="W166" s="126"/>
      <c r="X166" s="126"/>
    </row>
    <row r="167">
      <c r="A167" s="190"/>
      <c r="B167" s="185"/>
      <c r="C167" s="186"/>
      <c r="D167" s="186"/>
      <c r="E167" s="186"/>
      <c r="F167" s="187"/>
      <c r="G167" s="198"/>
      <c r="H167" s="194"/>
      <c r="I167" s="191"/>
      <c r="J167" s="188"/>
      <c r="K167" s="199"/>
      <c r="L167" s="195"/>
      <c r="M167" s="192"/>
      <c r="N167" s="189"/>
      <c r="O167" s="200"/>
      <c r="P167" s="196"/>
      <c r="Q167" s="201"/>
      <c r="R167" s="193"/>
      <c r="S167" s="126"/>
      <c r="T167" s="126"/>
      <c r="U167" s="126"/>
      <c r="V167" s="126"/>
      <c r="W167" s="126"/>
      <c r="X167" s="126"/>
    </row>
    <row r="168">
      <c r="A168" s="190"/>
      <c r="B168" s="185"/>
      <c r="C168" s="186"/>
      <c r="D168" s="186"/>
      <c r="E168" s="186"/>
      <c r="F168" s="187"/>
      <c r="G168" s="198"/>
      <c r="H168" s="194"/>
      <c r="I168" s="191"/>
      <c r="J168" s="188"/>
      <c r="K168" s="199"/>
      <c r="L168" s="195"/>
      <c r="M168" s="192"/>
      <c r="N168" s="189"/>
      <c r="O168" s="200"/>
      <c r="P168" s="196"/>
      <c r="Q168" s="201"/>
      <c r="R168" s="193"/>
      <c r="S168" s="126"/>
      <c r="T168" s="126"/>
      <c r="U168" s="126"/>
      <c r="V168" s="126"/>
      <c r="W168" s="126"/>
      <c r="X168" s="126"/>
    </row>
    <row r="169">
      <c r="A169" s="190"/>
      <c r="B169" s="185"/>
      <c r="C169" s="186"/>
      <c r="D169" s="186"/>
      <c r="E169" s="186"/>
      <c r="F169" s="187"/>
      <c r="G169" s="198"/>
      <c r="H169" s="194"/>
      <c r="I169" s="191"/>
      <c r="J169" s="188"/>
      <c r="K169" s="199"/>
      <c r="L169" s="195"/>
      <c r="M169" s="192"/>
      <c r="N169" s="189"/>
      <c r="O169" s="200"/>
      <c r="P169" s="196"/>
      <c r="Q169" s="201"/>
      <c r="R169" s="193"/>
      <c r="S169" s="126"/>
      <c r="T169" s="126"/>
      <c r="U169" s="126"/>
      <c r="V169" s="126"/>
      <c r="W169" s="126"/>
      <c r="X169" s="126"/>
    </row>
    <row r="170">
      <c r="A170" s="190"/>
      <c r="B170" s="185"/>
      <c r="C170" s="186"/>
      <c r="D170" s="186"/>
      <c r="E170" s="186"/>
      <c r="F170" s="187"/>
      <c r="G170" s="198"/>
      <c r="H170" s="194"/>
      <c r="I170" s="191"/>
      <c r="J170" s="188"/>
      <c r="K170" s="199"/>
      <c r="L170" s="195"/>
      <c r="M170" s="192"/>
      <c r="N170" s="189"/>
      <c r="O170" s="200"/>
      <c r="P170" s="196"/>
      <c r="Q170" s="201"/>
      <c r="R170" s="193"/>
      <c r="S170" s="126"/>
      <c r="T170" s="126"/>
      <c r="U170" s="126"/>
      <c r="V170" s="126"/>
      <c r="W170" s="126"/>
      <c r="X170" s="126"/>
    </row>
    <row r="171">
      <c r="A171" s="190"/>
      <c r="B171" s="185"/>
      <c r="C171" s="186"/>
      <c r="D171" s="186"/>
      <c r="E171" s="186"/>
      <c r="F171" s="187"/>
      <c r="G171" s="198"/>
      <c r="H171" s="194"/>
      <c r="I171" s="191"/>
      <c r="J171" s="188"/>
      <c r="K171" s="199"/>
      <c r="L171" s="195"/>
      <c r="M171" s="192"/>
      <c r="N171" s="189"/>
      <c r="O171" s="200"/>
      <c r="P171" s="196"/>
      <c r="Q171" s="201"/>
      <c r="R171" s="193"/>
      <c r="S171" s="126"/>
      <c r="T171" s="126"/>
      <c r="U171" s="126"/>
      <c r="V171" s="126"/>
      <c r="W171" s="126"/>
      <c r="X171" s="126"/>
    </row>
    <row r="172">
      <c r="A172" s="190"/>
      <c r="B172" s="185"/>
      <c r="C172" s="186"/>
      <c r="D172" s="186"/>
      <c r="E172" s="186"/>
      <c r="F172" s="187"/>
      <c r="G172" s="198"/>
      <c r="H172" s="194"/>
      <c r="I172" s="191"/>
      <c r="J172" s="188"/>
      <c r="K172" s="199"/>
      <c r="L172" s="195"/>
      <c r="M172" s="192"/>
      <c r="N172" s="189"/>
      <c r="O172" s="200"/>
      <c r="P172" s="196"/>
      <c r="Q172" s="201"/>
      <c r="R172" s="193"/>
      <c r="S172" s="126"/>
      <c r="T172" s="126"/>
      <c r="U172" s="126"/>
      <c r="V172" s="126"/>
      <c r="W172" s="126"/>
      <c r="X172" s="126"/>
    </row>
    <row r="173">
      <c r="A173" s="190"/>
      <c r="B173" s="185"/>
      <c r="C173" s="186"/>
      <c r="D173" s="186"/>
      <c r="E173" s="186"/>
      <c r="F173" s="187"/>
      <c r="G173" s="198"/>
      <c r="H173" s="194"/>
      <c r="I173" s="191"/>
      <c r="J173" s="188"/>
      <c r="K173" s="199"/>
      <c r="L173" s="195"/>
      <c r="M173" s="192"/>
      <c r="N173" s="189"/>
      <c r="O173" s="200"/>
      <c r="P173" s="196"/>
      <c r="Q173" s="201"/>
      <c r="R173" s="193"/>
      <c r="S173" s="126"/>
      <c r="T173" s="126"/>
      <c r="U173" s="126"/>
      <c r="V173" s="126"/>
      <c r="W173" s="126"/>
      <c r="X173" s="126"/>
    </row>
    <row r="174">
      <c r="A174" s="190"/>
      <c r="B174" s="185"/>
      <c r="C174" s="186"/>
      <c r="D174" s="186"/>
      <c r="E174" s="186"/>
      <c r="F174" s="187"/>
      <c r="G174" s="198"/>
      <c r="H174" s="194"/>
      <c r="I174" s="191"/>
      <c r="J174" s="188"/>
      <c r="K174" s="199"/>
      <c r="L174" s="195"/>
      <c r="M174" s="192"/>
      <c r="N174" s="189"/>
      <c r="O174" s="200"/>
      <c r="P174" s="196"/>
      <c r="Q174" s="201"/>
      <c r="R174" s="193"/>
      <c r="S174" s="126"/>
      <c r="T174" s="126"/>
      <c r="U174" s="126"/>
      <c r="V174" s="126"/>
      <c r="W174" s="126"/>
      <c r="X174" s="126"/>
    </row>
    <row r="175">
      <c r="A175" s="190"/>
      <c r="B175" s="185"/>
      <c r="C175" s="186"/>
      <c r="D175" s="186"/>
      <c r="E175" s="186"/>
      <c r="F175" s="187"/>
      <c r="G175" s="198"/>
      <c r="H175" s="194"/>
      <c r="I175" s="191"/>
      <c r="J175" s="188"/>
      <c r="K175" s="199"/>
      <c r="L175" s="195"/>
      <c r="M175" s="192"/>
      <c r="N175" s="189"/>
      <c r="O175" s="200"/>
      <c r="P175" s="196"/>
      <c r="Q175" s="201"/>
      <c r="R175" s="193"/>
      <c r="S175" s="126"/>
      <c r="T175" s="126"/>
      <c r="U175" s="126"/>
      <c r="V175" s="126"/>
      <c r="W175" s="126"/>
      <c r="X175" s="126"/>
    </row>
    <row r="176">
      <c r="A176" s="190"/>
      <c r="B176" s="185"/>
      <c r="C176" s="186"/>
      <c r="D176" s="186"/>
      <c r="E176" s="186"/>
      <c r="F176" s="187"/>
      <c r="G176" s="198"/>
      <c r="H176" s="194"/>
      <c r="I176" s="191"/>
      <c r="J176" s="188"/>
      <c r="K176" s="199"/>
      <c r="L176" s="195"/>
      <c r="M176" s="192"/>
      <c r="N176" s="189"/>
      <c r="O176" s="200"/>
      <c r="P176" s="196"/>
      <c r="Q176" s="201"/>
      <c r="R176" s="193"/>
      <c r="S176" s="126"/>
      <c r="T176" s="126"/>
      <c r="U176" s="126"/>
      <c r="V176" s="126"/>
      <c r="W176" s="126"/>
      <c r="X176" s="126"/>
    </row>
    <row r="177">
      <c r="A177" s="190"/>
      <c r="B177" s="185"/>
      <c r="C177" s="186"/>
      <c r="D177" s="186"/>
      <c r="E177" s="186"/>
      <c r="F177" s="187"/>
      <c r="G177" s="198"/>
      <c r="H177" s="194"/>
      <c r="I177" s="191"/>
      <c r="J177" s="188"/>
      <c r="K177" s="199"/>
      <c r="L177" s="195"/>
      <c r="M177" s="192"/>
      <c r="N177" s="189"/>
      <c r="O177" s="200"/>
      <c r="P177" s="196"/>
      <c r="Q177" s="201"/>
      <c r="R177" s="193"/>
      <c r="S177" s="126"/>
      <c r="T177" s="126"/>
      <c r="U177" s="126"/>
      <c r="V177" s="126"/>
      <c r="W177" s="126"/>
      <c r="X177" s="126"/>
    </row>
    <row r="178">
      <c r="A178" s="190"/>
      <c r="B178" s="185"/>
      <c r="C178" s="186"/>
      <c r="D178" s="186"/>
      <c r="E178" s="186"/>
      <c r="F178" s="187"/>
      <c r="G178" s="198"/>
      <c r="H178" s="194"/>
      <c r="I178" s="191"/>
      <c r="J178" s="188"/>
      <c r="K178" s="199"/>
      <c r="L178" s="195"/>
      <c r="M178" s="192"/>
      <c r="N178" s="189"/>
      <c r="O178" s="200"/>
      <c r="P178" s="196"/>
      <c r="Q178" s="201"/>
      <c r="R178" s="193"/>
      <c r="S178" s="126"/>
      <c r="T178" s="126"/>
      <c r="U178" s="126"/>
      <c r="V178" s="126"/>
      <c r="W178" s="126"/>
      <c r="X178" s="126"/>
    </row>
    <row r="179">
      <c r="A179" s="190"/>
      <c r="B179" s="185"/>
      <c r="C179" s="186"/>
      <c r="D179" s="186"/>
      <c r="E179" s="186"/>
      <c r="F179" s="187"/>
      <c r="G179" s="198"/>
      <c r="H179" s="194"/>
      <c r="I179" s="191"/>
      <c r="J179" s="188"/>
      <c r="K179" s="199"/>
      <c r="L179" s="195"/>
      <c r="M179" s="192"/>
      <c r="N179" s="189"/>
      <c r="O179" s="200"/>
      <c r="P179" s="196"/>
      <c r="Q179" s="201"/>
      <c r="R179" s="193"/>
      <c r="S179" s="126"/>
      <c r="T179" s="126"/>
      <c r="U179" s="126"/>
      <c r="V179" s="126"/>
      <c r="W179" s="126"/>
      <c r="X179" s="126"/>
    </row>
    <row r="180">
      <c r="A180" s="190"/>
      <c r="B180" s="185"/>
      <c r="C180" s="186"/>
      <c r="D180" s="186"/>
      <c r="E180" s="186"/>
      <c r="F180" s="187"/>
      <c r="G180" s="198"/>
      <c r="H180" s="194"/>
      <c r="I180" s="191"/>
      <c r="J180" s="188"/>
      <c r="K180" s="199"/>
      <c r="L180" s="195"/>
      <c r="M180" s="192"/>
      <c r="N180" s="189"/>
      <c r="O180" s="200"/>
      <c r="P180" s="196"/>
      <c r="Q180" s="201"/>
      <c r="R180" s="193"/>
      <c r="S180" s="126"/>
      <c r="T180" s="126"/>
      <c r="U180" s="126"/>
      <c r="V180" s="126"/>
      <c r="W180" s="126"/>
      <c r="X180" s="126"/>
    </row>
    <row r="181">
      <c r="A181" s="190"/>
      <c r="B181" s="185"/>
      <c r="C181" s="186"/>
      <c r="D181" s="186"/>
      <c r="E181" s="186"/>
      <c r="F181" s="187"/>
      <c r="G181" s="198"/>
      <c r="H181" s="194"/>
      <c r="I181" s="191"/>
      <c r="J181" s="188"/>
      <c r="K181" s="199"/>
      <c r="L181" s="195"/>
      <c r="M181" s="192"/>
      <c r="N181" s="189"/>
      <c r="O181" s="200"/>
      <c r="P181" s="196"/>
      <c r="Q181" s="201"/>
      <c r="R181" s="193"/>
      <c r="S181" s="126"/>
      <c r="T181" s="126"/>
      <c r="U181" s="126"/>
      <c r="V181" s="126"/>
      <c r="W181" s="126"/>
      <c r="X181" s="126"/>
    </row>
    <row r="182">
      <c r="A182" s="190"/>
      <c r="B182" s="185"/>
      <c r="C182" s="186"/>
      <c r="D182" s="186"/>
      <c r="E182" s="186"/>
      <c r="F182" s="187"/>
      <c r="G182" s="198"/>
      <c r="H182" s="194"/>
      <c r="I182" s="191"/>
      <c r="J182" s="188"/>
      <c r="K182" s="199"/>
      <c r="L182" s="195"/>
      <c r="M182" s="192"/>
      <c r="N182" s="189"/>
      <c r="O182" s="200"/>
      <c r="P182" s="196"/>
      <c r="Q182" s="201"/>
      <c r="R182" s="193"/>
      <c r="S182" s="126"/>
      <c r="T182" s="126"/>
      <c r="U182" s="126"/>
      <c r="V182" s="126"/>
      <c r="W182" s="126"/>
      <c r="X182" s="126"/>
    </row>
    <row r="183">
      <c r="A183" s="190"/>
      <c r="B183" s="185"/>
      <c r="C183" s="186"/>
      <c r="D183" s="186"/>
      <c r="E183" s="186"/>
      <c r="F183" s="187"/>
      <c r="G183" s="198"/>
      <c r="H183" s="194"/>
      <c r="I183" s="191"/>
      <c r="J183" s="188"/>
      <c r="K183" s="199"/>
      <c r="L183" s="195"/>
      <c r="M183" s="192"/>
      <c r="N183" s="189"/>
      <c r="O183" s="200"/>
      <c r="P183" s="196"/>
      <c r="Q183" s="201"/>
      <c r="R183" s="193"/>
      <c r="S183" s="126"/>
      <c r="T183" s="126"/>
      <c r="U183" s="126"/>
      <c r="V183" s="126"/>
      <c r="W183" s="126"/>
      <c r="X183" s="126"/>
    </row>
    <row r="184">
      <c r="A184" s="190"/>
      <c r="B184" s="185"/>
      <c r="C184" s="186"/>
      <c r="D184" s="186"/>
      <c r="E184" s="186"/>
      <c r="F184" s="187"/>
      <c r="G184" s="198"/>
      <c r="H184" s="194"/>
      <c r="I184" s="191"/>
      <c r="J184" s="188"/>
      <c r="K184" s="199"/>
      <c r="L184" s="195"/>
      <c r="M184" s="192"/>
      <c r="N184" s="189"/>
      <c r="O184" s="200"/>
      <c r="P184" s="196"/>
      <c r="Q184" s="201"/>
      <c r="R184" s="193"/>
      <c r="S184" s="126"/>
      <c r="T184" s="126"/>
      <c r="U184" s="126"/>
      <c r="V184" s="126"/>
      <c r="W184" s="126"/>
      <c r="X184" s="126"/>
    </row>
    <row r="185">
      <c r="A185" s="190"/>
      <c r="B185" s="185"/>
      <c r="C185" s="186"/>
      <c r="D185" s="186"/>
      <c r="E185" s="186"/>
      <c r="F185" s="187"/>
      <c r="G185" s="198"/>
      <c r="H185" s="194"/>
      <c r="I185" s="191"/>
      <c r="J185" s="188"/>
      <c r="K185" s="199"/>
      <c r="L185" s="195"/>
      <c r="M185" s="192"/>
      <c r="N185" s="189"/>
      <c r="O185" s="200"/>
      <c r="P185" s="196"/>
      <c r="Q185" s="201"/>
      <c r="R185" s="193"/>
      <c r="S185" s="126"/>
      <c r="T185" s="126"/>
      <c r="U185" s="126"/>
      <c r="V185" s="126"/>
      <c r="W185" s="126"/>
      <c r="X185" s="126"/>
    </row>
    <row r="186">
      <c r="A186" s="190"/>
      <c r="B186" s="185"/>
      <c r="C186" s="186"/>
      <c r="D186" s="186"/>
      <c r="E186" s="186"/>
      <c r="F186" s="187"/>
      <c r="G186" s="198"/>
      <c r="H186" s="194"/>
      <c r="I186" s="191"/>
      <c r="J186" s="188"/>
      <c r="K186" s="199"/>
      <c r="L186" s="195"/>
      <c r="M186" s="192"/>
      <c r="N186" s="189"/>
      <c r="O186" s="200"/>
      <c r="P186" s="196"/>
      <c r="Q186" s="201"/>
      <c r="R186" s="193"/>
      <c r="S186" s="126"/>
      <c r="T186" s="126"/>
      <c r="U186" s="126"/>
      <c r="V186" s="126"/>
      <c r="W186" s="126"/>
      <c r="X186" s="126"/>
    </row>
    <row r="187">
      <c r="A187" s="190"/>
      <c r="B187" s="185"/>
      <c r="C187" s="186"/>
      <c r="D187" s="186"/>
      <c r="E187" s="186"/>
      <c r="F187" s="187"/>
      <c r="G187" s="198"/>
      <c r="H187" s="194"/>
      <c r="I187" s="191"/>
      <c r="J187" s="188"/>
      <c r="K187" s="199"/>
      <c r="L187" s="195"/>
      <c r="M187" s="192"/>
      <c r="N187" s="189"/>
      <c r="O187" s="200"/>
      <c r="P187" s="196"/>
      <c r="Q187" s="201"/>
      <c r="R187" s="193"/>
      <c r="S187" s="126"/>
      <c r="T187" s="126"/>
      <c r="U187" s="126"/>
      <c r="V187" s="126"/>
      <c r="W187" s="126"/>
      <c r="X187" s="126"/>
    </row>
    <row r="188">
      <c r="A188" s="190"/>
      <c r="B188" s="185"/>
      <c r="C188" s="186"/>
      <c r="D188" s="186"/>
      <c r="E188" s="186"/>
      <c r="F188" s="187"/>
      <c r="G188" s="198"/>
      <c r="H188" s="194"/>
      <c r="I188" s="191"/>
      <c r="J188" s="188"/>
      <c r="K188" s="199"/>
      <c r="L188" s="195"/>
      <c r="M188" s="192"/>
      <c r="N188" s="189"/>
      <c r="O188" s="200"/>
      <c r="P188" s="196"/>
      <c r="Q188" s="201"/>
      <c r="R188" s="193"/>
      <c r="S188" s="126"/>
      <c r="T188" s="126"/>
      <c r="U188" s="126"/>
      <c r="V188" s="126"/>
      <c r="W188" s="126"/>
      <c r="X188" s="126"/>
    </row>
    <row r="189">
      <c r="A189" s="190"/>
      <c r="B189" s="185"/>
      <c r="C189" s="186"/>
      <c r="D189" s="186"/>
      <c r="E189" s="186"/>
      <c r="F189" s="187"/>
      <c r="G189" s="198"/>
      <c r="H189" s="194"/>
      <c r="I189" s="191"/>
      <c r="J189" s="188"/>
      <c r="K189" s="199"/>
      <c r="L189" s="195"/>
      <c r="M189" s="192"/>
      <c r="N189" s="189"/>
      <c r="O189" s="200"/>
      <c r="P189" s="196"/>
      <c r="Q189" s="201"/>
      <c r="R189" s="193"/>
      <c r="S189" s="126"/>
      <c r="T189" s="126"/>
      <c r="U189" s="126"/>
      <c r="V189" s="126"/>
      <c r="W189" s="126"/>
      <c r="X189" s="126"/>
    </row>
    <row r="190">
      <c r="A190" s="190"/>
      <c r="B190" s="185"/>
      <c r="C190" s="186"/>
      <c r="D190" s="186"/>
      <c r="E190" s="186"/>
      <c r="F190" s="187"/>
      <c r="G190" s="198"/>
      <c r="H190" s="194"/>
      <c r="I190" s="191"/>
      <c r="J190" s="188"/>
      <c r="K190" s="199"/>
      <c r="L190" s="195"/>
      <c r="M190" s="192"/>
      <c r="N190" s="189"/>
      <c r="O190" s="200"/>
      <c r="P190" s="196"/>
      <c r="Q190" s="201"/>
      <c r="R190" s="193"/>
      <c r="S190" s="126"/>
      <c r="T190" s="126"/>
      <c r="U190" s="126"/>
      <c r="V190" s="126"/>
      <c r="W190" s="126"/>
      <c r="X190" s="126"/>
    </row>
    <row r="191">
      <c r="A191" s="190"/>
      <c r="B191" s="185"/>
      <c r="C191" s="186"/>
      <c r="D191" s="186"/>
      <c r="E191" s="186"/>
      <c r="F191" s="187"/>
      <c r="G191" s="198"/>
      <c r="H191" s="194"/>
      <c r="I191" s="191"/>
      <c r="J191" s="188"/>
      <c r="K191" s="199"/>
      <c r="L191" s="195"/>
      <c r="M191" s="192"/>
      <c r="N191" s="189"/>
      <c r="O191" s="200"/>
      <c r="P191" s="196"/>
      <c r="Q191" s="201"/>
      <c r="R191" s="193"/>
      <c r="S191" s="126"/>
      <c r="T191" s="126"/>
      <c r="U191" s="126"/>
      <c r="V191" s="126"/>
      <c r="W191" s="126"/>
      <c r="X191" s="126"/>
    </row>
    <row r="192">
      <c r="A192" s="190"/>
      <c r="B192" s="185"/>
      <c r="C192" s="186"/>
      <c r="D192" s="186"/>
      <c r="E192" s="186"/>
      <c r="F192" s="187"/>
      <c r="G192" s="198"/>
      <c r="H192" s="194"/>
      <c r="I192" s="191"/>
      <c r="J192" s="188"/>
      <c r="K192" s="199"/>
      <c r="L192" s="195"/>
      <c r="M192" s="192"/>
      <c r="N192" s="189"/>
      <c r="O192" s="200"/>
      <c r="P192" s="196"/>
      <c r="Q192" s="201"/>
      <c r="R192" s="193"/>
      <c r="S192" s="126"/>
      <c r="T192" s="126"/>
      <c r="U192" s="126"/>
      <c r="V192" s="126"/>
      <c r="W192" s="126"/>
      <c r="X192" s="126"/>
    </row>
    <row r="193">
      <c r="A193" s="190"/>
      <c r="B193" s="185"/>
      <c r="C193" s="186"/>
      <c r="D193" s="186"/>
      <c r="E193" s="186"/>
      <c r="F193" s="187"/>
      <c r="G193" s="198"/>
      <c r="H193" s="194"/>
      <c r="I193" s="191"/>
      <c r="J193" s="188"/>
      <c r="K193" s="199"/>
      <c r="L193" s="195"/>
      <c r="M193" s="192"/>
      <c r="N193" s="189"/>
      <c r="O193" s="200"/>
      <c r="P193" s="196"/>
      <c r="Q193" s="201"/>
      <c r="R193" s="193"/>
      <c r="S193" s="126"/>
      <c r="T193" s="126"/>
      <c r="U193" s="126"/>
      <c r="V193" s="126"/>
      <c r="W193" s="126"/>
      <c r="X193" s="126"/>
    </row>
    <row r="194">
      <c r="A194" s="190"/>
      <c r="B194" s="185"/>
      <c r="C194" s="186"/>
      <c r="D194" s="186"/>
      <c r="E194" s="186"/>
      <c r="F194" s="187"/>
      <c r="G194" s="198"/>
      <c r="H194" s="194"/>
      <c r="I194" s="191"/>
      <c r="J194" s="188"/>
      <c r="K194" s="199"/>
      <c r="L194" s="195"/>
      <c r="M194" s="192"/>
      <c r="N194" s="189"/>
      <c r="O194" s="200"/>
      <c r="P194" s="196"/>
      <c r="Q194" s="201"/>
      <c r="R194" s="193"/>
      <c r="S194" s="126"/>
      <c r="T194" s="126"/>
      <c r="U194" s="126"/>
      <c r="V194" s="126"/>
      <c r="W194" s="126"/>
      <c r="X194" s="126"/>
    </row>
    <row r="195">
      <c r="A195" s="190"/>
      <c r="B195" s="185"/>
      <c r="C195" s="186"/>
      <c r="D195" s="186"/>
      <c r="E195" s="186"/>
      <c r="F195" s="187"/>
      <c r="G195" s="198"/>
      <c r="H195" s="194"/>
      <c r="I195" s="191"/>
      <c r="J195" s="188"/>
      <c r="K195" s="199"/>
      <c r="L195" s="195"/>
      <c r="M195" s="192"/>
      <c r="N195" s="189"/>
      <c r="O195" s="200"/>
      <c r="P195" s="196"/>
      <c r="Q195" s="201"/>
      <c r="R195" s="193"/>
      <c r="S195" s="126"/>
      <c r="T195" s="126"/>
      <c r="U195" s="126"/>
      <c r="V195" s="126"/>
      <c r="W195" s="126"/>
      <c r="X195" s="126"/>
    </row>
    <row r="196">
      <c r="A196" s="190"/>
      <c r="B196" s="185"/>
      <c r="C196" s="186"/>
      <c r="D196" s="186"/>
      <c r="E196" s="186"/>
      <c r="F196" s="187"/>
      <c r="G196" s="198"/>
      <c r="H196" s="194"/>
      <c r="I196" s="191"/>
      <c r="J196" s="188"/>
      <c r="K196" s="199"/>
      <c r="L196" s="195"/>
      <c r="M196" s="192"/>
      <c r="N196" s="189"/>
      <c r="O196" s="200"/>
      <c r="P196" s="196"/>
      <c r="Q196" s="201"/>
      <c r="R196" s="193"/>
      <c r="S196" s="126"/>
      <c r="T196" s="126"/>
      <c r="U196" s="126"/>
      <c r="V196" s="126"/>
      <c r="W196" s="126"/>
      <c r="X196" s="126"/>
    </row>
    <row r="197">
      <c r="A197" s="190"/>
      <c r="B197" s="185"/>
      <c r="C197" s="186"/>
      <c r="D197" s="186"/>
      <c r="E197" s="186"/>
      <c r="F197" s="187"/>
      <c r="G197" s="198"/>
      <c r="H197" s="194"/>
      <c r="I197" s="191"/>
      <c r="J197" s="188"/>
      <c r="K197" s="199"/>
      <c r="L197" s="195"/>
      <c r="M197" s="192"/>
      <c r="N197" s="189"/>
      <c r="O197" s="200"/>
      <c r="P197" s="196"/>
      <c r="Q197" s="201"/>
      <c r="R197" s="193"/>
      <c r="S197" s="126"/>
      <c r="T197" s="126"/>
      <c r="U197" s="126"/>
      <c r="V197" s="126"/>
      <c r="W197" s="126"/>
      <c r="X197" s="126"/>
    </row>
    <row r="198">
      <c r="A198" s="190"/>
      <c r="B198" s="185"/>
      <c r="C198" s="186"/>
      <c r="D198" s="186"/>
      <c r="E198" s="186"/>
      <c r="F198" s="187"/>
      <c r="G198" s="198"/>
      <c r="H198" s="194"/>
      <c r="I198" s="191"/>
      <c r="J198" s="188"/>
      <c r="K198" s="199"/>
      <c r="L198" s="195"/>
      <c r="M198" s="192"/>
      <c r="N198" s="189"/>
      <c r="O198" s="200"/>
      <c r="P198" s="196"/>
      <c r="Q198" s="201"/>
      <c r="R198" s="193"/>
      <c r="S198" s="126"/>
      <c r="T198" s="126"/>
      <c r="U198" s="126"/>
      <c r="V198" s="126"/>
      <c r="W198" s="126"/>
      <c r="X198" s="126"/>
    </row>
    <row r="199">
      <c r="A199" s="190"/>
      <c r="B199" s="185"/>
      <c r="C199" s="186"/>
      <c r="D199" s="186"/>
      <c r="E199" s="186"/>
      <c r="F199" s="187"/>
      <c r="G199" s="198"/>
      <c r="H199" s="194"/>
      <c r="I199" s="191"/>
      <c r="J199" s="188"/>
      <c r="K199" s="199"/>
      <c r="L199" s="195"/>
      <c r="M199" s="192"/>
      <c r="N199" s="189"/>
      <c r="O199" s="200"/>
      <c r="P199" s="196"/>
      <c r="Q199" s="201"/>
      <c r="R199" s="193"/>
      <c r="S199" s="126"/>
      <c r="T199" s="126"/>
      <c r="U199" s="126"/>
      <c r="V199" s="126"/>
      <c r="W199" s="126"/>
      <c r="X199" s="126"/>
    </row>
    <row r="200">
      <c r="A200" s="190"/>
      <c r="B200" s="185"/>
      <c r="C200" s="186"/>
      <c r="D200" s="186"/>
      <c r="E200" s="186"/>
      <c r="F200" s="187"/>
      <c r="G200" s="198"/>
      <c r="H200" s="194"/>
      <c r="I200" s="191"/>
      <c r="J200" s="188"/>
      <c r="K200" s="199"/>
      <c r="L200" s="195"/>
      <c r="M200" s="192"/>
      <c r="N200" s="189"/>
      <c r="O200" s="200"/>
      <c r="P200" s="196"/>
      <c r="Q200" s="201"/>
      <c r="R200" s="193"/>
      <c r="S200" s="126"/>
      <c r="T200" s="126"/>
      <c r="U200" s="126"/>
      <c r="V200" s="126"/>
      <c r="W200" s="126"/>
      <c r="X200" s="126"/>
    </row>
    <row r="201">
      <c r="A201" s="190"/>
      <c r="B201" s="185"/>
      <c r="C201" s="186"/>
      <c r="D201" s="186"/>
      <c r="E201" s="186"/>
      <c r="F201" s="187"/>
      <c r="G201" s="198"/>
      <c r="H201" s="194"/>
      <c r="I201" s="191"/>
      <c r="J201" s="188"/>
      <c r="K201" s="199"/>
      <c r="L201" s="195"/>
      <c r="M201" s="192"/>
      <c r="N201" s="189"/>
      <c r="O201" s="200"/>
      <c r="P201" s="196"/>
      <c r="Q201" s="201"/>
      <c r="R201" s="193"/>
      <c r="S201" s="126"/>
      <c r="T201" s="126"/>
      <c r="U201" s="126"/>
      <c r="V201" s="126"/>
      <c r="W201" s="126"/>
      <c r="X201" s="126"/>
    </row>
    <row r="202">
      <c r="A202" s="190"/>
      <c r="B202" s="185"/>
      <c r="C202" s="186"/>
      <c r="D202" s="186"/>
      <c r="E202" s="186"/>
      <c r="F202" s="187"/>
      <c r="G202" s="198"/>
      <c r="H202" s="194"/>
      <c r="I202" s="191"/>
      <c r="J202" s="188"/>
      <c r="K202" s="199"/>
      <c r="L202" s="195"/>
      <c r="M202" s="192"/>
      <c r="N202" s="189"/>
      <c r="O202" s="200"/>
      <c r="P202" s="196"/>
      <c r="Q202" s="201"/>
      <c r="R202" s="193"/>
      <c r="S202" s="126"/>
      <c r="T202" s="126"/>
      <c r="U202" s="126"/>
      <c r="V202" s="126"/>
      <c r="W202" s="126"/>
      <c r="X202" s="126"/>
    </row>
    <row r="203">
      <c r="A203" s="190"/>
      <c r="B203" s="185"/>
      <c r="C203" s="186"/>
      <c r="D203" s="186"/>
      <c r="E203" s="186"/>
      <c r="F203" s="187"/>
      <c r="G203" s="198"/>
      <c r="H203" s="194"/>
      <c r="I203" s="191"/>
      <c r="J203" s="188"/>
      <c r="K203" s="199"/>
      <c r="L203" s="195"/>
      <c r="M203" s="192"/>
      <c r="N203" s="189"/>
      <c r="O203" s="200"/>
      <c r="P203" s="196"/>
      <c r="Q203" s="201"/>
      <c r="R203" s="193"/>
      <c r="S203" s="126"/>
      <c r="T203" s="126"/>
      <c r="U203" s="126"/>
      <c r="V203" s="126"/>
      <c r="W203" s="126"/>
      <c r="X203" s="126"/>
    </row>
    <row r="204">
      <c r="A204" s="190"/>
      <c r="B204" s="185"/>
      <c r="C204" s="186"/>
      <c r="D204" s="186"/>
      <c r="E204" s="186"/>
      <c r="F204" s="187"/>
      <c r="G204" s="198"/>
      <c r="H204" s="194"/>
      <c r="I204" s="191"/>
      <c r="J204" s="188"/>
      <c r="K204" s="199"/>
      <c r="L204" s="195"/>
      <c r="M204" s="192"/>
      <c r="N204" s="189"/>
      <c r="O204" s="200"/>
      <c r="P204" s="196"/>
      <c r="Q204" s="201"/>
      <c r="R204" s="193"/>
      <c r="S204" s="126"/>
      <c r="T204" s="126"/>
      <c r="U204" s="126"/>
      <c r="V204" s="126"/>
      <c r="W204" s="126"/>
      <c r="X204" s="126"/>
    </row>
    <row r="205">
      <c r="A205" s="190"/>
      <c r="B205" s="185"/>
      <c r="C205" s="186"/>
      <c r="D205" s="186"/>
      <c r="E205" s="186"/>
      <c r="F205" s="187"/>
      <c r="G205" s="198"/>
      <c r="H205" s="194"/>
      <c r="I205" s="191"/>
      <c r="J205" s="188"/>
      <c r="K205" s="199"/>
      <c r="L205" s="195"/>
      <c r="M205" s="192"/>
      <c r="N205" s="189"/>
      <c r="O205" s="200"/>
      <c r="P205" s="196"/>
      <c r="Q205" s="201"/>
      <c r="R205" s="193"/>
      <c r="S205" s="126"/>
      <c r="T205" s="126"/>
      <c r="U205" s="126"/>
      <c r="V205" s="126"/>
      <c r="W205" s="126"/>
      <c r="X205" s="126"/>
    </row>
    <row r="206">
      <c r="A206" s="190"/>
      <c r="B206" s="185"/>
      <c r="C206" s="186"/>
      <c r="D206" s="186"/>
      <c r="E206" s="186"/>
      <c r="F206" s="187"/>
      <c r="G206" s="198"/>
      <c r="H206" s="194"/>
      <c r="I206" s="191"/>
      <c r="J206" s="188"/>
      <c r="K206" s="199"/>
      <c r="L206" s="195"/>
      <c r="M206" s="192"/>
      <c r="N206" s="189"/>
      <c r="O206" s="200"/>
      <c r="P206" s="196"/>
      <c r="Q206" s="201"/>
      <c r="R206" s="193"/>
      <c r="S206" s="126"/>
      <c r="T206" s="126"/>
      <c r="U206" s="126"/>
      <c r="V206" s="126"/>
      <c r="W206" s="126"/>
      <c r="X206" s="126"/>
    </row>
    <row r="207">
      <c r="A207" s="190"/>
      <c r="B207" s="185"/>
      <c r="C207" s="186"/>
      <c r="D207" s="186"/>
      <c r="E207" s="186"/>
      <c r="F207" s="187"/>
      <c r="G207" s="198"/>
      <c r="H207" s="194"/>
      <c r="I207" s="191"/>
      <c r="J207" s="188"/>
      <c r="K207" s="199"/>
      <c r="L207" s="195"/>
      <c r="M207" s="192"/>
      <c r="N207" s="189"/>
      <c r="O207" s="200"/>
      <c r="P207" s="196"/>
      <c r="Q207" s="201"/>
      <c r="R207" s="193"/>
      <c r="S207" s="126"/>
      <c r="T207" s="126"/>
      <c r="U207" s="126"/>
      <c r="V207" s="126"/>
      <c r="W207" s="126"/>
      <c r="X207" s="126"/>
    </row>
    <row r="208">
      <c r="A208" s="190"/>
      <c r="B208" s="185"/>
      <c r="C208" s="186"/>
      <c r="D208" s="186"/>
      <c r="E208" s="186"/>
      <c r="F208" s="187"/>
      <c r="G208" s="198"/>
      <c r="H208" s="194"/>
      <c r="I208" s="191"/>
      <c r="J208" s="188"/>
      <c r="K208" s="199"/>
      <c r="L208" s="195"/>
      <c r="M208" s="192"/>
      <c r="N208" s="189"/>
      <c r="O208" s="200"/>
      <c r="P208" s="196"/>
      <c r="Q208" s="201"/>
      <c r="R208" s="193"/>
      <c r="S208" s="126"/>
      <c r="T208" s="126"/>
      <c r="U208" s="126"/>
      <c r="V208" s="126"/>
      <c r="W208" s="126"/>
      <c r="X208" s="126"/>
    </row>
    <row r="209">
      <c r="A209" s="190"/>
      <c r="B209" s="185"/>
      <c r="C209" s="186"/>
      <c r="D209" s="186"/>
      <c r="E209" s="186"/>
      <c r="F209" s="187"/>
      <c r="G209" s="198"/>
      <c r="H209" s="194"/>
      <c r="I209" s="191"/>
      <c r="J209" s="188"/>
      <c r="K209" s="199"/>
      <c r="L209" s="195"/>
      <c r="M209" s="192"/>
      <c r="N209" s="189"/>
      <c r="O209" s="200"/>
      <c r="P209" s="196"/>
      <c r="Q209" s="201"/>
      <c r="R209" s="193"/>
      <c r="S209" s="126"/>
      <c r="T209" s="126"/>
      <c r="U209" s="126"/>
      <c r="V209" s="126"/>
      <c r="W209" s="126"/>
      <c r="X209" s="126"/>
    </row>
    <row r="210">
      <c r="A210" s="190"/>
      <c r="B210" s="185"/>
      <c r="C210" s="186"/>
      <c r="D210" s="186"/>
      <c r="E210" s="186"/>
      <c r="F210" s="187"/>
      <c r="G210" s="198"/>
      <c r="H210" s="194"/>
      <c r="I210" s="191"/>
      <c r="J210" s="188"/>
      <c r="K210" s="199"/>
      <c r="L210" s="195"/>
      <c r="M210" s="192"/>
      <c r="N210" s="189"/>
      <c r="O210" s="200"/>
      <c r="P210" s="196"/>
      <c r="Q210" s="201"/>
      <c r="R210" s="193"/>
      <c r="S210" s="126"/>
      <c r="T210" s="126"/>
      <c r="U210" s="126"/>
      <c r="V210" s="126"/>
      <c r="W210" s="126"/>
      <c r="X210" s="126"/>
    </row>
    <row r="211">
      <c r="A211" s="190"/>
      <c r="B211" s="185"/>
      <c r="C211" s="186"/>
      <c r="D211" s="186"/>
      <c r="E211" s="186"/>
      <c r="F211" s="187"/>
      <c r="G211" s="198"/>
      <c r="H211" s="194"/>
      <c r="I211" s="191"/>
      <c r="J211" s="188"/>
      <c r="K211" s="199"/>
      <c r="L211" s="195"/>
      <c r="M211" s="192"/>
      <c r="N211" s="189"/>
      <c r="O211" s="200"/>
      <c r="P211" s="196"/>
      <c r="Q211" s="201"/>
      <c r="R211" s="193"/>
      <c r="S211" s="126"/>
      <c r="T211" s="126"/>
      <c r="U211" s="126"/>
      <c r="V211" s="126"/>
      <c r="W211" s="126"/>
      <c r="X211" s="126"/>
    </row>
    <row r="212">
      <c r="A212" s="190"/>
      <c r="B212" s="185"/>
      <c r="C212" s="186"/>
      <c r="D212" s="186"/>
      <c r="E212" s="186"/>
      <c r="F212" s="187"/>
      <c r="G212" s="198"/>
      <c r="H212" s="194"/>
      <c r="I212" s="191"/>
      <c r="J212" s="188"/>
      <c r="K212" s="199"/>
      <c r="L212" s="195"/>
      <c r="M212" s="192"/>
      <c r="N212" s="189"/>
      <c r="O212" s="200"/>
      <c r="P212" s="196"/>
      <c r="Q212" s="201"/>
      <c r="R212" s="193"/>
      <c r="S212" s="126"/>
      <c r="T212" s="126"/>
      <c r="U212" s="126"/>
      <c r="V212" s="126"/>
      <c r="W212" s="126"/>
      <c r="X212" s="126"/>
    </row>
    <row r="213">
      <c r="A213" s="190"/>
      <c r="B213" s="185"/>
      <c r="C213" s="186"/>
      <c r="D213" s="186"/>
      <c r="E213" s="186"/>
      <c r="F213" s="187"/>
      <c r="G213" s="198"/>
      <c r="H213" s="194"/>
      <c r="I213" s="191"/>
      <c r="J213" s="188"/>
      <c r="K213" s="199"/>
      <c r="L213" s="195"/>
      <c r="M213" s="192"/>
      <c r="N213" s="189"/>
      <c r="O213" s="200"/>
      <c r="P213" s="196"/>
      <c r="Q213" s="201"/>
      <c r="R213" s="193"/>
      <c r="S213" s="126"/>
      <c r="T213" s="126"/>
      <c r="U213" s="126"/>
      <c r="V213" s="126"/>
      <c r="W213" s="126"/>
      <c r="X213" s="126"/>
    </row>
    <row r="214">
      <c r="A214" s="190"/>
      <c r="B214" s="185"/>
      <c r="C214" s="186"/>
      <c r="D214" s="186"/>
      <c r="E214" s="186"/>
      <c r="F214" s="187"/>
      <c r="G214" s="198"/>
      <c r="H214" s="194"/>
      <c r="I214" s="191"/>
      <c r="J214" s="188"/>
      <c r="K214" s="199"/>
      <c r="L214" s="195"/>
      <c r="M214" s="192"/>
      <c r="N214" s="189"/>
      <c r="O214" s="200"/>
      <c r="P214" s="196"/>
      <c r="Q214" s="201"/>
      <c r="R214" s="193"/>
      <c r="S214" s="126"/>
      <c r="T214" s="126"/>
      <c r="U214" s="126"/>
      <c r="V214" s="126"/>
      <c r="W214" s="126"/>
      <c r="X214" s="126"/>
    </row>
    <row r="215">
      <c r="A215" s="190"/>
      <c r="B215" s="185"/>
      <c r="C215" s="186"/>
      <c r="D215" s="186"/>
      <c r="E215" s="186"/>
      <c r="F215" s="187"/>
      <c r="G215" s="198"/>
      <c r="H215" s="194"/>
      <c r="I215" s="191"/>
      <c r="J215" s="188"/>
      <c r="K215" s="199"/>
      <c r="L215" s="195"/>
      <c r="M215" s="192"/>
      <c r="N215" s="189"/>
      <c r="O215" s="200"/>
      <c r="P215" s="196"/>
      <c r="Q215" s="201"/>
      <c r="R215" s="193"/>
      <c r="S215" s="126"/>
      <c r="T215" s="126"/>
      <c r="U215" s="126"/>
      <c r="V215" s="126"/>
      <c r="W215" s="126"/>
      <c r="X215" s="126"/>
    </row>
    <row r="216">
      <c r="A216" s="190"/>
      <c r="B216" s="185"/>
      <c r="C216" s="186"/>
      <c r="D216" s="186"/>
      <c r="E216" s="186"/>
      <c r="F216" s="187"/>
      <c r="G216" s="198"/>
      <c r="H216" s="194"/>
      <c r="I216" s="191"/>
      <c r="J216" s="188"/>
      <c r="K216" s="199"/>
      <c r="L216" s="195"/>
      <c r="M216" s="192"/>
      <c r="N216" s="189"/>
      <c r="O216" s="200"/>
      <c r="P216" s="196"/>
      <c r="Q216" s="201"/>
      <c r="R216" s="193"/>
      <c r="S216" s="126"/>
      <c r="T216" s="126"/>
      <c r="U216" s="126"/>
      <c r="V216" s="126"/>
      <c r="W216" s="126"/>
      <c r="X216" s="126"/>
    </row>
    <row r="217">
      <c r="A217" s="190"/>
      <c r="B217" s="185"/>
      <c r="C217" s="186"/>
      <c r="D217" s="186"/>
      <c r="E217" s="186"/>
      <c r="F217" s="187"/>
      <c r="G217" s="198"/>
      <c r="H217" s="194"/>
      <c r="I217" s="191"/>
      <c r="J217" s="188"/>
      <c r="K217" s="199"/>
      <c r="L217" s="195"/>
      <c r="M217" s="192"/>
      <c r="N217" s="189"/>
      <c r="O217" s="200"/>
      <c r="P217" s="196"/>
      <c r="Q217" s="201"/>
      <c r="R217" s="193"/>
      <c r="S217" s="126"/>
      <c r="T217" s="126"/>
      <c r="U217" s="126"/>
      <c r="V217" s="126"/>
      <c r="W217" s="126"/>
      <c r="X217" s="126"/>
    </row>
    <row r="218">
      <c r="A218" s="190"/>
      <c r="B218" s="185"/>
      <c r="C218" s="186"/>
      <c r="D218" s="186"/>
      <c r="E218" s="186"/>
      <c r="F218" s="187"/>
      <c r="G218" s="198"/>
      <c r="H218" s="194"/>
      <c r="I218" s="191"/>
      <c r="J218" s="188"/>
      <c r="K218" s="199"/>
      <c r="L218" s="195"/>
      <c r="M218" s="192"/>
      <c r="N218" s="189"/>
      <c r="O218" s="200"/>
      <c r="P218" s="196"/>
      <c r="Q218" s="201"/>
      <c r="R218" s="193"/>
      <c r="S218" s="126"/>
      <c r="T218" s="126"/>
      <c r="U218" s="126"/>
      <c r="V218" s="126"/>
      <c r="W218" s="126"/>
      <c r="X218" s="126"/>
    </row>
    <row r="219">
      <c r="A219" s="190"/>
      <c r="B219" s="185"/>
      <c r="C219" s="186"/>
      <c r="D219" s="186"/>
      <c r="E219" s="186"/>
      <c r="F219" s="187"/>
      <c r="G219" s="198"/>
      <c r="H219" s="194"/>
      <c r="I219" s="191"/>
      <c r="J219" s="188"/>
      <c r="K219" s="199"/>
      <c r="L219" s="195"/>
      <c r="M219" s="192"/>
      <c r="N219" s="189"/>
      <c r="O219" s="200"/>
      <c r="P219" s="196"/>
      <c r="Q219" s="201"/>
      <c r="R219" s="193"/>
      <c r="S219" s="126"/>
      <c r="T219" s="126"/>
      <c r="U219" s="126"/>
      <c r="V219" s="126"/>
      <c r="W219" s="126"/>
      <c r="X219" s="126"/>
    </row>
    <row r="220">
      <c r="A220" s="190"/>
      <c r="B220" s="185"/>
      <c r="C220" s="186"/>
      <c r="D220" s="186"/>
      <c r="E220" s="186"/>
      <c r="F220" s="187"/>
      <c r="G220" s="198"/>
      <c r="H220" s="194"/>
      <c r="I220" s="191"/>
      <c r="J220" s="188"/>
      <c r="K220" s="199"/>
      <c r="L220" s="195"/>
      <c r="M220" s="192"/>
      <c r="N220" s="189"/>
      <c r="O220" s="200"/>
      <c r="P220" s="196"/>
      <c r="Q220" s="201"/>
      <c r="R220" s="193"/>
      <c r="S220" s="126"/>
      <c r="T220" s="126"/>
      <c r="U220" s="126"/>
      <c r="V220" s="126"/>
      <c r="W220" s="126"/>
      <c r="X220" s="126"/>
    </row>
    <row r="221">
      <c r="A221" s="190"/>
      <c r="B221" s="185"/>
      <c r="C221" s="186"/>
      <c r="D221" s="186"/>
      <c r="E221" s="186"/>
      <c r="F221" s="187"/>
      <c r="G221" s="198"/>
      <c r="H221" s="194"/>
      <c r="I221" s="191"/>
      <c r="J221" s="188"/>
      <c r="K221" s="199"/>
      <c r="L221" s="195"/>
      <c r="M221" s="192"/>
      <c r="N221" s="189"/>
      <c r="O221" s="200"/>
      <c r="P221" s="196"/>
      <c r="Q221" s="201"/>
      <c r="R221" s="193"/>
      <c r="S221" s="126"/>
      <c r="T221" s="126"/>
      <c r="U221" s="126"/>
      <c r="V221" s="126"/>
      <c r="W221" s="126"/>
      <c r="X221" s="126"/>
    </row>
    <row r="222">
      <c r="A222" s="190"/>
      <c r="B222" s="185"/>
      <c r="C222" s="186"/>
      <c r="D222" s="186"/>
      <c r="E222" s="186"/>
      <c r="F222" s="187"/>
      <c r="G222" s="198"/>
      <c r="H222" s="194"/>
      <c r="I222" s="191"/>
      <c r="J222" s="188"/>
      <c r="K222" s="199"/>
      <c r="L222" s="195"/>
      <c r="M222" s="192"/>
      <c r="N222" s="189"/>
      <c r="O222" s="200"/>
      <c r="P222" s="196"/>
      <c r="Q222" s="201"/>
      <c r="R222" s="193"/>
      <c r="S222" s="126"/>
      <c r="T222" s="126"/>
      <c r="U222" s="126"/>
      <c r="V222" s="126"/>
      <c r="W222" s="126"/>
      <c r="X222" s="126"/>
    </row>
    <row r="223">
      <c r="A223" s="190"/>
      <c r="B223" s="185"/>
      <c r="C223" s="186"/>
      <c r="D223" s="186"/>
      <c r="E223" s="186"/>
      <c r="F223" s="187"/>
      <c r="G223" s="198"/>
      <c r="H223" s="194"/>
      <c r="I223" s="191"/>
      <c r="J223" s="188"/>
      <c r="K223" s="199"/>
      <c r="L223" s="195"/>
      <c r="M223" s="192"/>
      <c r="N223" s="189"/>
      <c r="O223" s="200"/>
      <c r="P223" s="196"/>
      <c r="Q223" s="201"/>
      <c r="R223" s="193"/>
      <c r="S223" s="126"/>
      <c r="T223" s="126"/>
      <c r="U223" s="126"/>
      <c r="V223" s="126"/>
      <c r="W223" s="126"/>
      <c r="X223" s="126"/>
    </row>
    <row r="224">
      <c r="A224" s="190"/>
      <c r="B224" s="185"/>
      <c r="C224" s="186"/>
      <c r="D224" s="186"/>
      <c r="E224" s="186"/>
      <c r="F224" s="187"/>
      <c r="G224" s="198"/>
      <c r="H224" s="194"/>
      <c r="I224" s="191"/>
      <c r="J224" s="188"/>
      <c r="K224" s="199"/>
      <c r="L224" s="195"/>
      <c r="M224" s="192"/>
      <c r="N224" s="189"/>
      <c r="O224" s="200"/>
      <c r="P224" s="196"/>
      <c r="Q224" s="201"/>
      <c r="R224" s="193"/>
      <c r="S224" s="126"/>
      <c r="T224" s="126"/>
      <c r="U224" s="126"/>
      <c r="V224" s="126"/>
      <c r="W224" s="126"/>
      <c r="X224" s="126"/>
    </row>
    <row r="225">
      <c r="A225" s="190"/>
      <c r="B225" s="185"/>
      <c r="C225" s="186"/>
      <c r="D225" s="186"/>
      <c r="E225" s="186"/>
      <c r="F225" s="187"/>
      <c r="G225" s="198"/>
      <c r="H225" s="194"/>
      <c r="I225" s="191"/>
      <c r="J225" s="188"/>
      <c r="K225" s="199"/>
      <c r="L225" s="195"/>
      <c r="M225" s="192"/>
      <c r="N225" s="189"/>
      <c r="O225" s="200"/>
      <c r="P225" s="196"/>
      <c r="Q225" s="201"/>
      <c r="R225" s="193"/>
      <c r="S225" s="126"/>
      <c r="T225" s="126"/>
      <c r="U225" s="126"/>
      <c r="V225" s="126"/>
      <c r="W225" s="126"/>
      <c r="X225" s="126"/>
    </row>
    <row r="226">
      <c r="A226" s="190"/>
      <c r="B226" s="185"/>
      <c r="C226" s="186"/>
      <c r="D226" s="186"/>
      <c r="E226" s="186"/>
      <c r="F226" s="187"/>
      <c r="G226" s="198"/>
      <c r="H226" s="194"/>
      <c r="I226" s="191"/>
      <c r="J226" s="188"/>
      <c r="K226" s="199"/>
      <c r="L226" s="195"/>
      <c r="M226" s="192"/>
      <c r="N226" s="189"/>
      <c r="O226" s="200"/>
      <c r="P226" s="196"/>
      <c r="Q226" s="201"/>
      <c r="R226" s="193"/>
      <c r="S226" s="126"/>
      <c r="T226" s="126"/>
      <c r="U226" s="126"/>
      <c r="V226" s="126"/>
      <c r="W226" s="126"/>
      <c r="X226" s="126"/>
    </row>
    <row r="227">
      <c r="A227" s="190"/>
      <c r="B227" s="185"/>
      <c r="C227" s="186"/>
      <c r="D227" s="186"/>
      <c r="E227" s="186"/>
      <c r="F227" s="187"/>
      <c r="G227" s="198"/>
      <c r="H227" s="194"/>
      <c r="I227" s="191"/>
      <c r="J227" s="188"/>
      <c r="K227" s="199"/>
      <c r="L227" s="195"/>
      <c r="M227" s="192"/>
      <c r="N227" s="189"/>
      <c r="O227" s="200"/>
      <c r="P227" s="196"/>
      <c r="Q227" s="201"/>
      <c r="R227" s="193"/>
      <c r="S227" s="126"/>
      <c r="T227" s="126"/>
      <c r="U227" s="126"/>
      <c r="V227" s="126"/>
      <c r="W227" s="126"/>
      <c r="X227" s="126"/>
    </row>
    <row r="228">
      <c r="A228" s="190"/>
      <c r="B228" s="185"/>
      <c r="C228" s="186"/>
      <c r="D228" s="186"/>
      <c r="E228" s="186"/>
      <c r="F228" s="187"/>
      <c r="G228" s="198"/>
      <c r="H228" s="194"/>
      <c r="I228" s="191"/>
      <c r="J228" s="188"/>
      <c r="K228" s="199"/>
      <c r="L228" s="195"/>
      <c r="M228" s="192"/>
      <c r="N228" s="189"/>
      <c r="O228" s="200"/>
      <c r="P228" s="196"/>
      <c r="Q228" s="201"/>
      <c r="R228" s="193"/>
      <c r="S228" s="126"/>
      <c r="T228" s="126"/>
      <c r="U228" s="126"/>
      <c r="V228" s="126"/>
      <c r="W228" s="126"/>
      <c r="X228" s="126"/>
    </row>
    <row r="229">
      <c r="A229" s="190"/>
      <c r="B229" s="185"/>
      <c r="C229" s="186"/>
      <c r="D229" s="186"/>
      <c r="E229" s="186"/>
      <c r="F229" s="187"/>
      <c r="G229" s="198"/>
      <c r="H229" s="194"/>
      <c r="I229" s="191"/>
      <c r="J229" s="188"/>
      <c r="K229" s="199"/>
      <c r="L229" s="195"/>
      <c r="M229" s="192"/>
      <c r="N229" s="189"/>
      <c r="O229" s="200"/>
      <c r="P229" s="196"/>
      <c r="Q229" s="201"/>
      <c r="R229" s="193"/>
      <c r="S229" s="126"/>
      <c r="T229" s="126"/>
      <c r="U229" s="126"/>
      <c r="V229" s="126"/>
      <c r="W229" s="126"/>
      <c r="X229" s="126"/>
    </row>
    <row r="230">
      <c r="A230" s="190"/>
      <c r="B230" s="185"/>
      <c r="C230" s="186"/>
      <c r="D230" s="186"/>
      <c r="E230" s="186"/>
      <c r="F230" s="187"/>
      <c r="G230" s="198"/>
      <c r="H230" s="194"/>
      <c r="I230" s="191"/>
      <c r="J230" s="188"/>
      <c r="K230" s="199"/>
      <c r="L230" s="195"/>
      <c r="M230" s="192"/>
      <c r="N230" s="189"/>
      <c r="O230" s="200"/>
      <c r="P230" s="196"/>
      <c r="Q230" s="201"/>
      <c r="R230" s="193"/>
      <c r="S230" s="126"/>
      <c r="T230" s="126"/>
      <c r="U230" s="126"/>
      <c r="V230" s="126"/>
      <c r="W230" s="126"/>
      <c r="X230" s="126"/>
    </row>
    <row r="231">
      <c r="A231" s="190"/>
      <c r="B231" s="185"/>
      <c r="C231" s="186"/>
      <c r="D231" s="186"/>
      <c r="E231" s="186"/>
      <c r="F231" s="187"/>
      <c r="G231" s="198"/>
      <c r="H231" s="194"/>
      <c r="I231" s="191"/>
      <c r="J231" s="188"/>
      <c r="K231" s="199"/>
      <c r="L231" s="195"/>
      <c r="M231" s="192"/>
      <c r="N231" s="189"/>
      <c r="O231" s="200"/>
      <c r="P231" s="196"/>
      <c r="Q231" s="201"/>
      <c r="R231" s="193"/>
      <c r="S231" s="126"/>
      <c r="T231" s="126"/>
      <c r="U231" s="126"/>
      <c r="V231" s="126"/>
      <c r="W231" s="126"/>
      <c r="X231" s="126"/>
    </row>
    <row r="232">
      <c r="A232" s="190"/>
      <c r="B232" s="185"/>
      <c r="C232" s="186"/>
      <c r="D232" s="186"/>
      <c r="E232" s="186"/>
      <c r="F232" s="187"/>
      <c r="G232" s="198"/>
      <c r="H232" s="194"/>
      <c r="I232" s="191"/>
      <c r="J232" s="188"/>
      <c r="K232" s="199"/>
      <c r="L232" s="195"/>
      <c r="M232" s="192"/>
      <c r="N232" s="189"/>
      <c r="O232" s="200"/>
      <c r="P232" s="196"/>
      <c r="Q232" s="201"/>
      <c r="R232" s="193"/>
      <c r="S232" s="126"/>
      <c r="T232" s="126"/>
      <c r="U232" s="126"/>
      <c r="V232" s="126"/>
      <c r="W232" s="126"/>
      <c r="X232" s="126"/>
    </row>
    <row r="233">
      <c r="A233" s="190"/>
      <c r="B233" s="185"/>
      <c r="C233" s="186"/>
      <c r="D233" s="186"/>
      <c r="E233" s="186"/>
      <c r="F233" s="187"/>
      <c r="G233" s="198"/>
      <c r="H233" s="194"/>
      <c r="I233" s="191"/>
      <c r="J233" s="188"/>
      <c r="K233" s="199"/>
      <c r="L233" s="195"/>
      <c r="M233" s="192"/>
      <c r="N233" s="189"/>
      <c r="O233" s="200"/>
      <c r="P233" s="196"/>
      <c r="Q233" s="201"/>
      <c r="R233" s="193"/>
      <c r="S233" s="126"/>
      <c r="T233" s="126"/>
      <c r="U233" s="126"/>
      <c r="V233" s="126"/>
      <c r="W233" s="126"/>
      <c r="X233" s="126"/>
    </row>
    <row r="234">
      <c r="A234" s="190"/>
      <c r="B234" s="185"/>
      <c r="C234" s="186"/>
      <c r="D234" s="186"/>
      <c r="E234" s="186"/>
      <c r="F234" s="187"/>
      <c r="G234" s="198"/>
      <c r="H234" s="194"/>
      <c r="I234" s="191"/>
      <c r="J234" s="188"/>
      <c r="K234" s="199"/>
      <c r="L234" s="195"/>
      <c r="M234" s="192"/>
      <c r="N234" s="189"/>
      <c r="O234" s="200"/>
      <c r="P234" s="196"/>
      <c r="Q234" s="201"/>
      <c r="R234" s="193"/>
      <c r="S234" s="126"/>
      <c r="T234" s="126"/>
      <c r="U234" s="126"/>
      <c r="V234" s="126"/>
      <c r="W234" s="126"/>
      <c r="X234" s="126"/>
    </row>
    <row r="235">
      <c r="A235" s="190"/>
      <c r="B235" s="185"/>
      <c r="C235" s="186"/>
      <c r="D235" s="186"/>
      <c r="E235" s="186"/>
      <c r="F235" s="187"/>
      <c r="G235" s="198"/>
      <c r="H235" s="194"/>
      <c r="I235" s="191"/>
      <c r="J235" s="188"/>
      <c r="K235" s="199"/>
      <c r="L235" s="195"/>
      <c r="M235" s="192"/>
      <c r="N235" s="189"/>
      <c r="O235" s="200"/>
      <c r="P235" s="196"/>
      <c r="Q235" s="201"/>
      <c r="R235" s="193"/>
      <c r="S235" s="126"/>
      <c r="T235" s="126"/>
      <c r="U235" s="126"/>
      <c r="V235" s="126"/>
      <c r="W235" s="126"/>
      <c r="X235" s="126"/>
    </row>
    <row r="236">
      <c r="A236" s="190"/>
      <c r="B236" s="185"/>
      <c r="C236" s="186"/>
      <c r="D236" s="186"/>
      <c r="E236" s="186"/>
      <c r="F236" s="187"/>
      <c r="G236" s="198"/>
      <c r="H236" s="194"/>
      <c r="I236" s="191"/>
      <c r="J236" s="188"/>
      <c r="K236" s="199"/>
      <c r="L236" s="195"/>
      <c r="M236" s="192"/>
      <c r="N236" s="189"/>
      <c r="O236" s="200"/>
      <c r="P236" s="196"/>
      <c r="Q236" s="201"/>
      <c r="R236" s="193"/>
      <c r="S236" s="126"/>
      <c r="T236" s="126"/>
      <c r="U236" s="126"/>
      <c r="V236" s="126"/>
      <c r="W236" s="126"/>
      <c r="X236" s="126"/>
    </row>
    <row r="237">
      <c r="A237" s="190"/>
      <c r="B237" s="185"/>
      <c r="C237" s="186"/>
      <c r="D237" s="186"/>
      <c r="E237" s="186"/>
      <c r="F237" s="187"/>
      <c r="G237" s="198"/>
      <c r="H237" s="194"/>
      <c r="I237" s="191"/>
      <c r="J237" s="188"/>
      <c r="K237" s="199"/>
      <c r="L237" s="195"/>
      <c r="M237" s="192"/>
      <c r="N237" s="189"/>
      <c r="O237" s="200"/>
      <c r="P237" s="196"/>
      <c r="Q237" s="201"/>
      <c r="R237" s="193"/>
      <c r="S237" s="126"/>
      <c r="T237" s="126"/>
      <c r="U237" s="126"/>
      <c r="V237" s="126"/>
      <c r="W237" s="126"/>
      <c r="X237" s="126"/>
    </row>
    <row r="238">
      <c r="A238" s="190"/>
      <c r="B238" s="185"/>
      <c r="C238" s="186"/>
      <c r="D238" s="186"/>
      <c r="E238" s="186"/>
      <c r="F238" s="187"/>
      <c r="G238" s="198"/>
      <c r="H238" s="194"/>
      <c r="I238" s="191"/>
      <c r="J238" s="188"/>
      <c r="K238" s="199"/>
      <c r="L238" s="195"/>
      <c r="M238" s="192"/>
      <c r="N238" s="189"/>
      <c r="O238" s="200"/>
      <c r="P238" s="196"/>
      <c r="Q238" s="201"/>
      <c r="R238" s="193"/>
      <c r="S238" s="126"/>
      <c r="T238" s="126"/>
      <c r="U238" s="126"/>
      <c r="V238" s="126"/>
      <c r="W238" s="126"/>
      <c r="X238" s="126"/>
    </row>
    <row r="239">
      <c r="A239" s="190"/>
      <c r="B239" s="185"/>
      <c r="C239" s="186"/>
      <c r="D239" s="186"/>
      <c r="E239" s="186"/>
      <c r="F239" s="187"/>
      <c r="G239" s="198"/>
      <c r="H239" s="194"/>
      <c r="I239" s="191"/>
      <c r="J239" s="188"/>
      <c r="K239" s="199"/>
      <c r="L239" s="195"/>
      <c r="M239" s="192"/>
      <c r="N239" s="189"/>
      <c r="O239" s="200"/>
      <c r="P239" s="196"/>
      <c r="Q239" s="201"/>
      <c r="R239" s="193"/>
      <c r="S239" s="126"/>
      <c r="T239" s="126"/>
      <c r="U239" s="126"/>
      <c r="V239" s="126"/>
      <c r="W239" s="126"/>
      <c r="X239" s="126"/>
    </row>
    <row r="240">
      <c r="A240" s="190"/>
      <c r="B240" s="185"/>
      <c r="C240" s="186"/>
      <c r="D240" s="186"/>
      <c r="E240" s="186"/>
      <c r="F240" s="187"/>
      <c r="G240" s="198"/>
      <c r="H240" s="194"/>
      <c r="I240" s="191"/>
      <c r="J240" s="188"/>
      <c r="K240" s="199"/>
      <c r="L240" s="195"/>
      <c r="M240" s="192"/>
      <c r="N240" s="189"/>
      <c r="O240" s="200"/>
      <c r="P240" s="196"/>
      <c r="Q240" s="201"/>
      <c r="R240" s="193"/>
      <c r="S240" s="126"/>
      <c r="T240" s="126"/>
      <c r="U240" s="126"/>
      <c r="V240" s="126"/>
      <c r="W240" s="126"/>
      <c r="X240" s="126"/>
    </row>
    <row r="241">
      <c r="A241" s="190"/>
      <c r="B241" s="185"/>
      <c r="C241" s="186"/>
      <c r="D241" s="186"/>
      <c r="E241" s="186"/>
      <c r="F241" s="187"/>
      <c r="G241" s="198"/>
      <c r="H241" s="194"/>
      <c r="I241" s="191"/>
      <c r="J241" s="188"/>
      <c r="K241" s="199"/>
      <c r="L241" s="195"/>
      <c r="M241" s="192"/>
      <c r="N241" s="189"/>
      <c r="O241" s="200"/>
      <c r="P241" s="196"/>
      <c r="Q241" s="201"/>
      <c r="R241" s="193"/>
      <c r="S241" s="126"/>
      <c r="T241" s="126"/>
      <c r="U241" s="126"/>
      <c r="V241" s="126"/>
      <c r="W241" s="126"/>
      <c r="X241" s="126"/>
    </row>
    <row r="242">
      <c r="A242" s="190"/>
      <c r="B242" s="185"/>
      <c r="C242" s="186"/>
      <c r="D242" s="186"/>
      <c r="E242" s="186"/>
      <c r="F242" s="187"/>
      <c r="G242" s="198"/>
      <c r="H242" s="194"/>
      <c r="I242" s="191"/>
      <c r="J242" s="188"/>
      <c r="K242" s="199"/>
      <c r="L242" s="195"/>
      <c r="M242" s="192"/>
      <c r="N242" s="189"/>
      <c r="O242" s="200"/>
      <c r="P242" s="196"/>
      <c r="Q242" s="201"/>
      <c r="R242" s="193"/>
      <c r="S242" s="126"/>
      <c r="T242" s="126"/>
      <c r="U242" s="126"/>
      <c r="V242" s="126"/>
      <c r="W242" s="126"/>
      <c r="X242" s="126"/>
    </row>
    <row r="243">
      <c r="A243" s="190"/>
      <c r="B243" s="185"/>
      <c r="C243" s="186"/>
      <c r="D243" s="186"/>
      <c r="E243" s="186"/>
      <c r="F243" s="187"/>
      <c r="G243" s="198"/>
      <c r="H243" s="194"/>
      <c r="I243" s="191"/>
      <c r="J243" s="188"/>
      <c r="K243" s="199"/>
      <c r="L243" s="195"/>
      <c r="M243" s="192"/>
      <c r="N243" s="189"/>
      <c r="O243" s="200"/>
      <c r="P243" s="196"/>
      <c r="Q243" s="201"/>
      <c r="R243" s="193"/>
      <c r="S243" s="126"/>
      <c r="T243" s="126"/>
      <c r="U243" s="126"/>
      <c r="V243" s="126"/>
      <c r="W243" s="126"/>
      <c r="X243" s="126"/>
    </row>
    <row r="244">
      <c r="A244" s="190"/>
      <c r="B244" s="185"/>
      <c r="C244" s="186"/>
      <c r="D244" s="186"/>
      <c r="E244" s="186"/>
      <c r="F244" s="187"/>
      <c r="G244" s="198"/>
      <c r="H244" s="194"/>
      <c r="I244" s="191"/>
      <c r="J244" s="188"/>
      <c r="K244" s="199"/>
      <c r="L244" s="195"/>
      <c r="M244" s="192"/>
      <c r="N244" s="189"/>
      <c r="O244" s="200"/>
      <c r="P244" s="196"/>
      <c r="Q244" s="201"/>
      <c r="R244" s="193"/>
      <c r="S244" s="126"/>
      <c r="T244" s="126"/>
      <c r="U244" s="126"/>
      <c r="V244" s="126"/>
      <c r="W244" s="126"/>
      <c r="X244" s="126"/>
    </row>
    <row r="245">
      <c r="A245" s="190"/>
      <c r="B245" s="185"/>
      <c r="C245" s="186"/>
      <c r="D245" s="186"/>
      <c r="E245" s="186"/>
      <c r="F245" s="187"/>
      <c r="G245" s="198"/>
      <c r="H245" s="194"/>
      <c r="I245" s="191"/>
      <c r="J245" s="188"/>
      <c r="K245" s="199"/>
      <c r="L245" s="195"/>
      <c r="M245" s="192"/>
      <c r="N245" s="189"/>
      <c r="O245" s="200"/>
      <c r="P245" s="196"/>
      <c r="Q245" s="201"/>
      <c r="R245" s="193"/>
      <c r="S245" s="126"/>
      <c r="T245" s="126"/>
      <c r="U245" s="126"/>
      <c r="V245" s="126"/>
      <c r="W245" s="126"/>
      <c r="X245" s="126"/>
    </row>
    <row r="246">
      <c r="A246" s="190"/>
      <c r="B246" s="185"/>
      <c r="C246" s="186"/>
      <c r="D246" s="186"/>
      <c r="E246" s="186"/>
      <c r="F246" s="187"/>
      <c r="G246" s="198"/>
      <c r="H246" s="194"/>
      <c r="I246" s="191"/>
      <c r="J246" s="188"/>
      <c r="K246" s="199"/>
      <c r="L246" s="195"/>
      <c r="M246" s="192"/>
      <c r="N246" s="189"/>
      <c r="O246" s="200"/>
      <c r="P246" s="196"/>
      <c r="Q246" s="201"/>
      <c r="R246" s="193"/>
      <c r="S246" s="126"/>
      <c r="T246" s="126"/>
      <c r="U246" s="126"/>
      <c r="V246" s="126"/>
      <c r="W246" s="126"/>
      <c r="X246" s="126"/>
    </row>
    <row r="247">
      <c r="A247" s="190"/>
      <c r="B247" s="185"/>
      <c r="C247" s="186"/>
      <c r="D247" s="186"/>
      <c r="E247" s="186"/>
      <c r="F247" s="187"/>
      <c r="G247" s="198"/>
      <c r="H247" s="194"/>
      <c r="I247" s="191"/>
      <c r="J247" s="188"/>
      <c r="K247" s="199"/>
      <c r="L247" s="195"/>
      <c r="M247" s="192"/>
      <c r="N247" s="189"/>
      <c r="O247" s="200"/>
      <c r="P247" s="196"/>
      <c r="Q247" s="201"/>
      <c r="R247" s="193"/>
      <c r="S247" s="126"/>
      <c r="T247" s="126"/>
      <c r="U247" s="126"/>
      <c r="V247" s="126"/>
      <c r="W247" s="126"/>
      <c r="X247" s="126"/>
    </row>
    <row r="248">
      <c r="A248" s="190"/>
      <c r="B248" s="185"/>
      <c r="C248" s="186"/>
      <c r="D248" s="186"/>
      <c r="E248" s="186"/>
      <c r="F248" s="187"/>
      <c r="G248" s="198"/>
      <c r="H248" s="194"/>
      <c r="I248" s="191"/>
      <c r="J248" s="188"/>
      <c r="K248" s="199"/>
      <c r="L248" s="195"/>
      <c r="M248" s="192"/>
      <c r="N248" s="189"/>
      <c r="O248" s="200"/>
      <c r="P248" s="196"/>
      <c r="Q248" s="201"/>
      <c r="R248" s="193"/>
      <c r="S248" s="126"/>
      <c r="T248" s="126"/>
      <c r="U248" s="126"/>
      <c r="V248" s="126"/>
      <c r="W248" s="126"/>
      <c r="X248" s="126"/>
    </row>
    <row r="249">
      <c r="A249" s="190"/>
      <c r="B249" s="185"/>
      <c r="C249" s="186"/>
      <c r="D249" s="186"/>
      <c r="E249" s="186"/>
      <c r="F249" s="187"/>
      <c r="G249" s="198"/>
      <c r="H249" s="194"/>
      <c r="I249" s="191"/>
      <c r="J249" s="188"/>
      <c r="K249" s="199"/>
      <c r="L249" s="195"/>
      <c r="M249" s="192"/>
      <c r="N249" s="189"/>
      <c r="O249" s="200"/>
      <c r="P249" s="196"/>
      <c r="Q249" s="201"/>
      <c r="R249" s="193"/>
      <c r="S249" s="126"/>
      <c r="T249" s="126"/>
      <c r="U249" s="126"/>
      <c r="V249" s="126"/>
      <c r="W249" s="126"/>
      <c r="X249" s="126"/>
    </row>
    <row r="250">
      <c r="A250" s="190"/>
      <c r="B250" s="185"/>
      <c r="C250" s="186"/>
      <c r="D250" s="186"/>
      <c r="E250" s="186"/>
      <c r="F250" s="187"/>
      <c r="G250" s="198"/>
      <c r="H250" s="194"/>
      <c r="I250" s="191"/>
      <c r="J250" s="188"/>
      <c r="K250" s="199"/>
      <c r="L250" s="195"/>
      <c r="M250" s="192"/>
      <c r="N250" s="189"/>
      <c r="O250" s="200"/>
      <c r="P250" s="196"/>
      <c r="Q250" s="201"/>
      <c r="R250" s="193"/>
      <c r="S250" s="126"/>
      <c r="T250" s="126"/>
      <c r="U250" s="126"/>
      <c r="V250" s="126"/>
      <c r="W250" s="126"/>
      <c r="X250" s="126"/>
    </row>
    <row r="251">
      <c r="A251" s="190"/>
      <c r="B251" s="185"/>
      <c r="C251" s="186"/>
      <c r="D251" s="186"/>
      <c r="E251" s="186"/>
      <c r="F251" s="187"/>
      <c r="G251" s="198"/>
      <c r="H251" s="194"/>
      <c r="I251" s="191"/>
      <c r="J251" s="188"/>
      <c r="K251" s="199"/>
      <c r="L251" s="195"/>
      <c r="M251" s="192"/>
      <c r="N251" s="189"/>
      <c r="O251" s="200"/>
      <c r="P251" s="196"/>
      <c r="Q251" s="201"/>
      <c r="R251" s="193"/>
      <c r="S251" s="126"/>
      <c r="T251" s="126"/>
      <c r="U251" s="126"/>
      <c r="V251" s="126"/>
      <c r="W251" s="126"/>
      <c r="X251" s="126"/>
    </row>
    <row r="252">
      <c r="A252" s="190"/>
      <c r="B252" s="185"/>
      <c r="C252" s="186"/>
      <c r="D252" s="186"/>
      <c r="E252" s="186"/>
      <c r="F252" s="187"/>
      <c r="G252" s="198"/>
      <c r="H252" s="194"/>
      <c r="I252" s="191"/>
      <c r="J252" s="188"/>
      <c r="K252" s="199"/>
      <c r="L252" s="195"/>
      <c r="M252" s="192"/>
      <c r="N252" s="189"/>
      <c r="O252" s="200"/>
      <c r="P252" s="196"/>
      <c r="Q252" s="201"/>
      <c r="R252" s="193"/>
      <c r="S252" s="126"/>
      <c r="T252" s="126"/>
      <c r="U252" s="126"/>
      <c r="V252" s="126"/>
      <c r="W252" s="126"/>
      <c r="X252" s="126"/>
    </row>
    <row r="253">
      <c r="A253" s="190"/>
      <c r="B253" s="185"/>
      <c r="C253" s="186"/>
      <c r="D253" s="186"/>
      <c r="E253" s="186"/>
      <c r="F253" s="187"/>
      <c r="G253" s="198"/>
      <c r="H253" s="194"/>
      <c r="I253" s="191"/>
      <c r="J253" s="188"/>
      <c r="K253" s="199"/>
      <c r="L253" s="195"/>
      <c r="M253" s="192"/>
      <c r="N253" s="189"/>
      <c r="O253" s="200"/>
      <c r="P253" s="196"/>
      <c r="Q253" s="201"/>
      <c r="R253" s="193"/>
      <c r="S253" s="126"/>
      <c r="T253" s="126"/>
      <c r="U253" s="126"/>
      <c r="V253" s="126"/>
      <c r="W253" s="126"/>
      <c r="X253" s="126"/>
    </row>
    <row r="254">
      <c r="A254" s="190"/>
      <c r="B254" s="185"/>
      <c r="C254" s="186"/>
      <c r="D254" s="186"/>
      <c r="E254" s="186"/>
      <c r="F254" s="187"/>
      <c r="G254" s="198"/>
      <c r="H254" s="194"/>
      <c r="I254" s="191"/>
      <c r="J254" s="188"/>
      <c r="K254" s="199"/>
      <c r="L254" s="195"/>
      <c r="M254" s="192"/>
      <c r="N254" s="189"/>
      <c r="O254" s="200"/>
      <c r="P254" s="196"/>
      <c r="Q254" s="201"/>
      <c r="R254" s="193"/>
      <c r="S254" s="126"/>
      <c r="T254" s="126"/>
      <c r="U254" s="126"/>
      <c r="V254" s="126"/>
      <c r="W254" s="126"/>
      <c r="X254" s="126"/>
    </row>
    <row r="255">
      <c r="A255" s="190"/>
      <c r="B255" s="185"/>
      <c r="C255" s="186"/>
      <c r="D255" s="186"/>
      <c r="E255" s="186"/>
      <c r="F255" s="187"/>
      <c r="G255" s="198"/>
      <c r="H255" s="194"/>
      <c r="I255" s="191"/>
      <c r="J255" s="188"/>
      <c r="K255" s="199"/>
      <c r="L255" s="195"/>
      <c r="M255" s="192"/>
      <c r="N255" s="189"/>
      <c r="O255" s="200"/>
      <c r="P255" s="196"/>
      <c r="Q255" s="201"/>
      <c r="R255" s="193"/>
      <c r="S255" s="126"/>
      <c r="T255" s="126"/>
      <c r="U255" s="126"/>
      <c r="V255" s="126"/>
      <c r="W255" s="126"/>
      <c r="X255" s="126"/>
    </row>
    <row r="256">
      <c r="A256" s="190"/>
      <c r="B256" s="185"/>
      <c r="C256" s="186"/>
      <c r="D256" s="186"/>
      <c r="E256" s="186"/>
      <c r="F256" s="187"/>
      <c r="G256" s="198"/>
      <c r="H256" s="194"/>
      <c r="I256" s="191"/>
      <c r="J256" s="188"/>
      <c r="K256" s="199"/>
      <c r="L256" s="195"/>
      <c r="M256" s="192"/>
      <c r="N256" s="189"/>
      <c r="O256" s="200"/>
      <c r="P256" s="196"/>
      <c r="Q256" s="201"/>
      <c r="R256" s="193"/>
      <c r="S256" s="126"/>
      <c r="T256" s="126"/>
      <c r="U256" s="126"/>
      <c r="V256" s="126"/>
      <c r="W256" s="126"/>
      <c r="X256" s="126"/>
    </row>
    <row r="257">
      <c r="A257" s="190"/>
      <c r="B257" s="185"/>
      <c r="C257" s="186"/>
      <c r="D257" s="186"/>
      <c r="E257" s="186"/>
      <c r="F257" s="187"/>
      <c r="G257" s="198"/>
      <c r="H257" s="194"/>
      <c r="I257" s="191"/>
      <c r="J257" s="188"/>
      <c r="K257" s="199"/>
      <c r="L257" s="195"/>
      <c r="M257" s="192"/>
      <c r="N257" s="189"/>
      <c r="O257" s="200"/>
      <c r="P257" s="196"/>
      <c r="Q257" s="201"/>
      <c r="R257" s="193"/>
      <c r="S257" s="126"/>
      <c r="T257" s="126"/>
      <c r="U257" s="126"/>
      <c r="V257" s="126"/>
      <c r="W257" s="126"/>
      <c r="X257" s="126"/>
    </row>
    <row r="258">
      <c r="A258" s="190"/>
      <c r="B258" s="185"/>
      <c r="C258" s="186"/>
      <c r="D258" s="186"/>
      <c r="E258" s="186"/>
      <c r="F258" s="187"/>
      <c r="G258" s="198"/>
      <c r="H258" s="194"/>
      <c r="I258" s="191"/>
      <c r="J258" s="188"/>
      <c r="K258" s="199"/>
      <c r="L258" s="195"/>
      <c r="M258" s="192"/>
      <c r="N258" s="189"/>
      <c r="O258" s="200"/>
      <c r="P258" s="196"/>
      <c r="Q258" s="201"/>
      <c r="R258" s="193"/>
      <c r="S258" s="126"/>
      <c r="T258" s="126"/>
      <c r="U258" s="126"/>
      <c r="V258" s="126"/>
      <c r="W258" s="126"/>
      <c r="X258" s="126"/>
    </row>
    <row r="259">
      <c r="A259" s="190"/>
      <c r="B259" s="185"/>
      <c r="C259" s="186"/>
      <c r="D259" s="186"/>
      <c r="E259" s="186"/>
      <c r="F259" s="187"/>
      <c r="G259" s="198"/>
      <c r="H259" s="194"/>
      <c r="I259" s="191"/>
      <c r="J259" s="188"/>
      <c r="K259" s="199"/>
      <c r="L259" s="195"/>
      <c r="M259" s="192"/>
      <c r="N259" s="189"/>
      <c r="O259" s="200"/>
      <c r="P259" s="196"/>
      <c r="Q259" s="201"/>
      <c r="R259" s="193"/>
      <c r="S259" s="126"/>
      <c r="T259" s="126"/>
      <c r="U259" s="126"/>
      <c r="V259" s="126"/>
      <c r="W259" s="126"/>
      <c r="X259" s="126"/>
    </row>
    <row r="260">
      <c r="A260" s="190"/>
      <c r="B260" s="185"/>
      <c r="C260" s="186"/>
      <c r="D260" s="186"/>
      <c r="E260" s="186"/>
      <c r="F260" s="187"/>
      <c r="G260" s="198"/>
      <c r="H260" s="194"/>
      <c r="I260" s="191"/>
      <c r="J260" s="188"/>
      <c r="K260" s="199"/>
      <c r="L260" s="195"/>
      <c r="M260" s="192"/>
      <c r="N260" s="189"/>
      <c r="O260" s="200"/>
      <c r="P260" s="196"/>
      <c r="Q260" s="201"/>
      <c r="R260" s="193"/>
      <c r="S260" s="126"/>
      <c r="T260" s="126"/>
      <c r="U260" s="126"/>
      <c r="V260" s="126"/>
      <c r="W260" s="126"/>
      <c r="X260" s="126"/>
    </row>
    <row r="261">
      <c r="A261" s="190"/>
      <c r="B261" s="185"/>
      <c r="C261" s="186"/>
      <c r="D261" s="186"/>
      <c r="E261" s="186"/>
      <c r="F261" s="187"/>
      <c r="G261" s="198"/>
      <c r="H261" s="194"/>
      <c r="I261" s="191"/>
      <c r="J261" s="188"/>
      <c r="K261" s="199"/>
      <c r="L261" s="195"/>
      <c r="M261" s="192"/>
      <c r="N261" s="189"/>
      <c r="O261" s="200"/>
      <c r="P261" s="196"/>
      <c r="Q261" s="201"/>
      <c r="R261" s="193"/>
      <c r="S261" s="126"/>
      <c r="T261" s="126"/>
      <c r="U261" s="126"/>
      <c r="V261" s="126"/>
      <c r="W261" s="126"/>
      <c r="X261" s="126"/>
    </row>
    <row r="262">
      <c r="A262" s="190"/>
      <c r="B262" s="185"/>
      <c r="C262" s="186"/>
      <c r="D262" s="186"/>
      <c r="E262" s="186"/>
      <c r="F262" s="187"/>
      <c r="G262" s="198"/>
      <c r="H262" s="194"/>
      <c r="I262" s="191"/>
      <c r="J262" s="188"/>
      <c r="K262" s="199"/>
      <c r="L262" s="195"/>
      <c r="M262" s="192"/>
      <c r="N262" s="189"/>
      <c r="O262" s="200"/>
      <c r="P262" s="196"/>
      <c r="Q262" s="201"/>
      <c r="R262" s="193"/>
      <c r="S262" s="126"/>
      <c r="T262" s="126"/>
      <c r="U262" s="126"/>
      <c r="V262" s="126"/>
      <c r="W262" s="126"/>
      <c r="X262" s="126"/>
    </row>
    <row r="263">
      <c r="A263" s="190"/>
      <c r="B263" s="185"/>
      <c r="C263" s="186"/>
      <c r="D263" s="186"/>
      <c r="E263" s="186"/>
      <c r="F263" s="187"/>
      <c r="G263" s="198"/>
      <c r="H263" s="194"/>
      <c r="I263" s="191"/>
      <c r="J263" s="188"/>
      <c r="K263" s="199"/>
      <c r="L263" s="195"/>
      <c r="M263" s="192"/>
      <c r="N263" s="189"/>
      <c r="O263" s="200"/>
      <c r="P263" s="196"/>
      <c r="Q263" s="201"/>
      <c r="R263" s="193"/>
      <c r="S263" s="126"/>
      <c r="T263" s="126"/>
      <c r="U263" s="126"/>
      <c r="V263" s="126"/>
      <c r="W263" s="126"/>
      <c r="X263" s="126"/>
    </row>
    <row r="264">
      <c r="A264" s="190"/>
      <c r="B264" s="185"/>
      <c r="C264" s="186"/>
      <c r="D264" s="186"/>
      <c r="E264" s="186"/>
      <c r="F264" s="187"/>
      <c r="G264" s="198"/>
      <c r="H264" s="194"/>
      <c r="I264" s="191"/>
      <c r="J264" s="188"/>
      <c r="K264" s="199"/>
      <c r="L264" s="195"/>
      <c r="M264" s="192"/>
      <c r="N264" s="189"/>
      <c r="O264" s="200"/>
      <c r="P264" s="196"/>
      <c r="Q264" s="201"/>
      <c r="R264" s="193"/>
      <c r="S264" s="126"/>
      <c r="T264" s="126"/>
      <c r="U264" s="126"/>
      <c r="V264" s="126"/>
      <c r="W264" s="126"/>
      <c r="X264" s="126"/>
    </row>
    <row r="265">
      <c r="A265" s="190"/>
      <c r="B265" s="185"/>
      <c r="C265" s="186"/>
      <c r="D265" s="186"/>
      <c r="E265" s="186"/>
      <c r="F265" s="187"/>
      <c r="G265" s="198"/>
      <c r="H265" s="194"/>
      <c r="I265" s="191"/>
      <c r="J265" s="188"/>
      <c r="K265" s="199"/>
      <c r="L265" s="195"/>
      <c r="M265" s="192"/>
      <c r="N265" s="189"/>
      <c r="O265" s="200"/>
      <c r="P265" s="196"/>
      <c r="Q265" s="201"/>
      <c r="R265" s="193"/>
      <c r="S265" s="126"/>
      <c r="T265" s="126"/>
      <c r="U265" s="126"/>
      <c r="V265" s="126"/>
      <c r="W265" s="126"/>
      <c r="X265" s="126"/>
    </row>
    <row r="266">
      <c r="A266" s="190"/>
      <c r="B266" s="185"/>
      <c r="C266" s="186"/>
      <c r="D266" s="186"/>
      <c r="E266" s="186"/>
      <c r="F266" s="187"/>
      <c r="G266" s="198"/>
      <c r="H266" s="194"/>
      <c r="I266" s="191"/>
      <c r="J266" s="188"/>
      <c r="K266" s="199"/>
      <c r="L266" s="195"/>
      <c r="M266" s="192"/>
      <c r="N266" s="189"/>
      <c r="O266" s="200"/>
      <c r="P266" s="196"/>
      <c r="Q266" s="201"/>
      <c r="R266" s="193"/>
      <c r="S266" s="126"/>
      <c r="T266" s="126"/>
      <c r="U266" s="126"/>
      <c r="V266" s="126"/>
      <c r="W266" s="126"/>
      <c r="X266" s="126"/>
    </row>
    <row r="267">
      <c r="A267" s="190"/>
      <c r="B267" s="185"/>
      <c r="C267" s="186"/>
      <c r="D267" s="186"/>
      <c r="E267" s="186"/>
      <c r="F267" s="187"/>
      <c r="G267" s="198"/>
      <c r="H267" s="194"/>
      <c r="I267" s="191"/>
      <c r="J267" s="188"/>
      <c r="K267" s="199"/>
      <c r="L267" s="195"/>
      <c r="M267" s="192"/>
      <c r="N267" s="189"/>
      <c r="O267" s="200"/>
      <c r="P267" s="196"/>
      <c r="Q267" s="201"/>
      <c r="R267" s="193"/>
      <c r="S267" s="126"/>
      <c r="T267" s="126"/>
      <c r="U267" s="126"/>
      <c r="V267" s="126"/>
      <c r="W267" s="126"/>
      <c r="X267" s="126"/>
    </row>
    <row r="268">
      <c r="A268" s="190"/>
      <c r="B268" s="185"/>
      <c r="C268" s="186"/>
      <c r="D268" s="186"/>
      <c r="E268" s="186"/>
      <c r="F268" s="187"/>
      <c r="G268" s="198"/>
      <c r="H268" s="194"/>
      <c r="I268" s="191"/>
      <c r="J268" s="188"/>
      <c r="K268" s="199"/>
      <c r="L268" s="195"/>
      <c r="M268" s="192"/>
      <c r="N268" s="189"/>
      <c r="O268" s="200"/>
      <c r="P268" s="196"/>
      <c r="Q268" s="201"/>
      <c r="R268" s="193"/>
      <c r="S268" s="126"/>
      <c r="T268" s="126"/>
      <c r="U268" s="126"/>
      <c r="V268" s="126"/>
      <c r="W268" s="126"/>
      <c r="X268" s="126"/>
    </row>
    <row r="269">
      <c r="A269" s="190"/>
      <c r="B269" s="185"/>
      <c r="C269" s="186"/>
      <c r="D269" s="186"/>
      <c r="E269" s="186"/>
      <c r="F269" s="187"/>
      <c r="G269" s="198"/>
      <c r="H269" s="194"/>
      <c r="I269" s="191"/>
      <c r="J269" s="188"/>
      <c r="K269" s="199"/>
      <c r="L269" s="195"/>
      <c r="M269" s="192"/>
      <c r="N269" s="189"/>
      <c r="O269" s="200"/>
      <c r="P269" s="196"/>
      <c r="Q269" s="201"/>
      <c r="R269" s="193"/>
      <c r="S269" s="126"/>
      <c r="T269" s="126"/>
      <c r="U269" s="126"/>
      <c r="V269" s="126"/>
      <c r="W269" s="126"/>
      <c r="X269" s="126"/>
    </row>
    <row r="270">
      <c r="A270" s="190"/>
      <c r="B270" s="185"/>
      <c r="C270" s="186"/>
      <c r="D270" s="186"/>
      <c r="E270" s="186"/>
      <c r="F270" s="187"/>
      <c r="G270" s="198"/>
      <c r="H270" s="194"/>
      <c r="I270" s="191"/>
      <c r="J270" s="188"/>
      <c r="K270" s="199"/>
      <c r="L270" s="195"/>
      <c r="M270" s="192"/>
      <c r="N270" s="189"/>
      <c r="O270" s="200"/>
      <c r="P270" s="196"/>
      <c r="Q270" s="201"/>
      <c r="R270" s="193"/>
      <c r="S270" s="126"/>
      <c r="T270" s="126"/>
      <c r="U270" s="126"/>
      <c r="V270" s="126"/>
      <c r="W270" s="126"/>
      <c r="X270" s="126"/>
    </row>
    <row r="271">
      <c r="A271" s="190"/>
      <c r="B271" s="185"/>
      <c r="C271" s="186"/>
      <c r="D271" s="186"/>
      <c r="E271" s="186"/>
      <c r="F271" s="187"/>
      <c r="G271" s="198"/>
      <c r="H271" s="194"/>
      <c r="I271" s="191"/>
      <c r="J271" s="188"/>
      <c r="K271" s="199"/>
      <c r="L271" s="195"/>
      <c r="M271" s="192"/>
      <c r="N271" s="189"/>
      <c r="O271" s="200"/>
      <c r="P271" s="196"/>
      <c r="Q271" s="201"/>
      <c r="R271" s="193"/>
      <c r="S271" s="126"/>
      <c r="T271" s="126"/>
      <c r="U271" s="126"/>
      <c r="V271" s="126"/>
      <c r="W271" s="126"/>
      <c r="X271" s="126"/>
    </row>
  </sheetData>
  <mergeCells>
    <mergeCell ref="A1:J9"/>
    <mergeCell ref="A10:A11"/>
    <mergeCell ref="B10:B11"/>
    <mergeCell ref="C10:C11"/>
    <mergeCell ref="D10:D11"/>
    <mergeCell ref="E10:E11"/>
    <mergeCell ref="F10:F11"/>
    <mergeCell ref="G10:G11"/>
    <mergeCell ref="H10:H11"/>
    <mergeCell ref="I10:I11"/>
    <mergeCell ref="J10:J11"/>
    <mergeCell ref="K10:K11"/>
    <mergeCell ref="L10:L11"/>
    <mergeCell ref="M10:N10"/>
    <mergeCell ref="O10:O11"/>
    <mergeCell ref="P10:P11"/>
    <mergeCell ref="Q10:Q11"/>
    <mergeCell ref="R10:R11"/>
    <mergeCell ref="A12:A15"/>
    <mergeCell ref="B12:B15"/>
    <mergeCell ref="C12:C15"/>
    <mergeCell ref="D12:D15"/>
    <mergeCell ref="E12:E15"/>
    <mergeCell ref="F12:F15"/>
    <mergeCell ref="G12:G15"/>
    <mergeCell ref="H12:H15"/>
    <mergeCell ref="I12:I15"/>
    <mergeCell ref="J12:J15"/>
    <mergeCell ref="O12:O15"/>
    <mergeCell ref="P12:P27"/>
    <mergeCell ref="Q12:Q63"/>
    <mergeCell ref="R12:R15"/>
    <mergeCell ref="A16:A19"/>
    <mergeCell ref="B16:B19"/>
    <mergeCell ref="C16:C19"/>
    <mergeCell ref="D16:D19"/>
    <mergeCell ref="E16:E19"/>
    <mergeCell ref="F16:F19"/>
    <mergeCell ref="G16:G19"/>
    <mergeCell ref="H16:H19"/>
    <mergeCell ref="I16:I19"/>
    <mergeCell ref="J16:J19"/>
    <mergeCell ref="O16:O19"/>
    <mergeCell ref="R16:R23"/>
    <mergeCell ref="A20:A23"/>
    <mergeCell ref="B20:B23"/>
    <mergeCell ref="C20:C23"/>
    <mergeCell ref="D20:D23"/>
    <mergeCell ref="E20:E23"/>
    <mergeCell ref="F20:F23"/>
    <mergeCell ref="G20:G23"/>
    <mergeCell ref="H20:H23"/>
    <mergeCell ref="I20:I23"/>
    <mergeCell ref="J20:J23"/>
    <mergeCell ref="O20:O23"/>
    <mergeCell ref="A24:A27"/>
    <mergeCell ref="B24:B27"/>
    <mergeCell ref="C24:C27"/>
    <mergeCell ref="D24:D27"/>
    <mergeCell ref="E24:E27"/>
    <mergeCell ref="F24:F27"/>
    <mergeCell ref="G24:G27"/>
    <mergeCell ref="H24:H27"/>
    <mergeCell ref="I24:I27"/>
    <mergeCell ref="J24:J27"/>
    <mergeCell ref="O24:O27"/>
    <mergeCell ref="R24:R31"/>
    <mergeCell ref="A28:A31"/>
    <mergeCell ref="B28:B31"/>
    <mergeCell ref="C28:C31"/>
    <mergeCell ref="D28:D31"/>
    <mergeCell ref="E28:E31"/>
    <mergeCell ref="F28:F31"/>
    <mergeCell ref="G28:G31"/>
    <mergeCell ref="H28:H31"/>
    <mergeCell ref="I28:I31"/>
    <mergeCell ref="J28:J31"/>
    <mergeCell ref="O28:O31"/>
    <mergeCell ref="P28:P55"/>
    <mergeCell ref="A32:A35"/>
    <mergeCell ref="B32:B35"/>
    <mergeCell ref="C32:C35"/>
    <mergeCell ref="D32:D35"/>
    <mergeCell ref="E32:E35"/>
    <mergeCell ref="F32:F35"/>
    <mergeCell ref="G32:G35"/>
    <mergeCell ref="H32:H35"/>
    <mergeCell ref="I32:I35"/>
    <mergeCell ref="J32:J35"/>
    <mergeCell ref="O32:O35"/>
    <mergeCell ref="R32:R39"/>
    <mergeCell ref="A36:A39"/>
    <mergeCell ref="B36:B39"/>
    <mergeCell ref="C36:C39"/>
    <mergeCell ref="D36:D39"/>
    <mergeCell ref="E36:E39"/>
    <mergeCell ref="F36:F39"/>
    <mergeCell ref="G36:G39"/>
    <mergeCell ref="H36:H39"/>
    <mergeCell ref="I36:I39"/>
    <mergeCell ref="J36:J39"/>
    <mergeCell ref="O36:O39"/>
    <mergeCell ref="A40:A43"/>
    <mergeCell ref="B40:B43"/>
    <mergeCell ref="C40:C43"/>
    <mergeCell ref="D40:D43"/>
    <mergeCell ref="E40:E43"/>
    <mergeCell ref="F40:F43"/>
    <mergeCell ref="G40:G43"/>
    <mergeCell ref="H40:H43"/>
    <mergeCell ref="I40:I43"/>
    <mergeCell ref="J40:J43"/>
    <mergeCell ref="O40:O43"/>
    <mergeCell ref="R40:R47"/>
    <mergeCell ref="A44:A47"/>
    <mergeCell ref="B44:B47"/>
    <mergeCell ref="C44:C47"/>
    <mergeCell ref="D44:D47"/>
    <mergeCell ref="E44:E47"/>
    <mergeCell ref="F44:F47"/>
    <mergeCell ref="G44:G47"/>
    <mergeCell ref="H44:H47"/>
    <mergeCell ref="I44:I47"/>
    <mergeCell ref="J44:J47"/>
    <mergeCell ref="O44:O47"/>
    <mergeCell ref="A48:A51"/>
    <mergeCell ref="B48:B51"/>
    <mergeCell ref="C48:C51"/>
    <mergeCell ref="D48:D51"/>
    <mergeCell ref="E48:E51"/>
    <mergeCell ref="F48:F51"/>
    <mergeCell ref="G48:G51"/>
    <mergeCell ref="H48:H51"/>
    <mergeCell ref="I48:I51"/>
    <mergeCell ref="J48:J51"/>
    <mergeCell ref="O48:O51"/>
    <mergeCell ref="R48:R55"/>
    <mergeCell ref="A52:A55"/>
    <mergeCell ref="B52:B55"/>
    <mergeCell ref="C52:C55"/>
    <mergeCell ref="D52:D55"/>
    <mergeCell ref="E52:E55"/>
    <mergeCell ref="F52:F55"/>
    <mergeCell ref="G52:G55"/>
    <mergeCell ref="H52:H55"/>
    <mergeCell ref="I52:I55"/>
    <mergeCell ref="J52:J55"/>
    <mergeCell ref="O52:O55"/>
    <mergeCell ref="A56:A59"/>
    <mergeCell ref="B56:B59"/>
    <mergeCell ref="C56:C59"/>
    <mergeCell ref="D56:D59"/>
    <mergeCell ref="E56:E59"/>
    <mergeCell ref="F56:F59"/>
    <mergeCell ref="G56:G59"/>
    <mergeCell ref="H56:H59"/>
    <mergeCell ref="I56:I59"/>
    <mergeCell ref="J56:J59"/>
    <mergeCell ref="O56:O59"/>
    <mergeCell ref="P56:P63"/>
    <mergeCell ref="R56:R63"/>
    <mergeCell ref="A60:A63"/>
    <mergeCell ref="B60:B63"/>
    <mergeCell ref="C60:C63"/>
    <mergeCell ref="D60:D63"/>
    <mergeCell ref="E60:E63"/>
    <mergeCell ref="F60:F63"/>
    <mergeCell ref="G60:G63"/>
    <mergeCell ref="H60:H63"/>
    <mergeCell ref="I60:I63"/>
    <mergeCell ref="J60:J63"/>
    <mergeCell ref="O60:O63"/>
    <mergeCell ref="A64:A67"/>
    <mergeCell ref="B64:B67"/>
    <mergeCell ref="C64:C67"/>
    <mergeCell ref="D64:D67"/>
    <mergeCell ref="E64:E67"/>
    <mergeCell ref="F64:F67"/>
    <mergeCell ref="G64:G67"/>
    <mergeCell ref="H64:H67"/>
    <mergeCell ref="I64:I67"/>
    <mergeCell ref="J64:J67"/>
    <mergeCell ref="O64:O67"/>
    <mergeCell ref="P64:P71"/>
    <mergeCell ref="R64:R71"/>
    <mergeCell ref="A68:A71"/>
    <mergeCell ref="B68:B71"/>
    <mergeCell ref="C68:C71"/>
    <mergeCell ref="D68:D71"/>
    <mergeCell ref="E68:E71"/>
    <mergeCell ref="F68:F71"/>
    <mergeCell ref="G68:G71"/>
    <mergeCell ref="H68:H71"/>
    <mergeCell ref="I68:I71"/>
    <mergeCell ref="J68:J71"/>
    <mergeCell ref="O68:O71"/>
  </mergeCells>
  <legacyDrawing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4"/>
    <col collapsed="false" customWidth="true" hidden="false" max="3" min="3" style="0" width="16"/>
    <col collapsed="false" customWidth="true" hidden="false" max="4" min="4" style="0" width="20"/>
    <col collapsed="false" customWidth="true" hidden="false" max="5" min="5" style="0" width="15"/>
    <col collapsed="false" customWidth="true" hidden="false" max="6" min="6" style="0" width="14"/>
    <col collapsed="false" customWidth="true" hidden="false" max="7" min="7" style="0" width="14"/>
    <col collapsed="false" customWidth="true" hidden="false" max="8" min="8" style="0" width="15"/>
    <col collapsed="false" customWidth="true" hidden="false" max="9" min="9" style="0" width="15"/>
    <col collapsed="false" customWidth="true" hidden="false" max="10" min="10" style="0" width="14"/>
    <col collapsed="false" customWidth="true" hidden="false" max="11" min="11" style="0" width="14"/>
    <col collapsed="false" customWidth="true" hidden="false" max="12" min="12" style="0" width="19"/>
    <col collapsed="false" customWidth="true" hidden="false" max="13" min="13" style="0" width="20"/>
    <col collapsed="false" customWidth="true" hidden="false" max="14" min="14" style="0" width="20"/>
    <col collapsed="false" customWidth="true" hidden="false" max="15" min="15" style="0" width="15"/>
    <col collapsed="false" customWidth="true" hidden="false" max="16" min="16" style="0" width="14"/>
    <col collapsed="false" customWidth="true" hidden="false" max="17" min="17" style="0" width="14"/>
    <col collapsed="false" customWidth="true" hidden="false" max="18" min="18" style="0" width="19"/>
    <col collapsed="false" customWidth="true" hidden="false" max="19" min="19" style="0" width="14"/>
    <col collapsed="false" customWidth="true" hidden="false" max="20" min="20" style="0" width="14"/>
    <col collapsed="false" customWidth="true" hidden="false" max="21" min="21" style="0" width="21"/>
    <col collapsed="false" customWidth="true" hidden="false" max="22" min="22" style="0" width="14"/>
    <col collapsed="false" customWidth="true" hidden="false" max="23" min="23" style="0" width="14"/>
    <col collapsed="false" customWidth="true" hidden="false" max="24" min="24" style="0" width="16"/>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8"/>
    <col collapsed="false" customWidth="true" hidden="false" max="38" min="38" style="0" width="14"/>
    <col collapsed="false" customWidth="true" hidden="false" max="39" min="39" style="0" width="14"/>
    <col collapsed="false" customWidth="true" hidden="false" max="40" min="40" style="0" width="17"/>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4"/>
    <col collapsed="false" customWidth="true" hidden="false" max="51" min="51" style="0" width="14"/>
    <col collapsed="false" customWidth="true" hidden="false" max="52" min="52" style="0" width="14"/>
    <col collapsed="false" customWidth="true" hidden="false" max="53" min="53" style="0" width="14"/>
    <col collapsed="false" customWidth="true" hidden="false" max="54" min="54" style="0" width="20"/>
    <col collapsed="false" customWidth="true" hidden="false" max="55" min="55" style="0" width="14"/>
    <col collapsed="false" customWidth="true" hidden="false" max="56" min="56" style="0" width="18"/>
    <col collapsed="false" customWidth="true" hidden="false" max="57" min="57" style="0" width="14"/>
    <col collapsed="false" customWidth="true" hidden="false" max="58" min="58" style="0" width="14"/>
    <col collapsed="false" customWidth="true" hidden="false" max="59" min="59" style="0" width="14"/>
    <col collapsed="false" customWidth="true" hidden="false" max="60" min="60" style="0" width="14"/>
    <col collapsed="false" customWidth="true" hidden="false" max="61" min="61" style="0" width="14"/>
    <col collapsed="false" customWidth="true" hidden="false" max="62" min="62" style="0" width="14"/>
    <col collapsed="false" customWidth="true" hidden="false" max="63" min="63" style="0" width="14"/>
    <col collapsed="false" customWidth="true" hidden="false" max="64" min="64" style="0" width="14"/>
    <col collapsed="false" customWidth="true" hidden="false" max="65" min="65" style="0" width="14"/>
    <col collapsed="false" customWidth="true" hidden="false" max="66" min="66" style="0" width="14"/>
    <col collapsed="false" customWidth="true" hidden="false" max="67" min="67" style="0" width="14"/>
    <col collapsed="false" customWidth="true" hidden="false" max="68" min="68" style="0" width="14"/>
    <col collapsed="false" customWidth="true" hidden="false" max="69" min="69" style="0" width="14"/>
    <col collapsed="false" customWidth="true" hidden="false" max="70" min="70" style="0" width="14"/>
    <col collapsed="false" customWidth="true" hidden="false" max="71" min="71" style="0" width="14"/>
    <col collapsed="false" customWidth="true" hidden="false" max="72" min="72" style="0" width="14"/>
    <col collapsed="false" customWidth="true" hidden="false" max="73" min="73" style="0" width="14"/>
    <col collapsed="false" customWidth="true" hidden="false" max="74" min="74" style="0" width="14"/>
    <col collapsed="false" customWidth="true" hidden="false" max="75" min="75" style="0" width="14"/>
  </cols>
  <sheetData>
    <row customHeight="true" ht="18" r="1">
      <c r="A1" s="318" t="str">
        <v>细分项</v>
      </c>
      <c r="B1" s="318"/>
      <c r="C1" s="318"/>
      <c r="D1" s="318"/>
      <c r="E1" s="318"/>
      <c r="F1" s="318"/>
      <c r="G1" s="318"/>
      <c r="H1" s="318"/>
      <c r="I1" s="318"/>
      <c r="J1" s="318"/>
      <c r="K1" s="318"/>
      <c r="L1" s="330" t="str">
        <v>4月</v>
      </c>
      <c r="M1" s="326"/>
      <c r="N1" s="326"/>
      <c r="O1" s="325"/>
      <c r="P1" s="325"/>
      <c r="Q1" s="325"/>
      <c r="R1" s="325"/>
      <c r="S1" s="262"/>
      <c r="T1" s="262"/>
      <c r="U1" s="262"/>
      <c r="V1" s="262"/>
      <c r="W1" s="325"/>
      <c r="X1" s="262"/>
      <c r="Y1" s="262"/>
      <c r="Z1" s="262"/>
      <c r="AA1" s="262"/>
      <c r="AB1" s="319" t="str">
        <v>5月</v>
      </c>
      <c r="AC1" s="327"/>
      <c r="AD1" s="327"/>
      <c r="AE1" s="322"/>
      <c r="AF1" s="322"/>
      <c r="AG1" s="322"/>
      <c r="AH1" s="322"/>
      <c r="AI1" s="322"/>
      <c r="AJ1" s="322"/>
      <c r="AK1" s="322"/>
      <c r="AL1" s="322"/>
      <c r="AM1" s="322"/>
      <c r="AN1" s="322"/>
      <c r="AO1" s="322"/>
      <c r="AP1" s="322"/>
      <c r="AQ1" s="322"/>
      <c r="AR1" s="320" t="str">
        <v>6月</v>
      </c>
      <c r="AS1" s="328"/>
      <c r="AT1" s="323"/>
      <c r="AU1" s="323"/>
      <c r="AV1" s="323"/>
      <c r="AW1" s="323"/>
      <c r="AX1" s="323"/>
      <c r="AY1" s="323"/>
      <c r="AZ1" s="323"/>
      <c r="BA1" s="323"/>
      <c r="BB1" s="323"/>
      <c r="BC1" s="323"/>
      <c r="BD1" s="323"/>
      <c r="BE1" s="323"/>
      <c r="BF1" s="323"/>
      <c r="BG1" s="323"/>
      <c r="BH1" s="321" t="str">
        <v>达标后每月销售</v>
      </c>
      <c r="BI1" s="329"/>
      <c r="BJ1" s="324"/>
      <c r="BK1" s="324"/>
      <c r="BL1" s="324"/>
      <c r="BM1" s="324"/>
      <c r="BN1" s="324"/>
      <c r="BO1" s="324"/>
      <c r="BP1" s="324"/>
      <c r="BQ1" s="324"/>
      <c r="BR1" s="324"/>
      <c r="BS1" s="324"/>
      <c r="BT1" s="324"/>
      <c r="BU1" s="324"/>
      <c r="BV1" s="324"/>
      <c r="BW1" s="324"/>
    </row>
    <row customHeight="true" ht="52" r="2">
      <c r="A2" s="311" t="str">
        <v>状态</v>
      </c>
      <c r="B2" s="311" t="str">
        <v>Asin</v>
      </c>
      <c r="C2" s="311" t="str">
        <v>Model#</v>
      </c>
      <c r="D2" s="311" t="str">
        <v>国家</v>
      </c>
      <c r="E2" s="311" t="str">
        <v>佣金比例</v>
      </c>
      <c r="F2" s="315" t="str">
        <v>RMA比例</v>
      </c>
      <c r="G2" s="315" t="str">
        <v>广告费占比</v>
      </c>
      <c r="H2" s="311" t="s">
        <v>13</v>
      </c>
      <c r="I2" s="311" t="s">
        <v>15</v>
      </c>
      <c r="J2" s="316" t="s">
        <v>14</v>
      </c>
      <c r="K2" s="316" t="str">
        <v>VAT</v>
      </c>
      <c r="L2" s="257" t="str">
        <v>待办操作</v>
      </c>
      <c r="M2" s="257" t="str">
        <v>售价</v>
      </c>
      <c r="N2" s="317" t="str">
        <v>月销量</v>
      </c>
      <c r="O2" s="259" t="str">
        <v>销售总额</v>
      </c>
      <c r="P2" s="259" t="str">
        <v>MC</v>
      </c>
      <c r="Q2" s="259" t="str">
        <v>佣金</v>
      </c>
      <c r="R2" s="259" t="str">
        <v>配送费</v>
      </c>
      <c r="S2" s="257" t="s">
        <v>10</v>
      </c>
      <c r="T2" s="257" t="str">
        <v>广告费</v>
      </c>
      <c r="U2" s="257" t="str">
        <v>促销费</v>
      </c>
      <c r="V2" s="257" t="str">
        <v>VAT</v>
      </c>
      <c r="W2" s="259" t="str">
        <v>成本总计</v>
      </c>
      <c r="X2" s="257" t="str">
        <v>回款额
UK</v>
      </c>
      <c r="Y2" s="257" t="str">
        <v>回款率</v>
      </c>
      <c r="Z2" s="257" t="s">
        <v>12</v>
      </c>
      <c r="AA2" s="262" t="str">
        <v>净毛利率</v>
      </c>
      <c r="AB2" s="312" t="str">
        <v>操作</v>
      </c>
      <c r="AC2" s="312" t="str">
        <v>售价</v>
      </c>
      <c r="AD2" s="312" t="str">
        <v>月销量</v>
      </c>
      <c r="AE2" s="312" t="str">
        <v>销售总额</v>
      </c>
      <c r="AF2" s="312" t="str">
        <v>MC</v>
      </c>
      <c r="AG2" s="312" t="str">
        <v>佣金</v>
      </c>
      <c r="AH2" s="312" t="str">
        <v>配送费</v>
      </c>
      <c r="AI2" s="312" t="s">
        <v>10</v>
      </c>
      <c r="AJ2" s="312" t="str">
        <v>广告费</v>
      </c>
      <c r="AK2" s="312" t="str">
        <v>促销费</v>
      </c>
      <c r="AL2" s="312" t="str">
        <v>VAT
</v>
      </c>
      <c r="AM2" s="312" t="str">
        <v>成本总计</v>
      </c>
      <c r="AN2" s="312" t="s">
        <v>11</v>
      </c>
      <c r="AO2" s="312" t="str">
        <v>回款率</v>
      </c>
      <c r="AP2" s="312" t="s">
        <v>12</v>
      </c>
      <c r="AQ2" s="312" t="str">
        <v>净毛利率</v>
      </c>
      <c r="AR2" s="313" t="str">
        <v>操作</v>
      </c>
      <c r="AS2" s="313" t="str">
        <v>售价</v>
      </c>
      <c r="AT2" s="313" t="str">
        <v>月销量</v>
      </c>
      <c r="AU2" s="313" t="str">
        <v>销售总额</v>
      </c>
      <c r="AV2" s="313" t="str">
        <v>MC</v>
      </c>
      <c r="AW2" s="313" t="str">
        <v>佣金</v>
      </c>
      <c r="AX2" s="313" t="str">
        <v>配送费</v>
      </c>
      <c r="AY2" s="313" t="s">
        <v>10</v>
      </c>
      <c r="AZ2" s="313" t="str">
        <v>广告费</v>
      </c>
      <c r="BA2" s="313" t="str">
        <v>促销费</v>
      </c>
      <c r="BB2" s="313" t="str">
        <v>VAT</v>
      </c>
      <c r="BC2" s="313" t="str">
        <v>成本总计</v>
      </c>
      <c r="BD2" s="313" t="s">
        <v>11</v>
      </c>
      <c r="BE2" s="313" t="str">
        <v>回款率</v>
      </c>
      <c r="BF2" s="313" t="str">
        <v>净毛利 US</v>
      </c>
      <c r="BG2" s="313" t="str">
        <v>净毛利率</v>
      </c>
      <c r="BH2" s="314" t="str">
        <v>操作</v>
      </c>
      <c r="BI2" s="314" t="str">
        <v>售价</v>
      </c>
      <c r="BJ2" s="314" t="str">
        <v>月销量</v>
      </c>
      <c r="BK2" s="314" t="str">
        <v>销售总额</v>
      </c>
      <c r="BL2" s="314" t="str">
        <v>产品成本</v>
      </c>
      <c r="BM2" s="314" t="str">
        <v>佣金</v>
      </c>
      <c r="BN2" s="314" t="str">
        <v>配送费</v>
      </c>
      <c r="BO2" s="314" t="s">
        <v>10</v>
      </c>
      <c r="BP2" s="314" t="str">
        <v>广告费</v>
      </c>
      <c r="BQ2" s="314" t="str">
        <v>促销费</v>
      </c>
      <c r="BR2" s="314" t="str">
        <v>VAT</v>
      </c>
      <c r="BS2" s="314" t="str">
        <v>成本总计</v>
      </c>
      <c r="BT2" s="314" t="str">
        <v>回款额
EU</v>
      </c>
      <c r="BU2" s="314" t="str">
        <v>回款率</v>
      </c>
      <c r="BV2" s="314" t="str">
        <v>净毛利 EU</v>
      </c>
      <c r="BW2" s="314" t="str">
        <v>净毛利率</v>
      </c>
    </row>
    <row customHeight="true" ht="18" r="3">
      <c r="A3" s="302" t="str">
        <v>卡航</v>
      </c>
      <c r="B3" s="302" t="str">
        <v>B0XXXXXXV3</v>
      </c>
      <c r="C3" s="145" t="str">
        <v>SK0001EU</v>
      </c>
      <c r="D3" s="308" t="str">
        <v>DE</v>
      </c>
      <c r="E3" s="304">
        <v>0.15</v>
      </c>
      <c r="F3" s="304">
        <v>0.07</v>
      </c>
      <c r="G3" s="307">
        <v>0.15</v>
      </c>
      <c r="H3" s="300">
        <f>122.56/7.4</f>
      </c>
      <c r="I3" s="300">
        <v>5.69</v>
      </c>
      <c r="J3" s="300">
        <f>(H3+I3)*F3</f>
      </c>
      <c r="K3" s="300">
        <v>0.16</v>
      </c>
      <c r="L3" s="302" t="str">
        <v>B0XXXXXXV3</v>
      </c>
      <c r="M3" s="309">
        <v>109.99</v>
      </c>
      <c r="N3" s="310">
        <v>450</v>
      </c>
      <c r="O3" s="305">
        <f>M3*N3</f>
      </c>
      <c r="P3" s="305">
        <f>$H3*N3</f>
      </c>
      <c r="Q3" s="305">
        <f>M3*$E3*N3</f>
      </c>
      <c r="R3" s="305">
        <f>I3*N3</f>
      </c>
      <c r="S3" s="305">
        <f>$J3*N3</f>
      </c>
      <c r="T3" s="303">
        <f>O3*18%</f>
      </c>
      <c r="U3" s="301">
        <f>O3*12%</f>
      </c>
      <c r="V3" s="303">
        <f>O3*K3</f>
      </c>
      <c r="W3" s="305">
        <f>P3+Q3+R3+S3+T3+U3+V3</f>
      </c>
      <c r="X3" s="306">
        <f>O3-Q3-R3-T3-U3-V3</f>
      </c>
      <c r="Y3" s="307">
        <f>X3/O3</f>
      </c>
      <c r="Z3" s="305">
        <f>O3-W3</f>
      </c>
      <c r="AA3" s="307">
        <f>Z3/O3</f>
      </c>
      <c r="AB3" s="300"/>
      <c r="AC3" s="309">
        <v>114.99</v>
      </c>
      <c r="AD3" s="310">
        <v>500</v>
      </c>
      <c r="AE3" s="305">
        <f>AC3*AD3</f>
      </c>
      <c r="AF3" s="305">
        <f>$H3*AD3</f>
      </c>
      <c r="AG3" s="305">
        <f>AC3*$E3*AD3</f>
      </c>
      <c r="AH3" s="305">
        <f>AD3*I3</f>
      </c>
      <c r="AI3" s="305">
        <f>$J3*AD3</f>
      </c>
      <c r="AJ3" s="303">
        <f>AE3*10%</f>
      </c>
      <c r="AK3" s="301">
        <f>AE3*6%</f>
      </c>
      <c r="AL3" s="303">
        <f>AE3*K3</f>
      </c>
      <c r="AM3" s="305">
        <f>AF3+AG3+AH3+AI3+AJ3+AK3+AL3</f>
      </c>
      <c r="AN3" s="306">
        <f>AE3-AG3-AH3-AJ3-AL3</f>
      </c>
      <c r="AO3" s="307">
        <f>AN3/AE3</f>
      </c>
      <c r="AP3" s="305">
        <f>AE3-AM3</f>
      </c>
      <c r="AQ3" s="307">
        <f>AP3/AE3</f>
      </c>
      <c r="AR3" s="300"/>
      <c r="AS3" s="309">
        <v>116.99</v>
      </c>
      <c r="AT3" s="310">
        <v>700</v>
      </c>
      <c r="AU3" s="305">
        <f>AS3*AT3</f>
      </c>
      <c r="AV3" s="305">
        <f>$H3*AT3</f>
      </c>
      <c r="AW3" s="305">
        <f>AS3*$E3*AT3</f>
      </c>
      <c r="AX3" s="305">
        <f>AT3*I3</f>
      </c>
      <c r="AY3" s="305">
        <f>$J3*AT3</f>
      </c>
      <c r="AZ3" s="303">
        <f>AU3*7%</f>
      </c>
      <c r="BA3" s="301">
        <f>AU3*15%</f>
      </c>
      <c r="BB3" s="303">
        <f>K3*AU3</f>
      </c>
      <c r="BC3" s="305">
        <f>AV3+AW3+AX3+AY3+AZ3+BA3+BB3</f>
      </c>
      <c r="BD3" s="306">
        <f>AU3-AW3-AX3-AZ3-BB3</f>
      </c>
      <c r="BE3" s="307">
        <f>BD3/AU3</f>
      </c>
      <c r="BF3" s="305">
        <f>AU3-BC3</f>
      </c>
      <c r="BG3" s="307">
        <f>BF3/AU3</f>
      </c>
      <c r="BH3" s="300"/>
      <c r="BI3" s="309">
        <v>119.99</v>
      </c>
      <c r="BJ3" s="310">
        <v>1500</v>
      </c>
      <c r="BK3" s="305">
        <f>BI3*BJ3</f>
      </c>
      <c r="BL3" s="305">
        <f>$H3*BJ3</f>
      </c>
      <c r="BM3" s="305">
        <f>E3*BK3</f>
      </c>
      <c r="BN3" s="331">
        <f>I3*BJ3</f>
      </c>
      <c r="BO3" s="305">
        <f>$J3*BJ3</f>
      </c>
      <c r="BP3" s="303">
        <f>BK3*5.5%</f>
      </c>
      <c r="BQ3" s="301">
        <f>BK3*8%</f>
      </c>
      <c r="BR3" s="303">
        <f>K3*BK3</f>
      </c>
      <c r="BS3" s="305">
        <f>BL3+BM3+BN3+BO3+BP3+BQ3+BR3</f>
      </c>
      <c r="BT3" s="306">
        <f>BK3-BM3-BN3-BP3-BR3</f>
      </c>
      <c r="BU3" s="307">
        <f>BT3/BK3</f>
      </c>
      <c r="BV3" s="305">
        <f>BK3-BS3</f>
      </c>
      <c r="BW3" s="307">
        <f>BV3/BK3</f>
      </c>
    </row>
    <row customHeight="true" ht="18" r="4">
      <c r="A4" s="302" t="str">
        <v>铁路</v>
      </c>
      <c r="B4" s="302" t="str">
        <v>B0XXXXXXV3</v>
      </c>
      <c r="C4" s="145" t="str">
        <v>SK0001EU</v>
      </c>
      <c r="D4" s="308" t="str">
        <v>DE</v>
      </c>
      <c r="E4" s="304">
        <v>0.15</v>
      </c>
      <c r="F4" s="304">
        <v>0.07</v>
      </c>
      <c r="G4" s="307">
        <v>0.15</v>
      </c>
      <c r="H4" s="300">
        <f>122.56/7.4</f>
      </c>
      <c r="I4" s="300">
        <v>5.69</v>
      </c>
      <c r="J4" s="300">
        <f>(H4+I4)*F4</f>
      </c>
      <c r="K4" s="300">
        <v>0.16</v>
      </c>
      <c r="L4" s="302" t="str">
        <v>B0XXXXXXV3</v>
      </c>
      <c r="M4" s="309">
        <v>109.99</v>
      </c>
      <c r="N4" s="310">
        <v>450</v>
      </c>
      <c r="O4" s="305">
        <f>M4*N4</f>
      </c>
      <c r="P4" s="305">
        <f>$H4*N4</f>
      </c>
      <c r="Q4" s="305">
        <f>M4*$E4*N4</f>
      </c>
      <c r="R4" s="305">
        <f>I4*N4</f>
      </c>
      <c r="S4" s="305">
        <f>$J4*N4</f>
      </c>
      <c r="T4" s="303">
        <f>O4*18%</f>
      </c>
      <c r="U4" s="301">
        <f>O4*12%</f>
      </c>
      <c r="V4" s="303">
        <f>O4*K4</f>
      </c>
      <c r="W4" s="305">
        <f>P4+Q4+R4+S4+T4+U4+V4</f>
      </c>
      <c r="X4" s="306">
        <f>O4-Q4-R4-T4-U4-V4</f>
      </c>
      <c r="Y4" s="307">
        <f>X4/O4</f>
      </c>
      <c r="Z4" s="305">
        <f>O4-W4</f>
      </c>
      <c r="AA4" s="307">
        <f>Z4/O4</f>
      </c>
      <c r="AB4" s="300"/>
      <c r="AC4" s="309">
        <v>114.99</v>
      </c>
      <c r="AD4" s="310">
        <v>500</v>
      </c>
      <c r="AE4" s="305">
        <f>AC4*AD4</f>
      </c>
      <c r="AF4" s="305">
        <f>$H4*AD4</f>
      </c>
      <c r="AG4" s="305">
        <f>AC4*$E4*AD4</f>
      </c>
      <c r="AH4" s="305">
        <f>AD4*I4</f>
      </c>
      <c r="AI4" s="305">
        <f>$J4*AD4</f>
      </c>
      <c r="AJ4" s="303">
        <f>AE4*10%</f>
      </c>
      <c r="AK4" s="301">
        <f>AE4*6%</f>
      </c>
      <c r="AL4" s="303">
        <f>AE4*K4</f>
      </c>
      <c r="AM4" s="305">
        <f>AF4+AG4+AH4+AI4+AJ4+AK4+AL4</f>
      </c>
      <c r="AN4" s="306">
        <f>AE4-AG4-AH4-AJ4-AL4</f>
      </c>
      <c r="AO4" s="307">
        <f>AN4/AE4</f>
      </c>
      <c r="AP4" s="305">
        <f>AE4-AM4</f>
      </c>
      <c r="AQ4" s="307">
        <f>AP4/AE4</f>
      </c>
      <c r="AR4" s="300"/>
      <c r="AS4" s="309">
        <v>116.99</v>
      </c>
      <c r="AT4" s="310">
        <v>700</v>
      </c>
      <c r="AU4" s="305">
        <f>AS4*AT4</f>
      </c>
      <c r="AV4" s="305">
        <f>$H4*AT4</f>
      </c>
      <c r="AW4" s="305">
        <f>AS4*$E4*AT4</f>
      </c>
      <c r="AX4" s="305">
        <f>AT4*I4</f>
      </c>
      <c r="AY4" s="305">
        <f>$J4*AT4</f>
      </c>
      <c r="AZ4" s="303">
        <f>AU4*7%</f>
      </c>
      <c r="BA4" s="301">
        <f>AU4*15%</f>
      </c>
      <c r="BB4" s="303">
        <f>K4*AU4</f>
      </c>
      <c r="BC4" s="305">
        <f>AV4+AW4+AX4+AY4+AZ4+BA4+BB4</f>
      </c>
      <c r="BD4" s="306">
        <f>AU4-AW4-AX4-AZ4-BB4</f>
      </c>
      <c r="BE4" s="307">
        <f>BD4/AU4</f>
      </c>
      <c r="BF4" s="305">
        <f>AU4-BC4</f>
      </c>
      <c r="BG4" s="307">
        <f>BF4/AU4</f>
      </c>
      <c r="BH4" s="300"/>
      <c r="BI4" s="309">
        <v>119.99</v>
      </c>
      <c r="BJ4" s="310">
        <v>1500</v>
      </c>
      <c r="BK4" s="305">
        <f>BI4*BJ4</f>
      </c>
      <c r="BL4" s="305">
        <f>$H4*BJ4</f>
      </c>
      <c r="BM4" s="305">
        <f>E4*BK4</f>
      </c>
      <c r="BN4" s="331">
        <f>I4*BJ4</f>
      </c>
      <c r="BO4" s="305">
        <f>$J4*BJ4</f>
      </c>
      <c r="BP4" s="303">
        <f>BK4*5.5%</f>
      </c>
      <c r="BQ4" s="301">
        <f>BK4*8%</f>
      </c>
      <c r="BR4" s="303">
        <f>K4*BK4</f>
      </c>
      <c r="BS4" s="305">
        <f>BL4+BM4+BN4+BO4+BP4+BQ4+BR4</f>
      </c>
      <c r="BT4" s="306">
        <f>BK4-BM4-BN4-BP4-BR4</f>
      </c>
      <c r="BU4" s="307">
        <f>BT4/BK4</f>
      </c>
      <c r="BV4" s="305">
        <f>BK4-BS4</f>
      </c>
      <c r="BW4" s="307">
        <f>BV4/BK4</f>
      </c>
    </row>
    <row customHeight="true" ht="18" r="5">
      <c r="A5" s="302" t="str">
        <v>海运</v>
      </c>
      <c r="B5" s="302" t="str">
        <v>B0XXXXXXV3</v>
      </c>
      <c r="C5" s="145" t="str">
        <v>SK0001EU</v>
      </c>
      <c r="D5" s="308" t="str">
        <v>DE</v>
      </c>
      <c r="E5" s="304">
        <v>0.15</v>
      </c>
      <c r="F5" s="304">
        <v>0.07</v>
      </c>
      <c r="G5" s="307">
        <v>0.15</v>
      </c>
      <c r="H5" s="300">
        <f>122.56/7.4</f>
      </c>
      <c r="I5" s="300">
        <v>5.69</v>
      </c>
      <c r="J5" s="300">
        <f>(H5+I5)*F5</f>
      </c>
      <c r="K5" s="300">
        <v>0.16</v>
      </c>
      <c r="L5" s="302" t="str">
        <v>B0XXXXXXV3</v>
      </c>
      <c r="M5" s="309">
        <v>109.99</v>
      </c>
      <c r="N5" s="310">
        <v>450</v>
      </c>
      <c r="O5" s="305">
        <f>M5*N5</f>
      </c>
      <c r="P5" s="305">
        <f>$H5*N5</f>
      </c>
      <c r="Q5" s="305">
        <f>M5*$E5*N5</f>
      </c>
      <c r="R5" s="305">
        <f>I5*N5</f>
      </c>
      <c r="S5" s="305">
        <f>$J5*N5</f>
      </c>
      <c r="T5" s="303">
        <f>O5*18%</f>
      </c>
      <c r="U5" s="301">
        <f>O5*12%</f>
      </c>
      <c r="V5" s="303">
        <f>O5*K5</f>
      </c>
      <c r="W5" s="305">
        <f>P5+Q5+R5+S5+T5+U5+V5</f>
      </c>
      <c r="X5" s="306">
        <f>O5-Q5-R5-T5-U5-V5</f>
      </c>
      <c r="Y5" s="307">
        <f>X5/O5</f>
      </c>
      <c r="Z5" s="305">
        <f>O5-W5</f>
      </c>
      <c r="AA5" s="307">
        <f>Z5/O5</f>
      </c>
      <c r="AB5" s="300"/>
      <c r="AC5" s="306"/>
      <c r="AD5" s="305"/>
      <c r="AE5" s="305"/>
      <c r="AF5" s="305"/>
      <c r="AG5" s="305"/>
      <c r="AH5" s="305"/>
      <c r="AI5" s="305"/>
      <c r="AJ5" s="303"/>
      <c r="AK5" s="301"/>
      <c r="AL5" s="303"/>
      <c r="AM5" s="305"/>
      <c r="AN5" s="306"/>
      <c r="AO5" s="307"/>
      <c r="AP5" s="305"/>
      <c r="AQ5" s="307"/>
      <c r="AR5" s="300"/>
      <c r="AS5" s="300"/>
      <c r="AT5" s="300"/>
      <c r="AU5" s="300"/>
      <c r="AV5" s="305"/>
      <c r="AW5" s="305"/>
      <c r="AX5" s="305"/>
      <c r="AY5" s="305"/>
      <c r="AZ5" s="303"/>
      <c r="BA5" s="301"/>
      <c r="BB5" s="303"/>
      <c r="BC5" s="305"/>
      <c r="BD5" s="306"/>
      <c r="BE5" s="307"/>
      <c r="BF5" s="305"/>
      <c r="BG5" s="307"/>
      <c r="BH5" s="300"/>
      <c r="BI5" s="306"/>
      <c r="BJ5" s="305"/>
      <c r="BK5" s="305"/>
      <c r="BL5" s="305"/>
      <c r="BM5" s="305"/>
      <c r="BN5" s="305"/>
      <c r="BO5" s="305"/>
      <c r="BP5" s="303"/>
      <c r="BQ5" s="301"/>
      <c r="BR5" s="303"/>
      <c r="BS5" s="305"/>
      <c r="BT5" s="306"/>
      <c r="BU5" s="307"/>
      <c r="BV5" s="305"/>
      <c r="BW5" s="307"/>
    </row>
    <row customHeight="true" ht="18" r="6">
      <c r="A6" s="302" t="str">
        <v>空运</v>
      </c>
      <c r="B6" s="302" t="str">
        <v>B0XXXXXXV3</v>
      </c>
      <c r="C6" s="145" t="str">
        <v>SK0001EU</v>
      </c>
      <c r="D6" s="308" t="str">
        <v>DE</v>
      </c>
      <c r="E6" s="304">
        <v>0.15</v>
      </c>
      <c r="F6" s="304">
        <v>0.07</v>
      </c>
      <c r="G6" s="307">
        <v>0.15</v>
      </c>
      <c r="H6" s="300">
        <f>122.56/7.4</f>
      </c>
      <c r="I6" s="300">
        <v>5.69</v>
      </c>
      <c r="J6" s="300">
        <f>(H6+I6)*F6</f>
      </c>
      <c r="K6" s="300">
        <v>0.16</v>
      </c>
      <c r="L6" s="302" t="str">
        <v>B0XXXXXXV3</v>
      </c>
      <c r="M6" s="309">
        <v>109.99</v>
      </c>
      <c r="N6" s="310">
        <v>450</v>
      </c>
      <c r="O6" s="305">
        <f>M6*N6</f>
      </c>
      <c r="P6" s="305">
        <f>$H6*N6</f>
      </c>
      <c r="Q6" s="305">
        <f>M6*$E6*N6</f>
      </c>
      <c r="R6" s="305">
        <f>I6*N6</f>
      </c>
      <c r="S6" s="305">
        <f>$J6*N6</f>
      </c>
      <c r="T6" s="303">
        <f>O6*18%</f>
      </c>
      <c r="U6" s="301">
        <f>O6*12%</f>
      </c>
      <c r="V6" s="303">
        <f>O6*K6</f>
      </c>
      <c r="W6" s="305">
        <f>P6+Q6+R6+S6+T6+U6+V6</f>
      </c>
      <c r="X6" s="306">
        <f>O6-Q6-R6-T6-U6-V6</f>
      </c>
      <c r="Y6" s="307">
        <f>X6/O6</f>
      </c>
      <c r="Z6" s="305">
        <f>O6-W6</f>
      </c>
      <c r="AA6" s="307">
        <f>Z6/O6</f>
      </c>
      <c r="AB6" s="300"/>
      <c r="AC6" s="306"/>
      <c r="AD6" s="305"/>
      <c r="AE6" s="305"/>
      <c r="AF6" s="305"/>
      <c r="AG6" s="305"/>
      <c r="AH6" s="305"/>
      <c r="AI6" s="305"/>
      <c r="AJ6" s="303"/>
      <c r="AK6" s="301"/>
      <c r="AL6" s="303"/>
      <c r="AM6" s="305"/>
      <c r="AN6" s="306"/>
      <c r="AO6" s="307"/>
      <c r="AP6" s="305"/>
      <c r="AQ6" s="307"/>
      <c r="AR6" s="300"/>
      <c r="AS6" s="300"/>
      <c r="AT6" s="300"/>
      <c r="AU6" s="300"/>
      <c r="AV6" s="305"/>
      <c r="AW6" s="305"/>
      <c r="AX6" s="305"/>
      <c r="AY6" s="305"/>
      <c r="AZ6" s="303"/>
      <c r="BA6" s="301"/>
      <c r="BB6" s="303"/>
      <c r="BC6" s="305"/>
      <c r="BD6" s="306"/>
      <c r="BE6" s="307"/>
      <c r="BF6" s="305"/>
      <c r="BG6" s="307"/>
      <c r="BH6" s="300"/>
      <c r="BI6" s="306"/>
      <c r="BJ6" s="305"/>
      <c r="BK6" s="305"/>
      <c r="BL6" s="305"/>
      <c r="BM6" s="305"/>
      <c r="BN6" s="305"/>
      <c r="BO6" s="305"/>
      <c r="BP6" s="303"/>
      <c r="BQ6" s="301"/>
      <c r="BR6" s="303"/>
      <c r="BS6" s="305"/>
      <c r="BT6" s="306"/>
      <c r="BU6" s="307"/>
      <c r="BV6" s="305"/>
      <c r="BW6" s="307"/>
    </row>
    <row customHeight="true" ht="18" r="7">
      <c r="A7" s="302"/>
      <c r="B7" s="302"/>
      <c r="C7" s="145"/>
      <c r="D7" s="308"/>
      <c r="E7" s="304"/>
      <c r="F7" s="304"/>
      <c r="G7" s="307"/>
      <c r="H7" s="300"/>
      <c r="I7" s="300"/>
      <c r="J7" s="300"/>
      <c r="K7" s="300"/>
      <c r="L7" s="300"/>
      <c r="M7" s="306"/>
      <c r="N7" s="305"/>
      <c r="O7" s="305"/>
      <c r="P7" s="305"/>
      <c r="Q7" s="305"/>
      <c r="R7" s="305"/>
      <c r="S7" s="305"/>
      <c r="T7" s="303"/>
      <c r="U7" s="301"/>
      <c r="V7" s="303"/>
      <c r="W7" s="305"/>
      <c r="X7" s="306"/>
      <c r="Y7" s="307"/>
      <c r="Z7" s="305"/>
      <c r="AA7" s="307"/>
      <c r="AB7" s="300"/>
      <c r="AC7" s="306"/>
      <c r="AD7" s="305"/>
      <c r="AE7" s="305"/>
      <c r="AF7" s="305"/>
      <c r="AG7" s="305"/>
      <c r="AH7" s="305"/>
      <c r="AI7" s="305"/>
      <c r="AJ7" s="303"/>
      <c r="AK7" s="301"/>
      <c r="AL7" s="303"/>
      <c r="AM7" s="305"/>
      <c r="AN7" s="306"/>
      <c r="AO7" s="307"/>
      <c r="AP7" s="305"/>
      <c r="AQ7" s="307"/>
      <c r="AR7" s="300"/>
      <c r="AS7" s="306"/>
      <c r="AT7" s="305"/>
      <c r="AU7" s="305"/>
      <c r="AV7" s="305"/>
      <c r="AW7" s="305"/>
      <c r="AX7" s="305"/>
      <c r="AY7" s="305"/>
      <c r="AZ7" s="303"/>
      <c r="BA7" s="301"/>
      <c r="BB7" s="303"/>
      <c r="BC7" s="305"/>
      <c r="BD7" s="306"/>
      <c r="BE7" s="307"/>
      <c r="BF7" s="305"/>
      <c r="BG7" s="307"/>
      <c r="BH7" s="300"/>
      <c r="BI7" s="306"/>
      <c r="BJ7" s="305"/>
      <c r="BK7" s="305"/>
      <c r="BL7" s="305"/>
      <c r="BM7" s="305"/>
      <c r="BN7" s="305"/>
      <c r="BO7" s="305"/>
      <c r="BP7" s="303"/>
      <c r="BQ7" s="301"/>
      <c r="BR7" s="303"/>
      <c r="BS7" s="305"/>
      <c r="BT7" s="306"/>
      <c r="BU7" s="307"/>
      <c r="BV7" s="305"/>
      <c r="BW7" s="307"/>
    </row>
    <row customHeight="true" ht="18" r="8">
      <c r="A8" s="295"/>
      <c r="B8" s="295"/>
      <c r="C8" s="295"/>
      <c r="D8" s="296"/>
      <c r="E8" s="292"/>
      <c r="F8" s="292"/>
      <c r="G8" s="293"/>
      <c r="H8" s="291"/>
      <c r="I8" s="291"/>
      <c r="J8" s="291"/>
      <c r="K8" s="291"/>
      <c r="L8" s="291"/>
      <c r="M8" s="297"/>
      <c r="N8" s="294">
        <f>SUM(N3:N6)</f>
      </c>
      <c r="O8" s="294">
        <f>SUM(O3:O6)</f>
      </c>
      <c r="P8" s="294">
        <f>SUM(P3:P6)</f>
      </c>
      <c r="Q8" s="294">
        <f>SUM(Q3:Q6)</f>
      </c>
      <c r="R8" s="294">
        <f>SUM(R3:R6)</f>
      </c>
      <c r="S8" s="294">
        <f>SUM(S3:S6)</f>
      </c>
      <c r="T8" s="294">
        <f>SUM(T3:T6)</f>
      </c>
      <c r="U8" s="290">
        <f>SUM(U3:U6)</f>
      </c>
      <c r="V8" s="290">
        <f>SUM(V3:V6)</f>
      </c>
      <c r="W8" s="290">
        <f>SUM(W3:W6)</f>
      </c>
      <c r="X8" s="290">
        <f>SUM(X3:X6)</f>
      </c>
      <c r="Y8" s="294">
        <f>X8/O8</f>
      </c>
      <c r="Z8" s="294">
        <f>SUM(Z3:Z6)</f>
      </c>
      <c r="AA8" s="294">
        <f>Z8/O8</f>
      </c>
      <c r="AB8" s="291"/>
      <c r="AC8" s="294"/>
      <c r="AD8" s="294">
        <f>SUM(AD3:AD6)</f>
      </c>
      <c r="AE8" s="294">
        <f>SUM(AE3:AE6)</f>
      </c>
      <c r="AF8" s="294">
        <f>SUM(AF3:AF6)</f>
      </c>
      <c r="AG8" s="294">
        <f>SUM(AG3:AG6)</f>
      </c>
      <c r="AH8" s="294">
        <f>SUM(AH3:AH6)</f>
      </c>
      <c r="AI8" s="294">
        <f>SUM(AI3:AI6)</f>
      </c>
      <c r="AJ8" s="294">
        <f>SUM(AJ3:AJ6)</f>
      </c>
      <c r="AK8" s="290">
        <f>SUM(AK3:AK6)</f>
      </c>
      <c r="AL8" s="290">
        <f>SUM(AL3:AL6)</f>
      </c>
      <c r="AM8" s="290">
        <f>SUM(AM3:AM6)</f>
      </c>
      <c r="AN8" s="290">
        <f>SUM(AN3:AN6)</f>
      </c>
      <c r="AO8" s="294">
        <f>AN8/AE8</f>
      </c>
      <c r="AP8" s="290">
        <f>SUM(AP3:AP6)</f>
      </c>
      <c r="AQ8" s="294">
        <f>AP8/AE8</f>
      </c>
      <c r="AR8" s="291"/>
      <c r="AS8" s="297"/>
      <c r="AT8" s="294">
        <f>SUM(AT3:AT6)</f>
      </c>
      <c r="AU8" s="294">
        <f>SUM(AU3:AU6)</f>
      </c>
      <c r="AV8" s="294">
        <f>SUM(AV3:AV6)</f>
      </c>
      <c r="AW8" s="294">
        <f>SUM(AW3:AW6)</f>
      </c>
      <c r="AX8" s="294">
        <f>SUM(AX3:AX6)</f>
      </c>
      <c r="AY8" s="294">
        <f>SUM(AY3:AY6)</f>
      </c>
      <c r="AZ8" s="294">
        <f>SUM(AZ3:AZ6)</f>
      </c>
      <c r="BA8" s="290">
        <f>SUM(BA3:BA6)</f>
      </c>
      <c r="BB8" s="290">
        <f>SUM(BB3:BB6)</f>
      </c>
      <c r="BC8" s="290">
        <f>SUM(BC3:BC6)</f>
      </c>
      <c r="BD8" s="290">
        <f>SUM(BD3:BD6)</f>
      </c>
      <c r="BE8" s="294">
        <f>BD8/AU8</f>
      </c>
      <c r="BF8" s="290">
        <f>SUM(BF3:BF6)</f>
      </c>
      <c r="BG8" s="294">
        <f>BF8/AU8</f>
      </c>
      <c r="BH8" s="291"/>
      <c r="BI8" s="297"/>
      <c r="BJ8" s="294">
        <f>SUM(BJ3:BJ6)</f>
      </c>
      <c r="BK8" s="294">
        <f>SUM(BK3:BK6)</f>
      </c>
      <c r="BL8" s="294">
        <f>SUM(BL3:BL6)</f>
      </c>
      <c r="BM8" s="294">
        <f>SUM(BM3:BM6)</f>
      </c>
      <c r="BN8" s="294">
        <f>SUM(BN3:BN6)</f>
      </c>
      <c r="BO8" s="294">
        <f>SUM(BO3:BO6)</f>
      </c>
      <c r="BP8" s="294">
        <f>SUM(BP3:BP6)</f>
      </c>
      <c r="BQ8" s="290">
        <f>SUM(BQ3:BQ6)</f>
      </c>
      <c r="BR8" s="290">
        <f>SUM(BR3:BR6)</f>
      </c>
      <c r="BS8" s="290">
        <f>SUM(BS3:BS6)</f>
      </c>
      <c r="BT8" s="290">
        <f>SUM(BT3:BT6)</f>
      </c>
      <c r="BU8" s="294">
        <f>BT8/BK8</f>
      </c>
      <c r="BV8" s="290">
        <f>SUM(BV3:BV6)</f>
      </c>
      <c r="BW8" s="294">
        <f>BV8/BK8</f>
      </c>
    </row>
    <row customHeight="true" ht="18" r="9">
      <c r="A9" s="295"/>
      <c r="B9" s="295"/>
      <c r="C9" s="295"/>
      <c r="D9" s="296"/>
      <c r="E9" s="292"/>
      <c r="F9" s="292"/>
      <c r="G9" s="293"/>
      <c r="H9" s="291"/>
      <c r="I9" s="291"/>
      <c r="J9" s="291"/>
      <c r="K9" s="291"/>
      <c r="L9" s="291"/>
      <c r="M9" s="297"/>
      <c r="N9" s="294"/>
      <c r="O9" s="294"/>
      <c r="P9" s="294"/>
      <c r="Q9" s="294"/>
      <c r="R9" s="294"/>
      <c r="S9" s="294"/>
      <c r="T9" s="294"/>
      <c r="U9" s="290"/>
      <c r="V9" s="290"/>
      <c r="W9" s="290"/>
      <c r="X9" s="290"/>
      <c r="Y9" s="294"/>
      <c r="Z9" s="294"/>
      <c r="AA9" s="294"/>
      <c r="AB9" s="291"/>
      <c r="AC9" s="294"/>
      <c r="AD9" s="294"/>
      <c r="AE9" s="294"/>
      <c r="AF9" s="294"/>
      <c r="AG9" s="294"/>
      <c r="AH9" s="294"/>
      <c r="AI9" s="294"/>
      <c r="AJ9" s="294"/>
      <c r="AK9" s="290"/>
      <c r="AL9" s="290"/>
      <c r="AM9" s="290"/>
      <c r="AN9" s="290"/>
      <c r="AO9" s="294"/>
      <c r="AP9" s="290"/>
      <c r="AQ9" s="294"/>
      <c r="AR9" s="291"/>
      <c r="AS9" s="297"/>
      <c r="AT9" s="294"/>
      <c r="AU9" s="294"/>
      <c r="AV9" s="294"/>
      <c r="AW9" s="294"/>
      <c r="AX9" s="294"/>
      <c r="AY9" s="294"/>
      <c r="AZ9" s="294"/>
      <c r="BA9" s="290"/>
      <c r="BB9" s="290"/>
      <c r="BC9" s="290"/>
      <c r="BD9" s="290"/>
      <c r="BE9" s="294"/>
      <c r="BF9" s="290"/>
      <c r="BG9" s="294"/>
      <c r="BH9" s="291"/>
      <c r="BI9" s="297"/>
      <c r="BJ9" s="294"/>
      <c r="BK9" s="294"/>
      <c r="BL9" s="294"/>
      <c r="BM9" s="294"/>
      <c r="BN9" s="294"/>
      <c r="BO9" s="294"/>
      <c r="BP9" s="294"/>
      <c r="BQ9" s="290"/>
      <c r="BR9" s="290"/>
      <c r="BS9" s="290"/>
      <c r="BT9" s="290"/>
      <c r="BU9" s="294"/>
      <c r="BV9" s="290"/>
      <c r="BW9" s="294"/>
    </row>
    <row customHeight="true" ht="18" r="10">
      <c r="A10" s="289"/>
      <c r="B10" s="289"/>
      <c r="C10" s="289"/>
      <c r="D10" s="288"/>
      <c r="E10" s="287"/>
      <c r="F10" s="287"/>
      <c r="G10" s="286"/>
      <c r="H10" s="284"/>
      <c r="I10" s="284"/>
      <c r="J10" s="284"/>
      <c r="K10" s="284"/>
      <c r="L10" s="284"/>
      <c r="M10" s="283"/>
      <c r="N10" s="282"/>
      <c r="O10" s="282"/>
      <c r="P10" s="282"/>
      <c r="Q10" s="282"/>
      <c r="R10" s="282"/>
      <c r="S10" s="282"/>
      <c r="T10" s="282"/>
      <c r="U10" s="285"/>
      <c r="V10" s="285"/>
      <c r="W10" s="285"/>
      <c r="X10" s="285"/>
      <c r="Y10" s="282"/>
      <c r="Z10" s="282"/>
      <c r="AA10" s="282"/>
      <c r="AB10" s="284"/>
      <c r="AC10" s="282"/>
      <c r="AD10" s="282"/>
      <c r="AE10" s="282"/>
      <c r="AF10" s="282"/>
      <c r="AG10" s="282"/>
      <c r="AH10" s="282"/>
      <c r="AI10" s="282"/>
      <c r="AJ10" s="282"/>
      <c r="AK10" s="285"/>
      <c r="AL10" s="285"/>
      <c r="AM10" s="285"/>
      <c r="AN10" s="285"/>
      <c r="AO10" s="282"/>
      <c r="AP10" s="285"/>
      <c r="AQ10" s="282"/>
      <c r="AR10" s="284"/>
      <c r="AS10" s="283"/>
      <c r="AT10" s="282"/>
      <c r="AU10" s="282"/>
      <c r="AV10" s="282"/>
      <c r="AW10" s="282"/>
      <c r="AX10" s="282"/>
      <c r="AY10" s="282"/>
      <c r="AZ10" s="282"/>
      <c r="BA10" s="285"/>
      <c r="BB10" s="285"/>
      <c r="BC10" s="285"/>
      <c r="BD10" s="285"/>
      <c r="BE10" s="282"/>
      <c r="BF10" s="285"/>
      <c r="BG10" s="282"/>
      <c r="BH10" s="284"/>
      <c r="BI10" s="283"/>
      <c r="BJ10" s="282"/>
      <c r="BK10" s="282"/>
      <c r="BL10" s="282"/>
      <c r="BM10" s="282"/>
      <c r="BN10" s="282"/>
      <c r="BO10" s="282"/>
      <c r="BP10" s="282"/>
      <c r="BQ10" s="285"/>
      <c r="BR10" s="285"/>
      <c r="BS10" s="285"/>
      <c r="BT10" s="285"/>
      <c r="BU10" s="282"/>
      <c r="BV10" s="285"/>
      <c r="BW10" s="282"/>
    </row>
    <row customHeight="true" ht="19" r="11">
      <c r="A11" s="289" t="str">
        <v>价格利润测算</v>
      </c>
      <c r="B11" s="289"/>
      <c r="C11" s="289"/>
      <c r="D11" s="288"/>
      <c r="E11" s="287"/>
      <c r="F11" s="287"/>
      <c r="G11" s="286"/>
      <c r="H11" s="284"/>
      <c r="I11" s="284"/>
      <c r="J11" s="284"/>
      <c r="K11" s="284"/>
      <c r="L11" s="284"/>
      <c r="M11" s="283"/>
      <c r="N11" s="282"/>
      <c r="O11" s="282"/>
      <c r="P11" s="282"/>
      <c r="Q11" s="282"/>
      <c r="R11" s="282"/>
      <c r="S11" s="282"/>
      <c r="T11" s="299"/>
      <c r="U11" s="285"/>
      <c r="V11" s="299"/>
      <c r="W11" s="282"/>
      <c r="X11" s="283"/>
      <c r="Y11" s="286"/>
      <c r="Z11" s="282"/>
      <c r="AA11" s="286"/>
      <c r="AB11" s="284"/>
      <c r="AC11" s="283"/>
      <c r="AD11" s="282"/>
      <c r="AE11" s="282"/>
      <c r="AF11" s="282"/>
      <c r="AG11" s="282"/>
      <c r="AH11" s="282"/>
      <c r="AI11" s="282"/>
      <c r="AJ11" s="299"/>
      <c r="AK11" s="285"/>
      <c r="AL11" s="299"/>
      <c r="AM11" s="282"/>
      <c r="AN11" s="283"/>
      <c r="AO11" s="286"/>
      <c r="AP11" s="298"/>
      <c r="AQ11" s="286"/>
      <c r="AR11" s="284"/>
      <c r="AS11" s="283"/>
      <c r="AT11" s="282"/>
      <c r="AU11" s="282"/>
      <c r="AV11" s="282"/>
      <c r="AW11" s="282"/>
      <c r="AX11" s="282"/>
      <c r="AY11" s="282"/>
      <c r="AZ11" s="299"/>
      <c r="BA11" s="285"/>
      <c r="BB11" s="299"/>
      <c r="BC11" s="282"/>
      <c r="BD11" s="283"/>
      <c r="BE11" s="286"/>
      <c r="BF11" s="298"/>
      <c r="BG11" s="286"/>
      <c r="BH11" s="230"/>
      <c r="BI11" s="230"/>
      <c r="BJ11" s="230"/>
      <c r="BK11" s="230"/>
      <c r="BL11" s="230"/>
      <c r="BM11" s="230"/>
      <c r="BN11" s="230"/>
      <c r="BO11" s="230"/>
      <c r="BP11" s="230"/>
      <c r="BQ11" s="230"/>
      <c r="BR11" s="230"/>
      <c r="BS11" s="230"/>
      <c r="BT11" s="230"/>
      <c r="BU11" s="230"/>
      <c r="BV11" s="230"/>
      <c r="BW11" s="230"/>
    </row>
    <row customHeight="true" ht="19" r="12">
      <c r="A12" s="289"/>
      <c r="B12" s="289"/>
      <c r="C12" s="289"/>
      <c r="D12" s="288"/>
      <c r="E12" s="287"/>
      <c r="F12" s="287"/>
      <c r="G12" s="286"/>
      <c r="H12" s="284"/>
      <c r="I12" s="284"/>
      <c r="J12" s="284"/>
      <c r="K12" s="284"/>
      <c r="L12" s="284"/>
      <c r="M12" s="283"/>
      <c r="N12" s="282"/>
      <c r="O12" s="282"/>
      <c r="P12" s="282"/>
      <c r="Q12" s="282"/>
      <c r="R12" s="282"/>
      <c r="S12" s="282"/>
      <c r="T12" s="299"/>
      <c r="U12" s="285"/>
      <c r="V12" s="299"/>
      <c r="W12" s="282"/>
      <c r="X12" s="283"/>
      <c r="Y12" s="286"/>
      <c r="Z12" s="282"/>
      <c r="AA12" s="286"/>
      <c r="AB12" s="284"/>
      <c r="AC12" s="283"/>
      <c r="AD12" s="282"/>
      <c r="AE12" s="282"/>
      <c r="AF12" s="282"/>
      <c r="AG12" s="282"/>
      <c r="AH12" s="282"/>
      <c r="AI12" s="282"/>
      <c r="AJ12" s="299"/>
      <c r="AK12" s="285"/>
      <c r="AL12" s="299"/>
      <c r="AM12" s="282"/>
      <c r="AN12" s="283"/>
      <c r="AO12" s="286"/>
      <c r="AP12" s="298"/>
      <c r="AQ12" s="286"/>
      <c r="AR12" s="284"/>
      <c r="AS12" s="283"/>
      <c r="AT12" s="282"/>
      <c r="AU12" s="282"/>
      <c r="AV12" s="282"/>
      <c r="AW12" s="282"/>
      <c r="AX12" s="282"/>
      <c r="AY12" s="282"/>
      <c r="AZ12" s="299"/>
      <c r="BA12" s="285"/>
      <c r="BB12" s="299"/>
      <c r="BC12" s="282"/>
      <c r="BD12" s="283"/>
      <c r="BE12" s="286"/>
      <c r="BF12" s="298"/>
      <c r="BG12" s="286"/>
      <c r="BH12" s="230"/>
      <c r="BI12" s="230"/>
      <c r="BJ12" s="230"/>
      <c r="BK12" s="230"/>
      <c r="BL12" s="230"/>
      <c r="BM12" s="230"/>
      <c r="BN12" s="230"/>
      <c r="BO12" s="230"/>
      <c r="BP12" s="230"/>
      <c r="BQ12" s="230"/>
      <c r="BR12" s="230"/>
      <c r="BS12" s="230"/>
      <c r="BT12" s="230"/>
      <c r="BU12" s="230"/>
      <c r="BV12" s="230"/>
      <c r="BW12" s="230"/>
    </row>
    <row customHeight="true" ht="17" r="13">
      <c r="A13" s="279" t="str">
        <v>Asin</v>
      </c>
      <c r="B13" s="279" t="str">
        <v>Model</v>
      </c>
      <c r="C13" s="279" t="str">
        <v>Price</v>
      </c>
      <c r="D13" s="279" t="str">
        <v>All cost</v>
      </c>
      <c r="E13" s="279" t="str">
        <v>Profit</v>
      </c>
      <c r="F13" s="281" t="str">
        <v>Profit%</v>
      </c>
      <c r="G13" s="279" t="str">
        <v>MC</v>
      </c>
      <c r="H13" s="278" t="str">
        <v>佣金</v>
      </c>
      <c r="I13" s="279" t="str">
        <v>配送费</v>
      </c>
      <c r="J13" s="278" t="str">
        <v>退货均摊</v>
      </c>
      <c r="K13" s="278" t="str">
        <v>VAT税率</v>
      </c>
      <c r="L13" s="279" t="str">
        <v>佣金率</v>
      </c>
      <c r="M13" s="279" t="str">
        <v>退货率</v>
      </c>
      <c r="N13" s="280" t="str">
        <v>折扣% off</v>
      </c>
      <c r="O13" s="278" t="str">
        <v>底价</v>
      </c>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4"/>
      <c r="AX13" s="264"/>
      <c r="AY13" s="264"/>
      <c r="AZ13" s="264"/>
      <c r="BA13" s="264"/>
      <c r="BB13" s="264"/>
      <c r="BC13" s="264"/>
      <c r="BD13" s="264"/>
      <c r="BE13" s="264"/>
      <c r="BF13" s="264"/>
      <c r="BG13" s="264"/>
      <c r="BH13" s="264"/>
      <c r="BI13" s="264"/>
      <c r="BJ13" s="264"/>
      <c r="BK13" s="264"/>
      <c r="BL13" s="264"/>
      <c r="BM13" s="264"/>
      <c r="BN13" s="264"/>
      <c r="BO13" s="264"/>
      <c r="BP13" s="264"/>
      <c r="BQ13" s="264"/>
      <c r="BR13" s="264"/>
      <c r="BS13" s="264"/>
      <c r="BT13" s="264"/>
      <c r="BU13" s="264"/>
      <c r="BV13" s="264"/>
      <c r="BW13" s="264"/>
    </row>
    <row customHeight="true" ht="17" r="14">
      <c r="A14" s="276" t="str">
        <v>B0XXXXXXV3</v>
      </c>
      <c r="B14" s="275" t="str">
        <v>SK0001EU</v>
      </c>
      <c r="C14" s="271">
        <f>$M$3</f>
      </c>
      <c r="D14" s="271">
        <f>G14+H14+I14+J14+K14*C14+C14*N14</f>
      </c>
      <c r="E14" s="274">
        <f>C14-D14</f>
      </c>
      <c r="F14" s="273">
        <f>E14/C14</f>
      </c>
      <c r="G14" s="271">
        <v>6.27</v>
      </c>
      <c r="H14" s="271">
        <f>C14*L14</f>
      </c>
      <c r="I14" s="271">
        <f>$I$3</f>
      </c>
      <c r="J14" s="271">
        <f>C14*M14</f>
      </c>
      <c r="K14" s="271">
        <v>0.16</v>
      </c>
      <c r="L14" s="272">
        <f>$E$3</f>
      </c>
      <c r="M14" s="277">
        <f>$F$3</f>
      </c>
      <c r="N14" s="272">
        <v>0.1</v>
      </c>
      <c r="O14" s="274">
        <f>(G14+I14)/(1-L14-M14-K14)</f>
      </c>
      <c r="P14" s="264"/>
      <c r="Q14" s="264"/>
      <c r="R14" s="264"/>
      <c r="S14" s="264"/>
      <c r="T14" s="264"/>
      <c r="U14" s="264"/>
      <c r="V14" s="264"/>
      <c r="W14" s="264"/>
      <c r="X14" s="264"/>
      <c r="Y14" s="264"/>
      <c r="Z14" s="264"/>
      <c r="AA14" s="264"/>
      <c r="AB14" s="264"/>
      <c r="AC14" s="264"/>
      <c r="AD14" s="264"/>
      <c r="AE14" s="264"/>
      <c r="AF14" s="264"/>
      <c r="AG14" s="264"/>
      <c r="AH14" s="264"/>
      <c r="AI14" s="264"/>
      <c r="AJ14" s="264"/>
      <c r="AK14" s="264"/>
      <c r="AL14" s="264"/>
      <c r="AM14" s="264"/>
      <c r="AN14" s="264"/>
      <c r="AO14" s="264"/>
      <c r="AP14" s="264"/>
      <c r="AQ14" s="264"/>
      <c r="AR14" s="264"/>
      <c r="AS14" s="264"/>
      <c r="AT14" s="264"/>
      <c r="AU14" s="264"/>
      <c r="AV14" s="264"/>
      <c r="AW14" s="264"/>
      <c r="AX14" s="264"/>
      <c r="AY14" s="264"/>
      <c r="AZ14" s="264"/>
      <c r="BA14" s="264"/>
      <c r="BB14" s="264"/>
      <c r="BC14" s="264"/>
      <c r="BD14" s="264"/>
      <c r="BE14" s="264"/>
      <c r="BF14" s="264"/>
      <c r="BG14" s="264"/>
      <c r="BH14" s="264"/>
      <c r="BI14" s="264"/>
      <c r="BJ14" s="264"/>
      <c r="BK14" s="264"/>
      <c r="BL14" s="264"/>
      <c r="BM14" s="264"/>
      <c r="BN14" s="264"/>
      <c r="BO14" s="264"/>
      <c r="BP14" s="264"/>
      <c r="BQ14" s="264"/>
      <c r="BR14" s="264"/>
      <c r="BS14" s="264"/>
      <c r="BT14" s="264"/>
      <c r="BU14" s="264"/>
      <c r="BV14" s="264"/>
      <c r="BW14" s="264"/>
    </row>
    <row customHeight="true" ht="17" r="15">
      <c r="A15" s="276" t="str">
        <v>B0XXXXXXV3</v>
      </c>
      <c r="B15" s="275" t="str">
        <v>SK0001EU</v>
      </c>
      <c r="C15" s="271">
        <f>$M$3</f>
      </c>
      <c r="D15" s="271">
        <f>G15+H15+I15+J15+K15*C15+C15*N15</f>
      </c>
      <c r="E15" s="274">
        <f>C15-D15</f>
      </c>
      <c r="F15" s="273">
        <f>E15/C15</f>
      </c>
      <c r="G15" s="271">
        <v>6.27</v>
      </c>
      <c r="H15" s="271">
        <f>C15*L15</f>
      </c>
      <c r="I15" s="271">
        <f>$I$3</f>
      </c>
      <c r="J15" s="271">
        <f>C15*M15</f>
      </c>
      <c r="K15" s="271">
        <v>0.16</v>
      </c>
      <c r="L15" s="272">
        <f>$E$3</f>
      </c>
      <c r="M15" s="277">
        <f>$F$3</f>
      </c>
      <c r="N15" s="272">
        <v>0.05</v>
      </c>
      <c r="O15" s="274">
        <f>(G15+I15)/(1-L15-M15-K15)</f>
      </c>
      <c r="P15" s="264"/>
      <c r="Q15" s="264"/>
      <c r="R15" s="264"/>
      <c r="S15" s="264"/>
      <c r="T15" s="264"/>
      <c r="U15" s="264"/>
      <c r="V15" s="264"/>
      <c r="W15" s="264"/>
      <c r="X15" s="264"/>
      <c r="Y15" s="264"/>
      <c r="Z15" s="264"/>
      <c r="AA15" s="264"/>
      <c r="AB15" s="264"/>
      <c r="AC15" s="264"/>
      <c r="AD15" s="264"/>
      <c r="AE15" s="264"/>
      <c r="AF15" s="264"/>
      <c r="AG15" s="264"/>
      <c r="AH15" s="264"/>
      <c r="AI15" s="264"/>
      <c r="AJ15" s="264"/>
      <c r="AK15" s="264"/>
      <c r="AL15" s="264"/>
      <c r="AM15" s="264"/>
      <c r="AN15" s="264"/>
      <c r="AO15" s="264"/>
      <c r="AP15" s="264"/>
      <c r="AQ15" s="264"/>
      <c r="AR15" s="264"/>
      <c r="AS15" s="264"/>
      <c r="AT15" s="264"/>
      <c r="AU15" s="264"/>
      <c r="AV15" s="264"/>
      <c r="AW15" s="264"/>
      <c r="AX15" s="264"/>
      <c r="AY15" s="264"/>
      <c r="AZ15" s="264"/>
      <c r="BA15" s="264"/>
      <c r="BB15" s="264"/>
      <c r="BC15" s="264"/>
      <c r="BD15" s="264"/>
      <c r="BE15" s="264"/>
      <c r="BF15" s="264"/>
      <c r="BG15" s="264"/>
      <c r="BH15" s="264"/>
      <c r="BI15" s="264"/>
      <c r="BJ15" s="264"/>
      <c r="BK15" s="264"/>
      <c r="BL15" s="264"/>
      <c r="BM15" s="264"/>
      <c r="BN15" s="264"/>
      <c r="BO15" s="264"/>
      <c r="BP15" s="264"/>
      <c r="BQ15" s="264"/>
      <c r="BR15" s="264"/>
      <c r="BS15" s="264"/>
      <c r="BT15" s="264"/>
      <c r="BU15" s="264"/>
      <c r="BV15" s="264"/>
      <c r="BW15" s="264"/>
    </row>
    <row customHeight="true" ht="17" r="16">
      <c r="A16" s="276" t="str">
        <v>B0XXXXXXV3</v>
      </c>
      <c r="B16" s="275" t="str">
        <v>SK0001EU</v>
      </c>
      <c r="C16" s="271">
        <f>$M$3</f>
      </c>
      <c r="D16" s="271">
        <f>G16+H16+I16+J16+K16*C16+C16*N16</f>
      </c>
      <c r="E16" s="274">
        <f>C16-D16</f>
      </c>
      <c r="F16" s="273">
        <f>E16/C16</f>
      </c>
      <c r="G16" s="271">
        <v>6.27</v>
      </c>
      <c r="H16" s="271">
        <f>C16*L16</f>
      </c>
      <c r="I16" s="271">
        <f>$I$3</f>
      </c>
      <c r="J16" s="271">
        <f>C16*M16</f>
      </c>
      <c r="K16" s="271">
        <v>0.16</v>
      </c>
      <c r="L16" s="272">
        <f>$E$3</f>
      </c>
      <c r="M16" s="277">
        <f>$F$3</f>
      </c>
      <c r="N16" s="272">
        <v>0.05</v>
      </c>
      <c r="O16" s="274">
        <f>(G16+I16)/(1-L16-M16-K16)</f>
      </c>
      <c r="P16" s="264"/>
      <c r="Q16" s="264"/>
      <c r="R16" s="264"/>
      <c r="S16" s="264"/>
      <c r="T16" s="264"/>
      <c r="U16" s="264"/>
      <c r="V16" s="264"/>
      <c r="W16" s="264"/>
      <c r="X16" s="264"/>
      <c r="Y16" s="264"/>
      <c r="Z16" s="264"/>
      <c r="AA16" s="264"/>
      <c r="AB16" s="264"/>
      <c r="AC16" s="264"/>
      <c r="AD16" s="264"/>
      <c r="AE16" s="264"/>
      <c r="AF16" s="264"/>
      <c r="AG16" s="264"/>
      <c r="AH16" s="264"/>
      <c r="AI16" s="264"/>
      <c r="AJ16" s="264"/>
      <c r="AK16" s="264"/>
      <c r="AL16" s="264"/>
      <c r="AM16" s="264"/>
      <c r="AN16" s="264"/>
      <c r="AO16" s="264"/>
      <c r="AP16" s="264"/>
      <c r="AQ16" s="264"/>
      <c r="AR16" s="264"/>
      <c r="AS16" s="264"/>
      <c r="AT16" s="264"/>
      <c r="AU16" s="264"/>
      <c r="AV16" s="264"/>
      <c r="AW16" s="264"/>
      <c r="AX16" s="264"/>
      <c r="AY16" s="264"/>
      <c r="AZ16" s="264"/>
      <c r="BA16" s="264"/>
      <c r="BB16" s="264"/>
      <c r="BC16" s="264"/>
      <c r="BD16" s="264"/>
      <c r="BE16" s="264"/>
      <c r="BF16" s="264"/>
      <c r="BG16" s="264"/>
      <c r="BH16" s="264"/>
      <c r="BI16" s="264"/>
      <c r="BJ16" s="264"/>
      <c r="BK16" s="264"/>
      <c r="BL16" s="264"/>
      <c r="BM16" s="264"/>
      <c r="BN16" s="264"/>
      <c r="BO16" s="264"/>
      <c r="BP16" s="264"/>
      <c r="BQ16" s="264"/>
      <c r="BR16" s="264"/>
      <c r="BS16" s="264"/>
      <c r="BT16" s="264"/>
      <c r="BU16" s="264"/>
      <c r="BV16" s="264"/>
      <c r="BW16" s="264"/>
    </row>
    <row customHeight="true" ht="17" r="17">
      <c r="A17" s="276" t="str">
        <v>B0XXXXXXV3</v>
      </c>
      <c r="B17" s="275" t="str">
        <v>SK0001EU</v>
      </c>
      <c r="C17" s="271">
        <f>$M$3</f>
      </c>
      <c r="D17" s="271">
        <f>G17+H17+I17+J17+K17*C17+C17*N17</f>
      </c>
      <c r="E17" s="274">
        <f>C17-D17</f>
      </c>
      <c r="F17" s="273">
        <f>E17/C17</f>
      </c>
      <c r="G17" s="271">
        <v>6.27</v>
      </c>
      <c r="H17" s="271">
        <f>C17*L17</f>
      </c>
      <c r="I17" s="271">
        <f>$I$3</f>
      </c>
      <c r="J17" s="271">
        <f>C17*M17</f>
      </c>
      <c r="K17" s="271">
        <v>0.16</v>
      </c>
      <c r="L17" s="272">
        <f>$E$3</f>
      </c>
      <c r="M17" s="277">
        <f>$F$3</f>
      </c>
      <c r="N17" s="272">
        <v>0.05</v>
      </c>
      <c r="O17" s="274">
        <f>(G17+I17)/(1-L17-M17-K17)</f>
      </c>
      <c r="P17" s="264"/>
      <c r="Q17" s="264"/>
      <c r="R17" s="264"/>
      <c r="S17" s="264"/>
      <c r="T17" s="264"/>
      <c r="U17" s="264"/>
      <c r="V17" s="264"/>
      <c r="W17" s="264"/>
      <c r="X17" s="264"/>
      <c r="Y17" s="264"/>
      <c r="Z17" s="264"/>
      <c r="AA17" s="264"/>
      <c r="AB17" s="264"/>
      <c r="AC17" s="264"/>
      <c r="AD17" s="264"/>
      <c r="AE17" s="264"/>
      <c r="AF17" s="264"/>
      <c r="AG17" s="264"/>
      <c r="AH17" s="264"/>
      <c r="AI17" s="264"/>
      <c r="AJ17" s="264"/>
      <c r="AK17" s="264"/>
      <c r="AL17" s="264"/>
      <c r="AM17" s="264"/>
      <c r="AN17" s="264"/>
      <c r="AO17" s="264"/>
      <c r="AP17" s="264"/>
      <c r="AQ17" s="264"/>
      <c r="AR17" s="264"/>
      <c r="AS17" s="264"/>
      <c r="AT17" s="264"/>
      <c r="AU17" s="264"/>
      <c r="AV17" s="264"/>
      <c r="AW17" s="264"/>
      <c r="AX17" s="264"/>
      <c r="AY17" s="264"/>
      <c r="AZ17" s="264"/>
      <c r="BA17" s="264"/>
      <c r="BB17" s="264"/>
      <c r="BC17" s="264"/>
      <c r="BD17" s="264"/>
      <c r="BE17" s="264"/>
      <c r="BF17" s="264"/>
      <c r="BG17" s="264"/>
      <c r="BH17" s="264"/>
      <c r="BI17" s="264"/>
      <c r="BJ17" s="264"/>
      <c r="BK17" s="264"/>
      <c r="BL17" s="264"/>
      <c r="BM17" s="264"/>
      <c r="BN17" s="264"/>
      <c r="BO17" s="264"/>
      <c r="BP17" s="264"/>
      <c r="BQ17" s="264"/>
      <c r="BR17" s="264"/>
      <c r="BS17" s="264"/>
      <c r="BT17" s="264"/>
      <c r="BU17" s="264"/>
      <c r="BV17" s="264"/>
      <c r="BW17" s="264"/>
    </row>
    <row customHeight="true" ht="17" r="18">
      <c r="A18" s="276" t="str">
        <v>B0XXXXXXV3</v>
      </c>
      <c r="B18" s="275" t="str">
        <v>SK0001EU</v>
      </c>
      <c r="C18" s="271">
        <f>$M$3</f>
      </c>
      <c r="D18" s="271">
        <f>G18+H18+I18+J18+K18*C18+C18*N18</f>
      </c>
      <c r="E18" s="274">
        <f>C18-D18</f>
      </c>
      <c r="F18" s="273">
        <f>E18/C18</f>
      </c>
      <c r="G18" s="271">
        <v>6.27</v>
      </c>
      <c r="H18" s="271">
        <f>C18*L18</f>
      </c>
      <c r="I18" s="271">
        <f>$I$3</f>
      </c>
      <c r="J18" s="271">
        <f>C18*M18</f>
      </c>
      <c r="K18" s="271">
        <v>0.16</v>
      </c>
      <c r="L18" s="272">
        <f>$E$3</f>
      </c>
      <c r="M18" s="277">
        <f>$F$3</f>
      </c>
      <c r="N18" s="272">
        <v>0.05</v>
      </c>
      <c r="O18" s="274">
        <f>(G18+I18)/(1-L18-M18-K18)</f>
      </c>
      <c r="P18" s="264"/>
      <c r="Q18" s="264"/>
      <c r="R18" s="264"/>
      <c r="S18" s="264"/>
      <c r="T18" s="264"/>
      <c r="U18" s="264"/>
      <c r="V18" s="264"/>
      <c r="W18" s="264"/>
      <c r="X18" s="264"/>
      <c r="Y18" s="264"/>
      <c r="Z18" s="264"/>
      <c r="AA18" s="264"/>
      <c r="AB18" s="264"/>
      <c r="AC18" s="264"/>
      <c r="AD18" s="264"/>
      <c r="AE18" s="264"/>
      <c r="AF18" s="264"/>
      <c r="AG18" s="264"/>
      <c r="AH18" s="264"/>
      <c r="AI18" s="264"/>
      <c r="AJ18" s="264"/>
      <c r="AK18" s="264"/>
      <c r="AL18" s="264"/>
      <c r="AM18" s="264"/>
      <c r="AN18" s="264"/>
      <c r="AO18" s="264"/>
      <c r="AP18" s="264"/>
      <c r="AQ18" s="264"/>
      <c r="AR18" s="264"/>
      <c r="AS18" s="264"/>
      <c r="AT18" s="264"/>
      <c r="AU18" s="264"/>
      <c r="AV18" s="264"/>
      <c r="AW18" s="264"/>
      <c r="AX18" s="264"/>
      <c r="AY18" s="264"/>
      <c r="AZ18" s="264"/>
      <c r="BA18" s="264"/>
      <c r="BB18" s="264"/>
      <c r="BC18" s="264"/>
      <c r="BD18" s="264"/>
      <c r="BE18" s="264"/>
      <c r="BF18" s="264"/>
      <c r="BG18" s="264"/>
      <c r="BH18" s="264"/>
      <c r="BI18" s="264"/>
      <c r="BJ18" s="264"/>
      <c r="BK18" s="264"/>
      <c r="BL18" s="264"/>
      <c r="BM18" s="264"/>
      <c r="BN18" s="264"/>
      <c r="BO18" s="264"/>
      <c r="BP18" s="264"/>
      <c r="BQ18" s="264"/>
      <c r="BR18" s="264"/>
      <c r="BS18" s="264"/>
      <c r="BT18" s="264"/>
      <c r="BU18" s="264"/>
      <c r="BV18" s="264"/>
      <c r="BW18" s="264"/>
    </row>
    <row customHeight="true" ht="17" r="19">
      <c r="A19" s="276" t="str">
        <v>B0XXXXXXV3</v>
      </c>
      <c r="B19" s="275" t="str">
        <v>SK0001EU</v>
      </c>
      <c r="C19" s="271">
        <v>116.99</v>
      </c>
      <c r="D19" s="271">
        <f>G19+H19+I19+J19+K19*C19+C19*N19</f>
      </c>
      <c r="E19" s="274">
        <f>C19-D19</f>
      </c>
      <c r="F19" s="273">
        <f>E19/C19</f>
      </c>
      <c r="G19" s="271">
        <v>6.27</v>
      </c>
      <c r="H19" s="271">
        <f>C19*L19</f>
      </c>
      <c r="I19" s="271">
        <f>$I$3</f>
      </c>
      <c r="J19" s="271">
        <f>C19*M19</f>
      </c>
      <c r="K19" s="271">
        <v>0.16</v>
      </c>
      <c r="L19" s="272">
        <f>$E$3</f>
      </c>
      <c r="M19" s="277">
        <f>$F$3</f>
      </c>
      <c r="N19" s="272">
        <v>0</v>
      </c>
      <c r="O19" s="274">
        <f>(G19+I19)/(1-L19-M19-K19)</f>
      </c>
      <c r="P19" s="264"/>
      <c r="Q19" s="264"/>
      <c r="R19" s="264"/>
      <c r="S19" s="264"/>
      <c r="T19" s="264"/>
      <c r="U19" s="264"/>
      <c r="V19" s="264"/>
      <c r="W19" s="264"/>
      <c r="X19" s="264"/>
      <c r="Y19" s="264"/>
      <c r="Z19" s="264"/>
      <c r="AA19" s="264"/>
      <c r="AB19" s="264"/>
      <c r="AC19" s="264"/>
      <c r="AD19" s="264"/>
      <c r="AE19" s="264"/>
      <c r="AF19" s="264"/>
      <c r="AG19" s="264"/>
      <c r="AH19" s="264"/>
      <c r="AI19" s="264"/>
      <c r="AJ19" s="264"/>
      <c r="AK19" s="264"/>
      <c r="AL19" s="264"/>
      <c r="AM19" s="264"/>
      <c r="AN19" s="264"/>
      <c r="AO19" s="264"/>
      <c r="AP19" s="264"/>
      <c r="AQ19" s="264"/>
      <c r="AR19" s="264"/>
      <c r="AS19" s="264"/>
      <c r="AT19" s="264"/>
      <c r="AU19" s="264"/>
      <c r="AV19" s="264"/>
      <c r="AW19" s="264"/>
      <c r="AX19" s="264"/>
      <c r="AY19" s="264"/>
      <c r="AZ19" s="264"/>
      <c r="BA19" s="264"/>
      <c r="BB19" s="264"/>
      <c r="BC19" s="264"/>
      <c r="BD19" s="264"/>
      <c r="BE19" s="264"/>
      <c r="BF19" s="264"/>
      <c r="BG19" s="264"/>
      <c r="BH19" s="264"/>
      <c r="BI19" s="264"/>
      <c r="BJ19" s="264"/>
      <c r="BK19" s="264"/>
      <c r="BL19" s="264"/>
      <c r="BM19" s="264"/>
      <c r="BN19" s="264"/>
      <c r="BO19" s="264"/>
      <c r="BP19" s="264"/>
      <c r="BQ19" s="264"/>
      <c r="BR19" s="264"/>
      <c r="BS19" s="264"/>
      <c r="BT19" s="264"/>
      <c r="BU19" s="264"/>
      <c r="BV19" s="264"/>
      <c r="BW19" s="264"/>
    </row>
    <row customHeight="true" ht="17" r="20">
      <c r="A20" s="276" t="str">
        <v>B0XXXXXXV3</v>
      </c>
      <c r="B20" s="275" t="str">
        <v>SK0001EU</v>
      </c>
      <c r="C20" s="271">
        <v>116.99</v>
      </c>
      <c r="D20" s="271">
        <f>G20+H20+I20+J20+K20*C20+C20*N20</f>
      </c>
      <c r="E20" s="274">
        <f>C20-D20</f>
      </c>
      <c r="F20" s="273">
        <f>E20/C20</f>
      </c>
      <c r="G20" s="271">
        <v>6.27</v>
      </c>
      <c r="H20" s="271">
        <f>C20*L20</f>
      </c>
      <c r="I20" s="271">
        <f>$I$3</f>
      </c>
      <c r="J20" s="271">
        <f>C20*M20</f>
      </c>
      <c r="K20" s="271">
        <v>0.16</v>
      </c>
      <c r="L20" s="272">
        <f>$E$3</f>
      </c>
      <c r="M20" s="277">
        <f>$F$3</f>
      </c>
      <c r="N20" s="272">
        <v>0</v>
      </c>
      <c r="O20" s="274">
        <f>(G20+I20)/(1-L20-M20-K20)</f>
      </c>
      <c r="P20" s="264"/>
      <c r="Q20" s="264"/>
      <c r="R20" s="264"/>
      <c r="S20" s="264"/>
      <c r="T20" s="264"/>
      <c r="U20" s="264"/>
      <c r="V20" s="264"/>
      <c r="W20" s="264"/>
      <c r="X20" s="264"/>
      <c r="Y20" s="264"/>
      <c r="Z20" s="264"/>
      <c r="AA20" s="264"/>
      <c r="AB20" s="264"/>
      <c r="AC20" s="264"/>
      <c r="AD20" s="264"/>
      <c r="AE20" s="264"/>
      <c r="AF20" s="264"/>
      <c r="AG20" s="264"/>
      <c r="AH20" s="264"/>
      <c r="AI20" s="264"/>
      <c r="AJ20" s="264"/>
      <c r="AK20" s="264"/>
      <c r="AL20" s="264"/>
      <c r="AM20" s="264"/>
      <c r="AN20" s="264"/>
      <c r="AO20" s="264"/>
      <c r="AP20" s="264"/>
      <c r="AQ20" s="264"/>
      <c r="AR20" s="264"/>
      <c r="AS20" s="264"/>
      <c r="AT20" s="264"/>
      <c r="AU20" s="264"/>
      <c r="AV20" s="264"/>
      <c r="AW20" s="264"/>
      <c r="AX20" s="264"/>
      <c r="AY20" s="264"/>
      <c r="AZ20" s="264"/>
      <c r="BA20" s="264"/>
      <c r="BB20" s="264"/>
      <c r="BC20" s="264"/>
      <c r="BD20" s="264"/>
      <c r="BE20" s="264"/>
      <c r="BF20" s="264"/>
      <c r="BG20" s="264"/>
      <c r="BH20" s="264"/>
      <c r="BI20" s="264"/>
      <c r="BJ20" s="264"/>
      <c r="BK20" s="264"/>
      <c r="BL20" s="264"/>
      <c r="BM20" s="264"/>
      <c r="BN20" s="264"/>
      <c r="BO20" s="264"/>
      <c r="BP20" s="264"/>
      <c r="BQ20" s="264"/>
      <c r="BR20" s="264"/>
      <c r="BS20" s="264"/>
      <c r="BT20" s="264"/>
      <c r="BU20" s="264"/>
      <c r="BV20" s="264"/>
      <c r="BW20" s="264"/>
    </row>
    <row customHeight="true" ht="17" r="21">
      <c r="A21" s="276" t="str">
        <v>B0XXXXXXV3</v>
      </c>
      <c r="B21" s="275" t="str">
        <v>SK0001EU</v>
      </c>
      <c r="C21" s="271">
        <v>116.99</v>
      </c>
      <c r="D21" s="271">
        <f>G21+H21+I21+J21+K21*C21+C21*N21</f>
      </c>
      <c r="E21" s="274">
        <f>C21-D21</f>
      </c>
      <c r="F21" s="273">
        <f>E21/C21</f>
      </c>
      <c r="G21" s="271">
        <v>6.27</v>
      </c>
      <c r="H21" s="271">
        <f>C21*L21</f>
      </c>
      <c r="I21" s="271">
        <f>$I$3</f>
      </c>
      <c r="J21" s="271">
        <f>C21*M21</f>
      </c>
      <c r="K21" s="271">
        <v>0.16</v>
      </c>
      <c r="L21" s="272">
        <f>$E$3</f>
      </c>
      <c r="M21" s="277">
        <f>$F$3</f>
      </c>
      <c r="N21" s="272">
        <v>0</v>
      </c>
      <c r="O21" s="274">
        <f>(G21+I21)/(1-L21-M21-K21)</f>
      </c>
      <c r="P21" s="264"/>
      <c r="Q21" s="264"/>
      <c r="R21" s="264"/>
      <c r="S21" s="264"/>
      <c r="T21" s="264"/>
      <c r="U21" s="264"/>
      <c r="V21" s="264"/>
      <c r="W21" s="264"/>
      <c r="X21" s="264"/>
      <c r="Y21" s="264"/>
      <c r="Z21" s="264"/>
      <c r="AA21" s="264"/>
      <c r="AB21" s="264"/>
      <c r="AC21" s="264"/>
      <c r="AD21" s="264"/>
      <c r="AE21" s="264"/>
      <c r="AF21" s="264"/>
      <c r="AG21" s="264"/>
      <c r="AH21" s="264"/>
      <c r="AI21" s="264"/>
      <c r="AJ21" s="264"/>
      <c r="AK21" s="264"/>
      <c r="AL21" s="264"/>
      <c r="AM21" s="264"/>
      <c r="AN21" s="264"/>
      <c r="AO21" s="264"/>
      <c r="AP21" s="264"/>
      <c r="AQ21" s="264"/>
      <c r="AR21" s="264"/>
      <c r="AS21" s="264"/>
      <c r="AT21" s="264"/>
      <c r="AU21" s="264"/>
      <c r="AV21" s="264"/>
      <c r="AW21" s="264"/>
      <c r="AX21" s="264"/>
      <c r="AY21" s="264"/>
      <c r="AZ21" s="264"/>
      <c r="BA21" s="264"/>
      <c r="BB21" s="264"/>
      <c r="BC21" s="264"/>
      <c r="BD21" s="264"/>
      <c r="BE21" s="264"/>
      <c r="BF21" s="264"/>
      <c r="BG21" s="264"/>
      <c r="BH21" s="264"/>
      <c r="BI21" s="264"/>
      <c r="BJ21" s="264"/>
      <c r="BK21" s="264"/>
      <c r="BL21" s="264"/>
      <c r="BM21" s="264"/>
      <c r="BN21" s="264"/>
      <c r="BO21" s="264"/>
      <c r="BP21" s="264"/>
      <c r="BQ21" s="264"/>
      <c r="BR21" s="264"/>
      <c r="BS21" s="264"/>
      <c r="BT21" s="264"/>
      <c r="BU21" s="264"/>
      <c r="BV21" s="264"/>
      <c r="BW21" s="264"/>
    </row>
    <row customHeight="true" ht="17" r="22">
      <c r="A22" s="268"/>
      <c r="B22" s="269"/>
      <c r="C22" s="266"/>
      <c r="D22" s="266"/>
      <c r="E22" s="265"/>
      <c r="F22" s="267"/>
      <c r="G22" s="266"/>
      <c r="H22" s="266"/>
      <c r="I22" s="266"/>
      <c r="J22" s="266"/>
      <c r="K22" s="266"/>
      <c r="L22" s="263"/>
      <c r="M22" s="270"/>
      <c r="N22" s="263"/>
      <c r="O22" s="265"/>
      <c r="P22" s="264"/>
      <c r="Q22" s="264"/>
      <c r="R22" s="264"/>
      <c r="S22" s="264"/>
      <c r="T22" s="264"/>
      <c r="U22" s="264"/>
      <c r="V22" s="264"/>
      <c r="W22" s="264"/>
      <c r="X22" s="264"/>
      <c r="Y22" s="264"/>
      <c r="Z22" s="264"/>
      <c r="AA22" s="264"/>
      <c r="AB22" s="264"/>
      <c r="AC22" s="264"/>
      <c r="AD22" s="264"/>
      <c r="AE22" s="264"/>
      <c r="AF22" s="264"/>
      <c r="AG22" s="264"/>
      <c r="AH22" s="264"/>
      <c r="AI22" s="264"/>
      <c r="AJ22" s="264"/>
      <c r="AK22" s="264"/>
      <c r="AL22" s="264"/>
      <c r="AM22" s="264"/>
      <c r="AN22" s="264"/>
      <c r="AO22" s="264"/>
      <c r="AP22" s="264"/>
      <c r="AQ22" s="264"/>
      <c r="AR22" s="264"/>
      <c r="AS22" s="264"/>
      <c r="AT22" s="264"/>
      <c r="AU22" s="264"/>
      <c r="AV22" s="264"/>
      <c r="AW22" s="264"/>
      <c r="AX22" s="264"/>
      <c r="AY22" s="264"/>
      <c r="AZ22" s="264"/>
      <c r="BA22" s="264"/>
      <c r="BB22" s="264"/>
      <c r="BC22" s="264"/>
      <c r="BD22" s="264"/>
      <c r="BE22" s="264"/>
      <c r="BF22" s="264"/>
      <c r="BG22" s="264"/>
      <c r="BH22" s="264"/>
      <c r="BI22" s="264"/>
      <c r="BJ22" s="264"/>
      <c r="BK22" s="264"/>
      <c r="BL22" s="264"/>
      <c r="BM22" s="264"/>
      <c r="BN22" s="264"/>
      <c r="BO22" s="264"/>
      <c r="BP22" s="264"/>
      <c r="BQ22" s="264"/>
      <c r="BR22" s="264"/>
      <c r="BS22" s="264"/>
      <c r="BT22" s="264"/>
      <c r="BU22" s="264"/>
      <c r="BV22" s="264"/>
      <c r="BW22" s="264"/>
    </row>
    <row customHeight="true" ht="17" r="23">
      <c r="A23" s="230"/>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row>
    <row customHeight="true" ht="15" r="24">
      <c r="A24" s="230" t="str">
        <v>ROI测算</v>
      </c>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row>
    <row customHeight="true" ht="35" r="25">
      <c r="A25" s="261" t="str">
        <v>月份</v>
      </c>
      <c r="B25" s="257" t="str">
        <v>售价</v>
      </c>
      <c r="C25" s="257" t="str">
        <v>月销量</v>
      </c>
      <c r="D25" s="259" t="str">
        <v>总销售额</v>
      </c>
      <c r="E25" s="259" t="str">
        <v>MC</v>
      </c>
      <c r="F25" s="259" t="str">
        <v>佣金</v>
      </c>
      <c r="G25" s="259" t="str">
        <v>配送费</v>
      </c>
      <c r="H25" s="257" t="s">
        <v>10</v>
      </c>
      <c r="I25" s="257" t="str">
        <v>广告费</v>
      </c>
      <c r="J25" s="257" t="str">
        <v>促销费</v>
      </c>
      <c r="K25" s="257" t="str">
        <v>VAT</v>
      </c>
      <c r="L25" s="259" t="str">
        <v>成本总计</v>
      </c>
      <c r="M25" s="257" t="s">
        <v>11</v>
      </c>
      <c r="N25" s="257" t="str">
        <v>回款率</v>
      </c>
      <c r="O25" s="257" t="s">
        <v>12</v>
      </c>
      <c r="P25" s="262" t="str">
        <v>净毛利率</v>
      </c>
      <c r="Q25" s="257" t="str">
        <v>累计净毛利</v>
      </c>
      <c r="R25" s="260"/>
      <c r="S25" s="260"/>
      <c r="T25" s="258"/>
      <c r="U25" s="258"/>
      <c r="V25" s="258"/>
      <c r="W25" s="258"/>
      <c r="X25" s="258"/>
      <c r="Y25" s="258"/>
      <c r="Z25" s="258"/>
      <c r="AA25" s="258"/>
      <c r="AB25" s="258"/>
      <c r="AC25" s="258"/>
      <c r="AD25" s="258"/>
      <c r="AE25" s="258"/>
      <c r="AF25" s="258"/>
      <c r="AG25" s="258"/>
      <c r="AH25" s="258"/>
      <c r="AI25" s="258"/>
      <c r="AJ25" s="258"/>
      <c r="AK25" s="258"/>
      <c r="AL25" s="258"/>
      <c r="AM25" s="258"/>
      <c r="AN25" s="258"/>
      <c r="AO25" s="258"/>
      <c r="AP25" s="258"/>
      <c r="AQ25" s="258"/>
      <c r="AR25" s="258"/>
      <c r="AS25" s="258"/>
      <c r="AT25" s="258"/>
      <c r="AU25" s="258"/>
      <c r="AV25" s="258"/>
      <c r="AW25" s="258"/>
      <c r="AX25" s="258"/>
      <c r="AY25" s="258"/>
      <c r="AZ25" s="258"/>
      <c r="BA25" s="258"/>
      <c r="BB25" s="258"/>
      <c r="BC25" s="258"/>
      <c r="BD25" s="258"/>
      <c r="BE25" s="258"/>
      <c r="BF25" s="258"/>
      <c r="BG25" s="258"/>
      <c r="BH25" s="258"/>
      <c r="BI25" s="258"/>
      <c r="BJ25" s="258"/>
      <c r="BK25" s="258"/>
      <c r="BL25" s="258"/>
      <c r="BM25" s="258"/>
      <c r="BN25" s="258"/>
      <c r="BO25" s="258"/>
      <c r="BP25" s="258"/>
      <c r="BQ25" s="258"/>
      <c r="BR25" s="258"/>
      <c r="BS25" s="258"/>
      <c r="BT25" s="258"/>
      <c r="BU25" s="258"/>
      <c r="BV25" s="258"/>
      <c r="BW25" s="258"/>
    </row>
    <row customHeight="true" ht="17" r="26">
      <c r="A26" s="249" t="str">
        <v>3月</v>
      </c>
      <c r="B26" s="247">
        <f>119.99</f>
      </c>
      <c r="C26" s="252">
        <f>N3</f>
      </c>
      <c r="D26" s="252">
        <f>O3</f>
      </c>
      <c r="E26" s="252">
        <f>P3</f>
      </c>
      <c r="F26" s="252">
        <f>Q3</f>
      </c>
      <c r="G26" s="252">
        <f>R3</f>
      </c>
      <c r="H26" s="252">
        <f>S3</f>
      </c>
      <c r="I26" s="255">
        <f>T3</f>
      </c>
      <c r="J26" s="247">
        <f>U3</f>
      </c>
      <c r="K26" s="255">
        <f>V3</f>
      </c>
      <c r="L26" s="252">
        <f>W3</f>
      </c>
      <c r="M26" s="254">
        <f>X3</f>
      </c>
      <c r="N26" s="246">
        <f>Y3</f>
      </c>
      <c r="O26" s="252">
        <f>Z3</f>
      </c>
      <c r="P26" s="248">
        <f>AA3</f>
      </c>
      <c r="Q26" s="251">
        <f>O26</f>
      </c>
      <c r="R26" s="256"/>
      <c r="S26" s="245"/>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row>
    <row customHeight="true" ht="17" r="27">
      <c r="A27" s="249" t="str">
        <v>4月</v>
      </c>
      <c r="B27" s="247">
        <v>119.99</v>
      </c>
      <c r="C27" s="252">
        <v>1500</v>
      </c>
      <c r="D27" s="252">
        <f>AE4</f>
      </c>
      <c r="E27" s="252">
        <f>AF4</f>
      </c>
      <c r="F27" s="252">
        <f>AG4</f>
      </c>
      <c r="G27" s="252">
        <f>AH4</f>
      </c>
      <c r="H27" s="252">
        <f>AI4</f>
      </c>
      <c r="I27" s="252">
        <f>AJ4</f>
      </c>
      <c r="J27" s="247">
        <f>AK4</f>
      </c>
      <c r="K27" s="252">
        <f>AL4</f>
      </c>
      <c r="L27" s="252">
        <f>AM4</f>
      </c>
      <c r="M27" s="252">
        <f>AN4</f>
      </c>
      <c r="N27" s="246">
        <f>AO4</f>
      </c>
      <c r="O27" s="247">
        <f>AP4</f>
      </c>
      <c r="P27" s="248">
        <f>AQ4</f>
      </c>
      <c r="Q27" s="251">
        <f>SUM(O26:O27)</f>
      </c>
      <c r="R27" s="256"/>
      <c r="S27" s="245"/>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row>
    <row customHeight="true" ht="17" r="28">
      <c r="A28" s="249" t="str">
        <v>5月</v>
      </c>
      <c r="B28" s="247">
        <v>116.99</v>
      </c>
      <c r="C28" s="247">
        <v>1700</v>
      </c>
      <c r="D28" s="252">
        <f>AU4</f>
      </c>
      <c r="E28" s="252">
        <f>AV4</f>
      </c>
      <c r="F28" s="252">
        <f>AW4</f>
      </c>
      <c r="G28" s="252">
        <f>AX4</f>
      </c>
      <c r="H28" s="252">
        <f>AY4</f>
      </c>
      <c r="I28" s="252">
        <f>AZ4</f>
      </c>
      <c r="J28" s="252">
        <f>BA4</f>
      </c>
      <c r="K28" s="252">
        <f>BB4</f>
      </c>
      <c r="L28" s="252">
        <f>BC4</f>
      </c>
      <c r="M28" s="252">
        <f>BD4</f>
      </c>
      <c r="N28" s="246">
        <f>BE4</f>
      </c>
      <c r="O28" s="252">
        <f>BF4</f>
      </c>
      <c r="P28" s="248">
        <f>BG4</f>
      </c>
      <c r="Q28" s="251">
        <f>SUM(O26:O28)</f>
      </c>
      <c r="R28" s="256"/>
      <c r="S28" s="245"/>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row>
    <row customHeight="true" ht="17" r="29">
      <c r="A29" s="249" t="str">
        <v>6月</v>
      </c>
      <c r="B29" s="247">
        <v>116.99</v>
      </c>
      <c r="C29" s="252">
        <v>1500</v>
      </c>
      <c r="D29" s="247">
        <v>25485</v>
      </c>
      <c r="E29" s="247">
        <v>8430</v>
      </c>
      <c r="F29" s="247">
        <v>3822.75</v>
      </c>
      <c r="G29" s="247">
        <v>2805</v>
      </c>
      <c r="H29" s="247">
        <v>561.75</v>
      </c>
      <c r="I29" s="247">
        <v>1401.675</v>
      </c>
      <c r="J29" s="247">
        <v>2038.8</v>
      </c>
      <c r="K29" s="247">
        <v>4247.5</v>
      </c>
      <c r="L29" s="247">
        <v>23307.475</v>
      </c>
      <c r="M29" s="247">
        <v>13208.075</v>
      </c>
      <c r="N29" s="246">
        <v>0.518268589366294</v>
      </c>
      <c r="O29" s="247">
        <v>2177.525</v>
      </c>
      <c r="P29" s="248">
        <v>0.0854433980773003</v>
      </c>
      <c r="Q29" s="251">
        <f>SUM(O26:O29)</f>
      </c>
      <c r="R29" s="250"/>
      <c r="S29" s="245"/>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row>
    <row customHeight="true" ht="17" r="30">
      <c r="A30" s="249" t="str">
        <v>7月</v>
      </c>
      <c r="B30" s="247">
        <v>119.99</v>
      </c>
      <c r="C30" s="252">
        <v>1500</v>
      </c>
      <c r="D30" s="247">
        <v>25485</v>
      </c>
      <c r="E30" s="247">
        <v>8430</v>
      </c>
      <c r="F30" s="247">
        <v>3822.75</v>
      </c>
      <c r="G30" s="247">
        <v>2805</v>
      </c>
      <c r="H30" s="247">
        <v>561.75</v>
      </c>
      <c r="I30" s="247">
        <v>1401.675</v>
      </c>
      <c r="J30" s="247">
        <v>2038.8</v>
      </c>
      <c r="K30" s="247">
        <v>4247.5</v>
      </c>
      <c r="L30" s="247">
        <v>23307.475</v>
      </c>
      <c r="M30" s="247">
        <v>13208.075</v>
      </c>
      <c r="N30" s="246">
        <v>0.518268589366294</v>
      </c>
      <c r="O30" s="247">
        <v>2177.525</v>
      </c>
      <c r="P30" s="248">
        <v>0.0854433980773003</v>
      </c>
      <c r="Q30" s="251">
        <f>SUM(O27:O30)</f>
      </c>
      <c r="R30" s="250"/>
      <c r="S30" s="245"/>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row>
    <row customHeight="true" ht="17" r="31">
      <c r="A31" s="253" t="str">
        <v>8月</v>
      </c>
      <c r="B31" s="247">
        <v>119.99</v>
      </c>
      <c r="C31" s="252">
        <v>1500</v>
      </c>
      <c r="D31" s="247">
        <v>25485</v>
      </c>
      <c r="E31" s="247">
        <v>8430</v>
      </c>
      <c r="F31" s="247">
        <v>3822.75</v>
      </c>
      <c r="G31" s="247">
        <v>2805</v>
      </c>
      <c r="H31" s="247">
        <v>561.75</v>
      </c>
      <c r="I31" s="247">
        <v>1401.675</v>
      </c>
      <c r="J31" s="247">
        <v>2038.8</v>
      </c>
      <c r="K31" s="247">
        <v>4247.5</v>
      </c>
      <c r="L31" s="247">
        <v>23307.475</v>
      </c>
      <c r="M31" s="247">
        <v>13208.075</v>
      </c>
      <c r="N31" s="246">
        <v>0.518268589366294</v>
      </c>
      <c r="O31" s="247">
        <v>2177.525</v>
      </c>
      <c r="P31" s="248">
        <v>0.0854433980773003</v>
      </c>
      <c r="Q31" s="251">
        <f>SUM(O28:O31)</f>
      </c>
      <c r="R31" s="250"/>
      <c r="S31" s="245"/>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row>
    <row customHeight="true" ht="17" r="32">
      <c r="A32" s="249" t="str">
        <v>9月</v>
      </c>
      <c r="B32" s="247">
        <v>119.99</v>
      </c>
      <c r="C32" s="252">
        <v>1500</v>
      </c>
      <c r="D32" s="247">
        <v>25485</v>
      </c>
      <c r="E32" s="247">
        <v>8430</v>
      </c>
      <c r="F32" s="247">
        <v>3822.75</v>
      </c>
      <c r="G32" s="247">
        <v>2805</v>
      </c>
      <c r="H32" s="247">
        <v>561.75</v>
      </c>
      <c r="I32" s="247">
        <v>1401.675</v>
      </c>
      <c r="J32" s="247">
        <v>2038.8</v>
      </c>
      <c r="K32" s="247">
        <v>4247.5</v>
      </c>
      <c r="L32" s="247">
        <v>23307.475</v>
      </c>
      <c r="M32" s="247">
        <v>13208.075</v>
      </c>
      <c r="N32" s="246">
        <v>0.518268589366294</v>
      </c>
      <c r="O32" s="247">
        <v>2177.525</v>
      </c>
      <c r="P32" s="248">
        <v>0.0854433980773003</v>
      </c>
      <c r="Q32" s="251">
        <f>SUM(O29:O32)</f>
      </c>
      <c r="R32" s="250"/>
      <c r="S32" s="245"/>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row>
    <row customHeight="true" ht="17" r="33">
      <c r="A33" s="249" t="str">
        <v>10月</v>
      </c>
      <c r="B33" s="247">
        <v>119.99</v>
      </c>
      <c r="C33" s="252">
        <v>1500</v>
      </c>
      <c r="D33" s="247">
        <v>25485</v>
      </c>
      <c r="E33" s="247">
        <v>8430</v>
      </c>
      <c r="F33" s="247">
        <v>3822.75</v>
      </c>
      <c r="G33" s="247">
        <v>2805</v>
      </c>
      <c r="H33" s="247">
        <v>561.75</v>
      </c>
      <c r="I33" s="247">
        <v>1401.675</v>
      </c>
      <c r="J33" s="247">
        <v>2038.8</v>
      </c>
      <c r="K33" s="247">
        <v>4247.5</v>
      </c>
      <c r="L33" s="247">
        <v>23307.475</v>
      </c>
      <c r="M33" s="247">
        <v>13208.075</v>
      </c>
      <c r="N33" s="246">
        <v>0.518268589366294</v>
      </c>
      <c r="O33" s="247">
        <v>2177.525</v>
      </c>
      <c r="P33" s="248">
        <v>0.0854433980773003</v>
      </c>
      <c r="Q33" s="251">
        <f>SUM(O30:O33)</f>
      </c>
      <c r="R33" s="250"/>
      <c r="S33" s="245"/>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row>
    <row customHeight="true" ht="17" r="34">
      <c r="A34" s="249" t="str">
        <v>11月</v>
      </c>
      <c r="B34" s="247">
        <v>119.99</v>
      </c>
      <c r="C34" s="252">
        <v>1500</v>
      </c>
      <c r="D34" s="247">
        <v>25485</v>
      </c>
      <c r="E34" s="247">
        <v>8430</v>
      </c>
      <c r="F34" s="247">
        <v>3822.75</v>
      </c>
      <c r="G34" s="247">
        <v>2805</v>
      </c>
      <c r="H34" s="247">
        <v>561.75</v>
      </c>
      <c r="I34" s="247">
        <v>1401.675</v>
      </c>
      <c r="J34" s="247">
        <v>2038.8</v>
      </c>
      <c r="K34" s="247">
        <v>4247.5</v>
      </c>
      <c r="L34" s="247">
        <v>23307.475</v>
      </c>
      <c r="M34" s="247">
        <v>13208.075</v>
      </c>
      <c r="N34" s="246">
        <v>0.518268589366294</v>
      </c>
      <c r="O34" s="247">
        <v>2177.525</v>
      </c>
      <c r="P34" s="248">
        <v>0.0854433980773003</v>
      </c>
      <c r="Q34" s="251">
        <f>SUM(O31:O34)</f>
      </c>
      <c r="R34" s="250"/>
      <c r="S34" s="245"/>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row>
    <row customHeight="true" ht="17" r="35">
      <c r="A35" s="249" t="str">
        <v>12月</v>
      </c>
      <c r="B35" s="247">
        <v>119.99</v>
      </c>
      <c r="C35" s="252">
        <v>1500</v>
      </c>
      <c r="D35" s="247">
        <v>25485</v>
      </c>
      <c r="E35" s="247">
        <v>8430</v>
      </c>
      <c r="F35" s="247">
        <v>3822.75</v>
      </c>
      <c r="G35" s="247">
        <v>2805</v>
      </c>
      <c r="H35" s="247">
        <v>561.75</v>
      </c>
      <c r="I35" s="247">
        <v>1401.675</v>
      </c>
      <c r="J35" s="247">
        <v>2038.8</v>
      </c>
      <c r="K35" s="247">
        <v>4247.5</v>
      </c>
      <c r="L35" s="247">
        <v>23307.475</v>
      </c>
      <c r="M35" s="247">
        <v>13208.075</v>
      </c>
      <c r="N35" s="246">
        <v>0.518268589366294</v>
      </c>
      <c r="O35" s="247">
        <v>2177.525</v>
      </c>
      <c r="P35" s="248">
        <v>0.0854433980773003</v>
      </c>
      <c r="Q35" s="251">
        <f>SUM(O32:O35)</f>
      </c>
      <c r="R35" s="250"/>
      <c r="S35" s="245"/>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row>
    <row r="36">
      <c r="A36" s="249"/>
      <c r="B36" s="247"/>
      <c r="C36" s="252"/>
      <c r="D36" s="247"/>
      <c r="E36" s="247"/>
      <c r="F36" s="247"/>
      <c r="G36" s="247"/>
      <c r="H36" s="247"/>
      <c r="I36" s="247"/>
      <c r="J36" s="247"/>
      <c r="K36" s="247"/>
      <c r="L36" s="247"/>
      <c r="M36" s="247"/>
      <c r="N36" s="246"/>
      <c r="O36" s="247"/>
      <c r="P36" s="248"/>
      <c r="Q36" s="251"/>
      <c r="R36" s="250"/>
      <c r="S36" s="245"/>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row>
    <row r="37">
      <c r="A37" s="249"/>
      <c r="B37" s="247"/>
      <c r="C37" s="252"/>
      <c r="D37" s="247"/>
      <c r="E37" s="247"/>
      <c r="F37" s="247"/>
      <c r="G37" s="247"/>
      <c r="H37" s="247"/>
      <c r="I37" s="247"/>
      <c r="J37" s="247"/>
      <c r="K37" s="247"/>
      <c r="L37" s="247"/>
      <c r="M37" s="247"/>
      <c r="N37" s="246"/>
      <c r="O37" s="247"/>
      <c r="P37" s="248"/>
      <c r="Q37" s="251"/>
      <c r="R37" s="250"/>
      <c r="S37" s="245"/>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row>
    <row r="38">
      <c r="A38" s="249"/>
      <c r="B38" s="247"/>
      <c r="C38" s="252"/>
      <c r="D38" s="247"/>
      <c r="E38" s="247"/>
      <c r="F38" s="247"/>
      <c r="G38" s="247"/>
      <c r="H38" s="247"/>
      <c r="I38" s="247"/>
      <c r="J38" s="247"/>
      <c r="K38" s="247"/>
      <c r="L38" s="247"/>
      <c r="M38" s="247"/>
      <c r="N38" s="246"/>
      <c r="O38" s="247"/>
      <c r="P38" s="248"/>
      <c r="Q38" s="251"/>
      <c r="R38" s="250"/>
      <c r="S38" s="245"/>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row>
    <row r="39">
      <c r="A39" s="249"/>
      <c r="B39" s="247"/>
      <c r="C39" s="252"/>
      <c r="D39" s="247"/>
      <c r="E39" s="247"/>
      <c r="F39" s="247"/>
      <c r="G39" s="247"/>
      <c r="H39" s="247"/>
      <c r="I39" s="247"/>
      <c r="J39" s="247"/>
      <c r="K39" s="247"/>
      <c r="L39" s="247"/>
      <c r="M39" s="247"/>
      <c r="N39" s="246"/>
      <c r="O39" s="247"/>
      <c r="P39" s="248"/>
      <c r="Q39" s="251"/>
      <c r="R39" s="250"/>
      <c r="S39" s="245"/>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row>
    <row r="40">
      <c r="A40" s="249"/>
      <c r="B40" s="247"/>
      <c r="C40" s="252"/>
      <c r="D40" s="247"/>
      <c r="E40" s="247"/>
      <c r="F40" s="247"/>
      <c r="G40" s="247"/>
      <c r="H40" s="247"/>
      <c r="I40" s="247"/>
      <c r="J40" s="247"/>
      <c r="K40" s="247"/>
      <c r="L40" s="247"/>
      <c r="M40" s="247"/>
      <c r="N40" s="246"/>
      <c r="O40" s="247"/>
      <c r="P40" s="248"/>
      <c r="Q40" s="251"/>
      <c r="R40" s="250"/>
      <c r="S40" s="245"/>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row>
    <row r="41">
      <c r="A41" s="249"/>
      <c r="B41" s="247"/>
      <c r="C41" s="252"/>
      <c r="D41" s="247"/>
      <c r="E41" s="247"/>
      <c r="F41" s="247"/>
      <c r="G41" s="247"/>
      <c r="H41" s="247"/>
      <c r="I41" s="247"/>
      <c r="J41" s="247"/>
      <c r="K41" s="247"/>
      <c r="L41" s="247"/>
      <c r="M41" s="247"/>
      <c r="N41" s="246"/>
      <c r="O41" s="247"/>
      <c r="P41" s="248"/>
      <c r="Q41" s="251"/>
      <c r="R41" s="250"/>
      <c r="S41" s="245"/>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row>
    <row r="42">
      <c r="A42" s="249"/>
      <c r="B42" s="247"/>
      <c r="C42" s="252"/>
      <c r="D42" s="247"/>
      <c r="E42" s="247"/>
      <c r="F42" s="247"/>
      <c r="G42" s="247"/>
      <c r="H42" s="247"/>
      <c r="I42" s="247"/>
      <c r="J42" s="247"/>
      <c r="K42" s="247"/>
      <c r="L42" s="247"/>
      <c r="M42" s="247"/>
      <c r="N42" s="246"/>
      <c r="O42" s="247"/>
      <c r="P42" s="248"/>
      <c r="Q42" s="251"/>
      <c r="R42" s="250"/>
      <c r="S42" s="245"/>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row>
    <row r="43">
      <c r="A43" s="249"/>
      <c r="B43" s="247"/>
      <c r="C43" s="252"/>
      <c r="D43" s="247"/>
      <c r="E43" s="247"/>
      <c r="F43" s="247"/>
      <c r="G43" s="247"/>
      <c r="H43" s="247"/>
      <c r="I43" s="247"/>
      <c r="J43" s="247"/>
      <c r="K43" s="247"/>
      <c r="L43" s="247"/>
      <c r="M43" s="247"/>
      <c r="N43" s="246"/>
      <c r="O43" s="247"/>
      <c r="P43" s="248"/>
      <c r="Q43" s="251"/>
      <c r="R43" s="250"/>
      <c r="S43" s="245"/>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row>
    <row r="44">
      <c r="A44" s="249"/>
      <c r="B44" s="247"/>
      <c r="C44" s="252"/>
      <c r="D44" s="247"/>
      <c r="E44" s="247"/>
      <c r="F44" s="247"/>
      <c r="G44" s="247"/>
      <c r="H44" s="247"/>
      <c r="I44" s="247"/>
      <c r="J44" s="247"/>
      <c r="K44" s="247"/>
      <c r="L44" s="247"/>
      <c r="M44" s="247"/>
      <c r="N44" s="246"/>
      <c r="O44" s="247"/>
      <c r="P44" s="248"/>
      <c r="Q44" s="251"/>
      <c r="R44" s="250"/>
      <c r="S44" s="245"/>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row>
    <row r="45">
      <c r="A45" s="249"/>
      <c r="B45" s="247"/>
      <c r="C45" s="252"/>
      <c r="D45" s="247"/>
      <c r="E45" s="247"/>
      <c r="F45" s="247"/>
      <c r="G45" s="247"/>
      <c r="H45" s="247"/>
      <c r="I45" s="247"/>
      <c r="J45" s="247"/>
      <c r="K45" s="247"/>
      <c r="L45" s="247"/>
      <c r="M45" s="247"/>
      <c r="N45" s="246"/>
      <c r="O45" s="247"/>
      <c r="P45" s="248"/>
      <c r="Q45" s="251"/>
      <c r="R45" s="250"/>
      <c r="S45" s="245"/>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row>
    <row r="46">
      <c r="A46" s="249"/>
      <c r="B46" s="247"/>
      <c r="C46" s="252"/>
      <c r="D46" s="247"/>
      <c r="E46" s="247"/>
      <c r="F46" s="247"/>
      <c r="G46" s="247"/>
      <c r="H46" s="247"/>
      <c r="I46" s="247"/>
      <c r="J46" s="247"/>
      <c r="K46" s="247"/>
      <c r="L46" s="247"/>
      <c r="M46" s="247"/>
      <c r="N46" s="246"/>
      <c r="O46" s="247"/>
      <c r="P46" s="248"/>
      <c r="Q46" s="251"/>
      <c r="R46" s="250"/>
      <c r="S46" s="245"/>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row>
    <row r="47">
      <c r="A47" s="249"/>
      <c r="B47" s="247"/>
      <c r="C47" s="252"/>
      <c r="D47" s="247"/>
      <c r="E47" s="247"/>
      <c r="F47" s="247"/>
      <c r="G47" s="247"/>
      <c r="H47" s="247"/>
      <c r="I47" s="247"/>
      <c r="J47" s="247"/>
      <c r="K47" s="247"/>
      <c r="L47" s="247"/>
      <c r="M47" s="247"/>
      <c r="N47" s="246"/>
      <c r="O47" s="247"/>
      <c r="P47" s="248"/>
      <c r="Q47" s="251"/>
      <c r="R47" s="250"/>
      <c r="S47" s="245"/>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6"/>
      <c r="BP47" s="126"/>
      <c r="BQ47" s="126"/>
      <c r="BR47" s="126"/>
      <c r="BS47" s="126"/>
      <c r="BT47" s="126"/>
      <c r="BU47" s="126"/>
      <c r="BV47" s="126"/>
      <c r="BW47" s="126"/>
    </row>
    <row r="48">
      <c r="A48" s="249"/>
      <c r="B48" s="247"/>
      <c r="C48" s="252"/>
      <c r="D48" s="247"/>
      <c r="E48" s="247"/>
      <c r="F48" s="247"/>
      <c r="G48" s="247"/>
      <c r="H48" s="247"/>
      <c r="I48" s="247"/>
      <c r="J48" s="247"/>
      <c r="K48" s="247"/>
      <c r="L48" s="247"/>
      <c r="M48" s="247"/>
      <c r="N48" s="246"/>
      <c r="O48" s="247"/>
      <c r="P48" s="248"/>
      <c r="Q48" s="251"/>
      <c r="R48" s="250"/>
      <c r="S48" s="245"/>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row>
    <row r="49">
      <c r="A49" s="249"/>
      <c r="B49" s="247"/>
      <c r="C49" s="252"/>
      <c r="D49" s="247"/>
      <c r="E49" s="247"/>
      <c r="F49" s="247"/>
      <c r="G49" s="247"/>
      <c r="H49" s="247"/>
      <c r="I49" s="247"/>
      <c r="J49" s="247"/>
      <c r="K49" s="247"/>
      <c r="L49" s="247"/>
      <c r="M49" s="247"/>
      <c r="N49" s="246"/>
      <c r="O49" s="247"/>
      <c r="P49" s="248"/>
      <c r="Q49" s="251"/>
      <c r="R49" s="250"/>
      <c r="S49" s="245"/>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row>
    <row r="50">
      <c r="A50" s="249"/>
      <c r="B50" s="247"/>
      <c r="C50" s="252"/>
      <c r="D50" s="247"/>
      <c r="E50" s="247"/>
      <c r="F50" s="247"/>
      <c r="G50" s="247"/>
      <c r="H50" s="247"/>
      <c r="I50" s="247"/>
      <c r="J50" s="247"/>
      <c r="K50" s="247"/>
      <c r="L50" s="247"/>
      <c r="M50" s="247"/>
      <c r="N50" s="246"/>
      <c r="O50" s="247"/>
      <c r="P50" s="248"/>
      <c r="Q50" s="251"/>
      <c r="R50" s="250"/>
      <c r="S50" s="245"/>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row>
    <row r="51">
      <c r="A51" s="249"/>
      <c r="B51" s="247"/>
      <c r="C51" s="252"/>
      <c r="D51" s="247"/>
      <c r="E51" s="247"/>
      <c r="F51" s="247"/>
      <c r="G51" s="247"/>
      <c r="H51" s="247"/>
      <c r="I51" s="247"/>
      <c r="J51" s="247"/>
      <c r="K51" s="247"/>
      <c r="L51" s="247"/>
      <c r="M51" s="247"/>
      <c r="N51" s="246"/>
      <c r="O51" s="247"/>
      <c r="P51" s="248"/>
      <c r="Q51" s="251"/>
      <c r="R51" s="250"/>
      <c r="S51" s="245"/>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row>
    <row r="52">
      <c r="A52" s="249"/>
      <c r="B52" s="247"/>
      <c r="C52" s="252"/>
      <c r="D52" s="247"/>
      <c r="E52" s="247"/>
      <c r="F52" s="247"/>
      <c r="G52" s="247"/>
      <c r="H52" s="247"/>
      <c r="I52" s="247"/>
      <c r="J52" s="247"/>
      <c r="K52" s="247"/>
      <c r="L52" s="247"/>
      <c r="M52" s="247"/>
      <c r="N52" s="246"/>
      <c r="O52" s="247"/>
      <c r="P52" s="248"/>
      <c r="Q52" s="251"/>
      <c r="R52" s="250"/>
      <c r="S52" s="245"/>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row>
    <row r="53">
      <c r="A53" s="249"/>
      <c r="B53" s="247"/>
      <c r="C53" s="252"/>
      <c r="D53" s="247"/>
      <c r="E53" s="247"/>
      <c r="F53" s="247"/>
      <c r="G53" s="247"/>
      <c r="H53" s="247"/>
      <c r="I53" s="247"/>
      <c r="J53" s="247"/>
      <c r="K53" s="247"/>
      <c r="L53" s="247"/>
      <c r="M53" s="247"/>
      <c r="N53" s="246"/>
      <c r="O53" s="247"/>
      <c r="P53" s="248"/>
      <c r="Q53" s="251"/>
      <c r="R53" s="250"/>
      <c r="S53" s="245"/>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row>
    <row r="54">
      <c r="A54" s="249"/>
      <c r="B54" s="247"/>
      <c r="C54" s="252"/>
      <c r="D54" s="247"/>
      <c r="E54" s="247"/>
      <c r="F54" s="247"/>
      <c r="G54" s="247"/>
      <c r="H54" s="247"/>
      <c r="I54" s="247"/>
      <c r="J54" s="247"/>
      <c r="K54" s="247"/>
      <c r="L54" s="247"/>
      <c r="M54" s="247"/>
      <c r="N54" s="246"/>
      <c r="O54" s="247"/>
      <c r="P54" s="248"/>
      <c r="Q54" s="251"/>
      <c r="R54" s="250"/>
      <c r="S54" s="245"/>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row>
    <row r="55">
      <c r="A55" s="249"/>
      <c r="B55" s="247"/>
      <c r="C55" s="252"/>
      <c r="D55" s="247"/>
      <c r="E55" s="247"/>
      <c r="F55" s="247"/>
      <c r="G55" s="247"/>
      <c r="H55" s="247"/>
      <c r="I55" s="247"/>
      <c r="J55" s="247"/>
      <c r="K55" s="247"/>
      <c r="L55" s="247"/>
      <c r="M55" s="247"/>
      <c r="N55" s="246"/>
      <c r="O55" s="247"/>
      <c r="P55" s="248"/>
      <c r="Q55" s="251"/>
      <c r="R55" s="250"/>
      <c r="S55" s="245"/>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row>
    <row r="56">
      <c r="A56" s="249"/>
      <c r="B56" s="247"/>
      <c r="C56" s="252"/>
      <c r="D56" s="247"/>
      <c r="E56" s="247"/>
      <c r="F56" s="247"/>
      <c r="G56" s="247"/>
      <c r="H56" s="247"/>
      <c r="I56" s="247"/>
      <c r="J56" s="247"/>
      <c r="K56" s="247"/>
      <c r="L56" s="247"/>
      <c r="M56" s="247"/>
      <c r="N56" s="246"/>
      <c r="O56" s="247"/>
      <c r="P56" s="248"/>
      <c r="Q56" s="251"/>
      <c r="R56" s="250"/>
      <c r="S56" s="245"/>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row>
    <row r="57">
      <c r="A57" s="249"/>
      <c r="B57" s="247"/>
      <c r="C57" s="252"/>
      <c r="D57" s="247"/>
      <c r="E57" s="247"/>
      <c r="F57" s="247"/>
      <c r="G57" s="247"/>
      <c r="H57" s="247"/>
      <c r="I57" s="247"/>
      <c r="J57" s="247"/>
      <c r="K57" s="247"/>
      <c r="L57" s="247"/>
      <c r="M57" s="247"/>
      <c r="N57" s="246"/>
      <c r="O57" s="247"/>
      <c r="P57" s="248"/>
      <c r="Q57" s="251"/>
      <c r="R57" s="250"/>
      <c r="S57" s="245"/>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row>
    <row r="58">
      <c r="A58" s="249"/>
      <c r="B58" s="247"/>
      <c r="C58" s="252"/>
      <c r="D58" s="247"/>
      <c r="E58" s="247"/>
      <c r="F58" s="247"/>
      <c r="G58" s="247"/>
      <c r="H58" s="247"/>
      <c r="I58" s="247"/>
      <c r="J58" s="247"/>
      <c r="K58" s="247"/>
      <c r="L58" s="247"/>
      <c r="M58" s="247"/>
      <c r="N58" s="246"/>
      <c r="O58" s="247"/>
      <c r="P58" s="248"/>
      <c r="Q58" s="251"/>
      <c r="R58" s="250"/>
      <c r="S58" s="245"/>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row>
    <row r="59">
      <c r="A59" s="249"/>
      <c r="B59" s="247"/>
      <c r="C59" s="252"/>
      <c r="D59" s="247"/>
      <c r="E59" s="247"/>
      <c r="F59" s="247"/>
      <c r="G59" s="247"/>
      <c r="H59" s="247"/>
      <c r="I59" s="247"/>
      <c r="J59" s="247"/>
      <c r="K59" s="247"/>
      <c r="L59" s="247"/>
      <c r="M59" s="247"/>
      <c r="N59" s="246"/>
      <c r="O59" s="247"/>
      <c r="P59" s="248"/>
      <c r="Q59" s="251"/>
      <c r="R59" s="250"/>
      <c r="S59" s="245"/>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6"/>
      <c r="BS59" s="126"/>
      <c r="BT59" s="126"/>
      <c r="BU59" s="126"/>
      <c r="BV59" s="126"/>
      <c r="BW59" s="126"/>
    </row>
    <row r="60">
      <c r="A60" s="249"/>
      <c r="B60" s="247"/>
      <c r="C60" s="252"/>
      <c r="D60" s="247"/>
      <c r="E60" s="247"/>
      <c r="F60" s="247"/>
      <c r="G60" s="247"/>
      <c r="H60" s="247"/>
      <c r="I60" s="247"/>
      <c r="J60" s="247"/>
      <c r="K60" s="247"/>
      <c r="L60" s="247"/>
      <c r="M60" s="247"/>
      <c r="N60" s="246"/>
      <c r="O60" s="247"/>
      <c r="P60" s="248"/>
      <c r="Q60" s="251"/>
      <c r="R60" s="250"/>
      <c r="S60" s="245"/>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26"/>
      <c r="BW60" s="126"/>
    </row>
    <row r="61">
      <c r="A61" s="249"/>
      <c r="B61" s="247"/>
      <c r="C61" s="252"/>
      <c r="D61" s="247"/>
      <c r="E61" s="247"/>
      <c r="F61" s="247"/>
      <c r="G61" s="247"/>
      <c r="H61" s="247"/>
      <c r="I61" s="247"/>
      <c r="J61" s="247"/>
      <c r="K61" s="247"/>
      <c r="L61" s="247"/>
      <c r="M61" s="247"/>
      <c r="N61" s="246"/>
      <c r="O61" s="247"/>
      <c r="P61" s="248"/>
      <c r="Q61" s="251"/>
      <c r="R61" s="250"/>
      <c r="S61" s="245"/>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26"/>
      <c r="BW61" s="126"/>
    </row>
    <row r="62">
      <c r="A62" s="249"/>
      <c r="B62" s="247"/>
      <c r="C62" s="252"/>
      <c r="D62" s="247"/>
      <c r="E62" s="247"/>
      <c r="F62" s="247"/>
      <c r="G62" s="247"/>
      <c r="H62" s="247"/>
      <c r="I62" s="247"/>
      <c r="J62" s="247"/>
      <c r="K62" s="247"/>
      <c r="L62" s="247"/>
      <c r="M62" s="247"/>
      <c r="N62" s="246"/>
      <c r="O62" s="247"/>
      <c r="P62" s="248"/>
      <c r="Q62" s="251"/>
      <c r="R62" s="250"/>
      <c r="S62" s="245"/>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26"/>
      <c r="BW62" s="126"/>
    </row>
    <row r="63">
      <c r="A63" s="249"/>
      <c r="B63" s="247"/>
      <c r="C63" s="252"/>
      <c r="D63" s="247"/>
      <c r="E63" s="247"/>
      <c r="F63" s="247"/>
      <c r="G63" s="247"/>
      <c r="H63" s="247"/>
      <c r="I63" s="247"/>
      <c r="J63" s="247"/>
      <c r="K63" s="247"/>
      <c r="L63" s="247"/>
      <c r="M63" s="247"/>
      <c r="N63" s="246"/>
      <c r="O63" s="247"/>
      <c r="P63" s="248"/>
      <c r="Q63" s="251"/>
      <c r="R63" s="250"/>
      <c r="S63" s="245"/>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row>
    <row r="64">
      <c r="A64" s="249"/>
      <c r="B64" s="247"/>
      <c r="C64" s="252"/>
      <c r="D64" s="247"/>
      <c r="E64" s="247"/>
      <c r="F64" s="247"/>
      <c r="G64" s="247"/>
      <c r="H64" s="247"/>
      <c r="I64" s="247"/>
      <c r="J64" s="247"/>
      <c r="K64" s="247"/>
      <c r="L64" s="247"/>
      <c r="M64" s="247"/>
      <c r="N64" s="246"/>
      <c r="O64" s="247"/>
      <c r="P64" s="248"/>
      <c r="Q64" s="251"/>
      <c r="R64" s="250"/>
      <c r="S64" s="245"/>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26"/>
      <c r="BW64" s="126"/>
    </row>
    <row r="65">
      <c r="A65" s="249"/>
      <c r="B65" s="247"/>
      <c r="C65" s="252"/>
      <c r="D65" s="247"/>
      <c r="E65" s="247"/>
      <c r="F65" s="247"/>
      <c r="G65" s="247"/>
      <c r="H65" s="247"/>
      <c r="I65" s="247"/>
      <c r="J65" s="247"/>
      <c r="K65" s="247"/>
      <c r="L65" s="247"/>
      <c r="M65" s="247"/>
      <c r="N65" s="246"/>
      <c r="O65" s="247"/>
      <c r="P65" s="248"/>
      <c r="Q65" s="251"/>
      <c r="R65" s="250"/>
      <c r="S65" s="245"/>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row>
    <row r="66">
      <c r="A66" s="249"/>
      <c r="B66" s="247"/>
      <c r="C66" s="252"/>
      <c r="D66" s="247"/>
      <c r="E66" s="247"/>
      <c r="F66" s="247"/>
      <c r="G66" s="247"/>
      <c r="H66" s="247"/>
      <c r="I66" s="247"/>
      <c r="J66" s="247"/>
      <c r="K66" s="247"/>
      <c r="L66" s="247"/>
      <c r="M66" s="247"/>
      <c r="N66" s="246"/>
      <c r="O66" s="247"/>
      <c r="P66" s="248"/>
      <c r="Q66" s="251"/>
      <c r="R66" s="250"/>
      <c r="S66" s="245"/>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26"/>
      <c r="BW66" s="126"/>
    </row>
    <row r="67">
      <c r="A67" s="249"/>
      <c r="B67" s="247"/>
      <c r="C67" s="252"/>
      <c r="D67" s="247"/>
      <c r="E67" s="247"/>
      <c r="F67" s="247"/>
      <c r="G67" s="247"/>
      <c r="H67" s="247"/>
      <c r="I67" s="247"/>
      <c r="J67" s="247"/>
      <c r="K67" s="247"/>
      <c r="L67" s="247"/>
      <c r="M67" s="247"/>
      <c r="N67" s="246"/>
      <c r="O67" s="247"/>
      <c r="P67" s="248"/>
      <c r="Q67" s="251"/>
      <c r="R67" s="250"/>
      <c r="S67" s="245"/>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row>
    <row r="68">
      <c r="A68" s="249"/>
      <c r="B68" s="247"/>
      <c r="C68" s="252"/>
      <c r="D68" s="247"/>
      <c r="E68" s="247"/>
      <c r="F68" s="247"/>
      <c r="G68" s="247"/>
      <c r="H68" s="247"/>
      <c r="I68" s="247"/>
      <c r="J68" s="247"/>
      <c r="K68" s="247"/>
      <c r="L68" s="247"/>
      <c r="M68" s="247"/>
      <c r="N68" s="246"/>
      <c r="O68" s="247"/>
      <c r="P68" s="248"/>
      <c r="Q68" s="251"/>
      <c r="R68" s="250"/>
      <c r="S68" s="245"/>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6"/>
      <c r="BP68" s="126"/>
      <c r="BQ68" s="126"/>
      <c r="BR68" s="126"/>
      <c r="BS68" s="126"/>
      <c r="BT68" s="126"/>
      <c r="BU68" s="126"/>
      <c r="BV68" s="126"/>
      <c r="BW68" s="126"/>
    </row>
    <row r="69">
      <c r="A69" s="249"/>
      <c r="B69" s="247"/>
      <c r="C69" s="252"/>
      <c r="D69" s="247"/>
      <c r="E69" s="247"/>
      <c r="F69" s="247"/>
      <c r="G69" s="247"/>
      <c r="H69" s="247"/>
      <c r="I69" s="247"/>
      <c r="J69" s="247"/>
      <c r="K69" s="247"/>
      <c r="L69" s="247"/>
      <c r="M69" s="247"/>
      <c r="N69" s="246"/>
      <c r="O69" s="247"/>
      <c r="P69" s="248"/>
      <c r="Q69" s="251"/>
      <c r="R69" s="250"/>
      <c r="S69" s="245"/>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row>
    <row r="70">
      <c r="A70" s="249"/>
      <c r="B70" s="247"/>
      <c r="C70" s="252"/>
      <c r="D70" s="247"/>
      <c r="E70" s="247"/>
      <c r="F70" s="247"/>
      <c r="G70" s="247"/>
      <c r="H70" s="247"/>
      <c r="I70" s="247"/>
      <c r="J70" s="247"/>
      <c r="K70" s="247"/>
      <c r="L70" s="247"/>
      <c r="M70" s="247"/>
      <c r="N70" s="246"/>
      <c r="O70" s="247"/>
      <c r="P70" s="248"/>
      <c r="Q70" s="251"/>
      <c r="R70" s="250"/>
      <c r="S70" s="245"/>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row>
    <row r="71">
      <c r="A71" s="249"/>
      <c r="B71" s="247"/>
      <c r="C71" s="252"/>
      <c r="D71" s="247"/>
      <c r="E71" s="247"/>
      <c r="F71" s="247"/>
      <c r="G71" s="247"/>
      <c r="H71" s="247"/>
      <c r="I71" s="247"/>
      <c r="J71" s="247"/>
      <c r="K71" s="247"/>
      <c r="L71" s="247"/>
      <c r="M71" s="247"/>
      <c r="N71" s="246"/>
      <c r="O71" s="247"/>
      <c r="P71" s="248"/>
      <c r="Q71" s="251"/>
      <c r="R71" s="250"/>
      <c r="S71" s="245"/>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26"/>
      <c r="BW71" s="126"/>
    </row>
    <row r="72">
      <c r="A72" s="249"/>
      <c r="B72" s="247"/>
      <c r="C72" s="252"/>
      <c r="D72" s="247"/>
      <c r="E72" s="247"/>
      <c r="F72" s="247"/>
      <c r="G72" s="247"/>
      <c r="H72" s="247"/>
      <c r="I72" s="247"/>
      <c r="J72" s="247"/>
      <c r="K72" s="247"/>
      <c r="L72" s="247"/>
      <c r="M72" s="247"/>
      <c r="N72" s="246"/>
      <c r="O72" s="247"/>
      <c r="P72" s="248"/>
      <c r="Q72" s="251"/>
      <c r="R72" s="250"/>
      <c r="S72" s="245"/>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26"/>
      <c r="BW72" s="126"/>
    </row>
    <row r="73">
      <c r="A73" s="249"/>
      <c r="B73" s="247"/>
      <c r="C73" s="252"/>
      <c r="D73" s="247"/>
      <c r="E73" s="247"/>
      <c r="F73" s="247"/>
      <c r="G73" s="247"/>
      <c r="H73" s="247"/>
      <c r="I73" s="247"/>
      <c r="J73" s="247"/>
      <c r="K73" s="247"/>
      <c r="L73" s="247"/>
      <c r="M73" s="247"/>
      <c r="N73" s="246"/>
      <c r="O73" s="247"/>
      <c r="P73" s="248"/>
      <c r="Q73" s="251"/>
      <c r="R73" s="250"/>
      <c r="S73" s="245"/>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26"/>
      <c r="BW73" s="126"/>
    </row>
    <row r="74">
      <c r="A74" s="249"/>
      <c r="B74" s="247"/>
      <c r="C74" s="252"/>
      <c r="D74" s="247"/>
      <c r="E74" s="247"/>
      <c r="F74" s="247"/>
      <c r="G74" s="247"/>
      <c r="H74" s="247"/>
      <c r="I74" s="247"/>
      <c r="J74" s="247"/>
      <c r="K74" s="247"/>
      <c r="L74" s="247"/>
      <c r="M74" s="247"/>
      <c r="N74" s="246"/>
      <c r="O74" s="247"/>
      <c r="P74" s="248"/>
      <c r="Q74" s="251"/>
      <c r="R74" s="250"/>
      <c r="S74" s="245"/>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26"/>
      <c r="BW74" s="126"/>
    </row>
    <row r="75">
      <c r="A75" s="249"/>
      <c r="B75" s="247"/>
      <c r="C75" s="252"/>
      <c r="D75" s="247"/>
      <c r="E75" s="247"/>
      <c r="F75" s="247"/>
      <c r="G75" s="247"/>
      <c r="H75" s="247"/>
      <c r="I75" s="247"/>
      <c r="J75" s="247"/>
      <c r="K75" s="247"/>
      <c r="L75" s="247"/>
      <c r="M75" s="247"/>
      <c r="N75" s="246"/>
      <c r="O75" s="247"/>
      <c r="P75" s="248"/>
      <c r="Q75" s="251"/>
      <c r="R75" s="250"/>
      <c r="S75" s="245"/>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26"/>
      <c r="BW75" s="126"/>
    </row>
    <row r="76">
      <c r="A76" s="249"/>
      <c r="B76" s="247"/>
      <c r="C76" s="252"/>
      <c r="D76" s="247"/>
      <c r="E76" s="247"/>
      <c r="F76" s="247"/>
      <c r="G76" s="247"/>
      <c r="H76" s="247"/>
      <c r="I76" s="247"/>
      <c r="J76" s="247"/>
      <c r="K76" s="247"/>
      <c r="L76" s="247"/>
      <c r="M76" s="247"/>
      <c r="N76" s="246"/>
      <c r="O76" s="247"/>
      <c r="P76" s="248"/>
      <c r="Q76" s="251"/>
      <c r="R76" s="250"/>
      <c r="S76" s="245"/>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row>
    <row r="77">
      <c r="A77" s="249"/>
      <c r="B77" s="247"/>
      <c r="C77" s="252"/>
      <c r="D77" s="247"/>
      <c r="E77" s="247"/>
      <c r="F77" s="247"/>
      <c r="G77" s="247"/>
      <c r="H77" s="247"/>
      <c r="I77" s="247"/>
      <c r="J77" s="247"/>
      <c r="K77" s="247"/>
      <c r="L77" s="247"/>
      <c r="M77" s="247"/>
      <c r="N77" s="246"/>
      <c r="O77" s="247"/>
      <c r="P77" s="248"/>
      <c r="Q77" s="251"/>
      <c r="R77" s="250"/>
      <c r="S77" s="245"/>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c r="BP77" s="126"/>
      <c r="BQ77" s="126"/>
      <c r="BR77" s="126"/>
      <c r="BS77" s="126"/>
      <c r="BT77" s="126"/>
      <c r="BU77" s="126"/>
      <c r="BV77" s="126"/>
      <c r="BW77" s="126"/>
    </row>
    <row r="78">
      <c r="A78" s="249"/>
      <c r="B78" s="247"/>
      <c r="C78" s="252"/>
      <c r="D78" s="247"/>
      <c r="E78" s="247"/>
      <c r="F78" s="247"/>
      <c r="G78" s="247"/>
      <c r="H78" s="247"/>
      <c r="I78" s="247"/>
      <c r="J78" s="247"/>
      <c r="K78" s="247"/>
      <c r="L78" s="247"/>
      <c r="M78" s="247"/>
      <c r="N78" s="246"/>
      <c r="O78" s="247"/>
      <c r="P78" s="248"/>
      <c r="Q78" s="251"/>
      <c r="R78" s="250"/>
      <c r="S78" s="245"/>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row>
    <row r="79">
      <c r="A79" s="249"/>
      <c r="B79" s="247"/>
      <c r="C79" s="252"/>
      <c r="D79" s="247"/>
      <c r="E79" s="247"/>
      <c r="F79" s="247"/>
      <c r="G79" s="247"/>
      <c r="H79" s="247"/>
      <c r="I79" s="247"/>
      <c r="J79" s="247"/>
      <c r="K79" s="247"/>
      <c r="L79" s="247"/>
      <c r="M79" s="247"/>
      <c r="N79" s="246"/>
      <c r="O79" s="247"/>
      <c r="P79" s="248"/>
      <c r="Q79" s="251"/>
      <c r="R79" s="250"/>
      <c r="S79" s="245"/>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row>
    <row r="80">
      <c r="A80" s="249"/>
      <c r="B80" s="247"/>
      <c r="C80" s="252"/>
      <c r="D80" s="247"/>
      <c r="E80" s="247"/>
      <c r="F80" s="247"/>
      <c r="G80" s="247"/>
      <c r="H80" s="247"/>
      <c r="I80" s="247"/>
      <c r="J80" s="247"/>
      <c r="K80" s="247"/>
      <c r="L80" s="247"/>
      <c r="M80" s="247"/>
      <c r="N80" s="246"/>
      <c r="O80" s="247"/>
      <c r="P80" s="248"/>
      <c r="Q80" s="251"/>
      <c r="R80" s="250"/>
      <c r="S80" s="245"/>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row>
    <row r="81">
      <c r="A81" s="249"/>
      <c r="B81" s="247"/>
      <c r="C81" s="252"/>
      <c r="D81" s="247"/>
      <c r="E81" s="247"/>
      <c r="F81" s="247"/>
      <c r="G81" s="247"/>
      <c r="H81" s="247"/>
      <c r="I81" s="247"/>
      <c r="J81" s="247"/>
      <c r="K81" s="247"/>
      <c r="L81" s="247"/>
      <c r="M81" s="247"/>
      <c r="N81" s="246"/>
      <c r="O81" s="247"/>
      <c r="P81" s="248"/>
      <c r="Q81" s="251"/>
      <c r="R81" s="250"/>
      <c r="S81" s="245"/>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row>
    <row r="82">
      <c r="A82" s="249"/>
      <c r="B82" s="247"/>
      <c r="C82" s="252"/>
      <c r="D82" s="247"/>
      <c r="E82" s="247"/>
      <c r="F82" s="247"/>
      <c r="G82" s="247"/>
      <c r="H82" s="247"/>
      <c r="I82" s="247"/>
      <c r="J82" s="247"/>
      <c r="K82" s="247"/>
      <c r="L82" s="247"/>
      <c r="M82" s="247"/>
      <c r="N82" s="246"/>
      <c r="O82" s="247"/>
      <c r="P82" s="248"/>
      <c r="Q82" s="251"/>
      <c r="R82" s="250"/>
      <c r="S82" s="245"/>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row>
    <row r="83">
      <c r="A83" s="249"/>
      <c r="B83" s="247"/>
      <c r="C83" s="252"/>
      <c r="D83" s="247"/>
      <c r="E83" s="247"/>
      <c r="F83" s="247"/>
      <c r="G83" s="247"/>
      <c r="H83" s="247"/>
      <c r="I83" s="247"/>
      <c r="J83" s="247"/>
      <c r="K83" s="247"/>
      <c r="L83" s="247"/>
      <c r="M83" s="247"/>
      <c r="N83" s="246"/>
      <c r="O83" s="247"/>
      <c r="P83" s="248"/>
      <c r="Q83" s="251"/>
      <c r="R83" s="250"/>
      <c r="S83" s="245"/>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row>
    <row r="84">
      <c r="A84" s="249"/>
      <c r="B84" s="247"/>
      <c r="C84" s="252"/>
      <c r="D84" s="247"/>
      <c r="E84" s="247"/>
      <c r="F84" s="247"/>
      <c r="G84" s="247"/>
      <c r="H84" s="247"/>
      <c r="I84" s="247"/>
      <c r="J84" s="247"/>
      <c r="K84" s="247"/>
      <c r="L84" s="247"/>
      <c r="M84" s="247"/>
      <c r="N84" s="246"/>
      <c r="O84" s="247"/>
      <c r="P84" s="248"/>
      <c r="Q84" s="251"/>
      <c r="R84" s="250"/>
      <c r="S84" s="245"/>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row>
    <row r="85">
      <c r="A85" s="249"/>
      <c r="B85" s="247"/>
      <c r="C85" s="252"/>
      <c r="D85" s="247"/>
      <c r="E85" s="247"/>
      <c r="F85" s="247"/>
      <c r="G85" s="247"/>
      <c r="H85" s="247"/>
      <c r="I85" s="247"/>
      <c r="J85" s="247"/>
      <c r="K85" s="247"/>
      <c r="L85" s="247"/>
      <c r="M85" s="247"/>
      <c r="N85" s="246"/>
      <c r="O85" s="247"/>
      <c r="P85" s="248"/>
      <c r="Q85" s="251"/>
      <c r="R85" s="250"/>
      <c r="S85" s="245"/>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row>
    <row r="86">
      <c r="A86" s="249"/>
      <c r="B86" s="247"/>
      <c r="C86" s="252"/>
      <c r="D86" s="247"/>
      <c r="E86" s="247"/>
      <c r="F86" s="247"/>
      <c r="G86" s="247"/>
      <c r="H86" s="247"/>
      <c r="I86" s="247"/>
      <c r="J86" s="247"/>
      <c r="K86" s="247"/>
      <c r="L86" s="247"/>
      <c r="M86" s="247"/>
      <c r="N86" s="246"/>
      <c r="O86" s="247"/>
      <c r="P86" s="248"/>
      <c r="Q86" s="251"/>
      <c r="R86" s="250"/>
      <c r="S86" s="245"/>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c r="BP86" s="126"/>
      <c r="BQ86" s="126"/>
      <c r="BR86" s="126"/>
      <c r="BS86" s="126"/>
      <c r="BT86" s="126"/>
      <c r="BU86" s="126"/>
      <c r="BV86" s="126"/>
      <c r="BW86" s="126"/>
    </row>
    <row r="87">
      <c r="A87" s="249"/>
      <c r="B87" s="247"/>
      <c r="C87" s="252"/>
      <c r="D87" s="247"/>
      <c r="E87" s="247"/>
      <c r="F87" s="247"/>
      <c r="G87" s="247"/>
      <c r="H87" s="247"/>
      <c r="I87" s="247"/>
      <c r="J87" s="247"/>
      <c r="K87" s="247"/>
      <c r="L87" s="247"/>
      <c r="M87" s="247"/>
      <c r="N87" s="246"/>
      <c r="O87" s="247"/>
      <c r="P87" s="248"/>
      <c r="Q87" s="251"/>
      <c r="R87" s="250"/>
      <c r="S87" s="245"/>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26"/>
      <c r="BW87" s="126"/>
    </row>
    <row r="88">
      <c r="A88" s="249"/>
      <c r="B88" s="247"/>
      <c r="C88" s="252"/>
      <c r="D88" s="247"/>
      <c r="E88" s="247"/>
      <c r="F88" s="247"/>
      <c r="G88" s="247"/>
      <c r="H88" s="247"/>
      <c r="I88" s="247"/>
      <c r="J88" s="247"/>
      <c r="K88" s="247"/>
      <c r="L88" s="247"/>
      <c r="M88" s="247"/>
      <c r="N88" s="246"/>
      <c r="O88" s="247"/>
      <c r="P88" s="248"/>
      <c r="Q88" s="251"/>
      <c r="R88" s="250"/>
      <c r="S88" s="245"/>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row>
    <row r="89">
      <c r="A89" s="249"/>
      <c r="B89" s="247"/>
      <c r="C89" s="252"/>
      <c r="D89" s="247"/>
      <c r="E89" s="247"/>
      <c r="F89" s="247"/>
      <c r="G89" s="247"/>
      <c r="H89" s="247"/>
      <c r="I89" s="247"/>
      <c r="J89" s="247"/>
      <c r="K89" s="247"/>
      <c r="L89" s="247"/>
      <c r="M89" s="247"/>
      <c r="N89" s="246"/>
      <c r="O89" s="247"/>
      <c r="P89" s="248"/>
      <c r="Q89" s="251"/>
      <c r="R89" s="250"/>
      <c r="S89" s="245"/>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c r="BP89" s="126"/>
      <c r="BQ89" s="126"/>
      <c r="BR89" s="126"/>
      <c r="BS89" s="126"/>
      <c r="BT89" s="126"/>
      <c r="BU89" s="126"/>
      <c r="BV89" s="126"/>
      <c r="BW89" s="126"/>
    </row>
    <row r="90">
      <c r="A90" s="249"/>
      <c r="B90" s="247"/>
      <c r="C90" s="252"/>
      <c r="D90" s="247"/>
      <c r="E90" s="247"/>
      <c r="F90" s="247"/>
      <c r="G90" s="247"/>
      <c r="H90" s="247"/>
      <c r="I90" s="247"/>
      <c r="J90" s="247"/>
      <c r="K90" s="247"/>
      <c r="L90" s="247"/>
      <c r="M90" s="247"/>
      <c r="N90" s="246"/>
      <c r="O90" s="247"/>
      <c r="P90" s="248"/>
      <c r="Q90" s="251"/>
      <c r="R90" s="250"/>
      <c r="S90" s="245"/>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c r="BL90" s="126"/>
      <c r="BM90" s="126"/>
      <c r="BN90" s="126"/>
      <c r="BO90" s="126"/>
      <c r="BP90" s="126"/>
      <c r="BQ90" s="126"/>
      <c r="BR90" s="126"/>
      <c r="BS90" s="126"/>
      <c r="BT90" s="126"/>
      <c r="BU90" s="126"/>
      <c r="BV90" s="126"/>
      <c r="BW90" s="126"/>
    </row>
    <row r="91">
      <c r="A91" s="249"/>
      <c r="B91" s="247"/>
      <c r="C91" s="252"/>
      <c r="D91" s="247"/>
      <c r="E91" s="247"/>
      <c r="F91" s="247"/>
      <c r="G91" s="247"/>
      <c r="H91" s="247"/>
      <c r="I91" s="247"/>
      <c r="J91" s="247"/>
      <c r="K91" s="247"/>
      <c r="L91" s="247"/>
      <c r="M91" s="247"/>
      <c r="N91" s="246"/>
      <c r="O91" s="247"/>
      <c r="P91" s="248"/>
      <c r="Q91" s="251"/>
      <c r="R91" s="250"/>
      <c r="S91" s="245"/>
      <c r="T91" s="126"/>
      <c r="U91" s="126"/>
      <c r="V91" s="126"/>
      <c r="W91" s="126"/>
      <c r="X91" s="126"/>
      <c r="Y91" s="126"/>
      <c r="Z91" s="126"/>
      <c r="AA91" s="126"/>
      <c r="AB91" s="126"/>
      <c r="AC91" s="126"/>
      <c r="AD91" s="126"/>
      <c r="AE91" s="126"/>
      <c r="AF91" s="126"/>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6"/>
      <c r="BM91" s="126"/>
      <c r="BN91" s="126"/>
      <c r="BO91" s="126"/>
      <c r="BP91" s="126"/>
      <c r="BQ91" s="126"/>
      <c r="BR91" s="126"/>
      <c r="BS91" s="126"/>
      <c r="BT91" s="126"/>
      <c r="BU91" s="126"/>
      <c r="BV91" s="126"/>
      <c r="BW91" s="126"/>
    </row>
    <row r="92">
      <c r="A92" s="249"/>
      <c r="B92" s="247"/>
      <c r="C92" s="252"/>
      <c r="D92" s="247"/>
      <c r="E92" s="247"/>
      <c r="F92" s="247"/>
      <c r="G92" s="247"/>
      <c r="H92" s="247"/>
      <c r="I92" s="247"/>
      <c r="J92" s="247"/>
      <c r="K92" s="247"/>
      <c r="L92" s="247"/>
      <c r="M92" s="247"/>
      <c r="N92" s="246"/>
      <c r="O92" s="247"/>
      <c r="P92" s="248"/>
      <c r="Q92" s="251"/>
      <c r="R92" s="250"/>
      <c r="S92" s="245"/>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c r="BL92" s="126"/>
      <c r="BM92" s="126"/>
      <c r="BN92" s="126"/>
      <c r="BO92" s="126"/>
      <c r="BP92" s="126"/>
      <c r="BQ92" s="126"/>
      <c r="BR92" s="126"/>
      <c r="BS92" s="126"/>
      <c r="BT92" s="126"/>
      <c r="BU92" s="126"/>
      <c r="BV92" s="126"/>
      <c r="BW92" s="126"/>
    </row>
    <row r="93">
      <c r="A93" s="249"/>
      <c r="B93" s="247"/>
      <c r="C93" s="252"/>
      <c r="D93" s="247"/>
      <c r="E93" s="247"/>
      <c r="F93" s="247"/>
      <c r="G93" s="247"/>
      <c r="H93" s="247"/>
      <c r="I93" s="247"/>
      <c r="J93" s="247"/>
      <c r="K93" s="247"/>
      <c r="L93" s="247"/>
      <c r="M93" s="247"/>
      <c r="N93" s="246"/>
      <c r="O93" s="247"/>
      <c r="P93" s="248"/>
      <c r="Q93" s="251"/>
      <c r="R93" s="250"/>
      <c r="S93" s="245"/>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c r="BL93" s="126"/>
      <c r="BM93" s="126"/>
      <c r="BN93" s="126"/>
      <c r="BO93" s="126"/>
      <c r="BP93" s="126"/>
      <c r="BQ93" s="126"/>
      <c r="BR93" s="126"/>
      <c r="BS93" s="126"/>
      <c r="BT93" s="126"/>
      <c r="BU93" s="126"/>
      <c r="BV93" s="126"/>
      <c r="BW93" s="126"/>
    </row>
    <row r="94">
      <c r="A94" s="249"/>
      <c r="B94" s="247"/>
      <c r="C94" s="252"/>
      <c r="D94" s="247"/>
      <c r="E94" s="247"/>
      <c r="F94" s="247"/>
      <c r="G94" s="247"/>
      <c r="H94" s="247"/>
      <c r="I94" s="247"/>
      <c r="J94" s="247"/>
      <c r="K94" s="247"/>
      <c r="L94" s="247"/>
      <c r="M94" s="247"/>
      <c r="N94" s="246"/>
      <c r="O94" s="247"/>
      <c r="P94" s="248"/>
      <c r="Q94" s="251"/>
      <c r="R94" s="250"/>
      <c r="S94" s="245"/>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row>
    <row r="95">
      <c r="A95" s="249"/>
      <c r="B95" s="247"/>
      <c r="C95" s="252"/>
      <c r="D95" s="247"/>
      <c r="E95" s="247"/>
      <c r="F95" s="247"/>
      <c r="G95" s="247"/>
      <c r="H95" s="247"/>
      <c r="I95" s="247"/>
      <c r="J95" s="247"/>
      <c r="K95" s="247"/>
      <c r="L95" s="247"/>
      <c r="M95" s="247"/>
      <c r="N95" s="246"/>
      <c r="O95" s="247"/>
      <c r="P95" s="248"/>
      <c r="Q95" s="251"/>
      <c r="R95" s="250"/>
      <c r="S95" s="245"/>
      <c r="T95" s="126"/>
      <c r="U95" s="126"/>
      <c r="V95" s="126"/>
      <c r="W95" s="126"/>
      <c r="X95" s="126"/>
      <c r="Y95" s="126"/>
      <c r="Z95" s="126"/>
      <c r="AA95" s="126"/>
      <c r="AB95" s="126"/>
      <c r="AC95" s="126"/>
      <c r="AD95" s="126"/>
      <c r="AE95" s="126"/>
      <c r="AF95" s="126"/>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c r="BL95" s="126"/>
      <c r="BM95" s="126"/>
      <c r="BN95" s="126"/>
      <c r="BO95" s="126"/>
      <c r="BP95" s="126"/>
      <c r="BQ95" s="126"/>
      <c r="BR95" s="126"/>
      <c r="BS95" s="126"/>
      <c r="BT95" s="126"/>
      <c r="BU95" s="126"/>
      <c r="BV95" s="126"/>
      <c r="BW95" s="126"/>
    </row>
    <row r="96">
      <c r="A96" s="249"/>
      <c r="B96" s="247"/>
      <c r="C96" s="252"/>
      <c r="D96" s="247"/>
      <c r="E96" s="247"/>
      <c r="F96" s="247"/>
      <c r="G96" s="247"/>
      <c r="H96" s="247"/>
      <c r="I96" s="247"/>
      <c r="J96" s="247"/>
      <c r="K96" s="247"/>
      <c r="L96" s="247"/>
      <c r="M96" s="247"/>
      <c r="N96" s="246"/>
      <c r="O96" s="247"/>
      <c r="P96" s="248"/>
      <c r="Q96" s="251"/>
      <c r="R96" s="250"/>
      <c r="S96" s="245"/>
      <c r="T96" s="126"/>
      <c r="U96" s="126"/>
      <c r="V96" s="126"/>
      <c r="W96" s="126"/>
      <c r="X96" s="126"/>
      <c r="Y96" s="126"/>
      <c r="Z96" s="126"/>
      <c r="AA96" s="126"/>
      <c r="AB96" s="126"/>
      <c r="AC96" s="126"/>
      <c r="AD96" s="126"/>
      <c r="AE96" s="126"/>
      <c r="AF96" s="126"/>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c r="BE96" s="126"/>
      <c r="BF96" s="126"/>
      <c r="BG96" s="126"/>
      <c r="BH96" s="126"/>
      <c r="BI96" s="126"/>
      <c r="BJ96" s="126"/>
      <c r="BK96" s="126"/>
      <c r="BL96" s="126"/>
      <c r="BM96" s="126"/>
      <c r="BN96" s="126"/>
      <c r="BO96" s="126"/>
      <c r="BP96" s="126"/>
      <c r="BQ96" s="126"/>
      <c r="BR96" s="126"/>
      <c r="BS96" s="126"/>
      <c r="BT96" s="126"/>
      <c r="BU96" s="126"/>
      <c r="BV96" s="126"/>
      <c r="BW96" s="126"/>
    </row>
    <row r="97">
      <c r="A97" s="249"/>
      <c r="B97" s="247"/>
      <c r="C97" s="252"/>
      <c r="D97" s="247"/>
      <c r="E97" s="247"/>
      <c r="F97" s="247"/>
      <c r="G97" s="247"/>
      <c r="H97" s="247"/>
      <c r="I97" s="247"/>
      <c r="J97" s="247"/>
      <c r="K97" s="247"/>
      <c r="L97" s="247"/>
      <c r="M97" s="247"/>
      <c r="N97" s="246"/>
      <c r="O97" s="247"/>
      <c r="P97" s="248"/>
      <c r="Q97" s="251"/>
      <c r="R97" s="250"/>
      <c r="S97" s="245"/>
      <c r="T97" s="126"/>
      <c r="U97" s="126"/>
      <c r="V97" s="126"/>
      <c r="W97" s="126"/>
      <c r="X97" s="126"/>
      <c r="Y97" s="126"/>
      <c r="Z97" s="126"/>
      <c r="AA97" s="126"/>
      <c r="AB97" s="126"/>
      <c r="AC97" s="126"/>
      <c r="AD97" s="126"/>
      <c r="AE97" s="126"/>
      <c r="AF97" s="126"/>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c r="BL97" s="126"/>
      <c r="BM97" s="126"/>
      <c r="BN97" s="126"/>
      <c r="BO97" s="126"/>
      <c r="BP97" s="126"/>
      <c r="BQ97" s="126"/>
      <c r="BR97" s="126"/>
      <c r="BS97" s="126"/>
      <c r="BT97" s="126"/>
      <c r="BU97" s="126"/>
      <c r="BV97" s="126"/>
      <c r="BW97" s="126"/>
    </row>
    <row r="98">
      <c r="A98" s="249"/>
      <c r="B98" s="247"/>
      <c r="C98" s="252"/>
      <c r="D98" s="247"/>
      <c r="E98" s="247"/>
      <c r="F98" s="247"/>
      <c r="G98" s="247"/>
      <c r="H98" s="247"/>
      <c r="I98" s="247"/>
      <c r="J98" s="247"/>
      <c r="K98" s="247"/>
      <c r="L98" s="247"/>
      <c r="M98" s="247"/>
      <c r="N98" s="246"/>
      <c r="O98" s="247"/>
      <c r="P98" s="248"/>
      <c r="Q98" s="251"/>
      <c r="R98" s="250"/>
      <c r="S98" s="245"/>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c r="BP98" s="126"/>
      <c r="BQ98" s="126"/>
      <c r="BR98" s="126"/>
      <c r="BS98" s="126"/>
      <c r="BT98" s="126"/>
      <c r="BU98" s="126"/>
      <c r="BV98" s="126"/>
      <c r="BW98" s="126"/>
    </row>
    <row r="99">
      <c r="A99" s="249"/>
      <c r="B99" s="247"/>
      <c r="C99" s="252"/>
      <c r="D99" s="247"/>
      <c r="E99" s="247"/>
      <c r="F99" s="247"/>
      <c r="G99" s="247"/>
      <c r="H99" s="247"/>
      <c r="I99" s="247"/>
      <c r="J99" s="247"/>
      <c r="K99" s="247"/>
      <c r="L99" s="247"/>
      <c r="M99" s="247"/>
      <c r="N99" s="246"/>
      <c r="O99" s="247"/>
      <c r="P99" s="248"/>
      <c r="Q99" s="251"/>
      <c r="R99" s="250"/>
      <c r="S99" s="245"/>
      <c r="T99" s="126"/>
      <c r="U99" s="126"/>
      <c r="V99" s="126"/>
      <c r="W99" s="126"/>
      <c r="X99" s="126"/>
      <c r="Y99" s="126"/>
      <c r="Z99" s="126"/>
      <c r="AA99" s="126"/>
      <c r="AB99" s="126"/>
      <c r="AC99" s="126"/>
      <c r="AD99" s="126"/>
      <c r="AE99" s="126"/>
      <c r="AF99" s="126"/>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c r="BC99" s="126"/>
      <c r="BD99" s="126"/>
      <c r="BE99" s="126"/>
      <c r="BF99" s="126"/>
      <c r="BG99" s="126"/>
      <c r="BH99" s="126"/>
      <c r="BI99" s="126"/>
      <c r="BJ99" s="126"/>
      <c r="BK99" s="126"/>
      <c r="BL99" s="126"/>
      <c r="BM99" s="126"/>
      <c r="BN99" s="126"/>
      <c r="BO99" s="126"/>
      <c r="BP99" s="126"/>
      <c r="BQ99" s="126"/>
      <c r="BR99" s="126"/>
      <c r="BS99" s="126"/>
      <c r="BT99" s="126"/>
      <c r="BU99" s="126"/>
      <c r="BV99" s="126"/>
      <c r="BW99" s="126"/>
    </row>
    <row r="100">
      <c r="A100" s="249"/>
      <c r="B100" s="247"/>
      <c r="C100" s="252"/>
      <c r="D100" s="247"/>
      <c r="E100" s="247"/>
      <c r="F100" s="247"/>
      <c r="G100" s="247"/>
      <c r="H100" s="247"/>
      <c r="I100" s="247"/>
      <c r="J100" s="247"/>
      <c r="K100" s="247"/>
      <c r="L100" s="247"/>
      <c r="M100" s="247"/>
      <c r="N100" s="246"/>
      <c r="O100" s="247"/>
      <c r="P100" s="248"/>
      <c r="Q100" s="251"/>
      <c r="R100" s="250"/>
      <c r="S100" s="245"/>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c r="BP100" s="126"/>
      <c r="BQ100" s="126"/>
      <c r="BR100" s="126"/>
      <c r="BS100" s="126"/>
      <c r="BT100" s="126"/>
      <c r="BU100" s="126"/>
      <c r="BV100" s="126"/>
      <c r="BW100" s="126"/>
    </row>
    <row r="101">
      <c r="A101" s="249"/>
      <c r="B101" s="247"/>
      <c r="C101" s="252"/>
      <c r="D101" s="247"/>
      <c r="E101" s="247"/>
      <c r="F101" s="247"/>
      <c r="G101" s="247"/>
      <c r="H101" s="247"/>
      <c r="I101" s="247"/>
      <c r="J101" s="247"/>
      <c r="K101" s="247"/>
      <c r="L101" s="247"/>
      <c r="M101" s="247"/>
      <c r="N101" s="246"/>
      <c r="O101" s="247"/>
      <c r="P101" s="248"/>
      <c r="Q101" s="251"/>
      <c r="R101" s="250"/>
      <c r="S101" s="245"/>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row>
    <row r="102">
      <c r="A102" s="249"/>
      <c r="B102" s="247"/>
      <c r="C102" s="252"/>
      <c r="D102" s="247"/>
      <c r="E102" s="247"/>
      <c r="F102" s="247"/>
      <c r="G102" s="247"/>
      <c r="H102" s="247"/>
      <c r="I102" s="247"/>
      <c r="J102" s="247"/>
      <c r="K102" s="247"/>
      <c r="L102" s="247"/>
      <c r="M102" s="247"/>
      <c r="N102" s="246"/>
      <c r="O102" s="247"/>
      <c r="P102" s="248"/>
      <c r="Q102" s="251"/>
      <c r="R102" s="250"/>
      <c r="S102" s="245"/>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126"/>
      <c r="BV102" s="126"/>
      <c r="BW102" s="126"/>
    </row>
    <row r="103">
      <c r="A103" s="249"/>
      <c r="B103" s="247"/>
      <c r="C103" s="252"/>
      <c r="D103" s="247"/>
      <c r="E103" s="247"/>
      <c r="F103" s="247"/>
      <c r="G103" s="247"/>
      <c r="H103" s="247"/>
      <c r="I103" s="247"/>
      <c r="J103" s="247"/>
      <c r="K103" s="247"/>
      <c r="L103" s="247"/>
      <c r="M103" s="247"/>
      <c r="N103" s="246"/>
      <c r="O103" s="247"/>
      <c r="P103" s="248"/>
      <c r="Q103" s="251"/>
      <c r="R103" s="250"/>
      <c r="S103" s="245"/>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c r="BP103" s="126"/>
      <c r="BQ103" s="126"/>
      <c r="BR103" s="126"/>
      <c r="BS103" s="126"/>
      <c r="BT103" s="126"/>
      <c r="BU103" s="126"/>
      <c r="BV103" s="126"/>
      <c r="BW103" s="126"/>
    </row>
    <row r="104">
      <c r="A104" s="249"/>
      <c r="B104" s="247"/>
      <c r="C104" s="252"/>
      <c r="D104" s="247"/>
      <c r="E104" s="247"/>
      <c r="F104" s="247"/>
      <c r="G104" s="247"/>
      <c r="H104" s="247"/>
      <c r="I104" s="247"/>
      <c r="J104" s="247"/>
      <c r="K104" s="247"/>
      <c r="L104" s="247"/>
      <c r="M104" s="247"/>
      <c r="N104" s="246"/>
      <c r="O104" s="247"/>
      <c r="P104" s="248"/>
      <c r="Q104" s="251"/>
      <c r="R104" s="250"/>
      <c r="S104" s="245"/>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126"/>
      <c r="BV104" s="126"/>
      <c r="BW104" s="126"/>
    </row>
    <row r="105">
      <c r="A105" s="249"/>
      <c r="B105" s="247"/>
      <c r="C105" s="252"/>
      <c r="D105" s="247"/>
      <c r="E105" s="247"/>
      <c r="F105" s="247"/>
      <c r="G105" s="247"/>
      <c r="H105" s="247"/>
      <c r="I105" s="247"/>
      <c r="J105" s="247"/>
      <c r="K105" s="247"/>
      <c r="L105" s="247"/>
      <c r="M105" s="247"/>
      <c r="N105" s="246"/>
      <c r="O105" s="247"/>
      <c r="P105" s="248"/>
      <c r="Q105" s="251"/>
      <c r="R105" s="250"/>
      <c r="S105" s="245"/>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c r="BL105" s="126"/>
      <c r="BM105" s="126"/>
      <c r="BN105" s="126"/>
      <c r="BO105" s="126"/>
      <c r="BP105" s="126"/>
      <c r="BQ105" s="126"/>
      <c r="BR105" s="126"/>
      <c r="BS105" s="126"/>
      <c r="BT105" s="126"/>
      <c r="BU105" s="126"/>
      <c r="BV105" s="126"/>
      <c r="BW105" s="126"/>
    </row>
    <row r="106">
      <c r="A106" s="249"/>
      <c r="B106" s="247"/>
      <c r="C106" s="252"/>
      <c r="D106" s="247"/>
      <c r="E106" s="247"/>
      <c r="F106" s="247"/>
      <c r="G106" s="247"/>
      <c r="H106" s="247"/>
      <c r="I106" s="247"/>
      <c r="J106" s="247"/>
      <c r="K106" s="247"/>
      <c r="L106" s="247"/>
      <c r="M106" s="247"/>
      <c r="N106" s="246"/>
      <c r="O106" s="247"/>
      <c r="P106" s="248"/>
      <c r="Q106" s="251"/>
      <c r="R106" s="250"/>
      <c r="S106" s="245"/>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6"/>
      <c r="BA106" s="126"/>
      <c r="BB106" s="126"/>
      <c r="BC106" s="126"/>
      <c r="BD106" s="126"/>
      <c r="BE106" s="126"/>
      <c r="BF106" s="126"/>
      <c r="BG106" s="126"/>
      <c r="BH106" s="126"/>
      <c r="BI106" s="126"/>
      <c r="BJ106" s="126"/>
      <c r="BK106" s="126"/>
      <c r="BL106" s="126"/>
      <c r="BM106" s="126"/>
      <c r="BN106" s="126"/>
      <c r="BO106" s="126"/>
      <c r="BP106" s="126"/>
      <c r="BQ106" s="126"/>
      <c r="BR106" s="126"/>
      <c r="BS106" s="126"/>
      <c r="BT106" s="126"/>
      <c r="BU106" s="126"/>
      <c r="BV106" s="126"/>
      <c r="BW106" s="126"/>
    </row>
    <row r="107">
      <c r="A107" s="249"/>
      <c r="B107" s="247"/>
      <c r="C107" s="252"/>
      <c r="D107" s="247"/>
      <c r="E107" s="247"/>
      <c r="F107" s="247"/>
      <c r="G107" s="247"/>
      <c r="H107" s="247"/>
      <c r="I107" s="247"/>
      <c r="J107" s="247"/>
      <c r="K107" s="247"/>
      <c r="L107" s="247"/>
      <c r="M107" s="247"/>
      <c r="N107" s="246"/>
      <c r="O107" s="247"/>
      <c r="P107" s="248"/>
      <c r="Q107" s="251"/>
      <c r="R107" s="250"/>
      <c r="S107" s="245"/>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126"/>
      <c r="BV107" s="126"/>
      <c r="BW107" s="126"/>
    </row>
    <row r="108">
      <c r="A108" s="249"/>
      <c r="B108" s="247"/>
      <c r="C108" s="252"/>
      <c r="D108" s="247"/>
      <c r="E108" s="247"/>
      <c r="F108" s="247"/>
      <c r="G108" s="247"/>
      <c r="H108" s="247"/>
      <c r="I108" s="247"/>
      <c r="J108" s="247"/>
      <c r="K108" s="247"/>
      <c r="L108" s="247"/>
      <c r="M108" s="247"/>
      <c r="N108" s="246"/>
      <c r="O108" s="247"/>
      <c r="P108" s="248"/>
      <c r="Q108" s="251"/>
      <c r="R108" s="250"/>
      <c r="S108" s="245"/>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c r="BJ108" s="126"/>
      <c r="BK108" s="126"/>
      <c r="BL108" s="126"/>
      <c r="BM108" s="126"/>
      <c r="BN108" s="126"/>
      <c r="BO108" s="126"/>
      <c r="BP108" s="126"/>
      <c r="BQ108" s="126"/>
      <c r="BR108" s="126"/>
      <c r="BS108" s="126"/>
      <c r="BT108" s="126"/>
      <c r="BU108" s="126"/>
      <c r="BV108" s="126"/>
      <c r="BW108" s="126"/>
    </row>
    <row r="109">
      <c r="A109" s="249"/>
      <c r="B109" s="247"/>
      <c r="C109" s="252"/>
      <c r="D109" s="247"/>
      <c r="E109" s="247"/>
      <c r="F109" s="247"/>
      <c r="G109" s="247"/>
      <c r="H109" s="247"/>
      <c r="I109" s="247"/>
      <c r="J109" s="247"/>
      <c r="K109" s="247"/>
      <c r="L109" s="247"/>
      <c r="M109" s="247"/>
      <c r="N109" s="246"/>
      <c r="O109" s="247"/>
      <c r="P109" s="248"/>
      <c r="Q109" s="251"/>
      <c r="R109" s="250"/>
      <c r="S109" s="245"/>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c r="BL109" s="126"/>
      <c r="BM109" s="126"/>
      <c r="BN109" s="126"/>
      <c r="BO109" s="126"/>
      <c r="BP109" s="126"/>
      <c r="BQ109" s="126"/>
      <c r="BR109" s="126"/>
      <c r="BS109" s="126"/>
      <c r="BT109" s="126"/>
      <c r="BU109" s="126"/>
      <c r="BV109" s="126"/>
      <c r="BW109" s="126"/>
    </row>
    <row r="110">
      <c r="A110" s="249"/>
      <c r="B110" s="247"/>
      <c r="C110" s="252"/>
      <c r="D110" s="247"/>
      <c r="E110" s="247"/>
      <c r="F110" s="247"/>
      <c r="G110" s="247"/>
      <c r="H110" s="247"/>
      <c r="I110" s="247"/>
      <c r="J110" s="247"/>
      <c r="K110" s="247"/>
      <c r="L110" s="247"/>
      <c r="M110" s="247"/>
      <c r="N110" s="246"/>
      <c r="O110" s="247"/>
      <c r="P110" s="248"/>
      <c r="Q110" s="251"/>
      <c r="R110" s="250"/>
      <c r="S110" s="245"/>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c r="BJ110" s="126"/>
      <c r="BK110" s="126"/>
      <c r="BL110" s="126"/>
      <c r="BM110" s="126"/>
      <c r="BN110" s="126"/>
      <c r="BO110" s="126"/>
      <c r="BP110" s="126"/>
      <c r="BQ110" s="126"/>
      <c r="BR110" s="126"/>
      <c r="BS110" s="126"/>
      <c r="BT110" s="126"/>
      <c r="BU110" s="126"/>
      <c r="BV110" s="126"/>
      <c r="BW110" s="126"/>
    </row>
    <row r="111">
      <c r="A111" s="249"/>
      <c r="B111" s="247"/>
      <c r="C111" s="252"/>
      <c r="D111" s="247"/>
      <c r="E111" s="247"/>
      <c r="F111" s="247"/>
      <c r="G111" s="247"/>
      <c r="H111" s="247"/>
      <c r="I111" s="247"/>
      <c r="J111" s="247"/>
      <c r="K111" s="247"/>
      <c r="L111" s="247"/>
      <c r="M111" s="247"/>
      <c r="N111" s="246"/>
      <c r="O111" s="247"/>
      <c r="P111" s="248"/>
      <c r="Q111" s="251"/>
      <c r="R111" s="250"/>
      <c r="S111" s="245"/>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c r="BL111" s="126"/>
      <c r="BM111" s="126"/>
      <c r="BN111" s="126"/>
      <c r="BO111" s="126"/>
      <c r="BP111" s="126"/>
      <c r="BQ111" s="126"/>
      <c r="BR111" s="126"/>
      <c r="BS111" s="126"/>
      <c r="BT111" s="126"/>
      <c r="BU111" s="126"/>
      <c r="BV111" s="126"/>
      <c r="BW111" s="126"/>
    </row>
    <row r="112">
      <c r="A112" s="249"/>
      <c r="B112" s="247"/>
      <c r="C112" s="252"/>
      <c r="D112" s="247"/>
      <c r="E112" s="247"/>
      <c r="F112" s="247"/>
      <c r="G112" s="247"/>
      <c r="H112" s="247"/>
      <c r="I112" s="247"/>
      <c r="J112" s="247"/>
      <c r="K112" s="247"/>
      <c r="L112" s="247"/>
      <c r="M112" s="247"/>
      <c r="N112" s="246"/>
      <c r="O112" s="247"/>
      <c r="P112" s="248"/>
      <c r="Q112" s="251"/>
      <c r="R112" s="250"/>
      <c r="S112" s="245"/>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c r="BJ112" s="126"/>
      <c r="BK112" s="126"/>
      <c r="BL112" s="126"/>
      <c r="BM112" s="126"/>
      <c r="BN112" s="126"/>
      <c r="BO112" s="126"/>
      <c r="BP112" s="126"/>
      <c r="BQ112" s="126"/>
      <c r="BR112" s="126"/>
      <c r="BS112" s="126"/>
      <c r="BT112" s="126"/>
      <c r="BU112" s="126"/>
      <c r="BV112" s="126"/>
      <c r="BW112" s="126"/>
    </row>
    <row r="113">
      <c r="A113" s="249"/>
      <c r="B113" s="247"/>
      <c r="C113" s="252"/>
      <c r="D113" s="247"/>
      <c r="E113" s="247"/>
      <c r="F113" s="247"/>
      <c r="G113" s="247"/>
      <c r="H113" s="247"/>
      <c r="I113" s="247"/>
      <c r="J113" s="247"/>
      <c r="K113" s="247"/>
      <c r="L113" s="247"/>
      <c r="M113" s="247"/>
      <c r="N113" s="246"/>
      <c r="O113" s="247"/>
      <c r="P113" s="248"/>
      <c r="Q113" s="251"/>
      <c r="R113" s="250"/>
      <c r="S113" s="245"/>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126"/>
      <c r="BV113" s="126"/>
      <c r="BW113" s="126"/>
    </row>
    <row r="114">
      <c r="A114" s="249"/>
      <c r="B114" s="247"/>
      <c r="C114" s="252"/>
      <c r="D114" s="247"/>
      <c r="E114" s="247"/>
      <c r="F114" s="247"/>
      <c r="G114" s="247"/>
      <c r="H114" s="247"/>
      <c r="I114" s="247"/>
      <c r="J114" s="247"/>
      <c r="K114" s="247"/>
      <c r="L114" s="247"/>
      <c r="M114" s="247"/>
      <c r="N114" s="246"/>
      <c r="O114" s="247"/>
      <c r="P114" s="248"/>
      <c r="Q114" s="251"/>
      <c r="R114" s="250"/>
      <c r="S114" s="245"/>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c r="BJ114" s="126"/>
      <c r="BK114" s="126"/>
      <c r="BL114" s="126"/>
      <c r="BM114" s="126"/>
      <c r="BN114" s="126"/>
      <c r="BO114" s="126"/>
      <c r="BP114" s="126"/>
      <c r="BQ114" s="126"/>
      <c r="BR114" s="126"/>
      <c r="BS114" s="126"/>
      <c r="BT114" s="126"/>
      <c r="BU114" s="126"/>
      <c r="BV114" s="126"/>
      <c r="BW114" s="126"/>
    </row>
    <row r="115">
      <c r="A115" s="249"/>
      <c r="B115" s="247"/>
      <c r="C115" s="252"/>
      <c r="D115" s="247"/>
      <c r="E115" s="247"/>
      <c r="F115" s="247"/>
      <c r="G115" s="247"/>
      <c r="H115" s="247"/>
      <c r="I115" s="247"/>
      <c r="J115" s="247"/>
      <c r="K115" s="247"/>
      <c r="L115" s="247"/>
      <c r="M115" s="247"/>
      <c r="N115" s="246"/>
      <c r="O115" s="247"/>
      <c r="P115" s="248"/>
      <c r="Q115" s="251"/>
      <c r="R115" s="250"/>
      <c r="S115" s="245"/>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c r="BJ115" s="126"/>
      <c r="BK115" s="126"/>
      <c r="BL115" s="126"/>
      <c r="BM115" s="126"/>
      <c r="BN115" s="126"/>
      <c r="BO115" s="126"/>
      <c r="BP115" s="126"/>
      <c r="BQ115" s="126"/>
      <c r="BR115" s="126"/>
      <c r="BS115" s="126"/>
      <c r="BT115" s="126"/>
      <c r="BU115" s="126"/>
      <c r="BV115" s="126"/>
      <c r="BW115" s="126"/>
    </row>
    <row r="116">
      <c r="A116" s="249"/>
      <c r="B116" s="247"/>
      <c r="C116" s="252"/>
      <c r="D116" s="247"/>
      <c r="E116" s="247"/>
      <c r="F116" s="247"/>
      <c r="G116" s="247"/>
      <c r="H116" s="247"/>
      <c r="I116" s="247"/>
      <c r="J116" s="247"/>
      <c r="K116" s="247"/>
      <c r="L116" s="247"/>
      <c r="M116" s="247"/>
      <c r="N116" s="246"/>
      <c r="O116" s="247"/>
      <c r="P116" s="248"/>
      <c r="Q116" s="251"/>
      <c r="R116" s="250"/>
      <c r="S116" s="245"/>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c r="BJ116" s="126"/>
      <c r="BK116" s="126"/>
      <c r="BL116" s="126"/>
      <c r="BM116" s="126"/>
      <c r="BN116" s="126"/>
      <c r="BO116" s="126"/>
      <c r="BP116" s="126"/>
      <c r="BQ116" s="126"/>
      <c r="BR116" s="126"/>
      <c r="BS116" s="126"/>
      <c r="BT116" s="126"/>
      <c r="BU116" s="126"/>
      <c r="BV116" s="126"/>
      <c r="BW116" s="126"/>
    </row>
    <row r="117">
      <c r="A117" s="249"/>
      <c r="B117" s="247"/>
      <c r="C117" s="252"/>
      <c r="D117" s="247"/>
      <c r="E117" s="247"/>
      <c r="F117" s="247"/>
      <c r="G117" s="247"/>
      <c r="H117" s="247"/>
      <c r="I117" s="247"/>
      <c r="J117" s="247"/>
      <c r="K117" s="247"/>
      <c r="L117" s="247"/>
      <c r="M117" s="247"/>
      <c r="N117" s="246"/>
      <c r="O117" s="247"/>
      <c r="P117" s="248"/>
      <c r="Q117" s="251"/>
      <c r="R117" s="250"/>
      <c r="S117" s="245"/>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c r="BJ117" s="126"/>
      <c r="BK117" s="126"/>
      <c r="BL117" s="126"/>
      <c r="BM117" s="126"/>
      <c r="BN117" s="126"/>
      <c r="BO117" s="126"/>
      <c r="BP117" s="126"/>
      <c r="BQ117" s="126"/>
      <c r="BR117" s="126"/>
      <c r="BS117" s="126"/>
      <c r="BT117" s="126"/>
      <c r="BU117" s="126"/>
      <c r="BV117" s="126"/>
      <c r="BW117" s="126"/>
    </row>
    <row r="118">
      <c r="A118" s="249"/>
      <c r="B118" s="247"/>
      <c r="C118" s="252"/>
      <c r="D118" s="247"/>
      <c r="E118" s="247"/>
      <c r="F118" s="247"/>
      <c r="G118" s="247"/>
      <c r="H118" s="247"/>
      <c r="I118" s="247"/>
      <c r="J118" s="247"/>
      <c r="K118" s="247"/>
      <c r="L118" s="247"/>
      <c r="M118" s="247"/>
      <c r="N118" s="246"/>
      <c r="O118" s="247"/>
      <c r="P118" s="248"/>
      <c r="Q118" s="251"/>
      <c r="R118" s="250"/>
      <c r="S118" s="245"/>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c r="BJ118" s="126"/>
      <c r="BK118" s="126"/>
      <c r="BL118" s="126"/>
      <c r="BM118" s="126"/>
      <c r="BN118" s="126"/>
      <c r="BO118" s="126"/>
      <c r="BP118" s="126"/>
      <c r="BQ118" s="126"/>
      <c r="BR118" s="126"/>
      <c r="BS118" s="126"/>
      <c r="BT118" s="126"/>
      <c r="BU118" s="126"/>
      <c r="BV118" s="126"/>
      <c r="BW118" s="126"/>
    </row>
    <row r="119">
      <c r="A119" s="249"/>
      <c r="B119" s="247"/>
      <c r="C119" s="252"/>
      <c r="D119" s="247"/>
      <c r="E119" s="247"/>
      <c r="F119" s="247"/>
      <c r="G119" s="247"/>
      <c r="H119" s="247"/>
      <c r="I119" s="247"/>
      <c r="J119" s="247"/>
      <c r="K119" s="247"/>
      <c r="L119" s="247"/>
      <c r="M119" s="247"/>
      <c r="N119" s="246"/>
      <c r="O119" s="247"/>
      <c r="P119" s="248"/>
      <c r="Q119" s="251"/>
      <c r="R119" s="250"/>
      <c r="S119" s="245"/>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c r="AP119" s="126"/>
      <c r="AQ119" s="126"/>
      <c r="AR119" s="126"/>
      <c r="AS119" s="126"/>
      <c r="AT119" s="126"/>
      <c r="AU119" s="126"/>
      <c r="AV119" s="126"/>
      <c r="AW119" s="126"/>
      <c r="AX119" s="126"/>
      <c r="AY119" s="126"/>
      <c r="AZ119" s="126"/>
      <c r="BA119" s="126"/>
      <c r="BB119" s="126"/>
      <c r="BC119" s="126"/>
      <c r="BD119" s="126"/>
      <c r="BE119" s="126"/>
      <c r="BF119" s="126"/>
      <c r="BG119" s="126"/>
      <c r="BH119" s="126"/>
      <c r="BI119" s="126"/>
      <c r="BJ119" s="126"/>
      <c r="BK119" s="126"/>
      <c r="BL119" s="126"/>
      <c r="BM119" s="126"/>
      <c r="BN119" s="126"/>
      <c r="BO119" s="126"/>
      <c r="BP119" s="126"/>
      <c r="BQ119" s="126"/>
      <c r="BR119" s="126"/>
      <c r="BS119" s="126"/>
      <c r="BT119" s="126"/>
      <c r="BU119" s="126"/>
      <c r="BV119" s="126"/>
      <c r="BW119" s="126"/>
    </row>
    <row r="120">
      <c r="A120" s="249"/>
      <c r="B120" s="247"/>
      <c r="C120" s="252"/>
      <c r="D120" s="247"/>
      <c r="E120" s="247"/>
      <c r="F120" s="247"/>
      <c r="G120" s="247"/>
      <c r="H120" s="247"/>
      <c r="I120" s="247"/>
      <c r="J120" s="247"/>
      <c r="K120" s="247"/>
      <c r="L120" s="247"/>
      <c r="M120" s="247"/>
      <c r="N120" s="246"/>
      <c r="O120" s="247"/>
      <c r="P120" s="248"/>
      <c r="Q120" s="251"/>
      <c r="R120" s="250"/>
      <c r="S120" s="245"/>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126"/>
      <c r="BV120" s="126"/>
      <c r="BW120" s="126"/>
    </row>
    <row r="121">
      <c r="A121" s="249"/>
      <c r="B121" s="247"/>
      <c r="C121" s="252"/>
      <c r="D121" s="247"/>
      <c r="E121" s="247"/>
      <c r="F121" s="247"/>
      <c r="G121" s="247"/>
      <c r="H121" s="247"/>
      <c r="I121" s="247"/>
      <c r="J121" s="247"/>
      <c r="K121" s="247"/>
      <c r="L121" s="247"/>
      <c r="M121" s="247"/>
      <c r="N121" s="246"/>
      <c r="O121" s="247"/>
      <c r="P121" s="248"/>
      <c r="Q121" s="251"/>
      <c r="R121" s="250"/>
      <c r="S121" s="245"/>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c r="BJ121" s="126"/>
      <c r="BK121" s="126"/>
      <c r="BL121" s="126"/>
      <c r="BM121" s="126"/>
      <c r="BN121" s="126"/>
      <c r="BO121" s="126"/>
      <c r="BP121" s="126"/>
      <c r="BQ121" s="126"/>
      <c r="BR121" s="126"/>
      <c r="BS121" s="126"/>
      <c r="BT121" s="126"/>
      <c r="BU121" s="126"/>
      <c r="BV121" s="126"/>
      <c r="BW121" s="126"/>
    </row>
    <row r="122">
      <c r="A122" s="249"/>
      <c r="B122" s="247"/>
      <c r="C122" s="252"/>
      <c r="D122" s="247"/>
      <c r="E122" s="247"/>
      <c r="F122" s="247"/>
      <c r="G122" s="247"/>
      <c r="H122" s="247"/>
      <c r="I122" s="247"/>
      <c r="J122" s="247"/>
      <c r="K122" s="247"/>
      <c r="L122" s="247"/>
      <c r="M122" s="247"/>
      <c r="N122" s="246"/>
      <c r="O122" s="247"/>
      <c r="P122" s="248"/>
      <c r="Q122" s="251"/>
      <c r="R122" s="250"/>
      <c r="S122" s="245"/>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c r="BJ122" s="126"/>
      <c r="BK122" s="126"/>
      <c r="BL122" s="126"/>
      <c r="BM122" s="126"/>
      <c r="BN122" s="126"/>
      <c r="BO122" s="126"/>
      <c r="BP122" s="126"/>
      <c r="BQ122" s="126"/>
      <c r="BR122" s="126"/>
      <c r="BS122" s="126"/>
      <c r="BT122" s="126"/>
      <c r="BU122" s="126"/>
      <c r="BV122" s="126"/>
      <c r="BW122" s="126"/>
    </row>
    <row r="123">
      <c r="A123" s="249"/>
      <c r="B123" s="247"/>
      <c r="C123" s="252"/>
      <c r="D123" s="247"/>
      <c r="E123" s="247"/>
      <c r="F123" s="247"/>
      <c r="G123" s="247"/>
      <c r="H123" s="247"/>
      <c r="I123" s="247"/>
      <c r="J123" s="247"/>
      <c r="K123" s="247"/>
      <c r="L123" s="247"/>
      <c r="M123" s="247"/>
      <c r="N123" s="246"/>
      <c r="O123" s="247"/>
      <c r="P123" s="248"/>
      <c r="Q123" s="251"/>
      <c r="R123" s="250"/>
      <c r="S123" s="245"/>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c r="BJ123" s="126"/>
      <c r="BK123" s="126"/>
      <c r="BL123" s="126"/>
      <c r="BM123" s="126"/>
      <c r="BN123" s="126"/>
      <c r="BO123" s="126"/>
      <c r="BP123" s="126"/>
      <c r="BQ123" s="126"/>
      <c r="BR123" s="126"/>
      <c r="BS123" s="126"/>
      <c r="BT123" s="126"/>
      <c r="BU123" s="126"/>
      <c r="BV123" s="126"/>
      <c r="BW123" s="126"/>
    </row>
    <row r="124">
      <c r="A124" s="249"/>
      <c r="B124" s="247"/>
      <c r="C124" s="252"/>
      <c r="D124" s="247"/>
      <c r="E124" s="247"/>
      <c r="F124" s="247"/>
      <c r="G124" s="247"/>
      <c r="H124" s="247"/>
      <c r="I124" s="247"/>
      <c r="J124" s="247"/>
      <c r="K124" s="247"/>
      <c r="L124" s="247"/>
      <c r="M124" s="247"/>
      <c r="N124" s="246"/>
      <c r="O124" s="247"/>
      <c r="P124" s="248"/>
      <c r="Q124" s="251"/>
      <c r="R124" s="250"/>
      <c r="S124" s="245"/>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c r="BJ124" s="126"/>
      <c r="BK124" s="126"/>
      <c r="BL124" s="126"/>
      <c r="BM124" s="126"/>
      <c r="BN124" s="126"/>
      <c r="BO124" s="126"/>
      <c r="BP124" s="126"/>
      <c r="BQ124" s="126"/>
      <c r="BR124" s="126"/>
      <c r="BS124" s="126"/>
      <c r="BT124" s="126"/>
      <c r="BU124" s="126"/>
      <c r="BV124" s="126"/>
      <c r="BW124" s="126"/>
    </row>
    <row r="125">
      <c r="A125" s="249"/>
      <c r="B125" s="247"/>
      <c r="C125" s="252"/>
      <c r="D125" s="247"/>
      <c r="E125" s="247"/>
      <c r="F125" s="247"/>
      <c r="G125" s="247"/>
      <c r="H125" s="247"/>
      <c r="I125" s="247"/>
      <c r="J125" s="247"/>
      <c r="K125" s="247"/>
      <c r="L125" s="247"/>
      <c r="M125" s="247"/>
      <c r="N125" s="246"/>
      <c r="O125" s="247"/>
      <c r="P125" s="248"/>
      <c r="Q125" s="251"/>
      <c r="R125" s="250"/>
      <c r="S125" s="245"/>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c r="BJ125" s="126"/>
      <c r="BK125" s="126"/>
      <c r="BL125" s="126"/>
      <c r="BM125" s="126"/>
      <c r="BN125" s="126"/>
      <c r="BO125" s="126"/>
      <c r="BP125" s="126"/>
      <c r="BQ125" s="126"/>
      <c r="BR125" s="126"/>
      <c r="BS125" s="126"/>
      <c r="BT125" s="126"/>
      <c r="BU125" s="126"/>
      <c r="BV125" s="126"/>
      <c r="BW125" s="126"/>
    </row>
    <row r="126">
      <c r="A126" s="249"/>
      <c r="B126" s="247"/>
      <c r="C126" s="252"/>
      <c r="D126" s="247"/>
      <c r="E126" s="247"/>
      <c r="F126" s="247"/>
      <c r="G126" s="247"/>
      <c r="H126" s="247"/>
      <c r="I126" s="247"/>
      <c r="J126" s="247"/>
      <c r="K126" s="247"/>
      <c r="L126" s="247"/>
      <c r="M126" s="247"/>
      <c r="N126" s="246"/>
      <c r="O126" s="247"/>
      <c r="P126" s="248"/>
      <c r="Q126" s="251"/>
      <c r="R126" s="250"/>
      <c r="S126" s="245"/>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126"/>
      <c r="BV126" s="126"/>
      <c r="BW126" s="126"/>
    </row>
    <row r="127">
      <c r="A127" s="249"/>
      <c r="B127" s="247"/>
      <c r="C127" s="252"/>
      <c r="D127" s="247"/>
      <c r="E127" s="247"/>
      <c r="F127" s="247"/>
      <c r="G127" s="247"/>
      <c r="H127" s="247"/>
      <c r="I127" s="247"/>
      <c r="J127" s="247"/>
      <c r="K127" s="247"/>
      <c r="L127" s="247"/>
      <c r="M127" s="247"/>
      <c r="N127" s="246"/>
      <c r="O127" s="247"/>
      <c r="P127" s="248"/>
      <c r="Q127" s="251"/>
      <c r="R127" s="250"/>
      <c r="S127" s="245"/>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c r="BJ127" s="126"/>
      <c r="BK127" s="126"/>
      <c r="BL127" s="126"/>
      <c r="BM127" s="126"/>
      <c r="BN127" s="126"/>
      <c r="BO127" s="126"/>
      <c r="BP127" s="126"/>
      <c r="BQ127" s="126"/>
      <c r="BR127" s="126"/>
      <c r="BS127" s="126"/>
      <c r="BT127" s="126"/>
      <c r="BU127" s="126"/>
      <c r="BV127" s="126"/>
      <c r="BW127" s="126"/>
    </row>
    <row r="128">
      <c r="A128" s="249"/>
      <c r="B128" s="247"/>
      <c r="C128" s="252"/>
      <c r="D128" s="247"/>
      <c r="E128" s="247"/>
      <c r="F128" s="247"/>
      <c r="G128" s="247"/>
      <c r="H128" s="247"/>
      <c r="I128" s="247"/>
      <c r="J128" s="247"/>
      <c r="K128" s="247"/>
      <c r="L128" s="247"/>
      <c r="M128" s="247"/>
      <c r="N128" s="246"/>
      <c r="O128" s="247"/>
      <c r="P128" s="248"/>
      <c r="Q128" s="251"/>
      <c r="R128" s="250"/>
      <c r="S128" s="245"/>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c r="BJ128" s="126"/>
      <c r="BK128" s="126"/>
      <c r="BL128" s="126"/>
      <c r="BM128" s="126"/>
      <c r="BN128" s="126"/>
      <c r="BO128" s="126"/>
      <c r="BP128" s="126"/>
      <c r="BQ128" s="126"/>
      <c r="BR128" s="126"/>
      <c r="BS128" s="126"/>
      <c r="BT128" s="126"/>
      <c r="BU128" s="126"/>
      <c r="BV128" s="126"/>
      <c r="BW128" s="126"/>
    </row>
    <row r="129">
      <c r="A129" s="249"/>
      <c r="B129" s="247"/>
      <c r="C129" s="252"/>
      <c r="D129" s="247"/>
      <c r="E129" s="247"/>
      <c r="F129" s="247"/>
      <c r="G129" s="247"/>
      <c r="H129" s="247"/>
      <c r="I129" s="247"/>
      <c r="J129" s="247"/>
      <c r="K129" s="247"/>
      <c r="L129" s="247"/>
      <c r="M129" s="247"/>
      <c r="N129" s="246"/>
      <c r="O129" s="247"/>
      <c r="P129" s="248"/>
      <c r="Q129" s="251"/>
      <c r="R129" s="250"/>
      <c r="S129" s="245"/>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126"/>
      <c r="AO129" s="126"/>
      <c r="AP129" s="126"/>
      <c r="AQ129" s="126"/>
      <c r="AR129" s="126"/>
      <c r="AS129" s="126"/>
      <c r="AT129" s="126"/>
      <c r="AU129" s="126"/>
      <c r="AV129" s="126"/>
      <c r="AW129" s="126"/>
      <c r="AX129" s="126"/>
      <c r="AY129" s="126"/>
      <c r="AZ129" s="126"/>
      <c r="BA129" s="126"/>
      <c r="BB129" s="126"/>
      <c r="BC129" s="126"/>
      <c r="BD129" s="126"/>
      <c r="BE129" s="126"/>
      <c r="BF129" s="126"/>
      <c r="BG129" s="126"/>
      <c r="BH129" s="126"/>
      <c r="BI129" s="126"/>
      <c r="BJ129" s="126"/>
      <c r="BK129" s="126"/>
      <c r="BL129" s="126"/>
      <c r="BM129" s="126"/>
      <c r="BN129" s="126"/>
      <c r="BO129" s="126"/>
      <c r="BP129" s="126"/>
      <c r="BQ129" s="126"/>
      <c r="BR129" s="126"/>
      <c r="BS129" s="126"/>
      <c r="BT129" s="126"/>
      <c r="BU129" s="126"/>
      <c r="BV129" s="126"/>
      <c r="BW129" s="126"/>
    </row>
    <row r="130">
      <c r="A130" s="249"/>
      <c r="B130" s="247"/>
      <c r="C130" s="252"/>
      <c r="D130" s="247"/>
      <c r="E130" s="247"/>
      <c r="F130" s="247"/>
      <c r="G130" s="247"/>
      <c r="H130" s="247"/>
      <c r="I130" s="247"/>
      <c r="J130" s="247"/>
      <c r="K130" s="247"/>
      <c r="L130" s="247"/>
      <c r="M130" s="247"/>
      <c r="N130" s="246"/>
      <c r="O130" s="247"/>
      <c r="P130" s="248"/>
      <c r="Q130" s="251"/>
      <c r="R130" s="250"/>
      <c r="S130" s="245"/>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126"/>
      <c r="AO130" s="126"/>
      <c r="AP130" s="126"/>
      <c r="AQ130" s="126"/>
      <c r="AR130" s="126"/>
      <c r="AS130" s="126"/>
      <c r="AT130" s="126"/>
      <c r="AU130" s="126"/>
      <c r="AV130" s="126"/>
      <c r="AW130" s="126"/>
      <c r="AX130" s="126"/>
      <c r="AY130" s="126"/>
      <c r="AZ130" s="126"/>
      <c r="BA130" s="126"/>
      <c r="BB130" s="126"/>
      <c r="BC130" s="126"/>
      <c r="BD130" s="126"/>
      <c r="BE130" s="126"/>
      <c r="BF130" s="126"/>
      <c r="BG130" s="126"/>
      <c r="BH130" s="126"/>
      <c r="BI130" s="126"/>
      <c r="BJ130" s="126"/>
      <c r="BK130" s="126"/>
      <c r="BL130" s="126"/>
      <c r="BM130" s="126"/>
      <c r="BN130" s="126"/>
      <c r="BO130" s="126"/>
      <c r="BP130" s="126"/>
      <c r="BQ130" s="126"/>
      <c r="BR130" s="126"/>
      <c r="BS130" s="126"/>
      <c r="BT130" s="126"/>
      <c r="BU130" s="126"/>
      <c r="BV130" s="126"/>
      <c r="BW130" s="126"/>
    </row>
    <row r="131">
      <c r="A131" s="249"/>
      <c r="B131" s="247"/>
      <c r="C131" s="252"/>
      <c r="D131" s="247"/>
      <c r="E131" s="247"/>
      <c r="F131" s="247"/>
      <c r="G131" s="247"/>
      <c r="H131" s="247"/>
      <c r="I131" s="247"/>
      <c r="J131" s="247"/>
      <c r="K131" s="247"/>
      <c r="L131" s="247"/>
      <c r="M131" s="247"/>
      <c r="N131" s="246"/>
      <c r="O131" s="247"/>
      <c r="P131" s="248"/>
      <c r="Q131" s="251"/>
      <c r="R131" s="250"/>
      <c r="S131" s="245"/>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c r="BJ131" s="126"/>
      <c r="BK131" s="126"/>
      <c r="BL131" s="126"/>
      <c r="BM131" s="126"/>
      <c r="BN131" s="126"/>
      <c r="BO131" s="126"/>
      <c r="BP131" s="126"/>
      <c r="BQ131" s="126"/>
      <c r="BR131" s="126"/>
      <c r="BS131" s="126"/>
      <c r="BT131" s="126"/>
      <c r="BU131" s="126"/>
      <c r="BV131" s="126"/>
      <c r="BW131" s="126"/>
    </row>
    <row r="132">
      <c r="A132" s="249"/>
      <c r="B132" s="247"/>
      <c r="C132" s="252"/>
      <c r="D132" s="247"/>
      <c r="E132" s="247"/>
      <c r="F132" s="247"/>
      <c r="G132" s="247"/>
      <c r="H132" s="247"/>
      <c r="I132" s="247"/>
      <c r="J132" s="247"/>
      <c r="K132" s="247"/>
      <c r="L132" s="247"/>
      <c r="M132" s="247"/>
      <c r="N132" s="246"/>
      <c r="O132" s="247"/>
      <c r="P132" s="248"/>
      <c r="Q132" s="251"/>
      <c r="R132" s="250"/>
      <c r="S132" s="245"/>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c r="BL132" s="126"/>
      <c r="BM132" s="126"/>
      <c r="BN132" s="126"/>
      <c r="BO132" s="126"/>
      <c r="BP132" s="126"/>
      <c r="BQ132" s="126"/>
      <c r="BR132" s="126"/>
      <c r="BS132" s="126"/>
      <c r="BT132" s="126"/>
      <c r="BU132" s="126"/>
      <c r="BV132" s="126"/>
      <c r="BW132" s="126"/>
    </row>
    <row r="133">
      <c r="A133" s="249"/>
      <c r="B133" s="247"/>
      <c r="C133" s="252"/>
      <c r="D133" s="247"/>
      <c r="E133" s="247"/>
      <c r="F133" s="247"/>
      <c r="G133" s="247"/>
      <c r="H133" s="247"/>
      <c r="I133" s="247"/>
      <c r="J133" s="247"/>
      <c r="K133" s="247"/>
      <c r="L133" s="247"/>
      <c r="M133" s="247"/>
      <c r="N133" s="246"/>
      <c r="O133" s="247"/>
      <c r="P133" s="248"/>
      <c r="Q133" s="251"/>
      <c r="R133" s="250"/>
      <c r="S133" s="245"/>
      <c r="T133" s="126"/>
      <c r="U133" s="126"/>
      <c r="V133" s="126"/>
      <c r="W133" s="126"/>
      <c r="X133" s="126"/>
      <c r="Y133" s="126"/>
      <c r="Z133" s="126"/>
      <c r="AA133" s="126"/>
      <c r="AB133" s="126"/>
      <c r="AC133" s="126"/>
      <c r="AD133" s="126"/>
      <c r="AE133" s="126"/>
      <c r="AF133" s="126"/>
      <c r="AG133" s="126"/>
      <c r="AH133" s="126"/>
      <c r="AI133" s="126"/>
      <c r="AJ133" s="126"/>
      <c r="AK133" s="126"/>
      <c r="AL133" s="126"/>
      <c r="AM133" s="126"/>
      <c r="AN133" s="126"/>
      <c r="AO133" s="126"/>
      <c r="AP133" s="126"/>
      <c r="AQ133" s="126"/>
      <c r="AR133" s="126"/>
      <c r="AS133" s="126"/>
      <c r="AT133" s="126"/>
      <c r="AU133" s="126"/>
      <c r="AV133" s="126"/>
      <c r="AW133" s="126"/>
      <c r="AX133" s="126"/>
      <c r="AY133" s="126"/>
      <c r="AZ133" s="126"/>
      <c r="BA133" s="126"/>
      <c r="BB133" s="126"/>
      <c r="BC133" s="126"/>
      <c r="BD133" s="126"/>
      <c r="BE133" s="126"/>
      <c r="BF133" s="126"/>
      <c r="BG133" s="126"/>
      <c r="BH133" s="126"/>
      <c r="BI133" s="126"/>
      <c r="BJ133" s="126"/>
      <c r="BK133" s="126"/>
      <c r="BL133" s="126"/>
      <c r="BM133" s="126"/>
      <c r="BN133" s="126"/>
      <c r="BO133" s="126"/>
      <c r="BP133" s="126"/>
      <c r="BQ133" s="126"/>
      <c r="BR133" s="126"/>
      <c r="BS133" s="126"/>
      <c r="BT133" s="126"/>
      <c r="BU133" s="126"/>
      <c r="BV133" s="126"/>
      <c r="BW133" s="126"/>
    </row>
    <row r="134">
      <c r="A134" s="249"/>
      <c r="B134" s="247"/>
      <c r="C134" s="252"/>
      <c r="D134" s="247"/>
      <c r="E134" s="247"/>
      <c r="F134" s="247"/>
      <c r="G134" s="247"/>
      <c r="H134" s="247"/>
      <c r="I134" s="247"/>
      <c r="J134" s="247"/>
      <c r="K134" s="247"/>
      <c r="L134" s="247"/>
      <c r="M134" s="247"/>
      <c r="N134" s="246"/>
      <c r="O134" s="247"/>
      <c r="P134" s="248"/>
      <c r="Q134" s="251"/>
      <c r="R134" s="250"/>
      <c r="S134" s="245"/>
      <c r="T134" s="126"/>
      <c r="U134" s="126"/>
      <c r="V134" s="126"/>
      <c r="W134" s="126"/>
      <c r="X134" s="126"/>
      <c r="Y134" s="126"/>
      <c r="Z134" s="126"/>
      <c r="AA134" s="126"/>
      <c r="AB134" s="126"/>
      <c r="AC134" s="126"/>
      <c r="AD134" s="126"/>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c r="AY134" s="126"/>
      <c r="AZ134" s="126"/>
      <c r="BA134" s="126"/>
      <c r="BB134" s="126"/>
      <c r="BC134" s="126"/>
      <c r="BD134" s="126"/>
      <c r="BE134" s="126"/>
      <c r="BF134" s="126"/>
      <c r="BG134" s="126"/>
      <c r="BH134" s="126"/>
      <c r="BI134" s="126"/>
      <c r="BJ134" s="126"/>
      <c r="BK134" s="126"/>
      <c r="BL134" s="126"/>
      <c r="BM134" s="126"/>
      <c r="BN134" s="126"/>
      <c r="BO134" s="126"/>
      <c r="BP134" s="126"/>
      <c r="BQ134" s="126"/>
      <c r="BR134" s="126"/>
      <c r="BS134" s="126"/>
      <c r="BT134" s="126"/>
      <c r="BU134" s="126"/>
      <c r="BV134" s="126"/>
      <c r="BW134" s="126"/>
    </row>
    <row r="135">
      <c r="A135" s="249"/>
      <c r="B135" s="247"/>
      <c r="C135" s="252"/>
      <c r="D135" s="247"/>
      <c r="E135" s="247"/>
      <c r="F135" s="247"/>
      <c r="G135" s="247"/>
      <c r="H135" s="247"/>
      <c r="I135" s="247"/>
      <c r="J135" s="247"/>
      <c r="K135" s="247"/>
      <c r="L135" s="247"/>
      <c r="M135" s="247"/>
      <c r="N135" s="246"/>
      <c r="O135" s="247"/>
      <c r="P135" s="248"/>
      <c r="Q135" s="251"/>
      <c r="R135" s="250"/>
      <c r="S135" s="245"/>
      <c r="T135" s="126"/>
      <c r="U135" s="126"/>
      <c r="V135" s="126"/>
      <c r="W135" s="126"/>
      <c r="X135" s="126"/>
      <c r="Y135" s="126"/>
      <c r="Z135" s="126"/>
      <c r="AA135" s="126"/>
      <c r="AB135" s="126"/>
      <c r="AC135" s="126"/>
      <c r="AD135" s="126"/>
      <c r="AE135" s="126"/>
      <c r="AF135" s="126"/>
      <c r="AG135" s="126"/>
      <c r="AH135" s="126"/>
      <c r="AI135" s="126"/>
      <c r="AJ135" s="126"/>
      <c r="AK135" s="126"/>
      <c r="AL135" s="126"/>
      <c r="AM135" s="126"/>
      <c r="AN135" s="126"/>
      <c r="AO135" s="126"/>
      <c r="AP135" s="126"/>
      <c r="AQ135" s="126"/>
      <c r="AR135" s="126"/>
      <c r="AS135" s="126"/>
      <c r="AT135" s="126"/>
      <c r="AU135" s="126"/>
      <c r="AV135" s="126"/>
      <c r="AW135" s="126"/>
      <c r="AX135" s="126"/>
      <c r="AY135" s="126"/>
      <c r="AZ135" s="126"/>
      <c r="BA135" s="126"/>
      <c r="BB135" s="126"/>
      <c r="BC135" s="126"/>
      <c r="BD135" s="126"/>
      <c r="BE135" s="126"/>
      <c r="BF135" s="126"/>
      <c r="BG135" s="126"/>
      <c r="BH135" s="126"/>
      <c r="BI135" s="126"/>
      <c r="BJ135" s="126"/>
      <c r="BK135" s="126"/>
      <c r="BL135" s="126"/>
      <c r="BM135" s="126"/>
      <c r="BN135" s="126"/>
      <c r="BO135" s="126"/>
      <c r="BP135" s="126"/>
      <c r="BQ135" s="126"/>
      <c r="BR135" s="126"/>
      <c r="BS135" s="126"/>
      <c r="BT135" s="126"/>
      <c r="BU135" s="126"/>
      <c r="BV135" s="126"/>
      <c r="BW135" s="126"/>
    </row>
    <row r="136">
      <c r="A136" s="249"/>
      <c r="B136" s="247"/>
      <c r="C136" s="252"/>
      <c r="D136" s="247"/>
      <c r="E136" s="247"/>
      <c r="F136" s="247"/>
      <c r="G136" s="247"/>
      <c r="H136" s="247"/>
      <c r="I136" s="247"/>
      <c r="J136" s="247"/>
      <c r="K136" s="247"/>
      <c r="L136" s="247"/>
      <c r="M136" s="247"/>
      <c r="N136" s="246"/>
      <c r="O136" s="247"/>
      <c r="P136" s="248"/>
      <c r="Q136" s="251"/>
      <c r="R136" s="250"/>
      <c r="S136" s="245"/>
      <c r="T136" s="126"/>
      <c r="U136" s="126"/>
      <c r="V136" s="126"/>
      <c r="W136" s="126"/>
      <c r="X136" s="126"/>
      <c r="Y136" s="126"/>
      <c r="Z136" s="126"/>
      <c r="AA136" s="126"/>
      <c r="AB136" s="126"/>
      <c r="AC136" s="126"/>
      <c r="AD136" s="126"/>
      <c r="AE136" s="126"/>
      <c r="AF136" s="126"/>
      <c r="AG136" s="126"/>
      <c r="AH136" s="126"/>
      <c r="AI136" s="126"/>
      <c r="AJ136" s="126"/>
      <c r="AK136" s="126"/>
      <c r="AL136" s="126"/>
      <c r="AM136" s="126"/>
      <c r="AN136" s="126"/>
      <c r="AO136" s="126"/>
      <c r="AP136" s="126"/>
      <c r="AQ136" s="126"/>
      <c r="AR136" s="126"/>
      <c r="AS136" s="126"/>
      <c r="AT136" s="126"/>
      <c r="AU136" s="126"/>
      <c r="AV136" s="126"/>
      <c r="AW136" s="126"/>
      <c r="AX136" s="126"/>
      <c r="AY136" s="126"/>
      <c r="AZ136" s="126"/>
      <c r="BA136" s="126"/>
      <c r="BB136" s="126"/>
      <c r="BC136" s="126"/>
      <c r="BD136" s="126"/>
      <c r="BE136" s="126"/>
      <c r="BF136" s="126"/>
      <c r="BG136" s="126"/>
      <c r="BH136" s="126"/>
      <c r="BI136" s="126"/>
      <c r="BJ136" s="126"/>
      <c r="BK136" s="126"/>
      <c r="BL136" s="126"/>
      <c r="BM136" s="126"/>
      <c r="BN136" s="126"/>
      <c r="BO136" s="126"/>
      <c r="BP136" s="126"/>
      <c r="BQ136" s="126"/>
      <c r="BR136" s="126"/>
      <c r="BS136" s="126"/>
      <c r="BT136" s="126"/>
      <c r="BU136" s="126"/>
      <c r="BV136" s="126"/>
      <c r="BW136" s="126"/>
    </row>
    <row r="137">
      <c r="A137" s="249"/>
      <c r="B137" s="247"/>
      <c r="C137" s="252"/>
      <c r="D137" s="247"/>
      <c r="E137" s="247"/>
      <c r="F137" s="247"/>
      <c r="G137" s="247"/>
      <c r="H137" s="247"/>
      <c r="I137" s="247"/>
      <c r="J137" s="247"/>
      <c r="K137" s="247"/>
      <c r="L137" s="247"/>
      <c r="M137" s="247"/>
      <c r="N137" s="246"/>
      <c r="O137" s="247"/>
      <c r="P137" s="248"/>
      <c r="Q137" s="251"/>
      <c r="R137" s="250"/>
      <c r="S137" s="245"/>
      <c r="T137" s="126"/>
      <c r="U137" s="126"/>
      <c r="V137" s="126"/>
      <c r="W137" s="126"/>
      <c r="X137" s="126"/>
      <c r="Y137" s="126"/>
      <c r="Z137" s="126"/>
      <c r="AA137" s="126"/>
      <c r="AB137" s="126"/>
      <c r="AC137" s="126"/>
      <c r="AD137" s="126"/>
      <c r="AE137" s="126"/>
      <c r="AF137" s="126"/>
      <c r="AG137" s="126"/>
      <c r="AH137" s="126"/>
      <c r="AI137" s="126"/>
      <c r="AJ137" s="126"/>
      <c r="AK137" s="126"/>
      <c r="AL137" s="126"/>
      <c r="AM137" s="126"/>
      <c r="AN137" s="126"/>
      <c r="AO137" s="126"/>
      <c r="AP137" s="126"/>
      <c r="AQ137" s="126"/>
      <c r="AR137" s="126"/>
      <c r="AS137" s="126"/>
      <c r="AT137" s="126"/>
      <c r="AU137" s="126"/>
      <c r="AV137" s="126"/>
      <c r="AW137" s="126"/>
      <c r="AX137" s="126"/>
      <c r="AY137" s="126"/>
      <c r="AZ137" s="126"/>
      <c r="BA137" s="126"/>
      <c r="BB137" s="126"/>
      <c r="BC137" s="126"/>
      <c r="BD137" s="126"/>
      <c r="BE137" s="126"/>
      <c r="BF137" s="126"/>
      <c r="BG137" s="126"/>
      <c r="BH137" s="126"/>
      <c r="BI137" s="126"/>
      <c r="BJ137" s="126"/>
      <c r="BK137" s="126"/>
      <c r="BL137" s="126"/>
      <c r="BM137" s="126"/>
      <c r="BN137" s="126"/>
      <c r="BO137" s="126"/>
      <c r="BP137" s="126"/>
      <c r="BQ137" s="126"/>
      <c r="BR137" s="126"/>
      <c r="BS137" s="126"/>
      <c r="BT137" s="126"/>
      <c r="BU137" s="126"/>
      <c r="BV137" s="126"/>
      <c r="BW137" s="126"/>
    </row>
    <row r="138">
      <c r="A138" s="249"/>
      <c r="B138" s="247"/>
      <c r="C138" s="252"/>
      <c r="D138" s="247"/>
      <c r="E138" s="247"/>
      <c r="F138" s="247"/>
      <c r="G138" s="247"/>
      <c r="H138" s="247"/>
      <c r="I138" s="247"/>
      <c r="J138" s="247"/>
      <c r="K138" s="247"/>
      <c r="L138" s="247"/>
      <c r="M138" s="247"/>
      <c r="N138" s="246"/>
      <c r="O138" s="247"/>
      <c r="P138" s="248"/>
      <c r="Q138" s="251"/>
      <c r="R138" s="250"/>
      <c r="S138" s="245"/>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c r="BL138" s="126"/>
      <c r="BM138" s="126"/>
      <c r="BN138" s="126"/>
      <c r="BO138" s="126"/>
      <c r="BP138" s="126"/>
      <c r="BQ138" s="126"/>
      <c r="BR138" s="126"/>
      <c r="BS138" s="126"/>
      <c r="BT138" s="126"/>
      <c r="BU138" s="126"/>
      <c r="BV138" s="126"/>
      <c r="BW138" s="126"/>
    </row>
    <row r="139">
      <c r="A139" s="249"/>
      <c r="B139" s="247"/>
      <c r="C139" s="252"/>
      <c r="D139" s="247"/>
      <c r="E139" s="247"/>
      <c r="F139" s="247"/>
      <c r="G139" s="247"/>
      <c r="H139" s="247"/>
      <c r="I139" s="247"/>
      <c r="J139" s="247"/>
      <c r="K139" s="247"/>
      <c r="L139" s="247"/>
      <c r="M139" s="247"/>
      <c r="N139" s="246"/>
      <c r="O139" s="247"/>
      <c r="P139" s="248"/>
      <c r="Q139" s="251"/>
      <c r="R139" s="250"/>
      <c r="S139" s="245"/>
      <c r="T139" s="126"/>
      <c r="U139" s="126"/>
      <c r="V139" s="126"/>
      <c r="W139" s="126"/>
      <c r="X139" s="126"/>
      <c r="Y139" s="126"/>
      <c r="Z139" s="126"/>
      <c r="AA139" s="126"/>
      <c r="AB139" s="126"/>
      <c r="AC139" s="126"/>
      <c r="AD139" s="126"/>
      <c r="AE139" s="126"/>
      <c r="AF139" s="126"/>
      <c r="AG139" s="126"/>
      <c r="AH139" s="126"/>
      <c r="AI139" s="126"/>
      <c r="AJ139" s="126"/>
      <c r="AK139" s="126"/>
      <c r="AL139" s="126"/>
      <c r="AM139" s="126"/>
      <c r="AN139" s="126"/>
      <c r="AO139" s="126"/>
      <c r="AP139" s="126"/>
      <c r="AQ139" s="126"/>
      <c r="AR139" s="126"/>
      <c r="AS139" s="126"/>
      <c r="AT139" s="126"/>
      <c r="AU139" s="126"/>
      <c r="AV139" s="126"/>
      <c r="AW139" s="126"/>
      <c r="AX139" s="126"/>
      <c r="AY139" s="126"/>
      <c r="AZ139" s="126"/>
      <c r="BA139" s="126"/>
      <c r="BB139" s="126"/>
      <c r="BC139" s="126"/>
      <c r="BD139" s="126"/>
      <c r="BE139" s="126"/>
      <c r="BF139" s="126"/>
      <c r="BG139" s="126"/>
      <c r="BH139" s="126"/>
      <c r="BI139" s="126"/>
      <c r="BJ139" s="126"/>
      <c r="BK139" s="126"/>
      <c r="BL139" s="126"/>
      <c r="BM139" s="126"/>
      <c r="BN139" s="126"/>
      <c r="BO139" s="126"/>
      <c r="BP139" s="126"/>
      <c r="BQ139" s="126"/>
      <c r="BR139" s="126"/>
      <c r="BS139" s="126"/>
      <c r="BT139" s="126"/>
      <c r="BU139" s="126"/>
      <c r="BV139" s="126"/>
      <c r="BW139" s="126"/>
    </row>
    <row r="140">
      <c r="A140" s="249"/>
      <c r="B140" s="247"/>
      <c r="C140" s="252"/>
      <c r="D140" s="247"/>
      <c r="E140" s="247"/>
      <c r="F140" s="247"/>
      <c r="G140" s="247"/>
      <c r="H140" s="247"/>
      <c r="I140" s="247"/>
      <c r="J140" s="247"/>
      <c r="K140" s="247"/>
      <c r="L140" s="247"/>
      <c r="M140" s="247"/>
      <c r="N140" s="246"/>
      <c r="O140" s="247"/>
      <c r="P140" s="248"/>
      <c r="Q140" s="251"/>
      <c r="R140" s="250"/>
      <c r="S140" s="245"/>
      <c r="T140" s="126"/>
      <c r="U140" s="126"/>
      <c r="V140" s="126"/>
      <c r="W140" s="126"/>
      <c r="X140" s="126"/>
      <c r="Y140" s="126"/>
      <c r="Z140" s="126"/>
      <c r="AA140" s="126"/>
      <c r="AB140" s="126"/>
      <c r="AC140" s="126"/>
      <c r="AD140" s="126"/>
      <c r="AE140" s="126"/>
      <c r="AF140" s="126"/>
      <c r="AG140" s="126"/>
      <c r="AH140" s="126"/>
      <c r="AI140" s="126"/>
      <c r="AJ140" s="126"/>
      <c r="AK140" s="126"/>
      <c r="AL140" s="126"/>
      <c r="AM140" s="126"/>
      <c r="AN140" s="126"/>
      <c r="AO140" s="126"/>
      <c r="AP140" s="126"/>
      <c r="AQ140" s="126"/>
      <c r="AR140" s="126"/>
      <c r="AS140" s="126"/>
      <c r="AT140" s="126"/>
      <c r="AU140" s="126"/>
      <c r="AV140" s="126"/>
      <c r="AW140" s="126"/>
      <c r="AX140" s="126"/>
      <c r="AY140" s="126"/>
      <c r="AZ140" s="126"/>
      <c r="BA140" s="126"/>
      <c r="BB140" s="126"/>
      <c r="BC140" s="126"/>
      <c r="BD140" s="126"/>
      <c r="BE140" s="126"/>
      <c r="BF140" s="126"/>
      <c r="BG140" s="126"/>
      <c r="BH140" s="126"/>
      <c r="BI140" s="126"/>
      <c r="BJ140" s="126"/>
      <c r="BK140" s="126"/>
      <c r="BL140" s="126"/>
      <c r="BM140" s="126"/>
      <c r="BN140" s="126"/>
      <c r="BO140" s="126"/>
      <c r="BP140" s="126"/>
      <c r="BQ140" s="126"/>
      <c r="BR140" s="126"/>
      <c r="BS140" s="126"/>
      <c r="BT140" s="126"/>
      <c r="BU140" s="126"/>
      <c r="BV140" s="126"/>
      <c r="BW140" s="126"/>
    </row>
    <row r="141">
      <c r="A141" s="249"/>
      <c r="B141" s="247"/>
      <c r="C141" s="252"/>
      <c r="D141" s="247"/>
      <c r="E141" s="247"/>
      <c r="F141" s="247"/>
      <c r="G141" s="247"/>
      <c r="H141" s="247"/>
      <c r="I141" s="247"/>
      <c r="J141" s="247"/>
      <c r="K141" s="247"/>
      <c r="L141" s="247"/>
      <c r="M141" s="247"/>
      <c r="N141" s="246"/>
      <c r="O141" s="247"/>
      <c r="P141" s="248"/>
      <c r="Q141" s="251"/>
      <c r="R141" s="250"/>
      <c r="S141" s="245"/>
      <c r="T141" s="126"/>
      <c r="U141" s="126"/>
      <c r="V141" s="126"/>
      <c r="W141" s="126"/>
      <c r="X141" s="126"/>
      <c r="Y141" s="126"/>
      <c r="Z141" s="126"/>
      <c r="AA141" s="126"/>
      <c r="AB141" s="126"/>
      <c r="AC141" s="126"/>
      <c r="AD141" s="126"/>
      <c r="AE141" s="126"/>
      <c r="AF141" s="126"/>
      <c r="AG141" s="126"/>
      <c r="AH141" s="126"/>
      <c r="AI141" s="126"/>
      <c r="AJ141" s="126"/>
      <c r="AK141" s="126"/>
      <c r="AL141" s="126"/>
      <c r="AM141" s="126"/>
      <c r="AN141" s="126"/>
      <c r="AO141" s="126"/>
      <c r="AP141" s="126"/>
      <c r="AQ141" s="126"/>
      <c r="AR141" s="126"/>
      <c r="AS141" s="126"/>
      <c r="AT141" s="126"/>
      <c r="AU141" s="126"/>
      <c r="AV141" s="126"/>
      <c r="AW141" s="126"/>
      <c r="AX141" s="126"/>
      <c r="AY141" s="126"/>
      <c r="AZ141" s="126"/>
      <c r="BA141" s="126"/>
      <c r="BB141" s="126"/>
      <c r="BC141" s="126"/>
      <c r="BD141" s="126"/>
      <c r="BE141" s="126"/>
      <c r="BF141" s="126"/>
      <c r="BG141" s="126"/>
      <c r="BH141" s="126"/>
      <c r="BI141" s="126"/>
      <c r="BJ141" s="126"/>
      <c r="BK141" s="126"/>
      <c r="BL141" s="126"/>
      <c r="BM141" s="126"/>
      <c r="BN141" s="126"/>
      <c r="BO141" s="126"/>
      <c r="BP141" s="126"/>
      <c r="BQ141" s="126"/>
      <c r="BR141" s="126"/>
      <c r="BS141" s="126"/>
      <c r="BT141" s="126"/>
      <c r="BU141" s="126"/>
      <c r="BV141" s="126"/>
      <c r="BW141" s="126"/>
    </row>
    <row r="142">
      <c r="A142" s="249"/>
      <c r="B142" s="247"/>
      <c r="C142" s="252"/>
      <c r="D142" s="247"/>
      <c r="E142" s="247"/>
      <c r="F142" s="247"/>
      <c r="G142" s="247"/>
      <c r="H142" s="247"/>
      <c r="I142" s="247"/>
      <c r="J142" s="247"/>
      <c r="K142" s="247"/>
      <c r="L142" s="247"/>
      <c r="M142" s="247"/>
      <c r="N142" s="246"/>
      <c r="O142" s="247"/>
      <c r="P142" s="248"/>
      <c r="Q142" s="251"/>
      <c r="R142" s="250"/>
      <c r="S142" s="245"/>
      <c r="T142" s="126"/>
      <c r="U142" s="126"/>
      <c r="V142" s="126"/>
      <c r="W142" s="126"/>
      <c r="X142" s="126"/>
      <c r="Y142" s="126"/>
      <c r="Z142" s="126"/>
      <c r="AA142" s="126"/>
      <c r="AB142" s="126"/>
      <c r="AC142" s="126"/>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c r="AY142" s="126"/>
      <c r="AZ142" s="126"/>
      <c r="BA142" s="126"/>
      <c r="BB142" s="126"/>
      <c r="BC142" s="126"/>
      <c r="BD142" s="126"/>
      <c r="BE142" s="126"/>
      <c r="BF142" s="126"/>
      <c r="BG142" s="126"/>
      <c r="BH142" s="126"/>
      <c r="BI142" s="126"/>
      <c r="BJ142" s="126"/>
      <c r="BK142" s="126"/>
      <c r="BL142" s="126"/>
      <c r="BM142" s="126"/>
      <c r="BN142" s="126"/>
      <c r="BO142" s="126"/>
      <c r="BP142" s="126"/>
      <c r="BQ142" s="126"/>
      <c r="BR142" s="126"/>
      <c r="BS142" s="126"/>
      <c r="BT142" s="126"/>
      <c r="BU142" s="126"/>
      <c r="BV142" s="126"/>
      <c r="BW142" s="126"/>
    </row>
    <row r="143">
      <c r="A143" s="249"/>
      <c r="B143" s="247"/>
      <c r="C143" s="252"/>
      <c r="D143" s="247"/>
      <c r="E143" s="247"/>
      <c r="F143" s="247"/>
      <c r="G143" s="247"/>
      <c r="H143" s="247"/>
      <c r="I143" s="247"/>
      <c r="J143" s="247"/>
      <c r="K143" s="247"/>
      <c r="L143" s="247"/>
      <c r="M143" s="247"/>
      <c r="N143" s="246"/>
      <c r="O143" s="247"/>
      <c r="P143" s="248"/>
      <c r="Q143" s="251"/>
      <c r="R143" s="250"/>
      <c r="S143" s="245"/>
      <c r="T143" s="126"/>
      <c r="U143" s="126"/>
      <c r="V143" s="126"/>
      <c r="W143" s="126"/>
      <c r="X143" s="126"/>
      <c r="Y143" s="126"/>
      <c r="Z143" s="126"/>
      <c r="AA143" s="126"/>
      <c r="AB143" s="126"/>
      <c r="AC143" s="126"/>
      <c r="AD143" s="126"/>
      <c r="AE143" s="126"/>
      <c r="AF143" s="126"/>
      <c r="AG143" s="126"/>
      <c r="AH143" s="126"/>
      <c r="AI143" s="126"/>
      <c r="AJ143" s="126"/>
      <c r="AK143" s="126"/>
      <c r="AL143" s="126"/>
      <c r="AM143" s="126"/>
      <c r="AN143" s="126"/>
      <c r="AO143" s="126"/>
      <c r="AP143" s="126"/>
      <c r="AQ143" s="126"/>
      <c r="AR143" s="126"/>
      <c r="AS143" s="126"/>
      <c r="AT143" s="126"/>
      <c r="AU143" s="126"/>
      <c r="AV143" s="126"/>
      <c r="AW143" s="126"/>
      <c r="AX143" s="126"/>
      <c r="AY143" s="126"/>
      <c r="AZ143" s="126"/>
      <c r="BA143" s="126"/>
      <c r="BB143" s="126"/>
      <c r="BC143" s="126"/>
      <c r="BD143" s="126"/>
      <c r="BE143" s="126"/>
      <c r="BF143" s="126"/>
      <c r="BG143" s="126"/>
      <c r="BH143" s="126"/>
      <c r="BI143" s="126"/>
      <c r="BJ143" s="126"/>
      <c r="BK143" s="126"/>
      <c r="BL143" s="126"/>
      <c r="BM143" s="126"/>
      <c r="BN143" s="126"/>
      <c r="BO143" s="126"/>
      <c r="BP143" s="126"/>
      <c r="BQ143" s="126"/>
      <c r="BR143" s="126"/>
      <c r="BS143" s="126"/>
      <c r="BT143" s="126"/>
      <c r="BU143" s="126"/>
      <c r="BV143" s="126"/>
      <c r="BW143" s="126"/>
    </row>
    <row r="144">
      <c r="A144" s="249"/>
      <c r="B144" s="247"/>
      <c r="C144" s="252"/>
      <c r="D144" s="247"/>
      <c r="E144" s="247"/>
      <c r="F144" s="247"/>
      <c r="G144" s="247"/>
      <c r="H144" s="247"/>
      <c r="I144" s="247"/>
      <c r="J144" s="247"/>
      <c r="K144" s="247"/>
      <c r="L144" s="247"/>
      <c r="M144" s="247"/>
      <c r="N144" s="246"/>
      <c r="O144" s="247"/>
      <c r="P144" s="248"/>
      <c r="Q144" s="251"/>
      <c r="R144" s="250"/>
      <c r="S144" s="245"/>
      <c r="T144" s="126"/>
      <c r="U144" s="126"/>
      <c r="V144" s="126"/>
      <c r="W144" s="126"/>
      <c r="X144" s="126"/>
      <c r="Y144" s="126"/>
      <c r="Z144" s="126"/>
      <c r="AA144" s="126"/>
      <c r="AB144" s="126"/>
      <c r="AC144" s="126"/>
      <c r="AD144" s="126"/>
      <c r="AE144" s="126"/>
      <c r="AF144" s="126"/>
      <c r="AG144" s="126"/>
      <c r="AH144" s="126"/>
      <c r="AI144" s="126"/>
      <c r="AJ144" s="126"/>
      <c r="AK144" s="126"/>
      <c r="AL144" s="126"/>
      <c r="AM144" s="126"/>
      <c r="AN144" s="126"/>
      <c r="AO144" s="126"/>
      <c r="AP144" s="126"/>
      <c r="AQ144" s="126"/>
      <c r="AR144" s="126"/>
      <c r="AS144" s="126"/>
      <c r="AT144" s="126"/>
      <c r="AU144" s="126"/>
      <c r="AV144" s="126"/>
      <c r="AW144" s="126"/>
      <c r="AX144" s="126"/>
      <c r="AY144" s="126"/>
      <c r="AZ144" s="126"/>
      <c r="BA144" s="126"/>
      <c r="BB144" s="126"/>
      <c r="BC144" s="126"/>
      <c r="BD144" s="126"/>
      <c r="BE144" s="126"/>
      <c r="BF144" s="126"/>
      <c r="BG144" s="126"/>
      <c r="BH144" s="126"/>
      <c r="BI144" s="126"/>
      <c r="BJ144" s="126"/>
      <c r="BK144" s="126"/>
      <c r="BL144" s="126"/>
      <c r="BM144" s="126"/>
      <c r="BN144" s="126"/>
      <c r="BO144" s="126"/>
      <c r="BP144" s="126"/>
      <c r="BQ144" s="126"/>
      <c r="BR144" s="126"/>
      <c r="BS144" s="126"/>
      <c r="BT144" s="126"/>
      <c r="BU144" s="126"/>
      <c r="BV144" s="126"/>
      <c r="BW144" s="126"/>
    </row>
    <row r="145">
      <c r="A145" s="249"/>
      <c r="B145" s="247"/>
      <c r="C145" s="252"/>
      <c r="D145" s="247"/>
      <c r="E145" s="247"/>
      <c r="F145" s="247"/>
      <c r="G145" s="247"/>
      <c r="H145" s="247"/>
      <c r="I145" s="247"/>
      <c r="J145" s="247"/>
      <c r="K145" s="247"/>
      <c r="L145" s="247"/>
      <c r="M145" s="247"/>
      <c r="N145" s="246"/>
      <c r="O145" s="247"/>
      <c r="P145" s="248"/>
      <c r="Q145" s="251"/>
      <c r="R145" s="250"/>
      <c r="S145" s="245"/>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c r="BL145" s="126"/>
      <c r="BM145" s="126"/>
      <c r="BN145" s="126"/>
      <c r="BO145" s="126"/>
      <c r="BP145" s="126"/>
      <c r="BQ145" s="126"/>
      <c r="BR145" s="126"/>
      <c r="BS145" s="126"/>
      <c r="BT145" s="126"/>
      <c r="BU145" s="126"/>
      <c r="BV145" s="126"/>
      <c r="BW145" s="126"/>
    </row>
    <row r="146">
      <c r="A146" s="249"/>
      <c r="B146" s="247"/>
      <c r="C146" s="252"/>
      <c r="D146" s="247"/>
      <c r="E146" s="247"/>
      <c r="F146" s="247"/>
      <c r="G146" s="247"/>
      <c r="H146" s="247"/>
      <c r="I146" s="247"/>
      <c r="J146" s="247"/>
      <c r="K146" s="247"/>
      <c r="L146" s="247"/>
      <c r="M146" s="247"/>
      <c r="N146" s="246"/>
      <c r="O146" s="247"/>
      <c r="P146" s="248"/>
      <c r="Q146" s="251"/>
      <c r="R146" s="250"/>
      <c r="S146" s="245"/>
      <c r="T146" s="126"/>
      <c r="U146" s="126"/>
      <c r="V146" s="126"/>
      <c r="W146" s="126"/>
      <c r="X146" s="126"/>
      <c r="Y146" s="126"/>
      <c r="Z146" s="126"/>
      <c r="AA146" s="126"/>
      <c r="AB146" s="126"/>
      <c r="AC146" s="126"/>
      <c r="AD146" s="126"/>
      <c r="AE146" s="126"/>
      <c r="AF146" s="126"/>
      <c r="AG146" s="126"/>
      <c r="AH146" s="126"/>
      <c r="AI146" s="126"/>
      <c r="AJ146" s="126"/>
      <c r="AK146" s="126"/>
      <c r="AL146" s="126"/>
      <c r="AM146" s="126"/>
      <c r="AN146" s="126"/>
      <c r="AO146" s="126"/>
      <c r="AP146" s="126"/>
      <c r="AQ146" s="126"/>
      <c r="AR146" s="126"/>
      <c r="AS146" s="126"/>
      <c r="AT146" s="126"/>
      <c r="AU146" s="126"/>
      <c r="AV146" s="126"/>
      <c r="AW146" s="126"/>
      <c r="AX146" s="126"/>
      <c r="AY146" s="126"/>
      <c r="AZ146" s="126"/>
      <c r="BA146" s="126"/>
      <c r="BB146" s="126"/>
      <c r="BC146" s="126"/>
      <c r="BD146" s="126"/>
      <c r="BE146" s="126"/>
      <c r="BF146" s="126"/>
      <c r="BG146" s="126"/>
      <c r="BH146" s="126"/>
      <c r="BI146" s="126"/>
      <c r="BJ146" s="126"/>
      <c r="BK146" s="126"/>
      <c r="BL146" s="126"/>
      <c r="BM146" s="126"/>
      <c r="BN146" s="126"/>
      <c r="BO146" s="126"/>
      <c r="BP146" s="126"/>
      <c r="BQ146" s="126"/>
      <c r="BR146" s="126"/>
      <c r="BS146" s="126"/>
      <c r="BT146" s="126"/>
      <c r="BU146" s="126"/>
      <c r="BV146" s="126"/>
      <c r="BW146" s="126"/>
    </row>
    <row r="147">
      <c r="A147" s="249"/>
      <c r="B147" s="247"/>
      <c r="C147" s="252"/>
      <c r="D147" s="247"/>
      <c r="E147" s="247"/>
      <c r="F147" s="247"/>
      <c r="G147" s="247"/>
      <c r="H147" s="247"/>
      <c r="I147" s="247"/>
      <c r="J147" s="247"/>
      <c r="K147" s="247"/>
      <c r="L147" s="247"/>
      <c r="M147" s="247"/>
      <c r="N147" s="246"/>
      <c r="O147" s="247"/>
      <c r="P147" s="248"/>
      <c r="Q147" s="251"/>
      <c r="R147" s="250"/>
      <c r="S147" s="245"/>
      <c r="T147" s="126"/>
      <c r="U147" s="126"/>
      <c r="V147" s="126"/>
      <c r="W147" s="126"/>
      <c r="X147" s="126"/>
      <c r="Y147" s="126"/>
      <c r="Z147" s="126"/>
      <c r="AA147" s="126"/>
      <c r="AB147" s="126"/>
      <c r="AC147" s="126"/>
      <c r="AD147" s="126"/>
      <c r="AE147" s="126"/>
      <c r="AF147" s="126"/>
      <c r="AG147" s="126"/>
      <c r="AH147" s="126"/>
      <c r="AI147" s="126"/>
      <c r="AJ147" s="126"/>
      <c r="AK147" s="126"/>
      <c r="AL147" s="126"/>
      <c r="AM147" s="126"/>
      <c r="AN147" s="126"/>
      <c r="AO147" s="126"/>
      <c r="AP147" s="126"/>
      <c r="AQ147" s="126"/>
      <c r="AR147" s="126"/>
      <c r="AS147" s="126"/>
      <c r="AT147" s="126"/>
      <c r="AU147" s="126"/>
      <c r="AV147" s="126"/>
      <c r="AW147" s="126"/>
      <c r="AX147" s="126"/>
      <c r="AY147" s="126"/>
      <c r="AZ147" s="126"/>
      <c r="BA147" s="126"/>
      <c r="BB147" s="126"/>
      <c r="BC147" s="126"/>
      <c r="BD147" s="126"/>
      <c r="BE147" s="126"/>
      <c r="BF147" s="126"/>
      <c r="BG147" s="126"/>
      <c r="BH147" s="126"/>
      <c r="BI147" s="126"/>
      <c r="BJ147" s="126"/>
      <c r="BK147" s="126"/>
      <c r="BL147" s="126"/>
      <c r="BM147" s="126"/>
      <c r="BN147" s="126"/>
      <c r="BO147" s="126"/>
      <c r="BP147" s="126"/>
      <c r="BQ147" s="126"/>
      <c r="BR147" s="126"/>
      <c r="BS147" s="126"/>
      <c r="BT147" s="126"/>
      <c r="BU147" s="126"/>
      <c r="BV147" s="126"/>
      <c r="BW147" s="126"/>
    </row>
    <row r="148">
      <c r="A148" s="249"/>
      <c r="B148" s="247"/>
      <c r="C148" s="252"/>
      <c r="D148" s="247"/>
      <c r="E148" s="247"/>
      <c r="F148" s="247"/>
      <c r="G148" s="247"/>
      <c r="H148" s="247"/>
      <c r="I148" s="247"/>
      <c r="J148" s="247"/>
      <c r="K148" s="247"/>
      <c r="L148" s="247"/>
      <c r="M148" s="247"/>
      <c r="N148" s="246"/>
      <c r="O148" s="247"/>
      <c r="P148" s="248"/>
      <c r="Q148" s="251"/>
      <c r="R148" s="250"/>
      <c r="S148" s="245"/>
      <c r="T148" s="126"/>
      <c r="U148" s="126"/>
      <c r="V148" s="126"/>
      <c r="W148" s="126"/>
      <c r="X148" s="126"/>
      <c r="Y148" s="126"/>
      <c r="Z148" s="126"/>
      <c r="AA148" s="126"/>
      <c r="AB148" s="126"/>
      <c r="AC148" s="126"/>
      <c r="AD148" s="126"/>
      <c r="AE148" s="126"/>
      <c r="AF148" s="126"/>
      <c r="AG148" s="126"/>
      <c r="AH148" s="126"/>
      <c r="AI148" s="126"/>
      <c r="AJ148" s="126"/>
      <c r="AK148" s="126"/>
      <c r="AL148" s="126"/>
      <c r="AM148" s="126"/>
      <c r="AN148" s="126"/>
      <c r="AO148" s="126"/>
      <c r="AP148" s="126"/>
      <c r="AQ148" s="126"/>
      <c r="AR148" s="126"/>
      <c r="AS148" s="126"/>
      <c r="AT148" s="126"/>
      <c r="AU148" s="126"/>
      <c r="AV148" s="126"/>
      <c r="AW148" s="126"/>
      <c r="AX148" s="126"/>
      <c r="AY148" s="126"/>
      <c r="AZ148" s="126"/>
      <c r="BA148" s="126"/>
      <c r="BB148" s="126"/>
      <c r="BC148" s="126"/>
      <c r="BD148" s="126"/>
      <c r="BE148" s="126"/>
      <c r="BF148" s="126"/>
      <c r="BG148" s="126"/>
      <c r="BH148" s="126"/>
      <c r="BI148" s="126"/>
      <c r="BJ148" s="126"/>
      <c r="BK148" s="126"/>
      <c r="BL148" s="126"/>
      <c r="BM148" s="126"/>
      <c r="BN148" s="126"/>
      <c r="BO148" s="126"/>
      <c r="BP148" s="126"/>
      <c r="BQ148" s="126"/>
      <c r="BR148" s="126"/>
      <c r="BS148" s="126"/>
      <c r="BT148" s="126"/>
      <c r="BU148" s="126"/>
      <c r="BV148" s="126"/>
      <c r="BW148" s="126"/>
    </row>
    <row r="149">
      <c r="A149" s="249"/>
      <c r="B149" s="247"/>
      <c r="C149" s="252"/>
      <c r="D149" s="247"/>
      <c r="E149" s="247"/>
      <c r="F149" s="247"/>
      <c r="G149" s="247"/>
      <c r="H149" s="247"/>
      <c r="I149" s="247"/>
      <c r="J149" s="247"/>
      <c r="K149" s="247"/>
      <c r="L149" s="247"/>
      <c r="M149" s="247"/>
      <c r="N149" s="246"/>
      <c r="O149" s="247"/>
      <c r="P149" s="248"/>
      <c r="Q149" s="251"/>
      <c r="R149" s="250"/>
      <c r="S149" s="245"/>
      <c r="T149" s="126"/>
      <c r="U149" s="126"/>
      <c r="V149" s="126"/>
      <c r="W149" s="126"/>
      <c r="X149" s="126"/>
      <c r="Y149" s="126"/>
      <c r="Z149" s="126"/>
      <c r="AA149" s="126"/>
      <c r="AB149" s="126"/>
      <c r="AC149" s="126"/>
      <c r="AD149" s="126"/>
      <c r="AE149" s="126"/>
      <c r="AF149" s="126"/>
      <c r="AG149" s="126"/>
      <c r="AH149" s="126"/>
      <c r="AI149" s="126"/>
      <c r="AJ149" s="126"/>
      <c r="AK149" s="126"/>
      <c r="AL149" s="126"/>
      <c r="AM149" s="126"/>
      <c r="AN149" s="126"/>
      <c r="AO149" s="126"/>
      <c r="AP149" s="126"/>
      <c r="AQ149" s="126"/>
      <c r="AR149" s="126"/>
      <c r="AS149" s="126"/>
      <c r="AT149" s="126"/>
      <c r="AU149" s="126"/>
      <c r="AV149" s="126"/>
      <c r="AW149" s="126"/>
      <c r="AX149" s="126"/>
      <c r="AY149" s="126"/>
      <c r="AZ149" s="126"/>
      <c r="BA149" s="126"/>
      <c r="BB149" s="126"/>
      <c r="BC149" s="126"/>
      <c r="BD149" s="126"/>
      <c r="BE149" s="126"/>
      <c r="BF149" s="126"/>
      <c r="BG149" s="126"/>
      <c r="BH149" s="126"/>
      <c r="BI149" s="126"/>
      <c r="BJ149" s="126"/>
      <c r="BK149" s="126"/>
      <c r="BL149" s="126"/>
      <c r="BM149" s="126"/>
      <c r="BN149" s="126"/>
      <c r="BO149" s="126"/>
      <c r="BP149" s="126"/>
      <c r="BQ149" s="126"/>
      <c r="BR149" s="126"/>
      <c r="BS149" s="126"/>
      <c r="BT149" s="126"/>
      <c r="BU149" s="126"/>
      <c r="BV149" s="126"/>
      <c r="BW149" s="126"/>
    </row>
    <row r="150">
      <c r="A150" s="249"/>
      <c r="B150" s="247"/>
      <c r="C150" s="252"/>
      <c r="D150" s="247"/>
      <c r="E150" s="247"/>
      <c r="F150" s="247"/>
      <c r="G150" s="247"/>
      <c r="H150" s="247"/>
      <c r="I150" s="247"/>
      <c r="J150" s="247"/>
      <c r="K150" s="247"/>
      <c r="L150" s="247"/>
      <c r="M150" s="247"/>
      <c r="N150" s="246"/>
      <c r="O150" s="247"/>
      <c r="P150" s="248"/>
      <c r="Q150" s="251"/>
      <c r="R150" s="250"/>
      <c r="S150" s="245"/>
      <c r="T150" s="126"/>
      <c r="U150" s="126"/>
      <c r="V150" s="126"/>
      <c r="W150" s="126"/>
      <c r="X150" s="126"/>
      <c r="Y150" s="126"/>
      <c r="Z150" s="126"/>
      <c r="AA150" s="126"/>
      <c r="AB150" s="126"/>
      <c r="AC150" s="126"/>
      <c r="AD150" s="126"/>
      <c r="AE150" s="126"/>
      <c r="AF150" s="126"/>
      <c r="AG150" s="126"/>
      <c r="AH150" s="126"/>
      <c r="AI150" s="126"/>
      <c r="AJ150" s="126"/>
      <c r="AK150" s="126"/>
      <c r="AL150" s="126"/>
      <c r="AM150" s="126"/>
      <c r="AN150" s="126"/>
      <c r="AO150" s="126"/>
      <c r="AP150" s="126"/>
      <c r="AQ150" s="126"/>
      <c r="AR150" s="126"/>
      <c r="AS150" s="126"/>
      <c r="AT150" s="126"/>
      <c r="AU150" s="126"/>
      <c r="AV150" s="126"/>
      <c r="AW150" s="126"/>
      <c r="AX150" s="126"/>
      <c r="AY150" s="126"/>
      <c r="AZ150" s="126"/>
      <c r="BA150" s="126"/>
      <c r="BB150" s="126"/>
      <c r="BC150" s="126"/>
      <c r="BD150" s="126"/>
      <c r="BE150" s="126"/>
      <c r="BF150" s="126"/>
      <c r="BG150" s="126"/>
      <c r="BH150" s="126"/>
      <c r="BI150" s="126"/>
      <c r="BJ150" s="126"/>
      <c r="BK150" s="126"/>
      <c r="BL150" s="126"/>
      <c r="BM150" s="126"/>
      <c r="BN150" s="126"/>
      <c r="BO150" s="126"/>
      <c r="BP150" s="126"/>
      <c r="BQ150" s="126"/>
      <c r="BR150" s="126"/>
      <c r="BS150" s="126"/>
      <c r="BT150" s="126"/>
      <c r="BU150" s="126"/>
      <c r="BV150" s="126"/>
      <c r="BW150" s="126"/>
    </row>
    <row r="151">
      <c r="A151" s="249"/>
      <c r="B151" s="247"/>
      <c r="C151" s="252"/>
      <c r="D151" s="247"/>
      <c r="E151" s="247"/>
      <c r="F151" s="247"/>
      <c r="G151" s="247"/>
      <c r="H151" s="247"/>
      <c r="I151" s="247"/>
      <c r="J151" s="247"/>
      <c r="K151" s="247"/>
      <c r="L151" s="247"/>
      <c r="M151" s="247"/>
      <c r="N151" s="246"/>
      <c r="O151" s="247"/>
      <c r="P151" s="248"/>
      <c r="Q151" s="251"/>
      <c r="R151" s="250"/>
      <c r="S151" s="245"/>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c r="BL151" s="126"/>
      <c r="BM151" s="126"/>
      <c r="BN151" s="126"/>
      <c r="BO151" s="126"/>
      <c r="BP151" s="126"/>
      <c r="BQ151" s="126"/>
      <c r="BR151" s="126"/>
      <c r="BS151" s="126"/>
      <c r="BT151" s="126"/>
      <c r="BU151" s="126"/>
      <c r="BV151" s="126"/>
      <c r="BW151" s="126"/>
    </row>
    <row r="152">
      <c r="A152" s="249"/>
      <c r="B152" s="247"/>
      <c r="C152" s="252"/>
      <c r="D152" s="247"/>
      <c r="E152" s="247"/>
      <c r="F152" s="247"/>
      <c r="G152" s="247"/>
      <c r="H152" s="247"/>
      <c r="I152" s="247"/>
      <c r="J152" s="247"/>
      <c r="K152" s="247"/>
      <c r="L152" s="247"/>
      <c r="M152" s="247"/>
      <c r="N152" s="246"/>
      <c r="O152" s="247"/>
      <c r="P152" s="248"/>
      <c r="Q152" s="251"/>
      <c r="R152" s="250"/>
      <c r="S152" s="245"/>
      <c r="T152" s="126"/>
      <c r="U152" s="126"/>
      <c r="V152" s="126"/>
      <c r="W152" s="126"/>
      <c r="X152" s="126"/>
      <c r="Y152" s="126"/>
      <c r="Z152" s="126"/>
      <c r="AA152" s="126"/>
      <c r="AB152" s="126"/>
      <c r="AC152" s="126"/>
      <c r="AD152" s="126"/>
      <c r="AE152" s="126"/>
      <c r="AF152" s="126"/>
      <c r="AG152" s="126"/>
      <c r="AH152" s="126"/>
      <c r="AI152" s="126"/>
      <c r="AJ152" s="126"/>
      <c r="AK152" s="126"/>
      <c r="AL152" s="126"/>
      <c r="AM152" s="126"/>
      <c r="AN152" s="126"/>
      <c r="AO152" s="126"/>
      <c r="AP152" s="126"/>
      <c r="AQ152" s="126"/>
      <c r="AR152" s="126"/>
      <c r="AS152" s="126"/>
      <c r="AT152" s="126"/>
      <c r="AU152" s="126"/>
      <c r="AV152" s="126"/>
      <c r="AW152" s="126"/>
      <c r="AX152" s="126"/>
      <c r="AY152" s="126"/>
      <c r="AZ152" s="126"/>
      <c r="BA152" s="126"/>
      <c r="BB152" s="126"/>
      <c r="BC152" s="126"/>
      <c r="BD152" s="126"/>
      <c r="BE152" s="126"/>
      <c r="BF152" s="126"/>
      <c r="BG152" s="126"/>
      <c r="BH152" s="126"/>
      <c r="BI152" s="126"/>
      <c r="BJ152" s="126"/>
      <c r="BK152" s="126"/>
      <c r="BL152" s="126"/>
      <c r="BM152" s="126"/>
      <c r="BN152" s="126"/>
      <c r="BO152" s="126"/>
      <c r="BP152" s="126"/>
      <c r="BQ152" s="126"/>
      <c r="BR152" s="126"/>
      <c r="BS152" s="126"/>
      <c r="BT152" s="126"/>
      <c r="BU152" s="126"/>
      <c r="BV152" s="126"/>
      <c r="BW152" s="126"/>
    </row>
    <row r="153">
      <c r="A153" s="249"/>
      <c r="B153" s="247"/>
      <c r="C153" s="252"/>
      <c r="D153" s="247"/>
      <c r="E153" s="247"/>
      <c r="F153" s="247"/>
      <c r="G153" s="247"/>
      <c r="H153" s="247"/>
      <c r="I153" s="247"/>
      <c r="J153" s="247"/>
      <c r="K153" s="247"/>
      <c r="L153" s="247"/>
      <c r="M153" s="247"/>
      <c r="N153" s="246"/>
      <c r="O153" s="247"/>
      <c r="P153" s="248"/>
      <c r="Q153" s="251"/>
      <c r="R153" s="250"/>
      <c r="S153" s="245"/>
      <c r="T153" s="126"/>
      <c r="U153" s="126"/>
      <c r="V153" s="126"/>
      <c r="W153" s="126"/>
      <c r="X153" s="126"/>
      <c r="Y153" s="126"/>
      <c r="Z153" s="126"/>
      <c r="AA153" s="126"/>
      <c r="AB153" s="126"/>
      <c r="AC153" s="126"/>
      <c r="AD153" s="126"/>
      <c r="AE153" s="126"/>
      <c r="AF153" s="126"/>
      <c r="AG153" s="126"/>
      <c r="AH153" s="126"/>
      <c r="AI153" s="126"/>
      <c r="AJ153" s="126"/>
      <c r="AK153" s="126"/>
      <c r="AL153" s="126"/>
      <c r="AM153" s="126"/>
      <c r="AN153" s="126"/>
      <c r="AO153" s="126"/>
      <c r="AP153" s="126"/>
      <c r="AQ153" s="126"/>
      <c r="AR153" s="126"/>
      <c r="AS153" s="126"/>
      <c r="AT153" s="126"/>
      <c r="AU153" s="126"/>
      <c r="AV153" s="126"/>
      <c r="AW153" s="126"/>
      <c r="AX153" s="126"/>
      <c r="AY153" s="126"/>
      <c r="AZ153" s="126"/>
      <c r="BA153" s="126"/>
      <c r="BB153" s="126"/>
      <c r="BC153" s="126"/>
      <c r="BD153" s="126"/>
      <c r="BE153" s="126"/>
      <c r="BF153" s="126"/>
      <c r="BG153" s="126"/>
      <c r="BH153" s="126"/>
      <c r="BI153" s="126"/>
      <c r="BJ153" s="126"/>
      <c r="BK153" s="126"/>
      <c r="BL153" s="126"/>
      <c r="BM153" s="126"/>
      <c r="BN153" s="126"/>
      <c r="BO153" s="126"/>
      <c r="BP153" s="126"/>
      <c r="BQ153" s="126"/>
      <c r="BR153" s="126"/>
      <c r="BS153" s="126"/>
      <c r="BT153" s="126"/>
      <c r="BU153" s="126"/>
      <c r="BV153" s="126"/>
      <c r="BW153" s="126"/>
    </row>
    <row r="154">
      <c r="A154" s="249"/>
      <c r="B154" s="247"/>
      <c r="C154" s="252"/>
      <c r="D154" s="247"/>
      <c r="E154" s="247"/>
      <c r="F154" s="247"/>
      <c r="G154" s="247"/>
      <c r="H154" s="247"/>
      <c r="I154" s="247"/>
      <c r="J154" s="247"/>
      <c r="K154" s="247"/>
      <c r="L154" s="247"/>
      <c r="M154" s="247"/>
      <c r="N154" s="246"/>
      <c r="O154" s="247"/>
      <c r="P154" s="248"/>
      <c r="Q154" s="251"/>
      <c r="R154" s="250"/>
      <c r="S154" s="245"/>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c r="AY154" s="126"/>
      <c r="AZ154" s="126"/>
      <c r="BA154" s="126"/>
      <c r="BB154" s="126"/>
      <c r="BC154" s="126"/>
      <c r="BD154" s="126"/>
      <c r="BE154" s="126"/>
      <c r="BF154" s="126"/>
      <c r="BG154" s="126"/>
      <c r="BH154" s="126"/>
      <c r="BI154" s="126"/>
      <c r="BJ154" s="126"/>
      <c r="BK154" s="126"/>
      <c r="BL154" s="126"/>
      <c r="BM154" s="126"/>
      <c r="BN154" s="126"/>
      <c r="BO154" s="126"/>
      <c r="BP154" s="126"/>
      <c r="BQ154" s="126"/>
      <c r="BR154" s="126"/>
      <c r="BS154" s="126"/>
      <c r="BT154" s="126"/>
      <c r="BU154" s="126"/>
      <c r="BV154" s="126"/>
      <c r="BW154" s="126"/>
    </row>
    <row r="155">
      <c r="A155" s="249"/>
      <c r="B155" s="247"/>
      <c r="C155" s="252"/>
      <c r="D155" s="247"/>
      <c r="E155" s="247"/>
      <c r="F155" s="247"/>
      <c r="G155" s="247"/>
      <c r="H155" s="247"/>
      <c r="I155" s="247"/>
      <c r="J155" s="247"/>
      <c r="K155" s="247"/>
      <c r="L155" s="247"/>
      <c r="M155" s="247"/>
      <c r="N155" s="246"/>
      <c r="O155" s="247"/>
      <c r="P155" s="248"/>
      <c r="Q155" s="251"/>
      <c r="R155" s="250"/>
      <c r="S155" s="245"/>
      <c r="T155" s="126"/>
      <c r="U155" s="126"/>
      <c r="V155" s="126"/>
      <c r="W155" s="126"/>
      <c r="X155" s="126"/>
      <c r="Y155" s="126"/>
      <c r="Z155" s="126"/>
      <c r="AA155" s="126"/>
      <c r="AB155" s="126"/>
      <c r="AC155" s="126"/>
      <c r="AD155" s="126"/>
      <c r="AE155" s="126"/>
      <c r="AF155" s="126"/>
      <c r="AG155" s="126"/>
      <c r="AH155" s="126"/>
      <c r="AI155" s="126"/>
      <c r="AJ155" s="126"/>
      <c r="AK155" s="126"/>
      <c r="AL155" s="126"/>
      <c r="AM155" s="126"/>
      <c r="AN155" s="126"/>
      <c r="AO155" s="126"/>
      <c r="AP155" s="126"/>
      <c r="AQ155" s="126"/>
      <c r="AR155" s="126"/>
      <c r="AS155" s="126"/>
      <c r="AT155" s="126"/>
      <c r="AU155" s="126"/>
      <c r="AV155" s="126"/>
      <c r="AW155" s="126"/>
      <c r="AX155" s="126"/>
      <c r="AY155" s="126"/>
      <c r="AZ155" s="126"/>
      <c r="BA155" s="126"/>
      <c r="BB155" s="126"/>
      <c r="BC155" s="126"/>
      <c r="BD155" s="126"/>
      <c r="BE155" s="126"/>
      <c r="BF155" s="126"/>
      <c r="BG155" s="126"/>
      <c r="BH155" s="126"/>
      <c r="BI155" s="126"/>
      <c r="BJ155" s="126"/>
      <c r="BK155" s="126"/>
      <c r="BL155" s="126"/>
      <c r="BM155" s="126"/>
      <c r="BN155" s="126"/>
      <c r="BO155" s="126"/>
      <c r="BP155" s="126"/>
      <c r="BQ155" s="126"/>
      <c r="BR155" s="126"/>
      <c r="BS155" s="126"/>
      <c r="BT155" s="126"/>
      <c r="BU155" s="126"/>
      <c r="BV155" s="126"/>
      <c r="BW155" s="126"/>
    </row>
    <row r="156">
      <c r="A156" s="249"/>
      <c r="B156" s="247"/>
      <c r="C156" s="252"/>
      <c r="D156" s="247"/>
      <c r="E156" s="247"/>
      <c r="F156" s="247"/>
      <c r="G156" s="247"/>
      <c r="H156" s="247"/>
      <c r="I156" s="247"/>
      <c r="J156" s="247"/>
      <c r="K156" s="247"/>
      <c r="L156" s="247"/>
      <c r="M156" s="247"/>
      <c r="N156" s="246"/>
      <c r="O156" s="247"/>
      <c r="P156" s="248"/>
      <c r="Q156" s="251"/>
      <c r="R156" s="250"/>
      <c r="S156" s="245"/>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26"/>
      <c r="AZ156" s="126"/>
      <c r="BA156" s="126"/>
      <c r="BB156" s="126"/>
      <c r="BC156" s="126"/>
      <c r="BD156" s="126"/>
      <c r="BE156" s="126"/>
      <c r="BF156" s="126"/>
      <c r="BG156" s="126"/>
      <c r="BH156" s="126"/>
      <c r="BI156" s="126"/>
      <c r="BJ156" s="126"/>
      <c r="BK156" s="126"/>
      <c r="BL156" s="126"/>
      <c r="BM156" s="126"/>
      <c r="BN156" s="126"/>
      <c r="BO156" s="126"/>
      <c r="BP156" s="126"/>
      <c r="BQ156" s="126"/>
      <c r="BR156" s="126"/>
      <c r="BS156" s="126"/>
      <c r="BT156" s="126"/>
      <c r="BU156" s="126"/>
      <c r="BV156" s="126"/>
      <c r="BW156" s="126"/>
    </row>
    <row r="157">
      <c r="A157" s="249"/>
      <c r="B157" s="247"/>
      <c r="C157" s="252"/>
      <c r="D157" s="247"/>
      <c r="E157" s="247"/>
      <c r="F157" s="247"/>
      <c r="G157" s="247"/>
      <c r="H157" s="247"/>
      <c r="I157" s="247"/>
      <c r="J157" s="247"/>
      <c r="K157" s="247"/>
      <c r="L157" s="247"/>
      <c r="M157" s="247"/>
      <c r="N157" s="246"/>
      <c r="O157" s="247"/>
      <c r="P157" s="248"/>
      <c r="Q157" s="251"/>
      <c r="R157" s="250"/>
      <c r="S157" s="245"/>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c r="BP157" s="126"/>
      <c r="BQ157" s="126"/>
      <c r="BR157" s="126"/>
      <c r="BS157" s="126"/>
      <c r="BT157" s="126"/>
      <c r="BU157" s="126"/>
      <c r="BV157" s="126"/>
      <c r="BW157" s="126"/>
    </row>
    <row r="158">
      <c r="A158" s="249"/>
      <c r="B158" s="247"/>
      <c r="C158" s="252"/>
      <c r="D158" s="247"/>
      <c r="E158" s="247"/>
      <c r="F158" s="247"/>
      <c r="G158" s="247"/>
      <c r="H158" s="247"/>
      <c r="I158" s="247"/>
      <c r="J158" s="247"/>
      <c r="K158" s="247"/>
      <c r="L158" s="247"/>
      <c r="M158" s="247"/>
      <c r="N158" s="246"/>
      <c r="O158" s="247"/>
      <c r="P158" s="248"/>
      <c r="Q158" s="251"/>
      <c r="R158" s="250"/>
      <c r="S158" s="245"/>
      <c r="T158" s="126"/>
      <c r="U158" s="126"/>
      <c r="V158" s="126"/>
      <c r="W158" s="126"/>
      <c r="X158" s="126"/>
      <c r="Y158" s="126"/>
      <c r="Z158" s="126"/>
      <c r="AA158" s="126"/>
      <c r="AB158" s="126"/>
      <c r="AC158" s="126"/>
      <c r="AD158" s="126"/>
      <c r="AE158" s="126"/>
      <c r="AF158" s="126"/>
      <c r="AG158" s="126"/>
      <c r="AH158" s="126"/>
      <c r="AI158" s="126"/>
      <c r="AJ158" s="126"/>
      <c r="AK158" s="126"/>
      <c r="AL158" s="126"/>
      <c r="AM158" s="126"/>
      <c r="AN158" s="126"/>
      <c r="AO158" s="126"/>
      <c r="AP158" s="126"/>
      <c r="AQ158" s="126"/>
      <c r="AR158" s="126"/>
      <c r="AS158" s="126"/>
      <c r="AT158" s="126"/>
      <c r="AU158" s="126"/>
      <c r="AV158" s="126"/>
      <c r="AW158" s="126"/>
      <c r="AX158" s="126"/>
      <c r="AY158" s="126"/>
      <c r="AZ158" s="126"/>
      <c r="BA158" s="126"/>
      <c r="BB158" s="126"/>
      <c r="BC158" s="126"/>
      <c r="BD158" s="126"/>
      <c r="BE158" s="126"/>
      <c r="BF158" s="126"/>
      <c r="BG158" s="126"/>
      <c r="BH158" s="126"/>
      <c r="BI158" s="126"/>
      <c r="BJ158" s="126"/>
      <c r="BK158" s="126"/>
      <c r="BL158" s="126"/>
      <c r="BM158" s="126"/>
      <c r="BN158" s="126"/>
      <c r="BO158" s="126"/>
      <c r="BP158" s="126"/>
      <c r="BQ158" s="126"/>
      <c r="BR158" s="126"/>
      <c r="BS158" s="126"/>
      <c r="BT158" s="126"/>
      <c r="BU158" s="126"/>
      <c r="BV158" s="126"/>
      <c r="BW158" s="126"/>
    </row>
    <row r="159">
      <c r="A159" s="249"/>
      <c r="B159" s="247"/>
      <c r="C159" s="252"/>
      <c r="D159" s="247"/>
      <c r="E159" s="247"/>
      <c r="F159" s="247"/>
      <c r="G159" s="247"/>
      <c r="H159" s="247"/>
      <c r="I159" s="247"/>
      <c r="J159" s="247"/>
      <c r="K159" s="247"/>
      <c r="L159" s="247"/>
      <c r="M159" s="247"/>
      <c r="N159" s="246"/>
      <c r="O159" s="247"/>
      <c r="P159" s="248"/>
      <c r="Q159" s="251"/>
      <c r="R159" s="250"/>
      <c r="S159" s="245"/>
      <c r="T159" s="126"/>
      <c r="U159" s="126"/>
      <c r="V159" s="126"/>
      <c r="W159" s="126"/>
      <c r="X159" s="126"/>
      <c r="Y159" s="126"/>
      <c r="Z159" s="126"/>
      <c r="AA159" s="126"/>
      <c r="AB159" s="126"/>
      <c r="AC159" s="126"/>
      <c r="AD159" s="126"/>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c r="AY159" s="126"/>
      <c r="AZ159" s="126"/>
      <c r="BA159" s="126"/>
      <c r="BB159" s="126"/>
      <c r="BC159" s="126"/>
      <c r="BD159" s="126"/>
      <c r="BE159" s="126"/>
      <c r="BF159" s="126"/>
      <c r="BG159" s="126"/>
      <c r="BH159" s="126"/>
      <c r="BI159" s="126"/>
      <c r="BJ159" s="126"/>
      <c r="BK159" s="126"/>
      <c r="BL159" s="126"/>
      <c r="BM159" s="126"/>
      <c r="BN159" s="126"/>
      <c r="BO159" s="126"/>
      <c r="BP159" s="126"/>
      <c r="BQ159" s="126"/>
      <c r="BR159" s="126"/>
      <c r="BS159" s="126"/>
      <c r="BT159" s="126"/>
      <c r="BU159" s="126"/>
      <c r="BV159" s="126"/>
      <c r="BW159" s="126"/>
    </row>
    <row r="160">
      <c r="A160" s="249"/>
      <c r="B160" s="247"/>
      <c r="C160" s="252"/>
      <c r="D160" s="247"/>
      <c r="E160" s="247"/>
      <c r="F160" s="247"/>
      <c r="G160" s="247"/>
      <c r="H160" s="247"/>
      <c r="I160" s="247"/>
      <c r="J160" s="247"/>
      <c r="K160" s="247"/>
      <c r="L160" s="247"/>
      <c r="M160" s="247"/>
      <c r="N160" s="246"/>
      <c r="O160" s="247"/>
      <c r="P160" s="248"/>
      <c r="Q160" s="251"/>
      <c r="R160" s="250"/>
      <c r="S160" s="245"/>
      <c r="T160" s="126"/>
      <c r="U160" s="126"/>
      <c r="V160" s="126"/>
      <c r="W160" s="126"/>
      <c r="X160" s="126"/>
      <c r="Y160" s="126"/>
      <c r="Z160" s="126"/>
      <c r="AA160" s="126"/>
      <c r="AB160" s="126"/>
      <c r="AC160" s="126"/>
      <c r="AD160" s="126"/>
      <c r="AE160" s="126"/>
      <c r="AF160" s="126"/>
      <c r="AG160" s="126"/>
      <c r="AH160" s="126"/>
      <c r="AI160" s="126"/>
      <c r="AJ160" s="126"/>
      <c r="AK160" s="126"/>
      <c r="AL160" s="126"/>
      <c r="AM160" s="126"/>
      <c r="AN160" s="126"/>
      <c r="AO160" s="126"/>
      <c r="AP160" s="126"/>
      <c r="AQ160" s="126"/>
      <c r="AR160" s="126"/>
      <c r="AS160" s="126"/>
      <c r="AT160" s="126"/>
      <c r="AU160" s="126"/>
      <c r="AV160" s="126"/>
      <c r="AW160" s="126"/>
      <c r="AX160" s="126"/>
      <c r="AY160" s="126"/>
      <c r="AZ160" s="126"/>
      <c r="BA160" s="126"/>
      <c r="BB160" s="126"/>
      <c r="BC160" s="126"/>
      <c r="BD160" s="126"/>
      <c r="BE160" s="126"/>
      <c r="BF160" s="126"/>
      <c r="BG160" s="126"/>
      <c r="BH160" s="126"/>
      <c r="BI160" s="126"/>
      <c r="BJ160" s="126"/>
      <c r="BK160" s="126"/>
      <c r="BL160" s="126"/>
      <c r="BM160" s="126"/>
      <c r="BN160" s="126"/>
      <c r="BO160" s="126"/>
      <c r="BP160" s="126"/>
      <c r="BQ160" s="126"/>
      <c r="BR160" s="126"/>
      <c r="BS160" s="126"/>
      <c r="BT160" s="126"/>
      <c r="BU160" s="126"/>
      <c r="BV160" s="126"/>
      <c r="BW160" s="126"/>
    </row>
    <row r="161">
      <c r="A161" s="249"/>
      <c r="B161" s="247"/>
      <c r="C161" s="252"/>
      <c r="D161" s="247"/>
      <c r="E161" s="247"/>
      <c r="F161" s="247"/>
      <c r="G161" s="247"/>
      <c r="H161" s="247"/>
      <c r="I161" s="247"/>
      <c r="J161" s="247"/>
      <c r="K161" s="247"/>
      <c r="L161" s="247"/>
      <c r="M161" s="247"/>
      <c r="N161" s="246"/>
      <c r="O161" s="247"/>
      <c r="P161" s="248"/>
      <c r="Q161" s="251"/>
      <c r="R161" s="250"/>
      <c r="S161" s="245"/>
      <c r="T161" s="126"/>
      <c r="U161" s="126"/>
      <c r="V161" s="126"/>
      <c r="W161" s="126"/>
      <c r="X161" s="126"/>
      <c r="Y161" s="126"/>
      <c r="Z161" s="126"/>
      <c r="AA161" s="126"/>
      <c r="AB161" s="126"/>
      <c r="AC161" s="126"/>
      <c r="AD161" s="126"/>
      <c r="AE161" s="126"/>
      <c r="AF161" s="126"/>
      <c r="AG161" s="126"/>
      <c r="AH161" s="126"/>
      <c r="AI161" s="126"/>
      <c r="AJ161" s="126"/>
      <c r="AK161" s="126"/>
      <c r="AL161" s="126"/>
      <c r="AM161" s="126"/>
      <c r="AN161" s="126"/>
      <c r="AO161" s="126"/>
      <c r="AP161" s="126"/>
      <c r="AQ161" s="126"/>
      <c r="AR161" s="126"/>
      <c r="AS161" s="126"/>
      <c r="AT161" s="126"/>
      <c r="AU161" s="126"/>
      <c r="AV161" s="126"/>
      <c r="AW161" s="126"/>
      <c r="AX161" s="126"/>
      <c r="AY161" s="126"/>
      <c r="AZ161" s="126"/>
      <c r="BA161" s="126"/>
      <c r="BB161" s="126"/>
      <c r="BC161" s="126"/>
      <c r="BD161" s="126"/>
      <c r="BE161" s="126"/>
      <c r="BF161" s="126"/>
      <c r="BG161" s="126"/>
      <c r="BH161" s="126"/>
      <c r="BI161" s="126"/>
      <c r="BJ161" s="126"/>
      <c r="BK161" s="126"/>
      <c r="BL161" s="126"/>
      <c r="BM161" s="126"/>
      <c r="BN161" s="126"/>
      <c r="BO161" s="126"/>
      <c r="BP161" s="126"/>
      <c r="BQ161" s="126"/>
      <c r="BR161" s="126"/>
      <c r="BS161" s="126"/>
      <c r="BT161" s="126"/>
      <c r="BU161" s="126"/>
      <c r="BV161" s="126"/>
      <c r="BW161" s="126"/>
    </row>
    <row r="162">
      <c r="A162" s="249"/>
      <c r="B162" s="247"/>
      <c r="C162" s="252"/>
      <c r="D162" s="247"/>
      <c r="E162" s="247"/>
      <c r="F162" s="247"/>
      <c r="G162" s="247"/>
      <c r="H162" s="247"/>
      <c r="I162" s="247"/>
      <c r="J162" s="247"/>
      <c r="K162" s="247"/>
      <c r="L162" s="247"/>
      <c r="M162" s="247"/>
      <c r="N162" s="246"/>
      <c r="O162" s="247"/>
      <c r="P162" s="248"/>
      <c r="Q162" s="251"/>
      <c r="R162" s="250"/>
      <c r="S162" s="245"/>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c r="AY162" s="126"/>
      <c r="AZ162" s="126"/>
      <c r="BA162" s="126"/>
      <c r="BB162" s="126"/>
      <c r="BC162" s="126"/>
      <c r="BD162" s="126"/>
      <c r="BE162" s="126"/>
      <c r="BF162" s="126"/>
      <c r="BG162" s="126"/>
      <c r="BH162" s="126"/>
      <c r="BI162" s="126"/>
      <c r="BJ162" s="126"/>
      <c r="BK162" s="126"/>
      <c r="BL162" s="126"/>
      <c r="BM162" s="126"/>
      <c r="BN162" s="126"/>
      <c r="BO162" s="126"/>
      <c r="BP162" s="126"/>
      <c r="BQ162" s="126"/>
      <c r="BR162" s="126"/>
      <c r="BS162" s="126"/>
      <c r="BT162" s="126"/>
      <c r="BU162" s="126"/>
      <c r="BV162" s="126"/>
      <c r="BW162" s="126"/>
    </row>
    <row r="163">
      <c r="A163" s="249"/>
      <c r="B163" s="247"/>
      <c r="C163" s="252"/>
      <c r="D163" s="247"/>
      <c r="E163" s="247"/>
      <c r="F163" s="247"/>
      <c r="G163" s="247"/>
      <c r="H163" s="247"/>
      <c r="I163" s="247"/>
      <c r="J163" s="247"/>
      <c r="K163" s="247"/>
      <c r="L163" s="247"/>
      <c r="M163" s="247"/>
      <c r="N163" s="246"/>
      <c r="O163" s="247"/>
      <c r="P163" s="248"/>
      <c r="Q163" s="251"/>
      <c r="R163" s="250"/>
      <c r="S163" s="245"/>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c r="AY163" s="126"/>
      <c r="AZ163" s="126"/>
      <c r="BA163" s="126"/>
      <c r="BB163" s="126"/>
      <c r="BC163" s="126"/>
      <c r="BD163" s="126"/>
      <c r="BE163" s="126"/>
      <c r="BF163" s="126"/>
      <c r="BG163" s="126"/>
      <c r="BH163" s="126"/>
      <c r="BI163" s="126"/>
      <c r="BJ163" s="126"/>
      <c r="BK163" s="126"/>
      <c r="BL163" s="126"/>
      <c r="BM163" s="126"/>
      <c r="BN163" s="126"/>
      <c r="BO163" s="126"/>
      <c r="BP163" s="126"/>
      <c r="BQ163" s="126"/>
      <c r="BR163" s="126"/>
      <c r="BS163" s="126"/>
      <c r="BT163" s="126"/>
      <c r="BU163" s="126"/>
      <c r="BV163" s="126"/>
      <c r="BW163" s="126"/>
    </row>
    <row r="164">
      <c r="A164" s="249"/>
      <c r="B164" s="247"/>
      <c r="C164" s="252"/>
      <c r="D164" s="247"/>
      <c r="E164" s="247"/>
      <c r="F164" s="247"/>
      <c r="G164" s="247"/>
      <c r="H164" s="247"/>
      <c r="I164" s="247"/>
      <c r="J164" s="247"/>
      <c r="K164" s="247"/>
      <c r="L164" s="247"/>
      <c r="M164" s="247"/>
      <c r="N164" s="246"/>
      <c r="O164" s="247"/>
      <c r="P164" s="248"/>
      <c r="Q164" s="251"/>
      <c r="R164" s="250"/>
      <c r="S164" s="245"/>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c r="BL164" s="126"/>
      <c r="BM164" s="126"/>
      <c r="BN164" s="126"/>
      <c r="BO164" s="126"/>
      <c r="BP164" s="126"/>
      <c r="BQ164" s="126"/>
      <c r="BR164" s="126"/>
      <c r="BS164" s="126"/>
      <c r="BT164" s="126"/>
      <c r="BU164" s="126"/>
      <c r="BV164" s="126"/>
      <c r="BW164" s="126"/>
    </row>
    <row r="165">
      <c r="A165" s="249"/>
      <c r="B165" s="247"/>
      <c r="C165" s="252"/>
      <c r="D165" s="247"/>
      <c r="E165" s="247"/>
      <c r="F165" s="247"/>
      <c r="G165" s="247"/>
      <c r="H165" s="247"/>
      <c r="I165" s="247"/>
      <c r="J165" s="247"/>
      <c r="K165" s="247"/>
      <c r="L165" s="247"/>
      <c r="M165" s="247"/>
      <c r="N165" s="246"/>
      <c r="O165" s="247"/>
      <c r="P165" s="248"/>
      <c r="Q165" s="251"/>
      <c r="R165" s="250"/>
      <c r="S165" s="245"/>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c r="AY165" s="126"/>
      <c r="AZ165" s="126"/>
      <c r="BA165" s="126"/>
      <c r="BB165" s="126"/>
      <c r="BC165" s="126"/>
      <c r="BD165" s="126"/>
      <c r="BE165" s="126"/>
      <c r="BF165" s="126"/>
      <c r="BG165" s="126"/>
      <c r="BH165" s="126"/>
      <c r="BI165" s="126"/>
      <c r="BJ165" s="126"/>
      <c r="BK165" s="126"/>
      <c r="BL165" s="126"/>
      <c r="BM165" s="126"/>
      <c r="BN165" s="126"/>
      <c r="BO165" s="126"/>
      <c r="BP165" s="126"/>
      <c r="BQ165" s="126"/>
      <c r="BR165" s="126"/>
      <c r="BS165" s="126"/>
      <c r="BT165" s="126"/>
      <c r="BU165" s="126"/>
      <c r="BV165" s="126"/>
      <c r="BW165" s="126"/>
    </row>
    <row r="166">
      <c r="A166" s="249"/>
      <c r="B166" s="247"/>
      <c r="C166" s="252"/>
      <c r="D166" s="247"/>
      <c r="E166" s="247"/>
      <c r="F166" s="247"/>
      <c r="G166" s="247"/>
      <c r="H166" s="247"/>
      <c r="I166" s="247"/>
      <c r="J166" s="247"/>
      <c r="K166" s="247"/>
      <c r="L166" s="247"/>
      <c r="M166" s="247"/>
      <c r="N166" s="246"/>
      <c r="O166" s="247"/>
      <c r="P166" s="248"/>
      <c r="Q166" s="251"/>
      <c r="R166" s="250"/>
      <c r="S166" s="245"/>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c r="BA166" s="126"/>
      <c r="BB166" s="126"/>
      <c r="BC166" s="126"/>
      <c r="BD166" s="126"/>
      <c r="BE166" s="126"/>
      <c r="BF166" s="126"/>
      <c r="BG166" s="126"/>
      <c r="BH166" s="126"/>
      <c r="BI166" s="126"/>
      <c r="BJ166" s="126"/>
      <c r="BK166" s="126"/>
      <c r="BL166" s="126"/>
      <c r="BM166" s="126"/>
      <c r="BN166" s="126"/>
      <c r="BO166" s="126"/>
      <c r="BP166" s="126"/>
      <c r="BQ166" s="126"/>
      <c r="BR166" s="126"/>
      <c r="BS166" s="126"/>
      <c r="BT166" s="126"/>
      <c r="BU166" s="126"/>
      <c r="BV166" s="126"/>
      <c r="BW166" s="126"/>
    </row>
    <row r="167">
      <c r="A167" s="249"/>
      <c r="B167" s="247"/>
      <c r="C167" s="252"/>
      <c r="D167" s="247"/>
      <c r="E167" s="247"/>
      <c r="F167" s="247"/>
      <c r="G167" s="247"/>
      <c r="H167" s="247"/>
      <c r="I167" s="247"/>
      <c r="J167" s="247"/>
      <c r="K167" s="247"/>
      <c r="L167" s="247"/>
      <c r="M167" s="247"/>
      <c r="N167" s="246"/>
      <c r="O167" s="247"/>
      <c r="P167" s="248"/>
      <c r="Q167" s="251"/>
      <c r="R167" s="250"/>
      <c r="S167" s="245"/>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c r="BJ167" s="126"/>
      <c r="BK167" s="126"/>
      <c r="BL167" s="126"/>
      <c r="BM167" s="126"/>
      <c r="BN167" s="126"/>
      <c r="BO167" s="126"/>
      <c r="BP167" s="126"/>
      <c r="BQ167" s="126"/>
      <c r="BR167" s="126"/>
      <c r="BS167" s="126"/>
      <c r="BT167" s="126"/>
      <c r="BU167" s="126"/>
      <c r="BV167" s="126"/>
      <c r="BW167" s="126"/>
    </row>
    <row r="168">
      <c r="A168" s="249"/>
      <c r="B168" s="247"/>
      <c r="C168" s="252"/>
      <c r="D168" s="247"/>
      <c r="E168" s="247"/>
      <c r="F168" s="247"/>
      <c r="G168" s="247"/>
      <c r="H168" s="247"/>
      <c r="I168" s="247"/>
      <c r="J168" s="247"/>
      <c r="K168" s="247"/>
      <c r="L168" s="247"/>
      <c r="M168" s="247"/>
      <c r="N168" s="246"/>
      <c r="O168" s="247"/>
      <c r="P168" s="248"/>
      <c r="Q168" s="251"/>
      <c r="R168" s="250"/>
      <c r="S168" s="245"/>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c r="BA168" s="126"/>
      <c r="BB168" s="126"/>
      <c r="BC168" s="126"/>
      <c r="BD168" s="126"/>
      <c r="BE168" s="126"/>
      <c r="BF168" s="126"/>
      <c r="BG168" s="126"/>
      <c r="BH168" s="126"/>
      <c r="BI168" s="126"/>
      <c r="BJ168" s="126"/>
      <c r="BK168" s="126"/>
      <c r="BL168" s="126"/>
      <c r="BM168" s="126"/>
      <c r="BN168" s="126"/>
      <c r="BO168" s="126"/>
      <c r="BP168" s="126"/>
      <c r="BQ168" s="126"/>
      <c r="BR168" s="126"/>
      <c r="BS168" s="126"/>
      <c r="BT168" s="126"/>
      <c r="BU168" s="126"/>
      <c r="BV168" s="126"/>
      <c r="BW168" s="126"/>
    </row>
    <row r="169">
      <c r="A169" s="249"/>
      <c r="B169" s="247"/>
      <c r="C169" s="252"/>
      <c r="D169" s="247"/>
      <c r="E169" s="247"/>
      <c r="F169" s="247"/>
      <c r="G169" s="247"/>
      <c r="H169" s="247"/>
      <c r="I169" s="247"/>
      <c r="J169" s="247"/>
      <c r="K169" s="247"/>
      <c r="L169" s="247"/>
      <c r="M169" s="247"/>
      <c r="N169" s="246"/>
      <c r="O169" s="247"/>
      <c r="P169" s="248"/>
      <c r="Q169" s="251"/>
      <c r="R169" s="250"/>
      <c r="S169" s="245"/>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c r="BA169" s="126"/>
      <c r="BB169" s="126"/>
      <c r="BC169" s="126"/>
      <c r="BD169" s="126"/>
      <c r="BE169" s="126"/>
      <c r="BF169" s="126"/>
      <c r="BG169" s="126"/>
      <c r="BH169" s="126"/>
      <c r="BI169" s="126"/>
      <c r="BJ169" s="126"/>
      <c r="BK169" s="126"/>
      <c r="BL169" s="126"/>
      <c r="BM169" s="126"/>
      <c r="BN169" s="126"/>
      <c r="BO169" s="126"/>
      <c r="BP169" s="126"/>
      <c r="BQ169" s="126"/>
      <c r="BR169" s="126"/>
      <c r="BS169" s="126"/>
      <c r="BT169" s="126"/>
      <c r="BU169" s="126"/>
      <c r="BV169" s="126"/>
      <c r="BW169" s="126"/>
    </row>
    <row r="170">
      <c r="A170" s="249"/>
      <c r="B170" s="247"/>
      <c r="C170" s="252"/>
      <c r="D170" s="247"/>
      <c r="E170" s="247"/>
      <c r="F170" s="247"/>
      <c r="G170" s="247"/>
      <c r="H170" s="247"/>
      <c r="I170" s="247"/>
      <c r="J170" s="247"/>
      <c r="K170" s="247"/>
      <c r="L170" s="247"/>
      <c r="M170" s="247"/>
      <c r="N170" s="246"/>
      <c r="O170" s="247"/>
      <c r="P170" s="248"/>
      <c r="Q170" s="251"/>
      <c r="R170" s="250"/>
      <c r="S170" s="245"/>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c r="BL170" s="126"/>
      <c r="BM170" s="126"/>
      <c r="BN170" s="126"/>
      <c r="BO170" s="126"/>
      <c r="BP170" s="126"/>
      <c r="BQ170" s="126"/>
      <c r="BR170" s="126"/>
      <c r="BS170" s="126"/>
      <c r="BT170" s="126"/>
      <c r="BU170" s="126"/>
      <c r="BV170" s="126"/>
      <c r="BW170" s="126"/>
    </row>
    <row r="171">
      <c r="A171" s="249"/>
      <c r="B171" s="247"/>
      <c r="C171" s="252"/>
      <c r="D171" s="247"/>
      <c r="E171" s="247"/>
      <c r="F171" s="247"/>
      <c r="G171" s="247"/>
      <c r="H171" s="247"/>
      <c r="I171" s="247"/>
      <c r="J171" s="247"/>
      <c r="K171" s="247"/>
      <c r="L171" s="247"/>
      <c r="M171" s="247"/>
      <c r="N171" s="246"/>
      <c r="O171" s="247"/>
      <c r="P171" s="248"/>
      <c r="Q171" s="251"/>
      <c r="R171" s="250"/>
      <c r="S171" s="245"/>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c r="BA171" s="126"/>
      <c r="BB171" s="126"/>
      <c r="BC171" s="126"/>
      <c r="BD171" s="126"/>
      <c r="BE171" s="126"/>
      <c r="BF171" s="126"/>
      <c r="BG171" s="126"/>
      <c r="BH171" s="126"/>
      <c r="BI171" s="126"/>
      <c r="BJ171" s="126"/>
      <c r="BK171" s="126"/>
      <c r="BL171" s="126"/>
      <c r="BM171" s="126"/>
      <c r="BN171" s="126"/>
      <c r="BO171" s="126"/>
      <c r="BP171" s="126"/>
      <c r="BQ171" s="126"/>
      <c r="BR171" s="126"/>
      <c r="BS171" s="126"/>
      <c r="BT171" s="126"/>
      <c r="BU171" s="126"/>
      <c r="BV171" s="126"/>
      <c r="BW171" s="126"/>
    </row>
    <row r="172">
      <c r="A172" s="249"/>
      <c r="B172" s="247"/>
      <c r="C172" s="252"/>
      <c r="D172" s="247"/>
      <c r="E172" s="247"/>
      <c r="F172" s="247"/>
      <c r="G172" s="247"/>
      <c r="H172" s="247"/>
      <c r="I172" s="247"/>
      <c r="J172" s="247"/>
      <c r="K172" s="247"/>
      <c r="L172" s="247"/>
      <c r="M172" s="247"/>
      <c r="N172" s="246"/>
      <c r="O172" s="247"/>
      <c r="P172" s="248"/>
      <c r="Q172" s="251"/>
      <c r="R172" s="250"/>
      <c r="S172" s="245"/>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c r="BJ172" s="126"/>
      <c r="BK172" s="126"/>
      <c r="BL172" s="126"/>
      <c r="BM172" s="126"/>
      <c r="BN172" s="126"/>
      <c r="BO172" s="126"/>
      <c r="BP172" s="126"/>
      <c r="BQ172" s="126"/>
      <c r="BR172" s="126"/>
      <c r="BS172" s="126"/>
      <c r="BT172" s="126"/>
      <c r="BU172" s="126"/>
      <c r="BV172" s="126"/>
      <c r="BW172" s="126"/>
    </row>
    <row r="173">
      <c r="A173" s="249"/>
      <c r="B173" s="247"/>
      <c r="C173" s="252"/>
      <c r="D173" s="247"/>
      <c r="E173" s="247"/>
      <c r="F173" s="247"/>
      <c r="G173" s="247"/>
      <c r="H173" s="247"/>
      <c r="I173" s="247"/>
      <c r="J173" s="247"/>
      <c r="K173" s="247"/>
      <c r="L173" s="247"/>
      <c r="M173" s="247"/>
      <c r="N173" s="246"/>
      <c r="O173" s="247"/>
      <c r="P173" s="248"/>
      <c r="Q173" s="251"/>
      <c r="R173" s="250"/>
      <c r="S173" s="245"/>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c r="BJ173" s="126"/>
      <c r="BK173" s="126"/>
      <c r="BL173" s="126"/>
      <c r="BM173" s="126"/>
      <c r="BN173" s="126"/>
      <c r="BO173" s="126"/>
      <c r="BP173" s="126"/>
      <c r="BQ173" s="126"/>
      <c r="BR173" s="126"/>
      <c r="BS173" s="126"/>
      <c r="BT173" s="126"/>
      <c r="BU173" s="126"/>
      <c r="BV173" s="126"/>
      <c r="BW173" s="126"/>
    </row>
    <row r="174">
      <c r="A174" s="249"/>
      <c r="B174" s="247"/>
      <c r="C174" s="252"/>
      <c r="D174" s="247"/>
      <c r="E174" s="247"/>
      <c r="F174" s="247"/>
      <c r="G174" s="247"/>
      <c r="H174" s="247"/>
      <c r="I174" s="247"/>
      <c r="J174" s="247"/>
      <c r="K174" s="247"/>
      <c r="L174" s="247"/>
      <c r="M174" s="247"/>
      <c r="N174" s="246"/>
      <c r="O174" s="247"/>
      <c r="P174" s="248"/>
      <c r="Q174" s="251"/>
      <c r="R174" s="250"/>
      <c r="S174" s="245"/>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c r="BA174" s="126"/>
      <c r="BB174" s="126"/>
      <c r="BC174" s="126"/>
      <c r="BD174" s="126"/>
      <c r="BE174" s="126"/>
      <c r="BF174" s="126"/>
      <c r="BG174" s="126"/>
      <c r="BH174" s="126"/>
      <c r="BI174" s="126"/>
      <c r="BJ174" s="126"/>
      <c r="BK174" s="126"/>
      <c r="BL174" s="126"/>
      <c r="BM174" s="126"/>
      <c r="BN174" s="126"/>
      <c r="BO174" s="126"/>
      <c r="BP174" s="126"/>
      <c r="BQ174" s="126"/>
      <c r="BR174" s="126"/>
      <c r="BS174" s="126"/>
      <c r="BT174" s="126"/>
      <c r="BU174" s="126"/>
      <c r="BV174" s="126"/>
      <c r="BW174" s="126"/>
    </row>
    <row r="175">
      <c r="A175" s="249"/>
      <c r="B175" s="247"/>
      <c r="C175" s="252"/>
      <c r="D175" s="247"/>
      <c r="E175" s="247"/>
      <c r="F175" s="247"/>
      <c r="G175" s="247"/>
      <c r="H175" s="247"/>
      <c r="I175" s="247"/>
      <c r="J175" s="247"/>
      <c r="K175" s="247"/>
      <c r="L175" s="247"/>
      <c r="M175" s="247"/>
      <c r="N175" s="246"/>
      <c r="O175" s="247"/>
      <c r="P175" s="248"/>
      <c r="Q175" s="251"/>
      <c r="R175" s="250"/>
      <c r="S175" s="245"/>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c r="BA175" s="126"/>
      <c r="BB175" s="126"/>
      <c r="BC175" s="126"/>
      <c r="BD175" s="126"/>
      <c r="BE175" s="126"/>
      <c r="BF175" s="126"/>
      <c r="BG175" s="126"/>
      <c r="BH175" s="126"/>
      <c r="BI175" s="126"/>
      <c r="BJ175" s="126"/>
      <c r="BK175" s="126"/>
      <c r="BL175" s="126"/>
      <c r="BM175" s="126"/>
      <c r="BN175" s="126"/>
      <c r="BO175" s="126"/>
      <c r="BP175" s="126"/>
      <c r="BQ175" s="126"/>
      <c r="BR175" s="126"/>
      <c r="BS175" s="126"/>
      <c r="BT175" s="126"/>
      <c r="BU175" s="126"/>
      <c r="BV175" s="126"/>
      <c r="BW175" s="126"/>
    </row>
    <row r="176">
      <c r="A176" s="249"/>
      <c r="B176" s="247"/>
      <c r="C176" s="252"/>
      <c r="D176" s="247"/>
      <c r="E176" s="247"/>
      <c r="F176" s="247"/>
      <c r="G176" s="247"/>
      <c r="H176" s="247"/>
      <c r="I176" s="247"/>
      <c r="J176" s="247"/>
      <c r="K176" s="247"/>
      <c r="L176" s="247"/>
      <c r="M176" s="247"/>
      <c r="N176" s="246"/>
      <c r="O176" s="247"/>
      <c r="P176" s="248"/>
      <c r="Q176" s="251"/>
      <c r="R176" s="250"/>
      <c r="S176" s="245"/>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c r="BL176" s="126"/>
      <c r="BM176" s="126"/>
      <c r="BN176" s="126"/>
      <c r="BO176" s="126"/>
      <c r="BP176" s="126"/>
      <c r="BQ176" s="126"/>
      <c r="BR176" s="126"/>
      <c r="BS176" s="126"/>
      <c r="BT176" s="126"/>
      <c r="BU176" s="126"/>
      <c r="BV176" s="126"/>
      <c r="BW176" s="126"/>
    </row>
    <row r="177">
      <c r="A177" s="249"/>
      <c r="B177" s="247"/>
      <c r="C177" s="252"/>
      <c r="D177" s="247"/>
      <c r="E177" s="247"/>
      <c r="F177" s="247"/>
      <c r="G177" s="247"/>
      <c r="H177" s="247"/>
      <c r="I177" s="247"/>
      <c r="J177" s="247"/>
      <c r="K177" s="247"/>
      <c r="L177" s="247"/>
      <c r="M177" s="247"/>
      <c r="N177" s="246"/>
      <c r="O177" s="247"/>
      <c r="P177" s="248"/>
      <c r="Q177" s="251"/>
      <c r="R177" s="250"/>
      <c r="S177" s="245"/>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c r="BA177" s="126"/>
      <c r="BB177" s="126"/>
      <c r="BC177" s="126"/>
      <c r="BD177" s="126"/>
      <c r="BE177" s="126"/>
      <c r="BF177" s="126"/>
      <c r="BG177" s="126"/>
      <c r="BH177" s="126"/>
      <c r="BI177" s="126"/>
      <c r="BJ177" s="126"/>
      <c r="BK177" s="126"/>
      <c r="BL177" s="126"/>
      <c r="BM177" s="126"/>
      <c r="BN177" s="126"/>
      <c r="BO177" s="126"/>
      <c r="BP177" s="126"/>
      <c r="BQ177" s="126"/>
      <c r="BR177" s="126"/>
      <c r="BS177" s="126"/>
      <c r="BT177" s="126"/>
      <c r="BU177" s="126"/>
      <c r="BV177" s="126"/>
      <c r="BW177" s="126"/>
    </row>
    <row r="178">
      <c r="A178" s="249"/>
      <c r="B178" s="247"/>
      <c r="C178" s="252"/>
      <c r="D178" s="247"/>
      <c r="E178" s="247"/>
      <c r="F178" s="247"/>
      <c r="G178" s="247"/>
      <c r="H178" s="247"/>
      <c r="I178" s="247"/>
      <c r="J178" s="247"/>
      <c r="K178" s="247"/>
      <c r="L178" s="247"/>
      <c r="M178" s="247"/>
      <c r="N178" s="246"/>
      <c r="O178" s="247"/>
      <c r="P178" s="248"/>
      <c r="Q178" s="251"/>
      <c r="R178" s="250"/>
      <c r="S178" s="245"/>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c r="BA178" s="126"/>
      <c r="BB178" s="126"/>
      <c r="BC178" s="126"/>
      <c r="BD178" s="126"/>
      <c r="BE178" s="126"/>
      <c r="BF178" s="126"/>
      <c r="BG178" s="126"/>
      <c r="BH178" s="126"/>
      <c r="BI178" s="126"/>
      <c r="BJ178" s="126"/>
      <c r="BK178" s="126"/>
      <c r="BL178" s="126"/>
      <c r="BM178" s="126"/>
      <c r="BN178" s="126"/>
      <c r="BO178" s="126"/>
      <c r="BP178" s="126"/>
      <c r="BQ178" s="126"/>
      <c r="BR178" s="126"/>
      <c r="BS178" s="126"/>
      <c r="BT178" s="126"/>
      <c r="BU178" s="126"/>
      <c r="BV178" s="126"/>
      <c r="BW178" s="126"/>
    </row>
    <row r="179">
      <c r="A179" s="249"/>
      <c r="B179" s="247"/>
      <c r="C179" s="252"/>
      <c r="D179" s="247"/>
      <c r="E179" s="247"/>
      <c r="F179" s="247"/>
      <c r="G179" s="247"/>
      <c r="H179" s="247"/>
      <c r="I179" s="247"/>
      <c r="J179" s="247"/>
      <c r="K179" s="247"/>
      <c r="L179" s="247"/>
      <c r="M179" s="247"/>
      <c r="N179" s="246"/>
      <c r="O179" s="247"/>
      <c r="P179" s="248"/>
      <c r="Q179" s="251"/>
      <c r="R179" s="250"/>
      <c r="S179" s="245"/>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c r="BJ179" s="126"/>
      <c r="BK179" s="126"/>
      <c r="BL179" s="126"/>
      <c r="BM179" s="126"/>
      <c r="BN179" s="126"/>
      <c r="BO179" s="126"/>
      <c r="BP179" s="126"/>
      <c r="BQ179" s="126"/>
      <c r="BR179" s="126"/>
      <c r="BS179" s="126"/>
      <c r="BT179" s="126"/>
      <c r="BU179" s="126"/>
      <c r="BV179" s="126"/>
      <c r="BW179" s="126"/>
    </row>
    <row r="180">
      <c r="A180" s="249"/>
      <c r="B180" s="247"/>
      <c r="C180" s="252"/>
      <c r="D180" s="247"/>
      <c r="E180" s="247"/>
      <c r="F180" s="247"/>
      <c r="G180" s="247"/>
      <c r="H180" s="247"/>
      <c r="I180" s="247"/>
      <c r="J180" s="247"/>
      <c r="K180" s="247"/>
      <c r="L180" s="247"/>
      <c r="M180" s="247"/>
      <c r="N180" s="246"/>
      <c r="O180" s="247"/>
      <c r="P180" s="248"/>
      <c r="Q180" s="251"/>
      <c r="R180" s="250"/>
      <c r="S180" s="245"/>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c r="AY180" s="126"/>
      <c r="AZ180" s="126"/>
      <c r="BA180" s="126"/>
      <c r="BB180" s="126"/>
      <c r="BC180" s="126"/>
      <c r="BD180" s="126"/>
      <c r="BE180" s="126"/>
      <c r="BF180" s="126"/>
      <c r="BG180" s="126"/>
      <c r="BH180" s="126"/>
      <c r="BI180" s="126"/>
      <c r="BJ180" s="126"/>
      <c r="BK180" s="126"/>
      <c r="BL180" s="126"/>
      <c r="BM180" s="126"/>
      <c r="BN180" s="126"/>
      <c r="BO180" s="126"/>
      <c r="BP180" s="126"/>
      <c r="BQ180" s="126"/>
      <c r="BR180" s="126"/>
      <c r="BS180" s="126"/>
      <c r="BT180" s="126"/>
      <c r="BU180" s="126"/>
      <c r="BV180" s="126"/>
      <c r="BW180" s="126"/>
    </row>
    <row r="181">
      <c r="A181" s="249"/>
      <c r="B181" s="247"/>
      <c r="C181" s="252"/>
      <c r="D181" s="247"/>
      <c r="E181" s="247"/>
      <c r="F181" s="247"/>
      <c r="G181" s="247"/>
      <c r="H181" s="247"/>
      <c r="I181" s="247"/>
      <c r="J181" s="247"/>
      <c r="K181" s="247"/>
      <c r="L181" s="247"/>
      <c r="M181" s="247"/>
      <c r="N181" s="246"/>
      <c r="O181" s="247"/>
      <c r="P181" s="248"/>
      <c r="Q181" s="251"/>
      <c r="R181" s="250"/>
      <c r="S181" s="245"/>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c r="BA181" s="126"/>
      <c r="BB181" s="126"/>
      <c r="BC181" s="126"/>
      <c r="BD181" s="126"/>
      <c r="BE181" s="126"/>
      <c r="BF181" s="126"/>
      <c r="BG181" s="126"/>
      <c r="BH181" s="126"/>
      <c r="BI181" s="126"/>
      <c r="BJ181" s="126"/>
      <c r="BK181" s="126"/>
      <c r="BL181" s="126"/>
      <c r="BM181" s="126"/>
      <c r="BN181" s="126"/>
      <c r="BO181" s="126"/>
      <c r="BP181" s="126"/>
      <c r="BQ181" s="126"/>
      <c r="BR181" s="126"/>
      <c r="BS181" s="126"/>
      <c r="BT181" s="126"/>
      <c r="BU181" s="126"/>
      <c r="BV181" s="126"/>
      <c r="BW181" s="126"/>
    </row>
    <row r="182">
      <c r="A182" s="249"/>
      <c r="B182" s="247"/>
      <c r="C182" s="252"/>
      <c r="D182" s="247"/>
      <c r="E182" s="247"/>
      <c r="F182" s="247"/>
      <c r="G182" s="247"/>
      <c r="H182" s="247"/>
      <c r="I182" s="247"/>
      <c r="J182" s="247"/>
      <c r="K182" s="247"/>
      <c r="L182" s="247"/>
      <c r="M182" s="247"/>
      <c r="N182" s="246"/>
      <c r="O182" s="247"/>
      <c r="P182" s="248"/>
      <c r="Q182" s="251"/>
      <c r="R182" s="250"/>
      <c r="S182" s="245"/>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c r="BA182" s="126"/>
      <c r="BB182" s="126"/>
      <c r="BC182" s="126"/>
      <c r="BD182" s="126"/>
      <c r="BE182" s="126"/>
      <c r="BF182" s="126"/>
      <c r="BG182" s="126"/>
      <c r="BH182" s="126"/>
      <c r="BI182" s="126"/>
      <c r="BJ182" s="126"/>
      <c r="BK182" s="126"/>
      <c r="BL182" s="126"/>
      <c r="BM182" s="126"/>
      <c r="BN182" s="126"/>
      <c r="BO182" s="126"/>
      <c r="BP182" s="126"/>
      <c r="BQ182" s="126"/>
      <c r="BR182" s="126"/>
      <c r="BS182" s="126"/>
      <c r="BT182" s="126"/>
      <c r="BU182" s="126"/>
      <c r="BV182" s="126"/>
      <c r="BW182" s="126"/>
    </row>
    <row r="183">
      <c r="A183" s="249"/>
      <c r="B183" s="247"/>
      <c r="C183" s="252"/>
      <c r="D183" s="247"/>
      <c r="E183" s="247"/>
      <c r="F183" s="247"/>
      <c r="G183" s="247"/>
      <c r="H183" s="247"/>
      <c r="I183" s="247"/>
      <c r="J183" s="247"/>
      <c r="K183" s="247"/>
      <c r="L183" s="247"/>
      <c r="M183" s="247"/>
      <c r="N183" s="246"/>
      <c r="O183" s="247"/>
      <c r="P183" s="248"/>
      <c r="Q183" s="251"/>
      <c r="R183" s="250"/>
      <c r="S183" s="245"/>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c r="BA183" s="126"/>
      <c r="BB183" s="126"/>
      <c r="BC183" s="126"/>
      <c r="BD183" s="126"/>
      <c r="BE183" s="126"/>
      <c r="BF183" s="126"/>
      <c r="BG183" s="126"/>
      <c r="BH183" s="126"/>
      <c r="BI183" s="126"/>
      <c r="BJ183" s="126"/>
      <c r="BK183" s="126"/>
      <c r="BL183" s="126"/>
      <c r="BM183" s="126"/>
      <c r="BN183" s="126"/>
      <c r="BO183" s="126"/>
      <c r="BP183" s="126"/>
      <c r="BQ183" s="126"/>
      <c r="BR183" s="126"/>
      <c r="BS183" s="126"/>
      <c r="BT183" s="126"/>
      <c r="BU183" s="126"/>
      <c r="BV183" s="126"/>
      <c r="BW183" s="126"/>
    </row>
    <row r="184">
      <c r="A184" s="249"/>
      <c r="B184" s="247"/>
      <c r="C184" s="252"/>
      <c r="D184" s="247"/>
      <c r="E184" s="247"/>
      <c r="F184" s="247"/>
      <c r="G184" s="247"/>
      <c r="H184" s="247"/>
      <c r="I184" s="247"/>
      <c r="J184" s="247"/>
      <c r="K184" s="247"/>
      <c r="L184" s="247"/>
      <c r="M184" s="247"/>
      <c r="N184" s="246"/>
      <c r="O184" s="247"/>
      <c r="P184" s="248"/>
      <c r="Q184" s="251"/>
      <c r="R184" s="250"/>
      <c r="S184" s="245"/>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c r="BL184" s="126"/>
      <c r="BM184" s="126"/>
      <c r="BN184" s="126"/>
      <c r="BO184" s="126"/>
      <c r="BP184" s="126"/>
      <c r="BQ184" s="126"/>
      <c r="BR184" s="126"/>
      <c r="BS184" s="126"/>
      <c r="BT184" s="126"/>
      <c r="BU184" s="126"/>
      <c r="BV184" s="126"/>
      <c r="BW184" s="126"/>
    </row>
    <row r="185">
      <c r="A185" s="249"/>
      <c r="B185" s="247"/>
      <c r="C185" s="252"/>
      <c r="D185" s="247"/>
      <c r="E185" s="247"/>
      <c r="F185" s="247"/>
      <c r="G185" s="247"/>
      <c r="H185" s="247"/>
      <c r="I185" s="247"/>
      <c r="J185" s="247"/>
      <c r="K185" s="247"/>
      <c r="L185" s="247"/>
      <c r="M185" s="247"/>
      <c r="N185" s="246"/>
      <c r="O185" s="247"/>
      <c r="P185" s="248"/>
      <c r="Q185" s="251"/>
      <c r="R185" s="250"/>
      <c r="S185" s="245"/>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c r="BA185" s="126"/>
      <c r="BB185" s="126"/>
      <c r="BC185" s="126"/>
      <c r="BD185" s="126"/>
      <c r="BE185" s="126"/>
      <c r="BF185" s="126"/>
      <c r="BG185" s="126"/>
      <c r="BH185" s="126"/>
      <c r="BI185" s="126"/>
      <c r="BJ185" s="126"/>
      <c r="BK185" s="126"/>
      <c r="BL185" s="126"/>
      <c r="BM185" s="126"/>
      <c r="BN185" s="126"/>
      <c r="BO185" s="126"/>
      <c r="BP185" s="126"/>
      <c r="BQ185" s="126"/>
      <c r="BR185" s="126"/>
      <c r="BS185" s="126"/>
      <c r="BT185" s="126"/>
      <c r="BU185" s="126"/>
      <c r="BV185" s="126"/>
      <c r="BW185" s="126"/>
    </row>
    <row r="186">
      <c r="A186" s="249"/>
      <c r="B186" s="247"/>
      <c r="C186" s="252"/>
      <c r="D186" s="247"/>
      <c r="E186" s="247"/>
      <c r="F186" s="247"/>
      <c r="G186" s="247"/>
      <c r="H186" s="247"/>
      <c r="I186" s="247"/>
      <c r="J186" s="247"/>
      <c r="K186" s="247"/>
      <c r="L186" s="247"/>
      <c r="M186" s="247"/>
      <c r="N186" s="246"/>
      <c r="O186" s="247"/>
      <c r="P186" s="248"/>
      <c r="Q186" s="251"/>
      <c r="R186" s="250"/>
      <c r="S186" s="245"/>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c r="BA186" s="126"/>
      <c r="BB186" s="126"/>
      <c r="BC186" s="126"/>
      <c r="BD186" s="126"/>
      <c r="BE186" s="126"/>
      <c r="BF186" s="126"/>
      <c r="BG186" s="126"/>
      <c r="BH186" s="126"/>
      <c r="BI186" s="126"/>
      <c r="BJ186" s="126"/>
      <c r="BK186" s="126"/>
      <c r="BL186" s="126"/>
      <c r="BM186" s="126"/>
      <c r="BN186" s="126"/>
      <c r="BO186" s="126"/>
      <c r="BP186" s="126"/>
      <c r="BQ186" s="126"/>
      <c r="BR186" s="126"/>
      <c r="BS186" s="126"/>
      <c r="BT186" s="126"/>
      <c r="BU186" s="126"/>
      <c r="BV186" s="126"/>
      <c r="BW186" s="126"/>
    </row>
    <row r="187">
      <c r="A187" s="249"/>
      <c r="B187" s="247"/>
      <c r="C187" s="252"/>
      <c r="D187" s="247"/>
      <c r="E187" s="247"/>
      <c r="F187" s="247"/>
      <c r="G187" s="247"/>
      <c r="H187" s="247"/>
      <c r="I187" s="247"/>
      <c r="J187" s="247"/>
      <c r="K187" s="247"/>
      <c r="L187" s="247"/>
      <c r="M187" s="247"/>
      <c r="N187" s="246"/>
      <c r="O187" s="247"/>
      <c r="P187" s="248"/>
      <c r="Q187" s="251"/>
      <c r="R187" s="250"/>
      <c r="S187" s="245"/>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c r="BJ187" s="126"/>
      <c r="BK187" s="126"/>
      <c r="BL187" s="126"/>
      <c r="BM187" s="126"/>
      <c r="BN187" s="126"/>
      <c r="BO187" s="126"/>
      <c r="BP187" s="126"/>
      <c r="BQ187" s="126"/>
      <c r="BR187" s="126"/>
      <c r="BS187" s="126"/>
      <c r="BT187" s="126"/>
      <c r="BU187" s="126"/>
      <c r="BV187" s="126"/>
      <c r="BW187" s="126"/>
    </row>
    <row r="188">
      <c r="A188" s="249"/>
      <c r="B188" s="247"/>
      <c r="C188" s="252"/>
      <c r="D188" s="247"/>
      <c r="E188" s="247"/>
      <c r="F188" s="247"/>
      <c r="G188" s="247"/>
      <c r="H188" s="247"/>
      <c r="I188" s="247"/>
      <c r="J188" s="247"/>
      <c r="K188" s="247"/>
      <c r="L188" s="247"/>
      <c r="M188" s="247"/>
      <c r="N188" s="246"/>
      <c r="O188" s="247"/>
      <c r="P188" s="248"/>
      <c r="Q188" s="251"/>
      <c r="R188" s="250"/>
      <c r="S188" s="245"/>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c r="AY188" s="126"/>
      <c r="AZ188" s="126"/>
      <c r="BA188" s="126"/>
      <c r="BB188" s="126"/>
      <c r="BC188" s="126"/>
      <c r="BD188" s="126"/>
      <c r="BE188" s="126"/>
      <c r="BF188" s="126"/>
      <c r="BG188" s="126"/>
      <c r="BH188" s="126"/>
      <c r="BI188" s="126"/>
      <c r="BJ188" s="126"/>
      <c r="BK188" s="126"/>
      <c r="BL188" s="126"/>
      <c r="BM188" s="126"/>
      <c r="BN188" s="126"/>
      <c r="BO188" s="126"/>
      <c r="BP188" s="126"/>
      <c r="BQ188" s="126"/>
      <c r="BR188" s="126"/>
      <c r="BS188" s="126"/>
      <c r="BT188" s="126"/>
      <c r="BU188" s="126"/>
      <c r="BV188" s="126"/>
      <c r="BW188" s="126"/>
    </row>
    <row r="189">
      <c r="A189" s="249"/>
      <c r="B189" s="247"/>
      <c r="C189" s="252"/>
      <c r="D189" s="247"/>
      <c r="E189" s="247"/>
      <c r="F189" s="247"/>
      <c r="G189" s="247"/>
      <c r="H189" s="247"/>
      <c r="I189" s="247"/>
      <c r="J189" s="247"/>
      <c r="K189" s="247"/>
      <c r="L189" s="247"/>
      <c r="M189" s="247"/>
      <c r="N189" s="246"/>
      <c r="O189" s="247"/>
      <c r="P189" s="248"/>
      <c r="Q189" s="251"/>
      <c r="R189" s="250"/>
      <c r="S189" s="245"/>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c r="BA189" s="126"/>
      <c r="BB189" s="126"/>
      <c r="BC189" s="126"/>
      <c r="BD189" s="126"/>
      <c r="BE189" s="126"/>
      <c r="BF189" s="126"/>
      <c r="BG189" s="126"/>
      <c r="BH189" s="126"/>
      <c r="BI189" s="126"/>
      <c r="BJ189" s="126"/>
      <c r="BK189" s="126"/>
      <c r="BL189" s="126"/>
      <c r="BM189" s="126"/>
      <c r="BN189" s="126"/>
      <c r="BO189" s="126"/>
      <c r="BP189" s="126"/>
      <c r="BQ189" s="126"/>
      <c r="BR189" s="126"/>
      <c r="BS189" s="126"/>
      <c r="BT189" s="126"/>
      <c r="BU189" s="126"/>
      <c r="BV189" s="126"/>
      <c r="BW189" s="126"/>
    </row>
    <row r="190">
      <c r="A190" s="249"/>
      <c r="B190" s="247"/>
      <c r="C190" s="252"/>
      <c r="D190" s="247"/>
      <c r="E190" s="247"/>
      <c r="F190" s="247"/>
      <c r="G190" s="247"/>
      <c r="H190" s="247"/>
      <c r="I190" s="247"/>
      <c r="J190" s="247"/>
      <c r="K190" s="247"/>
      <c r="L190" s="247"/>
      <c r="M190" s="247"/>
      <c r="N190" s="246"/>
      <c r="O190" s="247"/>
      <c r="P190" s="248"/>
      <c r="Q190" s="251"/>
      <c r="R190" s="250"/>
      <c r="S190" s="245"/>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c r="BL190" s="126"/>
      <c r="BM190" s="126"/>
      <c r="BN190" s="126"/>
      <c r="BO190" s="126"/>
      <c r="BP190" s="126"/>
      <c r="BQ190" s="126"/>
      <c r="BR190" s="126"/>
      <c r="BS190" s="126"/>
      <c r="BT190" s="126"/>
      <c r="BU190" s="126"/>
      <c r="BV190" s="126"/>
      <c r="BW190" s="126"/>
    </row>
    <row r="191">
      <c r="A191" s="249"/>
      <c r="B191" s="247"/>
      <c r="C191" s="252"/>
      <c r="D191" s="247"/>
      <c r="E191" s="247"/>
      <c r="F191" s="247"/>
      <c r="G191" s="247"/>
      <c r="H191" s="247"/>
      <c r="I191" s="247"/>
      <c r="J191" s="247"/>
      <c r="K191" s="247"/>
      <c r="L191" s="247"/>
      <c r="M191" s="247"/>
      <c r="N191" s="246"/>
      <c r="O191" s="247"/>
      <c r="P191" s="248"/>
      <c r="Q191" s="251"/>
      <c r="R191" s="250"/>
      <c r="S191" s="245"/>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c r="BA191" s="126"/>
      <c r="BB191" s="126"/>
      <c r="BC191" s="126"/>
      <c r="BD191" s="126"/>
      <c r="BE191" s="126"/>
      <c r="BF191" s="126"/>
      <c r="BG191" s="126"/>
      <c r="BH191" s="126"/>
      <c r="BI191" s="126"/>
      <c r="BJ191" s="126"/>
      <c r="BK191" s="126"/>
      <c r="BL191" s="126"/>
      <c r="BM191" s="126"/>
      <c r="BN191" s="126"/>
      <c r="BO191" s="126"/>
      <c r="BP191" s="126"/>
      <c r="BQ191" s="126"/>
      <c r="BR191" s="126"/>
      <c r="BS191" s="126"/>
      <c r="BT191" s="126"/>
      <c r="BU191" s="126"/>
      <c r="BV191" s="126"/>
      <c r="BW191" s="126"/>
    </row>
    <row r="192">
      <c r="A192" s="249"/>
      <c r="B192" s="247"/>
      <c r="C192" s="252"/>
      <c r="D192" s="247"/>
      <c r="E192" s="247"/>
      <c r="F192" s="247"/>
      <c r="G192" s="247"/>
      <c r="H192" s="247"/>
      <c r="I192" s="247"/>
      <c r="J192" s="247"/>
      <c r="K192" s="247"/>
      <c r="L192" s="247"/>
      <c r="M192" s="247"/>
      <c r="N192" s="246"/>
      <c r="O192" s="247"/>
      <c r="P192" s="248"/>
      <c r="Q192" s="251"/>
      <c r="R192" s="250"/>
      <c r="S192" s="245"/>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c r="BJ192" s="126"/>
      <c r="BK192" s="126"/>
      <c r="BL192" s="126"/>
      <c r="BM192" s="126"/>
      <c r="BN192" s="126"/>
      <c r="BO192" s="126"/>
      <c r="BP192" s="126"/>
      <c r="BQ192" s="126"/>
      <c r="BR192" s="126"/>
      <c r="BS192" s="126"/>
      <c r="BT192" s="126"/>
      <c r="BU192" s="126"/>
      <c r="BV192" s="126"/>
      <c r="BW192" s="126"/>
    </row>
    <row r="193">
      <c r="A193" s="249"/>
      <c r="B193" s="247"/>
      <c r="C193" s="252"/>
      <c r="D193" s="247"/>
      <c r="E193" s="247"/>
      <c r="F193" s="247"/>
      <c r="G193" s="247"/>
      <c r="H193" s="247"/>
      <c r="I193" s="247"/>
      <c r="J193" s="247"/>
      <c r="K193" s="247"/>
      <c r="L193" s="247"/>
      <c r="M193" s="247"/>
      <c r="N193" s="246"/>
      <c r="O193" s="247"/>
      <c r="P193" s="248"/>
      <c r="Q193" s="251"/>
      <c r="R193" s="250"/>
      <c r="S193" s="245"/>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c r="BA193" s="126"/>
      <c r="BB193" s="126"/>
      <c r="BC193" s="126"/>
      <c r="BD193" s="126"/>
      <c r="BE193" s="126"/>
      <c r="BF193" s="126"/>
      <c r="BG193" s="126"/>
      <c r="BH193" s="126"/>
      <c r="BI193" s="126"/>
      <c r="BJ193" s="126"/>
      <c r="BK193" s="126"/>
      <c r="BL193" s="126"/>
      <c r="BM193" s="126"/>
      <c r="BN193" s="126"/>
      <c r="BO193" s="126"/>
      <c r="BP193" s="126"/>
      <c r="BQ193" s="126"/>
      <c r="BR193" s="126"/>
      <c r="BS193" s="126"/>
      <c r="BT193" s="126"/>
      <c r="BU193" s="126"/>
      <c r="BV193" s="126"/>
      <c r="BW193" s="126"/>
    </row>
    <row r="194">
      <c r="A194" s="249"/>
      <c r="B194" s="247"/>
      <c r="C194" s="252"/>
      <c r="D194" s="247"/>
      <c r="E194" s="247"/>
      <c r="F194" s="247"/>
      <c r="G194" s="247"/>
      <c r="H194" s="247"/>
      <c r="I194" s="247"/>
      <c r="J194" s="247"/>
      <c r="K194" s="247"/>
      <c r="L194" s="247"/>
      <c r="M194" s="247"/>
      <c r="N194" s="246"/>
      <c r="O194" s="247"/>
      <c r="P194" s="248"/>
      <c r="Q194" s="251"/>
      <c r="R194" s="250"/>
      <c r="S194" s="245"/>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c r="BJ194" s="126"/>
      <c r="BK194" s="126"/>
      <c r="BL194" s="126"/>
      <c r="BM194" s="126"/>
      <c r="BN194" s="126"/>
      <c r="BO194" s="126"/>
      <c r="BP194" s="126"/>
      <c r="BQ194" s="126"/>
      <c r="BR194" s="126"/>
      <c r="BS194" s="126"/>
      <c r="BT194" s="126"/>
      <c r="BU194" s="126"/>
      <c r="BV194" s="126"/>
      <c r="BW194" s="126"/>
    </row>
    <row r="195">
      <c r="A195" s="249"/>
      <c r="B195" s="247"/>
      <c r="C195" s="252"/>
      <c r="D195" s="247"/>
      <c r="E195" s="247"/>
      <c r="F195" s="247"/>
      <c r="G195" s="247"/>
      <c r="H195" s="247"/>
      <c r="I195" s="247"/>
      <c r="J195" s="247"/>
      <c r="K195" s="247"/>
      <c r="L195" s="247"/>
      <c r="M195" s="247"/>
      <c r="N195" s="246"/>
      <c r="O195" s="247"/>
      <c r="P195" s="248"/>
      <c r="Q195" s="251"/>
      <c r="R195" s="250"/>
      <c r="S195" s="245"/>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126"/>
      <c r="BL195" s="126"/>
      <c r="BM195" s="126"/>
      <c r="BN195" s="126"/>
      <c r="BO195" s="126"/>
      <c r="BP195" s="126"/>
      <c r="BQ195" s="126"/>
      <c r="BR195" s="126"/>
      <c r="BS195" s="126"/>
      <c r="BT195" s="126"/>
      <c r="BU195" s="126"/>
      <c r="BV195" s="126"/>
      <c r="BW195" s="126"/>
    </row>
    <row r="196">
      <c r="A196" s="249"/>
      <c r="B196" s="247"/>
      <c r="C196" s="252"/>
      <c r="D196" s="247"/>
      <c r="E196" s="247"/>
      <c r="F196" s="247"/>
      <c r="G196" s="247"/>
      <c r="H196" s="247"/>
      <c r="I196" s="247"/>
      <c r="J196" s="247"/>
      <c r="K196" s="247"/>
      <c r="L196" s="247"/>
      <c r="M196" s="247"/>
      <c r="N196" s="246"/>
      <c r="O196" s="247"/>
      <c r="P196" s="248"/>
      <c r="Q196" s="251"/>
      <c r="R196" s="250"/>
      <c r="S196" s="245"/>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c r="BL196" s="126"/>
      <c r="BM196" s="126"/>
      <c r="BN196" s="126"/>
      <c r="BO196" s="126"/>
      <c r="BP196" s="126"/>
      <c r="BQ196" s="126"/>
      <c r="BR196" s="126"/>
      <c r="BS196" s="126"/>
      <c r="BT196" s="126"/>
      <c r="BU196" s="126"/>
      <c r="BV196" s="126"/>
      <c r="BW196" s="126"/>
    </row>
    <row r="197">
      <c r="A197" s="249"/>
      <c r="B197" s="247"/>
      <c r="C197" s="252"/>
      <c r="D197" s="247"/>
      <c r="E197" s="247"/>
      <c r="F197" s="247"/>
      <c r="G197" s="247"/>
      <c r="H197" s="247"/>
      <c r="I197" s="247"/>
      <c r="J197" s="247"/>
      <c r="K197" s="247"/>
      <c r="L197" s="247"/>
      <c r="M197" s="247"/>
      <c r="N197" s="246"/>
      <c r="O197" s="247"/>
      <c r="P197" s="248"/>
      <c r="Q197" s="251"/>
      <c r="R197" s="250"/>
      <c r="S197" s="245"/>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c r="BA197" s="126"/>
      <c r="BB197" s="126"/>
      <c r="BC197" s="126"/>
      <c r="BD197" s="126"/>
      <c r="BE197" s="126"/>
      <c r="BF197" s="126"/>
      <c r="BG197" s="126"/>
      <c r="BH197" s="126"/>
      <c r="BI197" s="126"/>
      <c r="BJ197" s="126"/>
      <c r="BK197" s="126"/>
      <c r="BL197" s="126"/>
      <c r="BM197" s="126"/>
      <c r="BN197" s="126"/>
      <c r="BO197" s="126"/>
      <c r="BP197" s="126"/>
      <c r="BQ197" s="126"/>
      <c r="BR197" s="126"/>
      <c r="BS197" s="126"/>
      <c r="BT197" s="126"/>
      <c r="BU197" s="126"/>
      <c r="BV197" s="126"/>
      <c r="BW197" s="126"/>
    </row>
    <row r="198">
      <c r="A198" s="249"/>
      <c r="B198" s="247"/>
      <c r="C198" s="252"/>
      <c r="D198" s="247"/>
      <c r="E198" s="247"/>
      <c r="F198" s="247"/>
      <c r="G198" s="247"/>
      <c r="H198" s="247"/>
      <c r="I198" s="247"/>
      <c r="J198" s="247"/>
      <c r="K198" s="247"/>
      <c r="L198" s="247"/>
      <c r="M198" s="247"/>
      <c r="N198" s="246"/>
      <c r="O198" s="247"/>
      <c r="P198" s="248"/>
      <c r="Q198" s="251"/>
      <c r="R198" s="250"/>
      <c r="S198" s="245"/>
      <c r="T198" s="126"/>
      <c r="U198" s="126"/>
      <c r="V198" s="126"/>
      <c r="W198" s="126"/>
      <c r="X198" s="126"/>
      <c r="Y198" s="126"/>
      <c r="Z198" s="126"/>
      <c r="AA198" s="126"/>
      <c r="AB198" s="126"/>
      <c r="AC198" s="126"/>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c r="BJ198" s="126"/>
      <c r="BK198" s="126"/>
      <c r="BL198" s="126"/>
      <c r="BM198" s="126"/>
      <c r="BN198" s="126"/>
      <c r="BO198" s="126"/>
      <c r="BP198" s="126"/>
      <c r="BQ198" s="126"/>
      <c r="BR198" s="126"/>
      <c r="BS198" s="126"/>
      <c r="BT198" s="126"/>
      <c r="BU198" s="126"/>
      <c r="BV198" s="126"/>
      <c r="BW198" s="126"/>
    </row>
    <row r="199">
      <c r="A199" s="249"/>
      <c r="B199" s="247"/>
      <c r="C199" s="252"/>
      <c r="D199" s="247"/>
      <c r="E199" s="247"/>
      <c r="F199" s="247"/>
      <c r="G199" s="247"/>
      <c r="H199" s="247"/>
      <c r="I199" s="247"/>
      <c r="J199" s="247"/>
      <c r="K199" s="247"/>
      <c r="L199" s="247"/>
      <c r="M199" s="247"/>
      <c r="N199" s="246"/>
      <c r="O199" s="247"/>
      <c r="P199" s="248"/>
      <c r="Q199" s="251"/>
      <c r="R199" s="250"/>
      <c r="S199" s="245"/>
      <c r="T199" s="126"/>
      <c r="U199" s="126"/>
      <c r="V199" s="126"/>
      <c r="W199" s="126"/>
      <c r="X199" s="126"/>
      <c r="Y199" s="126"/>
      <c r="Z199" s="126"/>
      <c r="AA199" s="126"/>
      <c r="AB199" s="126"/>
      <c r="AC199" s="126"/>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c r="AY199" s="126"/>
      <c r="AZ199" s="126"/>
      <c r="BA199" s="126"/>
      <c r="BB199" s="126"/>
      <c r="BC199" s="126"/>
      <c r="BD199" s="126"/>
      <c r="BE199" s="126"/>
      <c r="BF199" s="126"/>
      <c r="BG199" s="126"/>
      <c r="BH199" s="126"/>
      <c r="BI199" s="126"/>
      <c r="BJ199" s="126"/>
      <c r="BK199" s="126"/>
      <c r="BL199" s="126"/>
      <c r="BM199" s="126"/>
      <c r="BN199" s="126"/>
      <c r="BO199" s="126"/>
      <c r="BP199" s="126"/>
      <c r="BQ199" s="126"/>
      <c r="BR199" s="126"/>
      <c r="BS199" s="126"/>
      <c r="BT199" s="126"/>
      <c r="BU199" s="126"/>
      <c r="BV199" s="126"/>
      <c r="BW199" s="126"/>
    </row>
    <row r="200">
      <c r="A200" s="249"/>
      <c r="B200" s="247"/>
      <c r="C200" s="252"/>
      <c r="D200" s="247"/>
      <c r="E200" s="247"/>
      <c r="F200" s="247"/>
      <c r="G200" s="247"/>
      <c r="H200" s="247"/>
      <c r="I200" s="247"/>
      <c r="J200" s="247"/>
      <c r="K200" s="247"/>
      <c r="L200" s="247"/>
      <c r="M200" s="247"/>
      <c r="N200" s="246"/>
      <c r="O200" s="247"/>
      <c r="P200" s="248"/>
      <c r="Q200" s="251"/>
      <c r="R200" s="250"/>
      <c r="S200" s="245"/>
      <c r="T200" s="126"/>
      <c r="U200" s="126"/>
      <c r="V200" s="126"/>
      <c r="W200" s="126"/>
      <c r="X200" s="126"/>
      <c r="Y200" s="126"/>
      <c r="Z200" s="126"/>
      <c r="AA200" s="126"/>
      <c r="AB200" s="126"/>
      <c r="AC200" s="126"/>
      <c r="AD200" s="126"/>
      <c r="AE200" s="126"/>
      <c r="AF200" s="126"/>
      <c r="AG200" s="126"/>
      <c r="AH200" s="126"/>
      <c r="AI200" s="126"/>
      <c r="AJ200" s="126"/>
      <c r="AK200" s="126"/>
      <c r="AL200" s="126"/>
      <c r="AM200" s="126"/>
      <c r="AN200" s="126"/>
      <c r="AO200" s="126"/>
      <c r="AP200" s="126"/>
      <c r="AQ200" s="126"/>
      <c r="AR200" s="126"/>
      <c r="AS200" s="126"/>
      <c r="AT200" s="126"/>
      <c r="AU200" s="126"/>
      <c r="AV200" s="126"/>
      <c r="AW200" s="126"/>
      <c r="AX200" s="126"/>
      <c r="AY200" s="126"/>
      <c r="AZ200" s="126"/>
      <c r="BA200" s="126"/>
      <c r="BB200" s="126"/>
      <c r="BC200" s="126"/>
      <c r="BD200" s="126"/>
      <c r="BE200" s="126"/>
      <c r="BF200" s="126"/>
      <c r="BG200" s="126"/>
      <c r="BH200" s="126"/>
      <c r="BI200" s="126"/>
      <c r="BJ200" s="126"/>
      <c r="BK200" s="126"/>
      <c r="BL200" s="126"/>
      <c r="BM200" s="126"/>
      <c r="BN200" s="126"/>
      <c r="BO200" s="126"/>
      <c r="BP200" s="126"/>
      <c r="BQ200" s="126"/>
      <c r="BR200" s="126"/>
      <c r="BS200" s="126"/>
      <c r="BT200" s="126"/>
      <c r="BU200" s="126"/>
      <c r="BV200" s="126"/>
      <c r="BW200" s="126"/>
    </row>
    <row r="201">
      <c r="A201" s="249"/>
      <c r="B201" s="247"/>
      <c r="C201" s="252"/>
      <c r="D201" s="247"/>
      <c r="E201" s="247"/>
      <c r="F201" s="247"/>
      <c r="G201" s="247"/>
      <c r="H201" s="247"/>
      <c r="I201" s="247"/>
      <c r="J201" s="247"/>
      <c r="K201" s="247"/>
      <c r="L201" s="247"/>
      <c r="M201" s="247"/>
      <c r="N201" s="246"/>
      <c r="O201" s="247"/>
      <c r="P201" s="248"/>
      <c r="Q201" s="251"/>
      <c r="R201" s="250"/>
      <c r="S201" s="245"/>
      <c r="T201" s="126"/>
      <c r="U201" s="126"/>
      <c r="V201" s="126"/>
      <c r="W201" s="126"/>
      <c r="X201" s="126"/>
      <c r="Y201" s="126"/>
      <c r="Z201" s="126"/>
      <c r="AA201" s="126"/>
      <c r="AB201" s="126"/>
      <c r="AC201" s="126"/>
      <c r="AD201" s="126"/>
      <c r="AE201" s="126"/>
      <c r="AF201" s="126"/>
      <c r="AG201" s="126"/>
      <c r="AH201" s="126"/>
      <c r="AI201" s="126"/>
      <c r="AJ201" s="126"/>
      <c r="AK201" s="126"/>
      <c r="AL201" s="126"/>
      <c r="AM201" s="126"/>
      <c r="AN201" s="126"/>
      <c r="AO201" s="126"/>
      <c r="AP201" s="126"/>
      <c r="AQ201" s="126"/>
      <c r="AR201" s="126"/>
      <c r="AS201" s="126"/>
      <c r="AT201" s="126"/>
      <c r="AU201" s="126"/>
      <c r="AV201" s="126"/>
      <c r="AW201" s="126"/>
      <c r="AX201" s="126"/>
      <c r="AY201" s="126"/>
      <c r="AZ201" s="126"/>
      <c r="BA201" s="126"/>
      <c r="BB201" s="126"/>
      <c r="BC201" s="126"/>
      <c r="BD201" s="126"/>
      <c r="BE201" s="126"/>
      <c r="BF201" s="126"/>
      <c r="BG201" s="126"/>
      <c r="BH201" s="126"/>
      <c r="BI201" s="126"/>
      <c r="BJ201" s="126"/>
      <c r="BK201" s="126"/>
      <c r="BL201" s="126"/>
      <c r="BM201" s="126"/>
      <c r="BN201" s="126"/>
      <c r="BO201" s="126"/>
      <c r="BP201" s="126"/>
      <c r="BQ201" s="126"/>
      <c r="BR201" s="126"/>
      <c r="BS201" s="126"/>
      <c r="BT201" s="126"/>
      <c r="BU201" s="126"/>
      <c r="BV201" s="126"/>
      <c r="BW201" s="126"/>
    </row>
    <row r="202">
      <c r="A202" s="249"/>
      <c r="B202" s="247"/>
      <c r="C202" s="252"/>
      <c r="D202" s="247"/>
      <c r="E202" s="247"/>
      <c r="F202" s="247"/>
      <c r="G202" s="247"/>
      <c r="H202" s="247"/>
      <c r="I202" s="247"/>
      <c r="J202" s="247"/>
      <c r="K202" s="247"/>
      <c r="L202" s="247"/>
      <c r="M202" s="247"/>
      <c r="N202" s="246"/>
      <c r="O202" s="247"/>
      <c r="P202" s="248"/>
      <c r="Q202" s="251"/>
      <c r="R202" s="250"/>
      <c r="S202" s="245"/>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c r="BJ202" s="126"/>
      <c r="BK202" s="126"/>
      <c r="BL202" s="126"/>
      <c r="BM202" s="126"/>
      <c r="BN202" s="126"/>
      <c r="BO202" s="126"/>
      <c r="BP202" s="126"/>
      <c r="BQ202" s="126"/>
      <c r="BR202" s="126"/>
      <c r="BS202" s="126"/>
      <c r="BT202" s="126"/>
      <c r="BU202" s="126"/>
      <c r="BV202" s="126"/>
      <c r="BW202" s="126"/>
    </row>
    <row r="203">
      <c r="A203" s="249"/>
      <c r="B203" s="247"/>
      <c r="C203" s="252"/>
      <c r="D203" s="247"/>
      <c r="E203" s="247"/>
      <c r="F203" s="247"/>
      <c r="G203" s="247"/>
      <c r="H203" s="247"/>
      <c r="I203" s="247"/>
      <c r="J203" s="247"/>
      <c r="K203" s="247"/>
      <c r="L203" s="247"/>
      <c r="M203" s="247"/>
      <c r="N203" s="246"/>
      <c r="O203" s="247"/>
      <c r="P203" s="248"/>
      <c r="Q203" s="251"/>
      <c r="R203" s="250"/>
      <c r="S203" s="245"/>
      <c r="T203" s="126"/>
      <c r="U203" s="126"/>
      <c r="V203" s="126"/>
      <c r="W203" s="126"/>
      <c r="X203" s="126"/>
      <c r="Y203" s="126"/>
      <c r="Z203" s="126"/>
      <c r="AA203" s="126"/>
      <c r="AB203" s="126"/>
      <c r="AC203" s="126"/>
      <c r="AD203" s="126"/>
      <c r="AE203" s="126"/>
      <c r="AF203" s="126"/>
      <c r="AG203" s="126"/>
      <c r="AH203" s="126"/>
      <c r="AI203" s="126"/>
      <c r="AJ203" s="126"/>
      <c r="AK203" s="126"/>
      <c r="AL203" s="126"/>
      <c r="AM203" s="126"/>
      <c r="AN203" s="126"/>
      <c r="AO203" s="126"/>
      <c r="AP203" s="126"/>
      <c r="AQ203" s="126"/>
      <c r="AR203" s="126"/>
      <c r="AS203" s="126"/>
      <c r="AT203" s="126"/>
      <c r="AU203" s="126"/>
      <c r="AV203" s="126"/>
      <c r="AW203" s="126"/>
      <c r="AX203" s="126"/>
      <c r="AY203" s="126"/>
      <c r="AZ203" s="126"/>
      <c r="BA203" s="126"/>
      <c r="BB203" s="126"/>
      <c r="BC203" s="126"/>
      <c r="BD203" s="126"/>
      <c r="BE203" s="126"/>
      <c r="BF203" s="126"/>
      <c r="BG203" s="126"/>
      <c r="BH203" s="126"/>
      <c r="BI203" s="126"/>
      <c r="BJ203" s="126"/>
      <c r="BK203" s="126"/>
      <c r="BL203" s="126"/>
      <c r="BM203" s="126"/>
      <c r="BN203" s="126"/>
      <c r="BO203" s="126"/>
      <c r="BP203" s="126"/>
      <c r="BQ203" s="126"/>
      <c r="BR203" s="126"/>
      <c r="BS203" s="126"/>
      <c r="BT203" s="126"/>
      <c r="BU203" s="126"/>
      <c r="BV203" s="126"/>
      <c r="BW203" s="126"/>
    </row>
    <row r="204">
      <c r="A204" s="249"/>
      <c r="B204" s="247"/>
      <c r="C204" s="252"/>
      <c r="D204" s="247"/>
      <c r="E204" s="247"/>
      <c r="F204" s="247"/>
      <c r="G204" s="247"/>
      <c r="H204" s="247"/>
      <c r="I204" s="247"/>
      <c r="J204" s="247"/>
      <c r="K204" s="247"/>
      <c r="L204" s="247"/>
      <c r="M204" s="247"/>
      <c r="N204" s="246"/>
      <c r="O204" s="247"/>
      <c r="P204" s="248"/>
      <c r="Q204" s="251"/>
      <c r="R204" s="250"/>
      <c r="S204" s="245"/>
      <c r="T204" s="126"/>
      <c r="U204" s="126"/>
      <c r="V204" s="126"/>
      <c r="W204" s="126"/>
      <c r="X204" s="126"/>
      <c r="Y204" s="126"/>
      <c r="Z204" s="126"/>
      <c r="AA204" s="126"/>
      <c r="AB204" s="126"/>
      <c r="AC204" s="126"/>
      <c r="AD204" s="126"/>
      <c r="AE204" s="126"/>
      <c r="AF204" s="126"/>
      <c r="AG204" s="126"/>
      <c r="AH204" s="126"/>
      <c r="AI204" s="126"/>
      <c r="AJ204" s="126"/>
      <c r="AK204" s="126"/>
      <c r="AL204" s="126"/>
      <c r="AM204" s="126"/>
      <c r="AN204" s="126"/>
      <c r="AO204" s="126"/>
      <c r="AP204" s="126"/>
      <c r="AQ204" s="126"/>
      <c r="AR204" s="126"/>
      <c r="AS204" s="126"/>
      <c r="AT204" s="126"/>
      <c r="AU204" s="126"/>
      <c r="AV204" s="126"/>
      <c r="AW204" s="126"/>
      <c r="AX204" s="126"/>
      <c r="AY204" s="126"/>
      <c r="AZ204" s="126"/>
      <c r="BA204" s="126"/>
      <c r="BB204" s="126"/>
      <c r="BC204" s="126"/>
      <c r="BD204" s="126"/>
      <c r="BE204" s="126"/>
      <c r="BF204" s="126"/>
      <c r="BG204" s="126"/>
      <c r="BH204" s="126"/>
      <c r="BI204" s="126"/>
      <c r="BJ204" s="126"/>
      <c r="BK204" s="126"/>
      <c r="BL204" s="126"/>
      <c r="BM204" s="126"/>
      <c r="BN204" s="126"/>
      <c r="BO204" s="126"/>
      <c r="BP204" s="126"/>
      <c r="BQ204" s="126"/>
      <c r="BR204" s="126"/>
      <c r="BS204" s="126"/>
      <c r="BT204" s="126"/>
      <c r="BU204" s="126"/>
      <c r="BV204" s="126"/>
      <c r="BW204" s="126"/>
    </row>
    <row r="205">
      <c r="A205" s="249"/>
      <c r="B205" s="247"/>
      <c r="C205" s="252"/>
      <c r="D205" s="247"/>
      <c r="E205" s="247"/>
      <c r="F205" s="247"/>
      <c r="G205" s="247"/>
      <c r="H205" s="247"/>
      <c r="I205" s="247"/>
      <c r="J205" s="247"/>
      <c r="K205" s="247"/>
      <c r="L205" s="247"/>
      <c r="M205" s="247"/>
      <c r="N205" s="246"/>
      <c r="O205" s="247"/>
      <c r="P205" s="248"/>
      <c r="Q205" s="251"/>
      <c r="R205" s="250"/>
      <c r="S205" s="245"/>
      <c r="T205" s="126"/>
      <c r="U205" s="126"/>
      <c r="V205" s="126"/>
      <c r="W205" s="126"/>
      <c r="X205" s="126"/>
      <c r="Y205" s="126"/>
      <c r="Z205" s="126"/>
      <c r="AA205" s="126"/>
      <c r="AB205" s="126"/>
      <c r="AC205" s="126"/>
      <c r="AD205" s="126"/>
      <c r="AE205" s="126"/>
      <c r="AF205" s="126"/>
      <c r="AG205" s="126"/>
      <c r="AH205" s="126"/>
      <c r="AI205" s="126"/>
      <c r="AJ205" s="126"/>
      <c r="AK205" s="126"/>
      <c r="AL205" s="126"/>
      <c r="AM205" s="126"/>
      <c r="AN205" s="126"/>
      <c r="AO205" s="126"/>
      <c r="AP205" s="126"/>
      <c r="AQ205" s="126"/>
      <c r="AR205" s="126"/>
      <c r="AS205" s="126"/>
      <c r="AT205" s="126"/>
      <c r="AU205" s="126"/>
      <c r="AV205" s="126"/>
      <c r="AW205" s="126"/>
      <c r="AX205" s="126"/>
      <c r="AY205" s="126"/>
      <c r="AZ205" s="126"/>
      <c r="BA205" s="126"/>
      <c r="BB205" s="126"/>
      <c r="BC205" s="126"/>
      <c r="BD205" s="126"/>
      <c r="BE205" s="126"/>
      <c r="BF205" s="126"/>
      <c r="BG205" s="126"/>
      <c r="BH205" s="126"/>
      <c r="BI205" s="126"/>
      <c r="BJ205" s="126"/>
      <c r="BK205" s="126"/>
      <c r="BL205" s="126"/>
      <c r="BM205" s="126"/>
      <c r="BN205" s="126"/>
      <c r="BO205" s="126"/>
      <c r="BP205" s="126"/>
      <c r="BQ205" s="126"/>
      <c r="BR205" s="126"/>
      <c r="BS205" s="126"/>
      <c r="BT205" s="126"/>
      <c r="BU205" s="126"/>
      <c r="BV205" s="126"/>
      <c r="BW205" s="126"/>
    </row>
    <row r="206">
      <c r="A206" s="249"/>
      <c r="B206" s="247"/>
      <c r="C206" s="252"/>
      <c r="D206" s="247"/>
      <c r="E206" s="247"/>
      <c r="F206" s="247"/>
      <c r="G206" s="247"/>
      <c r="H206" s="247"/>
      <c r="I206" s="247"/>
      <c r="J206" s="247"/>
      <c r="K206" s="247"/>
      <c r="L206" s="247"/>
      <c r="M206" s="247"/>
      <c r="N206" s="246"/>
      <c r="O206" s="247"/>
      <c r="P206" s="248"/>
      <c r="Q206" s="251"/>
      <c r="R206" s="250"/>
      <c r="S206" s="245"/>
      <c r="T206" s="126"/>
      <c r="U206" s="126"/>
      <c r="V206" s="126"/>
      <c r="W206" s="126"/>
      <c r="X206" s="126"/>
      <c r="Y206" s="126"/>
      <c r="Z206" s="126"/>
      <c r="AA206" s="126"/>
      <c r="AB206" s="126"/>
      <c r="AC206" s="126"/>
      <c r="AD206" s="126"/>
      <c r="AE206" s="126"/>
      <c r="AF206" s="126"/>
      <c r="AG206" s="126"/>
      <c r="AH206" s="126"/>
      <c r="AI206" s="126"/>
      <c r="AJ206" s="126"/>
      <c r="AK206" s="126"/>
      <c r="AL206" s="126"/>
      <c r="AM206" s="126"/>
      <c r="AN206" s="126"/>
      <c r="AO206" s="126"/>
      <c r="AP206" s="126"/>
      <c r="AQ206" s="126"/>
      <c r="AR206" s="126"/>
      <c r="AS206" s="126"/>
      <c r="AT206" s="126"/>
      <c r="AU206" s="126"/>
      <c r="AV206" s="126"/>
      <c r="AW206" s="126"/>
      <c r="AX206" s="126"/>
      <c r="AY206" s="126"/>
      <c r="AZ206" s="126"/>
      <c r="BA206" s="126"/>
      <c r="BB206" s="126"/>
      <c r="BC206" s="126"/>
      <c r="BD206" s="126"/>
      <c r="BE206" s="126"/>
      <c r="BF206" s="126"/>
      <c r="BG206" s="126"/>
      <c r="BH206" s="126"/>
      <c r="BI206" s="126"/>
      <c r="BJ206" s="126"/>
      <c r="BK206" s="126"/>
      <c r="BL206" s="126"/>
      <c r="BM206" s="126"/>
      <c r="BN206" s="126"/>
      <c r="BO206" s="126"/>
      <c r="BP206" s="126"/>
      <c r="BQ206" s="126"/>
      <c r="BR206" s="126"/>
      <c r="BS206" s="126"/>
      <c r="BT206" s="126"/>
      <c r="BU206" s="126"/>
      <c r="BV206" s="126"/>
      <c r="BW206" s="126"/>
    </row>
    <row r="207">
      <c r="A207" s="249"/>
      <c r="B207" s="247"/>
      <c r="C207" s="252"/>
      <c r="D207" s="247"/>
      <c r="E207" s="247"/>
      <c r="F207" s="247"/>
      <c r="G207" s="247"/>
      <c r="H207" s="247"/>
      <c r="I207" s="247"/>
      <c r="J207" s="247"/>
      <c r="K207" s="247"/>
      <c r="L207" s="247"/>
      <c r="M207" s="247"/>
      <c r="N207" s="246"/>
      <c r="O207" s="247"/>
      <c r="P207" s="248"/>
      <c r="Q207" s="251"/>
      <c r="R207" s="250"/>
      <c r="S207" s="245"/>
      <c r="T207" s="126"/>
      <c r="U207" s="126"/>
      <c r="V207" s="126"/>
      <c r="W207" s="126"/>
      <c r="X207" s="126"/>
      <c r="Y207" s="126"/>
      <c r="Z207" s="126"/>
      <c r="AA207" s="126"/>
      <c r="AB207" s="126"/>
      <c r="AC207" s="126"/>
      <c r="AD207" s="126"/>
      <c r="AE207" s="126"/>
      <c r="AF207" s="126"/>
      <c r="AG207" s="126"/>
      <c r="AH207" s="126"/>
      <c r="AI207" s="126"/>
      <c r="AJ207" s="126"/>
      <c r="AK207" s="126"/>
      <c r="AL207" s="126"/>
      <c r="AM207" s="126"/>
      <c r="AN207" s="126"/>
      <c r="AO207" s="126"/>
      <c r="AP207" s="126"/>
      <c r="AQ207" s="126"/>
      <c r="AR207" s="126"/>
      <c r="AS207" s="126"/>
      <c r="AT207" s="126"/>
      <c r="AU207" s="126"/>
      <c r="AV207" s="126"/>
      <c r="AW207" s="126"/>
      <c r="AX207" s="126"/>
      <c r="AY207" s="126"/>
      <c r="AZ207" s="126"/>
      <c r="BA207" s="126"/>
      <c r="BB207" s="126"/>
      <c r="BC207" s="126"/>
      <c r="BD207" s="126"/>
      <c r="BE207" s="126"/>
      <c r="BF207" s="126"/>
      <c r="BG207" s="126"/>
      <c r="BH207" s="126"/>
      <c r="BI207" s="126"/>
      <c r="BJ207" s="126"/>
      <c r="BK207" s="126"/>
      <c r="BL207" s="126"/>
      <c r="BM207" s="126"/>
      <c r="BN207" s="126"/>
      <c r="BO207" s="126"/>
      <c r="BP207" s="126"/>
      <c r="BQ207" s="126"/>
      <c r="BR207" s="126"/>
      <c r="BS207" s="126"/>
      <c r="BT207" s="126"/>
      <c r="BU207" s="126"/>
      <c r="BV207" s="126"/>
      <c r="BW207" s="126"/>
    </row>
    <row r="208">
      <c r="A208" s="249"/>
      <c r="B208" s="247"/>
      <c r="C208" s="252"/>
      <c r="D208" s="247"/>
      <c r="E208" s="247"/>
      <c r="F208" s="247"/>
      <c r="G208" s="247"/>
      <c r="H208" s="247"/>
      <c r="I208" s="247"/>
      <c r="J208" s="247"/>
      <c r="K208" s="247"/>
      <c r="L208" s="247"/>
      <c r="M208" s="247"/>
      <c r="N208" s="246"/>
      <c r="O208" s="247"/>
      <c r="P208" s="248"/>
      <c r="Q208" s="251"/>
      <c r="R208" s="250"/>
      <c r="S208" s="245"/>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c r="BJ208" s="126"/>
      <c r="BK208" s="126"/>
      <c r="BL208" s="126"/>
      <c r="BM208" s="126"/>
      <c r="BN208" s="126"/>
      <c r="BO208" s="126"/>
      <c r="BP208" s="126"/>
      <c r="BQ208" s="126"/>
      <c r="BR208" s="126"/>
      <c r="BS208" s="126"/>
      <c r="BT208" s="126"/>
      <c r="BU208" s="126"/>
      <c r="BV208" s="126"/>
      <c r="BW208" s="126"/>
    </row>
    <row r="209">
      <c r="A209" s="249"/>
      <c r="B209" s="247"/>
      <c r="C209" s="252"/>
      <c r="D209" s="247"/>
      <c r="E209" s="247"/>
      <c r="F209" s="247"/>
      <c r="G209" s="247"/>
      <c r="H209" s="247"/>
      <c r="I209" s="247"/>
      <c r="J209" s="247"/>
      <c r="K209" s="247"/>
      <c r="L209" s="247"/>
      <c r="M209" s="247"/>
      <c r="N209" s="246"/>
      <c r="O209" s="247"/>
      <c r="P209" s="248"/>
      <c r="Q209" s="251"/>
      <c r="R209" s="250"/>
      <c r="S209" s="245"/>
      <c r="T209" s="126"/>
      <c r="U209" s="126"/>
      <c r="V209" s="126"/>
      <c r="W209" s="126"/>
      <c r="X209" s="126"/>
      <c r="Y209" s="126"/>
      <c r="Z209" s="126"/>
      <c r="AA209" s="126"/>
      <c r="AB209" s="126"/>
      <c r="AC209" s="126"/>
      <c r="AD209" s="126"/>
      <c r="AE209" s="126"/>
      <c r="AF209" s="126"/>
      <c r="AG209" s="126"/>
      <c r="AH209" s="126"/>
      <c r="AI209" s="126"/>
      <c r="AJ209" s="126"/>
      <c r="AK209" s="126"/>
      <c r="AL209" s="126"/>
      <c r="AM209" s="126"/>
      <c r="AN209" s="126"/>
      <c r="AO209" s="126"/>
      <c r="AP209" s="126"/>
      <c r="AQ209" s="126"/>
      <c r="AR209" s="126"/>
      <c r="AS209" s="126"/>
      <c r="AT209" s="126"/>
      <c r="AU209" s="126"/>
      <c r="AV209" s="126"/>
      <c r="AW209" s="126"/>
      <c r="AX209" s="126"/>
      <c r="AY209" s="126"/>
      <c r="AZ209" s="126"/>
      <c r="BA209" s="126"/>
      <c r="BB209" s="126"/>
      <c r="BC209" s="126"/>
      <c r="BD209" s="126"/>
      <c r="BE209" s="126"/>
      <c r="BF209" s="126"/>
      <c r="BG209" s="126"/>
      <c r="BH209" s="126"/>
      <c r="BI209" s="126"/>
      <c r="BJ209" s="126"/>
      <c r="BK209" s="126"/>
      <c r="BL209" s="126"/>
      <c r="BM209" s="126"/>
      <c r="BN209" s="126"/>
      <c r="BO209" s="126"/>
      <c r="BP209" s="126"/>
      <c r="BQ209" s="126"/>
      <c r="BR209" s="126"/>
      <c r="BS209" s="126"/>
      <c r="BT209" s="126"/>
      <c r="BU209" s="126"/>
      <c r="BV209" s="126"/>
      <c r="BW209" s="126"/>
    </row>
    <row r="210">
      <c r="A210" s="249"/>
      <c r="B210" s="247"/>
      <c r="C210" s="252"/>
      <c r="D210" s="247"/>
      <c r="E210" s="247"/>
      <c r="F210" s="247"/>
      <c r="G210" s="247"/>
      <c r="H210" s="247"/>
      <c r="I210" s="247"/>
      <c r="J210" s="247"/>
      <c r="K210" s="247"/>
      <c r="L210" s="247"/>
      <c r="M210" s="247"/>
      <c r="N210" s="246"/>
      <c r="O210" s="247"/>
      <c r="P210" s="248"/>
      <c r="Q210" s="251"/>
      <c r="R210" s="250"/>
      <c r="S210" s="245"/>
      <c r="T210" s="126"/>
      <c r="U210" s="126"/>
      <c r="V210" s="126"/>
      <c r="W210" s="126"/>
      <c r="X210" s="126"/>
      <c r="Y210" s="126"/>
      <c r="Z210" s="126"/>
      <c r="AA210" s="126"/>
      <c r="AB210" s="126"/>
      <c r="AC210" s="126"/>
      <c r="AD210" s="126"/>
      <c r="AE210" s="126"/>
      <c r="AF210" s="126"/>
      <c r="AG210" s="126"/>
      <c r="AH210" s="126"/>
      <c r="AI210" s="126"/>
      <c r="AJ210" s="126"/>
      <c r="AK210" s="126"/>
      <c r="AL210" s="126"/>
      <c r="AM210" s="126"/>
      <c r="AN210" s="126"/>
      <c r="AO210" s="126"/>
      <c r="AP210" s="126"/>
      <c r="AQ210" s="126"/>
      <c r="AR210" s="126"/>
      <c r="AS210" s="126"/>
      <c r="AT210" s="126"/>
      <c r="AU210" s="126"/>
      <c r="AV210" s="126"/>
      <c r="AW210" s="126"/>
      <c r="AX210" s="126"/>
      <c r="AY210" s="126"/>
      <c r="AZ210" s="126"/>
      <c r="BA210" s="126"/>
      <c r="BB210" s="126"/>
      <c r="BC210" s="126"/>
      <c r="BD210" s="126"/>
      <c r="BE210" s="126"/>
      <c r="BF210" s="126"/>
      <c r="BG210" s="126"/>
      <c r="BH210" s="126"/>
      <c r="BI210" s="126"/>
      <c r="BJ210" s="126"/>
      <c r="BK210" s="126"/>
      <c r="BL210" s="126"/>
      <c r="BM210" s="126"/>
      <c r="BN210" s="126"/>
      <c r="BO210" s="126"/>
      <c r="BP210" s="126"/>
      <c r="BQ210" s="126"/>
      <c r="BR210" s="126"/>
      <c r="BS210" s="126"/>
      <c r="BT210" s="126"/>
      <c r="BU210" s="126"/>
      <c r="BV210" s="126"/>
      <c r="BW210" s="126"/>
    </row>
    <row r="211">
      <c r="A211" s="249"/>
      <c r="B211" s="247"/>
      <c r="C211" s="252"/>
      <c r="D211" s="247"/>
      <c r="E211" s="247"/>
      <c r="F211" s="247"/>
      <c r="G211" s="247"/>
      <c r="H211" s="247"/>
      <c r="I211" s="247"/>
      <c r="J211" s="247"/>
      <c r="K211" s="247"/>
      <c r="L211" s="247"/>
      <c r="M211" s="247"/>
      <c r="N211" s="246"/>
      <c r="O211" s="247"/>
      <c r="P211" s="248"/>
      <c r="Q211" s="251"/>
      <c r="R211" s="250"/>
      <c r="S211" s="245"/>
      <c r="T211" s="126"/>
      <c r="U211" s="126"/>
      <c r="V211" s="126"/>
      <c r="W211" s="126"/>
      <c r="X211" s="126"/>
      <c r="Y211" s="126"/>
      <c r="Z211" s="126"/>
      <c r="AA211" s="126"/>
      <c r="AB211" s="126"/>
      <c r="AC211" s="126"/>
      <c r="AD211" s="126"/>
      <c r="AE211" s="126"/>
      <c r="AF211" s="126"/>
      <c r="AG211" s="126"/>
      <c r="AH211" s="126"/>
      <c r="AI211" s="126"/>
      <c r="AJ211" s="126"/>
      <c r="AK211" s="126"/>
      <c r="AL211" s="126"/>
      <c r="AM211" s="126"/>
      <c r="AN211" s="126"/>
      <c r="AO211" s="126"/>
      <c r="AP211" s="126"/>
      <c r="AQ211" s="126"/>
      <c r="AR211" s="126"/>
      <c r="AS211" s="126"/>
      <c r="AT211" s="126"/>
      <c r="AU211" s="126"/>
      <c r="AV211" s="126"/>
      <c r="AW211" s="126"/>
      <c r="AX211" s="126"/>
      <c r="AY211" s="126"/>
      <c r="AZ211" s="126"/>
      <c r="BA211" s="126"/>
      <c r="BB211" s="126"/>
      <c r="BC211" s="126"/>
      <c r="BD211" s="126"/>
      <c r="BE211" s="126"/>
      <c r="BF211" s="126"/>
      <c r="BG211" s="126"/>
      <c r="BH211" s="126"/>
      <c r="BI211" s="126"/>
      <c r="BJ211" s="126"/>
      <c r="BK211" s="126"/>
      <c r="BL211" s="126"/>
      <c r="BM211" s="126"/>
      <c r="BN211" s="126"/>
      <c r="BO211" s="126"/>
      <c r="BP211" s="126"/>
      <c r="BQ211" s="126"/>
      <c r="BR211" s="126"/>
      <c r="BS211" s="126"/>
      <c r="BT211" s="126"/>
      <c r="BU211" s="126"/>
      <c r="BV211" s="126"/>
      <c r="BW211" s="126"/>
    </row>
    <row r="212">
      <c r="A212" s="249"/>
      <c r="B212" s="247"/>
      <c r="C212" s="252"/>
      <c r="D212" s="247"/>
      <c r="E212" s="247"/>
      <c r="F212" s="247"/>
      <c r="G212" s="247"/>
      <c r="H212" s="247"/>
      <c r="I212" s="247"/>
      <c r="J212" s="247"/>
      <c r="K212" s="247"/>
      <c r="L212" s="247"/>
      <c r="M212" s="247"/>
      <c r="N212" s="246"/>
      <c r="O212" s="247"/>
      <c r="P212" s="248"/>
      <c r="Q212" s="251"/>
      <c r="R212" s="250"/>
      <c r="S212" s="245"/>
      <c r="T212" s="126"/>
      <c r="U212" s="126"/>
      <c r="V212" s="126"/>
      <c r="W212" s="126"/>
      <c r="X212" s="126"/>
      <c r="Y212" s="126"/>
      <c r="Z212" s="126"/>
      <c r="AA212" s="126"/>
      <c r="AB212" s="126"/>
      <c r="AC212" s="126"/>
      <c r="AD212" s="126"/>
      <c r="AE212" s="126"/>
      <c r="AF212" s="126"/>
      <c r="AG212" s="126"/>
      <c r="AH212" s="126"/>
      <c r="AI212" s="126"/>
      <c r="AJ212" s="126"/>
      <c r="AK212" s="126"/>
      <c r="AL212" s="126"/>
      <c r="AM212" s="126"/>
      <c r="AN212" s="126"/>
      <c r="AO212" s="126"/>
      <c r="AP212" s="126"/>
      <c r="AQ212" s="126"/>
      <c r="AR212" s="126"/>
      <c r="AS212" s="126"/>
      <c r="AT212" s="126"/>
      <c r="AU212" s="126"/>
      <c r="AV212" s="126"/>
      <c r="AW212" s="126"/>
      <c r="AX212" s="126"/>
      <c r="AY212" s="126"/>
      <c r="AZ212" s="126"/>
      <c r="BA212" s="126"/>
      <c r="BB212" s="126"/>
      <c r="BC212" s="126"/>
      <c r="BD212" s="126"/>
      <c r="BE212" s="126"/>
      <c r="BF212" s="126"/>
      <c r="BG212" s="126"/>
      <c r="BH212" s="126"/>
      <c r="BI212" s="126"/>
      <c r="BJ212" s="126"/>
      <c r="BK212" s="126"/>
      <c r="BL212" s="126"/>
      <c r="BM212" s="126"/>
      <c r="BN212" s="126"/>
      <c r="BO212" s="126"/>
      <c r="BP212" s="126"/>
      <c r="BQ212" s="126"/>
      <c r="BR212" s="126"/>
      <c r="BS212" s="126"/>
      <c r="BT212" s="126"/>
      <c r="BU212" s="126"/>
      <c r="BV212" s="126"/>
      <c r="BW212" s="126"/>
    </row>
    <row r="213">
      <c r="A213" s="249"/>
      <c r="B213" s="247"/>
      <c r="C213" s="252"/>
      <c r="D213" s="247"/>
      <c r="E213" s="247"/>
      <c r="F213" s="247"/>
      <c r="G213" s="247"/>
      <c r="H213" s="247"/>
      <c r="I213" s="247"/>
      <c r="J213" s="247"/>
      <c r="K213" s="247"/>
      <c r="L213" s="247"/>
      <c r="M213" s="247"/>
      <c r="N213" s="246"/>
      <c r="O213" s="247"/>
      <c r="P213" s="248"/>
      <c r="Q213" s="251"/>
      <c r="R213" s="250"/>
      <c r="S213" s="245"/>
      <c r="T213" s="126"/>
      <c r="U213" s="126"/>
      <c r="V213" s="126"/>
      <c r="W213" s="126"/>
      <c r="X213" s="126"/>
      <c r="Y213" s="126"/>
      <c r="Z213" s="126"/>
      <c r="AA213" s="126"/>
      <c r="AB213" s="126"/>
      <c r="AC213" s="126"/>
      <c r="AD213" s="126"/>
      <c r="AE213" s="126"/>
      <c r="AF213" s="126"/>
      <c r="AG213" s="126"/>
      <c r="AH213" s="126"/>
      <c r="AI213" s="126"/>
      <c r="AJ213" s="126"/>
      <c r="AK213" s="126"/>
      <c r="AL213" s="126"/>
      <c r="AM213" s="126"/>
      <c r="AN213" s="126"/>
      <c r="AO213" s="126"/>
      <c r="AP213" s="126"/>
      <c r="AQ213" s="126"/>
      <c r="AR213" s="126"/>
      <c r="AS213" s="126"/>
      <c r="AT213" s="126"/>
      <c r="AU213" s="126"/>
      <c r="AV213" s="126"/>
      <c r="AW213" s="126"/>
      <c r="AX213" s="126"/>
      <c r="AY213" s="126"/>
      <c r="AZ213" s="126"/>
      <c r="BA213" s="126"/>
      <c r="BB213" s="126"/>
      <c r="BC213" s="126"/>
      <c r="BD213" s="126"/>
      <c r="BE213" s="126"/>
      <c r="BF213" s="126"/>
      <c r="BG213" s="126"/>
      <c r="BH213" s="126"/>
      <c r="BI213" s="126"/>
      <c r="BJ213" s="126"/>
      <c r="BK213" s="126"/>
      <c r="BL213" s="126"/>
      <c r="BM213" s="126"/>
      <c r="BN213" s="126"/>
      <c r="BO213" s="126"/>
      <c r="BP213" s="126"/>
      <c r="BQ213" s="126"/>
      <c r="BR213" s="126"/>
      <c r="BS213" s="126"/>
      <c r="BT213" s="126"/>
      <c r="BU213" s="126"/>
      <c r="BV213" s="126"/>
      <c r="BW213" s="126"/>
    </row>
    <row r="214">
      <c r="A214" s="249"/>
      <c r="B214" s="247"/>
      <c r="C214" s="252"/>
      <c r="D214" s="247"/>
      <c r="E214" s="247"/>
      <c r="F214" s="247"/>
      <c r="G214" s="247"/>
      <c r="H214" s="247"/>
      <c r="I214" s="247"/>
      <c r="J214" s="247"/>
      <c r="K214" s="247"/>
      <c r="L214" s="247"/>
      <c r="M214" s="247"/>
      <c r="N214" s="246"/>
      <c r="O214" s="247"/>
      <c r="P214" s="248"/>
      <c r="Q214" s="251"/>
      <c r="R214" s="250"/>
      <c r="S214" s="245"/>
      <c r="T214" s="126"/>
      <c r="U214" s="126"/>
      <c r="V214" s="126"/>
      <c r="W214" s="126"/>
      <c r="X214" s="126"/>
      <c r="Y214" s="126"/>
      <c r="Z214" s="126"/>
      <c r="AA214" s="126"/>
      <c r="AB214" s="126"/>
      <c r="AC214" s="126"/>
      <c r="AD214" s="126"/>
      <c r="AE214" s="126"/>
      <c r="AF214" s="126"/>
      <c r="AG214" s="126"/>
      <c r="AH214" s="126"/>
      <c r="AI214" s="126"/>
      <c r="AJ214" s="126"/>
      <c r="AK214" s="126"/>
      <c r="AL214" s="126"/>
      <c r="AM214" s="126"/>
      <c r="AN214" s="126"/>
      <c r="AO214" s="126"/>
      <c r="AP214" s="126"/>
      <c r="AQ214" s="126"/>
      <c r="AR214" s="126"/>
      <c r="AS214" s="126"/>
      <c r="AT214" s="126"/>
      <c r="AU214" s="126"/>
      <c r="AV214" s="126"/>
      <c r="AW214" s="126"/>
      <c r="AX214" s="126"/>
      <c r="AY214" s="126"/>
      <c r="AZ214" s="126"/>
      <c r="BA214" s="126"/>
      <c r="BB214" s="126"/>
      <c r="BC214" s="126"/>
      <c r="BD214" s="126"/>
      <c r="BE214" s="126"/>
      <c r="BF214" s="126"/>
      <c r="BG214" s="126"/>
      <c r="BH214" s="126"/>
      <c r="BI214" s="126"/>
      <c r="BJ214" s="126"/>
      <c r="BK214" s="126"/>
      <c r="BL214" s="126"/>
      <c r="BM214" s="126"/>
      <c r="BN214" s="126"/>
      <c r="BO214" s="126"/>
      <c r="BP214" s="126"/>
      <c r="BQ214" s="126"/>
      <c r="BR214" s="126"/>
      <c r="BS214" s="126"/>
      <c r="BT214" s="126"/>
      <c r="BU214" s="126"/>
      <c r="BV214" s="126"/>
      <c r="BW214" s="126"/>
    </row>
    <row r="215">
      <c r="A215" s="249"/>
      <c r="B215" s="247"/>
      <c r="C215" s="252"/>
      <c r="D215" s="247"/>
      <c r="E215" s="247"/>
      <c r="F215" s="247"/>
      <c r="G215" s="247"/>
      <c r="H215" s="247"/>
      <c r="I215" s="247"/>
      <c r="J215" s="247"/>
      <c r="K215" s="247"/>
      <c r="L215" s="247"/>
      <c r="M215" s="247"/>
      <c r="N215" s="246"/>
      <c r="O215" s="247"/>
      <c r="P215" s="248"/>
      <c r="Q215" s="251"/>
      <c r="R215" s="250"/>
      <c r="S215" s="245"/>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c r="BE215" s="126"/>
      <c r="BF215" s="126"/>
      <c r="BG215" s="126"/>
      <c r="BH215" s="126"/>
      <c r="BI215" s="126"/>
      <c r="BJ215" s="126"/>
      <c r="BK215" s="126"/>
      <c r="BL215" s="126"/>
      <c r="BM215" s="126"/>
      <c r="BN215" s="126"/>
      <c r="BO215" s="126"/>
      <c r="BP215" s="126"/>
      <c r="BQ215" s="126"/>
      <c r="BR215" s="126"/>
      <c r="BS215" s="126"/>
      <c r="BT215" s="126"/>
      <c r="BU215" s="126"/>
      <c r="BV215" s="126"/>
      <c r="BW215" s="126"/>
    </row>
    <row r="216">
      <c r="A216" s="249"/>
      <c r="B216" s="247"/>
      <c r="C216" s="252"/>
      <c r="D216" s="247"/>
      <c r="E216" s="247"/>
      <c r="F216" s="247"/>
      <c r="G216" s="247"/>
      <c r="H216" s="247"/>
      <c r="I216" s="247"/>
      <c r="J216" s="247"/>
      <c r="K216" s="247"/>
      <c r="L216" s="247"/>
      <c r="M216" s="247"/>
      <c r="N216" s="246"/>
      <c r="O216" s="247"/>
      <c r="P216" s="248"/>
      <c r="Q216" s="251"/>
      <c r="R216" s="250"/>
      <c r="S216" s="245"/>
      <c r="T216" s="126"/>
      <c r="U216" s="126"/>
      <c r="V216" s="126"/>
      <c r="W216" s="126"/>
      <c r="X216" s="126"/>
      <c r="Y216" s="126"/>
      <c r="Z216" s="126"/>
      <c r="AA216" s="126"/>
      <c r="AB216" s="126"/>
      <c r="AC216" s="126"/>
      <c r="AD216" s="126"/>
      <c r="AE216" s="126"/>
      <c r="AF216" s="126"/>
      <c r="AG216" s="126"/>
      <c r="AH216" s="126"/>
      <c r="AI216" s="126"/>
      <c r="AJ216" s="126"/>
      <c r="AK216" s="126"/>
      <c r="AL216" s="126"/>
      <c r="AM216" s="126"/>
      <c r="AN216" s="126"/>
      <c r="AO216" s="126"/>
      <c r="AP216" s="126"/>
      <c r="AQ216" s="126"/>
      <c r="AR216" s="126"/>
      <c r="AS216" s="126"/>
      <c r="AT216" s="126"/>
      <c r="AU216" s="126"/>
      <c r="AV216" s="126"/>
      <c r="AW216" s="126"/>
      <c r="AX216" s="126"/>
      <c r="AY216" s="126"/>
      <c r="AZ216" s="126"/>
      <c r="BA216" s="126"/>
      <c r="BB216" s="126"/>
      <c r="BC216" s="126"/>
      <c r="BD216" s="126"/>
      <c r="BE216" s="126"/>
      <c r="BF216" s="126"/>
      <c r="BG216" s="126"/>
      <c r="BH216" s="126"/>
      <c r="BI216" s="126"/>
      <c r="BJ216" s="126"/>
      <c r="BK216" s="126"/>
      <c r="BL216" s="126"/>
      <c r="BM216" s="126"/>
      <c r="BN216" s="126"/>
      <c r="BO216" s="126"/>
      <c r="BP216" s="126"/>
      <c r="BQ216" s="126"/>
      <c r="BR216" s="126"/>
      <c r="BS216" s="126"/>
      <c r="BT216" s="126"/>
      <c r="BU216" s="126"/>
      <c r="BV216" s="126"/>
      <c r="BW216" s="126"/>
    </row>
    <row r="217">
      <c r="A217" s="249"/>
      <c r="B217" s="247"/>
      <c r="C217" s="252"/>
      <c r="D217" s="247"/>
      <c r="E217" s="247"/>
      <c r="F217" s="247"/>
      <c r="G217" s="247"/>
      <c r="H217" s="247"/>
      <c r="I217" s="247"/>
      <c r="J217" s="247"/>
      <c r="K217" s="247"/>
      <c r="L217" s="247"/>
      <c r="M217" s="247"/>
      <c r="N217" s="246"/>
      <c r="O217" s="247"/>
      <c r="P217" s="248"/>
      <c r="Q217" s="251"/>
      <c r="R217" s="250"/>
      <c r="S217" s="245"/>
      <c r="T217" s="126"/>
      <c r="U217" s="126"/>
      <c r="V217" s="126"/>
      <c r="W217" s="126"/>
      <c r="X217" s="126"/>
      <c r="Y217" s="126"/>
      <c r="Z217" s="126"/>
      <c r="AA217" s="126"/>
      <c r="AB217" s="126"/>
      <c r="AC217" s="126"/>
      <c r="AD217" s="126"/>
      <c r="AE217" s="126"/>
      <c r="AF217" s="126"/>
      <c r="AG217" s="126"/>
      <c r="AH217" s="126"/>
      <c r="AI217" s="126"/>
      <c r="AJ217" s="126"/>
      <c r="AK217" s="126"/>
      <c r="AL217" s="126"/>
      <c r="AM217" s="126"/>
      <c r="AN217" s="126"/>
      <c r="AO217" s="126"/>
      <c r="AP217" s="126"/>
      <c r="AQ217" s="126"/>
      <c r="AR217" s="126"/>
      <c r="AS217" s="126"/>
      <c r="AT217" s="126"/>
      <c r="AU217" s="126"/>
      <c r="AV217" s="126"/>
      <c r="AW217" s="126"/>
      <c r="AX217" s="126"/>
      <c r="AY217" s="126"/>
      <c r="AZ217" s="126"/>
      <c r="BA217" s="126"/>
      <c r="BB217" s="126"/>
      <c r="BC217" s="126"/>
      <c r="BD217" s="126"/>
      <c r="BE217" s="126"/>
      <c r="BF217" s="126"/>
      <c r="BG217" s="126"/>
      <c r="BH217" s="126"/>
      <c r="BI217" s="126"/>
      <c r="BJ217" s="126"/>
      <c r="BK217" s="126"/>
      <c r="BL217" s="126"/>
      <c r="BM217" s="126"/>
      <c r="BN217" s="126"/>
      <c r="BO217" s="126"/>
      <c r="BP217" s="126"/>
      <c r="BQ217" s="126"/>
      <c r="BR217" s="126"/>
      <c r="BS217" s="126"/>
      <c r="BT217" s="126"/>
      <c r="BU217" s="126"/>
      <c r="BV217" s="126"/>
      <c r="BW217" s="126"/>
    </row>
    <row r="218">
      <c r="A218" s="249"/>
      <c r="B218" s="247"/>
      <c r="C218" s="252"/>
      <c r="D218" s="247"/>
      <c r="E218" s="247"/>
      <c r="F218" s="247"/>
      <c r="G218" s="247"/>
      <c r="H218" s="247"/>
      <c r="I218" s="247"/>
      <c r="J218" s="247"/>
      <c r="K218" s="247"/>
      <c r="L218" s="247"/>
      <c r="M218" s="247"/>
      <c r="N218" s="246"/>
      <c r="O218" s="247"/>
      <c r="P218" s="248"/>
      <c r="Q218" s="251"/>
      <c r="R218" s="250"/>
      <c r="S218" s="245"/>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c r="AP218" s="126"/>
      <c r="AQ218" s="126"/>
      <c r="AR218" s="126"/>
      <c r="AS218" s="126"/>
      <c r="AT218" s="126"/>
      <c r="AU218" s="126"/>
      <c r="AV218" s="126"/>
      <c r="AW218" s="126"/>
      <c r="AX218" s="126"/>
      <c r="AY218" s="126"/>
      <c r="AZ218" s="126"/>
      <c r="BA218" s="126"/>
      <c r="BB218" s="126"/>
      <c r="BC218" s="126"/>
      <c r="BD218" s="126"/>
      <c r="BE218" s="126"/>
      <c r="BF218" s="126"/>
      <c r="BG218" s="126"/>
      <c r="BH218" s="126"/>
      <c r="BI218" s="126"/>
      <c r="BJ218" s="126"/>
      <c r="BK218" s="126"/>
      <c r="BL218" s="126"/>
      <c r="BM218" s="126"/>
      <c r="BN218" s="126"/>
      <c r="BO218" s="126"/>
      <c r="BP218" s="126"/>
      <c r="BQ218" s="126"/>
      <c r="BR218" s="126"/>
      <c r="BS218" s="126"/>
      <c r="BT218" s="126"/>
      <c r="BU218" s="126"/>
      <c r="BV218" s="126"/>
      <c r="BW218" s="126"/>
    </row>
    <row r="219">
      <c r="A219" s="249"/>
      <c r="B219" s="247"/>
      <c r="C219" s="252"/>
      <c r="D219" s="247"/>
      <c r="E219" s="247"/>
      <c r="F219" s="247"/>
      <c r="G219" s="247"/>
      <c r="H219" s="247"/>
      <c r="I219" s="247"/>
      <c r="J219" s="247"/>
      <c r="K219" s="247"/>
      <c r="L219" s="247"/>
      <c r="M219" s="247"/>
      <c r="N219" s="246"/>
      <c r="O219" s="247"/>
      <c r="P219" s="248"/>
      <c r="Q219" s="251"/>
      <c r="R219" s="250"/>
      <c r="S219" s="245"/>
      <c r="T219" s="126"/>
      <c r="U219" s="126"/>
      <c r="V219" s="126"/>
      <c r="W219" s="126"/>
      <c r="X219" s="126"/>
      <c r="Y219" s="126"/>
      <c r="Z219" s="126"/>
      <c r="AA219" s="126"/>
      <c r="AB219" s="126"/>
      <c r="AC219" s="126"/>
      <c r="AD219" s="126"/>
      <c r="AE219" s="126"/>
      <c r="AF219" s="126"/>
      <c r="AG219" s="126"/>
      <c r="AH219" s="126"/>
      <c r="AI219" s="126"/>
      <c r="AJ219" s="126"/>
      <c r="AK219" s="126"/>
      <c r="AL219" s="126"/>
      <c r="AM219" s="126"/>
      <c r="AN219" s="126"/>
      <c r="AO219" s="126"/>
      <c r="AP219" s="126"/>
      <c r="AQ219" s="126"/>
      <c r="AR219" s="126"/>
      <c r="AS219" s="126"/>
      <c r="AT219" s="126"/>
      <c r="AU219" s="126"/>
      <c r="AV219" s="126"/>
      <c r="AW219" s="126"/>
      <c r="AX219" s="126"/>
      <c r="AY219" s="126"/>
      <c r="AZ219" s="126"/>
      <c r="BA219" s="126"/>
      <c r="BB219" s="126"/>
      <c r="BC219" s="126"/>
      <c r="BD219" s="126"/>
      <c r="BE219" s="126"/>
      <c r="BF219" s="126"/>
      <c r="BG219" s="126"/>
      <c r="BH219" s="126"/>
      <c r="BI219" s="126"/>
      <c r="BJ219" s="126"/>
      <c r="BK219" s="126"/>
      <c r="BL219" s="126"/>
      <c r="BM219" s="126"/>
      <c r="BN219" s="126"/>
      <c r="BO219" s="126"/>
      <c r="BP219" s="126"/>
      <c r="BQ219" s="126"/>
      <c r="BR219" s="126"/>
      <c r="BS219" s="126"/>
      <c r="BT219" s="126"/>
      <c r="BU219" s="126"/>
      <c r="BV219" s="126"/>
      <c r="BW219" s="126"/>
    </row>
    <row r="220">
      <c r="A220" s="249"/>
      <c r="B220" s="247"/>
      <c r="C220" s="252"/>
      <c r="D220" s="247"/>
      <c r="E220" s="247"/>
      <c r="F220" s="247"/>
      <c r="G220" s="247"/>
      <c r="H220" s="247"/>
      <c r="I220" s="247"/>
      <c r="J220" s="247"/>
      <c r="K220" s="247"/>
      <c r="L220" s="247"/>
      <c r="M220" s="247"/>
      <c r="N220" s="246"/>
      <c r="O220" s="247"/>
      <c r="P220" s="248"/>
      <c r="Q220" s="251"/>
      <c r="R220" s="250"/>
      <c r="S220" s="245"/>
      <c r="T220" s="126"/>
      <c r="U220" s="126"/>
      <c r="V220" s="126"/>
      <c r="W220" s="126"/>
      <c r="X220" s="126"/>
      <c r="Y220" s="126"/>
      <c r="Z220" s="126"/>
      <c r="AA220" s="126"/>
      <c r="AB220" s="126"/>
      <c r="AC220" s="126"/>
      <c r="AD220" s="126"/>
      <c r="AE220" s="126"/>
      <c r="AF220" s="126"/>
      <c r="AG220" s="126"/>
      <c r="AH220" s="126"/>
      <c r="AI220" s="126"/>
      <c r="AJ220" s="126"/>
      <c r="AK220" s="126"/>
      <c r="AL220" s="126"/>
      <c r="AM220" s="126"/>
      <c r="AN220" s="126"/>
      <c r="AO220" s="126"/>
      <c r="AP220" s="126"/>
      <c r="AQ220" s="126"/>
      <c r="AR220" s="126"/>
      <c r="AS220" s="126"/>
      <c r="AT220" s="126"/>
      <c r="AU220" s="126"/>
      <c r="AV220" s="126"/>
      <c r="AW220" s="126"/>
      <c r="AX220" s="126"/>
      <c r="AY220" s="126"/>
      <c r="AZ220" s="126"/>
      <c r="BA220" s="126"/>
      <c r="BB220" s="126"/>
      <c r="BC220" s="126"/>
      <c r="BD220" s="126"/>
      <c r="BE220" s="126"/>
      <c r="BF220" s="126"/>
      <c r="BG220" s="126"/>
      <c r="BH220" s="126"/>
      <c r="BI220" s="126"/>
      <c r="BJ220" s="126"/>
      <c r="BK220" s="126"/>
      <c r="BL220" s="126"/>
      <c r="BM220" s="126"/>
      <c r="BN220" s="126"/>
      <c r="BO220" s="126"/>
      <c r="BP220" s="126"/>
      <c r="BQ220" s="126"/>
      <c r="BR220" s="126"/>
      <c r="BS220" s="126"/>
      <c r="BT220" s="126"/>
      <c r="BU220" s="126"/>
      <c r="BV220" s="126"/>
      <c r="BW220" s="126"/>
    </row>
    <row r="221">
      <c r="A221" s="249"/>
      <c r="B221" s="247"/>
      <c r="C221" s="252"/>
      <c r="D221" s="247"/>
      <c r="E221" s="247"/>
      <c r="F221" s="247"/>
      <c r="G221" s="247"/>
      <c r="H221" s="247"/>
      <c r="I221" s="247"/>
      <c r="J221" s="247"/>
      <c r="K221" s="247"/>
      <c r="L221" s="247"/>
      <c r="M221" s="247"/>
      <c r="N221" s="246"/>
      <c r="O221" s="247"/>
      <c r="P221" s="248"/>
      <c r="Q221" s="251"/>
      <c r="R221" s="250"/>
      <c r="S221" s="245"/>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c r="BE221" s="126"/>
      <c r="BF221" s="126"/>
      <c r="BG221" s="126"/>
      <c r="BH221" s="126"/>
      <c r="BI221" s="126"/>
      <c r="BJ221" s="126"/>
      <c r="BK221" s="126"/>
      <c r="BL221" s="126"/>
      <c r="BM221" s="126"/>
      <c r="BN221" s="126"/>
      <c r="BO221" s="126"/>
      <c r="BP221" s="126"/>
      <c r="BQ221" s="126"/>
      <c r="BR221" s="126"/>
      <c r="BS221" s="126"/>
      <c r="BT221" s="126"/>
      <c r="BU221" s="126"/>
      <c r="BV221" s="126"/>
      <c r="BW221" s="126"/>
    </row>
    <row r="222">
      <c r="A222" s="249"/>
      <c r="B222" s="247"/>
      <c r="C222" s="252"/>
      <c r="D222" s="247"/>
      <c r="E222" s="247"/>
      <c r="F222" s="247"/>
      <c r="G222" s="247"/>
      <c r="H222" s="247"/>
      <c r="I222" s="247"/>
      <c r="J222" s="247"/>
      <c r="K222" s="247"/>
      <c r="L222" s="247"/>
      <c r="M222" s="247"/>
      <c r="N222" s="246"/>
      <c r="O222" s="247"/>
      <c r="P222" s="248"/>
      <c r="Q222" s="251"/>
      <c r="R222" s="250"/>
      <c r="S222" s="245"/>
      <c r="T222" s="126"/>
      <c r="U222" s="126"/>
      <c r="V222" s="126"/>
      <c r="W222" s="126"/>
      <c r="X222" s="126"/>
      <c r="Y222" s="126"/>
      <c r="Z222" s="126"/>
      <c r="AA222" s="126"/>
      <c r="AB222" s="126"/>
      <c r="AC222" s="126"/>
      <c r="AD222" s="126"/>
      <c r="AE222" s="126"/>
      <c r="AF222" s="126"/>
      <c r="AG222" s="126"/>
      <c r="AH222" s="126"/>
      <c r="AI222" s="126"/>
      <c r="AJ222" s="126"/>
      <c r="AK222" s="126"/>
      <c r="AL222" s="126"/>
      <c r="AM222" s="126"/>
      <c r="AN222" s="126"/>
      <c r="AO222" s="126"/>
      <c r="AP222" s="126"/>
      <c r="AQ222" s="126"/>
      <c r="AR222" s="126"/>
      <c r="AS222" s="126"/>
      <c r="AT222" s="126"/>
      <c r="AU222" s="126"/>
      <c r="AV222" s="126"/>
      <c r="AW222" s="126"/>
      <c r="AX222" s="126"/>
      <c r="AY222" s="126"/>
      <c r="AZ222" s="126"/>
      <c r="BA222" s="126"/>
      <c r="BB222" s="126"/>
      <c r="BC222" s="126"/>
      <c r="BD222" s="126"/>
      <c r="BE222" s="126"/>
      <c r="BF222" s="126"/>
      <c r="BG222" s="126"/>
      <c r="BH222" s="126"/>
      <c r="BI222" s="126"/>
      <c r="BJ222" s="126"/>
      <c r="BK222" s="126"/>
      <c r="BL222" s="126"/>
      <c r="BM222" s="126"/>
      <c r="BN222" s="126"/>
      <c r="BO222" s="126"/>
      <c r="BP222" s="126"/>
      <c r="BQ222" s="126"/>
      <c r="BR222" s="126"/>
      <c r="BS222" s="126"/>
      <c r="BT222" s="126"/>
      <c r="BU222" s="126"/>
      <c r="BV222" s="126"/>
      <c r="BW222" s="126"/>
    </row>
    <row r="223">
      <c r="A223" s="249"/>
      <c r="B223" s="247"/>
      <c r="C223" s="252"/>
      <c r="D223" s="247"/>
      <c r="E223" s="247"/>
      <c r="F223" s="247"/>
      <c r="G223" s="247"/>
      <c r="H223" s="247"/>
      <c r="I223" s="247"/>
      <c r="J223" s="247"/>
      <c r="K223" s="247"/>
      <c r="L223" s="247"/>
      <c r="M223" s="247"/>
      <c r="N223" s="246"/>
      <c r="O223" s="247"/>
      <c r="P223" s="248"/>
      <c r="Q223" s="251"/>
      <c r="R223" s="250"/>
      <c r="S223" s="245"/>
      <c r="T223" s="126"/>
      <c r="U223" s="126"/>
      <c r="V223" s="126"/>
      <c r="W223" s="126"/>
      <c r="X223" s="126"/>
      <c r="Y223" s="126"/>
      <c r="Z223" s="126"/>
      <c r="AA223" s="126"/>
      <c r="AB223" s="126"/>
      <c r="AC223" s="126"/>
      <c r="AD223" s="126"/>
      <c r="AE223" s="126"/>
      <c r="AF223" s="126"/>
      <c r="AG223" s="126"/>
      <c r="AH223" s="126"/>
      <c r="AI223" s="126"/>
      <c r="AJ223" s="126"/>
      <c r="AK223" s="126"/>
      <c r="AL223" s="126"/>
      <c r="AM223" s="126"/>
      <c r="AN223" s="126"/>
      <c r="AO223" s="126"/>
      <c r="AP223" s="126"/>
      <c r="AQ223" s="126"/>
      <c r="AR223" s="126"/>
      <c r="AS223" s="126"/>
      <c r="AT223" s="126"/>
      <c r="AU223" s="126"/>
      <c r="AV223" s="126"/>
      <c r="AW223" s="126"/>
      <c r="AX223" s="126"/>
      <c r="AY223" s="126"/>
      <c r="AZ223" s="126"/>
      <c r="BA223" s="126"/>
      <c r="BB223" s="126"/>
      <c r="BC223" s="126"/>
      <c r="BD223" s="126"/>
      <c r="BE223" s="126"/>
      <c r="BF223" s="126"/>
      <c r="BG223" s="126"/>
      <c r="BH223" s="126"/>
      <c r="BI223" s="126"/>
      <c r="BJ223" s="126"/>
      <c r="BK223" s="126"/>
      <c r="BL223" s="126"/>
      <c r="BM223" s="126"/>
      <c r="BN223" s="126"/>
      <c r="BO223" s="126"/>
      <c r="BP223" s="126"/>
      <c r="BQ223" s="126"/>
      <c r="BR223" s="126"/>
      <c r="BS223" s="126"/>
      <c r="BT223" s="126"/>
      <c r="BU223" s="126"/>
      <c r="BV223" s="126"/>
      <c r="BW223" s="126"/>
    </row>
    <row r="224">
      <c r="A224" s="249"/>
      <c r="B224" s="247"/>
      <c r="C224" s="252"/>
      <c r="D224" s="247"/>
      <c r="E224" s="247"/>
      <c r="F224" s="247"/>
      <c r="G224" s="247"/>
      <c r="H224" s="247"/>
      <c r="I224" s="247"/>
      <c r="J224" s="247"/>
      <c r="K224" s="247"/>
      <c r="L224" s="247"/>
      <c r="M224" s="247"/>
      <c r="N224" s="246"/>
      <c r="O224" s="247"/>
      <c r="P224" s="248"/>
      <c r="Q224" s="251"/>
      <c r="R224" s="250"/>
      <c r="S224" s="245"/>
      <c r="T224" s="126"/>
      <c r="U224" s="126"/>
      <c r="V224" s="126"/>
      <c r="W224" s="126"/>
      <c r="X224" s="126"/>
      <c r="Y224" s="126"/>
      <c r="Z224" s="126"/>
      <c r="AA224" s="126"/>
      <c r="AB224" s="126"/>
      <c r="AC224" s="126"/>
      <c r="AD224" s="126"/>
      <c r="AE224" s="126"/>
      <c r="AF224" s="126"/>
      <c r="AG224" s="126"/>
      <c r="AH224" s="126"/>
      <c r="AI224" s="126"/>
      <c r="AJ224" s="126"/>
      <c r="AK224" s="126"/>
      <c r="AL224" s="126"/>
      <c r="AM224" s="126"/>
      <c r="AN224" s="126"/>
      <c r="AO224" s="126"/>
      <c r="AP224" s="126"/>
      <c r="AQ224" s="126"/>
      <c r="AR224" s="126"/>
      <c r="AS224" s="126"/>
      <c r="AT224" s="126"/>
      <c r="AU224" s="126"/>
      <c r="AV224" s="126"/>
      <c r="AW224" s="126"/>
      <c r="AX224" s="126"/>
      <c r="AY224" s="126"/>
      <c r="AZ224" s="126"/>
      <c r="BA224" s="126"/>
      <c r="BB224" s="126"/>
      <c r="BC224" s="126"/>
      <c r="BD224" s="126"/>
      <c r="BE224" s="126"/>
      <c r="BF224" s="126"/>
      <c r="BG224" s="126"/>
      <c r="BH224" s="126"/>
      <c r="BI224" s="126"/>
      <c r="BJ224" s="126"/>
      <c r="BK224" s="126"/>
      <c r="BL224" s="126"/>
      <c r="BM224" s="126"/>
      <c r="BN224" s="126"/>
      <c r="BO224" s="126"/>
      <c r="BP224" s="126"/>
      <c r="BQ224" s="126"/>
      <c r="BR224" s="126"/>
      <c r="BS224" s="126"/>
      <c r="BT224" s="126"/>
      <c r="BU224" s="126"/>
      <c r="BV224" s="126"/>
      <c r="BW224" s="126"/>
    </row>
    <row r="225">
      <c r="A225" s="249"/>
      <c r="B225" s="247"/>
      <c r="C225" s="252"/>
      <c r="D225" s="247"/>
      <c r="E225" s="247"/>
      <c r="F225" s="247"/>
      <c r="G225" s="247"/>
      <c r="H225" s="247"/>
      <c r="I225" s="247"/>
      <c r="J225" s="247"/>
      <c r="K225" s="247"/>
      <c r="L225" s="247"/>
      <c r="M225" s="247"/>
      <c r="N225" s="246"/>
      <c r="O225" s="247"/>
      <c r="P225" s="248"/>
      <c r="Q225" s="251"/>
      <c r="R225" s="250"/>
      <c r="S225" s="245"/>
      <c r="T225" s="126"/>
      <c r="U225" s="126"/>
      <c r="V225" s="126"/>
      <c r="W225" s="126"/>
      <c r="X225" s="126"/>
      <c r="Y225" s="126"/>
      <c r="Z225" s="126"/>
      <c r="AA225" s="126"/>
      <c r="AB225" s="126"/>
      <c r="AC225" s="126"/>
      <c r="AD225" s="126"/>
      <c r="AE225" s="126"/>
      <c r="AF225" s="126"/>
      <c r="AG225" s="126"/>
      <c r="AH225" s="126"/>
      <c r="AI225" s="126"/>
      <c r="AJ225" s="126"/>
      <c r="AK225" s="126"/>
      <c r="AL225" s="126"/>
      <c r="AM225" s="126"/>
      <c r="AN225" s="126"/>
      <c r="AO225" s="126"/>
      <c r="AP225" s="126"/>
      <c r="AQ225" s="126"/>
      <c r="AR225" s="126"/>
      <c r="AS225" s="126"/>
      <c r="AT225" s="126"/>
      <c r="AU225" s="126"/>
      <c r="AV225" s="126"/>
      <c r="AW225" s="126"/>
      <c r="AX225" s="126"/>
      <c r="AY225" s="126"/>
      <c r="AZ225" s="126"/>
      <c r="BA225" s="126"/>
      <c r="BB225" s="126"/>
      <c r="BC225" s="126"/>
      <c r="BD225" s="126"/>
      <c r="BE225" s="126"/>
      <c r="BF225" s="126"/>
      <c r="BG225" s="126"/>
      <c r="BH225" s="126"/>
      <c r="BI225" s="126"/>
      <c r="BJ225" s="126"/>
      <c r="BK225" s="126"/>
      <c r="BL225" s="126"/>
      <c r="BM225" s="126"/>
      <c r="BN225" s="126"/>
      <c r="BO225" s="126"/>
      <c r="BP225" s="126"/>
      <c r="BQ225" s="126"/>
      <c r="BR225" s="126"/>
      <c r="BS225" s="126"/>
      <c r="BT225" s="126"/>
      <c r="BU225" s="126"/>
      <c r="BV225" s="126"/>
      <c r="BW225" s="126"/>
    </row>
    <row r="226">
      <c r="A226" s="249"/>
      <c r="B226" s="247"/>
      <c r="C226" s="252"/>
      <c r="D226" s="247"/>
      <c r="E226" s="247"/>
      <c r="F226" s="247"/>
      <c r="G226" s="247"/>
      <c r="H226" s="247"/>
      <c r="I226" s="247"/>
      <c r="J226" s="247"/>
      <c r="K226" s="247"/>
      <c r="L226" s="247"/>
      <c r="M226" s="247"/>
      <c r="N226" s="246"/>
      <c r="O226" s="247"/>
      <c r="P226" s="248"/>
      <c r="Q226" s="251"/>
      <c r="R226" s="250"/>
      <c r="S226" s="245"/>
      <c r="T226" s="126"/>
      <c r="U226" s="126"/>
      <c r="V226" s="126"/>
      <c r="W226" s="126"/>
      <c r="X226" s="126"/>
      <c r="Y226" s="126"/>
      <c r="Z226" s="126"/>
      <c r="AA226" s="126"/>
      <c r="AB226" s="126"/>
      <c r="AC226" s="126"/>
      <c r="AD226" s="126"/>
      <c r="AE226" s="126"/>
      <c r="AF226" s="126"/>
      <c r="AG226" s="126"/>
      <c r="AH226" s="126"/>
      <c r="AI226" s="126"/>
      <c r="AJ226" s="126"/>
      <c r="AK226" s="126"/>
      <c r="AL226" s="126"/>
      <c r="AM226" s="126"/>
      <c r="AN226" s="126"/>
      <c r="AO226" s="126"/>
      <c r="AP226" s="126"/>
      <c r="AQ226" s="126"/>
      <c r="AR226" s="126"/>
      <c r="AS226" s="126"/>
      <c r="AT226" s="126"/>
      <c r="AU226" s="126"/>
      <c r="AV226" s="126"/>
      <c r="AW226" s="126"/>
      <c r="AX226" s="126"/>
      <c r="AY226" s="126"/>
      <c r="AZ226" s="126"/>
      <c r="BA226" s="126"/>
      <c r="BB226" s="126"/>
      <c r="BC226" s="126"/>
      <c r="BD226" s="126"/>
      <c r="BE226" s="126"/>
      <c r="BF226" s="126"/>
      <c r="BG226" s="126"/>
      <c r="BH226" s="126"/>
      <c r="BI226" s="126"/>
      <c r="BJ226" s="126"/>
      <c r="BK226" s="126"/>
      <c r="BL226" s="126"/>
      <c r="BM226" s="126"/>
      <c r="BN226" s="126"/>
      <c r="BO226" s="126"/>
      <c r="BP226" s="126"/>
      <c r="BQ226" s="126"/>
      <c r="BR226" s="126"/>
      <c r="BS226" s="126"/>
      <c r="BT226" s="126"/>
      <c r="BU226" s="126"/>
      <c r="BV226" s="126"/>
      <c r="BW226" s="126"/>
    </row>
    <row r="227">
      <c r="A227" s="249"/>
      <c r="B227" s="247"/>
      <c r="C227" s="252"/>
      <c r="D227" s="247"/>
      <c r="E227" s="247"/>
      <c r="F227" s="247"/>
      <c r="G227" s="247"/>
      <c r="H227" s="247"/>
      <c r="I227" s="247"/>
      <c r="J227" s="247"/>
      <c r="K227" s="247"/>
      <c r="L227" s="247"/>
      <c r="M227" s="247"/>
      <c r="N227" s="246"/>
      <c r="O227" s="247"/>
      <c r="P227" s="248"/>
      <c r="Q227" s="251"/>
      <c r="R227" s="250"/>
      <c r="S227" s="245"/>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c r="BJ227" s="126"/>
      <c r="BK227" s="126"/>
      <c r="BL227" s="126"/>
      <c r="BM227" s="126"/>
      <c r="BN227" s="126"/>
      <c r="BO227" s="126"/>
      <c r="BP227" s="126"/>
      <c r="BQ227" s="126"/>
      <c r="BR227" s="126"/>
      <c r="BS227" s="126"/>
      <c r="BT227" s="126"/>
      <c r="BU227" s="126"/>
      <c r="BV227" s="126"/>
      <c r="BW227" s="126"/>
    </row>
    <row r="228">
      <c r="A228" s="249"/>
      <c r="B228" s="247"/>
      <c r="C228" s="252"/>
      <c r="D228" s="247"/>
      <c r="E228" s="247"/>
      <c r="F228" s="247"/>
      <c r="G228" s="247"/>
      <c r="H228" s="247"/>
      <c r="I228" s="247"/>
      <c r="J228" s="247"/>
      <c r="K228" s="247"/>
      <c r="L228" s="247"/>
      <c r="M228" s="247"/>
      <c r="N228" s="246"/>
      <c r="O228" s="247"/>
      <c r="P228" s="248"/>
      <c r="Q228" s="251"/>
      <c r="R228" s="250"/>
      <c r="S228" s="245"/>
      <c r="T228" s="126"/>
      <c r="U228" s="126"/>
      <c r="V228" s="126"/>
      <c r="W228" s="126"/>
      <c r="X228" s="126"/>
      <c r="Y228" s="126"/>
      <c r="Z228" s="126"/>
      <c r="AA228" s="126"/>
      <c r="AB228" s="126"/>
      <c r="AC228" s="126"/>
      <c r="AD228" s="126"/>
      <c r="AE228" s="126"/>
      <c r="AF228" s="126"/>
      <c r="AG228" s="126"/>
      <c r="AH228" s="126"/>
      <c r="AI228" s="126"/>
      <c r="AJ228" s="126"/>
      <c r="AK228" s="126"/>
      <c r="AL228" s="126"/>
      <c r="AM228" s="126"/>
      <c r="AN228" s="126"/>
      <c r="AO228" s="126"/>
      <c r="AP228" s="126"/>
      <c r="AQ228" s="126"/>
      <c r="AR228" s="126"/>
      <c r="AS228" s="126"/>
      <c r="AT228" s="126"/>
      <c r="AU228" s="126"/>
      <c r="AV228" s="126"/>
      <c r="AW228" s="126"/>
      <c r="AX228" s="126"/>
      <c r="AY228" s="126"/>
      <c r="AZ228" s="126"/>
      <c r="BA228" s="126"/>
      <c r="BB228" s="126"/>
      <c r="BC228" s="126"/>
      <c r="BD228" s="126"/>
      <c r="BE228" s="126"/>
      <c r="BF228" s="126"/>
      <c r="BG228" s="126"/>
      <c r="BH228" s="126"/>
      <c r="BI228" s="126"/>
      <c r="BJ228" s="126"/>
      <c r="BK228" s="126"/>
      <c r="BL228" s="126"/>
      <c r="BM228" s="126"/>
      <c r="BN228" s="126"/>
      <c r="BO228" s="126"/>
      <c r="BP228" s="126"/>
      <c r="BQ228" s="126"/>
      <c r="BR228" s="126"/>
      <c r="BS228" s="126"/>
      <c r="BT228" s="126"/>
      <c r="BU228" s="126"/>
      <c r="BV228" s="126"/>
      <c r="BW228" s="126"/>
    </row>
    <row r="229">
      <c r="A229" s="249"/>
      <c r="B229" s="247"/>
      <c r="C229" s="252"/>
      <c r="D229" s="247"/>
      <c r="E229" s="247"/>
      <c r="F229" s="247"/>
      <c r="G229" s="247"/>
      <c r="H229" s="247"/>
      <c r="I229" s="247"/>
      <c r="J229" s="247"/>
      <c r="K229" s="247"/>
      <c r="L229" s="247"/>
      <c r="M229" s="247"/>
      <c r="N229" s="246"/>
      <c r="O229" s="247"/>
      <c r="P229" s="248"/>
      <c r="Q229" s="251"/>
      <c r="R229" s="250"/>
      <c r="S229" s="245"/>
      <c r="T229" s="126"/>
      <c r="U229" s="126"/>
      <c r="V229" s="126"/>
      <c r="W229" s="126"/>
      <c r="X229" s="126"/>
      <c r="Y229" s="126"/>
      <c r="Z229" s="126"/>
      <c r="AA229" s="126"/>
      <c r="AB229" s="126"/>
      <c r="AC229" s="126"/>
      <c r="AD229" s="126"/>
      <c r="AE229" s="126"/>
      <c r="AF229" s="126"/>
      <c r="AG229" s="126"/>
      <c r="AH229" s="126"/>
      <c r="AI229" s="126"/>
      <c r="AJ229" s="126"/>
      <c r="AK229" s="126"/>
      <c r="AL229" s="126"/>
      <c r="AM229" s="126"/>
      <c r="AN229" s="126"/>
      <c r="AO229" s="126"/>
      <c r="AP229" s="126"/>
      <c r="AQ229" s="126"/>
      <c r="AR229" s="126"/>
      <c r="AS229" s="126"/>
      <c r="AT229" s="126"/>
      <c r="AU229" s="126"/>
      <c r="AV229" s="126"/>
      <c r="AW229" s="126"/>
      <c r="AX229" s="126"/>
      <c r="AY229" s="126"/>
      <c r="AZ229" s="126"/>
      <c r="BA229" s="126"/>
      <c r="BB229" s="126"/>
      <c r="BC229" s="126"/>
      <c r="BD229" s="126"/>
      <c r="BE229" s="126"/>
      <c r="BF229" s="126"/>
      <c r="BG229" s="126"/>
      <c r="BH229" s="126"/>
      <c r="BI229" s="126"/>
      <c r="BJ229" s="126"/>
      <c r="BK229" s="126"/>
      <c r="BL229" s="126"/>
      <c r="BM229" s="126"/>
      <c r="BN229" s="126"/>
      <c r="BO229" s="126"/>
      <c r="BP229" s="126"/>
      <c r="BQ229" s="126"/>
      <c r="BR229" s="126"/>
      <c r="BS229" s="126"/>
      <c r="BT229" s="126"/>
      <c r="BU229" s="126"/>
      <c r="BV229" s="126"/>
      <c r="BW229" s="126"/>
    </row>
    <row r="230">
      <c r="A230" s="249"/>
      <c r="B230" s="247"/>
      <c r="C230" s="252"/>
      <c r="D230" s="247"/>
      <c r="E230" s="247"/>
      <c r="F230" s="247"/>
      <c r="G230" s="247"/>
      <c r="H230" s="247"/>
      <c r="I230" s="247"/>
      <c r="J230" s="247"/>
      <c r="K230" s="247"/>
      <c r="L230" s="247"/>
      <c r="M230" s="247"/>
      <c r="N230" s="246"/>
      <c r="O230" s="247"/>
      <c r="P230" s="248"/>
      <c r="Q230" s="251"/>
      <c r="R230" s="250"/>
      <c r="S230" s="245"/>
      <c r="T230" s="126"/>
      <c r="U230" s="126"/>
      <c r="V230" s="126"/>
      <c r="W230" s="126"/>
      <c r="X230" s="126"/>
      <c r="Y230" s="126"/>
      <c r="Z230" s="126"/>
      <c r="AA230" s="126"/>
      <c r="AB230" s="126"/>
      <c r="AC230" s="126"/>
      <c r="AD230" s="126"/>
      <c r="AE230" s="126"/>
      <c r="AF230" s="126"/>
      <c r="AG230" s="126"/>
      <c r="AH230" s="126"/>
      <c r="AI230" s="126"/>
      <c r="AJ230" s="126"/>
      <c r="AK230" s="126"/>
      <c r="AL230" s="126"/>
      <c r="AM230" s="126"/>
      <c r="AN230" s="126"/>
      <c r="AO230" s="126"/>
      <c r="AP230" s="126"/>
      <c r="AQ230" s="126"/>
      <c r="AR230" s="126"/>
      <c r="AS230" s="126"/>
      <c r="AT230" s="126"/>
      <c r="AU230" s="126"/>
      <c r="AV230" s="126"/>
      <c r="AW230" s="126"/>
      <c r="AX230" s="126"/>
      <c r="AY230" s="126"/>
      <c r="AZ230" s="126"/>
      <c r="BA230" s="126"/>
      <c r="BB230" s="126"/>
      <c r="BC230" s="126"/>
      <c r="BD230" s="126"/>
      <c r="BE230" s="126"/>
      <c r="BF230" s="126"/>
      <c r="BG230" s="126"/>
      <c r="BH230" s="126"/>
      <c r="BI230" s="126"/>
      <c r="BJ230" s="126"/>
      <c r="BK230" s="126"/>
      <c r="BL230" s="126"/>
      <c r="BM230" s="126"/>
      <c r="BN230" s="126"/>
      <c r="BO230" s="126"/>
      <c r="BP230" s="126"/>
      <c r="BQ230" s="126"/>
      <c r="BR230" s="126"/>
      <c r="BS230" s="126"/>
      <c r="BT230" s="126"/>
      <c r="BU230" s="126"/>
      <c r="BV230" s="126"/>
      <c r="BW230" s="126"/>
    </row>
    <row r="231">
      <c r="A231" s="249"/>
      <c r="B231" s="247"/>
      <c r="C231" s="252"/>
      <c r="D231" s="247"/>
      <c r="E231" s="247"/>
      <c r="F231" s="247"/>
      <c r="G231" s="247"/>
      <c r="H231" s="247"/>
      <c r="I231" s="247"/>
      <c r="J231" s="247"/>
      <c r="K231" s="247"/>
      <c r="L231" s="247"/>
      <c r="M231" s="247"/>
      <c r="N231" s="246"/>
      <c r="O231" s="247"/>
      <c r="P231" s="248"/>
      <c r="Q231" s="251"/>
      <c r="R231" s="250"/>
      <c r="S231" s="245"/>
      <c r="T231" s="126"/>
      <c r="U231" s="126"/>
      <c r="V231" s="126"/>
      <c r="W231" s="126"/>
      <c r="X231" s="126"/>
      <c r="Y231" s="126"/>
      <c r="Z231" s="126"/>
      <c r="AA231" s="126"/>
      <c r="AB231" s="126"/>
      <c r="AC231" s="126"/>
      <c r="AD231" s="126"/>
      <c r="AE231" s="126"/>
      <c r="AF231" s="126"/>
      <c r="AG231" s="126"/>
      <c r="AH231" s="126"/>
      <c r="AI231" s="126"/>
      <c r="AJ231" s="126"/>
      <c r="AK231" s="126"/>
      <c r="AL231" s="126"/>
      <c r="AM231" s="126"/>
      <c r="AN231" s="126"/>
      <c r="AO231" s="126"/>
      <c r="AP231" s="126"/>
      <c r="AQ231" s="126"/>
      <c r="AR231" s="126"/>
      <c r="AS231" s="126"/>
      <c r="AT231" s="126"/>
      <c r="AU231" s="126"/>
      <c r="AV231" s="126"/>
      <c r="AW231" s="126"/>
      <c r="AX231" s="126"/>
      <c r="AY231" s="126"/>
      <c r="AZ231" s="126"/>
      <c r="BA231" s="126"/>
      <c r="BB231" s="126"/>
      <c r="BC231" s="126"/>
      <c r="BD231" s="126"/>
      <c r="BE231" s="126"/>
      <c r="BF231" s="126"/>
      <c r="BG231" s="126"/>
      <c r="BH231" s="126"/>
      <c r="BI231" s="126"/>
      <c r="BJ231" s="126"/>
      <c r="BK231" s="126"/>
      <c r="BL231" s="126"/>
      <c r="BM231" s="126"/>
      <c r="BN231" s="126"/>
      <c r="BO231" s="126"/>
      <c r="BP231" s="126"/>
      <c r="BQ231" s="126"/>
      <c r="BR231" s="126"/>
      <c r="BS231" s="126"/>
      <c r="BT231" s="126"/>
      <c r="BU231" s="126"/>
      <c r="BV231" s="126"/>
      <c r="BW231" s="126"/>
    </row>
    <row r="232">
      <c r="A232" s="249"/>
      <c r="B232" s="247"/>
      <c r="C232" s="252"/>
      <c r="D232" s="247"/>
      <c r="E232" s="247"/>
      <c r="F232" s="247"/>
      <c r="G232" s="247"/>
      <c r="H232" s="247"/>
      <c r="I232" s="247"/>
      <c r="J232" s="247"/>
      <c r="K232" s="247"/>
      <c r="L232" s="247"/>
      <c r="M232" s="247"/>
      <c r="N232" s="246"/>
      <c r="O232" s="247"/>
      <c r="P232" s="248"/>
      <c r="Q232" s="251"/>
      <c r="R232" s="250"/>
      <c r="S232" s="245"/>
      <c r="T232" s="126"/>
      <c r="U232" s="126"/>
      <c r="V232" s="126"/>
      <c r="W232" s="126"/>
      <c r="X232" s="126"/>
      <c r="Y232" s="126"/>
      <c r="Z232" s="126"/>
      <c r="AA232" s="126"/>
      <c r="AB232" s="126"/>
      <c r="AC232" s="126"/>
      <c r="AD232" s="126"/>
      <c r="AE232" s="126"/>
      <c r="AF232" s="126"/>
      <c r="AG232" s="126"/>
      <c r="AH232" s="126"/>
      <c r="AI232" s="126"/>
      <c r="AJ232" s="126"/>
      <c r="AK232" s="126"/>
      <c r="AL232" s="126"/>
      <c r="AM232" s="126"/>
      <c r="AN232" s="126"/>
      <c r="AO232" s="126"/>
      <c r="AP232" s="126"/>
      <c r="AQ232" s="126"/>
      <c r="AR232" s="126"/>
      <c r="AS232" s="126"/>
      <c r="AT232" s="126"/>
      <c r="AU232" s="126"/>
      <c r="AV232" s="126"/>
      <c r="AW232" s="126"/>
      <c r="AX232" s="126"/>
      <c r="AY232" s="126"/>
      <c r="AZ232" s="126"/>
      <c r="BA232" s="126"/>
      <c r="BB232" s="126"/>
      <c r="BC232" s="126"/>
      <c r="BD232" s="126"/>
      <c r="BE232" s="126"/>
      <c r="BF232" s="126"/>
      <c r="BG232" s="126"/>
      <c r="BH232" s="126"/>
      <c r="BI232" s="126"/>
      <c r="BJ232" s="126"/>
      <c r="BK232" s="126"/>
      <c r="BL232" s="126"/>
      <c r="BM232" s="126"/>
      <c r="BN232" s="126"/>
      <c r="BO232" s="126"/>
      <c r="BP232" s="126"/>
      <c r="BQ232" s="126"/>
      <c r="BR232" s="126"/>
      <c r="BS232" s="126"/>
      <c r="BT232" s="126"/>
      <c r="BU232" s="126"/>
      <c r="BV232" s="126"/>
      <c r="BW232" s="126"/>
    </row>
    <row r="233">
      <c r="A233" s="249"/>
      <c r="B233" s="247"/>
      <c r="C233" s="252"/>
      <c r="D233" s="247"/>
      <c r="E233" s="247"/>
      <c r="F233" s="247"/>
      <c r="G233" s="247"/>
      <c r="H233" s="247"/>
      <c r="I233" s="247"/>
      <c r="J233" s="247"/>
      <c r="K233" s="247"/>
      <c r="L233" s="247"/>
      <c r="M233" s="247"/>
      <c r="N233" s="246"/>
      <c r="O233" s="247"/>
      <c r="P233" s="248"/>
      <c r="Q233" s="251"/>
      <c r="R233" s="250"/>
      <c r="S233" s="245"/>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c r="BE233" s="126"/>
      <c r="BF233" s="126"/>
      <c r="BG233" s="126"/>
      <c r="BH233" s="126"/>
      <c r="BI233" s="126"/>
      <c r="BJ233" s="126"/>
      <c r="BK233" s="126"/>
      <c r="BL233" s="126"/>
      <c r="BM233" s="126"/>
      <c r="BN233" s="126"/>
      <c r="BO233" s="126"/>
      <c r="BP233" s="126"/>
      <c r="BQ233" s="126"/>
      <c r="BR233" s="126"/>
      <c r="BS233" s="126"/>
      <c r="BT233" s="126"/>
      <c r="BU233" s="126"/>
      <c r="BV233" s="126"/>
      <c r="BW233" s="126"/>
    </row>
    <row r="234">
      <c r="A234" s="249"/>
      <c r="B234" s="247"/>
      <c r="C234" s="252"/>
      <c r="D234" s="247"/>
      <c r="E234" s="247"/>
      <c r="F234" s="247"/>
      <c r="G234" s="247"/>
      <c r="H234" s="247"/>
      <c r="I234" s="247"/>
      <c r="J234" s="247"/>
      <c r="K234" s="247"/>
      <c r="L234" s="247"/>
      <c r="M234" s="247"/>
      <c r="N234" s="246"/>
      <c r="O234" s="247"/>
      <c r="P234" s="248"/>
      <c r="Q234" s="251"/>
      <c r="R234" s="250"/>
      <c r="S234" s="245"/>
      <c r="T234" s="126"/>
      <c r="U234" s="126"/>
      <c r="V234" s="126"/>
      <c r="W234" s="126"/>
      <c r="X234" s="126"/>
      <c r="Y234" s="126"/>
      <c r="Z234" s="126"/>
      <c r="AA234" s="126"/>
      <c r="AB234" s="126"/>
      <c r="AC234" s="126"/>
      <c r="AD234" s="126"/>
      <c r="AE234" s="126"/>
      <c r="AF234" s="126"/>
      <c r="AG234" s="126"/>
      <c r="AH234" s="126"/>
      <c r="AI234" s="126"/>
      <c r="AJ234" s="126"/>
      <c r="AK234" s="126"/>
      <c r="AL234" s="126"/>
      <c r="AM234" s="126"/>
      <c r="AN234" s="126"/>
      <c r="AO234" s="126"/>
      <c r="AP234" s="126"/>
      <c r="AQ234" s="126"/>
      <c r="AR234" s="126"/>
      <c r="AS234" s="126"/>
      <c r="AT234" s="126"/>
      <c r="AU234" s="126"/>
      <c r="AV234" s="126"/>
      <c r="AW234" s="126"/>
      <c r="AX234" s="126"/>
      <c r="AY234" s="126"/>
      <c r="AZ234" s="126"/>
      <c r="BA234" s="126"/>
      <c r="BB234" s="126"/>
      <c r="BC234" s="126"/>
      <c r="BD234" s="126"/>
      <c r="BE234" s="126"/>
      <c r="BF234" s="126"/>
      <c r="BG234" s="126"/>
      <c r="BH234" s="126"/>
      <c r="BI234" s="126"/>
      <c r="BJ234" s="126"/>
      <c r="BK234" s="126"/>
      <c r="BL234" s="126"/>
      <c r="BM234" s="126"/>
      <c r="BN234" s="126"/>
      <c r="BO234" s="126"/>
      <c r="BP234" s="126"/>
      <c r="BQ234" s="126"/>
      <c r="BR234" s="126"/>
      <c r="BS234" s="126"/>
      <c r="BT234" s="126"/>
      <c r="BU234" s="126"/>
      <c r="BV234" s="126"/>
      <c r="BW234" s="126"/>
    </row>
    <row r="235">
      <c r="A235" s="249"/>
      <c r="B235" s="247"/>
      <c r="C235" s="252"/>
      <c r="D235" s="247"/>
      <c r="E235" s="247"/>
      <c r="F235" s="247"/>
      <c r="G235" s="247"/>
      <c r="H235" s="247"/>
      <c r="I235" s="247"/>
      <c r="J235" s="247"/>
      <c r="K235" s="247"/>
      <c r="L235" s="247"/>
      <c r="M235" s="247"/>
      <c r="N235" s="246"/>
      <c r="O235" s="247"/>
      <c r="P235" s="248"/>
      <c r="Q235" s="251"/>
      <c r="R235" s="250"/>
      <c r="S235" s="245"/>
      <c r="T235" s="126"/>
      <c r="U235" s="126"/>
      <c r="V235" s="126"/>
      <c r="W235" s="126"/>
      <c r="X235" s="126"/>
      <c r="Y235" s="126"/>
      <c r="Z235" s="126"/>
      <c r="AA235" s="126"/>
      <c r="AB235" s="126"/>
      <c r="AC235" s="126"/>
      <c r="AD235" s="126"/>
      <c r="AE235" s="126"/>
      <c r="AF235" s="126"/>
      <c r="AG235" s="126"/>
      <c r="AH235" s="126"/>
      <c r="AI235" s="126"/>
      <c r="AJ235" s="126"/>
      <c r="AK235" s="126"/>
      <c r="AL235" s="126"/>
      <c r="AM235" s="126"/>
      <c r="AN235" s="126"/>
      <c r="AO235" s="126"/>
      <c r="AP235" s="126"/>
      <c r="AQ235" s="126"/>
      <c r="AR235" s="126"/>
      <c r="AS235" s="126"/>
      <c r="AT235" s="126"/>
      <c r="AU235" s="126"/>
      <c r="AV235" s="126"/>
      <c r="AW235" s="126"/>
      <c r="AX235" s="126"/>
      <c r="AY235" s="126"/>
      <c r="AZ235" s="126"/>
      <c r="BA235" s="126"/>
      <c r="BB235" s="126"/>
      <c r="BC235" s="126"/>
      <c r="BD235" s="126"/>
      <c r="BE235" s="126"/>
      <c r="BF235" s="126"/>
      <c r="BG235" s="126"/>
      <c r="BH235" s="126"/>
      <c r="BI235" s="126"/>
      <c r="BJ235" s="126"/>
      <c r="BK235" s="126"/>
      <c r="BL235" s="126"/>
      <c r="BM235" s="126"/>
      <c r="BN235" s="126"/>
      <c r="BO235" s="126"/>
      <c r="BP235" s="126"/>
      <c r="BQ235" s="126"/>
      <c r="BR235" s="126"/>
      <c r="BS235" s="126"/>
      <c r="BT235" s="126"/>
      <c r="BU235" s="126"/>
      <c r="BV235" s="126"/>
      <c r="BW235" s="126"/>
    </row>
  </sheetData>
  <mergeCells>
    <mergeCell ref="A1:J1"/>
    <mergeCell ref="L1:N1"/>
    <mergeCell ref="AB1:AD1"/>
    <mergeCell ref="AR1:AS1"/>
    <mergeCell ref="BH1:BI1"/>
  </mergeCells>
  <legacyDrawing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9"/>
    <col collapsed="false" customWidth="true" hidden="false" max="3" min="3" style="0" width="9"/>
    <col collapsed="false" customWidth="true" hidden="false" max="4" min="4" style="0" width="9"/>
    <col collapsed="false" customWidth="true" hidden="false" max="5" min="5" style="0" width="9"/>
    <col collapsed="false" customWidth="true" hidden="false" max="6" min="6" style="0" width="9"/>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9"/>
    <col collapsed="false" customWidth="true" hidden="false" max="11" min="11" style="0" width="9"/>
    <col collapsed="false" customWidth="true" hidden="false" max="12" min="12" style="0" width="9"/>
    <col collapsed="false" customWidth="true" hidden="false" max="13" min="13" style="0" width="9"/>
    <col collapsed="false" customWidth="true" hidden="false" max="14" min="14" style="0" width="9"/>
    <col collapsed="false" customWidth="true" hidden="false" max="15" min="15" style="0" width="9"/>
    <col collapsed="false" customWidth="true" hidden="false" max="16" min="16" style="0" width="9"/>
    <col collapsed="false" customWidth="true" hidden="false" max="17" min="17" style="0" width="9"/>
    <col collapsed="false" customWidth="true" hidden="false" max="18" min="18" style="0" width="9"/>
    <col collapsed="false" customWidth="true" hidden="false" max="19" min="19" style="0" width="9"/>
    <col collapsed="false" customWidth="true" hidden="false" max="20" min="20" style="0" width="9"/>
    <col collapsed="false" customWidth="true" hidden="false" max="21" min="21" style="0" width="9"/>
    <col collapsed="false" customWidth="true" hidden="false" max="22" min="22" style="0" width="9"/>
    <col collapsed="false" customWidth="true" hidden="false" max="23" min="23" style="0" width="9"/>
    <col collapsed="false" customWidth="true" hidden="false" max="24" min="24" style="0" width="9"/>
    <col collapsed="false" customWidth="true" hidden="false" max="25" min="25" style="0" width="9"/>
    <col collapsed="false" customWidth="true" hidden="false" max="26" min="26" style="0" width="9"/>
    <col collapsed="false" customWidth="true" hidden="false" max="27" min="27" style="0" width="9"/>
    <col collapsed="false" customWidth="true" hidden="false" max="28" min="28" style="0" width="9"/>
    <col collapsed="false" customWidth="true" hidden="true" max="28" min="28" style="0" width="9"/>
    <col collapsed="false" customWidth="true" hidden="false" max="29" min="29" style="0" width="51"/>
    <col collapsed="false" customWidth="true" hidden="false" max="30" min="30" style="0" width="9"/>
    <col collapsed="false" customWidth="true" hidden="false" max="31" min="31" style="0" width="9"/>
    <col collapsed="false" customWidth="true" hidden="false" max="32" min="32" style="0" width="9"/>
    <col collapsed="false" customWidth="true" hidden="false" max="33" min="33" style="0" width="9"/>
    <col collapsed="false" customWidth="true" hidden="false" max="34" min="34" style="0" width="9"/>
    <col collapsed="false" customWidth="true" hidden="false" max="35" min="35" style="0" width="9"/>
    <col collapsed="false" customWidth="true" hidden="false" max="36" min="36" style="0" width="9"/>
    <col collapsed="false" customWidth="true" hidden="false" max="37" min="37" style="0" width="9"/>
    <col collapsed="false" customWidth="true" hidden="false" max="38" min="38" style="0" width="9"/>
    <col collapsed="false" customWidth="true" hidden="false" max="39" min="39" style="0" width="9"/>
    <col collapsed="false" customWidth="true" hidden="false" max="40" min="40" style="0" width="9"/>
    <col collapsed="false" customWidth="true" hidden="false" max="41" min="41" style="0" width="9"/>
    <col collapsed="false" customWidth="true" hidden="false" max="42" min="42" style="0" width="9"/>
    <col collapsed="false" customWidth="true" hidden="false" max="43" min="43" style="0" width="9"/>
    <col collapsed="false" customWidth="true" hidden="false" max="44" min="44" style="0" width="9"/>
    <col collapsed="false" customWidth="true" hidden="false" max="45" min="45" style="0" width="9"/>
    <col collapsed="false" customWidth="true" hidden="false" max="46" min="46" style="0" width="9"/>
    <col collapsed="false" customWidth="true" hidden="false" max="47" min="47" style="0" width="9"/>
    <col collapsed="false" customWidth="true" hidden="false" max="48" min="48" style="0" width="9"/>
    <col collapsed="false" customWidth="true" hidden="false" max="49" min="49" style="0" width="9"/>
    <col collapsed="false" customWidth="true" hidden="false" max="50" min="50" style="0" width="9"/>
    <col collapsed="false" customWidth="true" hidden="false" max="51" min="51" style="0" width="9"/>
    <col collapsed="false" customWidth="true" hidden="false" max="52" min="52" style="0" width="9"/>
  </cols>
  <sheetData>
    <row customHeight="true" ht="16" r="1">
      <c r="A1" s="332" t="str">
        <v>amazon-order-id</v>
      </c>
      <c r="B1" s="332" t="str">
        <v>merchant-order-id</v>
      </c>
      <c r="C1" s="332" t="str">
        <v>purchase-date</v>
      </c>
      <c r="D1" s="332" t="str">
        <v>last-updated-date</v>
      </c>
      <c r="E1" s="332" t="str">
        <v>order-status</v>
      </c>
      <c r="F1" s="332" t="str">
        <v>fulfillment-channel</v>
      </c>
      <c r="G1" s="332" t="str">
        <v>sales-channel</v>
      </c>
      <c r="H1" s="332" t="str">
        <v>order-channel</v>
      </c>
      <c r="I1" s="332" t="str">
        <v>url</v>
      </c>
      <c r="J1" s="332" t="str">
        <v>ship-service-level</v>
      </c>
      <c r="K1" s="332" t="str">
        <v>product-name</v>
      </c>
      <c r="L1" s="332" t="str">
        <v>sku</v>
      </c>
      <c r="M1" s="332" t="str">
        <v>asin</v>
      </c>
      <c r="N1" s="332" t="str">
        <v>item-status</v>
      </c>
      <c r="O1" s="332" t="str">
        <v>quantity</v>
      </c>
      <c r="P1" s="332" t="str">
        <v>currency</v>
      </c>
      <c r="Q1" s="332" t="str">
        <v>item-price</v>
      </c>
      <c r="R1" s="332" t="str">
        <v>item-tax</v>
      </c>
      <c r="S1" s="332" t="str">
        <v>shipping-price</v>
      </c>
      <c r="T1" s="332" t="str">
        <v>shipping-tax</v>
      </c>
      <c r="U1" s="332" t="str">
        <v>gift-wrap-price</v>
      </c>
      <c r="V1" s="332" t="str">
        <v>gift-wrap-tax</v>
      </c>
      <c r="W1" s="332" t="str">
        <v>item-promotion-discount</v>
      </c>
      <c r="X1" s="332" t="str">
        <v>ship-promotion-discount</v>
      </c>
      <c r="Y1" s="332" t="str">
        <v>ship-city</v>
      </c>
      <c r="Z1" s="332" t="str">
        <v>ship-state</v>
      </c>
      <c r="AA1" s="332" t="str">
        <v>ship-postal-code</v>
      </c>
      <c r="AB1" s="332" t="str">
        <v>ship-country</v>
      </c>
      <c r="AC1" s="332" t="str">
        <v>promotion-ids</v>
      </c>
      <c r="AD1" s="332" t="str">
        <v>is-business-order</v>
      </c>
      <c r="AE1" s="332" t="str">
        <v>purchase-order-number</v>
      </c>
      <c r="AF1" s="332" t="str">
        <v>price-designation</v>
      </c>
      <c r="AG1" s="332" t="str">
        <v>default-ship-from-address-name</v>
      </c>
      <c r="AH1" s="332" t="str">
        <v>default-ship-from-address-field-1</v>
      </c>
      <c r="AI1" s="332" t="str">
        <v>default-ship-from-address-field-2</v>
      </c>
      <c r="AJ1" s="332" t="str">
        <v>default-ship-from-address-field-3</v>
      </c>
      <c r="AK1" s="332" t="str">
        <v>default-ship-from-city</v>
      </c>
      <c r="AL1" s="332" t="str">
        <v>default-ship-from-state</v>
      </c>
      <c r="AM1" s="332" t="str">
        <v>default-ship-from-country</v>
      </c>
      <c r="AN1" s="332" t="str">
        <v>default-ship-from-postal-code</v>
      </c>
      <c r="AO1" s="332" t="str">
        <v>actual-ship-from-address-name</v>
      </c>
      <c r="AP1" s="332" t="str">
        <v>actual-ship-from-address-field-1</v>
      </c>
      <c r="AQ1" s="332" t="str">
        <v>actual-ship-from-address-field-2</v>
      </c>
      <c r="AR1" s="332" t="str">
        <v>actual-ship-from-address-field-3</v>
      </c>
      <c r="AS1" s="332" t="str">
        <v>actual-ship-from-city</v>
      </c>
      <c r="AT1" s="332" t="str">
        <v>actual-ship-from-state</v>
      </c>
      <c r="AU1" s="332" t="str">
        <v>actual-ship-from-country</v>
      </c>
      <c r="AV1" s="332" t="str">
        <v>actual-ship-from-postal-code</v>
      </c>
      <c r="AW1" s="332" t="str">
        <v>is-buyer-requested-cancellation</v>
      </c>
      <c r="AX1" s="332" t="str">
        <v>buyer-requested-cancel-reason</v>
      </c>
      <c r="AY1" s="332" t="str">
        <v>serial-numbers</v>
      </c>
      <c r="AZ1" s="332" t="str" xml:space="preserve">
        <v>signature-confirmation-recommended </v>
      </c>
    </row>
    <row customHeight="true" ht="16" r="2">
      <c r="A2" s="332" t="str">
        <v>111-9858618-2103444</v>
      </c>
      <c r="B2" s="332" t="str">
        <v>111-9858618-2103444</v>
      </c>
      <c r="C2" s="332" t="str">
        <v>2023-09-12T05:37:43+00:00</v>
      </c>
      <c r="D2" s="332" t="str">
        <v>2023-09-12T05:37:48+00:00</v>
      </c>
      <c r="E2" s="332" t="str">
        <v>Pending</v>
      </c>
      <c r="F2" s="332" t="str">
        <v>Amazon</v>
      </c>
      <c r="G2" s="333" t="s">
        <v>16</v>
      </c>
      <c r="J2" s="332" t="str">
        <v>Expedited</v>
      </c>
      <c r="K2" s="332" t="str">
        <v>Dash Cam Front with FHD 1080p, Wanlipo 2 Inch LCD Dashcam, Dashboard Camera for Cars with 24h Parking Monitor, G-Sensor, Loop Recording, Free 32GB SD</v>
      </c>
      <c r="L2" s="332" t="str">
        <v>J09-C1</v>
      </c>
      <c r="M2" s="332" t="str">
        <v>B0BG6WPM3W</v>
      </c>
      <c r="N2" s="332" t="str">
        <v>Unshipped</v>
      </c>
      <c r="O2" s="332">
        <v>1</v>
      </c>
      <c r="P2" s="332" t="str">
        <v>USD</v>
      </c>
      <c r="Q2" s="332">
        <v>79.99</v>
      </c>
      <c r="Y2" s="332" t="str">
        <v>BELLMAWR</v>
      </c>
      <c r="Z2" s="332" t="str">
        <v>NJ</v>
      </c>
      <c r="AA2" s="332" t="str">
        <v>08031-2115</v>
      </c>
      <c r="AB2" s="332" t="str">
        <v>US</v>
      </c>
      <c r="AC2" s="332" t="str">
        <v>MPC-S Percentage Off 2023/09/10 11-52-12-900</v>
      </c>
      <c r="AD2" s="332" t="b">
        <v>0</v>
      </c>
      <c r="AW2" s="332" t="b">
        <v>0</v>
      </c>
      <c r="AZ2" s="332" t="b">
        <v>0</v>
      </c>
    </row>
    <row customHeight="true" ht="16" r="3">
      <c r="A3" s="332" t="str">
        <v>114-5667916-6324215</v>
      </c>
      <c r="B3" s="332" t="str">
        <v>114-5667916-6324215</v>
      </c>
      <c r="C3" s="332" t="str">
        <v>2023-09-12T03:37:05+00:00</v>
      </c>
      <c r="D3" s="332" t="str">
        <v>2023-09-12T09:02:46+00:00</v>
      </c>
      <c r="E3" s="332" t="str">
        <v>Shipped</v>
      </c>
      <c r="F3" s="332" t="str">
        <v>Amazon</v>
      </c>
      <c r="G3" s="333" t="s">
        <v>16</v>
      </c>
      <c r="J3" s="332" t="str">
        <v>Expedited</v>
      </c>
      <c r="K3" s="332" t="str">
        <v>4K Dash Cam Front Built-in WiFi, WANLIPO Dash Camera for Cars with 64GB SD Card, Car Camera with 3" IPS Screen, 2160P Dashcam for Cars with App Contro</v>
      </c>
      <c r="L3" s="332" t="str">
        <v>Wanlipo M03-3</v>
      </c>
      <c r="M3" s="332" t="str">
        <v>B0CC8CHTTJ</v>
      </c>
      <c r="N3" s="332" t="str">
        <v>Shipped</v>
      </c>
      <c r="O3" s="332">
        <v>1</v>
      </c>
      <c r="P3" s="332" t="str">
        <v>USD</v>
      </c>
      <c r="Q3" s="332">
        <v>99.99</v>
      </c>
      <c r="R3" s="332">
        <v>1.89</v>
      </c>
      <c r="W3" s="332">
        <v>72.99</v>
      </c>
      <c r="Y3" s="332" t="str">
        <v>MONROE</v>
      </c>
      <c r="Z3" s="332" t="str">
        <v>GA</v>
      </c>
      <c r="AA3" s="332" t="str">
        <v>30656-4723</v>
      </c>
      <c r="AB3" s="332" t="str">
        <v>US</v>
      </c>
      <c r="AC3" s="332" t="str">
        <v>MPC-S Percentage Off 2023/09/11 9-53-46-600</v>
      </c>
      <c r="AD3" s="332" t="b">
        <v>0</v>
      </c>
      <c r="AW3" s="332" t="b">
        <v>0</v>
      </c>
      <c r="AZ3" s="332" t="b">
        <v>0</v>
      </c>
    </row>
    <row customHeight="true" ht="16" r="4">
      <c r="A4" s="332" t="str">
        <v>111-1595396-9168227</v>
      </c>
      <c r="B4" s="332" t="str">
        <v>111-1595396-9168227</v>
      </c>
      <c r="C4" s="332" t="str">
        <v>2023-09-11T23:55:05+00:00</v>
      </c>
      <c r="D4" s="332" t="str">
        <v>2023-09-11T23:55:11+00:00</v>
      </c>
      <c r="E4" s="332" t="str">
        <v>Pending</v>
      </c>
      <c r="F4" s="332" t="str">
        <v>Amazon</v>
      </c>
      <c r="G4" s="333" t="s">
        <v>16</v>
      </c>
      <c r="J4" s="332" t="str">
        <v>Expedited</v>
      </c>
      <c r="K4" s="332" t="str">
        <v>Dash Cam Front with FHD 1080p, Wanlipo 2 Inch LCD Dashcam, Dashboard Camera for Cars with 24h Parking Monitor, G-Sensor, Loop Recording, Free 32GB SD</v>
      </c>
      <c r="L4" s="332" t="str">
        <v>J09-C1</v>
      </c>
      <c r="M4" s="332" t="str">
        <v>B0BG6WPM3W</v>
      </c>
      <c r="N4" s="332" t="str">
        <v>Unshipped</v>
      </c>
      <c r="O4" s="332">
        <v>1</v>
      </c>
      <c r="P4" s="332" t="str">
        <v>USD</v>
      </c>
      <c r="Q4" s="332">
        <v>79.99</v>
      </c>
      <c r="Y4" s="332" t="str">
        <v>SILVER SPRING</v>
      </c>
      <c r="Z4" s="332" t="str">
        <v>MD</v>
      </c>
      <c r="AA4" s="332" t="str">
        <v>20906-4527</v>
      </c>
      <c r="AB4" s="332" t="str">
        <v>US</v>
      </c>
      <c r="AC4" s="332" t="str">
        <v>MPC-S Percentage Off 2023/09/10 11-52-3-698</v>
      </c>
      <c r="AD4" s="332" t="b">
        <v>0</v>
      </c>
      <c r="AW4" s="332" t="b">
        <v>0</v>
      </c>
      <c r="AZ4" s="332" t="b">
        <v>0</v>
      </c>
    </row>
    <row customHeight="true" ht="16" r="5">
      <c r="A5" s="332" t="str">
        <v>112-7810040-2837843</v>
      </c>
      <c r="B5" s="332" t="str">
        <v>112-7810040-2837843</v>
      </c>
      <c r="C5" s="332" t="str">
        <v>2023-09-11T19:41:13+00:00</v>
      </c>
      <c r="D5" s="332" t="str">
        <v>2023-09-12T01:35:23+00:00</v>
      </c>
      <c r="E5" s="332" t="str">
        <v>Shipped</v>
      </c>
      <c r="F5" s="332" t="str">
        <v>Amazon</v>
      </c>
      <c r="G5" s="333" t="s">
        <v>16</v>
      </c>
      <c r="J5" s="332" t="str">
        <v>Expedited</v>
      </c>
      <c r="K5" s="332" t="str">
        <v>Dash Cam Front with FHD 1080p, Wanlipo 2 Inch LCD Dashcam, Dashboard Camera for Cars with 24h Parking Monitor, G-Sensor, Loop Recording, Free 32GB SD</v>
      </c>
      <c r="L5" s="332" t="str">
        <v>J09-C1</v>
      </c>
      <c r="M5" s="332" t="str">
        <v>B0BG6WPM3W</v>
      </c>
      <c r="N5" s="332" t="str">
        <v>Shipped</v>
      </c>
      <c r="O5" s="332">
        <v>1</v>
      </c>
      <c r="P5" s="332" t="str">
        <v>USD</v>
      </c>
      <c r="Q5" s="332">
        <v>79.99</v>
      </c>
      <c r="R5" s="332">
        <v>1.85</v>
      </c>
      <c r="W5" s="332">
        <v>59.99</v>
      </c>
      <c r="Y5" s="332" t="str">
        <v>Nashville</v>
      </c>
      <c r="Z5" s="332" t="str">
        <v>TN</v>
      </c>
      <c r="AA5" s="332" t="str">
        <v>37208-1058</v>
      </c>
      <c r="AB5" s="332" t="str">
        <v>US</v>
      </c>
      <c r="AC5" s="332" t="str">
        <v>MPC-S Percentage Off 2023/09/10 11-52-13-889</v>
      </c>
      <c r="AD5" s="332" t="b">
        <v>0</v>
      </c>
      <c r="AW5" s="332" t="b">
        <v>0</v>
      </c>
      <c r="AZ5" s="332" t="b">
        <v>0</v>
      </c>
    </row>
    <row customHeight="true" ht="16" r="6">
      <c r="A6" s="332" t="str">
        <v>111-4369826-2407442</v>
      </c>
      <c r="B6" s="332" t="str">
        <v>111-4369826-2407442</v>
      </c>
      <c r="C6" s="332" t="str">
        <v>2023-09-11T18:52:15+00:00</v>
      </c>
      <c r="D6" s="332" t="str">
        <v>2023-09-11T18:52:21+00:00</v>
      </c>
      <c r="E6" s="332" t="str">
        <v>Pending</v>
      </c>
      <c r="F6" s="332" t="str">
        <v>Amazon</v>
      </c>
      <c r="G6" s="333" t="s">
        <v>16</v>
      </c>
      <c r="J6" s="332" t="str">
        <v>Standard</v>
      </c>
      <c r="K6" s="332" t="str">
        <v>4K Dash Cam Front with WiFi 2160P, VOFRTY Dash Camera for Cars with 3" IPS, Car Camera with App Control, Dashcam with G-Sensor, Loop Recording, 64GB S</v>
      </c>
      <c r="L6" s="332" t="str">
        <v>M03-3</v>
      </c>
      <c r="M6" s="332" t="str">
        <v>B0C1C9T9KP</v>
      </c>
      <c r="N6" s="332" t="str">
        <v>Unshipped</v>
      </c>
      <c r="O6" s="332">
        <v>1</v>
      </c>
      <c r="P6" s="332" t="str">
        <v>USD</v>
      </c>
      <c r="Q6" s="332">
        <v>79.99</v>
      </c>
      <c r="Y6" s="332" t="str">
        <v>HUNTINGTON</v>
      </c>
      <c r="Z6" s="332" t="str">
        <v>WV</v>
      </c>
      <c r="AA6" s="332" t="str">
        <v>25704-1119</v>
      </c>
      <c r="AB6" s="332" t="str">
        <v>US</v>
      </c>
      <c r="AC6" s="332" t="str">
        <v>US Core Free Shipping Promotion A3JU1FCINF5SD0,Percentage Off 2023/08/28 6-17-47-400</v>
      </c>
      <c r="AD6" s="332" t="b">
        <v>0</v>
      </c>
      <c r="AW6" s="332" t="b">
        <v>0</v>
      </c>
      <c r="AZ6" s="332" t="b">
        <v>0</v>
      </c>
    </row>
    <row customHeight="true" ht="16" r="7">
      <c r="A7" s="332" t="str">
        <v>114-0862837-0430606</v>
      </c>
      <c r="B7" s="332" t="str">
        <v>114-0862837-0430606</v>
      </c>
      <c r="C7" s="332" t="str">
        <v>2023-09-11T17:17:31+00:00</v>
      </c>
      <c r="D7" s="332" t="str">
        <v>2023-09-11T17:17:37+00:00</v>
      </c>
      <c r="E7" s="332" t="str">
        <v>Pending</v>
      </c>
      <c r="F7" s="332" t="str">
        <v>Amazon</v>
      </c>
      <c r="G7" s="333" t="s">
        <v>16</v>
      </c>
      <c r="J7" s="332" t="str">
        <v>Expedited</v>
      </c>
      <c r="K7" s="332" t="str">
        <v>Dash Cam Front with FHD 1080p, Wanlipo 2 Inch LCD Dashcam, Dashboard Camera for Cars with 24h Parking Monitor, G-Sensor, Loop Recording, Free 32GB SD</v>
      </c>
      <c r="L7" s="332" t="str">
        <v>J09-C1</v>
      </c>
      <c r="M7" s="332" t="str">
        <v>B0BG6WPM3W</v>
      </c>
      <c r="N7" s="332" t="str">
        <v>Unshipped</v>
      </c>
      <c r="O7" s="332">
        <v>1</v>
      </c>
      <c r="P7" s="332" t="str">
        <v>USD</v>
      </c>
      <c r="Q7" s="332">
        <v>79.99</v>
      </c>
      <c r="Y7" s="332" t="str">
        <v>LOS ANGELES</v>
      </c>
      <c r="Z7" s="332" t="str">
        <v>CA</v>
      </c>
      <c r="AA7" s="332" t="str">
        <v>90016-2009</v>
      </c>
      <c r="AB7" s="332" t="str">
        <v>US</v>
      </c>
      <c r="AC7" s="332" t="str">
        <v>MPC-S Percentage Off 2023/09/10 11-52-3-698</v>
      </c>
      <c r="AD7" s="332" t="b">
        <v>0</v>
      </c>
      <c r="AW7" s="332" t="b">
        <v>0</v>
      </c>
      <c r="AZ7" s="332" t="b">
        <v>0</v>
      </c>
    </row>
    <row customHeight="true" ht="16" r="8">
      <c r="A8" s="332" t="str">
        <v>114-2447819-7327466</v>
      </c>
      <c r="B8" s="332" t="str">
        <v>114-2447819-7327466</v>
      </c>
      <c r="C8" s="332" t="str">
        <v>2023-09-11T15:45:23+00:00</v>
      </c>
      <c r="D8" s="332" t="str">
        <v>2023-09-11T15:45:29+00:00</v>
      </c>
      <c r="E8" s="332" t="str">
        <v>Pending</v>
      </c>
      <c r="F8" s="332" t="str">
        <v>Amazon</v>
      </c>
      <c r="G8" s="333" t="s">
        <v>16</v>
      </c>
      <c r="J8" s="332" t="str">
        <v>Expedited</v>
      </c>
      <c r="K8" s="332" t="str">
        <v>4K Dash Cam Front with WiFi 2160P, VOFRTY Dash Camera for Cars with 3" IPS, Car Camera with App Control, Dashcam with G-Sensor, Loop Recording, 64GB S</v>
      </c>
      <c r="L8" s="332" t="str">
        <v>M03-3</v>
      </c>
      <c r="M8" s="332" t="str">
        <v>B0C1C9T9KP</v>
      </c>
      <c r="N8" s="332" t="str">
        <v>Unshipped</v>
      </c>
      <c r="O8" s="332">
        <v>1</v>
      </c>
      <c r="P8" s="332" t="str">
        <v>USD</v>
      </c>
      <c r="Q8" s="332">
        <v>79.99</v>
      </c>
      <c r="Y8" s="332" t="str">
        <v>DES MOINES</v>
      </c>
      <c r="Z8" s="332" t="str">
        <v>IA</v>
      </c>
      <c r="AA8" s="332" t="str">
        <v>50317-6307</v>
      </c>
      <c r="AB8" s="332" t="str">
        <v>US</v>
      </c>
      <c r="AC8" s="332" t="str">
        <v>MPC-S Percentage Off 2023/09/11 9-54-8-40</v>
      </c>
      <c r="AD8" s="332" t="b">
        <v>0</v>
      </c>
      <c r="AW8" s="332" t="b">
        <v>0</v>
      </c>
      <c r="AZ8" s="332" t="b">
        <v>0</v>
      </c>
    </row>
    <row customHeight="true" ht="16" r="9">
      <c r="A9" s="332" t="str">
        <v>114-3078544-2276207</v>
      </c>
      <c r="B9" s="332" t="str">
        <v>114-3078544-2276207</v>
      </c>
      <c r="C9" s="332" t="str">
        <v>2023-09-11T15:21:19+00:00</v>
      </c>
      <c r="D9" s="332" t="str">
        <v>2023-09-12T04:25:37+00:00</v>
      </c>
      <c r="E9" s="332" t="str">
        <v>Shipped</v>
      </c>
      <c r="F9" s="332" t="str">
        <v>Amazon</v>
      </c>
      <c r="G9" s="333" t="s">
        <v>16</v>
      </c>
      <c r="J9" s="332" t="str">
        <v>Expedited</v>
      </c>
      <c r="K9" s="332" t="str">
        <v>4K Dash Cam Front with WiFi 2160P, VOFRTY Dash Camera for Cars with 3" IPS, Car Camera with App Control, Dashcam with G-Sensor, Loop Recording, 64GB S</v>
      </c>
      <c r="L9" s="332" t="str">
        <v>M03-3</v>
      </c>
      <c r="M9" s="332" t="str">
        <v>B0C1C9T9KP</v>
      </c>
      <c r="N9" s="332" t="str">
        <v>Shipped</v>
      </c>
      <c r="O9" s="332">
        <v>1</v>
      </c>
      <c r="P9" s="332" t="str">
        <v>USD</v>
      </c>
      <c r="Q9" s="332">
        <v>79.99</v>
      </c>
      <c r="R9" s="332">
        <v>3.12</v>
      </c>
      <c r="W9" s="332">
        <v>47.99</v>
      </c>
      <c r="Y9" s="332" t="str">
        <v>LA VERGNE</v>
      </c>
      <c r="Z9" s="332" t="str">
        <v>TN</v>
      </c>
      <c r="AA9" s="332" t="str">
        <v>37086-1439</v>
      </c>
      <c r="AB9" s="332" t="str">
        <v>US</v>
      </c>
      <c r="AC9" s="332" t="str">
        <v>MPC-S Percentage Off 2023/09/11 9-54-8-40</v>
      </c>
      <c r="AD9" s="332" t="b">
        <v>0</v>
      </c>
      <c r="AW9" s="332" t="b">
        <v>0</v>
      </c>
      <c r="AZ9" s="332" t="b">
        <v>0</v>
      </c>
    </row>
    <row customHeight="true" ht="16" r="10">
      <c r="A10" s="332" t="str">
        <v>114-1356066-5534643</v>
      </c>
      <c r="B10" s="332" t="str">
        <v>114-1356066-5534643</v>
      </c>
      <c r="C10" s="332" t="str">
        <v>2023-09-11T13:58:53+00:00</v>
      </c>
      <c r="D10" s="332" t="str">
        <v>2023-09-12T07:08:25+00:00</v>
      </c>
      <c r="E10" s="332" t="str">
        <v>Shipped</v>
      </c>
      <c r="F10" s="332" t="str">
        <v>Amazon</v>
      </c>
      <c r="G10" s="333" t="s">
        <v>16</v>
      </c>
      <c r="J10" s="332" t="str">
        <v>Expedited</v>
      </c>
      <c r="K10" s="332" t="str">
        <v>Dash Cam Front with FHD 1080p, Wanlipo 2 Inch LCD Dashcam, Dashboard Camera for Cars with 24h Parking Monitor, G-Sensor, Loop Recording, Free 32GB SD</v>
      </c>
      <c r="L10" s="332" t="str">
        <v>J09-C1</v>
      </c>
      <c r="M10" s="332" t="str">
        <v>B0BG6WPM3W</v>
      </c>
      <c r="N10" s="332" t="str">
        <v>Shipped</v>
      </c>
      <c r="O10" s="332">
        <v>1</v>
      </c>
      <c r="P10" s="332" t="str">
        <v>USD</v>
      </c>
      <c r="Q10" s="332">
        <v>79.99</v>
      </c>
      <c r="R10" s="332">
        <v>1.25</v>
      </c>
      <c r="S10" s="332">
        <v>2.99</v>
      </c>
      <c r="W10" s="332">
        <v>59.99</v>
      </c>
      <c r="X10" s="332">
        <v>2.99</v>
      </c>
      <c r="Y10" s="332" t="str">
        <v>BLACKSTONE</v>
      </c>
      <c r="Z10" s="332" t="str">
        <v>MA</v>
      </c>
      <c r="AA10" s="332" t="str">
        <v>01504-1408</v>
      </c>
      <c r="AB10" s="332" t="str">
        <v>US</v>
      </c>
      <c r="AC10" s="332" t="str">
        <v>MPC-S Percentage Off 2023/09/10 5-41-22-292</v>
      </c>
      <c r="AD10" s="332" t="b">
        <v>0</v>
      </c>
      <c r="AW10" s="332" t="b">
        <v>0</v>
      </c>
      <c r="AZ10" s="332" t="b">
        <v>0</v>
      </c>
    </row>
    <row customHeight="true" ht="16" r="11">
      <c r="A11" s="332" t="str">
        <v>112-9726611-4879461</v>
      </c>
      <c r="B11" s="332" t="str">
        <v>112-9726611-4879461</v>
      </c>
      <c r="C11" s="332" t="str">
        <v>2023-09-11T12:39:23+00:00</v>
      </c>
      <c r="D11" s="332" t="str">
        <v>2023-09-12T09:25:25+00:00</v>
      </c>
      <c r="E11" s="332" t="str">
        <v>Shipped</v>
      </c>
      <c r="F11" s="332" t="str">
        <v>Amazon</v>
      </c>
      <c r="G11" s="333" t="s">
        <v>16</v>
      </c>
      <c r="J11" s="332" t="str">
        <v>Standard</v>
      </c>
      <c r="K11" s="332" t="str">
        <v>4K Dash Cam Front Built-in WiFi, WANLIPO Dash Camera for Cars with 64GB SD Card, Car Camera with 3" IPS Screen, 2160P Dashcam for Cars with App Contro</v>
      </c>
      <c r="L11" s="332" t="str">
        <v>Wanlipo M03-3</v>
      </c>
      <c r="M11" s="332" t="str">
        <v>B0CC8CHTTJ</v>
      </c>
      <c r="N11" s="332" t="str">
        <v>Shipped</v>
      </c>
      <c r="O11" s="332">
        <v>1</v>
      </c>
      <c r="P11" s="332" t="str">
        <v>USD</v>
      </c>
      <c r="Q11" s="332">
        <v>99.99</v>
      </c>
      <c r="R11" s="332">
        <v>2.84</v>
      </c>
      <c r="W11" s="332">
        <v>67.99</v>
      </c>
      <c r="Y11" s="332" t="str">
        <v>Brooklyn</v>
      </c>
      <c r="Z11" s="332" t="str">
        <v>NY</v>
      </c>
      <c r="AA11" s="332">
        <v>11235</v>
      </c>
      <c r="AB11" s="332" t="str">
        <v>US</v>
      </c>
      <c r="AC11" s="332" t="str">
        <v>MPC-S Percentage Off 2023/09/07 1-34-35-547</v>
      </c>
      <c r="AD11" s="332" t="b">
        <v>0</v>
      </c>
      <c r="AW11" s="332" t="b">
        <v>0</v>
      </c>
      <c r="AZ11" s="332" t="b">
        <v>0</v>
      </c>
    </row>
    <row customHeight="true" ht="16" r="12">
      <c r="A12" s="332" t="str">
        <v>113-6400382-4997016</v>
      </c>
      <c r="B12" s="332" t="str">
        <v>113-6400382-4997016</v>
      </c>
      <c r="C12" s="332" t="str">
        <v>2023-09-11T11:06:47+00:00</v>
      </c>
      <c r="D12" s="332" t="str">
        <v>2023-09-11T11:06:52+00:00</v>
      </c>
      <c r="E12" s="332" t="str">
        <v>Pending</v>
      </c>
      <c r="F12" s="332" t="str">
        <v>Amazon</v>
      </c>
      <c r="G12" s="333" t="s">
        <v>16</v>
      </c>
      <c r="J12" s="332" t="str">
        <v>Expedited</v>
      </c>
      <c r="K12" s="332" t="str">
        <v>Dash Cam Front with FHD 1080p, Wanlipo 2 Inch LCD Dashcam, Dashboard Camera for Cars with 24h Parking Monitor, G-Sensor, Loop Recording, Free 32GB SD</v>
      </c>
      <c r="L12" s="332" t="str">
        <v>J09-C1</v>
      </c>
      <c r="M12" s="332" t="str">
        <v>B0BG6WPM3W</v>
      </c>
      <c r="N12" s="332" t="str">
        <v>Unshipped</v>
      </c>
      <c r="O12" s="332">
        <v>1</v>
      </c>
      <c r="P12" s="332" t="str">
        <v>USD</v>
      </c>
      <c r="Q12" s="332">
        <v>79.99</v>
      </c>
      <c r="Y12" s="332" t="str">
        <v>BRONX</v>
      </c>
      <c r="Z12" s="332" t="str">
        <v>NY</v>
      </c>
      <c r="AA12" s="332">
        <v>10461</v>
      </c>
      <c r="AB12" s="332" t="str">
        <v>US</v>
      </c>
      <c r="AC12" s="332" t="str">
        <v>MPC-S Percentage Off 2023/09/10 11-52-12-900</v>
      </c>
      <c r="AD12" s="332" t="b">
        <v>0</v>
      </c>
      <c r="AW12" s="332" t="b">
        <v>0</v>
      </c>
      <c r="AZ12" s="332" t="b">
        <v>0</v>
      </c>
    </row>
    <row customHeight="true" ht="16" r="13">
      <c r="A13" s="332" t="str">
        <v>112-9947498-4884232</v>
      </c>
      <c r="B13" s="332" t="str">
        <v>112-9947498-4884232</v>
      </c>
      <c r="C13" s="332" t="str">
        <v>2023-09-11T07:15:23+00:00</v>
      </c>
      <c r="D13" s="332" t="str">
        <v>2023-09-11T18:12:08+00:00</v>
      </c>
      <c r="E13" s="332" t="str">
        <v>Shipped</v>
      </c>
      <c r="F13" s="332" t="str">
        <v>Amazon</v>
      </c>
      <c r="G13" s="333" t="s">
        <v>16</v>
      </c>
      <c r="J13" s="332" t="str">
        <v>Expedited</v>
      </c>
      <c r="K13" s="332" t="str">
        <v>4K Dash Cam Front with WiFi 2160P, VOFRTY Dash Camera for Cars with 3" IPS, Car Camera with App Control, Dashcam with G-Sensor, Loop Recording, 64GB S</v>
      </c>
      <c r="L13" s="332" t="str">
        <v>M03-3</v>
      </c>
      <c r="M13" s="332" t="str">
        <v>B0C1C9T9KP</v>
      </c>
      <c r="N13" s="332" t="str">
        <v>Shipped</v>
      </c>
      <c r="O13" s="332">
        <v>1</v>
      </c>
      <c r="P13" s="332" t="str">
        <v>USD</v>
      </c>
      <c r="Q13" s="332">
        <v>79.99</v>
      </c>
      <c r="R13" s="332">
        <v>3.8</v>
      </c>
      <c r="W13" s="332">
        <v>40</v>
      </c>
      <c r="Y13" s="332" t="str">
        <v>WEST COVINA</v>
      </c>
      <c r="Z13" s="332" t="str">
        <v>CA</v>
      </c>
      <c r="AA13" s="332" t="str">
        <v>91792-1494</v>
      </c>
      <c r="AB13" s="332" t="str">
        <v>US</v>
      </c>
      <c r="AC13" s="332" t="str">
        <v>Percentage Off 2023/08/28 6-17-47-400</v>
      </c>
      <c r="AD13" s="332" t="b">
        <v>0</v>
      </c>
      <c r="AW13" s="332" t="b">
        <v>0</v>
      </c>
      <c r="AZ13" s="332" t="b">
        <v>0</v>
      </c>
    </row>
    <row customHeight="true" ht="16" r="14"/>
    <row customHeight="true" ht="16" r="15"/>
    <row customHeight="true" ht="16" r="16"/>
    <row customHeight="true" ht="16" r="17"/>
    <row customHeight="true" ht="16" r="18"/>
    <row customHeight="true" ht="16" r="19"/>
    <row customHeight="true" ht="16" r="20"/>
  </sheetData>
  <hyperlinks>
    <hyperlink ref="G10" display="Amazon.com" r:id="rId1"/>
    <hyperlink ref="G13" display="Amazon.com" r:id="rId2"/>
    <hyperlink ref="G8" display="Amazon.com" r:id="rId3"/>
    <hyperlink ref="G7" display="Amazon.com" r:id="rId4"/>
    <hyperlink ref="G2" display="Amazon.com" r:id="rId5"/>
    <hyperlink ref="G4" display="Amazon.com" r:id="rId6"/>
    <hyperlink ref="G12" display="Amazon.com" r:id="rId7"/>
    <hyperlink ref="G3" display="Amazon.com" r:id="rId8"/>
    <hyperlink ref="G9" display="Amazon.com" r:id="rId9"/>
    <hyperlink ref="G11" display="Amazon.com" r:id="rId10"/>
    <hyperlink ref="G6" display="Amazon.com" r:id="rId11"/>
    <hyperlink ref="G5" display="Amazon.com" r:id="rId12"/>
  </hyperlinks>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9"/>
    <col collapsed="false" customWidth="true" hidden="false" max="3" min="3" style="0" width="9"/>
    <col collapsed="false" customWidth="true" hidden="false" max="4" min="4" style="0" width="9"/>
    <col collapsed="false" customWidth="true" hidden="false" max="5" min="5" style="0" width="9"/>
    <col collapsed="false" customWidth="true" hidden="false" max="6" min="6" style="0" width="9"/>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9"/>
    <col collapsed="false" customWidth="true" hidden="false" max="11" min="11" style="0" width="9"/>
    <col collapsed="false" customWidth="true" hidden="false" max="12" min="12" style="0" width="9"/>
    <col collapsed="false" customWidth="true" hidden="false" max="13" min="13" style="0" width="9"/>
    <col collapsed="false" customWidth="true" hidden="false" max="14" min="14" style="0" width="9"/>
    <col collapsed="false" customWidth="true" hidden="false" max="15" min="15" style="0" width="9"/>
    <col collapsed="false" customWidth="true" hidden="false" max="16" min="16" style="0" width="29"/>
    <col collapsed="false" customWidth="true" hidden="false" max="17" min="17" style="0" width="9"/>
    <col collapsed="false" customWidth="true" hidden="false" max="18" min="18" style="0" width="9"/>
    <col collapsed="false" customWidth="true" hidden="false" max="19" min="19" style="0" width="9"/>
    <col collapsed="false" customWidth="true" hidden="false" max="20" min="20" style="0" width="9"/>
  </cols>
  <sheetData>
    <row customHeight="true" ht="26" r="1">
      <c r="A1" s="332" t="str">
        <v>标题</v>
      </c>
      <c r="B1" s="332" t="str">
        <v>产品链接</v>
      </c>
      <c r="C1" s="332" t="str">
        <v>ASIN</v>
      </c>
      <c r="D1" s="332" t="str">
        <v>原价</v>
      </c>
      <c r="E1" s="332" t="str">
        <v>折后价</v>
      </c>
      <c r="F1" s="332" t="str">
        <v>折扣码</v>
      </c>
      <c r="G1" s="332" t="str">
        <v>折扣力度</v>
      </c>
      <c r="H1" s="332" t="str">
        <v>其他叠加优惠</v>
      </c>
      <c r="I1" s="332" t="str">
        <v>资源名称</v>
      </c>
      <c r="J1" s="332" t="str">
        <v>资源链接</v>
      </c>
      <c r="K1" s="334" t="str">
        <v>费用</v>
      </c>
      <c r="L1" s="332" t="str">
        <v>状态</v>
      </c>
      <c r="M1" s="332" t="str">
        <v>帖子链接</v>
      </c>
      <c r="N1" s="332" t="str">
        <v>上帖图片</v>
      </c>
      <c r="O1" s="332" t="str">
        <v>失败原因</v>
      </c>
      <c r="P1" s="332" t="str">
        <v>下单时间</v>
      </c>
      <c r="Q1" s="332" t="str">
        <v>接单时间</v>
      </c>
      <c r="R1" s="332" t="str">
        <v>上帖时间</v>
      </c>
      <c r="S1" s="332" t="str">
        <v>退款时间</v>
      </c>
    </row>
    <row customHeight="true" ht="26" r="2">
      <c r="A2" s="332" t="str">
        <v>4K Dash Cam Front Built-in WiFi, WANLIPO Dash Camera for Cars with 64GB SD Card App Control</v>
      </c>
      <c r="B2" s="332" t="str">
        <v>https://www.amazon.com/promocode/A1DX8GZASC5MLT</v>
      </c>
      <c r="C2" s="332" t="str">
        <v>B0CC8CHTTJ</v>
      </c>
      <c r="D2" s="332" t="str">
        <v>$99.99</v>
      </c>
      <c r="E2" s="332" t="str">
        <v>$31.99</v>
      </c>
      <c r="F2" s="332" t="str">
        <v>68WHPID3</v>
      </c>
      <c r="G2" s="332">
        <v>68</v>
      </c>
      <c r="I2" s="332" t="str">
        <v>INSANE CHRISTMAS DEALS, Forking Good Deals</v>
      </c>
      <c r="J2" s="335" t="s">
        <v>17</v>
      </c>
      <c r="K2" s="334">
        <v>37</v>
      </c>
      <c r="L2" s="332" t="str">
        <v>已完成</v>
      </c>
      <c r="M2" s="335" t="s">
        <v>18</v>
      </c>
      <c r="P2" s="332" t="str">
        <v>2023-09-07 15:24:49</v>
      </c>
      <c r="Q2" s="332" t="str">
        <v>2023-09-07 18:22:38</v>
      </c>
      <c r="R2" s="332" t="str">
        <v>2023-09-08 11:44:55</v>
      </c>
    </row>
    <row customHeight="true" ht="14" r="3">
      <c r="A3" s="332" t="str">
        <v>4K Dash Cam Front Built-in WiFi, WANLIPO Dash Camera for Cars with 64GB SD Card App Control</v>
      </c>
      <c r="B3" s="332" t="str">
        <v>https://www.amazon.com/promocode/A1DX8GZASC5MLT</v>
      </c>
      <c r="C3" s="332" t="str">
        <v>B0CC8CHTTJ</v>
      </c>
      <c r="D3" s="332" t="str">
        <v>$99.99</v>
      </c>
      <c r="E3" s="332" t="str">
        <v>$31.99</v>
      </c>
      <c r="F3" s="332" t="str">
        <v>68WHPID3</v>
      </c>
      <c r="G3" s="332">
        <v>68</v>
      </c>
      <c r="I3" s="332" t="str">
        <v>Saving With Joy- Online Deals and Giveaways</v>
      </c>
      <c r="J3" s="335" t="s">
        <v>17</v>
      </c>
      <c r="K3" s="334">
        <v>14</v>
      </c>
      <c r="L3" s="332" t="str">
        <v>已完成</v>
      </c>
      <c r="M3" s="335" t="s">
        <v>18</v>
      </c>
      <c r="P3" s="332" t="str">
        <v>2023-09-07 15:24:49</v>
      </c>
      <c r="Q3" s="332" t="str">
        <v>2023-09-07 16:49:59</v>
      </c>
      <c r="R3" s="332" t="str">
        <v>2023-09-08 13:42:22</v>
      </c>
    </row>
    <row customHeight="true" ht="14" r="4">
      <c r="A4" s="332" t="str">
        <v>4K Dash Cam Front Built-in WiFi, WANLIPO Dash Camera for Cars with 64GB SD Card App Control</v>
      </c>
      <c r="B4" s="332" t="str">
        <v>https://www.amazon.com/promocode/A1DX8GZASC5MLT</v>
      </c>
      <c r="C4" s="332" t="str">
        <v>B0CC8CHTTJ</v>
      </c>
      <c r="D4" s="332" t="str">
        <v>$99.99</v>
      </c>
      <c r="E4" s="332" t="str">
        <v>$31.99</v>
      </c>
      <c r="F4" s="332" t="str">
        <v>68WHPID3</v>
      </c>
      <c r="G4" s="332">
        <v>68</v>
      </c>
      <c r="I4" s="332" t="str">
        <v>The Frugal SAHM | Deals &amp; Discounts for Moms + Babies</v>
      </c>
      <c r="J4" s="335" t="s">
        <v>17</v>
      </c>
      <c r="K4" s="334">
        <v>30</v>
      </c>
      <c r="L4" s="332" t="str">
        <v>已完成</v>
      </c>
      <c r="M4" s="335" t="s">
        <v>18</v>
      </c>
      <c r="P4" s="332" t="str">
        <v>2023-09-07 15:24:49</v>
      </c>
      <c r="Q4" s="332" t="str">
        <v>2023-09-07 18:10:10</v>
      </c>
      <c r="R4" s="332" t="str">
        <v>2023-09-09 03:49:38</v>
      </c>
    </row>
    <row customHeight="true" ht="14" r="5">
      <c r="A5" s="332" t="str">
        <v>4K Dash Cam Front Built-in WiFi, WANLIPO Dash Camera for Cars with 64GB SD Card App Control</v>
      </c>
      <c r="B5" s="332" t="str">
        <v>https://www.amazon.com/promocode/A1DX8GZASC5MLT</v>
      </c>
      <c r="C5" s="332" t="str">
        <v>B0CC8CHTTJ</v>
      </c>
      <c r="D5" s="332" t="str">
        <v>$99.99</v>
      </c>
      <c r="E5" s="332" t="str">
        <v>$31.99</v>
      </c>
      <c r="F5" s="332" t="str">
        <v>68WHPID3</v>
      </c>
      <c r="G5" s="332">
        <v>68</v>
      </c>
      <c r="I5" s="332" t="str">
        <v>Leave it on the Porch</v>
      </c>
      <c r="J5" s="335" t="s">
        <v>17</v>
      </c>
      <c r="K5" s="334">
        <v>63</v>
      </c>
      <c r="L5" s="332" t="str">
        <v>已完成</v>
      </c>
      <c r="M5" s="335" t="s">
        <v>18</v>
      </c>
      <c r="P5" s="332" t="str">
        <v>2023-09-07 15:24:49</v>
      </c>
      <c r="Q5" s="332" t="str">
        <v>2023-09-07 15:34:15</v>
      </c>
      <c r="R5" s="332" t="str">
        <v>2023-09-08 09:11:21</v>
      </c>
    </row>
    <row customHeight="true" ht="14" r="6">
      <c r="A6" s="332" t="str">
        <v>4K Dash Cam Front Built-in WiFi, WANLIPO Dash Camera for Cars with 64GB SD Card App Control</v>
      </c>
      <c r="B6" s="332" t="str">
        <v>https://www.amazon.com/promocode/A1DX8GZASC5MLT</v>
      </c>
      <c r="C6" s="332" t="str">
        <v>B0CC8CHTTJ</v>
      </c>
      <c r="D6" s="332" t="str">
        <v>$99.99</v>
      </c>
      <c r="E6" s="332" t="str">
        <v>$31.99</v>
      </c>
      <c r="F6" s="332" t="str">
        <v>68WHPID3</v>
      </c>
      <c r="G6" s="332">
        <v>68</v>
      </c>
      <c r="I6" s="332" t="str">
        <v>Nats daily deals and codes</v>
      </c>
      <c r="J6" s="335" t="s">
        <v>17</v>
      </c>
      <c r="K6" s="334">
        <v>32</v>
      </c>
      <c r="L6" s="332" t="str">
        <v>已取消/退款</v>
      </c>
      <c r="O6" s="332" t="str">
        <v>未入选</v>
      </c>
      <c r="P6" s="332" t="str">
        <v>2023-09-07 15:24:49</v>
      </c>
      <c r="Q6" s="332" t="str">
        <v>2023-09-07 18:13:47</v>
      </c>
      <c r="S6" s="332" t="str">
        <v>2023-09-13 15:39:13</v>
      </c>
    </row>
    <row customHeight="true" ht="14" r="7">
      <c r="A7" s="332" t="str">
        <v>4K Dash Cam Front Built-in WiFi, WANLIPO Dash Camera for Cars with 64GB SD Card App Control</v>
      </c>
      <c r="B7" s="332" t="str">
        <v>https://www.amazon.com/promocode/A1DX8GZASC5MLT</v>
      </c>
      <c r="C7" s="332" t="str">
        <v>B0CC8CHTTJ</v>
      </c>
      <c r="D7" s="332" t="str">
        <v>$99.99</v>
      </c>
      <c r="E7" s="332" t="str">
        <v>$31.99</v>
      </c>
      <c r="F7" s="332" t="str">
        <v>68WHPID3</v>
      </c>
      <c r="G7" s="332">
        <v>68</v>
      </c>
      <c r="I7" s="332" t="str">
        <v>Bomb Deals - Promo Codes - Coupons</v>
      </c>
      <c r="J7" s="335" t="s">
        <v>17</v>
      </c>
      <c r="K7" s="334">
        <v>32</v>
      </c>
      <c r="L7" s="332" t="str">
        <v>已完成</v>
      </c>
      <c r="M7" s="335" t="s">
        <v>18</v>
      </c>
      <c r="P7" s="332" t="str">
        <v>2023-09-07 15:24:49</v>
      </c>
      <c r="Q7" s="332" t="str">
        <v>2023-09-07 22:32:59</v>
      </c>
      <c r="R7" s="332" t="str">
        <v>2023-09-08 10:43:22</v>
      </c>
    </row>
    <row customHeight="true" ht="14" r="8">
      <c r="A8" s="332" t="str">
        <v>4K Dash Cam Front Built-in WiFi, WANLIPO Dash Camera for Cars with 64GB SD Card App Control</v>
      </c>
      <c r="B8" s="332" t="str">
        <v>https://www.amazon.com/promocode/A1DX8GZASC5MLT</v>
      </c>
      <c r="C8" s="332" t="str">
        <v>B0CC8CHTTJ</v>
      </c>
      <c r="D8" s="332" t="str">
        <v>$99.99</v>
      </c>
      <c r="E8" s="332" t="str">
        <v>$31.99</v>
      </c>
      <c r="F8" s="332" t="str">
        <v>68WHPID3</v>
      </c>
      <c r="G8" s="332">
        <v>68</v>
      </c>
      <c r="I8" s="332" t="str">
        <v>Oopsie Deals</v>
      </c>
      <c r="J8" s="335" t="s">
        <v>17</v>
      </c>
      <c r="K8" s="334">
        <v>49</v>
      </c>
      <c r="L8" s="332" t="str">
        <v>已完成</v>
      </c>
      <c r="N8" s="335" t="s">
        <v>19</v>
      </c>
      <c r="P8" s="332" t="str">
        <v>2023-09-07 15:24:49</v>
      </c>
      <c r="Q8" s="332" t="str">
        <v>2023-09-07 15:27:44</v>
      </c>
      <c r="R8" s="332" t="str">
        <v>2023-09-08 09:53:51</v>
      </c>
    </row>
    <row customHeight="true" ht="14" r="9">
      <c r="A9" s="332" t="str">
        <v>4K Dash Cam Front Built-in WiFi, WANLIPO Dash Camera for Cars with 64GB SD Card App Control</v>
      </c>
      <c r="B9" s="332" t="str">
        <v>https://www.amazon.com/promocode/A1DX8GZASC5MLT</v>
      </c>
      <c r="C9" s="332" t="str">
        <v>B0CC8CHTTJ</v>
      </c>
      <c r="D9" s="332" t="str">
        <v>$99.99</v>
      </c>
      <c r="E9" s="332" t="str">
        <v>$31.99</v>
      </c>
      <c r="F9" s="332" t="str">
        <v>68WHPID3</v>
      </c>
      <c r="G9" s="332">
        <v>68</v>
      </c>
      <c r="I9" s="332" t="str">
        <v>Dysautomama Deals</v>
      </c>
      <c r="J9" s="335" t="s">
        <v>17</v>
      </c>
      <c r="K9" s="334">
        <v>24</v>
      </c>
      <c r="L9" s="332" t="str">
        <v>已完成</v>
      </c>
      <c r="M9" s="335" t="s">
        <v>18</v>
      </c>
      <c r="P9" s="332" t="str">
        <v>2023-09-07 15:24:49</v>
      </c>
      <c r="Q9" s="332" t="str">
        <v>2023-09-07 16:25:17</v>
      </c>
      <c r="R9" s="332" t="str">
        <v>2023-09-08 15:28:24</v>
      </c>
    </row>
    <row customHeight="true" ht="14" r="10">
      <c r="A10" s="332" t="str">
        <v>4K Dash Cam Front Built-in WiFi, WANLIPO Dash Camera for Cars with 64GB SD Card App Control</v>
      </c>
      <c r="B10" s="332" t="str">
        <v>https://www.amazon.com/promocode/A1DX8GZASC5MLT</v>
      </c>
      <c r="C10" s="332" t="str">
        <v>B0CC8CHTTJ</v>
      </c>
      <c r="D10" s="332" t="str">
        <v>$99.99</v>
      </c>
      <c r="E10" s="332" t="str">
        <v>$31.99</v>
      </c>
      <c r="F10" s="332" t="str">
        <v>68WHPID3</v>
      </c>
      <c r="G10" s="332">
        <v>68</v>
      </c>
      <c r="I10" s="332" t="str">
        <v>Gretchen's Adventures Deals</v>
      </c>
      <c r="J10" s="335" t="s">
        <v>17</v>
      </c>
      <c r="K10" s="334">
        <v>14</v>
      </c>
      <c r="L10" s="332" t="str">
        <v>已取消/退款</v>
      </c>
      <c r="O10" s="332" t="str">
        <v>未入选</v>
      </c>
      <c r="P10" s="332" t="str">
        <v>2023-09-07 15:24:49</v>
      </c>
      <c r="Q10" s="332" t="str">
        <v>2023-09-07 18:16:12</v>
      </c>
      <c r="S10" s="332" t="str">
        <v>2023-09-08 18:19:33</v>
      </c>
    </row>
    <row customHeight="true" ht="14" r="11">
      <c r="A11" s="332" t="str">
        <v>4K Dash Cam Front Built-in WiFi, WANLIPO Dash Camera for Cars with 64GB SD Card App Control</v>
      </c>
      <c r="B11" s="332" t="str">
        <v>https://www.amazon.com/promocode/A1DX8GZASC5MLT</v>
      </c>
      <c r="C11" s="332" t="str">
        <v>B0CC8CHTTJ</v>
      </c>
      <c r="D11" s="332" t="str">
        <v>$99.99</v>
      </c>
      <c r="E11" s="332" t="str">
        <v>$31.99</v>
      </c>
      <c r="F11" s="332" t="str">
        <v>68WHPID3</v>
      </c>
      <c r="G11" s="332">
        <v>68</v>
      </c>
      <c r="I11" s="332" t="str">
        <v>Ohana Farmhouse 🌺 Daily Deals &amp; Steals</v>
      </c>
      <c r="J11" s="335" t="s">
        <v>17</v>
      </c>
      <c r="K11" s="334">
        <v>28</v>
      </c>
      <c r="L11" s="332" t="str">
        <v>已完成</v>
      </c>
      <c r="M11" s="335" t="s">
        <v>18</v>
      </c>
      <c r="P11" s="332" t="str">
        <v>2023-09-07 15:24:49</v>
      </c>
      <c r="Q11" s="332" t="str">
        <v>2023-09-07 16:18:35</v>
      </c>
      <c r="R11" s="332" t="str">
        <v>2023-09-08 23:27:38</v>
      </c>
    </row>
    <row customHeight="true" ht="14" r="12">
      <c r="A12" s="332" t="str">
        <v>4K Dash Cam Front Built-in WiFi, WANLIPO Dash Camera for Cars with 64GB SD Card App Control</v>
      </c>
      <c r="B12" s="332" t="str">
        <v>https://www.amazon.com/promocode/A6V41M33IJCOY</v>
      </c>
      <c r="C12" s="332" t="str">
        <v>-</v>
      </c>
      <c r="D12" s="332" t="str">
        <v>$99.99</v>
      </c>
      <c r="E12" s="332" t="str">
        <v>$31.99</v>
      </c>
      <c r="F12" s="332" t="str">
        <v>685AXW4O</v>
      </c>
      <c r="G12" s="332">
        <v>68</v>
      </c>
      <c r="I12" s="332" t="str">
        <v>HarcarSisters - (Deals &amp; Steals)</v>
      </c>
      <c r="J12" s="335" t="s">
        <v>17</v>
      </c>
      <c r="K12" s="334">
        <v>22</v>
      </c>
      <c r="L12" s="332" t="str">
        <v>已取消/退款</v>
      </c>
      <c r="O12" s="332" t="str">
        <v>管理员超时不回复</v>
      </c>
      <c r="P12" s="332" t="str">
        <v>2023-09-08 12:05:34</v>
      </c>
      <c r="S12" s="332" t="str">
        <v>2023-09-10 18:13:38</v>
      </c>
    </row>
    <row customHeight="true" ht="14" r="13">
      <c r="A13" s="332" t="str">
        <v>4K Dash Cam Front Built-in WiFi, WANLIPO Dash Camera for Cars with 64GB SD Card App Control</v>
      </c>
      <c r="B13" s="332" t="str">
        <v>https://www.amazon.com/promocode/A6V41M33IJCOY</v>
      </c>
      <c r="C13" s="332" t="str">
        <v>-</v>
      </c>
      <c r="D13" s="332" t="str">
        <v>$99.99</v>
      </c>
      <c r="E13" s="332" t="str">
        <v>$31.99</v>
      </c>
      <c r="F13" s="332" t="str">
        <v>685AXW4O</v>
      </c>
      <c r="G13" s="332">
        <v>68</v>
      </c>
      <c r="I13" s="332" t="str">
        <v>Compras toxicas con la patrona</v>
      </c>
      <c r="J13" s="335" t="s">
        <v>17</v>
      </c>
      <c r="K13" s="334">
        <v>25</v>
      </c>
      <c r="L13" s="332" t="str">
        <v>已完成</v>
      </c>
      <c r="N13" s="335" t="s">
        <v>19</v>
      </c>
      <c r="P13" s="332" t="str">
        <v>2023-09-08 12:05:34</v>
      </c>
      <c r="Q13" s="332" t="str">
        <v>2023-09-08 23:37:45</v>
      </c>
      <c r="R13" s="332" t="str">
        <v>2023-09-09 10:11:14</v>
      </c>
    </row>
    <row customHeight="true" ht="14" r="14">
      <c r="A14" s="332" t="str">
        <v>4K Dash Cam Front Built-in WiFi, WANLIPO Dash Camera for Cars with 64GB SD Card App Control</v>
      </c>
      <c r="B14" s="332" t="str">
        <v>https://www.amazon.com/promocode/A6V41M33IJCOY</v>
      </c>
      <c r="C14" s="332" t="str">
        <v>-</v>
      </c>
      <c r="D14" s="332" t="str">
        <v>$99.99</v>
      </c>
      <c r="E14" s="332" t="str">
        <v>$31.99</v>
      </c>
      <c r="F14" s="332" t="str">
        <v>685AXW4O</v>
      </c>
      <c r="G14" s="332">
        <v>68</v>
      </c>
      <c r="I14" s="332" t="str">
        <v>Kristen's Deals and Discounts</v>
      </c>
      <c r="J14" s="335" t="s">
        <v>17</v>
      </c>
      <c r="K14" s="334">
        <v>17</v>
      </c>
      <c r="L14" s="332" t="str">
        <v>已取消/退款</v>
      </c>
      <c r="O14" s="332" t="str">
        <v>未入选</v>
      </c>
      <c r="P14" s="332" t="str">
        <v>2023-09-08 12:05:34</v>
      </c>
      <c r="Q14" s="332" t="str">
        <v>2023-09-08 18:20:51</v>
      </c>
      <c r="S14" s="332" t="str">
        <v>2023-09-09 12:12:40</v>
      </c>
    </row>
    <row customHeight="true" ht="14" r="15">
      <c r="A15" s="332" t="str">
        <v>4K Dash Cam Front Built-in WiFi, WANLIPO Dash Camera for Cars with 64GB SD Card App Control</v>
      </c>
      <c r="B15" s="332" t="str">
        <v>https://www.amazon.com/promocode/A6V41M33IJCOY</v>
      </c>
      <c r="C15" s="332" t="str">
        <v>-</v>
      </c>
      <c r="D15" s="332" t="str">
        <v>$99.99</v>
      </c>
      <c r="E15" s="332" t="str">
        <v>$31.99</v>
      </c>
      <c r="F15" s="332" t="str">
        <v>685AXW4O</v>
      </c>
      <c r="G15" s="332">
        <v>68</v>
      </c>
      <c r="I15" s="332" t="str">
        <v>Sales-aholic.com Deals, Glitches, &amp; Free Things</v>
      </c>
      <c r="J15" s="335" t="s">
        <v>17</v>
      </c>
      <c r="K15" s="334">
        <v>80</v>
      </c>
      <c r="L15" s="332" t="str">
        <v>已完成</v>
      </c>
      <c r="M15" s="335" t="s">
        <v>18</v>
      </c>
      <c r="P15" s="332" t="str">
        <v>2023-09-08 12:05:34</v>
      </c>
      <c r="Q15" s="332" t="str">
        <v>2023-09-08 14:15:56</v>
      </c>
      <c r="R15" s="332" t="str">
        <v>2023-09-09 07:14:41</v>
      </c>
    </row>
    <row customHeight="true" ht="14" r="16">
      <c r="A16" s="332" t="str">
        <v>4K Dash Cam Front Built-in WiFi, WANLIPO Dash Camera for Cars with 64GB SD Card App Control</v>
      </c>
      <c r="B16" s="332" t="str">
        <v>https://www.amazon.com/promocode/A6V41M33IJCOY</v>
      </c>
      <c r="C16" s="332" t="str">
        <v>-</v>
      </c>
      <c r="D16" s="332" t="str">
        <v>$99.99</v>
      </c>
      <c r="E16" s="332" t="str">
        <v>$31.99</v>
      </c>
      <c r="F16" s="332" t="str">
        <v>685AXW4O</v>
      </c>
      <c r="G16" s="332">
        <v>68</v>
      </c>
      <c r="I16" s="332" t="str">
        <v>Jackie's Fun Finds</v>
      </c>
      <c r="J16" s="335" t="s">
        <v>17</v>
      </c>
      <c r="K16" s="334">
        <v>51</v>
      </c>
      <c r="L16" s="332" t="str">
        <v>已取消/退款</v>
      </c>
      <c r="O16" s="332" t="str">
        <v>未入选</v>
      </c>
      <c r="P16" s="332" t="str">
        <v>2023-09-08 12:05:34</v>
      </c>
      <c r="Q16" s="332" t="str">
        <v>2023-09-08 18:18:53</v>
      </c>
      <c r="S16" s="332" t="str">
        <v>2023-09-09 14:09:58</v>
      </c>
    </row>
    <row customHeight="true" ht="14" r="17">
      <c r="A17" s="332" t="str">
        <v>4K Dash Cam Front Built-in WiFi, WANLIPO Dash Camera for Cars with 64GB SD Card App Control</v>
      </c>
      <c r="B17" s="332" t="str">
        <v>https://www.amazon.com/promocode/A6V41M33IJCOY</v>
      </c>
      <c r="C17" s="332" t="str">
        <v>-</v>
      </c>
      <c r="D17" s="332" t="str">
        <v>$99.99</v>
      </c>
      <c r="E17" s="332" t="str">
        <v>$31.99</v>
      </c>
      <c r="F17" s="332" t="str">
        <v>685AXW4O</v>
      </c>
      <c r="G17" s="332">
        <v>68</v>
      </c>
      <c r="I17" s="332" t="str">
        <v>Coupon with Nada</v>
      </c>
      <c r="J17" s="335" t="s">
        <v>17</v>
      </c>
      <c r="K17" s="334">
        <v>13</v>
      </c>
      <c r="L17" s="332" t="str">
        <v>已完成</v>
      </c>
      <c r="M17" s="335" t="s">
        <v>18</v>
      </c>
      <c r="P17" s="332" t="str">
        <v>2023-09-08 12:05:34</v>
      </c>
      <c r="Q17" s="332" t="str">
        <v>2023-09-08 19:25:02</v>
      </c>
      <c r="R17" s="332" t="str">
        <v>2023-09-11 09:06:26</v>
      </c>
    </row>
    <row customHeight="true" ht="14" r="18">
      <c r="A18" s="332" t="str">
        <v>4K Dash Cam Front Built-in WiFi, WANLIPO Dash Camera for Cars with 64GB SD Card App Control</v>
      </c>
      <c r="B18" s="332" t="str">
        <v>https://www.amazon.com/promocode/A6V41M33IJCOY</v>
      </c>
      <c r="C18" s="332" t="str">
        <v>-</v>
      </c>
      <c r="D18" s="332" t="str">
        <v>$99.99</v>
      </c>
      <c r="E18" s="332" t="str">
        <v>$31.99</v>
      </c>
      <c r="F18" s="332" t="str">
        <v>685AXW4O</v>
      </c>
      <c r="G18" s="332">
        <v>68</v>
      </c>
      <c r="I18" s="332" t="str">
        <v>Thrifty Babes®: The Shop Society</v>
      </c>
      <c r="J18" s="335" t="s">
        <v>17</v>
      </c>
      <c r="K18" s="334">
        <v>30</v>
      </c>
      <c r="L18" s="332" t="str">
        <v>已取消/退款</v>
      </c>
      <c r="O18" s="332" t="str">
        <v>未入选</v>
      </c>
      <c r="P18" s="332" t="str">
        <v>2023-09-08 12:05:34</v>
      </c>
      <c r="Q18" s="332" t="str">
        <v>2023-09-08 12:49:48</v>
      </c>
      <c r="S18" s="332" t="str">
        <v>2023-09-12 22:29:32</v>
      </c>
    </row>
    <row customHeight="true" ht="14" r="19">
      <c r="A19" s="332" t="str">
        <v>4K Dash Cam Front Built-in WiFi, WANLIPO Dash Camera for Cars with 64GB SD Card App Control</v>
      </c>
      <c r="B19" s="332" t="str">
        <v>https://www.amazon.com/promocode/A6V41M33IJCOY</v>
      </c>
      <c r="C19" s="332" t="str">
        <v>-</v>
      </c>
      <c r="D19" s="332" t="str">
        <v>$99.99</v>
      </c>
      <c r="E19" s="332" t="str">
        <v>$31.99</v>
      </c>
      <c r="F19" s="332" t="str">
        <v>685AXW4O</v>
      </c>
      <c r="G19" s="332">
        <v>68</v>
      </c>
      <c r="I19" s="332" t="str">
        <v>LaurenLovesDeals &amp; more!</v>
      </c>
      <c r="J19" s="335" t="s">
        <v>17</v>
      </c>
      <c r="K19" s="334">
        <v>47</v>
      </c>
      <c r="L19" s="332" t="str">
        <v>已取消/退款</v>
      </c>
      <c r="O19" s="332" t="str">
        <v>Reviews数量不足</v>
      </c>
      <c r="P19" s="332" t="str">
        <v>2023-09-08 12:05:34</v>
      </c>
      <c r="S19" s="332" t="str">
        <v>2023-09-08 13:09:33</v>
      </c>
    </row>
    <row customHeight="true" ht="14" r="20">
      <c r="A20" s="332" t="str">
        <v>4K Dash Cam Front Built-in WiFi, WANLIPO Dash Camera for Cars with 64GB SD Card App Control</v>
      </c>
      <c r="B20" s="332" t="str">
        <v>https://www.amazon.com/promocode/A6V41M33IJCOY</v>
      </c>
      <c r="C20" s="332" t="str">
        <v>-</v>
      </c>
      <c r="D20" s="332" t="str">
        <v>$99.99</v>
      </c>
      <c r="E20" s="332" t="str">
        <v>$31.99</v>
      </c>
      <c r="F20" s="332" t="str">
        <v>685AXW4O</v>
      </c>
      <c r="G20" s="332">
        <v>68</v>
      </c>
      <c r="I20" s="332" t="str">
        <v>Amazing - Deals &amp; Codes</v>
      </c>
      <c r="J20" s="335" t="s">
        <v>17</v>
      </c>
      <c r="K20" s="334">
        <v>15</v>
      </c>
      <c r="L20" s="332" t="str">
        <v>已取消/退款</v>
      </c>
      <c r="O20" s="332" t="str">
        <v>拼帖人要求退款</v>
      </c>
      <c r="P20" s="332" t="str">
        <v>2023-09-08 12:05:34</v>
      </c>
      <c r="Q20" s="332" t="str">
        <v>2023-09-08 19:24:03</v>
      </c>
      <c r="S20" s="332" t="str">
        <v>2023-09-13 20:13:33</v>
      </c>
    </row>
    <row customHeight="true" ht="14" r="21">
      <c r="A21" s="332" t="str">
        <v>4K Dash Cam Front Built-in WiFi, WANLIPO Dash Camera for Cars with 64GB SD Card App Control</v>
      </c>
      <c r="B21" s="332" t="str">
        <v>https://www.amazon.com/promocode/A6V41M33IJCOY</v>
      </c>
      <c r="C21" s="332" t="str">
        <v>-</v>
      </c>
      <c r="D21" s="332" t="str">
        <v>$99.99</v>
      </c>
      <c r="E21" s="332" t="str">
        <v>$31.99</v>
      </c>
      <c r="F21" s="332" t="str">
        <v>685AXW4O</v>
      </c>
      <c r="G21" s="332">
        <v>68</v>
      </c>
      <c r="I21" s="332" t="str">
        <v>Bullseye🎯on the Bargain</v>
      </c>
      <c r="J21" s="335" t="s">
        <v>17</v>
      </c>
      <c r="K21" s="334">
        <v>47</v>
      </c>
      <c r="L21" s="332" t="str">
        <v>已完成</v>
      </c>
      <c r="M21" s="335" t="s">
        <v>18</v>
      </c>
      <c r="P21" s="332" t="str">
        <v>2023-09-08 12:05:34</v>
      </c>
      <c r="Q21" s="332" t="str">
        <v>2023-09-08 18:10:20</v>
      </c>
      <c r="R21" s="332" t="str">
        <v>2023-09-11 14:06:40</v>
      </c>
    </row>
    <row customHeight="true" ht="14" r="22">
      <c r="A22" s="332" t="str">
        <v>4K Dash Cam Front Built-in WiFi, WANLIPO Dash Camera for Cars with 64GB SD Card App Control</v>
      </c>
      <c r="B22" s="332" t="str">
        <v>https://www.amazon.com/promocode/A6V41M33IJCOY</v>
      </c>
      <c r="C22" s="332" t="str">
        <v>-</v>
      </c>
      <c r="D22" s="332" t="str">
        <v>$99.99</v>
      </c>
      <c r="E22" s="332" t="str">
        <v>$31.99</v>
      </c>
      <c r="F22" s="332" t="str">
        <v>685AXW4O</v>
      </c>
      <c r="G22" s="332">
        <v>68</v>
      </c>
      <c r="I22" s="332" t="str">
        <v>KB's Deals™</v>
      </c>
      <c r="J22" s="335" t="s">
        <v>17</v>
      </c>
      <c r="K22" s="334">
        <v>28</v>
      </c>
      <c r="L22" s="332" t="str">
        <v>已取消/退款</v>
      </c>
      <c r="O22" s="332" t="str">
        <v>未入选</v>
      </c>
      <c r="P22" s="332" t="str">
        <v>2023-09-08 12:05:34</v>
      </c>
      <c r="Q22" s="332" t="str">
        <v>2023-09-08 12:42:32</v>
      </c>
      <c r="S22" s="332" t="str">
        <v>2023-09-12 20:36:32</v>
      </c>
    </row>
    <row customHeight="true" ht="14" r="23">
      <c r="A23" s="332" t="str">
        <v>4K Dash Cam Front Built-in WiFi, WANLIPO Dash Camera for Cars with 64GB SD Card App Control</v>
      </c>
      <c r="B23" s="332" t="str">
        <v>https://www.amazon.com/promocode/A6V41M33IJCOY</v>
      </c>
      <c r="C23" s="332" t="str">
        <v>-</v>
      </c>
      <c r="D23" s="332" t="str">
        <v>$99.99</v>
      </c>
      <c r="E23" s="332" t="str">
        <v>$31.99</v>
      </c>
      <c r="F23" s="332" t="str">
        <v>685AXW4O</v>
      </c>
      <c r="G23" s="332">
        <v>68</v>
      </c>
      <c r="I23" s="332" t="str">
        <v>🌷simply sales with Alyssa &amp; Sarah</v>
      </c>
      <c r="J23" s="335" t="s">
        <v>17</v>
      </c>
      <c r="K23" s="334">
        <v>39</v>
      </c>
      <c r="L23" s="332" t="str">
        <v>已完成</v>
      </c>
      <c r="M23" s="335" t="s">
        <v>18</v>
      </c>
      <c r="P23" s="332" t="str">
        <v>2023-09-08 12:05:34</v>
      </c>
      <c r="Q23" s="332" t="str">
        <v>2023-09-08 14:57:17</v>
      </c>
      <c r="R23" s="332" t="str">
        <v>2023-09-09 18:48:42</v>
      </c>
    </row>
    <row customHeight="true" ht="14" r="24">
      <c r="A24" s="332" t="str">
        <v>4K Dash Cam Front Built-in WiFi, WANLIPO Dash Camera for Cars with 64GB SD Card App Control</v>
      </c>
      <c r="B24" s="332" t="str">
        <v>https://www.amazon.com/promocode/A3KI4FHP7QJ2RZ</v>
      </c>
      <c r="C24" s="332" t="str">
        <v>B0CC8CHTTJ</v>
      </c>
      <c r="D24" s="332" t="str">
        <v>$99.99</v>
      </c>
      <c r="E24" s="332" t="str">
        <v>$31.99</v>
      </c>
      <c r="F24" s="332" t="str">
        <v>68Z5D8VU</v>
      </c>
      <c r="G24" s="332">
        <v>68</v>
      </c>
      <c r="I24" s="332" t="str">
        <v>LaurenLovesDeals &amp; more!</v>
      </c>
      <c r="J24" s="335" t="s">
        <v>17</v>
      </c>
      <c r="K24" s="334">
        <v>37</v>
      </c>
      <c r="L24" s="332" t="str">
        <v>已取消/退款</v>
      </c>
      <c r="O24" s="332" t="str">
        <v>未入选</v>
      </c>
      <c r="P24" s="332" t="str">
        <v>2023-09-09 11:16:31</v>
      </c>
      <c r="Q24" s="332" t="str">
        <v>2023-09-09 17:18:41</v>
      </c>
      <c r="S24" s="332" t="str">
        <v>2023-09-10 22:43:33</v>
      </c>
    </row>
    <row customHeight="true" ht="14" r="25">
      <c r="A25" s="332" t="str">
        <v>4K Dash Cam Front Built-in WiFi, WANLIPO Dash Camera for Cars with 64GB SD Card App Control</v>
      </c>
      <c r="B25" s="332" t="str">
        <v>https://www.amazon.com/promocode/A3KI4FHP7QJ2RZ</v>
      </c>
      <c r="C25" s="332" t="str">
        <v>B0CC8CHTTJ</v>
      </c>
      <c r="D25" s="332" t="str">
        <v>$99.99</v>
      </c>
      <c r="E25" s="332" t="str">
        <v>$31.99</v>
      </c>
      <c r="F25" s="332" t="str">
        <v>68Z5D8VU</v>
      </c>
      <c r="G25" s="332">
        <v>68</v>
      </c>
      <c r="I25" s="332" t="str">
        <v>The Glitch Witch - A Snarky Deals Group</v>
      </c>
      <c r="J25" s="335" t="s">
        <v>17</v>
      </c>
      <c r="K25" s="334">
        <v>36</v>
      </c>
      <c r="L25" s="332" t="str">
        <v>已完成</v>
      </c>
      <c r="M25" s="335" t="s">
        <v>18</v>
      </c>
      <c r="P25" s="332" t="str">
        <v>2023-09-09 11:16:31</v>
      </c>
      <c r="Q25" s="332" t="str">
        <v>2023-09-09 18:11:16</v>
      </c>
      <c r="R25" s="332" t="str">
        <v>2023-09-09 23:58:34</v>
      </c>
    </row>
    <row customHeight="true" ht="14" r="26">
      <c r="A26" s="332" t="str">
        <v>4K Dash Cam Front Built-in WiFi, WANLIPO Dash Camera for Cars with 64GB SD Card App Control</v>
      </c>
      <c r="B26" s="332" t="str">
        <v>https://www.amazon.com/promocode/A3KI4FHP7QJ2RZ</v>
      </c>
      <c r="C26" s="332" t="str">
        <v>B0CC8CHTTJ</v>
      </c>
      <c r="D26" s="332" t="str">
        <v>$99.99</v>
      </c>
      <c r="E26" s="332" t="str">
        <v>$31.99</v>
      </c>
      <c r="F26" s="332" t="str">
        <v>68Z5D8VU</v>
      </c>
      <c r="G26" s="332">
        <v>68</v>
      </c>
      <c r="I26" s="332" t="str">
        <v>Kristen's Deals and Discounts</v>
      </c>
      <c r="J26" s="335" t="s">
        <v>17</v>
      </c>
      <c r="K26" s="334">
        <v>17</v>
      </c>
      <c r="L26" s="332" t="str">
        <v>已取消/退款</v>
      </c>
      <c r="O26" s="332" t="str">
        <v>未入选</v>
      </c>
      <c r="P26" s="332" t="str">
        <v>2023-09-09 11:16:31</v>
      </c>
      <c r="Q26" s="332" t="str">
        <v>2023-09-09 18:10:39</v>
      </c>
      <c r="S26" s="332" t="str">
        <v>2023-09-12 12:32:38</v>
      </c>
    </row>
    <row customHeight="true" ht="14" r="27">
      <c r="A27" s="332" t="str">
        <v>4K Dash Cam Front Built-in WiFi, WANLIPO Dash Camera for Cars with 64GB SD Card App Control</v>
      </c>
      <c r="B27" s="332" t="str">
        <v>https://www.amazon.com/promocode/A3KI4FHP7QJ2RZ</v>
      </c>
      <c r="C27" s="332" t="str">
        <v>B0CC8CHTTJ</v>
      </c>
      <c r="D27" s="332" t="str">
        <v>$99.99</v>
      </c>
      <c r="E27" s="332" t="str">
        <v>$31.99</v>
      </c>
      <c r="F27" s="332" t="str">
        <v>68Z5D8VU</v>
      </c>
      <c r="G27" s="332">
        <v>68</v>
      </c>
      <c r="I27" s="332" t="str">
        <v>HarcarSisters - (Deals &amp; Steals)</v>
      </c>
      <c r="J27" s="335" t="s">
        <v>17</v>
      </c>
      <c r="K27" s="334">
        <v>28</v>
      </c>
      <c r="L27" s="332" t="str">
        <v>已取消/退款</v>
      </c>
      <c r="O27" s="332" t="str">
        <v>未入选</v>
      </c>
      <c r="P27" s="332" t="str">
        <v>2023-09-09 11:16:31</v>
      </c>
      <c r="Q27" s="332" t="str">
        <v>2023-09-09 14:42:00</v>
      </c>
      <c r="S27" s="332" t="str">
        <v>2023-09-13 20:05:36</v>
      </c>
    </row>
    <row customHeight="true" ht="14" r="28">
      <c r="A28" s="332" t="str">
        <v>4K Dash Cam Front Built-in WiFi, WANLIPO Dash Camera for Cars with 64GB SD Card App Control</v>
      </c>
      <c r="B28" s="332" t="str">
        <v>https://www.amazon.com/promocode/A3KI4FHP7QJ2RZ</v>
      </c>
      <c r="C28" s="332" t="str">
        <v>B0CC8CHTTJ</v>
      </c>
      <c r="D28" s="332" t="str">
        <v>$99.99</v>
      </c>
      <c r="E28" s="332" t="str">
        <v>$31.99</v>
      </c>
      <c r="F28" s="332" t="str">
        <v>68Z5D8VU</v>
      </c>
      <c r="G28" s="332">
        <v>68</v>
      </c>
      <c r="I28" s="332" t="str">
        <v>Thrifty Babes®: The Shop Society</v>
      </c>
      <c r="J28" s="335" t="s">
        <v>17</v>
      </c>
      <c r="K28" s="334">
        <v>30</v>
      </c>
      <c r="L28" s="332" t="str">
        <v>已取消/退款</v>
      </c>
      <c r="O28" s="332" t="str">
        <v>未入选</v>
      </c>
      <c r="P28" s="332" t="str">
        <v>2023-09-09 11:16:31</v>
      </c>
      <c r="Q28" s="332" t="str">
        <v>2023-09-09 14:41:20</v>
      </c>
      <c r="S28" s="332" t="str">
        <v>2023-09-12 22:29:33</v>
      </c>
    </row>
    <row customHeight="true" ht="14" r="29">
      <c r="A29" s="332" t="str">
        <v>4K Dash Cam Front Built-in WiFi, WANLIPO Dash Camera for Cars with 64GB SD Card App Control</v>
      </c>
      <c r="B29" s="332" t="str">
        <v>https://www.amazon.com/promocode/A3KI4FHP7QJ2RZ</v>
      </c>
      <c r="C29" s="332" t="str">
        <v>B0CC8CHTTJ</v>
      </c>
      <c r="D29" s="332" t="str">
        <v>$99.99</v>
      </c>
      <c r="E29" s="332" t="str">
        <v>$31.99</v>
      </c>
      <c r="F29" s="332" t="str">
        <v>68Z5D8VU</v>
      </c>
      <c r="G29" s="332">
        <v>68</v>
      </c>
      <c r="I29" s="332" t="str">
        <v>BUT It Was On Sale..💥💥</v>
      </c>
      <c r="J29" s="335" t="s">
        <v>17</v>
      </c>
      <c r="K29" s="334">
        <v>77</v>
      </c>
      <c r="L29" s="332" t="str">
        <v>已取消/退款</v>
      </c>
      <c r="O29" s="332" t="str">
        <v>未入选</v>
      </c>
      <c r="P29" s="332" t="str">
        <v>2023-09-09 11:16:31</v>
      </c>
      <c r="Q29" s="332" t="str">
        <v>2023-09-09 18:06:35</v>
      </c>
      <c r="S29" s="332" t="str">
        <v>2023-09-10 20:05:36</v>
      </c>
    </row>
    <row customHeight="true" ht="14" r="30">
      <c r="A30" s="332" t="str">
        <v>4K Dash Cam Front Built-in WiFi, WANLIPO Dash Camera for Cars with 64GB SD Card App Control</v>
      </c>
      <c r="B30" s="332" t="str">
        <v>https://www.amazon.com/promocode/A3KI4FHP7QJ2RZ</v>
      </c>
      <c r="C30" s="332" t="str">
        <v>B0CC8CHTTJ</v>
      </c>
      <c r="D30" s="332" t="str">
        <v>$99.99</v>
      </c>
      <c r="E30" s="332" t="str">
        <v>$31.99</v>
      </c>
      <c r="F30" s="332" t="str">
        <v>68Z5D8VU</v>
      </c>
      <c r="G30" s="332">
        <v>68</v>
      </c>
      <c r="I30" s="332" t="str">
        <v>Mommy &amp; Me Deals</v>
      </c>
      <c r="J30" s="335" t="s">
        <v>17</v>
      </c>
      <c r="K30" s="334">
        <v>48</v>
      </c>
      <c r="L30" s="332" t="str">
        <v>已完成</v>
      </c>
      <c r="M30" s="335" t="s">
        <v>18</v>
      </c>
      <c r="P30" s="332" t="str">
        <v>2023-09-09 11:16:31</v>
      </c>
      <c r="Q30" s="332" t="str">
        <v>2023-09-09 17:19:45</v>
      </c>
      <c r="R30" s="332" t="str">
        <v>2023-09-11 22:55:21</v>
      </c>
    </row>
    <row customHeight="true" ht="14" r="31">
      <c r="A31" s="332" t="str">
        <v>4K Dash Cam Front Built-in WiFi, WANLIPO Dash Camera for Cars with 64GB SD Card App Control</v>
      </c>
      <c r="B31" s="332" t="str">
        <v>https://www.amazon.com/promocode/A3KI4FHP7QJ2RZ</v>
      </c>
      <c r="C31" s="332" t="str">
        <v>B0CC8CHTTJ</v>
      </c>
      <c r="D31" s="332" t="str">
        <v>$99.99</v>
      </c>
      <c r="E31" s="332" t="str">
        <v>$31.99</v>
      </c>
      <c r="F31" s="332" t="str">
        <v>68Z5D8VU</v>
      </c>
      <c r="G31" s="332">
        <v>68</v>
      </c>
      <c r="I31" s="332" t="str">
        <v>Kouponing With Katie</v>
      </c>
      <c r="J31" s="335" t="s">
        <v>17</v>
      </c>
      <c r="K31" s="334">
        <v>28</v>
      </c>
      <c r="L31" s="332" t="str">
        <v>已完成</v>
      </c>
      <c r="M31" s="335" t="s">
        <v>18</v>
      </c>
      <c r="P31" s="332" t="str">
        <v>2023-09-09 11:16:31</v>
      </c>
      <c r="Q31" s="332" t="str">
        <v>2023-09-09 18:12:13</v>
      </c>
      <c r="R31" s="332" t="str">
        <v>2023-09-10 09:36:07</v>
      </c>
    </row>
    <row customHeight="true" ht="14" r="32">
      <c r="A32" s="332" t="str">
        <v>4K Dash Cam Front Built-in WiFi, WANLIPO Dash Camera for Cars with 64GB SD Card App Control</v>
      </c>
      <c r="B32" s="332" t="str">
        <v>https://www.amazon.com/promocode/A3KI4FHP7QJ2RZ</v>
      </c>
      <c r="C32" s="332" t="str">
        <v>B0CC8CHTTJ</v>
      </c>
      <c r="D32" s="332" t="str">
        <v>$99.99</v>
      </c>
      <c r="E32" s="332" t="str">
        <v>$31.99</v>
      </c>
      <c r="F32" s="332" t="str">
        <v>68Z5D8VU</v>
      </c>
      <c r="G32" s="332">
        <v>68</v>
      </c>
      <c r="I32" s="332" t="str">
        <v>🍑 Peachy Keen Deals and Steals</v>
      </c>
      <c r="J32" s="335" t="s">
        <v>17</v>
      </c>
      <c r="K32" s="334">
        <v>30</v>
      </c>
      <c r="L32" s="332" t="str">
        <v>已取消/退款</v>
      </c>
      <c r="O32" s="332" t="str">
        <v>未入选</v>
      </c>
      <c r="P32" s="332" t="str">
        <v>2023-09-09 11:16:31</v>
      </c>
      <c r="Q32" s="332" t="str">
        <v>2023-09-09 14:43:07</v>
      </c>
      <c r="S32" s="332" t="str">
        <v>2023-09-11 19:40:40</v>
      </c>
    </row>
    <row customHeight="true" ht="14" r="33">
      <c r="A33" s="332" t="str">
        <v>4K Dash Cam Front Built-in WiFi, WANLIPO Dash Camera for Cars with 64GB SD Card App Control</v>
      </c>
      <c r="B33" s="332" t="str">
        <v>https://www.amazon.com/promocode/A3KI4FHP7QJ2RZ</v>
      </c>
      <c r="C33" s="332" t="str">
        <v>B0CC8CHTTJ</v>
      </c>
      <c r="D33" s="332" t="str">
        <v>$99.99</v>
      </c>
      <c r="E33" s="332" t="str">
        <v>$31.99</v>
      </c>
      <c r="F33" s="332" t="str">
        <v>68Z5D8VU</v>
      </c>
      <c r="G33" s="332">
        <v>68</v>
      </c>
      <c r="I33" s="332" t="str">
        <v>Savvy Money Saving Shopaholics Group</v>
      </c>
      <c r="J33" s="335" t="s">
        <v>17</v>
      </c>
      <c r="K33" s="334">
        <v>48</v>
      </c>
      <c r="L33" s="332" t="str">
        <v>进行中</v>
      </c>
      <c r="P33" s="332" t="str">
        <v>2023-09-09 11:16:31</v>
      </c>
      <c r="Q33" s="332" t="str">
        <v>2023-09-11 18:20:47</v>
      </c>
    </row>
    <row customHeight="true" ht="14" r="34">
      <c r="A34" s="332" t="str">
        <v>4K Dash Cam Front Built-in WiFi, WANLIPO Dash Camera for Cars with 64GB SD Card App Control</v>
      </c>
      <c r="B34" s="332" t="str">
        <v>https://www.amazon.com/promocode/A3KI4FHP7QJ2RZ</v>
      </c>
      <c r="C34" s="332" t="str">
        <v>B0CC8CHTTJ</v>
      </c>
      <c r="D34" s="332" t="str">
        <v>$99.99</v>
      </c>
      <c r="E34" s="332" t="str">
        <v>$31.99</v>
      </c>
      <c r="F34" s="332" t="str">
        <v>68Z5D8VU</v>
      </c>
      <c r="G34" s="332">
        <v>68</v>
      </c>
      <c r="I34" s="332" t="str">
        <v>Crazy Discount Codes</v>
      </c>
      <c r="J34" s="335" t="s">
        <v>17</v>
      </c>
      <c r="K34" s="334">
        <v>26</v>
      </c>
      <c r="L34" s="332" t="str">
        <v>已完成</v>
      </c>
      <c r="M34" s="335" t="s">
        <v>18</v>
      </c>
      <c r="P34" s="332" t="str">
        <v>2023-09-09 11:16:31</v>
      </c>
      <c r="Q34" s="332" t="str">
        <v>2023-09-11 10:40:36</v>
      </c>
      <c r="R34" s="332" t="str">
        <v>2023-09-11 11:59:28</v>
      </c>
    </row>
  </sheetData>
  <hyperlinks>
    <hyperlink ref="J13" display="查看链接" r:id="rId1"/>
    <hyperlink ref="J17" display="查看链接" r:id="rId2"/>
    <hyperlink ref="M5" display="查看帖子" r:id="rId3"/>
    <hyperlink ref="M21" display="查看帖子" r:id="rId4"/>
    <hyperlink ref="M30" display="查看帖子" r:id="rId5"/>
    <hyperlink ref="J9" display="查看链接" r:id="rId6"/>
    <hyperlink ref="J18" display="查看链接" r:id="rId7"/>
    <hyperlink ref="J3" display="查看链接" r:id="rId8"/>
    <hyperlink ref="M11" display="查看帖子" r:id="rId9"/>
    <hyperlink ref="N13" display="查看图片" r:id="rId10"/>
    <hyperlink ref="M31" display="查看帖子" r:id="rId11"/>
    <hyperlink ref="J34" display="查看链接" r:id="rId12"/>
    <hyperlink ref="J33" display="查看链接" r:id="rId13"/>
    <hyperlink ref="M2" display="查看帖子" r:id="rId14"/>
    <hyperlink ref="J28" display="查看链接" r:id="rId15"/>
    <hyperlink ref="J10" display="查看链接" r:id="rId16"/>
    <hyperlink ref="J26" display="查看链接" r:id="rId17"/>
    <hyperlink ref="J8" display="查看链接" r:id="rId18"/>
    <hyperlink ref="J5" display="查看链接" r:id="rId19"/>
    <hyperlink ref="J21" display="查看链接" r:id="rId20"/>
    <hyperlink ref="M3" display="查看帖子" r:id="rId21"/>
    <hyperlink ref="M7" display="查看帖子" r:id="rId22"/>
    <hyperlink ref="J16" display="查看链接" r:id="rId23"/>
    <hyperlink ref="J32" display="查看链接" r:id="rId24"/>
    <hyperlink ref="M17" display="查看帖子" r:id="rId25"/>
    <hyperlink ref="J4" display="查看链接" r:id="rId26"/>
    <hyperlink ref="J2" display="查看链接" r:id="rId27"/>
    <hyperlink ref="J7" display="查看链接" r:id="rId28"/>
    <hyperlink ref="J19" display="查看链接" r:id="rId29"/>
    <hyperlink ref="J24" display="查看链接" r:id="rId30"/>
    <hyperlink ref="J6" display="查看链接" r:id="rId31"/>
    <hyperlink ref="J15" display="查看链接" r:id="rId32"/>
    <hyperlink ref="M23" display="查看帖子" r:id="rId33"/>
    <hyperlink ref="J23" display="查看链接" r:id="rId34"/>
    <hyperlink ref="J25" display="查看链接" r:id="rId35"/>
    <hyperlink ref="J12" display="查看链接" r:id="rId36"/>
    <hyperlink ref="M15" display="查看帖子" r:id="rId37"/>
    <hyperlink ref="M34" display="查看帖子" r:id="rId38"/>
    <hyperlink ref="J30" display="查看链接" r:id="rId39"/>
    <hyperlink ref="J14" display="查看链接" r:id="rId40"/>
    <hyperlink ref="N8" display="查看图片" r:id="rId41"/>
    <hyperlink ref="J29" display="查看链接" r:id="rId42"/>
    <hyperlink ref="J22" display="查看链接" r:id="rId43"/>
    <hyperlink ref="M25" display="查看帖子" r:id="rId44"/>
    <hyperlink ref="M4" display="查看帖子" r:id="rId45"/>
    <hyperlink ref="J27" display="查看链接" r:id="rId46"/>
    <hyperlink ref="M9" display="查看帖子" r:id="rId47"/>
    <hyperlink ref="J11" display="查看链接" r:id="rId48"/>
    <hyperlink ref="J20" display="查看链接" r:id="rId49"/>
    <hyperlink ref="J31" display="查看链接" r:id="rId50"/>
  </hyperlink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5"/>
    <col collapsed="false" customWidth="true" hidden="false" max="2" min="2" style="0" width="45"/>
    <col collapsed="false" customWidth="true" hidden="false" max="3" min="3" style="0" width="45"/>
    <col collapsed="false" customWidth="true" hidden="false" max="4" min="4" style="0" width="45"/>
    <col collapsed="false" customWidth="true" hidden="false" max="5" min="5" style="0" width="45"/>
    <col collapsed="false" customWidth="true" hidden="false" max="6" min="6" style="0" width="45"/>
    <col collapsed="false" customWidth="true" hidden="false" max="7" min="7" style="0" width="45"/>
    <col collapsed="false" customWidth="true" hidden="false" max="8" min="8" style="0" width="45"/>
    <col collapsed="false" customWidth="true" hidden="false" max="9" min="9" style="0" width="45"/>
    <col collapsed="false" customWidth="true" hidden="false" max="10" min="10" style="0" width="45"/>
    <col collapsed="false" customWidth="true" hidden="false" max="11" min="11" style="0" width="45"/>
    <col collapsed="false" customWidth="true" hidden="false" max="12" min="12" style="0" width="45"/>
    <col collapsed="false" customWidth="true" hidden="false" max="13" min="13" style="0" width="45"/>
    <col collapsed="false" customWidth="true" hidden="false" max="14" min="14" style="0" width="45"/>
    <col collapsed="false" customWidth="true" hidden="false" max="15" min="15" style="0" width="45"/>
    <col collapsed="false" customWidth="true" hidden="false" max="16" min="16" style="0" width="45"/>
    <col collapsed="false" customWidth="true" hidden="false" max="17" min="17" style="0" width="45"/>
    <col collapsed="false" customWidth="true" hidden="false" max="18" min="18" style="0" width="45"/>
    <col collapsed="false" customWidth="true" hidden="false" max="19" min="19" style="0" width="45"/>
    <col collapsed="false" customWidth="true" hidden="false" max="20" min="20" style="0" width="45"/>
  </cols>
  <sheetData>
    <row customHeight="true" ht="16" r="1">
      <c r="A1" s="169" t="str">
        <v>否定精准</v>
      </c>
      <c r="B1" s="169" t="str">
        <v>否定词组</v>
      </c>
      <c r="C1" s="169" t="str">
        <v>品牌词</v>
      </c>
    </row>
    <row customHeight="true" ht="16" r="2">
      <c r="A2" s="332" t="str">
        <v>car screen</v>
      </c>
      <c r="B2" s="332" t="str">
        <v>monitor</v>
      </c>
      <c r="C2" s="169" t="str">
        <v>ring</v>
      </c>
    </row>
    <row customHeight="true" ht="16" r="3">
      <c r="A3" s="332" t="str">
        <v>4k monitor</v>
      </c>
      <c r="B3" s="332" t="str">
        <v>digital</v>
      </c>
      <c r="C3" s="332" t="str">
        <v>VIOFO</v>
      </c>
    </row>
    <row customHeight="true" ht="16" r="4">
      <c r="A4" s="332" t="str">
        <v>digital dash</v>
      </c>
      <c r="B4" s="332" t="str">
        <v>real</v>
      </c>
      <c r="C4" s="332" t="str">
        <v>VANTRUE</v>
      </c>
    </row>
    <row customHeight="true" ht="16" r="5">
      <c r="A5" s="332" t="str">
        <v>car wifi</v>
      </c>
      <c r="B5" s="332" t="str">
        <v>blackvue</v>
      </c>
      <c r="C5" s="332" t="str">
        <v>Thinkware</v>
      </c>
    </row>
    <row customHeight="true" ht="16" r="6">
      <c r="A6" s="332" t="str">
        <v>screen for car</v>
      </c>
      <c r="B6" s="169" t="str">
        <v>laser</v>
      </c>
      <c r="C6" s="332" t="str">
        <v>Blackvue</v>
      </c>
    </row>
    <row customHeight="true" ht="16" r="7">
      <c r="A7" s="332" t="str">
        <v>wifi for car</v>
      </c>
      <c r="B7" s="332" t="str">
        <v>jammer</v>
      </c>
      <c r="C7" s="332" t="str">
        <v>Garmin</v>
      </c>
    </row>
    <row customHeight="true" ht="16" r="8">
      <c r="A8" s="332" t="str">
        <v>parking sensor</v>
      </c>
      <c r="B8" s="169" t="str">
        <v>echo</v>
      </c>
      <c r="C8" s="332" t="str">
        <v>70mai</v>
      </c>
    </row>
    <row customHeight="true" ht="16" r="9">
      <c r="A9" s="332" t="str">
        <v>real car</v>
      </c>
      <c r="B9" s="169" t="str">
        <v>auto</v>
      </c>
      <c r="C9" s="332" t="str">
        <v>NEXT BASE</v>
      </c>
    </row>
    <row customHeight="true" ht="16" r="10">
      <c r="A10" s="332" t="str">
        <v>digital dashboard</v>
      </c>
      <c r="B10" s="332" t="str">
        <v>small</v>
      </c>
      <c r="C10" s="332" t="str">
        <v>REXING</v>
      </c>
    </row>
    <row customHeight="true" ht="16" r="11">
      <c r="A11" s="332" t="str">
        <v>4k monitors</v>
      </c>
      <c r="B11" s="332" t="str">
        <v>battery</v>
      </c>
      <c r="C11" s="332" t="str">
        <v>Blueskysea</v>
      </c>
    </row>
    <row customHeight="true" ht="16" r="12">
      <c r="A12" s="332" t="str">
        <v>car monitor</v>
      </c>
      <c r="B12" s="332" t="str">
        <v>filler</v>
      </c>
      <c r="C12" s="332" t="str">
        <v>IIWEY</v>
      </c>
    </row>
    <row customHeight="true" ht="16" r="13">
      <c r="A13" s="332" t="str">
        <v>4k ips monitor</v>
      </c>
      <c r="B13" s="169" t="str">
        <v>sticky</v>
      </c>
      <c r="C13" s="332" t="str">
        <v>AZDOME</v>
      </c>
    </row>
    <row customHeight="true" ht="16" r="14">
      <c r="A14" s="332" t="str">
        <v>thinkware</v>
      </c>
      <c r="B14" s="169" t="str">
        <v>fix</v>
      </c>
      <c r="C14" s="332" t="str">
        <v>ddpai</v>
      </c>
    </row>
    <row customHeight="true" ht="16" r="15">
      <c r="A15" s="332" t="str">
        <v>thinkware thinkware u1000</v>
      </c>
      <c r="B15" s="332" t="str">
        <v>saver</v>
      </c>
      <c r="C15" s="332" t="str">
        <v>FITCAMX</v>
      </c>
    </row>
    <row customHeight="true" ht="16" r="16">
      <c r="A16" s="332" t="str">
        <v>blackvue dr970x-2ch</v>
      </c>
      <c r="B16" s="332" t="str">
        <v>pack</v>
      </c>
      <c r="C16" s="332" t="str">
        <v>iZEEKER</v>
      </c>
    </row>
    <row customHeight="true" ht="16" r="17">
      <c r="A17" s="332" t="str">
        <v>laser jammer</v>
      </c>
      <c r="B17" s="332" t="str">
        <v>password</v>
      </c>
      <c r="C17" s="332" t="str">
        <v>Nexar</v>
      </c>
    </row>
    <row customHeight="true" ht="16" r="18">
      <c r="A18" s="332" t="str">
        <v>parking sensors for cars</v>
      </c>
      <c r="B18" s="169" t="str">
        <v>back</v>
      </c>
      <c r="C18" s="332" t="str">
        <v>Glucrean</v>
      </c>
    </row>
    <row customHeight="true" ht="16" r="19">
      <c r="A19" s="332" t="str">
        <v>monitor 4k</v>
      </c>
      <c r="B19" s="169" t="str">
        <v>rear</v>
      </c>
      <c r="C19" s="332" t="str">
        <v>PRUVEEO</v>
      </c>
    </row>
    <row customHeight="true" ht="16" r="20">
      <c r="A20" s="332" t="str">
        <v>control for</v>
      </c>
      <c r="B20" s="169" t="str">
        <v>front and rear</v>
      </c>
      <c r="C20" s="332" t="str">
        <v>REDTIGER</v>
      </c>
    </row>
    <row customHeight="true" ht="16" r="21">
      <c r="A21" s="332" t="str">
        <v>blackvue dr900x</v>
      </c>
      <c r="B21" s="337" t="str">
        <v>dual</v>
      </c>
      <c r="C21" s="332" t="str">
        <v>Z Z-EDGE</v>
      </c>
    </row>
    <row customHeight="true" ht="16" r="22">
      <c r="A22" s="332" t="str">
        <v>wifi card</v>
      </c>
      <c r="B22" s="169" t="str">
        <v>inside</v>
      </c>
      <c r="C22" s="332" t="str">
        <v>CHORTAU</v>
      </c>
    </row>
    <row customHeight="true" ht="16" r="23">
      <c r="A23" s="332" t="str">
        <v>front parking camera</v>
      </c>
      <c r="B23" s="169" t="str">
        <v>backup</v>
      </c>
      <c r="C23" s="332" t="str">
        <v>GOODTS</v>
      </c>
    </row>
    <row customHeight="true" ht="16" r="24">
      <c r="A24" s="332" t="str">
        <v>echo auto</v>
      </c>
      <c r="B24" s="169" t="str">
        <v>hidden</v>
      </c>
      <c r="C24" s="332" t="str">
        <v>Plozoe</v>
      </c>
    </row>
    <row customHeight="true" ht="16" r="25">
      <c r="A25" s="332" t="str">
        <v>thinkware f200 pro</v>
      </c>
      <c r="B25" s="169" t="str">
        <v>mini</v>
      </c>
      <c r="C25" s="332" t="str">
        <v>VSYSTO</v>
      </c>
    </row>
    <row customHeight="true" ht="16" r="26">
      <c r="A26" s="332" t="str">
        <v>dash cam sd card</v>
      </c>
      <c r="B26" s="169" t="str">
        <v>bluetooth</v>
      </c>
      <c r="C26" s="332" t="str">
        <v>Cobra</v>
      </c>
    </row>
    <row customHeight="true" ht="16" r="27">
      <c r="A27" s="332" t="str">
        <v>real cars</v>
      </c>
      <c r="B27" s="169" t="str">
        <v>radar</v>
      </c>
      <c r="C27" s="332" t="str">
        <v>COOAU</v>
      </c>
    </row>
    <row customHeight="true" ht="16" r="28">
      <c r="A28" s="332" t="str">
        <v>car front camera</v>
      </c>
      <c r="B28" s="169" t="str">
        <v>mirror</v>
      </c>
      <c r="C28" s="332" t="str">
        <v>navycrest</v>
      </c>
    </row>
    <row customHeight="true" ht="16" r="29">
      <c r="A29" s="332" t="str">
        <v>vehicle electronics</v>
      </c>
      <c r="B29" s="169" t="str">
        <v>safety</v>
      </c>
      <c r="C29" s="332" t="str">
        <v>RISERO</v>
      </c>
    </row>
    <row customHeight="true" ht="16" r="30">
      <c r="A30" s="332" t="str">
        <v>cordless dash cam</v>
      </c>
      <c r="B30" s="169" t="str">
        <v>security</v>
      </c>
      <c r="C30" s="332" t="str">
        <v>WOLFBOX</v>
      </c>
    </row>
    <row customHeight="true" ht="16" r="31">
      <c r="A31" s="332" t="str">
        <v>camera monitor</v>
      </c>
      <c r="B31" s="169" t="str">
        <v>front and inside</v>
      </c>
      <c r="C31" s="332" t="str">
        <v>Zhrmghg</v>
      </c>
    </row>
    <row customHeight="true" ht="16" r="32">
      <c r="A32" s="332" t="str">
        <v>small dash cam</v>
      </c>
      <c r="B32" s="169" t="str">
        <v>front and back</v>
      </c>
      <c r="C32" s="332">
        <v>360</v>
      </c>
    </row>
    <row customHeight="true" ht="16" r="33">
      <c r="A33" s="332" t="str">
        <v>vehicle</v>
      </c>
      <c r="B33" s="169" t="str">
        <v>front and backup</v>
      </c>
      <c r="C33" s="332" t="str">
        <v>ABASK</v>
      </c>
    </row>
    <row customHeight="true" ht="16" r="34">
      <c r="A34" s="332" t="str">
        <v>blue car</v>
      </c>
      <c r="B34" s="264" t="str">
        <v>pruveeo</v>
      </c>
      <c r="C34" s="332" t="str">
        <v>Amazon Renewed</v>
      </c>
    </row>
    <row customHeight="true" ht="16" r="35">
      <c r="A35" s="332" t="str">
        <v>dash cam battery pack</v>
      </c>
      <c r="B35" s="264" t="s">
        <v>21</v>
      </c>
      <c r="C35" s="332" t="str">
        <v>AXIL</v>
      </c>
    </row>
    <row customHeight="true" ht="16" r="36">
      <c r="A36" s="332" t="str">
        <v>sticky dash fix</v>
      </c>
      <c r="B36" s="264" t="str">
        <v>wifi for car</v>
      </c>
      <c r="C36" s="332" t="str">
        <v>Dongar Technologies</v>
      </c>
    </row>
    <row customHeight="true" ht="16" r="37">
      <c r="A37" s="332" t="str">
        <v>memory saver for car battery</v>
      </c>
      <c r="B37" s="264" t="s">
        <v>73</v>
      </c>
      <c r="C37" s="332" t="str">
        <v>dosili</v>
      </c>
    </row>
    <row customHeight="true" ht="16" r="38">
      <c r="A38" s="332" t="str">
        <v>wifi battery monitor</v>
      </c>
      <c r="B38" s="264" t="str">
        <v>ring</v>
      </c>
      <c r="C38" s="332" t="str">
        <v>FocuWay</v>
      </c>
    </row>
    <row customHeight="true" ht="16" r="39">
      <c r="A39" s="332" t="str">
        <v>wifi password</v>
      </c>
      <c r="B39" s="264" t="s">
        <v>71</v>
      </c>
      <c r="C39" s="332" t="str">
        <v>Heaboli</v>
      </c>
    </row>
    <row customHeight="true" ht="16" r="40">
      <c r="A40" s="332" t="str">
        <v>amazon auto</v>
      </c>
      <c r="B40" s="264" t="s">
        <v>72</v>
      </c>
      <c r="C40" s="332" t="str">
        <v>LAMTTO</v>
      </c>
    </row>
    <row customHeight="true" ht="16" r="41">
      <c r="A41" s="332" t="str">
        <v>battery filler</v>
      </c>
      <c r="B41" s="264" t="s">
        <v>33</v>
      </c>
      <c r="C41" s="332" t="str">
        <v>OBEST</v>
      </c>
    </row>
    <row customHeight="true" ht="16" r="42">
      <c r="A42" s="230" t="str">
        <v>camas</v>
      </c>
      <c r="B42" s="264" t="s">
        <v>34</v>
      </c>
      <c r="C42" s="332" t="str">
        <v>QSAEHLS</v>
      </c>
    </row>
    <row customHeight="true" ht="16" r="43">
      <c r="A43" s="230" t="str">
        <v>dash</v>
      </c>
      <c r="B43" s="264" t="s">
        <v>31</v>
      </c>
      <c r="C43" s="332" t="str">
        <v>QveeQ</v>
      </c>
    </row>
    <row customHeight="true" ht="16" r="44">
      <c r="A44" s="230" t="str">
        <v>pruveeo 3 channel dash cam</v>
      </c>
      <c r="B44" s="264" t="str">
        <v>car front camera</v>
      </c>
      <c r="C44" s="332" t="str">
        <v>ROVE</v>
      </c>
    </row>
    <row customHeight="true" ht="16" r="45">
      <c r="A45" s="230" t="str">
        <v>wifi for car</v>
      </c>
      <c r="B45" s="264" t="str">
        <v>front and rear</v>
      </c>
      <c r="C45" s="332" t="str">
        <v>SoeKoa</v>
      </c>
    </row>
    <row customHeight="true" ht="16" r="46">
      <c r="A46" s="230" t="str">
        <v>luxi drive dash cam</v>
      </c>
      <c r="B46" s="264" t="s">
        <v>29</v>
      </c>
      <c r="C46" s="332" t="str">
        <v>ssontong</v>
      </c>
    </row>
    <row customHeight="true" ht="16" r="47">
      <c r="A47" s="230" t="str">
        <v>ring dash cam</v>
      </c>
      <c r="B47" s="264" t="str">
        <v>azdome</v>
      </c>
      <c r="C47" s="332" t="str">
        <v>AINAVIGO</v>
      </c>
    </row>
    <row customHeight="true" ht="16" r="48">
      <c r="A48" s="230" t="str">
        <v>nexar dash cam</v>
      </c>
      <c r="B48" s="264" t="str">
        <v>ring car camera</v>
      </c>
      <c r="C48" s="332" t="str">
        <v>Biuone</v>
      </c>
    </row>
    <row customHeight="true" ht="16" r="49">
      <c r="A49" s="230" t="str">
        <v>cam link</v>
      </c>
      <c r="B49" s="264" t="str">
        <v>70mai</v>
      </c>
      <c r="C49" s="332" t="str">
        <v>cambase</v>
      </c>
    </row>
    <row customHeight="true" ht="16" r="50">
      <c r="A50" s="230" t="str">
        <v>rove r2-4k car dash cam</v>
      </c>
      <c r="B50" s="264" t="str">
        <v>digital</v>
      </c>
      <c r="C50" s="332" t="str">
        <v>galphi</v>
      </c>
    </row>
    <row customHeight="true" ht="16" r="51">
      <c r="A51" s="230" t="str">
        <v>car wifi</v>
      </c>
      <c r="B51" s="264" t="s">
        <v>43</v>
      </c>
      <c r="C51" s="332" t="str">
        <v>HaHoco</v>
      </c>
    </row>
    <row customHeight="true" ht="16" r="52">
      <c r="A52" s="230" t="str">
        <v>pruveeo dash cam</v>
      </c>
      <c r="B52" s="264" t="str">
        <v>cordless</v>
      </c>
      <c r="C52" s="332" t="str">
        <v>Innosinpo</v>
      </c>
    </row>
    <row customHeight="true" ht="16" r="53">
      <c r="A53" s="230" t="str">
        <v>car front camera</v>
      </c>
      <c r="B53" s="264" t="str">
        <v>bluetooth</v>
      </c>
      <c r="C53" s="332" t="str">
        <v>iSaddle</v>
      </c>
    </row>
    <row customHeight="true" ht="16" r="54">
      <c r="A54" s="230" t="s">
        <v>41</v>
      </c>
      <c r="B54" s="264" t="str">
        <v>screens</v>
      </c>
      <c r="C54" s="332" t="str">
        <v>Kenwood</v>
      </c>
    </row>
    <row customHeight="true" ht="16" r="55">
      <c r="A55" s="230" t="str">
        <v>dash cam front and rear</v>
      </c>
      <c r="B55" s="264" t="s">
        <v>36</v>
      </c>
      <c r="C55" s="332" t="str">
        <v>Kingslim</v>
      </c>
    </row>
    <row customHeight="true" ht="16" r="56">
      <c r="A56" s="230" t="str">
        <v>4k dash cam front and rear</v>
      </c>
      <c r="B56" s="264" t="s">
        <v>38</v>
      </c>
      <c r="C56" s="332" t="str">
        <v>LANMODO</v>
      </c>
    </row>
    <row customHeight="true" ht="16" r="57">
      <c r="A57" s="230" t="str">
        <v>azdome 4k dash cam front and rear</v>
      </c>
      <c r="B57" s="264" t="s">
        <v>47</v>
      </c>
      <c r="C57" s="332" t="str">
        <v>MHCABSR</v>
      </c>
    </row>
    <row customHeight="true" ht="16" r="58">
      <c r="A58" s="230" t="s">
        <v>49</v>
      </c>
      <c r="B58" s="264" t="s">
        <v>48</v>
      </c>
      <c r="C58" s="332" t="str">
        <v>Milerong</v>
      </c>
    </row>
    <row customHeight="true" ht="16" r="59">
      <c r="A59" s="230" t="str">
        <v>70mai dash cam</v>
      </c>
      <c r="B59" s="264" t="str">
        <v>vava</v>
      </c>
      <c r="C59" s="332" t="str">
        <v>moss wu Diane</v>
      </c>
    </row>
    <row customHeight="true" ht="16" r="60">
      <c r="A60" s="230" t="str">
        <v>car desk</v>
      </c>
      <c r="B60" s="264" t="str">
        <v>holiday</v>
      </c>
      <c r="C60" s="332" t="str">
        <v>OctinPris</v>
      </c>
    </row>
    <row customHeight="true" ht="16" r="61">
      <c r="A61" s="230" t="str">
        <v>4 channel dash cam</v>
      </c>
      <c r="B61" s="264" t="str">
        <v>digital</v>
      </c>
      <c r="C61" s="332" t="str">
        <v>Pathinglek</v>
      </c>
    </row>
    <row customHeight="true" ht="16" r="62">
      <c r="A62" s="230" t="str">
        <v>cordless dash cam</v>
      </c>
      <c r="B62" s="264" t="str">
        <v>toguard</v>
      </c>
      <c r="C62" s="332" t="str">
        <v>Rand McNally</v>
      </c>
    </row>
    <row customHeight="true" ht="16" r="63">
      <c r="A63" s="230" t="str">
        <v>screens for cars</v>
      </c>
      <c r="B63" s="264" t="str">
        <v>no wires</v>
      </c>
      <c r="C63" s="332" t="str">
        <v>Rayfoto</v>
      </c>
    </row>
    <row customHeight="true" ht="16" r="64">
      <c r="A64" s="230" t="str">
        <v>bluetooth dash cam</v>
      </c>
      <c r="B64" s="264" t="str">
        <v>70mai</v>
      </c>
      <c r="C64" s="332" t="str">
        <v>REARMASTER</v>
      </c>
    </row>
    <row customHeight="true" ht="16" r="65">
      <c r="A65" s="230" t="str">
        <v>small dash cam</v>
      </c>
      <c r="B65" s="264" t="str">
        <v>desk for car</v>
      </c>
      <c r="C65" s="332" t="str">
        <v>Rhorawill</v>
      </c>
    </row>
    <row customHeight="true" ht="16" r="66">
      <c r="A66" s="230" t="str">
        <v>dash cam front and rear wireless</v>
      </c>
      <c r="B66" s="264" t="s">
        <v>55</v>
      </c>
      <c r="C66" s="332" t="str">
        <v>ROAV</v>
      </c>
    </row>
    <row customHeight="true" ht="16" r="67">
      <c r="A67" s="230" t="str">
        <v>wireless dash cam front and rear</v>
      </c>
      <c r="B67" s="264" t="s">
        <v>53</v>
      </c>
      <c r="C67" s="332" t="str">
        <v>Scosche</v>
      </c>
    </row>
    <row customHeight="true" ht="16" r="68">
      <c r="A68" s="230" t="str">
        <v>redtiger 4k dash cam</v>
      </c>
      <c r="B68" s="264" t="s">
        <v>54</v>
      </c>
      <c r="C68" s="332" t="str">
        <v>Surfola</v>
      </c>
    </row>
    <row customHeight="true" ht="16" r="69">
      <c r="A69" s="230" t="str">
        <v>red tiger f7np 4k dual dash cam</v>
      </c>
      <c r="B69" s="264" t="str">
        <v>carplay</v>
      </c>
      <c r="C69" s="332" t="str">
        <v>TOGUAD</v>
      </c>
    </row>
    <row customHeight="true" ht="16" r="70">
      <c r="A70" s="230" t="str">
        <v>vava dash cam</v>
      </c>
      <c r="B70" s="336" t="str">
        <v>nexar</v>
      </c>
      <c r="C70" s="332" t="str">
        <v>TOGUARDVIDEO</v>
      </c>
    </row>
    <row customHeight="true" ht="16" r="71">
      <c r="A71" s="230" t="str">
        <v>amazon holiday dash</v>
      </c>
      <c r="B71" s="264" t="str">
        <v>cooau</v>
      </c>
      <c r="C71" s="332" t="str">
        <v>Transcend</v>
      </c>
    </row>
    <row customHeight="true" ht="16" r="72">
      <c r="A72" s="230" t="str">
        <v>front camera for car</v>
      </c>
      <c r="B72" s="264" t="str">
        <v>screen for car</v>
      </c>
      <c r="C72" s="332" t="str">
        <v>WonVon</v>
      </c>
    </row>
    <row customHeight="true" ht="16" r="73">
      <c r="A73" s="230" t="str">
        <v>dash cam with 1080p dual cameras, fhd dvr 3.0 ips screen 170° wide angle g-sensor parking monitor lo</v>
      </c>
      <c r="B73" s="264" t="str">
        <v>wolfbox</v>
      </c>
      <c r="C73" s="332">
        <v>360</v>
      </c>
    </row>
    <row customHeight="true" ht="16" r="74">
      <c r="A74" s="230" t="str">
        <v>digital dash</v>
      </c>
      <c r="B74" s="264" t="str">
        <v>ddpai</v>
      </c>
      <c r="C74" s="332" t="str">
        <v>Abodost</v>
      </c>
    </row>
    <row customHeight="true" ht="16" r="75">
      <c r="A75" s="230" t="str">
        <v>toguard dash cam</v>
      </c>
      <c r="B75" s="264" t="str">
        <v>front and back</v>
      </c>
      <c r="C75" s="332" t="str">
        <v>AIPLUGER</v>
      </c>
    </row>
    <row customHeight="true" ht="16" r="76">
      <c r="A76" s="230" t="str">
        <v>dash cam no wires</v>
      </c>
      <c r="B76" s="264" t="s">
        <v>59</v>
      </c>
      <c r="C76" s="332" t="str">
        <v>AKKAHH</v>
      </c>
    </row>
    <row customHeight="true" ht="16" r="77">
      <c r="A77" s="230" t="str">
        <v>70mai</v>
      </c>
      <c r="B77" s="264" t="str">
        <v>solar</v>
      </c>
      <c r="C77" s="332" t="str">
        <v>AMORTEK</v>
      </c>
    </row>
    <row customHeight="true" ht="16" r="78">
      <c r="A78" s="230" t="str">
        <v>dashcam front and rear camera wireless</v>
      </c>
      <c r="B78" s="264" t="s">
        <v>21</v>
      </c>
      <c r="C78" s="332" t="str">
        <v>Anumit</v>
      </c>
    </row>
    <row customHeight="true" ht="16" r="79">
      <c r="A79" s="230" t="str">
        <v>desk for car</v>
      </c>
      <c r="B79" s="264" t="s">
        <v>57</v>
      </c>
      <c r="C79" s="332" t="str">
        <v>Apexcam</v>
      </c>
    </row>
    <row customHeight="true" ht="16" r="80">
      <c r="A80" s="230" t="str">
        <v>dash cam front and rear 4k</v>
      </c>
      <c r="B80" s="264" t="str">
        <v>car needs</v>
      </c>
      <c r="C80" s="332" t="str">
        <v>ARECORD</v>
      </c>
    </row>
    <row customHeight="true" ht="16" r="81">
      <c r="A81" s="230" t="str">
        <v>minolta dash cam</v>
      </c>
      <c r="B81" s="264" t="str">
        <v>monitor</v>
      </c>
      <c r="C81" s="332" t="str">
        <v>ASTSH</v>
      </c>
    </row>
    <row customHeight="true" ht="16" r="82">
      <c r="A82" s="230" t="str">
        <v>seicane 10.26 carplay dash camera</v>
      </c>
      <c r="B82" s="264" t="str">
        <v>car monitor</v>
      </c>
      <c r="C82" s="332" t="str">
        <v>ATOTO</v>
      </c>
    </row>
    <row customHeight="true" ht="16" r="83">
      <c r="A83" s="142" t="str">
        <v>nexar dash cam front and rear</v>
      </c>
      <c r="B83" s="264" t="str">
        <v>battery powered</v>
      </c>
      <c r="C83" s="332" t="str">
        <v>Avaett</v>
      </c>
    </row>
    <row customHeight="true" ht="16" r="84">
      <c r="A84" s="230" t="str">
        <v>dashcams for cars front and rear</v>
      </c>
      <c r="B84" s="264" t="str">
        <v>stuff for car</v>
      </c>
      <c r="C84" s="332" t="str">
        <v>AVISIGHT</v>
      </c>
    </row>
    <row customHeight="true" ht="16" r="85">
      <c r="A85" s="230" t="str">
        <v>cooau dash cam</v>
      </c>
      <c r="B85" s="264" t="s">
        <v>64</v>
      </c>
      <c r="C85" s="332" t="str">
        <v>BlackboxMyCar</v>
      </c>
    </row>
    <row customHeight="true" ht="16" r="86">
      <c r="A86" s="230" t="str">
        <v>screen for car</v>
      </c>
      <c r="B86" s="264" t="str">
        <v>f70</v>
      </c>
      <c r="C86" s="332" t="str">
        <v>Bonvenon</v>
      </c>
    </row>
    <row customHeight="true" ht="16" r="87">
      <c r="A87" s="230" t="str">
        <v>wolfbox dash cam</v>
      </c>
      <c r="B87" s="264" t="str">
        <v>luxidrive</v>
      </c>
      <c r="C87" s="332" t="str">
        <v>BOOGIIO</v>
      </c>
    </row>
    <row customHeight="true" ht="16" r="88">
      <c r="A88" s="230" t="str">
        <v>ddpai dash cam</v>
      </c>
      <c r="B88" s="264" t="s">
        <v>62</v>
      </c>
      <c r="C88" s="332" t="str">
        <v>Byakov</v>
      </c>
    </row>
    <row customHeight="true" ht="16" r="89">
      <c r="A89" s="230" t="str">
        <v>cam</v>
      </c>
      <c r="B89" s="264" t="str">
        <v>a229</v>
      </c>
      <c r="C89" s="332" t="str">
        <v>CammPro</v>
      </c>
    </row>
    <row customHeight="true" ht="16" r="90">
      <c r="A90" s="230" t="str">
        <v>car dash cam front and back</v>
      </c>
      <c r="B90" s="264" t="s">
        <v>70</v>
      </c>
      <c r="C90" s="332" t="str">
        <v>Cansonic</v>
      </c>
    </row>
    <row customHeight="true" ht="16" r="91">
      <c r="A91" s="230" t="str">
        <v>apexview dash cam</v>
      </c>
      <c r="B91" s="264" t="s">
        <v>69</v>
      </c>
      <c r="C91" s="332" t="str">
        <v>Car and Driver</v>
      </c>
    </row>
    <row customHeight="true" ht="16" r="92">
      <c r="A92" s="230" t="str">
        <v>4k</v>
      </c>
      <c r="B92" s="264">
        <v>360</v>
      </c>
      <c r="C92" s="332" t="str">
        <v>Carpuride</v>
      </c>
    </row>
    <row customHeight="true" ht="16" r="93">
      <c r="A93" s="230" t="str">
        <v>aukey dash cam</v>
      </c>
      <c r="B93" s="264" t="s">
        <v>68</v>
      </c>
      <c r="C93" s="332" t="str">
        <v>ChargerCity</v>
      </c>
    </row>
    <row customHeight="true" ht="16" r="94">
      <c r="A94" s="230" t="str">
        <v>solar dash cam</v>
      </c>
      <c r="B94" s="264" t="s">
        <v>30</v>
      </c>
      <c r="C94" s="332" t="str">
        <v>D.DA.D</v>
      </c>
    </row>
    <row customHeight="true" ht="16" r="95">
      <c r="A95" s="230" t="str">
        <v>3 channel dash cam</v>
      </c>
      <c r="B95" s="264" t="str">
        <v>bluetooth screen</v>
      </c>
      <c r="C95" s="332" t="str">
        <v>Digital Village</v>
      </c>
    </row>
    <row customHeight="true" ht="16" r="96">
      <c r="A96" s="230" t="str">
        <v>red tiger dash cam</v>
      </c>
      <c r="B96" s="264" t="str">
        <v>cloud</v>
      </c>
      <c r="C96" s="332" t="str">
        <v>Dorman</v>
      </c>
    </row>
    <row customHeight="true" ht="16" r="97">
      <c r="A97" s="230" t="str">
        <v>car needs</v>
      </c>
      <c r="B97" s="264" t="s">
        <v>26</v>
      </c>
      <c r="C97" s="332" t="str">
        <v>Escort</v>
      </c>
    </row>
    <row customHeight="true" ht="16" r="98">
      <c r="A98" s="230" t="str">
        <v>dashcam front and rear camera</v>
      </c>
      <c r="B98" s="264" t="str">
        <v>fitcamx</v>
      </c>
      <c r="C98" s="332" t="str">
        <v>E-SHOW TREE</v>
      </c>
    </row>
    <row customHeight="true" ht="16" r="99">
      <c r="A99" s="230" t="str">
        <v>ring dash camera for cars</v>
      </c>
      <c r="B99" s="264" t="s">
        <v>23</v>
      </c>
      <c r="C99" s="332" t="str">
        <v>EYETOO</v>
      </c>
    </row>
    <row customHeight="true" ht="16" r="100">
      <c r="A100" s="230" t="str">
        <v>car monitor</v>
      </c>
      <c r="B100" s="264" t="str">
        <v>viofo</v>
      </c>
      <c r="C100" s="332" t="str">
        <v>Frvesroe</v>
      </c>
    </row>
    <row customHeight="true" ht="16" r="101">
      <c r="A101" s="230" t="str">
        <v>stuff for car</v>
      </c>
      <c r="B101" s="264" t="s">
        <v>20</v>
      </c>
      <c r="C101" s="332" t="str">
        <v>Gebildet</v>
      </c>
    </row>
    <row customHeight="true" ht="16" r="102">
      <c r="A102" s="230" t="str">
        <v>thinkware f70</v>
      </c>
      <c r="B102" s="264" t="str">
        <v>car step</v>
      </c>
      <c r="C102" s="332" t="str">
        <v>Generic</v>
      </c>
    </row>
    <row customHeight="true" ht="16" r="103">
      <c r="A103" s="230" t="str">
        <v>drive cam luxidrive</v>
      </c>
      <c r="B103" s="264" t="str">
        <v>mini 2</v>
      </c>
      <c r="C103" s="332" t="str">
        <v>GILAYGROW</v>
      </c>
    </row>
    <row customHeight="true" ht="16" r="104">
      <c r="A104" s="230" t="str">
        <v>viofo a229 pro</v>
      </c>
      <c r="B104" s="264" t="str">
        <v>apex view</v>
      </c>
      <c r="C104" s="332" t="str">
        <v>HUBANFLY</v>
      </c>
    </row>
    <row customHeight="true" ht="16" r="105">
      <c r="A105" s="230" t="str">
        <v>gopro dash cam</v>
      </c>
      <c r="B105" s="264" t="s">
        <v>35</v>
      </c>
      <c r="C105" s="332" t="str">
        <v>Hurra</v>
      </c>
    </row>
    <row customHeight="true" ht="16" r="106">
      <c r="A106" s="230" t="str">
        <v>ring dash camera</v>
      </c>
      <c r="B106" s="264" t="str">
        <v>view</v>
      </c>
      <c r="C106" s="332" t="str">
        <v>Jansite</v>
      </c>
    </row>
    <row customHeight="true" ht="16" r="107">
      <c r="A107" s="230" t="str">
        <v>360 car camera</v>
      </c>
      <c r="B107" s="264" t="str">
        <v>gps</v>
      </c>
      <c r="C107" s="332" t="str">
        <v>JOMISE</v>
      </c>
    </row>
    <row customHeight="true" ht="16" r="108">
      <c r="A108" s="230" t="str">
        <v>roav dash cam</v>
      </c>
      <c r="B108" s="264" t="str">
        <v>ofertas</v>
      </c>
      <c r="C108" s="332" t="str">
        <v>Korlagh</v>
      </c>
    </row>
    <row customHeight="true" ht="16" r="109">
      <c r="A109" s="230" t="s">
        <v>30</v>
      </c>
      <c r="B109" s="264" t="str">
        <v>rove r2 4k</v>
      </c>
      <c r="C109" s="332" t="str">
        <v>LIDOFIGO</v>
      </c>
    </row>
    <row customHeight="true" ht="16" r="110">
      <c r="A110" s="230" t="str">
        <v>bluetooth screen for car</v>
      </c>
      <c r="B110" s="264" t="s">
        <v>32</v>
      </c>
      <c r="C110" s="332" t="str">
        <v>Losfom</v>
      </c>
    </row>
    <row customHeight="true" ht="16" r="111">
      <c r="A111" s="230" t="str">
        <v>cloud cam</v>
      </c>
      <c r="B111" s="264" t="s">
        <v>27</v>
      </c>
      <c r="C111" s="332" t="str">
        <v>MASO</v>
      </c>
    </row>
    <row customHeight="true" ht="16" r="112">
      <c r="A112" s="230" t="str">
        <v>fitcamx</v>
      </c>
      <c r="B112" s="264" t="s">
        <v>28</v>
      </c>
      <c r="C112" s="332" t="str">
        <v>MEKNIC</v>
      </c>
    </row>
    <row customHeight="true" ht="16" r="113">
      <c r="A113" s="230" t="str">
        <v>dash cam with speed recording</v>
      </c>
      <c r="B113" s="264">
        <v>57</v>
      </c>
      <c r="C113" s="332" t="str">
        <v>Minolta</v>
      </c>
    </row>
    <row customHeight="true" ht="16" r="114">
      <c r="A114" s="230" t="str">
        <v>viofo dash cam</v>
      </c>
      <c r="B114" s="264" t="str">
        <v>car gadgets</v>
      </c>
      <c r="C114" s="332" t="str">
        <v>Miofive</v>
      </c>
    </row>
    <row customHeight="true" ht="16" r="115">
      <c r="A115" s="230" t="str">
        <v>garmin dashcam mini 2</v>
      </c>
      <c r="B115" s="264" t="str">
        <v>car living</v>
      </c>
      <c r="C115" s="332" t="str">
        <v>Moplasz</v>
      </c>
    </row>
    <row customHeight="true" ht="16" r="116">
      <c r="A116" s="230" t="str">
        <v>car step</v>
      </c>
      <c r="B116" s="264" t="str">
        <v>cobra sc 201</v>
      </c>
      <c r="C116" s="332" t="str">
        <v>MSAFF</v>
      </c>
    </row>
    <row customHeight="true" ht="16" r="117">
      <c r="A117" s="230" t="str">
        <v>apex view dash cam</v>
      </c>
      <c r="B117" s="264" t="str">
        <v>car stuff</v>
      </c>
      <c r="C117" s="332" t="str">
        <v>N\C</v>
      </c>
    </row>
    <row customHeight="true" ht="16" r="118">
      <c r="A118" s="230" t="str">
        <v>dash cam with gps</v>
      </c>
      <c r="B118" s="264" t="str">
        <v>car emergency</v>
      </c>
      <c r="C118" s="332" t="str">
        <v>nezini</v>
      </c>
    </row>
    <row customHeight="true" ht="16" r="119">
      <c r="A119" s="230" t="str">
        <v>dash cam viofo</v>
      </c>
      <c r="B119" s="264" t="s">
        <v>39</v>
      </c>
      <c r="C119" s="332" t="str">
        <v>NUNET</v>
      </c>
    </row>
    <row customHeight="true" ht="16" r="120">
      <c r="A120" s="230" t="str">
        <v>ofertas</v>
      </c>
      <c r="B120" s="264" t="s">
        <v>40</v>
      </c>
      <c r="C120" s="332" t="str">
        <v>OldShark</v>
      </c>
    </row>
    <row customHeight="true" ht="16" r="121">
      <c r="A121" s="230" t="str">
        <v>rove r2 4k</v>
      </c>
      <c r="B121" s="264" t="str">
        <v>link</v>
      </c>
      <c r="C121" s="332" t="str">
        <v>Orgtoy</v>
      </c>
    </row>
    <row customHeight="true" ht="16" r="122">
      <c r="A122" s="230" t="str">
        <v>apeman dash cam</v>
      </c>
      <c r="B122" s="264" t="str">
        <v>trucks</v>
      </c>
      <c r="C122" s="332" t="str">
        <v>PlayBetter</v>
      </c>
    </row>
    <row customHeight="true" ht="16" r="123">
      <c r="A123" s="230" t="str">
        <v>parking sensors for cars</v>
      </c>
      <c r="B123" s="264" t="str">
        <v>car driving</v>
      </c>
      <c r="C123" s="332" t="str">
        <v>PORMIDO</v>
      </c>
    </row>
    <row customHeight="true" ht="16" r="124">
      <c r="A124" s="230" t="str">
        <v>360 degree dash cam</v>
      </c>
      <c r="B124" s="264" t="str">
        <v>car engine</v>
      </c>
      <c r="C124" s="332" t="str">
        <v>Street Guardian</v>
      </c>
    </row>
    <row customHeight="true" ht="16" r="125">
      <c r="A125" s="230" t="str">
        <v>garmin dash cam 57</v>
      </c>
      <c r="B125" s="264" t="str">
        <v>real cars</v>
      </c>
      <c r="C125" s="332" t="str">
        <v>SYLVANIA</v>
      </c>
    </row>
    <row customHeight="true" ht="16" r="126">
      <c r="A126" s="230" t="str">
        <v>car gadgets</v>
      </c>
      <c r="B126" s="264" t="str">
        <v>car rear camera</v>
      </c>
      <c r="C126" s="332" t="str">
        <v>TiToeKi</v>
      </c>
    </row>
    <row customHeight="true" ht="16" r="127">
      <c r="A127" s="230" t="str">
        <v>car living</v>
      </c>
      <c r="B127" s="264" t="s">
        <v>25</v>
      </c>
      <c r="C127" s="332" t="str">
        <v>TYPE S TOURING ITEMS</v>
      </c>
    </row>
    <row customHeight="true" ht="16" r="128">
      <c r="A128" s="230" t="str">
        <v>cobra sc 201 dash cam</v>
      </c>
      <c r="B128" s="264" t="str">
        <v>rove</v>
      </c>
      <c r="C128" s="332" t="str">
        <v>Upgrow</v>
      </c>
    </row>
    <row customHeight="true" ht="16" r="129">
      <c r="A129" s="230" t="str">
        <v>car stuff</v>
      </c>
      <c r="B129" s="264" t="s">
        <v>51</v>
      </c>
      <c r="C129" s="332" t="str">
        <v>VAVA</v>
      </c>
    </row>
    <row customHeight="true" ht="16" r="130">
      <c r="A130" s="230" t="str">
        <v>dashcam front and inside</v>
      </c>
      <c r="B130" s="264" t="str">
        <v>gps and speed</v>
      </c>
      <c r="C130" s="332" t="str">
        <v>Verratek</v>
      </c>
    </row>
    <row customHeight="true" ht="16" r="131">
      <c r="A131" s="230" t="str">
        <v>stuff for cars</v>
      </c>
      <c r="B131" s="264" t="s">
        <v>50</v>
      </c>
      <c r="C131" s="332" t="str">
        <v>VIKEWE</v>
      </c>
    </row>
    <row customHeight="true" ht="16" r="132">
      <c r="A132" s="230" t="str">
        <v>car emergency</v>
      </c>
      <c r="B132" s="264" t="s">
        <v>52</v>
      </c>
      <c r="C132" s="332" t="str">
        <v>WheelWitness</v>
      </c>
    </row>
    <row customHeight="true" ht="16" r="133">
      <c r="A133" s="230" t="str">
        <v>star link</v>
      </c>
      <c r="B133" s="264" t="str">
        <v>car auto accessories</v>
      </c>
      <c r="C133" s="332" t="str">
        <v>XDL-POWER</v>
      </c>
    </row>
    <row customHeight="true" ht="16" r="134">
      <c r="A134" s="230" t="str">
        <v>truck dash cam</v>
      </c>
      <c r="B134" s="264" t="str">
        <v>gps car</v>
      </c>
      <c r="C134" s="332" t="str">
        <v>XIGETRAIL</v>
      </c>
    </row>
    <row customHeight="true" ht="16" r="135">
      <c r="A135" s="230" t="str">
        <v>dashcams for trucks</v>
      </c>
      <c r="B135" s="264" t="str">
        <v>wifi card</v>
      </c>
      <c r="C135" s="332" t="str">
        <v>Yansoo</v>
      </c>
    </row>
    <row customHeight="true" ht="16" r="136">
      <c r="A136" s="230" t="str">
        <v>car driving</v>
      </c>
      <c r="B136" s="264" t="str">
        <v>baby</v>
      </c>
      <c r="C136" s="332" t="str">
        <v>YEECORE</v>
      </c>
    </row>
    <row customHeight="true" ht="16" r="137">
      <c r="A137" s="230" t="str">
        <v>car engine</v>
      </c>
      <c r="B137" s="264" t="str">
        <v>no wire</v>
      </c>
      <c r="C137" s="332" t="str">
        <v>YQMAJIM</v>
      </c>
    </row>
    <row customHeight="true" ht="16" r="138">
      <c r="A138" s="230" t="str">
        <v>real cars</v>
      </c>
      <c r="B138" s="264" t="s">
        <v>20</v>
      </c>
      <c r="C138" s="332" t="str">
        <v>YYDGH</v>
      </c>
    </row>
    <row customHeight="true" ht="16" r="139">
      <c r="A139" s="230" t="str">
        <v>front</v>
      </c>
      <c r="B139" s="264" t="s">
        <v>58</v>
      </c>
      <c r="C139" s="332" t="str">
        <v>zhiroad</v>
      </c>
    </row>
    <row customHeight="true" ht="16" r="140">
      <c r="A140" s="230" t="str">
        <v>car rear camera</v>
      </c>
      <c r="B140" s="264" t="str">
        <v>for car</v>
      </c>
      <c r="C140" s="332" t="str">
        <v>ZOMFOM</v>
      </c>
    </row>
    <row customHeight="true" ht="16" r="141">
      <c r="A141" s="230" t="str">
        <v>auto camera dash cam front and rear</v>
      </c>
      <c r="B141" s="264" t="s">
        <v>56</v>
      </c>
      <c r="C141" s="332" t="str">
        <v>ZWHT</v>
      </c>
    </row>
    <row customHeight="true" ht="16" r="142">
      <c r="A142" s="230" t="str">
        <v>rove</v>
      </c>
      <c r="B142" s="264" t="str">
        <v>dash am</v>
      </c>
    </row>
    <row customHeight="true" ht="16" r="143">
      <c r="A143" s="230" t="str">
        <v>dash cam gps</v>
      </c>
      <c r="B143" s="264" t="str">
        <v>sticky dash fix</v>
      </c>
    </row>
    <row customHeight="true" ht="16" r="144">
      <c r="A144" s="230" t="str">
        <v>dash cam with gps and speed</v>
      </c>
      <c r="B144" s="264" t="str">
        <v>cars accessories</v>
      </c>
    </row>
    <row customHeight="true" ht="16" r="145">
      <c r="A145" s="230" t="str">
        <v>dash cam battery pack</v>
      </c>
      <c r="B145" s="264" t="s">
        <v>66</v>
      </c>
    </row>
    <row customHeight="true" ht="16" r="146">
      <c r="A146" s="230" t="str">
        <v>battery dash cam</v>
      </c>
      <c r="B146" s="264" t="str">
        <v>viofo a139 pro</v>
      </c>
    </row>
    <row customHeight="true" ht="16" r="147">
      <c r="A147" s="230" t="str">
        <v>car auto accessories</v>
      </c>
      <c r="B147" s="264" t="s">
        <v>57</v>
      </c>
    </row>
    <row customHeight="true" ht="16" r="148">
      <c r="A148" s="230" t="str">
        <v>gps car</v>
      </c>
      <c r="B148" s="264" t="s">
        <v>65</v>
      </c>
    </row>
    <row customHeight="true" ht="16" r="149">
      <c r="A149" s="230" t="str">
        <v>dadh cam</v>
      </c>
      <c r="B149" s="264" t="s">
        <v>60</v>
      </c>
    </row>
    <row customHeight="true" ht="16" r="150">
      <c r="A150" s="230" t="str">
        <v>wifi card</v>
      </c>
      <c r="B150" s="264" t="str">
        <v>amazon renewed store</v>
      </c>
    </row>
    <row customHeight="true" ht="16" r="151">
      <c r="A151" s="230" t="str">
        <v>car camera baby</v>
      </c>
      <c r="B151" s="264" t="str">
        <v>sd cars</v>
      </c>
    </row>
    <row customHeight="true" ht="16" r="152">
      <c r="A152" s="230" t="str">
        <v>camaras para carros</v>
      </c>
      <c r="B152" s="264" t="str">
        <v>bodycam c</v>
      </c>
    </row>
    <row customHeight="true" ht="16" r="153">
      <c r="A153" s="230" t="str">
        <v>garmin dash cam 47</v>
      </c>
      <c r="B153" s="264" t="str">
        <v>prime deals</v>
      </c>
    </row>
    <row customHeight="true" ht="16" r="154">
      <c r="A154" s="230" t="str">
        <v>wireless dash cam front and rear no wire</v>
      </c>
      <c r="B154" s="264" t="str">
        <v>autos</v>
      </c>
    </row>
    <row customHeight="true" ht="16" r="155">
      <c r="A155" s="230" t="str">
        <v>for car</v>
      </c>
      <c r="B155" s="264" t="str">
        <v>best car accessories</v>
      </c>
    </row>
    <row customHeight="true" ht="16" r="156">
      <c r="A156" s="230" t="str">
        <v>dash am</v>
      </c>
      <c r="B156" s="264" t="str">
        <v>door dash</v>
      </c>
    </row>
    <row customHeight="true" ht="16" r="157">
      <c r="A157" s="230" t="str">
        <v>sticky dash fix</v>
      </c>
      <c r="B157" s="264" t="str">
        <v>baby car camera</v>
      </c>
    </row>
    <row customHeight="true" ht="16" r="158">
      <c r="A158" s="230" t="str">
        <v>cars accessories</v>
      </c>
      <c r="B158" s="264" t="str">
        <v>carros</v>
      </c>
    </row>
    <row customHeight="true" ht="16" r="159">
      <c r="A159" s="230" t="str">
        <v>car monitor camera</v>
      </c>
      <c r="B159" s="264" t="str">
        <v>3 channel dash cam front and rear inside</v>
      </c>
    </row>
    <row customHeight="true" ht="16" r="160">
      <c r="A160" s="230" t="str">
        <v>viofo a139 pro</v>
      </c>
      <c r="B160" s="264" t="str">
        <v>rove dash cam</v>
      </c>
    </row>
    <row customHeight="true" ht="16" r="161">
      <c r="A161" s="230" t="str">
        <v>red tiger dashcam</v>
      </c>
      <c r="B161" s="264" t="str">
        <v>car</v>
      </c>
    </row>
    <row customHeight="true" ht="16" r="162">
      <c r="A162" s="230" t="s">
        <v>24</v>
      </c>
      <c r="B162" s="264" t="str">
        <v>car wifi hotspot for vehicles</v>
      </c>
    </row>
    <row customHeight="true" ht="16" r="163">
      <c r="A163" s="230" t="str">
        <v>dash cam 3 channel</v>
      </c>
      <c r="B163" s="264" t="str">
        <v>camara para carro</v>
      </c>
    </row>
    <row customHeight="true" ht="16" r="164">
      <c r="A164" s="230" t="str">
        <v>amazon renewed store</v>
      </c>
      <c r="B164" s="264" t="str">
        <v>deals</v>
      </c>
    </row>
    <row customHeight="true" ht="16" r="165">
      <c r="A165" s="230" t="str">
        <v>www.amazon.com</v>
      </c>
      <c r="B165" s="264" t="str">
        <v>real car</v>
      </c>
    </row>
    <row customHeight="true" ht="16" r="166">
      <c r="A166" s="230" t="str">
        <v>sd cars</v>
      </c>
      <c r="B166" s="264" t="str">
        <v>64 gb sd card</v>
      </c>
    </row>
    <row customHeight="true" ht="16" r="167">
      <c r="A167" s="230" t="str">
        <v>bodycam camera with audio 4k</v>
      </c>
      <c r="B167" s="264" t="str">
        <v>car vehicle accessories</v>
      </c>
    </row>
    <row customHeight="true" ht="16" r="168">
      <c r="A168" s="230" t="str">
        <v>prime deals</v>
      </c>
      <c r="B168" s="264" t="str">
        <v>men accessories</v>
      </c>
    </row>
    <row customHeight="true" ht="16" r="169">
      <c r="A169" s="230" t="str">
        <v>autos</v>
      </c>
      <c r="B169" s="264" t="str">
        <v>kingslim d4 4k dual dash cam</v>
      </c>
    </row>
    <row customHeight="true" ht="16" r="170">
      <c r="A170" s="230" t="str">
        <v>best car accessories</v>
      </c>
      <c r="B170" s="264" t="str">
        <v>dash cam front and rear wireless recording</v>
      </c>
    </row>
    <row customHeight="true" ht="16" r="171">
      <c r="A171" s="230" t="str">
        <v>door dash</v>
      </c>
      <c r="B171" s="264" t="str">
        <v>kenwood dash cam</v>
      </c>
    </row>
    <row customHeight="true" ht="16" r="172">
      <c r="A172" s="230" t="str">
        <v>baby car camera</v>
      </c>
      <c r="B172" s="264" t="str">
        <v>best dash cam 2023 front and rear</v>
      </c>
    </row>
    <row customHeight="true" ht="16" r="173">
      <c r="A173" s="230" t="str">
        <v>carros</v>
      </c>
      <c r="B173" s="264" t="str">
        <v>used cars</v>
      </c>
    </row>
    <row customHeight="true" ht="16" r="174">
      <c r="A174" s="230" t="str">
        <v>3 channel dash cam front and rear inside</v>
      </c>
      <c r="B174" s="264" t="str">
        <v>amazon car</v>
      </c>
    </row>
    <row customHeight="true" ht="16" r="175">
      <c r="A175" s="230" t="str">
        <v>rove dash cam</v>
      </c>
      <c r="B175" s="264" t="s">
        <v>25</v>
      </c>
    </row>
    <row customHeight="true" ht="16" r="176">
      <c r="A176" s="230" t="str">
        <v>car</v>
      </c>
      <c r="B176" s="264" t="str">
        <v>it works</v>
      </c>
    </row>
    <row customHeight="true" ht="16" r="177">
      <c r="A177" s="230" t="str">
        <v>amazon www com</v>
      </c>
      <c r="B177" s="264" t="str">
        <v>front and back</v>
      </c>
    </row>
    <row customHeight="true" ht="16" r="178">
      <c r="A178" s="230" t="str">
        <v>car wifi hotspot for vehicles</v>
      </c>
      <c r="B178" s="264" t="str">
        <v>redtiger dash cam</v>
      </c>
    </row>
    <row customHeight="true" ht="16" r="179">
      <c r="A179" s="230" t="str">
        <v>camara para carro</v>
      </c>
      <c r="B179" s="264" t="str">
        <v>camara para auto</v>
      </c>
    </row>
    <row customHeight="true" ht="16" r="180">
      <c r="A180" s="230" t="str">
        <v>deals</v>
      </c>
      <c r="B180" s="264" t="s">
        <v>42</v>
      </c>
    </row>
    <row customHeight="true" ht="16" r="181">
      <c r="A181" s="230" t="str">
        <v>real car</v>
      </c>
      <c r="B181" s="264" t="s">
        <v>37</v>
      </c>
    </row>
    <row customHeight="true" ht="16" r="182">
      <c r="A182" s="230" t="str">
        <v>64 gb sd card</v>
      </c>
      <c r="B182" s="264" t="str">
        <v>car computer</v>
      </c>
    </row>
    <row customHeight="true" ht="16" r="183">
      <c r="A183" s="230" t="str">
        <v>car vehicle accessories</v>
      </c>
      <c r="B183" s="264" t="str">
        <v>cama</v>
      </c>
    </row>
    <row customHeight="true" ht="16" r="184">
      <c r="A184" s="230" t="str">
        <v>men accessories</v>
      </c>
      <c r="B184" s="264" t="str">
        <v>dash cam without wires</v>
      </c>
    </row>
    <row customHeight="true" ht="16" r="185">
      <c r="A185" s="230" t="str">
        <v>kingslim d4 4k dual dash cam</v>
      </c>
      <c r="B185" s="264" t="s">
        <v>46</v>
      </c>
    </row>
    <row customHeight="true" ht="16" r="186">
      <c r="A186" s="230" t="str">
        <v>dash cam front and rear wireless 24 7 recording</v>
      </c>
      <c r="B186" s="264" t="str">
        <v>anti car theft device</v>
      </c>
    </row>
    <row customHeight="true" ht="16" r="187">
      <c r="A187" s="230" t="str">
        <v>kenwood dash cam</v>
      </c>
      <c r="B187" s="264" t="s">
        <v>45</v>
      </c>
    </row>
    <row customHeight="true" ht="16" r="188">
      <c r="A188" s="230" t="str">
        <v>best dash cam 2023 front and rear</v>
      </c>
      <c r="B188" s="264" t="str">
        <v>body cams</v>
      </c>
    </row>
    <row customHeight="true" ht="16" r="189">
      <c r="A189" s="230" t="str">
        <v>used cars</v>
      </c>
      <c r="B189" s="264" t="s">
        <v>44</v>
      </c>
    </row>
    <row customHeight="true" ht="16" r="190">
      <c r="A190" s="230" t="str">
        <v>amazon car</v>
      </c>
      <c r="B190" s="264" t="str">
        <v>dash cam battery</v>
      </c>
    </row>
    <row customHeight="true" ht="16" r="191">
      <c r="A191" s="230" t="str">
        <v>auto accessories</v>
      </c>
      <c r="B191" s="264" t="str">
        <v>cool car accessories</v>
      </c>
    </row>
    <row customHeight="true" ht="16" r="192">
      <c r="A192" s="230" t="str">
        <v>it works</v>
      </c>
      <c r="B192" s="264" t="str">
        <v>truck accessories</v>
      </c>
    </row>
    <row customHeight="true" ht="16" r="193">
      <c r="A193" s="230" t="str">
        <v>dash camera front and back</v>
      </c>
      <c r="B193" s="264" t="str">
        <v>car camera monitor</v>
      </c>
    </row>
    <row customHeight="true" ht="16" r="194">
      <c r="A194" s="230" t="str">
        <v>redtiger dash cam</v>
      </c>
      <c r="B194" s="264" t="str">
        <v>azdome dash cam</v>
      </c>
    </row>
    <row customHeight="true" ht="16" r="195">
      <c r="A195" s="230" t="str">
        <v>camara para auto</v>
      </c>
      <c r="B195" s="264" t="str">
        <v>front parking camera</v>
      </c>
    </row>
    <row customHeight="true" ht="16" r="196">
      <c r="A196" s="230" t="str">
        <v>70mai dash cam 4k a810</v>
      </c>
      <c r="B196" s="264" t="str">
        <v>garmin dash cam mini 2</v>
      </c>
    </row>
    <row customHeight="true" ht="16" r="197">
      <c r="A197" s="230" t="str">
        <v>amazon.com/code enter activation code</v>
      </c>
      <c r="B197" s="264" t="str">
        <v>viofo</v>
      </c>
    </row>
    <row customHeight="true" ht="16" r="198">
      <c r="A198" s="230" t="str">
        <v>car computer</v>
      </c>
      <c r="B198" s="264" t="str">
        <v>3 channel dash cam 4k</v>
      </c>
    </row>
    <row customHeight="true" ht="16" r="199">
      <c r="A199" s="230" t="str">
        <v>cama</v>
      </c>
      <c r="B199" s="264" t="str">
        <v>izeeker dash cam</v>
      </c>
    </row>
    <row customHeight="true" ht="16" r="200">
      <c r="A200" s="230" t="str">
        <v>dash cam without wires</v>
      </c>
      <c r="B200" s="264" t="str">
        <v>370z</v>
      </c>
    </row>
    <row customHeight="true" ht="16" r="201">
      <c r="A201" s="230" t="str">
        <v>car accessories for men</v>
      </c>
      <c r="B201" s="264" t="str">
        <v>car door</v>
      </c>
    </row>
    <row customHeight="true" ht="16" r="202">
      <c r="A202" s="230" t="str">
        <v>anti car theft device</v>
      </c>
      <c r="B202" s="264" t="str">
        <v>prime day deals 2023 electronics</v>
      </c>
    </row>
    <row customHeight="true" ht="16" r="203">
      <c r="A203" s="230" t="str">
        <v>hidden dash cam</v>
      </c>
      <c r="B203" s="264" t="str">
        <v>car back support for driving</v>
      </c>
    </row>
    <row customHeight="true" ht="16" r="204">
      <c r="A204" s="230" t="str">
        <v>body cams</v>
      </c>
      <c r="B204" s="264" t="str">
        <v>drive cam</v>
      </c>
    </row>
    <row customHeight="true" ht="16" r="205">
      <c r="A205" s="230" t="s">
        <v>44</v>
      </c>
      <c r="B205" s="264" t="str">
        <v>f150</v>
      </c>
    </row>
    <row customHeight="true" ht="16" r="206">
      <c r="A206" s="230" t="str">
        <v>dash cam battery</v>
      </c>
      <c r="B206" s="264" t="str">
        <v>front camera</v>
      </c>
    </row>
    <row customHeight="true" ht="16" r="207">
      <c r="A207" s="230" t="str">
        <v>cool car accessories</v>
      </c>
      <c r="B207" s="264" t="str">
        <v>new car essentials for women</v>
      </c>
    </row>
    <row customHeight="true" ht="16" r="208">
      <c r="A208" s="230" t="str">
        <v>truck accessories</v>
      </c>
      <c r="B208" s="264" t="str">
        <v>dash cam front and inside</v>
      </c>
    </row>
    <row customHeight="true" ht="16" r="209">
      <c r="A209" s="230" t="str">
        <v>car camera monitor</v>
      </c>
      <c r="B209" s="264" t="str">
        <v>car upgrades</v>
      </c>
    </row>
    <row customHeight="true" ht="16" r="210">
      <c r="A210" s="230" t="str">
        <v>azdome dash cam</v>
      </c>
      <c r="B210" s="264" t="str">
        <v>amazon warehouse sale clearance</v>
      </c>
    </row>
    <row customHeight="true" ht="16" r="211">
      <c r="A211" s="230" t="str">
        <v>front parking camera</v>
      </c>
      <c r="B211" s="264" t="str">
        <v>wearable camera</v>
      </c>
    </row>
    <row customHeight="true" ht="16" r="212">
      <c r="A212" s="230" t="str">
        <v>garmin dash cam mini 2</v>
      </c>
      <c r="B212" s="264" t="str">
        <v>car detailing accessories</v>
      </c>
    </row>
    <row customHeight="true" ht="16" r="213">
      <c r="A213" s="230" t="str">
        <v>viofo</v>
      </c>
      <c r="B213" s="264" t="str">
        <v>prime deals of the day clearance</v>
      </c>
    </row>
    <row customHeight="true" ht="16" r="214">
      <c r="A214" s="230" t="str">
        <v>3 channel dash cam 4k</v>
      </c>
      <c r="B214" s="264" t="s">
        <v>63</v>
      </c>
    </row>
    <row customHeight="true" ht="16" r="215">
      <c r="A215" s="230" t="str">
        <v>izeeker dash cam</v>
      </c>
      <c r="B215" s="264" t="str">
        <v>car alarm</v>
      </c>
    </row>
    <row customHeight="true" ht="16" r="216">
      <c r="A216" s="230" t="str">
        <v>370z</v>
      </c>
      <c r="B216" s="264" t="s">
        <v>61</v>
      </c>
    </row>
    <row customHeight="true" ht="16" r="217">
      <c r="A217" s="230" t="str">
        <v>car door</v>
      </c>
      <c r="B217" s="264" t="str">
        <v>blue car</v>
      </c>
    </row>
    <row customHeight="true" ht="16" r="218">
      <c r="A218" s="230" t="str">
        <v>prime day deals 2023 electronics</v>
      </c>
      <c r="B218" s="264" t="str">
        <v>car accessories men</v>
      </c>
    </row>
    <row customHeight="true" ht="16" r="219">
      <c r="A219" s="230" t="str">
        <v>car back support for driving</v>
      </c>
      <c r="B219" s="264" t="str">
        <v>link</v>
      </c>
    </row>
    <row customHeight="true" ht="16" r="220">
      <c r="A220" s="230" t="str">
        <v>f150</v>
      </c>
      <c r="B220" s="264" t="str">
        <v>cami</v>
      </c>
    </row>
    <row customHeight="true" ht="16" r="221">
      <c r="A221" s="230" t="str">
        <v>front camera</v>
      </c>
      <c r="B221" s="264" t="s">
        <v>61</v>
      </c>
    </row>
    <row customHeight="true" ht="16" r="222">
      <c r="A222" s="230" t="str">
        <v>new car essentials for women</v>
      </c>
      <c r="B222" s="264" t="str">
        <v>ring</v>
      </c>
    </row>
    <row customHeight="true" ht="16" r="223">
      <c r="A223" s="230" t="str">
        <v>dash cam front and inside</v>
      </c>
      <c r="B223" s="264" t="s">
        <v>67</v>
      </c>
    </row>
    <row customHeight="true" ht="16" r="224">
      <c r="A224" s="230" t="str">
        <v>car upgrades</v>
      </c>
      <c r="B224" s="264" t="str">
        <v>car screen</v>
      </c>
    </row>
    <row customHeight="true" ht="16" r="225">
      <c r="A225" s="230" t="str">
        <v>amazon warehouse sale clearance</v>
      </c>
      <c r="B225" s="264" t="str">
        <v>sale clearance</v>
      </c>
    </row>
    <row customHeight="true" ht="16" r="226">
      <c r="A226" s="230" t="str">
        <v>wearable camera</v>
      </c>
      <c r="B226" s="264" t="str">
        <v>m550</v>
      </c>
    </row>
    <row customHeight="true" ht="16" r="227">
      <c r="A227" s="230" t="str">
        <v>car detailing accessories</v>
      </c>
      <c r="B227" s="264" t="str">
        <v>accessories</v>
      </c>
    </row>
    <row customHeight="true" ht="16" r="228">
      <c r="A228" s="230" t="str">
        <v>prime deals of the day clearance</v>
      </c>
      <c r="B228" s="264" t="s">
        <v>22</v>
      </c>
    </row>
    <row customHeight="true" ht="16" r="229">
      <c r="A229" s="230" t="str">
        <v>azdome m550</v>
      </c>
    </row>
    <row customHeight="true" ht="16" r="230">
      <c r="A230" s="230" t="str">
        <v>car alarm</v>
      </c>
    </row>
    <row customHeight="true" ht="16" r="231">
      <c r="A231" s="230" t="str">
        <v>warehouse sale clearance</v>
      </c>
    </row>
    <row customHeight="true" ht="16" r="232">
      <c r="A232" s="230" t="str">
        <v>blue car</v>
      </c>
    </row>
    <row customHeight="true" ht="16" r="233">
      <c r="A233" s="230" t="str">
        <v>car accessories men</v>
      </c>
    </row>
    <row customHeight="true" ht="16" r="234">
      <c r="A234" s="230" t="str">
        <v>link click</v>
      </c>
    </row>
    <row customHeight="true" ht="16" r="235">
      <c r="A235" s="230" t="str">
        <v>cami</v>
      </c>
    </row>
    <row customHeight="true" ht="16" r="236">
      <c r="A236" s="230" t="str">
        <v>warehouse amazon warehouse deals</v>
      </c>
    </row>
    <row customHeight="true" ht="16" r="237">
      <c r="A237" s="230" t="str">
        <v>dash cam ring</v>
      </c>
    </row>
    <row customHeight="true" ht="16" r="238">
      <c r="A238" s="230" t="str">
        <v>wifi dash cam front and rear</v>
      </c>
    </row>
    <row customHeight="true" ht="16" r="239">
      <c r="A239" s="230" t="str">
        <v>car screen</v>
      </c>
    </row>
    <row customHeight="true" ht="16" r="240">
      <c r="A240" s="230" t="str">
        <v>dashcam front and rear</v>
      </c>
    </row>
  </sheetData>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21"/>
    <col collapsed="false" customWidth="true" hidden="false" max="10" min="10" style="0" width="21"/>
    <col collapsed="false" customWidth="true" hidden="false" max="11" min="11" style="0" width="18"/>
  </cols>
  <sheetData>
    <row r="1">
      <c r="A1" s="343" t="str">
        <v>JP补货模型</v>
      </c>
      <c r="B1" s="343" t="str">
        <v>SKU</v>
      </c>
      <c r="C1" s="349" t="str">
        <v>可售月（发货值1.5）</v>
      </c>
      <c r="D1" s="344" t="str">
        <v>FBA库存</v>
      </c>
      <c r="E1" s="344" t="str">
        <v>未交订单</v>
      </c>
      <c r="F1" s="344" t="str">
        <v>工厂</v>
      </c>
      <c r="G1" s="344" t="str">
        <v>海外仓</v>
      </c>
      <c r="H1" s="344" t="str">
        <v>路上</v>
      </c>
      <c r="I1" s="344" t="str">
        <v>30天销量</v>
      </c>
      <c r="J1" s="342" t="str">
        <v>可售月（下单值2）</v>
      </c>
      <c r="K1" s="350"/>
    </row>
    <row r="2">
      <c r="A2" s="339"/>
      <c r="B2" s="339" t="str">
        <v>D18</v>
      </c>
      <c r="C2" s="340">
        <f>(D2+F2+G2+H2)/I2</f>
      </c>
      <c r="D2" s="351">
        <v>210</v>
      </c>
      <c r="E2" s="351">
        <v>500</v>
      </c>
      <c r="F2" s="339"/>
      <c r="G2" s="339"/>
      <c r="H2" s="339"/>
      <c r="I2" s="351">
        <v>300</v>
      </c>
      <c r="J2" s="340">
        <f>(D2+E2+F2+G2+H2)/I2</f>
      </c>
      <c r="K2" s="339"/>
    </row>
    <row r="3">
      <c r="A3" s="339"/>
      <c r="B3" s="339" t="str">
        <v>D19</v>
      </c>
      <c r="C3" s="340">
        <f>(D3+F3+G3+H3)/I3</f>
      </c>
      <c r="D3" s="339"/>
      <c r="E3" s="339"/>
      <c r="F3" s="339"/>
      <c r="G3" s="339"/>
      <c r="H3" s="339"/>
      <c r="I3" s="339">
        <v>500</v>
      </c>
      <c r="J3" s="340">
        <f>(D3+E3+F3+G3+H3)/I3</f>
      </c>
      <c r="K3" s="339"/>
    </row>
    <row r="4">
      <c r="A4" s="339"/>
      <c r="B4" s="339" t="str">
        <v>D20</v>
      </c>
      <c r="C4" s="340">
        <f>(D4+F4+G4+H4)/I4</f>
      </c>
      <c r="D4" s="339"/>
      <c r="E4" s="339"/>
      <c r="F4" s="339"/>
      <c r="G4" s="339"/>
      <c r="H4" s="339"/>
      <c r="I4" s="339">
        <v>600</v>
      </c>
      <c r="J4" s="340">
        <f>(D4+E4+F4+G4+H4)/I4</f>
      </c>
      <c r="K4" s="339"/>
    </row>
    <row r="5">
      <c r="A5" s="339"/>
      <c r="B5" s="339" t="str">
        <v>D21</v>
      </c>
      <c r="C5" s="340">
        <f>(D5+F5+G5+H5)/I5</f>
      </c>
      <c r="D5" s="339"/>
      <c r="E5" s="339"/>
      <c r="F5" s="339"/>
      <c r="G5" s="339"/>
      <c r="H5" s="339"/>
      <c r="I5" s="339">
        <v>800</v>
      </c>
      <c r="J5" s="340">
        <f>(D5+E5+F5+G5+H5)/I5</f>
      </c>
      <c r="K5" s="339"/>
    </row>
    <row r="6">
      <c r="A6" s="339"/>
      <c r="B6" s="339"/>
      <c r="C6" s="340"/>
      <c r="D6" s="339"/>
      <c r="E6" s="339"/>
      <c r="F6" s="339"/>
      <c r="G6" s="339"/>
      <c r="H6" s="339"/>
      <c r="I6" s="339"/>
      <c r="J6" s="340"/>
      <c r="K6" s="339"/>
    </row>
    <row r="7">
      <c r="A7" s="339"/>
      <c r="B7" s="339"/>
      <c r="C7" s="340"/>
      <c r="D7" s="339"/>
      <c r="E7" s="339"/>
      <c r="F7" s="339"/>
      <c r="G7" s="339"/>
      <c r="H7" s="339"/>
      <c r="I7" s="339"/>
      <c r="J7" s="340"/>
      <c r="K7" s="339"/>
    </row>
    <row r="8">
      <c r="A8" s="339"/>
      <c r="B8" s="339"/>
      <c r="C8" s="340"/>
      <c r="D8" s="339"/>
      <c r="E8" s="339"/>
      <c r="F8" s="339"/>
      <c r="G8" s="339"/>
      <c r="H8" s="339"/>
      <c r="I8" s="339"/>
      <c r="J8" s="340"/>
      <c r="K8" s="339"/>
    </row>
    <row r="9">
      <c r="A9" s="343" t="str">
        <v>US补货模型</v>
      </c>
      <c r="B9" s="343" t="str">
        <v>SKU</v>
      </c>
      <c r="C9" s="342" t="str">
        <v>可售月（发货值2）</v>
      </c>
      <c r="D9" s="344" t="str">
        <v>FBA库存</v>
      </c>
      <c r="E9" s="344" t="str">
        <v>未交订单</v>
      </c>
      <c r="F9" s="344" t="str">
        <v>工厂</v>
      </c>
      <c r="G9" s="344" t="str">
        <v>海外仓</v>
      </c>
      <c r="H9" s="344" t="str">
        <v>路上</v>
      </c>
      <c r="I9" s="344" t="str">
        <v>30天销量</v>
      </c>
      <c r="J9" s="342" t="str">
        <v>可售月（下单值2.5）</v>
      </c>
      <c r="K9" s="339"/>
    </row>
    <row r="10">
      <c r="A10" s="339"/>
      <c r="B10" s="339" t="str">
        <v>D18</v>
      </c>
      <c r="C10" s="340">
        <f>(D10+F10+G10+H10)/I10</f>
      </c>
      <c r="D10" s="339">
        <v>210</v>
      </c>
      <c r="E10" s="339">
        <v>500</v>
      </c>
      <c r="F10" s="339"/>
      <c r="G10" s="339"/>
      <c r="H10" s="339"/>
      <c r="I10" s="339">
        <v>300</v>
      </c>
      <c r="J10" s="340">
        <f>(D10+E10+F10+G10+H10)/I10</f>
      </c>
      <c r="K10" s="339"/>
    </row>
    <row r="11">
      <c r="A11" s="339"/>
      <c r="B11" s="339" t="str">
        <v>D19</v>
      </c>
      <c r="C11" s="340">
        <f>(D11+F11+G11+H11)/I11</f>
      </c>
      <c r="D11" s="339"/>
      <c r="E11" s="339"/>
      <c r="F11" s="339"/>
      <c r="G11" s="339"/>
      <c r="H11" s="339"/>
      <c r="I11" s="339">
        <v>500</v>
      </c>
      <c r="J11" s="340">
        <f>(D11+E11+F11+G11+H11)/I11</f>
      </c>
      <c r="K11" s="339"/>
    </row>
    <row customHeight="true" ht="19" r="12">
      <c r="A12" s="339"/>
      <c r="B12" s="339" t="str">
        <v>D20</v>
      </c>
      <c r="C12" s="340">
        <f>(D12+F12+G12+H12)/I12</f>
      </c>
      <c r="D12" s="339"/>
      <c r="E12" s="339"/>
      <c r="F12" s="339"/>
      <c r="G12" s="339"/>
      <c r="H12" s="339"/>
      <c r="I12" s="339">
        <v>600</v>
      </c>
      <c r="J12" s="340">
        <f>(D12+E12+F12+G12+H12)/I12</f>
      </c>
      <c r="K12" s="339"/>
    </row>
    <row customHeight="true" ht="19" r="13">
      <c r="A13" s="339"/>
      <c r="B13" s="339" t="str">
        <v>D21</v>
      </c>
      <c r="C13" s="340">
        <f>(D13+F13+G13+H13)/I13</f>
      </c>
      <c r="D13" s="339"/>
      <c r="E13" s="339"/>
      <c r="F13" s="339"/>
      <c r="G13" s="339"/>
      <c r="H13" s="339"/>
      <c r="I13" s="339">
        <v>800</v>
      </c>
      <c r="J13" s="340">
        <f>(D13+E13+F13+G13+H13)/I13</f>
      </c>
      <c r="K13" s="339"/>
    </row>
    <row r="14">
      <c r="A14" s="339"/>
      <c r="B14" s="339"/>
      <c r="C14" s="341"/>
      <c r="D14" s="339"/>
      <c r="E14" s="339"/>
      <c r="F14" s="339"/>
      <c r="G14" s="339"/>
      <c r="H14" s="339"/>
      <c r="I14" s="339"/>
      <c r="J14" s="340"/>
      <c r="K14" s="339"/>
    </row>
    <row r="15">
      <c r="A15" s="345" t="str">
        <v>补货申请单</v>
      </c>
      <c r="B15" s="345"/>
      <c r="C15" s="345"/>
      <c r="D15" s="345"/>
      <c r="E15" s="345"/>
      <c r="F15" s="345"/>
      <c r="G15" s="345"/>
      <c r="H15" s="345"/>
      <c r="I15" s="345"/>
      <c r="J15" s="345"/>
      <c r="K15" s="346" t="str">
        <v>采购填写</v>
      </c>
    </row>
    <row r="16">
      <c r="A16" s="339" t="str">
        <v>申请人</v>
      </c>
      <c r="B16" s="339" t="str">
        <v>申请日期</v>
      </c>
      <c r="C16" s="341" t="str">
        <v>asin</v>
      </c>
      <c r="D16" s="339" t="str">
        <v>fnsku</v>
      </c>
      <c r="E16" s="339" t="str">
        <v>数量</v>
      </c>
      <c r="F16" s="339" t="str">
        <v>补货原因</v>
      </c>
      <c r="G16" s="339" t="str">
        <v>上级审核</v>
      </c>
      <c r="H16" s="339" t="str">
        <v>盒标</v>
      </c>
      <c r="I16" s="339" t="str">
        <v>箱标</v>
      </c>
      <c r="J16" s="347" t="str">
        <v>物流方式</v>
      </c>
      <c r="K16" s="348" t="str">
        <v>预计到达日期</v>
      </c>
    </row>
    <row r="17">
      <c r="A17" s="339"/>
      <c r="B17" s="339"/>
      <c r="C17" s="341"/>
      <c r="D17" s="339"/>
      <c r="E17" s="339"/>
      <c r="F17" s="339" t="str">
        <v>截图可售月份</v>
      </c>
      <c r="G17" s="339"/>
      <c r="H17" s="339"/>
      <c r="I17" s="339"/>
      <c r="J17" s="340"/>
      <c r="K17" s="339"/>
    </row>
    <row r="18">
      <c r="A18" s="339"/>
      <c r="B18" s="339"/>
      <c r="C18" s="341"/>
      <c r="D18" s="339"/>
      <c r="E18" s="339"/>
      <c r="F18" s="339"/>
      <c r="G18" s="339"/>
      <c r="H18" s="339"/>
      <c r="I18" s="339"/>
      <c r="J18" s="340"/>
      <c r="K18" s="339"/>
    </row>
    <row r="19">
      <c r="A19" s="339"/>
      <c r="B19" s="339"/>
      <c r="C19" s="341"/>
      <c r="D19" s="339"/>
      <c r="E19" s="339"/>
      <c r="F19" s="339"/>
      <c r="G19" s="339"/>
      <c r="H19" s="339"/>
      <c r="I19" s="339"/>
      <c r="J19" s="340"/>
      <c r="K19" s="339"/>
    </row>
    <row r="20">
      <c r="J20" s="338"/>
    </row>
    <row r="21">
      <c r="J21" s="338"/>
    </row>
    <row r="22">
      <c r="J22" s="338"/>
    </row>
    <row r="23">
      <c r="J23" s="338"/>
    </row>
    <row r="24">
      <c r="J24" s="338"/>
    </row>
    <row r="25">
      <c r="J25" s="338"/>
    </row>
    <row r="26">
      <c r="J26" s="338"/>
    </row>
    <row r="27">
      <c r="J27" s="338"/>
    </row>
    <row r="28">
      <c r="J28" s="338"/>
    </row>
    <row r="29">
      <c r="J29" s="338"/>
    </row>
    <row r="30">
      <c r="J30" s="338"/>
    </row>
    <row r="31">
      <c r="J31" s="338"/>
    </row>
    <row r="32">
      <c r="J32" s="338"/>
    </row>
    <row r="33">
      <c r="J33" s="338"/>
    </row>
    <row r="34">
      <c r="J34" s="338"/>
    </row>
    <row r="35">
      <c r="J35" s="338"/>
    </row>
    <row r="36">
      <c r="J36" s="338"/>
    </row>
    <row r="37">
      <c r="J37" s="338"/>
    </row>
    <row r="38">
      <c r="J38" s="338"/>
    </row>
    <row r="39">
      <c r="J39" s="338"/>
    </row>
    <row r="40">
      <c r="J40" s="338"/>
    </row>
    <row r="41">
      <c r="J41" s="338"/>
    </row>
    <row r="42">
      <c r="J42" s="338"/>
    </row>
    <row r="43">
      <c r="J43" s="338"/>
    </row>
    <row r="44">
      <c r="J44" s="338"/>
    </row>
    <row r="45">
      <c r="J45" s="338"/>
    </row>
    <row r="46">
      <c r="J46" s="338"/>
    </row>
    <row r="47">
      <c r="J47" s="338"/>
    </row>
    <row r="48">
      <c r="J48" s="338"/>
    </row>
    <row r="49">
      <c r="J49" s="338"/>
    </row>
    <row r="50">
      <c r="J50" s="338"/>
    </row>
    <row r="51">
      <c r="J51" s="338"/>
    </row>
    <row r="52">
      <c r="J52" s="338"/>
    </row>
    <row r="53">
      <c r="J53" s="338"/>
    </row>
    <row r="54">
      <c r="J54" s="338"/>
    </row>
    <row r="55">
      <c r="J55" s="338"/>
    </row>
    <row r="56">
      <c r="J56" s="338"/>
    </row>
    <row r="57">
      <c r="J57" s="338"/>
    </row>
    <row r="58">
      <c r="J58" s="338"/>
    </row>
    <row r="59">
      <c r="J59" s="338"/>
    </row>
    <row r="60">
      <c r="J60" s="338"/>
    </row>
    <row r="61">
      <c r="J61" s="338"/>
    </row>
    <row r="62">
      <c r="J62" s="338"/>
    </row>
    <row r="63">
      <c r="J63" s="338"/>
    </row>
    <row r="64">
      <c r="J64" s="338"/>
    </row>
    <row r="65">
      <c r="J65" s="338"/>
    </row>
    <row r="66">
      <c r="J66" s="338"/>
    </row>
    <row r="67">
      <c r="J67" s="338"/>
    </row>
    <row r="68">
      <c r="J68" s="338"/>
    </row>
    <row r="69">
      <c r="J69" s="338"/>
    </row>
    <row r="70">
      <c r="J70" s="338"/>
    </row>
    <row r="71">
      <c r="J71" s="338"/>
    </row>
    <row r="72">
      <c r="J72" s="338"/>
    </row>
    <row r="73">
      <c r="J73" s="338"/>
    </row>
    <row r="74">
      <c r="J74" s="338"/>
    </row>
    <row r="75">
      <c r="J75" s="338"/>
    </row>
    <row r="76">
      <c r="J76" s="338"/>
    </row>
    <row r="77">
      <c r="J77" s="338"/>
    </row>
    <row r="78">
      <c r="J78" s="338"/>
    </row>
    <row r="79">
      <c r="J79" s="338"/>
    </row>
    <row r="80">
      <c r="J80" s="338"/>
    </row>
    <row r="81">
      <c r="J81" s="338"/>
    </row>
    <row r="82">
      <c r="J82" s="338"/>
    </row>
    <row r="83">
      <c r="J83" s="338"/>
    </row>
    <row r="84">
      <c r="J84" s="338"/>
    </row>
    <row r="85">
      <c r="J85" s="338"/>
    </row>
    <row r="86">
      <c r="J86" s="338"/>
    </row>
    <row r="87">
      <c r="J87" s="338"/>
    </row>
    <row r="88">
      <c r="J88" s="338"/>
    </row>
    <row r="89">
      <c r="J89" s="338"/>
    </row>
    <row r="90">
      <c r="J90" s="338"/>
    </row>
    <row r="91">
      <c r="J91" s="338"/>
    </row>
    <row r="92">
      <c r="J92" s="338"/>
    </row>
    <row r="93">
      <c r="J93" s="338"/>
    </row>
    <row r="94">
      <c r="J94" s="338"/>
    </row>
    <row r="95">
      <c r="J95" s="338"/>
    </row>
    <row r="96">
      <c r="J96" s="338"/>
    </row>
    <row r="97">
      <c r="J97" s="338"/>
    </row>
    <row r="98">
      <c r="J98" s="338"/>
    </row>
    <row r="99">
      <c r="J99" s="338"/>
    </row>
    <row r="100">
      <c r="J100" s="338"/>
    </row>
    <row r="101">
      <c r="J101" s="338"/>
    </row>
    <row r="102">
      <c r="J102" s="338"/>
    </row>
    <row r="103">
      <c r="J103" s="338"/>
    </row>
    <row r="104">
      <c r="J104" s="338"/>
    </row>
    <row r="105">
      <c r="J105" s="338"/>
    </row>
    <row r="106">
      <c r="J106" s="338"/>
    </row>
    <row r="107">
      <c r="J107" s="338"/>
    </row>
    <row r="108">
      <c r="J108" s="338"/>
    </row>
    <row r="109">
      <c r="J109" s="338"/>
    </row>
    <row r="110">
      <c r="J110" s="338"/>
    </row>
    <row r="111">
      <c r="J111" s="338"/>
    </row>
    <row r="112">
      <c r="J112" s="338"/>
    </row>
    <row r="113">
      <c r="J113" s="338"/>
    </row>
    <row r="114">
      <c r="J114" s="338"/>
    </row>
    <row r="115">
      <c r="J115" s="338"/>
    </row>
    <row r="116">
      <c r="J116" s="338"/>
    </row>
    <row r="117">
      <c r="J117" s="338"/>
    </row>
    <row r="118">
      <c r="J118" s="338"/>
    </row>
    <row r="119">
      <c r="J119" s="338"/>
    </row>
    <row r="120">
      <c r="J120" s="338"/>
    </row>
    <row r="121">
      <c r="J121" s="338"/>
    </row>
    <row r="122">
      <c r="J122" s="338"/>
    </row>
    <row r="123">
      <c r="J123" s="338"/>
    </row>
    <row r="124">
      <c r="J124" s="338"/>
    </row>
    <row r="125">
      <c r="J125" s="338"/>
    </row>
    <row r="126">
      <c r="J126" s="338"/>
    </row>
    <row r="127">
      <c r="J127" s="338"/>
    </row>
    <row r="128">
      <c r="J128" s="338"/>
    </row>
    <row r="129">
      <c r="J129" s="338"/>
    </row>
    <row r="130">
      <c r="J130" s="338"/>
    </row>
    <row r="131">
      <c r="J131" s="338"/>
    </row>
    <row r="132">
      <c r="J132" s="338"/>
    </row>
    <row r="133">
      <c r="J133" s="338"/>
    </row>
    <row r="134">
      <c r="J134" s="338"/>
    </row>
    <row r="135">
      <c r="J135" s="338"/>
    </row>
    <row r="136">
      <c r="J136" s="338"/>
    </row>
    <row r="137">
      <c r="J137" s="338"/>
    </row>
    <row r="138">
      <c r="J138" s="338"/>
    </row>
    <row r="139">
      <c r="J139" s="338"/>
    </row>
    <row r="140">
      <c r="J140" s="338"/>
    </row>
    <row r="141">
      <c r="J141" s="338"/>
    </row>
    <row r="142">
      <c r="J142" s="338"/>
    </row>
    <row r="143">
      <c r="J143" s="338"/>
    </row>
    <row r="144">
      <c r="J144" s="338"/>
    </row>
    <row r="145">
      <c r="J145" s="338"/>
    </row>
    <row r="146">
      <c r="J146" s="338"/>
    </row>
    <row r="147">
      <c r="J147" s="338"/>
    </row>
    <row r="148">
      <c r="J148" s="338"/>
    </row>
    <row r="149">
      <c r="J149" s="338"/>
    </row>
    <row r="150">
      <c r="J150" s="338"/>
    </row>
    <row r="151">
      <c r="J151" s="338"/>
    </row>
    <row r="152">
      <c r="J152" s="338"/>
    </row>
    <row r="153">
      <c r="J153" s="338"/>
    </row>
    <row r="154">
      <c r="J154" s="338"/>
    </row>
    <row r="155">
      <c r="J155" s="338"/>
    </row>
    <row r="156">
      <c r="J156" s="338"/>
    </row>
    <row r="157">
      <c r="J157" s="338"/>
    </row>
    <row r="158">
      <c r="J158" s="338"/>
    </row>
    <row r="159">
      <c r="J159" s="338"/>
    </row>
    <row r="160">
      <c r="J160" s="338"/>
    </row>
    <row r="161">
      <c r="J161" s="338"/>
    </row>
    <row r="162">
      <c r="J162" s="338"/>
    </row>
    <row r="163">
      <c r="J163" s="338"/>
    </row>
    <row r="164">
      <c r="J164" s="338"/>
    </row>
    <row r="165">
      <c r="J165" s="338"/>
    </row>
    <row r="166">
      <c r="J166" s="338"/>
    </row>
    <row r="167">
      <c r="J167" s="338"/>
    </row>
    <row r="168">
      <c r="J168" s="338"/>
    </row>
    <row r="169">
      <c r="J169" s="338"/>
    </row>
    <row r="170">
      <c r="J170" s="338"/>
    </row>
    <row r="171">
      <c r="J171" s="338"/>
    </row>
    <row r="172">
      <c r="J172" s="338"/>
    </row>
    <row r="173">
      <c r="J173" s="338"/>
    </row>
    <row r="174">
      <c r="J174" s="338"/>
    </row>
    <row r="175">
      <c r="J175" s="338"/>
    </row>
    <row r="176">
      <c r="J176" s="338"/>
    </row>
    <row r="177">
      <c r="J177" s="338"/>
    </row>
    <row r="178">
      <c r="J178" s="338"/>
    </row>
    <row r="179">
      <c r="J179" s="338"/>
    </row>
    <row r="180">
      <c r="J180" s="338"/>
    </row>
    <row r="181">
      <c r="J181" s="338"/>
    </row>
    <row r="182">
      <c r="J182" s="338"/>
    </row>
    <row r="183">
      <c r="J183" s="338"/>
    </row>
    <row r="184">
      <c r="J184" s="338"/>
    </row>
    <row r="185">
      <c r="J185" s="338"/>
    </row>
    <row r="186">
      <c r="J186" s="338"/>
    </row>
    <row r="187">
      <c r="J187" s="338"/>
    </row>
    <row r="188">
      <c r="J188" s="338"/>
    </row>
    <row r="189">
      <c r="J189" s="338"/>
    </row>
    <row r="190">
      <c r="J190" s="338"/>
    </row>
    <row r="191">
      <c r="J191" s="338"/>
    </row>
    <row r="192">
      <c r="J192" s="338"/>
    </row>
    <row r="193">
      <c r="J193" s="338"/>
    </row>
    <row r="194">
      <c r="J194" s="338"/>
    </row>
    <row r="195">
      <c r="J195" s="338"/>
    </row>
    <row r="196">
      <c r="J196" s="338"/>
    </row>
    <row r="197">
      <c r="J197" s="338"/>
    </row>
    <row r="198">
      <c r="J198" s="338"/>
    </row>
    <row r="199">
      <c r="J199" s="338"/>
    </row>
    <row r="200">
      <c r="J200" s="338"/>
    </row>
    <row r="201">
      <c r="J201" s="338"/>
    </row>
    <row r="202">
      <c r="J202" s="338"/>
    </row>
  </sheetData>
  <mergeCells>
    <mergeCell ref="A15:J15"/>
  </mergeCells>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2"/>
    <col collapsed="false" customWidth="true" hidden="false" max="3" min="3" style="0" width="12"/>
    <col collapsed="false" customWidth="true" hidden="false" max="4" min="4" style="0" width="12"/>
    <col collapsed="false" customWidth="true" hidden="false" max="5" min="5" style="0" width="12"/>
    <col collapsed="false" customWidth="true" hidden="false" max="6" min="6" style="0" width="12"/>
    <col collapsed="false" customWidth="true" hidden="false" max="7" min="7" style="0" width="12"/>
    <col collapsed="false" customWidth="true" hidden="false" max="8" min="8" style="0" width="12"/>
    <col collapsed="false" customWidth="true" hidden="false" max="9" min="9" style="0" width="12"/>
    <col collapsed="false" customWidth="true" hidden="false" max="10" min="10" style="0" width="12"/>
    <col collapsed="false" customWidth="true" hidden="false" max="11" min="11" style="0" width="12"/>
    <col collapsed="false" customWidth="true" hidden="false" max="12" min="12" style="0" width="12"/>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2"/>
    <col collapsed="false" customWidth="true" hidden="false" max="19" min="19" style="0" width="12"/>
    <col collapsed="false" customWidth="true" hidden="false" max="20" min="20" style="0" width="12"/>
    <col collapsed="false" customWidth="true" hidden="false" max="21" min="21" style="0" width="12"/>
    <col collapsed="false" customWidth="true" hidden="false" max="22" min="22" style="0" width="12"/>
    <col collapsed="false" customWidth="true" hidden="false" max="23" min="23" style="0" width="12"/>
    <col collapsed="false" customWidth="true" hidden="false" max="24" min="24" style="0" width="12"/>
    <col collapsed="false" customWidth="true" hidden="false" max="25" min="25" style="0" width="12"/>
    <col collapsed="false" customWidth="true" hidden="false" max="26" min="26" style="0" width="12"/>
    <col collapsed="false" customWidth="true" hidden="false" max="27" min="27" style="0" width="12"/>
    <col collapsed="false" customWidth="true" hidden="false" max="28" min="28" style="0" width="12"/>
    <col collapsed="false" customWidth="true" hidden="false" max="29" min="29" style="0" width="12"/>
    <col collapsed="false" customWidth="true" hidden="false" max="30" min="30" style="0" width="12"/>
    <col collapsed="false" customWidth="true" hidden="false" max="31" min="31" style="0" width="12"/>
    <col collapsed="false" customWidth="true" hidden="false" max="32" min="32" style="0" width="12"/>
    <col collapsed="false" customWidth="true" hidden="false" max="33" min="33" style="0" width="12"/>
  </cols>
  <sheetData>
    <row r="1">
      <c r="A1" s="358" t="str">
        <v>型号XXX</v>
      </c>
      <c r="B1" s="355"/>
      <c r="C1" s="357">
        <v>46095</v>
      </c>
      <c r="D1" s="357"/>
      <c r="E1" s="357">
        <v>46096</v>
      </c>
      <c r="F1" s="357"/>
      <c r="G1" s="357">
        <v>46097</v>
      </c>
      <c r="H1" s="357"/>
      <c r="I1" s="357">
        <v>46098</v>
      </c>
      <c r="J1" s="357"/>
      <c r="K1" s="357">
        <v>46099</v>
      </c>
      <c r="L1" s="357"/>
      <c r="M1" s="357">
        <v>46100</v>
      </c>
      <c r="N1" s="357"/>
      <c r="O1" s="357">
        <v>46101</v>
      </c>
      <c r="P1" s="357"/>
      <c r="Q1" s="357">
        <v>46102</v>
      </c>
      <c r="R1" s="357"/>
      <c r="S1" s="357">
        <v>46103</v>
      </c>
      <c r="T1" s="357"/>
      <c r="U1" s="357">
        <v>46104</v>
      </c>
      <c r="V1" s="357"/>
      <c r="W1" s="357">
        <v>46105</v>
      </c>
      <c r="X1" s="357"/>
      <c r="Y1" s="357">
        <v>46106</v>
      </c>
      <c r="Z1" s="357"/>
      <c r="AA1" s="357">
        <v>46107</v>
      </c>
      <c r="AB1" s="357"/>
      <c r="AC1" s="357">
        <v>46108</v>
      </c>
      <c r="AD1" s="357"/>
      <c r="AE1" s="357">
        <v>46109</v>
      </c>
      <c r="AF1" s="357"/>
      <c r="AG1" s="357">
        <v>46110</v>
      </c>
      <c r="AH1" s="357"/>
      <c r="AI1" s="357">
        <v>46111</v>
      </c>
      <c r="AJ1" s="357"/>
      <c r="AK1" s="357">
        <v>46112</v>
      </c>
      <c r="AL1" s="357"/>
    </row>
    <row r="2">
      <c r="A2" s="356" t="str">
        <v>#</v>
      </c>
      <c r="B2" s="356" t="str">
        <v>Keyword</v>
      </c>
      <c r="C2" s="355" t="str">
        <v>AD</v>
      </c>
      <c r="D2" s="355" t="str">
        <v>ORGANIC</v>
      </c>
      <c r="E2" s="355" t="str">
        <v>AD</v>
      </c>
      <c r="F2" s="355" t="str">
        <v>ORGANIC</v>
      </c>
      <c r="G2" s="355" t="str">
        <v>AD</v>
      </c>
      <c r="H2" s="355" t="str">
        <v>ORGANIC</v>
      </c>
      <c r="I2" s="355" t="str">
        <v>AD</v>
      </c>
      <c r="J2" s="355" t="str">
        <v>ORGANIC</v>
      </c>
      <c r="K2" s="355" t="str">
        <v>AD</v>
      </c>
      <c r="L2" s="355" t="str">
        <v>ORGANIC</v>
      </c>
      <c r="M2" s="355" t="str">
        <v>AD</v>
      </c>
      <c r="N2" s="355" t="str">
        <v>ORGANIC</v>
      </c>
      <c r="O2" s="355" t="str">
        <v>AD</v>
      </c>
      <c r="P2" s="355" t="str">
        <v>ORGANIC</v>
      </c>
      <c r="Q2" s="355" t="str">
        <v>AD</v>
      </c>
      <c r="R2" s="355" t="str">
        <v>ORGANIC</v>
      </c>
      <c r="S2" s="355" t="str">
        <v>AD</v>
      </c>
      <c r="T2" s="355" t="str">
        <v>ORGANIC</v>
      </c>
      <c r="U2" s="355" t="str">
        <v>AD</v>
      </c>
      <c r="V2" s="355" t="str">
        <v>ORGANIC</v>
      </c>
      <c r="W2" s="355" t="str">
        <v>AD（广告位）</v>
      </c>
      <c r="X2" s="355" t="str">
        <v>ORGANIC（自然位）</v>
      </c>
      <c r="Y2" s="355" t="str">
        <v>AD（广告位）</v>
      </c>
      <c r="Z2" s="355" t="str">
        <v>ORGANIC（自然位）</v>
      </c>
      <c r="AA2" s="355" t="str">
        <v>AD（广告位）</v>
      </c>
      <c r="AB2" s="355" t="str">
        <v>ORGANIC（自然位）</v>
      </c>
      <c r="AC2" s="355" t="str">
        <v>AD（广告位）</v>
      </c>
      <c r="AD2" s="355" t="str">
        <v>ORGANIC（自然位）</v>
      </c>
      <c r="AE2" s="355" t="str">
        <v>AD（广告位）</v>
      </c>
      <c r="AF2" s="355" t="str">
        <v>ORGANIC（自然位）</v>
      </c>
      <c r="AG2" s="355" t="str">
        <v>AD（广告位）</v>
      </c>
      <c r="AH2" s="355" t="str">
        <v>ORGANIC（自然位）</v>
      </c>
      <c r="AI2" s="355" t="str">
        <v>AD（广告位）</v>
      </c>
      <c r="AJ2" s="355" t="str">
        <v>ORGANIC（自然位）</v>
      </c>
      <c r="AK2" s="355" t="str">
        <v>AD（广告位）</v>
      </c>
      <c r="AL2" s="355" t="str">
        <v>ORGANIC（自然位）</v>
      </c>
    </row>
    <row r="3">
      <c r="A3" s="353">
        <v>1</v>
      </c>
      <c r="B3" s="359"/>
      <c r="C3" s="359"/>
      <c r="D3" s="353"/>
      <c r="E3" s="353"/>
      <c r="F3" s="353"/>
      <c r="G3" s="353"/>
      <c r="H3" s="353"/>
      <c r="I3" s="353"/>
      <c r="J3" s="353"/>
      <c r="K3" s="353"/>
      <c r="L3" s="353"/>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row>
    <row r="4">
      <c r="A4" s="353">
        <v>2</v>
      </c>
      <c r="B4" s="359"/>
      <c r="C4" s="359"/>
      <c r="D4" s="359"/>
      <c r="E4" s="352"/>
      <c r="F4" s="352"/>
      <c r="G4" s="355"/>
      <c r="H4" s="355"/>
      <c r="I4" s="353"/>
      <c r="J4" s="353"/>
      <c r="K4" s="352"/>
      <c r="L4" s="352"/>
      <c r="M4" s="352"/>
      <c r="N4" s="352"/>
      <c r="O4" s="352"/>
      <c r="P4" s="352"/>
      <c r="Q4" s="352"/>
      <c r="R4" s="352"/>
      <c r="S4" s="352"/>
      <c r="T4" s="352"/>
      <c r="U4" s="352"/>
      <c r="V4" s="352"/>
      <c r="W4" s="352"/>
      <c r="X4" s="352"/>
      <c r="Y4" s="352"/>
      <c r="Z4" s="352"/>
      <c r="AA4" s="352"/>
      <c r="AB4" s="352"/>
      <c r="AC4" s="352"/>
      <c r="AD4" s="352"/>
      <c r="AE4" s="352"/>
      <c r="AF4" s="352"/>
      <c r="AG4" s="352"/>
      <c r="AH4" s="352"/>
      <c r="AI4" s="352"/>
      <c r="AJ4" s="352"/>
      <c r="AK4" s="352"/>
      <c r="AL4" s="352"/>
    </row>
    <row r="5">
      <c r="A5" s="353">
        <v>3</v>
      </c>
      <c r="B5" s="359"/>
      <c r="C5" s="359"/>
      <c r="D5" s="359"/>
      <c r="E5" s="352"/>
      <c r="F5" s="352"/>
      <c r="G5" s="355"/>
      <c r="H5" s="352"/>
      <c r="I5" s="353"/>
      <c r="J5" s="353"/>
      <c r="K5" s="352"/>
      <c r="L5" s="352"/>
      <c r="M5" s="352"/>
      <c r="N5" s="352"/>
      <c r="O5" s="352"/>
      <c r="P5" s="352"/>
      <c r="Q5" s="352"/>
      <c r="R5" s="352"/>
      <c r="S5" s="352"/>
      <c r="T5" s="352"/>
      <c r="U5" s="352"/>
      <c r="V5" s="352"/>
      <c r="W5" s="352"/>
      <c r="X5" s="352"/>
      <c r="Y5" s="352"/>
      <c r="Z5" s="352"/>
      <c r="AA5" s="352"/>
      <c r="AB5" s="352"/>
      <c r="AC5" s="352"/>
      <c r="AD5" s="352"/>
      <c r="AE5" s="352"/>
      <c r="AF5" s="352"/>
      <c r="AG5" s="352"/>
      <c r="AH5" s="352"/>
      <c r="AI5" s="352"/>
      <c r="AJ5" s="352"/>
      <c r="AK5" s="352"/>
      <c r="AL5" s="352"/>
    </row>
    <row r="6">
      <c r="A6" s="353">
        <v>4</v>
      </c>
      <c r="B6" s="359"/>
      <c r="C6" s="359"/>
      <c r="D6" s="359"/>
      <c r="E6" s="352"/>
      <c r="F6" s="352"/>
      <c r="G6" s="355"/>
      <c r="H6" s="352"/>
      <c r="I6" s="353"/>
      <c r="J6" s="353"/>
      <c r="K6" s="352"/>
      <c r="L6" s="352"/>
      <c r="M6" s="352"/>
      <c r="N6" s="352"/>
      <c r="O6" s="352"/>
      <c r="P6" s="352"/>
      <c r="Q6" s="352"/>
      <c r="R6" s="352"/>
      <c r="S6" s="352"/>
      <c r="T6" s="352"/>
      <c r="U6" s="352"/>
      <c r="V6" s="352"/>
      <c r="W6" s="352"/>
      <c r="X6" s="352"/>
      <c r="Y6" s="352"/>
      <c r="Z6" s="352"/>
      <c r="AA6" s="352"/>
      <c r="AB6" s="352"/>
      <c r="AC6" s="352"/>
      <c r="AD6" s="352"/>
      <c r="AE6" s="352"/>
      <c r="AF6" s="352"/>
      <c r="AG6" s="352"/>
      <c r="AH6" s="352"/>
      <c r="AI6" s="352"/>
      <c r="AJ6" s="352"/>
      <c r="AK6" s="352"/>
      <c r="AL6" s="352"/>
    </row>
    <row r="7">
      <c r="A7" s="353">
        <v>5</v>
      </c>
      <c r="B7" s="359"/>
      <c r="C7" s="359"/>
      <c r="D7" s="359"/>
      <c r="E7" s="352"/>
      <c r="F7" s="352"/>
      <c r="G7" s="355"/>
      <c r="H7" s="352"/>
      <c r="I7" s="353"/>
      <c r="J7" s="353"/>
      <c r="K7" s="352"/>
      <c r="L7" s="352"/>
      <c r="M7" s="352"/>
      <c r="N7" s="352"/>
      <c r="O7" s="352"/>
      <c r="P7" s="352"/>
      <c r="Q7" s="352"/>
      <c r="R7" s="352"/>
      <c r="S7" s="352"/>
      <c r="T7" s="352"/>
      <c r="U7" s="352"/>
      <c r="V7" s="352"/>
      <c r="W7" s="352"/>
      <c r="X7" s="352"/>
      <c r="Y7" s="352"/>
      <c r="Z7" s="352"/>
      <c r="AA7" s="352"/>
      <c r="AB7" s="352"/>
      <c r="AC7" s="352"/>
      <c r="AD7" s="352"/>
      <c r="AE7" s="352"/>
      <c r="AF7" s="352"/>
      <c r="AG7" s="352"/>
      <c r="AH7" s="352"/>
      <c r="AI7" s="352"/>
      <c r="AJ7" s="352"/>
      <c r="AK7" s="352"/>
      <c r="AL7" s="352"/>
    </row>
    <row r="8">
      <c r="A8" s="353">
        <v>6</v>
      </c>
      <c r="B8" s="352"/>
      <c r="C8" s="352"/>
      <c r="D8" s="352"/>
      <c r="E8" s="352"/>
      <c r="F8" s="352"/>
      <c r="G8" s="352"/>
      <c r="H8" s="352"/>
      <c r="I8" s="352"/>
      <c r="J8" s="352"/>
      <c r="K8" s="352"/>
      <c r="L8" s="352"/>
      <c r="M8" s="352"/>
      <c r="N8" s="352"/>
      <c r="O8" s="352"/>
      <c r="P8" s="352"/>
      <c r="Q8" s="352"/>
      <c r="R8" s="352"/>
      <c r="S8" s="352"/>
      <c r="T8" s="352"/>
      <c r="U8" s="352"/>
      <c r="V8" s="352"/>
      <c r="W8" s="352"/>
      <c r="X8" s="352"/>
      <c r="Y8" s="352"/>
      <c r="Z8" s="352"/>
      <c r="AA8" s="352"/>
      <c r="AB8" s="352"/>
      <c r="AC8" s="352"/>
      <c r="AD8" s="352"/>
      <c r="AE8" s="352"/>
      <c r="AF8" s="352"/>
      <c r="AG8" s="352"/>
      <c r="AH8" s="352"/>
      <c r="AI8" s="352"/>
      <c r="AJ8" s="352"/>
      <c r="AK8" s="352"/>
      <c r="AL8" s="352"/>
    </row>
    <row r="9">
      <c r="A9" s="353">
        <v>7</v>
      </c>
      <c r="B9" s="352"/>
      <c r="C9" s="352"/>
      <c r="D9" s="352"/>
      <c r="E9" s="352"/>
      <c r="F9" s="352"/>
      <c r="G9" s="352"/>
      <c r="H9" s="352"/>
      <c r="I9" s="352"/>
      <c r="J9" s="352"/>
      <c r="K9" s="352"/>
      <c r="L9" s="352"/>
      <c r="M9" s="352"/>
      <c r="N9" s="352"/>
      <c r="O9" s="352"/>
      <c r="P9" s="352"/>
      <c r="Q9" s="352"/>
      <c r="R9" s="352"/>
      <c r="S9" s="352"/>
      <c r="T9" s="352"/>
      <c r="U9" s="352"/>
      <c r="V9" s="352"/>
      <c r="W9" s="352"/>
      <c r="X9" s="352"/>
      <c r="Y9" s="352"/>
      <c r="Z9" s="352"/>
      <c r="AA9" s="352"/>
      <c r="AB9" s="352"/>
      <c r="AC9" s="352"/>
      <c r="AD9" s="352"/>
      <c r="AE9" s="352"/>
      <c r="AF9" s="352"/>
      <c r="AG9" s="352"/>
      <c r="AH9" s="352"/>
      <c r="AI9" s="352"/>
      <c r="AJ9" s="352"/>
      <c r="AK9" s="352"/>
      <c r="AL9" s="352"/>
    </row>
    <row r="10">
      <c r="A10" s="353">
        <v>8</v>
      </c>
      <c r="B10" s="352"/>
      <c r="C10" s="352"/>
      <c r="D10" s="352"/>
      <c r="E10" s="352"/>
      <c r="F10" s="352"/>
      <c r="G10" s="352"/>
      <c r="H10" s="352"/>
      <c r="I10" s="352"/>
      <c r="J10" s="352"/>
      <c r="K10" s="352"/>
      <c r="L10" s="352"/>
      <c r="M10" s="352"/>
      <c r="N10" s="352"/>
      <c r="O10" s="352"/>
      <c r="P10" s="352"/>
      <c r="Q10" s="352"/>
      <c r="R10" s="352"/>
      <c r="S10" s="352"/>
      <c r="T10" s="352"/>
      <c r="U10" s="352"/>
      <c r="V10" s="352"/>
      <c r="W10" s="352"/>
      <c r="X10" s="352"/>
      <c r="Y10" s="352"/>
      <c r="Z10" s="352"/>
      <c r="AA10" s="352"/>
      <c r="AB10" s="352"/>
      <c r="AC10" s="352"/>
      <c r="AD10" s="352"/>
      <c r="AE10" s="352"/>
      <c r="AF10" s="352"/>
      <c r="AG10" s="352"/>
      <c r="AH10" s="352"/>
      <c r="AI10" s="352"/>
      <c r="AJ10" s="352"/>
      <c r="AK10" s="352"/>
      <c r="AL10" s="352"/>
    </row>
    <row r="11">
      <c r="A11" s="353">
        <v>9</v>
      </c>
      <c r="B11" s="352"/>
      <c r="C11" s="352"/>
      <c r="D11" s="352"/>
      <c r="E11" s="352"/>
      <c r="F11" s="352"/>
      <c r="G11" s="352"/>
      <c r="H11" s="352"/>
      <c r="I11" s="352"/>
      <c r="J11" s="352"/>
      <c r="K11" s="352"/>
      <c r="L11" s="352"/>
      <c r="M11" s="352"/>
      <c r="N11" s="352"/>
      <c r="O11" s="352"/>
      <c r="P11" s="352"/>
      <c r="Q11" s="352"/>
      <c r="R11" s="352"/>
      <c r="S11" s="352"/>
      <c r="T11" s="352"/>
      <c r="U11" s="352"/>
      <c r="V11" s="352"/>
      <c r="W11" s="352"/>
      <c r="X11" s="352"/>
      <c r="Y11" s="352"/>
      <c r="Z11" s="352"/>
      <c r="AA11" s="352"/>
      <c r="AB11" s="352"/>
      <c r="AC11" s="352"/>
      <c r="AD11" s="352"/>
      <c r="AE11" s="352"/>
      <c r="AF11" s="352"/>
      <c r="AG11" s="352"/>
      <c r="AH11" s="352"/>
      <c r="AI11" s="352"/>
      <c r="AJ11" s="352"/>
      <c r="AK11" s="352"/>
      <c r="AL11" s="352"/>
    </row>
    <row r="12">
      <c r="A12" s="353">
        <v>10</v>
      </c>
      <c r="B12" s="352"/>
      <c r="C12" s="352"/>
      <c r="D12" s="352"/>
      <c r="E12" s="352"/>
      <c r="F12" s="352"/>
      <c r="G12" s="352"/>
      <c r="H12" s="352"/>
      <c r="I12" s="352"/>
      <c r="J12" s="352"/>
      <c r="K12" s="352"/>
      <c r="L12" s="352"/>
      <c r="M12" s="352"/>
      <c r="N12" s="352"/>
      <c r="O12" s="352"/>
      <c r="P12" s="352"/>
      <c r="Q12" s="352"/>
      <c r="R12" s="352"/>
      <c r="S12" s="352"/>
      <c r="T12" s="352"/>
      <c r="U12" s="352"/>
      <c r="V12" s="352"/>
      <c r="W12" s="352"/>
      <c r="X12" s="352"/>
      <c r="Y12" s="352"/>
      <c r="Z12" s="352"/>
      <c r="AA12" s="352"/>
      <c r="AB12" s="352"/>
      <c r="AC12" s="352"/>
      <c r="AD12" s="352"/>
      <c r="AE12" s="352"/>
      <c r="AF12" s="352"/>
      <c r="AG12" s="352"/>
      <c r="AH12" s="352"/>
      <c r="AI12" s="352"/>
      <c r="AJ12" s="352"/>
      <c r="AK12" s="352"/>
      <c r="AL12" s="352"/>
    </row>
    <row r="13">
      <c r="A13" s="353"/>
      <c r="B13" s="352"/>
      <c r="C13" s="352"/>
      <c r="D13" s="352"/>
      <c r="E13" s="352"/>
      <c r="F13" s="352"/>
      <c r="G13" s="352"/>
      <c r="H13" s="352"/>
      <c r="I13" s="352"/>
      <c r="J13" s="352"/>
      <c r="K13" s="352"/>
      <c r="L13" s="352"/>
      <c r="M13" s="352"/>
      <c r="N13" s="352"/>
      <c r="O13" s="352"/>
      <c r="P13" s="352"/>
      <c r="Q13" s="352"/>
      <c r="R13" s="352"/>
      <c r="S13" s="352"/>
      <c r="T13" s="352"/>
      <c r="U13" s="352"/>
      <c r="V13" s="352"/>
      <c r="W13" s="352"/>
      <c r="X13" s="352"/>
      <c r="Y13" s="352"/>
      <c r="Z13" s="352"/>
      <c r="AA13" s="352"/>
      <c r="AB13" s="352"/>
      <c r="AC13" s="352"/>
      <c r="AD13" s="352"/>
      <c r="AE13" s="352"/>
      <c r="AF13" s="352"/>
      <c r="AG13" s="352"/>
      <c r="AH13" s="352"/>
      <c r="AI13" s="352"/>
      <c r="AJ13" s="352"/>
      <c r="AK13" s="352"/>
      <c r="AL13" s="352"/>
    </row>
    <row r="14">
      <c r="A14" s="358" t="str">
        <v>型号XXX</v>
      </c>
      <c r="B14" s="355"/>
      <c r="C14" s="357">
        <v>46095</v>
      </c>
      <c r="D14" s="357"/>
      <c r="E14" s="357">
        <v>46096</v>
      </c>
      <c r="F14" s="357"/>
      <c r="G14" s="357">
        <v>46097</v>
      </c>
      <c r="H14" s="357"/>
      <c r="I14" s="357">
        <v>46098</v>
      </c>
      <c r="J14" s="357"/>
      <c r="K14" s="357">
        <v>46099</v>
      </c>
      <c r="L14" s="357"/>
      <c r="M14" s="357">
        <v>46100</v>
      </c>
      <c r="N14" s="357"/>
      <c r="O14" s="357">
        <v>46101</v>
      </c>
      <c r="P14" s="357"/>
      <c r="Q14" s="357">
        <v>46102</v>
      </c>
      <c r="R14" s="357"/>
      <c r="S14" s="357">
        <v>46103</v>
      </c>
      <c r="T14" s="357"/>
      <c r="U14" s="357">
        <v>46104</v>
      </c>
      <c r="V14" s="357"/>
      <c r="W14" s="357">
        <v>46105</v>
      </c>
      <c r="X14" s="357"/>
      <c r="Y14" s="357">
        <v>46106</v>
      </c>
      <c r="Z14" s="357"/>
      <c r="AA14" s="357">
        <v>46107</v>
      </c>
      <c r="AB14" s="357"/>
      <c r="AC14" s="357">
        <v>46108</v>
      </c>
      <c r="AD14" s="357"/>
      <c r="AE14" s="357">
        <v>46109</v>
      </c>
      <c r="AF14" s="357"/>
      <c r="AG14" s="357">
        <v>46110</v>
      </c>
      <c r="AH14" s="357"/>
      <c r="AI14" s="357">
        <v>46111</v>
      </c>
      <c r="AJ14" s="357"/>
      <c r="AK14" s="357">
        <v>46112</v>
      </c>
      <c r="AL14" s="357"/>
    </row>
    <row r="15">
      <c r="A15" s="356" t="str">
        <v>#</v>
      </c>
      <c r="B15" s="356" t="str">
        <v>Keyword</v>
      </c>
      <c r="C15" s="355" t="str">
        <v>AD</v>
      </c>
      <c r="D15" s="355" t="str">
        <v>ORGANIC</v>
      </c>
      <c r="E15" s="355" t="str">
        <v>AD</v>
      </c>
      <c r="F15" s="355" t="str">
        <v>ORGANIC</v>
      </c>
      <c r="G15" s="355" t="str">
        <v>AD</v>
      </c>
      <c r="H15" s="355" t="str">
        <v>ORGANIC</v>
      </c>
      <c r="I15" s="355" t="str">
        <v>AD</v>
      </c>
      <c r="J15" s="355" t="str">
        <v>ORGANIC</v>
      </c>
      <c r="K15" s="355" t="str">
        <v>AD</v>
      </c>
      <c r="L15" s="355" t="str">
        <v>ORGANIC</v>
      </c>
      <c r="M15" s="355" t="str">
        <v>AD</v>
      </c>
      <c r="N15" s="355" t="str">
        <v>ORGANIC</v>
      </c>
      <c r="O15" s="355" t="str">
        <v>AD</v>
      </c>
      <c r="P15" s="355" t="str">
        <v>ORGANIC</v>
      </c>
      <c r="Q15" s="355" t="str">
        <v>AD</v>
      </c>
      <c r="R15" s="355" t="str">
        <v>ORGANIC</v>
      </c>
      <c r="S15" s="355" t="str">
        <v>AD</v>
      </c>
      <c r="T15" s="355" t="str">
        <v>ORGANIC</v>
      </c>
      <c r="U15" s="355" t="str">
        <v>AD</v>
      </c>
      <c r="V15" s="355" t="str">
        <v>ORGANIC</v>
      </c>
      <c r="W15" s="355" t="str">
        <v>AD（广告位）</v>
      </c>
      <c r="X15" s="355" t="str">
        <v>ORGANIC（自然位）</v>
      </c>
      <c r="Y15" s="355" t="str">
        <v>AD（广告位）</v>
      </c>
      <c r="Z15" s="355" t="str">
        <v>ORGANIC（自然位）</v>
      </c>
      <c r="AA15" s="355" t="str">
        <v>AD（广告位）</v>
      </c>
      <c r="AB15" s="355" t="str">
        <v>ORGANIC（自然位）</v>
      </c>
      <c r="AC15" s="355" t="str">
        <v>AD（广告位）</v>
      </c>
      <c r="AD15" s="355" t="str">
        <v>ORGANIC（自然位）</v>
      </c>
      <c r="AE15" s="355" t="str">
        <v>AD（广告位）</v>
      </c>
      <c r="AF15" s="355" t="str">
        <v>ORGANIC（自然位）</v>
      </c>
      <c r="AG15" s="355" t="str">
        <v>AD（广告位）</v>
      </c>
      <c r="AH15" s="355" t="str">
        <v>ORGANIC（自然位）</v>
      </c>
      <c r="AI15" s="355" t="str">
        <v>AD（广告位）</v>
      </c>
      <c r="AJ15" s="355" t="str">
        <v>ORGANIC（自然位）</v>
      </c>
      <c r="AK15" s="355" t="str">
        <v>AD（广告位）</v>
      </c>
      <c r="AL15" s="355" t="str">
        <v>ORGANIC（自然位）</v>
      </c>
    </row>
    <row r="16">
      <c r="A16" s="353">
        <v>1</v>
      </c>
      <c r="B16" s="359"/>
      <c r="C16" s="353"/>
      <c r="D16" s="353"/>
      <c r="E16" s="353"/>
      <c r="F16" s="353"/>
      <c r="G16" s="353"/>
      <c r="H16" s="353"/>
      <c r="I16" s="353"/>
      <c r="J16" s="353"/>
      <c r="K16" s="353"/>
      <c r="L16" s="353"/>
      <c r="M16" s="352"/>
      <c r="N16" s="352"/>
      <c r="O16" s="352"/>
      <c r="P16" s="352"/>
      <c r="Q16" s="352"/>
      <c r="R16" s="352"/>
      <c r="S16" s="352"/>
      <c r="T16" s="352"/>
      <c r="U16" s="352"/>
      <c r="V16" s="352"/>
      <c r="W16" s="352"/>
      <c r="X16" s="352"/>
      <c r="Y16" s="352"/>
      <c r="Z16" s="352"/>
      <c r="AA16" s="352"/>
      <c r="AB16" s="352"/>
      <c r="AC16" s="352"/>
      <c r="AD16" s="352"/>
      <c r="AE16" s="352"/>
      <c r="AF16" s="352"/>
      <c r="AG16" s="352"/>
      <c r="AH16" s="352"/>
      <c r="AI16" s="352"/>
      <c r="AJ16" s="352"/>
      <c r="AK16" s="352"/>
      <c r="AL16" s="352"/>
    </row>
    <row r="17">
      <c r="A17" s="353">
        <v>2</v>
      </c>
      <c r="B17" s="359"/>
      <c r="C17" s="352"/>
      <c r="D17" s="352"/>
      <c r="E17" s="352"/>
      <c r="F17" s="352"/>
      <c r="G17" s="352"/>
      <c r="H17" s="352"/>
      <c r="I17" s="353"/>
      <c r="J17" s="353"/>
      <c r="K17" s="352"/>
      <c r="L17" s="352"/>
      <c r="M17" s="352"/>
      <c r="N17" s="352"/>
      <c r="O17" s="352"/>
      <c r="P17" s="352"/>
      <c r="Q17" s="352"/>
      <c r="R17" s="352"/>
      <c r="S17" s="352"/>
      <c r="T17" s="352"/>
      <c r="U17" s="352"/>
      <c r="V17" s="352"/>
      <c r="W17" s="352"/>
      <c r="X17" s="352"/>
      <c r="Y17" s="352"/>
      <c r="Z17" s="352"/>
      <c r="AA17" s="352"/>
      <c r="AB17" s="352"/>
      <c r="AC17" s="352"/>
      <c r="AD17" s="352"/>
      <c r="AE17" s="352"/>
      <c r="AF17" s="352"/>
      <c r="AG17" s="352"/>
      <c r="AH17" s="352"/>
      <c r="AI17" s="352"/>
      <c r="AJ17" s="352"/>
      <c r="AK17" s="352"/>
      <c r="AL17" s="352"/>
    </row>
    <row r="18">
      <c r="A18" s="353">
        <v>3</v>
      </c>
      <c r="B18" s="359"/>
      <c r="C18" s="352"/>
      <c r="D18" s="352"/>
      <c r="E18" s="352"/>
      <c r="F18" s="352"/>
      <c r="G18" s="352"/>
      <c r="H18" s="352"/>
      <c r="I18" s="353"/>
      <c r="J18" s="353"/>
      <c r="K18" s="352"/>
      <c r="L18" s="352"/>
      <c r="M18" s="352"/>
      <c r="N18" s="352"/>
      <c r="O18" s="352"/>
      <c r="P18" s="352"/>
      <c r="Q18" s="352"/>
      <c r="R18" s="352"/>
      <c r="S18" s="352"/>
      <c r="T18" s="352"/>
      <c r="U18" s="352"/>
      <c r="V18" s="352"/>
      <c r="W18" s="352"/>
      <c r="X18" s="352"/>
      <c r="Y18" s="352"/>
      <c r="Z18" s="352"/>
      <c r="AA18" s="352"/>
      <c r="AB18" s="352"/>
      <c r="AC18" s="352"/>
      <c r="AD18" s="352"/>
      <c r="AE18" s="352"/>
      <c r="AF18" s="352"/>
      <c r="AG18" s="352"/>
      <c r="AH18" s="352"/>
      <c r="AI18" s="352"/>
      <c r="AJ18" s="352"/>
      <c r="AK18" s="352"/>
      <c r="AL18" s="352"/>
    </row>
    <row r="19">
      <c r="A19" s="353">
        <v>4</v>
      </c>
      <c r="B19" s="359"/>
      <c r="C19" s="352"/>
      <c r="D19" s="352"/>
      <c r="E19" s="352"/>
      <c r="F19" s="352"/>
      <c r="G19" s="352"/>
      <c r="H19" s="352"/>
      <c r="I19" s="353"/>
      <c r="J19" s="353"/>
      <c r="K19" s="352"/>
      <c r="L19" s="352"/>
      <c r="M19" s="352"/>
      <c r="N19" s="352"/>
      <c r="O19" s="352"/>
      <c r="P19" s="352"/>
      <c r="Q19" s="352"/>
      <c r="R19" s="352"/>
      <c r="S19" s="352"/>
      <c r="T19" s="352"/>
      <c r="U19" s="352"/>
      <c r="V19" s="352"/>
      <c r="W19" s="352"/>
      <c r="X19" s="352"/>
      <c r="Y19" s="352"/>
      <c r="Z19" s="352"/>
      <c r="AA19" s="352"/>
      <c r="AB19" s="352"/>
      <c r="AC19" s="352"/>
      <c r="AD19" s="352"/>
      <c r="AE19" s="352"/>
      <c r="AF19" s="352"/>
      <c r="AG19" s="352"/>
      <c r="AH19" s="352"/>
      <c r="AI19" s="352"/>
      <c r="AJ19" s="352"/>
      <c r="AK19" s="352"/>
      <c r="AL19" s="352"/>
    </row>
    <row r="20">
      <c r="A20" s="353">
        <v>5</v>
      </c>
      <c r="B20" s="359"/>
      <c r="C20" s="352"/>
      <c r="D20" s="352"/>
      <c r="E20" s="352"/>
      <c r="F20" s="352"/>
      <c r="G20" s="352"/>
      <c r="H20" s="352"/>
      <c r="I20" s="353"/>
      <c r="J20" s="353"/>
      <c r="K20" s="352"/>
      <c r="L20" s="352"/>
      <c r="M20" s="352"/>
      <c r="N20" s="352"/>
      <c r="O20" s="352"/>
      <c r="P20" s="352"/>
      <c r="Q20" s="352"/>
      <c r="R20" s="352"/>
      <c r="S20" s="352"/>
      <c r="T20" s="352"/>
      <c r="U20" s="352"/>
      <c r="V20" s="352"/>
      <c r="W20" s="352"/>
      <c r="X20" s="352"/>
      <c r="Y20" s="352"/>
      <c r="Z20" s="352"/>
      <c r="AA20" s="352"/>
      <c r="AB20" s="352"/>
      <c r="AC20" s="352"/>
      <c r="AD20" s="352"/>
      <c r="AE20" s="352"/>
      <c r="AF20" s="352"/>
      <c r="AG20" s="352"/>
      <c r="AH20" s="352"/>
      <c r="AI20" s="352"/>
      <c r="AJ20" s="352"/>
      <c r="AK20" s="352"/>
      <c r="AL20" s="352"/>
    </row>
    <row r="21">
      <c r="A21" s="353">
        <v>6</v>
      </c>
      <c r="B21" s="352"/>
      <c r="C21" s="352"/>
      <c r="D21" s="352"/>
      <c r="E21" s="352"/>
      <c r="F21" s="352"/>
      <c r="G21" s="352"/>
      <c r="H21" s="352"/>
      <c r="I21" s="353"/>
      <c r="J21" s="353"/>
      <c r="K21" s="352"/>
      <c r="L21" s="352"/>
      <c r="M21" s="352"/>
      <c r="N21" s="352"/>
      <c r="O21" s="352"/>
      <c r="P21" s="352"/>
      <c r="Q21" s="352"/>
      <c r="R21" s="352"/>
      <c r="S21" s="352"/>
      <c r="T21" s="352"/>
      <c r="U21" s="352"/>
      <c r="V21" s="352"/>
      <c r="W21" s="352"/>
      <c r="X21" s="352"/>
      <c r="Y21" s="352"/>
      <c r="Z21" s="352"/>
      <c r="AA21" s="352"/>
      <c r="AB21" s="352"/>
      <c r="AC21" s="352"/>
      <c r="AD21" s="352"/>
      <c r="AE21" s="352"/>
      <c r="AF21" s="352"/>
      <c r="AG21" s="352"/>
      <c r="AH21" s="352"/>
      <c r="AI21" s="352"/>
      <c r="AJ21" s="352"/>
      <c r="AK21" s="352"/>
      <c r="AL21" s="352"/>
    </row>
    <row r="22">
      <c r="A22" s="353">
        <v>7</v>
      </c>
      <c r="B22" s="352"/>
      <c r="C22" s="352"/>
      <c r="D22" s="352"/>
      <c r="E22" s="352"/>
      <c r="F22" s="352"/>
      <c r="G22" s="352"/>
      <c r="H22" s="352"/>
      <c r="I22" s="353"/>
      <c r="J22" s="353"/>
      <c r="K22" s="352"/>
      <c r="L22" s="352"/>
      <c r="M22" s="352"/>
      <c r="N22" s="352"/>
      <c r="O22" s="352"/>
      <c r="P22" s="352"/>
      <c r="Q22" s="352"/>
      <c r="R22" s="352"/>
      <c r="S22" s="352"/>
      <c r="T22" s="352"/>
      <c r="U22" s="352"/>
      <c r="V22" s="352"/>
      <c r="W22" s="352"/>
      <c r="X22" s="352"/>
      <c r="Y22" s="352"/>
      <c r="Z22" s="352"/>
      <c r="AA22" s="352"/>
      <c r="AB22" s="352"/>
      <c r="AC22" s="352"/>
      <c r="AD22" s="352"/>
      <c r="AE22" s="352"/>
      <c r="AF22" s="352"/>
      <c r="AG22" s="352"/>
      <c r="AH22" s="352"/>
      <c r="AI22" s="352"/>
      <c r="AJ22" s="352"/>
      <c r="AK22" s="352"/>
      <c r="AL22" s="352"/>
    </row>
    <row r="23">
      <c r="A23" s="353">
        <v>8</v>
      </c>
      <c r="B23" s="352"/>
      <c r="C23" s="352"/>
      <c r="D23" s="352"/>
      <c r="E23" s="352"/>
      <c r="F23" s="352"/>
      <c r="G23" s="352"/>
      <c r="H23" s="352"/>
      <c r="I23" s="352"/>
      <c r="J23" s="352"/>
      <c r="K23" s="352"/>
      <c r="L23" s="352"/>
      <c r="M23" s="352"/>
      <c r="N23" s="352"/>
      <c r="O23" s="352"/>
      <c r="P23" s="352"/>
      <c r="Q23" s="352"/>
      <c r="R23" s="352"/>
      <c r="S23" s="352"/>
      <c r="T23" s="352"/>
      <c r="U23" s="352"/>
      <c r="V23" s="352"/>
      <c r="W23" s="352"/>
      <c r="X23" s="352"/>
      <c r="Y23" s="352"/>
      <c r="Z23" s="352"/>
      <c r="AA23" s="352"/>
      <c r="AB23" s="352"/>
      <c r="AC23" s="352"/>
      <c r="AD23" s="352"/>
      <c r="AE23" s="352"/>
      <c r="AF23" s="352"/>
      <c r="AG23" s="352"/>
      <c r="AH23" s="352"/>
      <c r="AI23" s="352"/>
      <c r="AJ23" s="352"/>
      <c r="AK23" s="352"/>
      <c r="AL23" s="352"/>
    </row>
    <row r="24">
      <c r="A24" s="353">
        <v>9</v>
      </c>
      <c r="B24" s="352"/>
      <c r="C24" s="352"/>
      <c r="D24" s="352"/>
      <c r="E24" s="352"/>
      <c r="F24" s="352"/>
      <c r="G24" s="352"/>
      <c r="H24" s="352"/>
      <c r="I24" s="352"/>
      <c r="J24" s="352"/>
      <c r="K24" s="352"/>
      <c r="L24" s="352"/>
      <c r="M24" s="352"/>
      <c r="N24" s="352"/>
      <c r="O24" s="352"/>
      <c r="P24" s="352"/>
      <c r="Q24" s="352"/>
      <c r="R24" s="352"/>
      <c r="S24" s="352"/>
      <c r="T24" s="352"/>
      <c r="U24" s="352"/>
      <c r="V24" s="352"/>
      <c r="W24" s="352"/>
      <c r="X24" s="352"/>
      <c r="Y24" s="352"/>
      <c r="Z24" s="352"/>
      <c r="AA24" s="352"/>
      <c r="AB24" s="352"/>
      <c r="AC24" s="352"/>
      <c r="AD24" s="352"/>
      <c r="AE24" s="352"/>
      <c r="AF24" s="352"/>
      <c r="AG24" s="352"/>
      <c r="AH24" s="352"/>
      <c r="AI24" s="352"/>
      <c r="AJ24" s="352"/>
      <c r="AK24" s="352"/>
      <c r="AL24" s="352"/>
    </row>
    <row r="25">
      <c r="A25" s="353">
        <v>10</v>
      </c>
      <c r="B25" s="352"/>
      <c r="C25" s="352"/>
      <c r="D25" s="352"/>
      <c r="E25" s="352"/>
      <c r="F25" s="352"/>
      <c r="G25" s="352"/>
      <c r="H25" s="352"/>
      <c r="I25" s="352"/>
      <c r="J25" s="352"/>
      <c r="K25" s="352"/>
      <c r="L25" s="352"/>
      <c r="M25" s="352"/>
      <c r="N25" s="352"/>
      <c r="O25" s="352"/>
      <c r="P25" s="352"/>
      <c r="Q25" s="352"/>
      <c r="R25" s="352"/>
      <c r="S25" s="352"/>
      <c r="T25" s="352"/>
      <c r="U25" s="352"/>
      <c r="V25" s="352"/>
      <c r="W25" s="352"/>
      <c r="X25" s="352"/>
      <c r="Y25" s="352"/>
      <c r="Z25" s="352"/>
      <c r="AA25" s="352"/>
      <c r="AB25" s="352"/>
      <c r="AC25" s="352"/>
      <c r="AD25" s="352"/>
      <c r="AE25" s="352"/>
      <c r="AF25" s="352"/>
      <c r="AG25" s="352"/>
      <c r="AH25" s="352"/>
      <c r="AI25" s="352"/>
      <c r="AJ25" s="352"/>
      <c r="AK25" s="352"/>
      <c r="AL25" s="352"/>
    </row>
    <row r="26">
      <c r="A26" s="352"/>
      <c r="B26" s="352"/>
      <c r="C26" s="352"/>
      <c r="D26" s="352"/>
      <c r="E26" s="352"/>
      <c r="F26" s="352"/>
      <c r="G26" s="352"/>
      <c r="H26" s="352"/>
      <c r="I26" s="352"/>
      <c r="J26" s="352"/>
      <c r="K26" s="352"/>
      <c r="L26" s="352"/>
      <c r="M26" s="352"/>
      <c r="N26" s="352"/>
      <c r="O26" s="352"/>
      <c r="P26" s="352"/>
      <c r="Q26" s="352"/>
      <c r="R26" s="352"/>
      <c r="S26" s="352"/>
      <c r="T26" s="352"/>
      <c r="U26" s="352"/>
      <c r="V26" s="352"/>
      <c r="W26" s="352"/>
      <c r="X26" s="352"/>
      <c r="Y26" s="352"/>
      <c r="Z26" s="352"/>
      <c r="AA26" s="352"/>
      <c r="AB26" s="352"/>
      <c r="AC26" s="352"/>
      <c r="AD26" s="352"/>
      <c r="AE26" s="352"/>
      <c r="AF26" s="352"/>
      <c r="AG26" s="352"/>
      <c r="AH26" s="352"/>
      <c r="AI26" s="352"/>
      <c r="AJ26" s="352"/>
      <c r="AK26" s="352"/>
      <c r="AL26" s="352"/>
    </row>
    <row r="27">
      <c r="A27" s="358" t="str">
        <v>型号XXX</v>
      </c>
      <c r="B27" s="355"/>
      <c r="C27" s="357">
        <v>46059</v>
      </c>
      <c r="D27" s="357"/>
      <c r="E27" s="357">
        <v>46060</v>
      </c>
      <c r="F27" s="357"/>
      <c r="G27" s="357">
        <v>46061</v>
      </c>
      <c r="H27" s="357"/>
      <c r="I27" s="357">
        <v>46062</v>
      </c>
      <c r="J27" s="357"/>
      <c r="K27" s="357">
        <v>46063</v>
      </c>
      <c r="L27" s="357"/>
      <c r="M27" s="357">
        <v>46064</v>
      </c>
      <c r="N27" s="357"/>
      <c r="O27" s="357">
        <v>46065</v>
      </c>
      <c r="P27" s="357"/>
      <c r="Q27" s="357">
        <v>46066</v>
      </c>
      <c r="R27" s="357"/>
      <c r="S27" s="357">
        <v>46067</v>
      </c>
      <c r="T27" s="357"/>
      <c r="U27" s="357">
        <v>46068</v>
      </c>
      <c r="V27" s="357"/>
      <c r="W27" s="357">
        <v>46069</v>
      </c>
      <c r="X27" s="357"/>
      <c r="Y27" s="357">
        <v>46070</v>
      </c>
      <c r="Z27" s="357"/>
      <c r="AA27" s="357">
        <v>46071</v>
      </c>
      <c r="AB27" s="357"/>
      <c r="AC27" s="357">
        <v>46072</v>
      </c>
      <c r="AD27" s="357"/>
      <c r="AE27" s="357">
        <v>46073</v>
      </c>
      <c r="AF27" s="357"/>
      <c r="AG27" s="357">
        <v>46074</v>
      </c>
      <c r="AH27" s="357"/>
      <c r="AI27" s="352"/>
      <c r="AJ27" s="352"/>
      <c r="AK27" s="352"/>
      <c r="AL27" s="352"/>
    </row>
    <row r="28">
      <c r="A28" s="356" t="str">
        <v>#</v>
      </c>
      <c r="B28" s="356" t="str">
        <v>Keyword</v>
      </c>
      <c r="C28" s="355" t="str">
        <v>AD</v>
      </c>
      <c r="D28" s="355" t="str">
        <v>ORGANIC</v>
      </c>
      <c r="E28" s="355" t="str">
        <v>AD</v>
      </c>
      <c r="F28" s="355" t="str">
        <v>ORGANIC</v>
      </c>
      <c r="G28" s="355" t="str">
        <v>AD</v>
      </c>
      <c r="H28" s="355" t="str">
        <v>ORGANIC</v>
      </c>
      <c r="I28" s="355" t="str">
        <v>AD</v>
      </c>
      <c r="J28" s="355" t="str">
        <v>ORGANIC</v>
      </c>
      <c r="K28" s="355" t="str">
        <v>AD</v>
      </c>
      <c r="L28" s="355" t="str">
        <v>ORGANIC</v>
      </c>
      <c r="M28" s="355" t="str">
        <v>AD</v>
      </c>
      <c r="N28" s="355" t="str">
        <v>ORGANIC</v>
      </c>
      <c r="O28" s="355" t="str">
        <v>AD</v>
      </c>
      <c r="P28" s="355" t="str">
        <v>ORGANIC</v>
      </c>
      <c r="Q28" s="355" t="str">
        <v>AD</v>
      </c>
      <c r="R28" s="355" t="str">
        <v>ORGANIC</v>
      </c>
      <c r="S28" s="355" t="str">
        <v>AD</v>
      </c>
      <c r="T28" s="355" t="str">
        <v>ORGANIC</v>
      </c>
      <c r="U28" s="355" t="str">
        <v>AD</v>
      </c>
      <c r="V28" s="355" t="str">
        <v>ORGANIC</v>
      </c>
      <c r="W28" s="355" t="str">
        <v>AD（广告位）</v>
      </c>
      <c r="X28" s="355" t="str">
        <v>ORGANIC（自然位）</v>
      </c>
      <c r="Y28" s="355" t="str">
        <v>AD（广告位）</v>
      </c>
      <c r="Z28" s="355" t="str">
        <v>ORGANIC（自然位）</v>
      </c>
      <c r="AA28" s="355" t="str">
        <v>AD（广告位）</v>
      </c>
      <c r="AB28" s="355" t="str">
        <v>ORGANIC（自然位）</v>
      </c>
      <c r="AC28" s="355" t="str">
        <v>AD（广告位）</v>
      </c>
      <c r="AD28" s="355" t="str">
        <v>ORGANIC（自然位）</v>
      </c>
      <c r="AE28" s="355" t="str">
        <v>AD（广告位）</v>
      </c>
      <c r="AF28" s="355" t="str">
        <v>ORGANIC（自然位）</v>
      </c>
      <c r="AG28" s="355" t="str">
        <v>AD（广告位）</v>
      </c>
      <c r="AH28" s="355" t="str">
        <v>ORGANIC（自然位）</v>
      </c>
      <c r="AI28" s="355" t="str">
        <v>AD（广告位）</v>
      </c>
      <c r="AJ28" s="355" t="str">
        <v>ORGANIC（自然位）</v>
      </c>
      <c r="AK28" s="355" t="str">
        <v>AD（广告位）</v>
      </c>
      <c r="AL28" s="355" t="str">
        <v>ORGANIC（自然位）</v>
      </c>
    </row>
    <row r="29">
      <c r="A29" s="353">
        <v>1</v>
      </c>
      <c r="B29" s="360"/>
      <c r="C29" s="353"/>
      <c r="D29" s="353"/>
      <c r="E29" s="353"/>
      <c r="F29" s="353"/>
      <c r="G29" s="353"/>
      <c r="H29" s="353"/>
      <c r="I29" s="353"/>
      <c r="J29" s="353"/>
      <c r="K29" s="353"/>
      <c r="L29" s="353"/>
      <c r="M29" s="352"/>
      <c r="N29" s="352"/>
      <c r="O29" s="352"/>
      <c r="P29" s="352"/>
      <c r="Q29" s="352"/>
      <c r="R29" s="352"/>
      <c r="S29" s="352"/>
      <c r="T29" s="352"/>
      <c r="U29" s="352"/>
      <c r="V29" s="352"/>
      <c r="W29" s="352"/>
      <c r="X29" s="352"/>
      <c r="Y29" s="352"/>
      <c r="Z29" s="352"/>
      <c r="AA29" s="352"/>
      <c r="AB29" s="352"/>
      <c r="AC29" s="352"/>
      <c r="AD29" s="352"/>
      <c r="AE29" s="352"/>
      <c r="AF29" s="352"/>
      <c r="AG29" s="352"/>
      <c r="AH29" s="352"/>
      <c r="AI29" s="352"/>
      <c r="AJ29" s="352"/>
      <c r="AK29" s="352"/>
      <c r="AL29" s="352"/>
    </row>
    <row r="30">
      <c r="A30" s="353">
        <v>2</v>
      </c>
      <c r="B30" s="352"/>
      <c r="C30" s="352"/>
      <c r="D30" s="352"/>
      <c r="E30" s="352"/>
      <c r="F30" s="352"/>
      <c r="G30" s="352"/>
      <c r="H30" s="352"/>
      <c r="I30" s="352"/>
      <c r="J30" s="352"/>
      <c r="K30" s="352"/>
      <c r="L30" s="352"/>
      <c r="M30" s="352"/>
      <c r="N30" s="352"/>
      <c r="O30" s="352"/>
      <c r="P30" s="352"/>
      <c r="Q30" s="352"/>
      <c r="R30" s="352"/>
      <c r="S30" s="352"/>
      <c r="T30" s="352"/>
      <c r="U30" s="352"/>
      <c r="V30" s="352"/>
      <c r="W30" s="352"/>
      <c r="X30" s="352"/>
      <c r="Y30" s="352"/>
      <c r="Z30" s="352"/>
      <c r="AA30" s="352"/>
      <c r="AB30" s="352"/>
      <c r="AC30" s="352"/>
      <c r="AD30" s="352"/>
      <c r="AE30" s="352"/>
      <c r="AF30" s="352"/>
      <c r="AG30" s="352"/>
      <c r="AH30" s="352"/>
      <c r="AI30" s="352"/>
      <c r="AJ30" s="352"/>
      <c r="AK30" s="352"/>
      <c r="AL30" s="352"/>
    </row>
    <row r="31">
      <c r="A31" s="353">
        <v>3</v>
      </c>
      <c r="B31" s="352"/>
      <c r="C31" s="352"/>
      <c r="D31" s="352"/>
      <c r="E31" s="352"/>
      <c r="F31" s="352"/>
      <c r="G31" s="352"/>
      <c r="H31" s="352"/>
      <c r="I31" s="352"/>
      <c r="J31" s="352"/>
      <c r="K31" s="352"/>
      <c r="L31" s="352"/>
      <c r="M31" s="352"/>
      <c r="N31" s="352"/>
      <c r="O31" s="352"/>
      <c r="P31" s="352"/>
      <c r="Q31" s="352"/>
      <c r="R31" s="352"/>
      <c r="S31" s="352"/>
      <c r="T31" s="352"/>
      <c r="U31" s="352"/>
      <c r="V31" s="352"/>
      <c r="W31" s="352"/>
      <c r="X31" s="352"/>
      <c r="Y31" s="352"/>
      <c r="Z31" s="352"/>
      <c r="AA31" s="352"/>
      <c r="AB31" s="352"/>
      <c r="AC31" s="352"/>
      <c r="AD31" s="352"/>
      <c r="AE31" s="352"/>
      <c r="AF31" s="352"/>
      <c r="AG31" s="352"/>
      <c r="AH31" s="352"/>
      <c r="AI31" s="352"/>
      <c r="AJ31" s="352"/>
      <c r="AK31" s="352"/>
      <c r="AL31" s="352"/>
    </row>
    <row r="32">
      <c r="A32" s="353">
        <v>4</v>
      </c>
      <c r="B32" s="352"/>
      <c r="C32" s="352"/>
      <c r="D32" s="352"/>
      <c r="E32" s="352"/>
      <c r="F32" s="352"/>
      <c r="G32" s="352"/>
      <c r="H32" s="352"/>
      <c r="I32" s="352"/>
      <c r="J32" s="352"/>
      <c r="K32" s="352"/>
      <c r="L32" s="352"/>
      <c r="M32" s="352"/>
      <c r="N32" s="352"/>
      <c r="O32" s="352"/>
      <c r="P32" s="352"/>
      <c r="Q32" s="352"/>
      <c r="R32" s="352"/>
      <c r="S32" s="352"/>
      <c r="T32" s="352"/>
      <c r="U32" s="352"/>
      <c r="V32" s="352"/>
      <c r="W32" s="352"/>
      <c r="X32" s="352"/>
      <c r="Y32" s="352"/>
      <c r="Z32" s="352"/>
      <c r="AA32" s="352"/>
      <c r="AB32" s="352"/>
      <c r="AC32" s="352"/>
      <c r="AD32" s="352"/>
      <c r="AE32" s="352"/>
      <c r="AF32" s="352"/>
      <c r="AG32" s="352"/>
      <c r="AH32" s="352"/>
      <c r="AI32" s="352"/>
      <c r="AJ32" s="352"/>
      <c r="AK32" s="352"/>
      <c r="AL32" s="352"/>
    </row>
    <row r="33">
      <c r="A33" s="353">
        <v>5</v>
      </c>
      <c r="B33" s="352"/>
      <c r="C33" s="352"/>
      <c r="D33" s="352"/>
      <c r="E33" s="352"/>
      <c r="F33" s="352"/>
      <c r="G33" s="352"/>
      <c r="H33" s="352"/>
      <c r="I33" s="352"/>
      <c r="J33" s="352"/>
      <c r="K33" s="352"/>
      <c r="L33" s="352"/>
      <c r="M33" s="352"/>
      <c r="N33" s="352"/>
      <c r="O33" s="352"/>
      <c r="P33" s="352"/>
      <c r="Q33" s="352"/>
      <c r="R33" s="352"/>
      <c r="S33" s="352"/>
      <c r="T33" s="352"/>
      <c r="U33" s="352"/>
      <c r="V33" s="352"/>
      <c r="W33" s="352"/>
      <c r="X33" s="352"/>
      <c r="Y33" s="352"/>
      <c r="Z33" s="352"/>
      <c r="AA33" s="352"/>
      <c r="AB33" s="352"/>
      <c r="AC33" s="352"/>
      <c r="AD33" s="352"/>
      <c r="AE33" s="352"/>
      <c r="AF33" s="352"/>
      <c r="AG33" s="352"/>
      <c r="AH33" s="352"/>
      <c r="AI33" s="352"/>
      <c r="AJ33" s="352"/>
      <c r="AK33" s="352"/>
      <c r="AL33" s="352"/>
    </row>
    <row r="34">
      <c r="A34" s="353">
        <v>6</v>
      </c>
      <c r="B34" s="352"/>
      <c r="C34" s="352"/>
      <c r="D34" s="352"/>
      <c r="E34" s="352"/>
      <c r="F34" s="352"/>
      <c r="G34" s="352"/>
      <c r="H34" s="352"/>
      <c r="I34" s="352"/>
      <c r="J34" s="352"/>
      <c r="K34" s="352"/>
      <c r="L34" s="352"/>
      <c r="M34" s="352"/>
      <c r="N34" s="352"/>
      <c r="O34" s="352"/>
      <c r="P34" s="352"/>
      <c r="Q34" s="352"/>
      <c r="R34" s="352"/>
      <c r="S34" s="352"/>
      <c r="T34" s="352"/>
      <c r="U34" s="352"/>
      <c r="V34" s="352"/>
      <c r="W34" s="352"/>
      <c r="X34" s="352"/>
      <c r="Y34" s="352"/>
      <c r="Z34" s="352"/>
      <c r="AA34" s="352"/>
      <c r="AB34" s="352"/>
      <c r="AC34" s="352"/>
      <c r="AD34" s="352"/>
      <c r="AE34" s="352"/>
      <c r="AF34" s="352"/>
      <c r="AG34" s="352"/>
      <c r="AH34" s="352"/>
      <c r="AI34" s="352"/>
      <c r="AJ34" s="352"/>
      <c r="AK34" s="352"/>
      <c r="AL34" s="352"/>
    </row>
    <row r="35">
      <c r="A35" s="353">
        <v>7</v>
      </c>
      <c r="B35" s="352"/>
      <c r="C35" s="352"/>
      <c r="D35" s="352"/>
      <c r="E35" s="352"/>
      <c r="F35" s="352"/>
      <c r="G35" s="352"/>
      <c r="H35" s="352"/>
      <c r="I35" s="352"/>
      <c r="J35" s="352"/>
      <c r="K35" s="352"/>
      <c r="L35" s="352"/>
      <c r="M35" s="352"/>
      <c r="N35" s="352"/>
      <c r="O35" s="352"/>
      <c r="P35" s="352"/>
      <c r="Q35" s="352"/>
      <c r="R35" s="352"/>
      <c r="S35" s="352"/>
      <c r="T35" s="352"/>
      <c r="U35" s="352"/>
      <c r="V35" s="352"/>
      <c r="W35" s="352"/>
      <c r="X35" s="352"/>
      <c r="Y35" s="352"/>
      <c r="Z35" s="352"/>
      <c r="AA35" s="352"/>
      <c r="AB35" s="352"/>
      <c r="AC35" s="352"/>
      <c r="AD35" s="352"/>
      <c r="AE35" s="352"/>
      <c r="AF35" s="352"/>
      <c r="AG35" s="352"/>
      <c r="AH35" s="352"/>
      <c r="AI35" s="352"/>
      <c r="AJ35" s="352"/>
      <c r="AK35" s="352"/>
      <c r="AL35" s="352"/>
    </row>
    <row r="36">
      <c r="A36" s="353">
        <v>8</v>
      </c>
      <c r="B36" s="352"/>
      <c r="C36" s="352"/>
      <c r="D36" s="352"/>
      <c r="E36" s="352"/>
      <c r="F36" s="352"/>
      <c r="G36" s="352"/>
      <c r="H36" s="352"/>
      <c r="I36" s="352"/>
      <c r="J36" s="352"/>
      <c r="K36" s="352"/>
      <c r="L36" s="352"/>
      <c r="M36" s="352"/>
      <c r="N36" s="352"/>
      <c r="O36" s="352"/>
      <c r="P36" s="352"/>
      <c r="Q36" s="352"/>
      <c r="R36" s="352"/>
      <c r="S36" s="352"/>
      <c r="T36" s="352"/>
      <c r="U36" s="352"/>
      <c r="V36" s="352"/>
      <c r="W36" s="352"/>
      <c r="X36" s="352"/>
      <c r="Y36" s="352"/>
      <c r="Z36" s="352"/>
      <c r="AA36" s="352"/>
      <c r="AB36" s="352"/>
      <c r="AC36" s="352"/>
      <c r="AD36" s="352"/>
      <c r="AE36" s="352"/>
      <c r="AF36" s="352"/>
      <c r="AG36" s="352"/>
      <c r="AH36" s="352"/>
      <c r="AI36" s="352"/>
      <c r="AJ36" s="352"/>
      <c r="AK36" s="352"/>
      <c r="AL36" s="352"/>
    </row>
    <row r="37">
      <c r="A37" s="353">
        <v>9</v>
      </c>
      <c r="B37" s="352"/>
      <c r="C37" s="352"/>
      <c r="D37" s="352"/>
      <c r="E37" s="352"/>
      <c r="F37" s="352"/>
      <c r="G37" s="352"/>
      <c r="H37" s="352"/>
      <c r="I37" s="352"/>
      <c r="J37" s="352"/>
      <c r="K37" s="352"/>
      <c r="L37" s="352"/>
      <c r="M37" s="352"/>
      <c r="N37" s="352"/>
      <c r="O37" s="352"/>
      <c r="P37" s="352"/>
      <c r="Q37" s="352"/>
      <c r="R37" s="352"/>
      <c r="S37" s="352"/>
      <c r="T37" s="352"/>
      <c r="U37" s="352"/>
      <c r="V37" s="352"/>
      <c r="W37" s="352"/>
      <c r="X37" s="352"/>
      <c r="Y37" s="352"/>
      <c r="Z37" s="352"/>
      <c r="AA37" s="352"/>
      <c r="AB37" s="352"/>
      <c r="AC37" s="352"/>
      <c r="AD37" s="352"/>
      <c r="AE37" s="352"/>
      <c r="AF37" s="352"/>
      <c r="AG37" s="352"/>
      <c r="AH37" s="352"/>
      <c r="AI37" s="352"/>
      <c r="AJ37" s="352"/>
      <c r="AK37" s="352"/>
      <c r="AL37" s="352"/>
    </row>
    <row r="38">
      <c r="A38" s="353">
        <v>10</v>
      </c>
      <c r="B38" s="352"/>
      <c r="C38" s="352"/>
      <c r="D38" s="352"/>
      <c r="E38" s="352"/>
      <c r="F38" s="352"/>
      <c r="G38" s="352"/>
      <c r="H38" s="352"/>
      <c r="I38" s="352"/>
      <c r="J38" s="352"/>
      <c r="K38" s="352"/>
      <c r="L38" s="352"/>
      <c r="M38" s="352"/>
      <c r="N38" s="352"/>
      <c r="O38" s="352"/>
      <c r="P38" s="352"/>
      <c r="Q38" s="352"/>
      <c r="R38" s="352"/>
      <c r="S38" s="352"/>
      <c r="T38" s="352"/>
      <c r="U38" s="352"/>
      <c r="V38" s="352"/>
      <c r="W38" s="352"/>
      <c r="X38" s="352"/>
      <c r="Y38" s="352"/>
      <c r="Z38" s="352"/>
      <c r="AA38" s="352"/>
      <c r="AB38" s="352"/>
      <c r="AC38" s="352"/>
      <c r="AD38" s="352"/>
      <c r="AE38" s="352"/>
      <c r="AF38" s="352"/>
      <c r="AG38" s="352"/>
      <c r="AH38" s="352"/>
      <c r="AI38" s="352"/>
      <c r="AJ38" s="352"/>
      <c r="AK38" s="352"/>
      <c r="AL38" s="352"/>
    </row>
    <row r="39">
      <c r="A39" s="354"/>
      <c r="B39" s="354"/>
      <c r="C39" s="354"/>
      <c r="D39" s="354"/>
      <c r="E39" s="354"/>
      <c r="F39" s="354"/>
      <c r="G39" s="354"/>
      <c r="H39" s="354"/>
      <c r="I39" s="354"/>
      <c r="J39" s="354"/>
      <c r="K39" s="354"/>
      <c r="L39" s="354"/>
      <c r="M39" s="354"/>
      <c r="N39" s="354"/>
      <c r="O39" s="354"/>
      <c r="P39" s="354"/>
      <c r="Q39" s="354"/>
      <c r="R39" s="354"/>
      <c r="S39" s="354"/>
      <c r="T39" s="354"/>
      <c r="U39" s="354"/>
      <c r="V39" s="354"/>
      <c r="W39" s="354"/>
      <c r="X39" s="354"/>
      <c r="Y39" s="354"/>
      <c r="Z39" s="354"/>
      <c r="AA39" s="354"/>
      <c r="AB39" s="354"/>
      <c r="AC39" s="354"/>
      <c r="AD39" s="354"/>
      <c r="AE39" s="354"/>
      <c r="AF39" s="354"/>
      <c r="AG39" s="354"/>
      <c r="AH39" s="354"/>
      <c r="AI39" s="354"/>
      <c r="AJ39" s="354"/>
      <c r="AK39" s="354"/>
      <c r="AL39" s="354"/>
    </row>
    <row r="40">
      <c r="A40" s="354"/>
      <c r="B40" s="354"/>
      <c r="C40" s="354"/>
      <c r="D40" s="354"/>
      <c r="E40" s="354"/>
      <c r="F40" s="354"/>
      <c r="G40" s="354"/>
      <c r="H40" s="354"/>
      <c r="I40" s="354"/>
      <c r="J40" s="354"/>
      <c r="K40" s="354"/>
      <c r="L40" s="354"/>
      <c r="M40" s="354"/>
      <c r="N40" s="354"/>
      <c r="O40" s="354"/>
      <c r="P40" s="354"/>
      <c r="Q40" s="354"/>
      <c r="R40" s="354"/>
      <c r="S40" s="354"/>
      <c r="T40" s="354"/>
      <c r="U40" s="354"/>
      <c r="V40" s="354"/>
      <c r="W40" s="354"/>
      <c r="X40" s="354"/>
      <c r="Y40" s="354"/>
      <c r="Z40" s="354"/>
      <c r="AA40" s="354"/>
      <c r="AB40" s="354"/>
      <c r="AC40" s="354"/>
      <c r="AD40" s="354"/>
      <c r="AE40" s="354"/>
      <c r="AF40" s="354"/>
      <c r="AG40" s="354"/>
      <c r="AH40" s="354"/>
      <c r="AI40" s="354"/>
      <c r="AJ40" s="354"/>
      <c r="AK40" s="354"/>
      <c r="AL40" s="354"/>
    </row>
    <row r="41">
      <c r="A41" s="354"/>
      <c r="B41" s="354"/>
      <c r="C41" s="354"/>
      <c r="D41" s="354"/>
      <c r="E41" s="354"/>
      <c r="F41" s="354"/>
      <c r="G41" s="354"/>
      <c r="H41" s="354"/>
      <c r="I41" s="354"/>
      <c r="J41" s="354"/>
      <c r="K41" s="354"/>
      <c r="L41" s="354"/>
      <c r="M41" s="354"/>
      <c r="N41" s="354"/>
      <c r="O41" s="354"/>
      <c r="P41" s="354"/>
      <c r="Q41" s="354"/>
      <c r="R41" s="354"/>
      <c r="S41" s="354"/>
      <c r="T41" s="354"/>
      <c r="U41" s="354"/>
      <c r="V41" s="354"/>
      <c r="W41" s="354"/>
      <c r="X41" s="354"/>
      <c r="Y41" s="354"/>
      <c r="Z41" s="354"/>
      <c r="AA41" s="354"/>
      <c r="AB41" s="354"/>
      <c r="AC41" s="354"/>
      <c r="AD41" s="354"/>
      <c r="AE41" s="354"/>
      <c r="AF41" s="354"/>
      <c r="AG41" s="354"/>
      <c r="AH41" s="354"/>
      <c r="AI41" s="354"/>
      <c r="AJ41" s="354"/>
      <c r="AK41" s="354"/>
      <c r="AL41" s="354"/>
    </row>
    <row r="42">
      <c r="A42" s="354"/>
      <c r="B42" s="354"/>
      <c r="C42" s="354"/>
      <c r="D42" s="354"/>
      <c r="E42" s="354"/>
      <c r="F42" s="354"/>
      <c r="G42" s="354"/>
      <c r="H42" s="354"/>
      <c r="I42" s="354"/>
      <c r="J42" s="354"/>
      <c r="K42" s="354"/>
      <c r="L42" s="354"/>
      <c r="M42" s="354"/>
      <c r="N42" s="354"/>
      <c r="O42" s="354"/>
      <c r="P42" s="354"/>
      <c r="Q42" s="354"/>
      <c r="R42" s="354"/>
      <c r="S42" s="354"/>
      <c r="T42" s="354"/>
      <c r="U42" s="354"/>
      <c r="V42" s="354"/>
      <c r="W42" s="354"/>
      <c r="X42" s="354"/>
      <c r="Y42" s="354"/>
      <c r="Z42" s="354"/>
      <c r="AA42" s="354"/>
      <c r="AB42" s="354"/>
      <c r="AC42" s="354"/>
      <c r="AD42" s="354"/>
      <c r="AE42" s="354"/>
      <c r="AF42" s="354"/>
      <c r="AG42" s="354"/>
      <c r="AH42" s="354"/>
      <c r="AI42" s="354"/>
      <c r="AJ42" s="354"/>
      <c r="AK42" s="354"/>
      <c r="AL42" s="354"/>
    </row>
    <row r="43">
      <c r="A43" s="354"/>
      <c r="B43" s="354"/>
      <c r="C43" s="354"/>
      <c r="D43" s="354"/>
      <c r="E43" s="354"/>
      <c r="F43" s="354"/>
      <c r="G43" s="354"/>
      <c r="H43" s="354"/>
      <c r="I43" s="354"/>
      <c r="J43" s="354"/>
      <c r="K43" s="354"/>
      <c r="L43" s="354"/>
      <c r="M43" s="354"/>
      <c r="N43" s="354"/>
      <c r="O43" s="354"/>
      <c r="P43" s="354"/>
      <c r="Q43" s="354"/>
      <c r="R43" s="354"/>
      <c r="S43" s="354"/>
      <c r="T43" s="354"/>
      <c r="U43" s="354"/>
      <c r="V43" s="354"/>
      <c r="W43" s="354"/>
      <c r="X43" s="354"/>
      <c r="Y43" s="354"/>
      <c r="Z43" s="354"/>
      <c r="AA43" s="354"/>
      <c r="AB43" s="354"/>
      <c r="AC43" s="354"/>
      <c r="AD43" s="354"/>
      <c r="AE43" s="354"/>
      <c r="AF43" s="354"/>
      <c r="AG43" s="354"/>
      <c r="AH43" s="354"/>
      <c r="AI43" s="354"/>
      <c r="AJ43" s="354"/>
      <c r="AK43" s="354"/>
      <c r="AL43" s="354"/>
    </row>
    <row r="44">
      <c r="A44" s="354"/>
      <c r="B44" s="354"/>
      <c r="C44" s="354"/>
      <c r="D44" s="354"/>
      <c r="E44" s="354"/>
      <c r="F44" s="354"/>
      <c r="G44" s="354"/>
      <c r="H44" s="354"/>
      <c r="I44" s="354"/>
      <c r="J44" s="354"/>
      <c r="K44" s="354"/>
      <c r="L44" s="354"/>
      <c r="M44" s="354"/>
      <c r="N44" s="354"/>
      <c r="O44" s="354"/>
      <c r="P44" s="354"/>
      <c r="Q44" s="354"/>
      <c r="R44" s="354"/>
      <c r="S44" s="354"/>
      <c r="T44" s="354"/>
      <c r="U44" s="354"/>
      <c r="V44" s="354"/>
      <c r="W44" s="354"/>
      <c r="X44" s="354"/>
      <c r="Y44" s="354"/>
      <c r="Z44" s="354"/>
      <c r="AA44" s="354"/>
      <c r="AB44" s="354"/>
      <c r="AC44" s="354"/>
      <c r="AD44" s="354"/>
      <c r="AE44" s="354"/>
      <c r="AF44" s="354"/>
      <c r="AG44" s="354"/>
      <c r="AH44" s="354"/>
      <c r="AI44" s="354"/>
      <c r="AJ44" s="354"/>
      <c r="AK44" s="354"/>
      <c r="AL44" s="354"/>
    </row>
    <row r="45">
      <c r="A45" s="354"/>
      <c r="B45" s="354"/>
      <c r="C45" s="354"/>
      <c r="D45" s="354"/>
      <c r="E45" s="354"/>
      <c r="F45" s="354"/>
      <c r="G45" s="354"/>
      <c r="H45" s="354"/>
      <c r="I45" s="354"/>
      <c r="J45" s="354"/>
      <c r="K45" s="354"/>
      <c r="L45" s="354"/>
      <c r="M45" s="354"/>
      <c r="N45" s="354"/>
      <c r="O45" s="354"/>
      <c r="P45" s="354"/>
      <c r="Q45" s="354"/>
      <c r="R45" s="354"/>
      <c r="S45" s="354"/>
      <c r="T45" s="354"/>
      <c r="U45" s="354"/>
      <c r="V45" s="354"/>
      <c r="W45" s="354"/>
      <c r="X45" s="354"/>
      <c r="Y45" s="354"/>
      <c r="Z45" s="354"/>
      <c r="AA45" s="354"/>
      <c r="AB45" s="354"/>
      <c r="AC45" s="354"/>
      <c r="AD45" s="354"/>
      <c r="AE45" s="354"/>
      <c r="AF45" s="354"/>
      <c r="AG45" s="354"/>
      <c r="AH45" s="354"/>
      <c r="AI45" s="354"/>
      <c r="AJ45" s="354"/>
      <c r="AK45" s="354"/>
      <c r="AL45" s="354"/>
    </row>
    <row r="46">
      <c r="A46" s="354"/>
      <c r="B46" s="354"/>
      <c r="C46" s="354"/>
      <c r="D46" s="354"/>
      <c r="E46" s="354"/>
      <c r="F46" s="354"/>
      <c r="G46" s="354"/>
      <c r="H46" s="354"/>
      <c r="I46" s="354"/>
      <c r="J46" s="354"/>
      <c r="K46" s="354"/>
      <c r="L46" s="354"/>
      <c r="M46" s="354"/>
      <c r="N46" s="354"/>
      <c r="O46" s="354"/>
      <c r="P46" s="354"/>
      <c r="Q46" s="354"/>
      <c r="R46" s="354"/>
      <c r="S46" s="354"/>
      <c r="T46" s="354"/>
      <c r="U46" s="354"/>
      <c r="V46" s="354"/>
      <c r="W46" s="354"/>
      <c r="X46" s="354"/>
      <c r="Y46" s="354"/>
      <c r="Z46" s="354"/>
      <c r="AA46" s="354"/>
      <c r="AB46" s="354"/>
      <c r="AC46" s="354"/>
      <c r="AD46" s="354"/>
      <c r="AE46" s="354"/>
      <c r="AF46" s="354"/>
      <c r="AG46" s="354"/>
      <c r="AH46" s="354"/>
      <c r="AI46" s="354"/>
      <c r="AJ46" s="354"/>
      <c r="AK46" s="354"/>
      <c r="AL46" s="354"/>
    </row>
    <row r="47">
      <c r="A47" s="354"/>
      <c r="B47" s="354"/>
      <c r="C47" s="354"/>
      <c r="D47" s="354"/>
      <c r="E47" s="354"/>
      <c r="F47" s="354"/>
      <c r="G47" s="354"/>
      <c r="H47" s="354"/>
      <c r="I47" s="354"/>
      <c r="J47" s="354"/>
      <c r="K47" s="354"/>
      <c r="L47" s="354"/>
      <c r="M47" s="354"/>
      <c r="N47" s="354"/>
      <c r="O47" s="354"/>
      <c r="P47" s="354"/>
      <c r="Q47" s="354"/>
      <c r="R47" s="354"/>
      <c r="S47" s="354"/>
      <c r="T47" s="354"/>
      <c r="U47" s="354"/>
      <c r="V47" s="354"/>
      <c r="W47" s="354"/>
      <c r="X47" s="354"/>
      <c r="Y47" s="354"/>
      <c r="Z47" s="354"/>
      <c r="AA47" s="354"/>
      <c r="AB47" s="354"/>
      <c r="AC47" s="354"/>
      <c r="AD47" s="354"/>
      <c r="AE47" s="354"/>
      <c r="AF47" s="354"/>
      <c r="AG47" s="354"/>
      <c r="AH47" s="354"/>
      <c r="AI47" s="354"/>
      <c r="AJ47" s="354"/>
      <c r="AK47" s="354"/>
      <c r="AL47" s="354"/>
    </row>
    <row r="48">
      <c r="A48" s="354"/>
      <c r="B48" s="354"/>
      <c r="C48" s="354"/>
      <c r="D48" s="354"/>
      <c r="E48" s="354"/>
      <c r="F48" s="354"/>
      <c r="G48" s="354"/>
      <c r="H48" s="354"/>
      <c r="I48" s="354"/>
      <c r="J48" s="354"/>
      <c r="K48" s="354"/>
      <c r="L48" s="354"/>
      <c r="M48" s="354"/>
      <c r="N48" s="354"/>
      <c r="O48" s="354"/>
      <c r="P48" s="354"/>
      <c r="Q48" s="354"/>
      <c r="R48" s="354"/>
      <c r="S48" s="354"/>
      <c r="T48" s="354"/>
      <c r="U48" s="354"/>
      <c r="V48" s="354"/>
      <c r="W48" s="354"/>
      <c r="X48" s="354"/>
      <c r="Y48" s="354"/>
      <c r="Z48" s="354"/>
      <c r="AA48" s="354"/>
      <c r="AB48" s="354"/>
      <c r="AC48" s="354"/>
      <c r="AD48" s="354"/>
      <c r="AE48" s="354"/>
      <c r="AF48" s="354"/>
      <c r="AG48" s="354"/>
      <c r="AH48" s="354"/>
      <c r="AI48" s="354"/>
      <c r="AJ48" s="354"/>
      <c r="AK48" s="354"/>
      <c r="AL48" s="354"/>
    </row>
    <row r="49">
      <c r="A49" s="354"/>
      <c r="B49" s="354"/>
      <c r="C49" s="354"/>
      <c r="D49" s="354"/>
      <c r="E49" s="354"/>
      <c r="F49" s="354"/>
      <c r="G49" s="354"/>
      <c r="H49" s="354"/>
      <c r="I49" s="354"/>
      <c r="J49" s="354"/>
      <c r="K49" s="354"/>
      <c r="L49" s="354"/>
      <c r="M49" s="354"/>
      <c r="N49" s="354"/>
      <c r="O49" s="354"/>
      <c r="P49" s="354"/>
      <c r="Q49" s="354"/>
      <c r="R49" s="354"/>
      <c r="S49" s="354"/>
      <c r="T49" s="354"/>
      <c r="U49" s="354"/>
      <c r="V49" s="354"/>
      <c r="W49" s="354"/>
      <c r="X49" s="354"/>
      <c r="Y49" s="354"/>
      <c r="Z49" s="354"/>
      <c r="AA49" s="354"/>
      <c r="AB49" s="354"/>
      <c r="AC49" s="354"/>
      <c r="AD49" s="354"/>
      <c r="AE49" s="354"/>
      <c r="AF49" s="354"/>
      <c r="AG49" s="354"/>
      <c r="AH49" s="354"/>
      <c r="AI49" s="354"/>
      <c r="AJ49" s="354"/>
      <c r="AK49" s="354"/>
      <c r="AL49" s="354"/>
    </row>
    <row r="50">
      <c r="A50" s="354"/>
      <c r="B50" s="354"/>
      <c r="C50" s="354"/>
      <c r="D50" s="354"/>
      <c r="E50" s="354"/>
      <c r="F50" s="354"/>
      <c r="G50" s="354"/>
      <c r="H50" s="354"/>
      <c r="I50" s="354"/>
      <c r="J50" s="354"/>
      <c r="K50" s="354"/>
      <c r="L50" s="354"/>
      <c r="M50" s="354"/>
      <c r="N50" s="354"/>
      <c r="O50" s="354"/>
      <c r="P50" s="354"/>
      <c r="Q50" s="354"/>
      <c r="R50" s="354"/>
      <c r="S50" s="354"/>
      <c r="T50" s="354"/>
      <c r="U50" s="354"/>
      <c r="V50" s="354"/>
      <c r="W50" s="354"/>
      <c r="X50" s="354"/>
      <c r="Y50" s="354"/>
      <c r="Z50" s="354"/>
      <c r="AA50" s="354"/>
      <c r="AB50" s="354"/>
      <c r="AC50" s="354"/>
      <c r="AD50" s="354"/>
      <c r="AE50" s="354"/>
      <c r="AF50" s="354"/>
      <c r="AG50" s="354"/>
      <c r="AH50" s="354"/>
      <c r="AI50" s="354"/>
      <c r="AJ50" s="354"/>
      <c r="AK50" s="354"/>
      <c r="AL50" s="354"/>
    </row>
    <row r="51">
      <c r="A51" s="354"/>
      <c r="B51" s="354"/>
      <c r="C51" s="354"/>
      <c r="D51" s="354"/>
      <c r="E51" s="354"/>
      <c r="F51" s="354"/>
      <c r="G51" s="354"/>
      <c r="H51" s="354"/>
      <c r="I51" s="354"/>
      <c r="J51" s="354"/>
      <c r="K51" s="354"/>
      <c r="L51" s="354"/>
      <c r="M51" s="354"/>
      <c r="N51" s="354"/>
      <c r="O51" s="354"/>
      <c r="P51" s="354"/>
      <c r="Q51" s="354"/>
      <c r="R51" s="354"/>
      <c r="S51" s="354"/>
      <c r="T51" s="354"/>
      <c r="U51" s="354"/>
      <c r="V51" s="354"/>
      <c r="W51" s="354"/>
      <c r="X51" s="354"/>
      <c r="Y51" s="354"/>
      <c r="Z51" s="354"/>
      <c r="AA51" s="354"/>
      <c r="AB51" s="354"/>
      <c r="AC51" s="354"/>
      <c r="AD51" s="354"/>
      <c r="AE51" s="354"/>
      <c r="AF51" s="354"/>
      <c r="AG51" s="354"/>
      <c r="AH51" s="354"/>
      <c r="AI51" s="354"/>
      <c r="AJ51" s="354"/>
      <c r="AK51" s="354"/>
      <c r="AL51" s="354"/>
    </row>
    <row r="52">
      <c r="A52" s="354"/>
      <c r="B52" s="354"/>
      <c r="C52" s="354"/>
      <c r="D52" s="354"/>
      <c r="E52" s="354"/>
      <c r="F52" s="354"/>
      <c r="G52" s="354"/>
      <c r="H52" s="354"/>
      <c r="I52" s="354"/>
      <c r="J52" s="354"/>
      <c r="K52" s="354"/>
      <c r="L52" s="354"/>
      <c r="M52" s="354"/>
      <c r="N52" s="354"/>
      <c r="O52" s="354"/>
      <c r="P52" s="354"/>
      <c r="Q52" s="354"/>
      <c r="R52" s="354"/>
      <c r="S52" s="354"/>
      <c r="T52" s="354"/>
      <c r="U52" s="354"/>
      <c r="V52" s="354"/>
      <c r="W52" s="354"/>
      <c r="X52" s="354"/>
      <c r="Y52" s="354"/>
      <c r="Z52" s="354"/>
      <c r="AA52" s="354"/>
      <c r="AB52" s="354"/>
      <c r="AC52" s="354"/>
      <c r="AD52" s="354"/>
      <c r="AE52" s="354"/>
      <c r="AF52" s="354"/>
      <c r="AG52" s="354"/>
      <c r="AH52" s="354"/>
      <c r="AI52" s="354"/>
      <c r="AJ52" s="354"/>
      <c r="AK52" s="354"/>
      <c r="AL52" s="354"/>
    </row>
    <row r="53">
      <c r="A53" s="354"/>
      <c r="B53" s="354"/>
      <c r="C53" s="354"/>
      <c r="D53" s="354"/>
      <c r="E53" s="354"/>
      <c r="F53" s="354"/>
      <c r="G53" s="354"/>
      <c r="H53" s="354"/>
      <c r="I53" s="354"/>
      <c r="J53" s="354"/>
      <c r="K53" s="354"/>
      <c r="L53" s="354"/>
      <c r="M53" s="354"/>
      <c r="N53" s="354"/>
      <c r="O53" s="354"/>
      <c r="P53" s="354"/>
      <c r="Q53" s="354"/>
      <c r="R53" s="354"/>
      <c r="S53" s="354"/>
      <c r="T53" s="354"/>
      <c r="U53" s="354"/>
      <c r="V53" s="354"/>
      <c r="W53" s="354"/>
      <c r="X53" s="354"/>
      <c r="Y53" s="354"/>
      <c r="Z53" s="354"/>
      <c r="AA53" s="354"/>
      <c r="AB53" s="354"/>
      <c r="AC53" s="354"/>
      <c r="AD53" s="354"/>
      <c r="AE53" s="354"/>
      <c r="AF53" s="354"/>
      <c r="AG53" s="354"/>
      <c r="AH53" s="354"/>
      <c r="AI53" s="354"/>
      <c r="AJ53" s="354"/>
      <c r="AK53" s="354"/>
      <c r="AL53" s="354"/>
    </row>
    <row r="54">
      <c r="A54" s="354"/>
      <c r="B54" s="354"/>
      <c r="C54" s="354"/>
      <c r="D54" s="354"/>
      <c r="E54" s="354"/>
      <c r="F54" s="354"/>
      <c r="G54" s="354"/>
      <c r="H54" s="354"/>
      <c r="I54" s="354"/>
      <c r="J54" s="354"/>
      <c r="K54" s="354"/>
      <c r="L54" s="354"/>
      <c r="M54" s="354"/>
      <c r="N54" s="354"/>
      <c r="O54" s="354"/>
      <c r="P54" s="354"/>
      <c r="Q54" s="354"/>
      <c r="R54" s="354"/>
      <c r="S54" s="354"/>
      <c r="T54" s="354"/>
      <c r="U54" s="354"/>
      <c r="V54" s="354"/>
      <c r="W54" s="354"/>
      <c r="X54" s="354"/>
      <c r="Y54" s="354"/>
      <c r="Z54" s="354"/>
      <c r="AA54" s="354"/>
      <c r="AB54" s="354"/>
      <c r="AC54" s="354"/>
      <c r="AD54" s="354"/>
      <c r="AE54" s="354"/>
      <c r="AF54" s="354"/>
      <c r="AG54" s="354"/>
      <c r="AH54" s="354"/>
      <c r="AI54" s="354"/>
      <c r="AJ54" s="354"/>
      <c r="AK54" s="354"/>
      <c r="AL54" s="354"/>
    </row>
    <row r="55">
      <c r="A55" s="354"/>
      <c r="B55" s="354"/>
      <c r="C55" s="354"/>
      <c r="D55" s="354"/>
      <c r="E55" s="354"/>
      <c r="F55" s="354"/>
      <c r="G55" s="354"/>
      <c r="H55" s="354"/>
      <c r="I55" s="354"/>
      <c r="J55" s="354"/>
      <c r="K55" s="354"/>
      <c r="L55" s="354"/>
      <c r="M55" s="354"/>
      <c r="N55" s="354"/>
      <c r="O55" s="354"/>
      <c r="P55" s="354"/>
      <c r="Q55" s="354"/>
      <c r="R55" s="354"/>
      <c r="S55" s="354"/>
      <c r="T55" s="354"/>
      <c r="U55" s="354"/>
      <c r="V55" s="354"/>
      <c r="W55" s="354"/>
      <c r="X55" s="354"/>
      <c r="Y55" s="354"/>
      <c r="Z55" s="354"/>
      <c r="AA55" s="354"/>
      <c r="AB55" s="354"/>
      <c r="AC55" s="354"/>
      <c r="AD55" s="354"/>
      <c r="AE55" s="354"/>
      <c r="AF55" s="354"/>
      <c r="AG55" s="354"/>
      <c r="AH55" s="354"/>
      <c r="AI55" s="354"/>
      <c r="AJ55" s="354"/>
      <c r="AK55" s="354"/>
      <c r="AL55" s="354"/>
    </row>
    <row r="56">
      <c r="A56" s="354"/>
      <c r="B56" s="354"/>
      <c r="C56" s="354"/>
      <c r="D56" s="354"/>
      <c r="E56" s="354"/>
      <c r="F56" s="354"/>
      <c r="G56" s="354"/>
      <c r="H56" s="354"/>
      <c r="I56" s="354"/>
      <c r="J56" s="354"/>
      <c r="K56" s="354"/>
      <c r="L56" s="354"/>
      <c r="M56" s="354"/>
      <c r="N56" s="354"/>
      <c r="O56" s="354"/>
      <c r="P56" s="354"/>
      <c r="Q56" s="354"/>
      <c r="R56" s="354"/>
      <c r="S56" s="354"/>
      <c r="T56" s="354"/>
      <c r="U56" s="354"/>
      <c r="V56" s="354"/>
      <c r="W56" s="354"/>
      <c r="X56" s="354"/>
      <c r="Y56" s="354"/>
      <c r="Z56" s="354"/>
      <c r="AA56" s="354"/>
      <c r="AB56" s="354"/>
      <c r="AC56" s="354"/>
      <c r="AD56" s="354"/>
      <c r="AE56" s="354"/>
      <c r="AF56" s="354"/>
      <c r="AG56" s="354"/>
      <c r="AH56" s="354"/>
      <c r="AI56" s="354"/>
      <c r="AJ56" s="354"/>
      <c r="AK56" s="354"/>
      <c r="AL56" s="354"/>
    </row>
    <row r="57">
      <c r="A57" s="354"/>
      <c r="B57" s="354"/>
      <c r="C57" s="354"/>
      <c r="D57" s="354"/>
      <c r="E57" s="354"/>
      <c r="F57" s="354"/>
      <c r="G57" s="354"/>
      <c r="H57" s="354"/>
      <c r="I57" s="354"/>
      <c r="J57" s="354"/>
      <c r="K57" s="354"/>
      <c r="L57" s="354"/>
      <c r="M57" s="354"/>
      <c r="N57" s="354"/>
      <c r="O57" s="354"/>
      <c r="P57" s="354"/>
      <c r="Q57" s="354"/>
      <c r="R57" s="354"/>
      <c r="S57" s="354"/>
      <c r="T57" s="354"/>
      <c r="U57" s="354"/>
      <c r="V57" s="354"/>
      <c r="W57" s="354"/>
      <c r="X57" s="354"/>
      <c r="Y57" s="354"/>
      <c r="Z57" s="354"/>
      <c r="AA57" s="354"/>
      <c r="AB57" s="354"/>
      <c r="AC57" s="354"/>
      <c r="AD57" s="354"/>
      <c r="AE57" s="354"/>
      <c r="AF57" s="354"/>
      <c r="AG57" s="354"/>
      <c r="AH57" s="354"/>
      <c r="AI57" s="354"/>
      <c r="AJ57" s="354"/>
      <c r="AK57" s="354"/>
      <c r="AL57" s="354"/>
    </row>
    <row r="58">
      <c r="A58" s="354"/>
      <c r="B58" s="354"/>
      <c r="C58" s="354"/>
      <c r="D58" s="354"/>
      <c r="E58" s="354"/>
      <c r="F58" s="354"/>
      <c r="G58" s="354"/>
      <c r="H58" s="354"/>
      <c r="I58" s="354"/>
      <c r="J58" s="354"/>
      <c r="K58" s="354"/>
      <c r="L58" s="354"/>
      <c r="M58" s="354"/>
      <c r="N58" s="354"/>
      <c r="O58" s="354"/>
      <c r="P58" s="354"/>
      <c r="Q58" s="354"/>
      <c r="R58" s="354"/>
      <c r="S58" s="354"/>
      <c r="T58" s="354"/>
      <c r="U58" s="354"/>
      <c r="V58" s="354"/>
      <c r="W58" s="354"/>
      <c r="X58" s="354"/>
      <c r="Y58" s="354"/>
      <c r="Z58" s="354"/>
      <c r="AA58" s="354"/>
      <c r="AB58" s="354"/>
      <c r="AC58" s="354"/>
      <c r="AD58" s="354"/>
      <c r="AE58" s="354"/>
      <c r="AF58" s="354"/>
      <c r="AG58" s="354"/>
      <c r="AH58" s="354"/>
      <c r="AI58" s="354"/>
      <c r="AJ58" s="354"/>
      <c r="AK58" s="354"/>
      <c r="AL58" s="354"/>
    </row>
    <row r="59">
      <c r="A59" s="354"/>
      <c r="B59" s="354"/>
      <c r="C59" s="354"/>
      <c r="D59" s="354"/>
      <c r="E59" s="354"/>
      <c r="F59" s="354"/>
      <c r="G59" s="354"/>
      <c r="H59" s="354"/>
      <c r="I59" s="354"/>
      <c r="J59" s="354"/>
      <c r="K59" s="354"/>
      <c r="L59" s="354"/>
      <c r="M59" s="354"/>
      <c r="N59" s="354"/>
      <c r="O59" s="354"/>
      <c r="P59" s="354"/>
      <c r="Q59" s="354"/>
      <c r="R59" s="354"/>
      <c r="S59" s="354"/>
      <c r="T59" s="354"/>
      <c r="U59" s="354"/>
      <c r="V59" s="354"/>
      <c r="W59" s="354"/>
      <c r="X59" s="354"/>
      <c r="Y59" s="354"/>
      <c r="Z59" s="354"/>
      <c r="AA59" s="354"/>
      <c r="AB59" s="354"/>
      <c r="AC59" s="354"/>
      <c r="AD59" s="354"/>
      <c r="AE59" s="354"/>
      <c r="AF59" s="354"/>
      <c r="AG59" s="354"/>
      <c r="AH59" s="354"/>
      <c r="AI59" s="354"/>
      <c r="AJ59" s="354"/>
      <c r="AK59" s="354"/>
      <c r="AL59" s="354"/>
    </row>
    <row r="60">
      <c r="A60" s="354"/>
      <c r="B60" s="354"/>
      <c r="C60" s="354"/>
      <c r="D60" s="354"/>
      <c r="E60" s="354"/>
      <c r="F60" s="354"/>
      <c r="G60" s="354"/>
      <c r="H60" s="354"/>
      <c r="I60" s="354"/>
      <c r="J60" s="354"/>
      <c r="K60" s="354"/>
      <c r="L60" s="354"/>
      <c r="M60" s="354"/>
      <c r="N60" s="354"/>
      <c r="O60" s="354"/>
      <c r="P60" s="354"/>
      <c r="Q60" s="354"/>
      <c r="R60" s="354"/>
      <c r="S60" s="354"/>
      <c r="T60" s="354"/>
      <c r="U60" s="354"/>
      <c r="V60" s="354"/>
      <c r="W60" s="354"/>
      <c r="X60" s="354"/>
      <c r="Y60" s="354"/>
      <c r="Z60" s="354"/>
      <c r="AA60" s="354"/>
      <c r="AB60" s="354"/>
      <c r="AC60" s="354"/>
      <c r="AD60" s="354"/>
      <c r="AE60" s="354"/>
      <c r="AF60" s="354"/>
      <c r="AG60" s="354"/>
      <c r="AH60" s="354"/>
      <c r="AI60" s="354"/>
      <c r="AJ60" s="354"/>
      <c r="AK60" s="354"/>
      <c r="AL60" s="354"/>
    </row>
    <row r="61">
      <c r="A61" s="354"/>
      <c r="B61" s="354"/>
      <c r="C61" s="354"/>
      <c r="D61" s="354"/>
      <c r="E61" s="354"/>
      <c r="F61" s="354"/>
      <c r="G61" s="354"/>
      <c r="H61" s="354"/>
      <c r="I61" s="354"/>
      <c r="J61" s="354"/>
      <c r="K61" s="354"/>
      <c r="L61" s="354"/>
      <c r="M61" s="354"/>
      <c r="N61" s="354"/>
      <c r="O61" s="354"/>
      <c r="P61" s="354"/>
      <c r="Q61" s="354"/>
      <c r="R61" s="354"/>
      <c r="S61" s="354"/>
      <c r="T61" s="354"/>
      <c r="U61" s="354"/>
      <c r="V61" s="354"/>
      <c r="W61" s="354"/>
      <c r="X61" s="354"/>
      <c r="Y61" s="354"/>
      <c r="Z61" s="354"/>
      <c r="AA61" s="354"/>
      <c r="AB61" s="354"/>
      <c r="AC61" s="354"/>
      <c r="AD61" s="354"/>
      <c r="AE61" s="354"/>
      <c r="AF61" s="354"/>
      <c r="AG61" s="354"/>
      <c r="AH61" s="354"/>
      <c r="AI61" s="354"/>
      <c r="AJ61" s="354"/>
      <c r="AK61" s="354"/>
      <c r="AL61" s="354"/>
    </row>
    <row r="62">
      <c r="A62" s="354"/>
      <c r="B62" s="354"/>
      <c r="C62" s="354"/>
      <c r="D62" s="354"/>
      <c r="E62" s="354"/>
      <c r="F62" s="354"/>
      <c r="G62" s="354"/>
      <c r="H62" s="354"/>
      <c r="I62" s="354"/>
      <c r="J62" s="354"/>
      <c r="K62" s="354"/>
      <c r="L62" s="354"/>
      <c r="M62" s="354"/>
      <c r="N62" s="354"/>
      <c r="O62" s="354"/>
      <c r="P62" s="354"/>
      <c r="Q62" s="354"/>
      <c r="R62" s="354"/>
      <c r="S62" s="354"/>
      <c r="T62" s="354"/>
      <c r="U62" s="354"/>
      <c r="V62" s="354"/>
      <c r="W62" s="354"/>
      <c r="X62" s="354"/>
      <c r="Y62" s="354"/>
      <c r="Z62" s="354"/>
      <c r="AA62" s="354"/>
      <c r="AB62" s="354"/>
      <c r="AC62" s="354"/>
      <c r="AD62" s="354"/>
      <c r="AE62" s="354"/>
      <c r="AF62" s="354"/>
      <c r="AG62" s="354"/>
      <c r="AH62" s="354"/>
      <c r="AI62" s="354"/>
      <c r="AJ62" s="354"/>
      <c r="AK62" s="354"/>
      <c r="AL62" s="354"/>
    </row>
    <row r="63">
      <c r="A63" s="354"/>
      <c r="B63" s="354"/>
      <c r="C63" s="354"/>
      <c r="D63" s="354"/>
      <c r="E63" s="354"/>
      <c r="F63" s="354"/>
      <c r="G63" s="354"/>
      <c r="H63" s="354"/>
      <c r="I63" s="354"/>
      <c r="J63" s="354"/>
      <c r="K63" s="354"/>
      <c r="L63" s="354"/>
      <c r="M63" s="354"/>
      <c r="N63" s="354"/>
      <c r="O63" s="354"/>
      <c r="P63" s="354"/>
      <c r="Q63" s="354"/>
      <c r="R63" s="354"/>
      <c r="S63" s="354"/>
      <c r="T63" s="354"/>
      <c r="U63" s="354"/>
      <c r="V63" s="354"/>
      <c r="W63" s="354"/>
      <c r="X63" s="354"/>
      <c r="Y63" s="354"/>
      <c r="Z63" s="354"/>
      <c r="AA63" s="354"/>
      <c r="AB63" s="354"/>
      <c r="AC63" s="354"/>
      <c r="AD63" s="354"/>
      <c r="AE63" s="354"/>
      <c r="AF63" s="354"/>
      <c r="AG63" s="354"/>
      <c r="AH63" s="354"/>
      <c r="AI63" s="354"/>
      <c r="AJ63" s="354"/>
      <c r="AK63" s="354"/>
      <c r="AL63" s="354"/>
    </row>
    <row r="64">
      <c r="A64" s="354"/>
      <c r="B64" s="354"/>
      <c r="C64" s="354"/>
      <c r="D64" s="354"/>
      <c r="E64" s="354"/>
      <c r="F64" s="354"/>
      <c r="G64" s="354"/>
      <c r="H64" s="354"/>
      <c r="I64" s="354"/>
      <c r="J64" s="354"/>
      <c r="K64" s="354"/>
      <c r="L64" s="354"/>
      <c r="M64" s="354"/>
      <c r="N64" s="354"/>
      <c r="O64" s="354"/>
      <c r="P64" s="354"/>
      <c r="Q64" s="354"/>
      <c r="R64" s="354"/>
      <c r="S64" s="354"/>
      <c r="T64" s="354"/>
      <c r="U64" s="354"/>
      <c r="V64" s="354"/>
      <c r="W64" s="354"/>
      <c r="X64" s="354"/>
      <c r="Y64" s="354"/>
      <c r="Z64" s="354"/>
      <c r="AA64" s="354"/>
      <c r="AB64" s="354"/>
      <c r="AC64" s="354"/>
      <c r="AD64" s="354"/>
      <c r="AE64" s="354"/>
      <c r="AF64" s="354"/>
      <c r="AG64" s="354"/>
      <c r="AH64" s="354"/>
      <c r="AI64" s="354"/>
      <c r="AJ64" s="354"/>
      <c r="AK64" s="354"/>
      <c r="AL64" s="354"/>
    </row>
    <row r="65">
      <c r="A65" s="354"/>
      <c r="B65" s="354"/>
      <c r="C65" s="354"/>
      <c r="D65" s="354"/>
      <c r="E65" s="354"/>
      <c r="F65" s="354"/>
      <c r="G65" s="354"/>
      <c r="H65" s="354"/>
      <c r="I65" s="354"/>
      <c r="J65" s="354"/>
      <c r="K65" s="354"/>
      <c r="L65" s="354"/>
      <c r="M65" s="354"/>
      <c r="N65" s="354"/>
      <c r="O65" s="354"/>
      <c r="P65" s="354"/>
      <c r="Q65" s="354"/>
      <c r="R65" s="354"/>
      <c r="S65" s="354"/>
      <c r="T65" s="354"/>
      <c r="U65" s="354"/>
      <c r="V65" s="354"/>
      <c r="W65" s="354"/>
      <c r="X65" s="354"/>
      <c r="Y65" s="354"/>
      <c r="Z65" s="354"/>
      <c r="AA65" s="354"/>
      <c r="AB65" s="354"/>
      <c r="AC65" s="354"/>
      <c r="AD65" s="354"/>
      <c r="AE65" s="354"/>
      <c r="AF65" s="354"/>
      <c r="AG65" s="354"/>
      <c r="AH65" s="354"/>
      <c r="AI65" s="354"/>
      <c r="AJ65" s="354"/>
      <c r="AK65" s="354"/>
      <c r="AL65" s="354"/>
    </row>
    <row r="66">
      <c r="A66" s="354"/>
      <c r="B66" s="354"/>
      <c r="C66" s="354"/>
      <c r="D66" s="354"/>
      <c r="E66" s="354"/>
      <c r="F66" s="354"/>
      <c r="G66" s="354"/>
      <c r="H66" s="354"/>
      <c r="I66" s="354"/>
      <c r="J66" s="354"/>
      <c r="K66" s="354"/>
      <c r="L66" s="354"/>
      <c r="M66" s="354"/>
      <c r="N66" s="354"/>
      <c r="O66" s="354"/>
      <c r="P66" s="354"/>
      <c r="Q66" s="354"/>
      <c r="R66" s="354"/>
      <c r="S66" s="354"/>
      <c r="T66" s="354"/>
      <c r="U66" s="354"/>
      <c r="V66" s="354"/>
      <c r="W66" s="354"/>
      <c r="X66" s="354"/>
      <c r="Y66" s="354"/>
      <c r="Z66" s="354"/>
      <c r="AA66" s="354"/>
      <c r="AB66" s="354"/>
      <c r="AC66" s="354"/>
      <c r="AD66" s="354"/>
      <c r="AE66" s="354"/>
      <c r="AF66" s="354"/>
      <c r="AG66" s="354"/>
      <c r="AH66" s="354"/>
      <c r="AI66" s="354"/>
      <c r="AJ66" s="354"/>
      <c r="AK66" s="354"/>
      <c r="AL66" s="354"/>
    </row>
    <row r="67">
      <c r="A67" s="354"/>
      <c r="B67" s="354"/>
      <c r="C67" s="354"/>
      <c r="D67" s="354"/>
      <c r="E67" s="354"/>
      <c r="F67" s="354"/>
      <c r="G67" s="354"/>
      <c r="H67" s="354"/>
      <c r="I67" s="354"/>
      <c r="J67" s="354"/>
      <c r="K67" s="354"/>
      <c r="L67" s="354"/>
      <c r="M67" s="354"/>
      <c r="N67" s="354"/>
      <c r="O67" s="354"/>
      <c r="P67" s="354"/>
      <c r="Q67" s="354"/>
      <c r="R67" s="354"/>
      <c r="S67" s="354"/>
      <c r="T67" s="354"/>
      <c r="U67" s="354"/>
      <c r="V67" s="354"/>
      <c r="W67" s="354"/>
      <c r="X67" s="354"/>
      <c r="Y67" s="354"/>
      <c r="Z67" s="354"/>
      <c r="AA67" s="354"/>
      <c r="AB67" s="354"/>
      <c r="AC67" s="354"/>
      <c r="AD67" s="354"/>
      <c r="AE67" s="354"/>
      <c r="AF67" s="354"/>
      <c r="AG67" s="354"/>
      <c r="AH67" s="354"/>
      <c r="AI67" s="354"/>
      <c r="AJ67" s="354"/>
      <c r="AK67" s="354"/>
      <c r="AL67" s="354"/>
    </row>
    <row r="68">
      <c r="A68" s="354"/>
      <c r="B68" s="354"/>
      <c r="C68" s="354"/>
      <c r="D68" s="354"/>
      <c r="E68" s="354"/>
      <c r="F68" s="354"/>
      <c r="G68" s="354"/>
      <c r="H68" s="354"/>
      <c r="I68" s="354"/>
      <c r="J68" s="354"/>
      <c r="K68" s="354"/>
      <c r="L68" s="354"/>
      <c r="M68" s="354"/>
      <c r="N68" s="354"/>
      <c r="O68" s="354"/>
      <c r="P68" s="354"/>
      <c r="Q68" s="354"/>
      <c r="R68" s="354"/>
      <c r="S68" s="354"/>
      <c r="T68" s="354"/>
      <c r="U68" s="354"/>
      <c r="V68" s="354"/>
      <c r="W68" s="354"/>
      <c r="X68" s="354"/>
      <c r="Y68" s="354"/>
      <c r="Z68" s="354"/>
      <c r="AA68" s="354"/>
      <c r="AB68" s="354"/>
      <c r="AC68" s="354"/>
      <c r="AD68" s="354"/>
      <c r="AE68" s="354"/>
      <c r="AF68" s="354"/>
      <c r="AG68" s="354"/>
      <c r="AH68" s="354"/>
      <c r="AI68" s="354"/>
      <c r="AJ68" s="354"/>
      <c r="AK68" s="354"/>
      <c r="AL68" s="354"/>
    </row>
    <row r="69">
      <c r="A69" s="354"/>
      <c r="B69" s="354"/>
      <c r="C69" s="354"/>
      <c r="D69" s="354"/>
      <c r="E69" s="354"/>
      <c r="F69" s="354"/>
      <c r="G69" s="354"/>
      <c r="H69" s="354"/>
      <c r="I69" s="354"/>
      <c r="J69" s="354"/>
      <c r="K69" s="354"/>
      <c r="L69" s="354"/>
      <c r="M69" s="354"/>
      <c r="N69" s="354"/>
      <c r="O69" s="354"/>
      <c r="P69" s="354"/>
      <c r="Q69" s="354"/>
      <c r="R69" s="354"/>
      <c r="S69" s="354"/>
      <c r="T69" s="354"/>
      <c r="U69" s="354"/>
      <c r="V69" s="354"/>
      <c r="W69" s="354"/>
      <c r="X69" s="354"/>
      <c r="Y69" s="354"/>
      <c r="Z69" s="354"/>
      <c r="AA69" s="354"/>
      <c r="AB69" s="354"/>
      <c r="AC69" s="354"/>
      <c r="AD69" s="354"/>
      <c r="AE69" s="354"/>
      <c r="AF69" s="354"/>
      <c r="AG69" s="354"/>
      <c r="AH69" s="354"/>
      <c r="AI69" s="354"/>
      <c r="AJ69" s="354"/>
      <c r="AK69" s="354"/>
      <c r="AL69" s="354"/>
    </row>
    <row r="70">
      <c r="A70" s="354"/>
      <c r="B70" s="354"/>
      <c r="C70" s="354"/>
      <c r="D70" s="354"/>
      <c r="E70" s="354"/>
      <c r="F70" s="354"/>
      <c r="G70" s="354"/>
      <c r="H70" s="354"/>
      <c r="I70" s="354"/>
      <c r="J70" s="354"/>
      <c r="K70" s="354"/>
      <c r="L70" s="354"/>
      <c r="M70" s="354"/>
      <c r="N70" s="354"/>
      <c r="O70" s="354"/>
      <c r="P70" s="354"/>
      <c r="Q70" s="354"/>
      <c r="R70" s="354"/>
      <c r="S70" s="354"/>
      <c r="T70" s="354"/>
      <c r="U70" s="354"/>
      <c r="V70" s="354"/>
      <c r="W70" s="354"/>
      <c r="X70" s="354"/>
      <c r="Y70" s="354"/>
      <c r="Z70" s="354"/>
      <c r="AA70" s="354"/>
      <c r="AB70" s="354"/>
      <c r="AC70" s="354"/>
      <c r="AD70" s="354"/>
      <c r="AE70" s="354"/>
      <c r="AF70" s="354"/>
      <c r="AG70" s="354"/>
      <c r="AH70" s="354"/>
      <c r="AI70" s="354"/>
      <c r="AJ70" s="354"/>
      <c r="AK70" s="354"/>
      <c r="AL70" s="354"/>
    </row>
    <row r="71">
      <c r="A71" s="354"/>
      <c r="B71" s="354"/>
      <c r="C71" s="354"/>
      <c r="D71" s="354"/>
      <c r="E71" s="354"/>
      <c r="F71" s="354"/>
      <c r="G71" s="354"/>
      <c r="H71" s="354"/>
      <c r="I71" s="354"/>
      <c r="J71" s="354"/>
      <c r="K71" s="354"/>
      <c r="L71" s="354"/>
      <c r="M71" s="354"/>
      <c r="N71" s="354"/>
      <c r="O71" s="354"/>
      <c r="P71" s="354"/>
      <c r="Q71" s="354"/>
      <c r="R71" s="354"/>
      <c r="S71" s="354"/>
      <c r="T71" s="354"/>
      <c r="U71" s="354"/>
      <c r="V71" s="354"/>
      <c r="W71" s="354"/>
      <c r="X71" s="354"/>
      <c r="Y71" s="354"/>
      <c r="Z71" s="354"/>
      <c r="AA71" s="354"/>
      <c r="AB71" s="354"/>
      <c r="AC71" s="354"/>
      <c r="AD71" s="354"/>
      <c r="AE71" s="354"/>
      <c r="AF71" s="354"/>
      <c r="AG71" s="354"/>
      <c r="AH71" s="354"/>
      <c r="AI71" s="354"/>
      <c r="AJ71" s="354"/>
      <c r="AK71" s="354"/>
      <c r="AL71" s="354"/>
    </row>
    <row r="72">
      <c r="A72" s="354"/>
      <c r="B72" s="354"/>
      <c r="C72" s="354"/>
      <c r="D72" s="354"/>
      <c r="E72" s="354"/>
      <c r="F72" s="354"/>
      <c r="G72" s="354"/>
      <c r="H72" s="354"/>
      <c r="I72" s="354"/>
      <c r="J72" s="354"/>
      <c r="K72" s="354"/>
      <c r="L72" s="354"/>
      <c r="M72" s="354"/>
      <c r="N72" s="354"/>
      <c r="O72" s="354"/>
      <c r="P72" s="354"/>
      <c r="Q72" s="354"/>
      <c r="R72" s="354"/>
      <c r="S72" s="354"/>
      <c r="T72" s="354"/>
      <c r="U72" s="354"/>
      <c r="V72" s="354"/>
      <c r="W72" s="354"/>
      <c r="X72" s="354"/>
      <c r="Y72" s="354"/>
      <c r="Z72" s="354"/>
      <c r="AA72" s="354"/>
      <c r="AB72" s="354"/>
      <c r="AC72" s="354"/>
      <c r="AD72" s="354"/>
      <c r="AE72" s="354"/>
      <c r="AF72" s="354"/>
      <c r="AG72" s="354"/>
      <c r="AH72" s="354"/>
      <c r="AI72" s="354"/>
      <c r="AJ72" s="354"/>
      <c r="AK72" s="354"/>
      <c r="AL72" s="354"/>
    </row>
    <row r="73">
      <c r="A73" s="354"/>
      <c r="B73" s="354"/>
      <c r="C73" s="354"/>
      <c r="D73" s="354"/>
      <c r="E73" s="354"/>
      <c r="F73" s="354"/>
      <c r="G73" s="354"/>
      <c r="H73" s="354"/>
      <c r="I73" s="354"/>
      <c r="J73" s="354"/>
      <c r="K73" s="354"/>
      <c r="L73" s="354"/>
      <c r="M73" s="354"/>
      <c r="N73" s="354"/>
      <c r="O73" s="354"/>
      <c r="P73" s="354"/>
      <c r="Q73" s="354"/>
      <c r="R73" s="354"/>
      <c r="S73" s="354"/>
      <c r="T73" s="354"/>
      <c r="U73" s="354"/>
      <c r="V73" s="354"/>
      <c r="W73" s="354"/>
      <c r="X73" s="354"/>
      <c r="Y73" s="354"/>
      <c r="Z73" s="354"/>
      <c r="AA73" s="354"/>
      <c r="AB73" s="354"/>
      <c r="AC73" s="354"/>
      <c r="AD73" s="354"/>
      <c r="AE73" s="354"/>
      <c r="AF73" s="354"/>
      <c r="AG73" s="354"/>
      <c r="AH73" s="354"/>
      <c r="AI73" s="354"/>
      <c r="AJ73" s="354"/>
      <c r="AK73" s="354"/>
      <c r="AL73" s="354"/>
    </row>
    <row r="74">
      <c r="A74" s="354"/>
      <c r="B74" s="354"/>
      <c r="C74" s="354"/>
      <c r="D74" s="354"/>
      <c r="E74" s="354"/>
      <c r="F74" s="354"/>
      <c r="G74" s="354"/>
      <c r="H74" s="354"/>
      <c r="I74" s="354"/>
      <c r="J74" s="354"/>
      <c r="K74" s="354"/>
      <c r="L74" s="354"/>
      <c r="M74" s="354"/>
      <c r="N74" s="354"/>
      <c r="O74" s="354"/>
      <c r="P74" s="354"/>
      <c r="Q74" s="354"/>
      <c r="R74" s="354"/>
      <c r="S74" s="354"/>
      <c r="T74" s="354"/>
      <c r="U74" s="354"/>
      <c r="V74" s="354"/>
      <c r="W74" s="354"/>
      <c r="X74" s="354"/>
      <c r="Y74" s="354"/>
      <c r="Z74" s="354"/>
      <c r="AA74" s="354"/>
      <c r="AB74" s="354"/>
      <c r="AC74" s="354"/>
      <c r="AD74" s="354"/>
      <c r="AE74" s="354"/>
      <c r="AF74" s="354"/>
      <c r="AG74" s="354"/>
      <c r="AH74" s="354"/>
      <c r="AI74" s="354"/>
      <c r="AJ74" s="354"/>
      <c r="AK74" s="354"/>
      <c r="AL74" s="354"/>
    </row>
    <row r="75">
      <c r="A75" s="354"/>
      <c r="B75" s="354"/>
      <c r="C75" s="354"/>
      <c r="D75" s="354"/>
      <c r="E75" s="354"/>
      <c r="F75" s="354"/>
      <c r="G75" s="354"/>
      <c r="H75" s="354"/>
      <c r="I75" s="354"/>
      <c r="J75" s="354"/>
      <c r="K75" s="354"/>
      <c r="L75" s="354"/>
      <c r="M75" s="354"/>
      <c r="N75" s="354"/>
      <c r="O75" s="354"/>
      <c r="P75" s="354"/>
      <c r="Q75" s="354"/>
      <c r="R75" s="354"/>
      <c r="S75" s="354"/>
      <c r="T75" s="354"/>
      <c r="U75" s="354"/>
      <c r="V75" s="354"/>
      <c r="W75" s="354"/>
      <c r="X75" s="354"/>
      <c r="Y75" s="354"/>
      <c r="Z75" s="354"/>
      <c r="AA75" s="354"/>
      <c r="AB75" s="354"/>
      <c r="AC75" s="354"/>
      <c r="AD75" s="354"/>
      <c r="AE75" s="354"/>
      <c r="AF75" s="354"/>
      <c r="AG75" s="354"/>
      <c r="AH75" s="354"/>
      <c r="AI75" s="354"/>
      <c r="AJ75" s="354"/>
      <c r="AK75" s="354"/>
      <c r="AL75" s="354"/>
    </row>
    <row r="76">
      <c r="A76" s="354"/>
      <c r="B76" s="354"/>
      <c r="C76" s="354"/>
      <c r="D76" s="354"/>
      <c r="E76" s="354"/>
      <c r="F76" s="354"/>
      <c r="G76" s="354"/>
      <c r="H76" s="354"/>
      <c r="I76" s="354"/>
      <c r="J76" s="354"/>
      <c r="K76" s="354"/>
      <c r="L76" s="354"/>
      <c r="M76" s="354"/>
      <c r="N76" s="354"/>
      <c r="O76" s="354"/>
      <c r="P76" s="354"/>
      <c r="Q76" s="354"/>
      <c r="R76" s="354"/>
      <c r="S76" s="354"/>
      <c r="T76" s="354"/>
      <c r="U76" s="354"/>
      <c r="V76" s="354"/>
      <c r="W76" s="354"/>
      <c r="X76" s="354"/>
      <c r="Y76" s="354"/>
      <c r="Z76" s="354"/>
      <c r="AA76" s="354"/>
      <c r="AB76" s="354"/>
      <c r="AC76" s="354"/>
      <c r="AD76" s="354"/>
      <c r="AE76" s="354"/>
      <c r="AF76" s="354"/>
      <c r="AG76" s="354"/>
      <c r="AH76" s="354"/>
      <c r="AI76" s="354"/>
      <c r="AJ76" s="354"/>
      <c r="AK76" s="354"/>
      <c r="AL76" s="354"/>
    </row>
    <row r="77">
      <c r="A77" s="354"/>
      <c r="B77" s="354"/>
      <c r="C77" s="354"/>
      <c r="D77" s="354"/>
      <c r="E77" s="354"/>
      <c r="F77" s="354"/>
      <c r="G77" s="354"/>
      <c r="H77" s="354"/>
      <c r="I77" s="354"/>
      <c r="J77" s="354"/>
      <c r="K77" s="354"/>
      <c r="L77" s="354"/>
      <c r="M77" s="354"/>
      <c r="N77" s="354"/>
      <c r="O77" s="354"/>
      <c r="P77" s="354"/>
      <c r="Q77" s="354"/>
      <c r="R77" s="354"/>
      <c r="S77" s="354"/>
      <c r="T77" s="354"/>
      <c r="U77" s="354"/>
      <c r="V77" s="354"/>
      <c r="W77" s="354"/>
      <c r="X77" s="354"/>
      <c r="Y77" s="354"/>
      <c r="Z77" s="354"/>
      <c r="AA77" s="354"/>
      <c r="AB77" s="354"/>
      <c r="AC77" s="354"/>
      <c r="AD77" s="354"/>
      <c r="AE77" s="354"/>
      <c r="AF77" s="354"/>
      <c r="AG77" s="354"/>
      <c r="AH77" s="354"/>
      <c r="AI77" s="354"/>
      <c r="AJ77" s="354"/>
      <c r="AK77" s="354"/>
      <c r="AL77" s="354"/>
    </row>
    <row r="78">
      <c r="A78" s="354"/>
      <c r="B78" s="354"/>
      <c r="C78" s="354"/>
      <c r="D78" s="354"/>
      <c r="E78" s="354"/>
      <c r="F78" s="354"/>
      <c r="G78" s="354"/>
      <c r="H78" s="354"/>
      <c r="I78" s="354"/>
      <c r="J78" s="354"/>
      <c r="K78" s="354"/>
      <c r="L78" s="354"/>
      <c r="M78" s="354"/>
      <c r="N78" s="354"/>
      <c r="O78" s="354"/>
      <c r="P78" s="354"/>
      <c r="Q78" s="354"/>
      <c r="R78" s="354"/>
      <c r="S78" s="354"/>
      <c r="T78" s="354"/>
      <c r="U78" s="354"/>
      <c r="V78" s="354"/>
      <c r="W78" s="354"/>
      <c r="X78" s="354"/>
      <c r="Y78" s="354"/>
      <c r="Z78" s="354"/>
      <c r="AA78" s="354"/>
      <c r="AB78" s="354"/>
      <c r="AC78" s="354"/>
      <c r="AD78" s="354"/>
      <c r="AE78" s="354"/>
      <c r="AF78" s="354"/>
      <c r="AG78" s="354"/>
      <c r="AH78" s="354"/>
      <c r="AI78" s="354"/>
      <c r="AJ78" s="354"/>
      <c r="AK78" s="354"/>
      <c r="AL78" s="354"/>
    </row>
    <row r="79">
      <c r="A79" s="354"/>
      <c r="B79" s="354"/>
      <c r="C79" s="354"/>
      <c r="D79" s="354"/>
      <c r="E79" s="354"/>
      <c r="F79" s="354"/>
      <c r="G79" s="354"/>
      <c r="H79" s="354"/>
      <c r="I79" s="354"/>
      <c r="J79" s="354"/>
      <c r="K79" s="354"/>
      <c r="L79" s="354"/>
      <c r="M79" s="354"/>
      <c r="N79" s="354"/>
      <c r="O79" s="354"/>
      <c r="P79" s="354"/>
      <c r="Q79" s="354"/>
      <c r="R79" s="354"/>
      <c r="S79" s="354"/>
      <c r="T79" s="354"/>
      <c r="U79" s="354"/>
      <c r="V79" s="354"/>
      <c r="W79" s="354"/>
      <c r="X79" s="354"/>
      <c r="Y79" s="354"/>
      <c r="Z79" s="354"/>
      <c r="AA79" s="354"/>
      <c r="AB79" s="354"/>
      <c r="AC79" s="354"/>
      <c r="AD79" s="354"/>
      <c r="AE79" s="354"/>
      <c r="AF79" s="354"/>
      <c r="AG79" s="354"/>
      <c r="AH79" s="354"/>
      <c r="AI79" s="354"/>
      <c r="AJ79" s="354"/>
      <c r="AK79" s="354"/>
      <c r="AL79" s="354"/>
    </row>
    <row r="80">
      <c r="A80" s="354"/>
      <c r="B80" s="354"/>
      <c r="C80" s="354"/>
      <c r="D80" s="354"/>
      <c r="E80" s="354"/>
      <c r="F80" s="354"/>
      <c r="G80" s="354"/>
      <c r="H80" s="354"/>
      <c r="I80" s="354"/>
      <c r="J80" s="354"/>
      <c r="K80" s="354"/>
      <c r="L80" s="354"/>
      <c r="M80" s="354"/>
      <c r="N80" s="354"/>
      <c r="O80" s="354"/>
      <c r="P80" s="354"/>
      <c r="Q80" s="354"/>
      <c r="R80" s="354"/>
      <c r="S80" s="354"/>
      <c r="T80" s="354"/>
      <c r="U80" s="354"/>
      <c r="V80" s="354"/>
      <c r="W80" s="354"/>
      <c r="X80" s="354"/>
      <c r="Y80" s="354"/>
      <c r="Z80" s="354"/>
      <c r="AA80" s="354"/>
      <c r="AB80" s="354"/>
      <c r="AC80" s="354"/>
      <c r="AD80" s="354"/>
      <c r="AE80" s="354"/>
      <c r="AF80" s="354"/>
      <c r="AG80" s="354"/>
      <c r="AH80" s="354"/>
      <c r="AI80" s="354"/>
      <c r="AJ80" s="354"/>
      <c r="AK80" s="354"/>
      <c r="AL80" s="354"/>
    </row>
    <row r="81">
      <c r="A81" s="354"/>
      <c r="B81" s="354"/>
      <c r="C81" s="354"/>
      <c r="D81" s="354"/>
      <c r="E81" s="354"/>
      <c r="F81" s="354"/>
      <c r="G81" s="354"/>
      <c r="H81" s="354"/>
      <c r="I81" s="354"/>
      <c r="J81" s="354"/>
      <c r="K81" s="354"/>
      <c r="L81" s="354"/>
      <c r="M81" s="354"/>
      <c r="N81" s="354"/>
      <c r="O81" s="354"/>
      <c r="P81" s="354"/>
      <c r="Q81" s="354"/>
      <c r="R81" s="354"/>
      <c r="S81" s="354"/>
      <c r="T81" s="354"/>
      <c r="U81" s="354"/>
      <c r="V81" s="354"/>
      <c r="W81" s="354"/>
      <c r="X81" s="354"/>
      <c r="Y81" s="354"/>
      <c r="Z81" s="354"/>
      <c r="AA81" s="354"/>
      <c r="AB81" s="354"/>
      <c r="AC81" s="354"/>
      <c r="AD81" s="354"/>
      <c r="AE81" s="354"/>
      <c r="AF81" s="354"/>
      <c r="AG81" s="354"/>
      <c r="AH81" s="354"/>
      <c r="AI81" s="354"/>
      <c r="AJ81" s="354"/>
      <c r="AK81" s="354"/>
      <c r="AL81" s="354"/>
    </row>
    <row r="82">
      <c r="A82" s="354"/>
      <c r="B82" s="354"/>
      <c r="C82" s="354"/>
      <c r="D82" s="354"/>
      <c r="E82" s="354"/>
      <c r="F82" s="354"/>
      <c r="G82" s="354"/>
      <c r="H82" s="354"/>
      <c r="I82" s="354"/>
      <c r="J82" s="354"/>
      <c r="K82" s="354"/>
      <c r="L82" s="354"/>
      <c r="M82" s="354"/>
      <c r="N82" s="354"/>
      <c r="O82" s="354"/>
      <c r="P82" s="354"/>
      <c r="Q82" s="354"/>
      <c r="R82" s="354"/>
      <c r="S82" s="354"/>
      <c r="T82" s="354"/>
      <c r="U82" s="354"/>
      <c r="V82" s="354"/>
      <c r="W82" s="354"/>
      <c r="X82" s="354"/>
      <c r="Y82" s="354"/>
      <c r="Z82" s="354"/>
      <c r="AA82" s="354"/>
      <c r="AB82" s="354"/>
      <c r="AC82" s="354"/>
      <c r="AD82" s="354"/>
      <c r="AE82" s="354"/>
      <c r="AF82" s="354"/>
      <c r="AG82" s="354"/>
      <c r="AH82" s="354"/>
      <c r="AI82" s="354"/>
      <c r="AJ82" s="354"/>
      <c r="AK82" s="354"/>
      <c r="AL82" s="354"/>
    </row>
    <row r="83">
      <c r="A83" s="354"/>
      <c r="B83" s="354"/>
      <c r="C83" s="354"/>
      <c r="D83" s="354"/>
      <c r="E83" s="354"/>
      <c r="F83" s="354"/>
      <c r="G83" s="354"/>
      <c r="H83" s="354"/>
      <c r="I83" s="354"/>
      <c r="J83" s="354"/>
      <c r="K83" s="354"/>
      <c r="L83" s="354"/>
      <c r="M83" s="354"/>
      <c r="N83" s="354"/>
      <c r="O83" s="354"/>
      <c r="P83" s="354"/>
      <c r="Q83" s="354"/>
      <c r="R83" s="354"/>
      <c r="S83" s="354"/>
      <c r="T83" s="354"/>
      <c r="U83" s="354"/>
      <c r="V83" s="354"/>
      <c r="W83" s="354"/>
      <c r="X83" s="354"/>
      <c r="Y83" s="354"/>
      <c r="Z83" s="354"/>
      <c r="AA83" s="354"/>
      <c r="AB83" s="354"/>
      <c r="AC83" s="354"/>
      <c r="AD83" s="354"/>
      <c r="AE83" s="354"/>
      <c r="AF83" s="354"/>
      <c r="AG83" s="354"/>
      <c r="AH83" s="354"/>
      <c r="AI83" s="354"/>
      <c r="AJ83" s="354"/>
      <c r="AK83" s="354"/>
      <c r="AL83" s="354"/>
    </row>
    <row r="84">
      <c r="A84" s="354"/>
      <c r="B84" s="354"/>
      <c r="C84" s="354"/>
      <c r="D84" s="354"/>
      <c r="E84" s="354"/>
      <c r="F84" s="354"/>
      <c r="G84" s="354"/>
      <c r="H84" s="354"/>
      <c r="I84" s="354"/>
      <c r="J84" s="354"/>
      <c r="K84" s="354"/>
      <c r="L84" s="354"/>
      <c r="M84" s="354"/>
      <c r="N84" s="354"/>
      <c r="O84" s="354"/>
      <c r="P84" s="354"/>
      <c r="Q84" s="354"/>
      <c r="R84" s="354"/>
      <c r="S84" s="354"/>
      <c r="T84" s="354"/>
      <c r="U84" s="354"/>
      <c r="V84" s="354"/>
      <c r="W84" s="354"/>
      <c r="X84" s="354"/>
      <c r="Y84" s="354"/>
      <c r="Z84" s="354"/>
      <c r="AA84" s="354"/>
      <c r="AB84" s="354"/>
      <c r="AC84" s="354"/>
      <c r="AD84" s="354"/>
      <c r="AE84" s="354"/>
      <c r="AF84" s="354"/>
      <c r="AG84" s="354"/>
      <c r="AH84" s="354"/>
      <c r="AI84" s="354"/>
      <c r="AJ84" s="354"/>
      <c r="AK84" s="354"/>
      <c r="AL84" s="354"/>
    </row>
    <row r="85">
      <c r="A85" s="354"/>
      <c r="B85" s="354"/>
      <c r="C85" s="354"/>
      <c r="D85" s="354"/>
      <c r="E85" s="354"/>
      <c r="F85" s="354"/>
      <c r="G85" s="354"/>
      <c r="H85" s="354"/>
      <c r="I85" s="354"/>
      <c r="J85" s="354"/>
      <c r="K85" s="354"/>
      <c r="L85" s="354"/>
      <c r="M85" s="354"/>
      <c r="N85" s="354"/>
      <c r="O85" s="354"/>
      <c r="P85" s="354"/>
      <c r="Q85" s="354"/>
      <c r="R85" s="354"/>
      <c r="S85" s="354"/>
      <c r="T85" s="354"/>
      <c r="U85" s="354"/>
      <c r="V85" s="354"/>
      <c r="W85" s="354"/>
      <c r="X85" s="354"/>
      <c r="Y85" s="354"/>
      <c r="Z85" s="354"/>
      <c r="AA85" s="354"/>
      <c r="AB85" s="354"/>
      <c r="AC85" s="354"/>
      <c r="AD85" s="354"/>
      <c r="AE85" s="354"/>
      <c r="AF85" s="354"/>
      <c r="AG85" s="354"/>
      <c r="AH85" s="354"/>
      <c r="AI85" s="354"/>
      <c r="AJ85" s="354"/>
      <c r="AK85" s="354"/>
      <c r="AL85" s="354"/>
    </row>
    <row r="86">
      <c r="A86" s="354"/>
      <c r="B86" s="354"/>
      <c r="C86" s="354"/>
      <c r="D86" s="354"/>
      <c r="E86" s="354"/>
      <c r="F86" s="354"/>
      <c r="G86" s="354"/>
      <c r="H86" s="354"/>
      <c r="I86" s="354"/>
      <c r="J86" s="354"/>
      <c r="K86" s="354"/>
      <c r="L86" s="354"/>
      <c r="M86" s="354"/>
      <c r="N86" s="354"/>
      <c r="O86" s="354"/>
      <c r="P86" s="354"/>
      <c r="Q86" s="354"/>
      <c r="R86" s="354"/>
      <c r="S86" s="354"/>
      <c r="T86" s="354"/>
      <c r="U86" s="354"/>
      <c r="V86" s="354"/>
      <c r="W86" s="354"/>
      <c r="X86" s="354"/>
      <c r="Y86" s="354"/>
      <c r="Z86" s="354"/>
      <c r="AA86" s="354"/>
      <c r="AB86" s="354"/>
      <c r="AC86" s="354"/>
      <c r="AD86" s="354"/>
      <c r="AE86" s="354"/>
      <c r="AF86" s="354"/>
      <c r="AG86" s="354"/>
      <c r="AH86" s="354"/>
      <c r="AI86" s="354"/>
      <c r="AJ86" s="354"/>
      <c r="AK86" s="354"/>
      <c r="AL86" s="354"/>
    </row>
    <row r="87">
      <c r="A87" s="354"/>
      <c r="B87" s="354"/>
      <c r="C87" s="354"/>
      <c r="D87" s="354"/>
      <c r="E87" s="354"/>
      <c r="F87" s="354"/>
      <c r="G87" s="354"/>
      <c r="H87" s="354"/>
      <c r="I87" s="354"/>
      <c r="J87" s="354"/>
      <c r="K87" s="354"/>
      <c r="L87" s="354"/>
      <c r="M87" s="354"/>
      <c r="N87" s="354"/>
      <c r="O87" s="354"/>
      <c r="P87" s="354"/>
      <c r="Q87" s="354"/>
      <c r="R87" s="354"/>
      <c r="S87" s="354"/>
      <c r="T87" s="354"/>
      <c r="U87" s="354"/>
      <c r="V87" s="354"/>
      <c r="W87" s="354"/>
      <c r="X87" s="354"/>
      <c r="Y87" s="354"/>
      <c r="Z87" s="354"/>
      <c r="AA87" s="354"/>
      <c r="AB87" s="354"/>
      <c r="AC87" s="354"/>
      <c r="AD87" s="354"/>
      <c r="AE87" s="354"/>
      <c r="AF87" s="354"/>
      <c r="AG87" s="354"/>
      <c r="AH87" s="354"/>
      <c r="AI87" s="354"/>
      <c r="AJ87" s="354"/>
      <c r="AK87" s="354"/>
      <c r="AL87" s="354"/>
    </row>
    <row r="88">
      <c r="A88" s="354"/>
      <c r="B88" s="354"/>
      <c r="C88" s="354"/>
      <c r="D88" s="354"/>
      <c r="E88" s="354"/>
      <c r="F88" s="354"/>
      <c r="G88" s="354"/>
      <c r="H88" s="354"/>
      <c r="I88" s="354"/>
      <c r="J88" s="354"/>
      <c r="K88" s="354"/>
      <c r="L88" s="354"/>
      <c r="M88" s="354"/>
      <c r="N88" s="354"/>
      <c r="O88" s="354"/>
      <c r="P88" s="354"/>
      <c r="Q88" s="354"/>
      <c r="R88" s="354"/>
      <c r="S88" s="354"/>
      <c r="T88" s="354"/>
      <c r="U88" s="354"/>
      <c r="V88" s="354"/>
      <c r="W88" s="354"/>
      <c r="X88" s="354"/>
      <c r="Y88" s="354"/>
      <c r="Z88" s="354"/>
      <c r="AA88" s="354"/>
      <c r="AB88" s="354"/>
      <c r="AC88" s="354"/>
      <c r="AD88" s="354"/>
      <c r="AE88" s="354"/>
      <c r="AF88" s="354"/>
      <c r="AG88" s="354"/>
      <c r="AH88" s="354"/>
      <c r="AI88" s="354"/>
      <c r="AJ88" s="354"/>
      <c r="AK88" s="354"/>
      <c r="AL88" s="354"/>
    </row>
    <row r="89">
      <c r="A89" s="354"/>
      <c r="B89" s="354"/>
      <c r="C89" s="354"/>
      <c r="D89" s="354"/>
      <c r="E89" s="354"/>
      <c r="F89" s="354"/>
      <c r="G89" s="354"/>
      <c r="H89" s="354"/>
      <c r="I89" s="354"/>
      <c r="J89" s="354"/>
      <c r="K89" s="354"/>
      <c r="L89" s="354"/>
      <c r="M89" s="354"/>
      <c r="N89" s="354"/>
      <c r="O89" s="354"/>
      <c r="P89" s="354"/>
      <c r="Q89" s="354"/>
      <c r="R89" s="354"/>
      <c r="S89" s="354"/>
      <c r="T89" s="354"/>
      <c r="U89" s="354"/>
      <c r="V89" s="354"/>
      <c r="W89" s="354"/>
      <c r="X89" s="354"/>
      <c r="Y89" s="354"/>
      <c r="Z89" s="354"/>
      <c r="AA89" s="354"/>
      <c r="AB89" s="354"/>
      <c r="AC89" s="354"/>
      <c r="AD89" s="354"/>
      <c r="AE89" s="354"/>
      <c r="AF89" s="354"/>
      <c r="AG89" s="354"/>
      <c r="AH89" s="354"/>
      <c r="AI89" s="354"/>
      <c r="AJ89" s="354"/>
      <c r="AK89" s="354"/>
      <c r="AL89" s="354"/>
    </row>
    <row r="90">
      <c r="A90" s="354"/>
      <c r="B90" s="354"/>
      <c r="C90" s="354"/>
      <c r="D90" s="354"/>
      <c r="E90" s="354"/>
      <c r="F90" s="354"/>
      <c r="G90" s="354"/>
      <c r="H90" s="354"/>
      <c r="I90" s="354"/>
      <c r="J90" s="354"/>
      <c r="K90" s="354"/>
      <c r="L90" s="354"/>
      <c r="M90" s="354"/>
      <c r="N90" s="354"/>
      <c r="O90" s="354"/>
      <c r="P90" s="354"/>
      <c r="Q90" s="354"/>
      <c r="R90" s="354"/>
      <c r="S90" s="354"/>
      <c r="T90" s="354"/>
      <c r="U90" s="354"/>
      <c r="V90" s="354"/>
      <c r="W90" s="354"/>
      <c r="X90" s="354"/>
      <c r="Y90" s="354"/>
      <c r="Z90" s="354"/>
      <c r="AA90" s="354"/>
      <c r="AB90" s="354"/>
      <c r="AC90" s="354"/>
      <c r="AD90" s="354"/>
      <c r="AE90" s="354"/>
      <c r="AF90" s="354"/>
      <c r="AG90" s="354"/>
      <c r="AH90" s="354"/>
      <c r="AI90" s="354"/>
      <c r="AJ90" s="354"/>
      <c r="AK90" s="354"/>
      <c r="AL90" s="354"/>
    </row>
    <row r="91">
      <c r="A91" s="354"/>
      <c r="B91" s="354"/>
      <c r="C91" s="354"/>
      <c r="D91" s="354"/>
      <c r="E91" s="354"/>
      <c r="F91" s="354"/>
      <c r="G91" s="354"/>
      <c r="H91" s="354"/>
      <c r="I91" s="354"/>
      <c r="J91" s="354"/>
      <c r="K91" s="354"/>
      <c r="L91" s="354"/>
      <c r="M91" s="354"/>
      <c r="N91" s="354"/>
      <c r="O91" s="354"/>
      <c r="P91" s="354"/>
      <c r="Q91" s="354"/>
      <c r="R91" s="354"/>
      <c r="S91" s="354"/>
      <c r="T91" s="354"/>
      <c r="U91" s="354"/>
      <c r="V91" s="354"/>
      <c r="W91" s="354"/>
      <c r="X91" s="354"/>
      <c r="Y91" s="354"/>
      <c r="Z91" s="354"/>
      <c r="AA91" s="354"/>
      <c r="AB91" s="354"/>
      <c r="AC91" s="354"/>
      <c r="AD91" s="354"/>
      <c r="AE91" s="354"/>
      <c r="AF91" s="354"/>
      <c r="AG91" s="354"/>
      <c r="AH91" s="354"/>
      <c r="AI91" s="354"/>
      <c r="AJ91" s="354"/>
      <c r="AK91" s="354"/>
      <c r="AL91" s="354"/>
    </row>
    <row r="92">
      <c r="A92" s="354"/>
      <c r="B92" s="354"/>
      <c r="C92" s="354"/>
      <c r="D92" s="354"/>
      <c r="E92" s="354"/>
      <c r="F92" s="354"/>
      <c r="G92" s="354"/>
      <c r="H92" s="354"/>
      <c r="I92" s="354"/>
      <c r="J92" s="354"/>
      <c r="K92" s="354"/>
      <c r="L92" s="354"/>
      <c r="M92" s="354"/>
      <c r="N92" s="354"/>
      <c r="O92" s="354"/>
      <c r="P92" s="354"/>
      <c r="Q92" s="354"/>
      <c r="R92" s="354"/>
      <c r="S92" s="354"/>
      <c r="T92" s="354"/>
      <c r="U92" s="354"/>
      <c r="V92" s="354"/>
      <c r="W92" s="354"/>
      <c r="X92" s="354"/>
      <c r="Y92" s="354"/>
      <c r="Z92" s="354"/>
      <c r="AA92" s="354"/>
      <c r="AB92" s="354"/>
      <c r="AC92" s="354"/>
      <c r="AD92" s="354"/>
      <c r="AE92" s="354"/>
      <c r="AF92" s="354"/>
      <c r="AG92" s="354"/>
      <c r="AH92" s="354"/>
      <c r="AI92" s="354"/>
      <c r="AJ92" s="354"/>
      <c r="AK92" s="354"/>
      <c r="AL92" s="354"/>
    </row>
    <row r="93">
      <c r="A93" s="354"/>
      <c r="B93" s="354"/>
      <c r="C93" s="354"/>
      <c r="D93" s="354"/>
      <c r="E93" s="354"/>
      <c r="F93" s="354"/>
      <c r="G93" s="354"/>
      <c r="H93" s="354"/>
      <c r="I93" s="354"/>
      <c r="J93" s="354"/>
      <c r="K93" s="354"/>
      <c r="L93" s="354"/>
      <c r="M93" s="354"/>
      <c r="N93" s="354"/>
      <c r="O93" s="354"/>
      <c r="P93" s="354"/>
      <c r="Q93" s="354"/>
      <c r="R93" s="354"/>
      <c r="S93" s="354"/>
      <c r="T93" s="354"/>
      <c r="U93" s="354"/>
      <c r="V93" s="354"/>
      <c r="W93" s="354"/>
      <c r="X93" s="354"/>
      <c r="Y93" s="354"/>
      <c r="Z93" s="354"/>
      <c r="AA93" s="354"/>
      <c r="AB93" s="354"/>
      <c r="AC93" s="354"/>
      <c r="AD93" s="354"/>
      <c r="AE93" s="354"/>
      <c r="AF93" s="354"/>
      <c r="AG93" s="354"/>
      <c r="AH93" s="354"/>
      <c r="AI93" s="354"/>
      <c r="AJ93" s="354"/>
      <c r="AK93" s="354"/>
      <c r="AL93" s="354"/>
    </row>
    <row r="94">
      <c r="A94" s="354"/>
      <c r="B94" s="354"/>
      <c r="C94" s="354"/>
      <c r="D94" s="354"/>
      <c r="E94" s="354"/>
      <c r="F94" s="354"/>
      <c r="G94" s="354"/>
      <c r="H94" s="354"/>
      <c r="I94" s="354"/>
      <c r="J94" s="354"/>
      <c r="K94" s="354"/>
      <c r="L94" s="354"/>
      <c r="M94" s="354"/>
      <c r="N94" s="354"/>
      <c r="O94" s="354"/>
      <c r="P94" s="354"/>
      <c r="Q94" s="354"/>
      <c r="R94" s="354"/>
      <c r="S94" s="354"/>
      <c r="T94" s="354"/>
      <c r="U94" s="354"/>
      <c r="V94" s="354"/>
      <c r="W94" s="354"/>
      <c r="X94" s="354"/>
      <c r="Y94" s="354"/>
      <c r="Z94" s="354"/>
      <c r="AA94" s="354"/>
      <c r="AB94" s="354"/>
      <c r="AC94" s="354"/>
      <c r="AD94" s="354"/>
      <c r="AE94" s="354"/>
      <c r="AF94" s="354"/>
      <c r="AG94" s="354"/>
      <c r="AH94" s="354"/>
      <c r="AI94" s="354"/>
      <c r="AJ94" s="354"/>
      <c r="AK94" s="354"/>
      <c r="AL94" s="354"/>
    </row>
    <row r="95">
      <c r="A95" s="354"/>
      <c r="B95" s="354"/>
      <c r="C95" s="354"/>
      <c r="D95" s="354"/>
      <c r="E95" s="354"/>
      <c r="F95" s="354"/>
      <c r="G95" s="354"/>
      <c r="H95" s="354"/>
      <c r="I95" s="354"/>
      <c r="J95" s="354"/>
      <c r="K95" s="354"/>
      <c r="L95" s="354"/>
      <c r="M95" s="354"/>
      <c r="N95" s="354"/>
      <c r="O95" s="354"/>
      <c r="P95" s="354"/>
      <c r="Q95" s="354"/>
      <c r="R95" s="354"/>
      <c r="S95" s="354"/>
      <c r="T95" s="354"/>
      <c r="U95" s="354"/>
      <c r="V95" s="354"/>
      <c r="W95" s="354"/>
      <c r="X95" s="354"/>
      <c r="Y95" s="354"/>
      <c r="Z95" s="354"/>
      <c r="AA95" s="354"/>
      <c r="AB95" s="354"/>
      <c r="AC95" s="354"/>
      <c r="AD95" s="354"/>
      <c r="AE95" s="354"/>
      <c r="AF95" s="354"/>
      <c r="AG95" s="354"/>
      <c r="AH95" s="354"/>
      <c r="AI95" s="354"/>
      <c r="AJ95" s="354"/>
      <c r="AK95" s="354"/>
      <c r="AL95" s="354"/>
    </row>
    <row r="96">
      <c r="A96" s="354"/>
      <c r="B96" s="354"/>
      <c r="C96" s="354"/>
      <c r="D96" s="354"/>
      <c r="E96" s="354"/>
      <c r="F96" s="354"/>
      <c r="G96" s="354"/>
      <c r="H96" s="354"/>
      <c r="I96" s="354"/>
      <c r="J96" s="354"/>
      <c r="K96" s="354"/>
      <c r="L96" s="354"/>
      <c r="M96" s="354"/>
      <c r="N96" s="354"/>
      <c r="O96" s="354"/>
      <c r="P96" s="354"/>
      <c r="Q96" s="354"/>
      <c r="R96" s="354"/>
      <c r="S96" s="354"/>
      <c r="T96" s="354"/>
      <c r="U96" s="354"/>
      <c r="V96" s="354"/>
      <c r="W96" s="354"/>
      <c r="X96" s="354"/>
      <c r="Y96" s="354"/>
      <c r="Z96" s="354"/>
      <c r="AA96" s="354"/>
      <c r="AB96" s="354"/>
      <c r="AC96" s="354"/>
      <c r="AD96" s="354"/>
      <c r="AE96" s="354"/>
      <c r="AF96" s="354"/>
      <c r="AG96" s="354"/>
      <c r="AH96" s="354"/>
      <c r="AI96" s="354"/>
      <c r="AJ96" s="354"/>
      <c r="AK96" s="354"/>
      <c r="AL96" s="354"/>
    </row>
    <row r="97">
      <c r="A97" s="354"/>
      <c r="B97" s="354"/>
      <c r="C97" s="354"/>
      <c r="D97" s="354"/>
      <c r="E97" s="354"/>
      <c r="F97" s="354"/>
      <c r="G97" s="354"/>
      <c r="H97" s="354"/>
      <c r="I97" s="354"/>
      <c r="J97" s="354"/>
      <c r="K97" s="354"/>
      <c r="L97" s="354"/>
      <c r="M97" s="354"/>
      <c r="N97" s="354"/>
      <c r="O97" s="354"/>
      <c r="P97" s="354"/>
      <c r="Q97" s="354"/>
      <c r="R97" s="354"/>
      <c r="S97" s="354"/>
      <c r="T97" s="354"/>
      <c r="U97" s="354"/>
      <c r="V97" s="354"/>
      <c r="W97" s="354"/>
      <c r="X97" s="354"/>
      <c r="Y97" s="354"/>
      <c r="Z97" s="354"/>
      <c r="AA97" s="354"/>
      <c r="AB97" s="354"/>
      <c r="AC97" s="354"/>
      <c r="AD97" s="354"/>
      <c r="AE97" s="354"/>
      <c r="AF97" s="354"/>
      <c r="AG97" s="354"/>
      <c r="AH97" s="354"/>
      <c r="AI97" s="354"/>
      <c r="AJ97" s="354"/>
      <c r="AK97" s="354"/>
      <c r="AL97" s="354"/>
    </row>
    <row r="98">
      <c r="A98" s="354"/>
      <c r="B98" s="354"/>
      <c r="C98" s="354"/>
      <c r="D98" s="354"/>
      <c r="E98" s="354"/>
      <c r="F98" s="354"/>
      <c r="G98" s="354"/>
      <c r="H98" s="354"/>
      <c r="I98" s="354"/>
      <c r="J98" s="354"/>
      <c r="K98" s="354"/>
      <c r="L98" s="354"/>
      <c r="M98" s="354"/>
      <c r="N98" s="354"/>
      <c r="O98" s="354"/>
      <c r="P98" s="354"/>
      <c r="Q98" s="354"/>
      <c r="R98" s="354"/>
      <c r="S98" s="354"/>
      <c r="T98" s="354"/>
      <c r="U98" s="354"/>
      <c r="V98" s="354"/>
      <c r="W98" s="354"/>
      <c r="X98" s="354"/>
      <c r="Y98" s="354"/>
      <c r="Z98" s="354"/>
      <c r="AA98" s="354"/>
      <c r="AB98" s="354"/>
      <c r="AC98" s="354"/>
      <c r="AD98" s="354"/>
      <c r="AE98" s="354"/>
      <c r="AF98" s="354"/>
      <c r="AG98" s="354"/>
      <c r="AH98" s="354"/>
      <c r="AI98" s="354"/>
      <c r="AJ98" s="354"/>
      <c r="AK98" s="354"/>
      <c r="AL98" s="354"/>
    </row>
    <row r="99">
      <c r="A99" s="354"/>
      <c r="B99" s="354"/>
      <c r="C99" s="354"/>
      <c r="D99" s="354"/>
      <c r="E99" s="354"/>
      <c r="F99" s="354"/>
      <c r="G99" s="354"/>
      <c r="H99" s="354"/>
      <c r="I99" s="354"/>
      <c r="J99" s="354"/>
      <c r="K99" s="354"/>
      <c r="L99" s="354"/>
      <c r="M99" s="354"/>
      <c r="N99" s="354"/>
      <c r="O99" s="354"/>
      <c r="P99" s="354"/>
      <c r="Q99" s="354"/>
      <c r="R99" s="354"/>
      <c r="S99" s="354"/>
      <c r="T99" s="354"/>
      <c r="U99" s="354"/>
      <c r="V99" s="354"/>
      <c r="W99" s="354"/>
      <c r="X99" s="354"/>
      <c r="Y99" s="354"/>
      <c r="Z99" s="354"/>
      <c r="AA99" s="354"/>
      <c r="AB99" s="354"/>
      <c r="AC99" s="354"/>
      <c r="AD99" s="354"/>
      <c r="AE99" s="354"/>
      <c r="AF99" s="354"/>
      <c r="AG99" s="354"/>
      <c r="AH99" s="354"/>
      <c r="AI99" s="354"/>
      <c r="AJ99" s="354"/>
      <c r="AK99" s="354"/>
      <c r="AL99" s="354"/>
    </row>
    <row r="100">
      <c r="A100" s="354"/>
      <c r="B100" s="354"/>
      <c r="C100" s="354"/>
      <c r="D100" s="354"/>
      <c r="E100" s="354"/>
      <c r="F100" s="354"/>
      <c r="G100" s="354"/>
      <c r="H100" s="354"/>
      <c r="I100" s="354"/>
      <c r="J100" s="354"/>
      <c r="K100" s="354"/>
      <c r="L100" s="354"/>
      <c r="M100" s="354"/>
      <c r="N100" s="354"/>
      <c r="O100" s="354"/>
      <c r="P100" s="354"/>
      <c r="Q100" s="354"/>
      <c r="R100" s="354"/>
      <c r="S100" s="354"/>
      <c r="T100" s="354"/>
      <c r="U100" s="354"/>
      <c r="V100" s="354"/>
      <c r="W100" s="354"/>
      <c r="X100" s="354"/>
      <c r="Y100" s="354"/>
      <c r="Z100" s="354"/>
      <c r="AA100" s="354"/>
      <c r="AB100" s="354"/>
      <c r="AC100" s="354"/>
      <c r="AD100" s="354"/>
      <c r="AE100" s="354"/>
      <c r="AF100" s="354"/>
      <c r="AG100" s="354"/>
      <c r="AH100" s="354"/>
      <c r="AI100" s="354"/>
      <c r="AJ100" s="354"/>
      <c r="AK100" s="354"/>
      <c r="AL100" s="354"/>
    </row>
    <row r="101">
      <c r="A101" s="354"/>
      <c r="B101" s="354"/>
      <c r="C101" s="354"/>
      <c r="D101" s="354"/>
      <c r="E101" s="354"/>
      <c r="F101" s="354"/>
      <c r="G101" s="354"/>
      <c r="H101" s="354"/>
      <c r="I101" s="354"/>
      <c r="J101" s="354"/>
      <c r="K101" s="354"/>
      <c r="L101" s="354"/>
      <c r="M101" s="354"/>
      <c r="N101" s="354"/>
      <c r="O101" s="354"/>
      <c r="P101" s="354"/>
      <c r="Q101" s="354"/>
      <c r="R101" s="354"/>
      <c r="S101" s="354"/>
      <c r="T101" s="354"/>
      <c r="U101" s="354"/>
      <c r="V101" s="354"/>
      <c r="W101" s="354"/>
      <c r="X101" s="354"/>
      <c r="Y101" s="354"/>
      <c r="Z101" s="354"/>
      <c r="AA101" s="354"/>
      <c r="AB101" s="354"/>
      <c r="AC101" s="354"/>
      <c r="AD101" s="354"/>
      <c r="AE101" s="354"/>
      <c r="AF101" s="354"/>
      <c r="AG101" s="354"/>
      <c r="AH101" s="354"/>
      <c r="AI101" s="354"/>
      <c r="AJ101" s="354"/>
      <c r="AK101" s="354"/>
      <c r="AL101" s="354"/>
    </row>
    <row r="102">
      <c r="A102" s="354"/>
      <c r="B102" s="354"/>
      <c r="C102" s="354"/>
      <c r="D102" s="354"/>
      <c r="E102" s="354"/>
      <c r="F102" s="354"/>
      <c r="G102" s="354"/>
      <c r="H102" s="354"/>
      <c r="I102" s="354"/>
      <c r="J102" s="354"/>
      <c r="K102" s="354"/>
      <c r="L102" s="354"/>
      <c r="M102" s="354"/>
      <c r="N102" s="354"/>
      <c r="O102" s="354"/>
      <c r="P102" s="354"/>
      <c r="Q102" s="354"/>
      <c r="R102" s="354"/>
      <c r="S102" s="354"/>
      <c r="T102" s="354"/>
      <c r="U102" s="354"/>
      <c r="V102" s="354"/>
      <c r="W102" s="354"/>
      <c r="X102" s="354"/>
      <c r="Y102" s="354"/>
      <c r="Z102" s="354"/>
      <c r="AA102" s="354"/>
      <c r="AB102" s="354"/>
      <c r="AC102" s="354"/>
      <c r="AD102" s="354"/>
      <c r="AE102" s="354"/>
      <c r="AF102" s="354"/>
      <c r="AG102" s="354"/>
      <c r="AH102" s="354"/>
      <c r="AI102" s="354"/>
      <c r="AJ102" s="354"/>
      <c r="AK102" s="354"/>
      <c r="AL102" s="354"/>
    </row>
    <row r="103">
      <c r="A103" s="354"/>
      <c r="B103" s="354"/>
      <c r="C103" s="354"/>
      <c r="D103" s="354"/>
      <c r="E103" s="354"/>
      <c r="F103" s="354"/>
      <c r="G103" s="354"/>
      <c r="H103" s="354"/>
      <c r="I103" s="354"/>
      <c r="J103" s="354"/>
      <c r="K103" s="354"/>
      <c r="L103" s="354"/>
      <c r="M103" s="354"/>
      <c r="N103" s="354"/>
      <c r="O103" s="354"/>
      <c r="P103" s="354"/>
      <c r="Q103" s="354"/>
      <c r="R103" s="354"/>
      <c r="S103" s="354"/>
      <c r="T103" s="354"/>
      <c r="U103" s="354"/>
      <c r="V103" s="354"/>
      <c r="W103" s="354"/>
      <c r="X103" s="354"/>
      <c r="Y103" s="354"/>
      <c r="Z103" s="354"/>
      <c r="AA103" s="354"/>
      <c r="AB103" s="354"/>
      <c r="AC103" s="354"/>
      <c r="AD103" s="354"/>
      <c r="AE103" s="354"/>
      <c r="AF103" s="354"/>
      <c r="AG103" s="354"/>
      <c r="AH103" s="354"/>
      <c r="AI103" s="354"/>
      <c r="AJ103" s="354"/>
      <c r="AK103" s="354"/>
      <c r="AL103" s="354"/>
    </row>
    <row r="104">
      <c r="A104" s="354"/>
      <c r="B104" s="354"/>
      <c r="C104" s="354"/>
      <c r="D104" s="354"/>
      <c r="E104" s="354"/>
      <c r="F104" s="354"/>
      <c r="G104" s="354"/>
      <c r="H104" s="354"/>
      <c r="I104" s="354"/>
      <c r="J104" s="354"/>
      <c r="K104" s="354"/>
      <c r="L104" s="354"/>
      <c r="M104" s="354"/>
      <c r="N104" s="354"/>
      <c r="O104" s="354"/>
      <c r="P104" s="354"/>
      <c r="Q104" s="354"/>
      <c r="R104" s="354"/>
      <c r="S104" s="354"/>
      <c r="T104" s="354"/>
      <c r="U104" s="354"/>
      <c r="V104" s="354"/>
      <c r="W104" s="354"/>
      <c r="X104" s="354"/>
      <c r="Y104" s="354"/>
      <c r="Z104" s="354"/>
      <c r="AA104" s="354"/>
      <c r="AB104" s="354"/>
      <c r="AC104" s="354"/>
      <c r="AD104" s="354"/>
      <c r="AE104" s="354"/>
      <c r="AF104" s="354"/>
      <c r="AG104" s="354"/>
      <c r="AH104" s="354"/>
      <c r="AI104" s="354"/>
      <c r="AJ104" s="354"/>
      <c r="AK104" s="354"/>
      <c r="AL104" s="354"/>
    </row>
    <row r="105">
      <c r="A105" s="354"/>
      <c r="B105" s="354"/>
      <c r="C105" s="354"/>
      <c r="D105" s="354"/>
      <c r="E105" s="354"/>
      <c r="F105" s="354"/>
      <c r="G105" s="354"/>
      <c r="H105" s="354"/>
      <c r="I105" s="354"/>
      <c r="J105" s="354"/>
      <c r="K105" s="354"/>
      <c r="L105" s="354"/>
      <c r="M105" s="354"/>
      <c r="N105" s="354"/>
      <c r="O105" s="354"/>
      <c r="P105" s="354"/>
      <c r="Q105" s="354"/>
      <c r="R105" s="354"/>
      <c r="S105" s="354"/>
      <c r="T105" s="354"/>
      <c r="U105" s="354"/>
      <c r="V105" s="354"/>
      <c r="W105" s="354"/>
      <c r="X105" s="354"/>
      <c r="Y105" s="354"/>
      <c r="Z105" s="354"/>
      <c r="AA105" s="354"/>
      <c r="AB105" s="354"/>
      <c r="AC105" s="354"/>
      <c r="AD105" s="354"/>
      <c r="AE105" s="354"/>
      <c r="AF105" s="354"/>
      <c r="AG105" s="354"/>
      <c r="AH105" s="354"/>
      <c r="AI105" s="354"/>
      <c r="AJ105" s="354"/>
      <c r="AK105" s="354"/>
      <c r="AL105" s="354"/>
    </row>
    <row r="106">
      <c r="A106" s="354"/>
      <c r="B106" s="354"/>
      <c r="C106" s="354"/>
      <c r="D106" s="354"/>
      <c r="E106" s="354"/>
      <c r="F106" s="354"/>
      <c r="G106" s="354"/>
      <c r="H106" s="354"/>
      <c r="I106" s="354"/>
      <c r="J106" s="354"/>
      <c r="K106" s="354"/>
      <c r="L106" s="354"/>
      <c r="M106" s="354"/>
      <c r="N106" s="354"/>
      <c r="O106" s="354"/>
      <c r="P106" s="354"/>
      <c r="Q106" s="354"/>
      <c r="R106" s="354"/>
      <c r="S106" s="354"/>
      <c r="T106" s="354"/>
      <c r="U106" s="354"/>
      <c r="V106" s="354"/>
      <c r="W106" s="354"/>
      <c r="X106" s="354"/>
      <c r="Y106" s="354"/>
      <c r="Z106" s="354"/>
      <c r="AA106" s="354"/>
      <c r="AB106" s="354"/>
      <c r="AC106" s="354"/>
      <c r="AD106" s="354"/>
      <c r="AE106" s="354"/>
      <c r="AF106" s="354"/>
      <c r="AG106" s="354"/>
      <c r="AH106" s="354"/>
      <c r="AI106" s="354"/>
      <c r="AJ106" s="354"/>
      <c r="AK106" s="354"/>
      <c r="AL106" s="354"/>
    </row>
    <row r="107">
      <c r="A107" s="354"/>
      <c r="B107" s="354"/>
      <c r="C107" s="354"/>
      <c r="D107" s="354"/>
      <c r="E107" s="354"/>
      <c r="F107" s="354"/>
      <c r="G107" s="354"/>
      <c r="H107" s="354"/>
      <c r="I107" s="354"/>
      <c r="J107" s="354"/>
      <c r="K107" s="354"/>
      <c r="L107" s="354"/>
      <c r="M107" s="354"/>
      <c r="N107" s="354"/>
      <c r="O107" s="354"/>
      <c r="P107" s="354"/>
      <c r="Q107" s="354"/>
      <c r="R107" s="354"/>
      <c r="S107" s="354"/>
      <c r="T107" s="354"/>
      <c r="U107" s="354"/>
      <c r="V107" s="354"/>
      <c r="W107" s="354"/>
      <c r="X107" s="354"/>
      <c r="Y107" s="354"/>
      <c r="Z107" s="354"/>
      <c r="AA107" s="354"/>
      <c r="AB107" s="354"/>
      <c r="AC107" s="354"/>
      <c r="AD107" s="354"/>
      <c r="AE107" s="354"/>
      <c r="AF107" s="354"/>
      <c r="AG107" s="354"/>
      <c r="AH107" s="354"/>
      <c r="AI107" s="354"/>
      <c r="AJ107" s="354"/>
      <c r="AK107" s="354"/>
      <c r="AL107" s="354"/>
    </row>
    <row r="108">
      <c r="A108" s="354"/>
      <c r="B108" s="354"/>
      <c r="C108" s="354"/>
      <c r="D108" s="354"/>
      <c r="E108" s="354"/>
      <c r="F108" s="354"/>
      <c r="G108" s="354"/>
      <c r="H108" s="354"/>
      <c r="I108" s="354"/>
      <c r="J108" s="354"/>
      <c r="K108" s="354"/>
      <c r="L108" s="354"/>
      <c r="M108" s="354"/>
      <c r="N108" s="354"/>
      <c r="O108" s="354"/>
      <c r="P108" s="354"/>
      <c r="Q108" s="354"/>
      <c r="R108" s="354"/>
      <c r="S108" s="354"/>
      <c r="T108" s="354"/>
      <c r="U108" s="354"/>
      <c r="V108" s="354"/>
      <c r="W108" s="354"/>
      <c r="X108" s="354"/>
      <c r="Y108" s="354"/>
      <c r="Z108" s="354"/>
      <c r="AA108" s="354"/>
      <c r="AB108" s="354"/>
      <c r="AC108" s="354"/>
      <c r="AD108" s="354"/>
      <c r="AE108" s="354"/>
      <c r="AF108" s="354"/>
      <c r="AG108" s="354"/>
      <c r="AH108" s="354"/>
      <c r="AI108" s="354"/>
      <c r="AJ108" s="354"/>
      <c r="AK108" s="354"/>
      <c r="AL108" s="354"/>
    </row>
    <row r="109">
      <c r="A109" s="354"/>
      <c r="B109" s="354"/>
      <c r="C109" s="354"/>
      <c r="D109" s="354"/>
      <c r="E109" s="354"/>
      <c r="F109" s="354"/>
      <c r="G109" s="354"/>
      <c r="H109" s="354"/>
      <c r="I109" s="354"/>
      <c r="J109" s="354"/>
      <c r="K109" s="354"/>
      <c r="L109" s="354"/>
      <c r="M109" s="354"/>
      <c r="N109" s="354"/>
      <c r="O109" s="354"/>
      <c r="P109" s="354"/>
      <c r="Q109" s="354"/>
      <c r="R109" s="354"/>
      <c r="S109" s="354"/>
      <c r="T109" s="354"/>
      <c r="U109" s="354"/>
      <c r="V109" s="354"/>
      <c r="W109" s="354"/>
      <c r="X109" s="354"/>
      <c r="Y109" s="354"/>
      <c r="Z109" s="354"/>
      <c r="AA109" s="354"/>
      <c r="AB109" s="354"/>
      <c r="AC109" s="354"/>
      <c r="AD109" s="354"/>
      <c r="AE109" s="354"/>
      <c r="AF109" s="354"/>
      <c r="AG109" s="354"/>
      <c r="AH109" s="354"/>
      <c r="AI109" s="354"/>
      <c r="AJ109" s="354"/>
      <c r="AK109" s="354"/>
      <c r="AL109" s="354"/>
    </row>
    <row r="110">
      <c r="A110" s="354"/>
      <c r="B110" s="354"/>
      <c r="C110" s="354"/>
      <c r="D110" s="354"/>
      <c r="E110" s="354"/>
      <c r="F110" s="354"/>
      <c r="G110" s="354"/>
      <c r="H110" s="354"/>
      <c r="I110" s="354"/>
      <c r="J110" s="354"/>
      <c r="K110" s="354"/>
      <c r="L110" s="354"/>
      <c r="M110" s="354"/>
      <c r="N110" s="354"/>
      <c r="O110" s="354"/>
      <c r="P110" s="354"/>
      <c r="Q110" s="354"/>
      <c r="R110" s="354"/>
      <c r="S110" s="354"/>
      <c r="T110" s="354"/>
      <c r="U110" s="354"/>
      <c r="V110" s="354"/>
      <c r="W110" s="354"/>
      <c r="X110" s="354"/>
      <c r="Y110" s="354"/>
      <c r="Z110" s="354"/>
      <c r="AA110" s="354"/>
      <c r="AB110" s="354"/>
      <c r="AC110" s="354"/>
      <c r="AD110" s="354"/>
      <c r="AE110" s="354"/>
      <c r="AF110" s="354"/>
      <c r="AG110" s="354"/>
      <c r="AH110" s="354"/>
      <c r="AI110" s="354"/>
      <c r="AJ110" s="354"/>
      <c r="AK110" s="354"/>
      <c r="AL110" s="354"/>
    </row>
    <row r="111">
      <c r="A111" s="354"/>
      <c r="B111" s="354"/>
      <c r="C111" s="354"/>
      <c r="D111" s="354"/>
      <c r="E111" s="354"/>
      <c r="F111" s="354"/>
      <c r="G111" s="354"/>
      <c r="H111" s="354"/>
      <c r="I111" s="354"/>
      <c r="J111" s="354"/>
      <c r="K111" s="354"/>
      <c r="L111" s="354"/>
      <c r="M111" s="354"/>
      <c r="N111" s="354"/>
      <c r="O111" s="354"/>
      <c r="P111" s="354"/>
      <c r="Q111" s="354"/>
      <c r="R111" s="354"/>
      <c r="S111" s="354"/>
      <c r="T111" s="354"/>
      <c r="U111" s="354"/>
      <c r="V111" s="354"/>
      <c r="W111" s="354"/>
      <c r="X111" s="354"/>
      <c r="Y111" s="354"/>
      <c r="Z111" s="354"/>
      <c r="AA111" s="354"/>
      <c r="AB111" s="354"/>
      <c r="AC111" s="354"/>
      <c r="AD111" s="354"/>
      <c r="AE111" s="354"/>
      <c r="AF111" s="354"/>
      <c r="AG111" s="354"/>
      <c r="AH111" s="354"/>
      <c r="AI111" s="354"/>
      <c r="AJ111" s="354"/>
      <c r="AK111" s="354"/>
      <c r="AL111" s="354"/>
    </row>
    <row r="112">
      <c r="A112" s="354"/>
      <c r="B112" s="354"/>
      <c r="C112" s="354"/>
      <c r="D112" s="354"/>
      <c r="E112" s="354"/>
      <c r="F112" s="354"/>
      <c r="G112" s="354"/>
      <c r="H112" s="354"/>
      <c r="I112" s="354"/>
      <c r="J112" s="354"/>
      <c r="K112" s="354"/>
      <c r="L112" s="354"/>
      <c r="M112" s="354"/>
      <c r="N112" s="354"/>
      <c r="O112" s="354"/>
      <c r="P112" s="354"/>
      <c r="Q112" s="354"/>
      <c r="R112" s="354"/>
      <c r="S112" s="354"/>
      <c r="T112" s="354"/>
      <c r="U112" s="354"/>
      <c r="V112" s="354"/>
      <c r="W112" s="354"/>
      <c r="X112" s="354"/>
      <c r="Y112" s="354"/>
      <c r="Z112" s="354"/>
      <c r="AA112" s="354"/>
      <c r="AB112" s="354"/>
      <c r="AC112" s="354"/>
      <c r="AD112" s="354"/>
      <c r="AE112" s="354"/>
      <c r="AF112" s="354"/>
      <c r="AG112" s="354"/>
      <c r="AH112" s="354"/>
      <c r="AI112" s="354"/>
      <c r="AJ112" s="354"/>
      <c r="AK112" s="354"/>
      <c r="AL112" s="354"/>
    </row>
    <row r="113">
      <c r="A113" s="354"/>
      <c r="B113" s="354"/>
      <c r="C113" s="354"/>
      <c r="D113" s="354"/>
      <c r="E113" s="354"/>
      <c r="F113" s="354"/>
      <c r="G113" s="354"/>
      <c r="H113" s="354"/>
      <c r="I113" s="354"/>
      <c r="J113" s="354"/>
      <c r="K113" s="354"/>
      <c r="L113" s="354"/>
      <c r="M113" s="354"/>
      <c r="N113" s="354"/>
      <c r="O113" s="354"/>
      <c r="P113" s="354"/>
      <c r="Q113" s="354"/>
      <c r="R113" s="354"/>
      <c r="S113" s="354"/>
      <c r="T113" s="354"/>
      <c r="U113" s="354"/>
      <c r="V113" s="354"/>
      <c r="W113" s="354"/>
      <c r="X113" s="354"/>
      <c r="Y113" s="354"/>
      <c r="Z113" s="354"/>
      <c r="AA113" s="354"/>
      <c r="AB113" s="354"/>
      <c r="AC113" s="354"/>
      <c r="AD113" s="354"/>
      <c r="AE113" s="354"/>
      <c r="AF113" s="354"/>
      <c r="AG113" s="354"/>
      <c r="AH113" s="354"/>
      <c r="AI113" s="354"/>
      <c r="AJ113" s="354"/>
      <c r="AK113" s="354"/>
      <c r="AL113" s="354"/>
    </row>
    <row r="114">
      <c r="A114" s="354"/>
      <c r="B114" s="354"/>
      <c r="C114" s="354"/>
      <c r="D114" s="354"/>
      <c r="E114" s="354"/>
      <c r="F114" s="354"/>
      <c r="G114" s="354"/>
      <c r="H114" s="354"/>
      <c r="I114" s="354"/>
      <c r="J114" s="354"/>
      <c r="K114" s="354"/>
      <c r="L114" s="354"/>
      <c r="M114" s="354"/>
      <c r="N114" s="354"/>
      <c r="O114" s="354"/>
      <c r="P114" s="354"/>
      <c r="Q114" s="354"/>
      <c r="R114" s="354"/>
      <c r="S114" s="354"/>
      <c r="T114" s="354"/>
      <c r="U114" s="354"/>
      <c r="V114" s="354"/>
      <c r="W114" s="354"/>
      <c r="X114" s="354"/>
      <c r="Y114" s="354"/>
      <c r="Z114" s="354"/>
      <c r="AA114" s="354"/>
      <c r="AB114" s="354"/>
      <c r="AC114" s="354"/>
      <c r="AD114" s="354"/>
      <c r="AE114" s="354"/>
      <c r="AF114" s="354"/>
      <c r="AG114" s="354"/>
      <c r="AH114" s="354"/>
      <c r="AI114" s="354"/>
      <c r="AJ114" s="354"/>
      <c r="AK114" s="354"/>
      <c r="AL114" s="354"/>
    </row>
    <row r="115">
      <c r="A115" s="354"/>
      <c r="B115" s="354"/>
      <c r="C115" s="354"/>
      <c r="D115" s="354"/>
      <c r="E115" s="354"/>
      <c r="F115" s="354"/>
      <c r="G115" s="354"/>
      <c r="H115" s="354"/>
      <c r="I115" s="354"/>
      <c r="J115" s="354"/>
      <c r="K115" s="354"/>
      <c r="L115" s="354"/>
      <c r="M115" s="354"/>
      <c r="N115" s="354"/>
      <c r="O115" s="354"/>
      <c r="P115" s="354"/>
      <c r="Q115" s="354"/>
      <c r="R115" s="354"/>
      <c r="S115" s="354"/>
      <c r="T115" s="354"/>
      <c r="U115" s="354"/>
      <c r="V115" s="354"/>
      <c r="W115" s="354"/>
      <c r="X115" s="354"/>
      <c r="Y115" s="354"/>
      <c r="Z115" s="354"/>
      <c r="AA115" s="354"/>
      <c r="AB115" s="354"/>
      <c r="AC115" s="354"/>
      <c r="AD115" s="354"/>
      <c r="AE115" s="354"/>
      <c r="AF115" s="354"/>
      <c r="AG115" s="354"/>
      <c r="AH115" s="354"/>
      <c r="AI115" s="354"/>
      <c r="AJ115" s="354"/>
      <c r="AK115" s="354"/>
      <c r="AL115" s="354"/>
    </row>
    <row r="116">
      <c r="A116" s="354"/>
      <c r="B116" s="354"/>
      <c r="C116" s="354"/>
      <c r="D116" s="354"/>
      <c r="E116" s="354"/>
      <c r="F116" s="354"/>
      <c r="G116" s="354"/>
      <c r="H116" s="354"/>
      <c r="I116" s="354"/>
      <c r="J116" s="354"/>
      <c r="K116" s="354"/>
      <c r="L116" s="354"/>
      <c r="M116" s="354"/>
      <c r="N116" s="354"/>
      <c r="O116" s="354"/>
      <c r="P116" s="354"/>
      <c r="Q116" s="354"/>
      <c r="R116" s="354"/>
      <c r="S116" s="354"/>
      <c r="T116" s="354"/>
      <c r="U116" s="354"/>
      <c r="V116" s="354"/>
      <c r="W116" s="354"/>
      <c r="X116" s="354"/>
      <c r="Y116" s="354"/>
      <c r="Z116" s="354"/>
      <c r="AA116" s="354"/>
      <c r="AB116" s="354"/>
      <c r="AC116" s="354"/>
      <c r="AD116" s="354"/>
      <c r="AE116" s="354"/>
      <c r="AF116" s="354"/>
      <c r="AG116" s="354"/>
      <c r="AH116" s="354"/>
      <c r="AI116" s="354"/>
      <c r="AJ116" s="354"/>
      <c r="AK116" s="354"/>
      <c r="AL116" s="354"/>
    </row>
    <row r="117">
      <c r="A117" s="354"/>
      <c r="B117" s="354"/>
      <c r="C117" s="354"/>
      <c r="D117" s="354"/>
      <c r="E117" s="354"/>
      <c r="F117" s="354"/>
      <c r="G117" s="354"/>
      <c r="H117" s="354"/>
      <c r="I117" s="354"/>
      <c r="J117" s="354"/>
      <c r="K117" s="354"/>
      <c r="L117" s="354"/>
      <c r="M117" s="354"/>
      <c r="N117" s="354"/>
      <c r="O117" s="354"/>
      <c r="P117" s="354"/>
      <c r="Q117" s="354"/>
      <c r="R117" s="354"/>
      <c r="S117" s="354"/>
      <c r="T117" s="354"/>
      <c r="U117" s="354"/>
      <c r="V117" s="354"/>
      <c r="W117" s="354"/>
      <c r="X117" s="354"/>
      <c r="Y117" s="354"/>
      <c r="Z117" s="354"/>
      <c r="AA117" s="354"/>
      <c r="AB117" s="354"/>
      <c r="AC117" s="354"/>
      <c r="AD117" s="354"/>
      <c r="AE117" s="354"/>
      <c r="AF117" s="354"/>
      <c r="AG117" s="354"/>
      <c r="AH117" s="354"/>
      <c r="AI117" s="354"/>
      <c r="AJ117" s="354"/>
      <c r="AK117" s="354"/>
      <c r="AL117" s="354"/>
    </row>
    <row r="118">
      <c r="A118" s="354"/>
      <c r="B118" s="354"/>
      <c r="C118" s="354"/>
      <c r="D118" s="354"/>
      <c r="E118" s="354"/>
      <c r="F118" s="354"/>
      <c r="G118" s="354"/>
      <c r="H118" s="354"/>
      <c r="I118" s="354"/>
      <c r="J118" s="354"/>
      <c r="K118" s="354"/>
      <c r="L118" s="354"/>
      <c r="M118" s="354"/>
      <c r="N118" s="354"/>
      <c r="O118" s="354"/>
      <c r="P118" s="354"/>
      <c r="Q118" s="354"/>
      <c r="R118" s="354"/>
      <c r="S118" s="354"/>
      <c r="T118" s="354"/>
      <c r="U118" s="354"/>
      <c r="V118" s="354"/>
      <c r="W118" s="354"/>
      <c r="X118" s="354"/>
      <c r="Y118" s="354"/>
      <c r="Z118" s="354"/>
      <c r="AA118" s="354"/>
      <c r="AB118" s="354"/>
      <c r="AC118" s="354"/>
      <c r="AD118" s="354"/>
      <c r="AE118" s="354"/>
      <c r="AF118" s="354"/>
      <c r="AG118" s="354"/>
      <c r="AH118" s="354"/>
      <c r="AI118" s="354"/>
      <c r="AJ118" s="354"/>
      <c r="AK118" s="354"/>
      <c r="AL118" s="354"/>
    </row>
    <row r="119">
      <c r="A119" s="354"/>
      <c r="B119" s="354"/>
      <c r="C119" s="354"/>
      <c r="D119" s="354"/>
      <c r="E119" s="354"/>
      <c r="F119" s="354"/>
      <c r="G119" s="354"/>
      <c r="H119" s="354"/>
      <c r="I119" s="354"/>
      <c r="J119" s="354"/>
      <c r="K119" s="354"/>
      <c r="L119" s="354"/>
      <c r="M119" s="354"/>
      <c r="N119" s="354"/>
      <c r="O119" s="354"/>
      <c r="P119" s="354"/>
      <c r="Q119" s="354"/>
      <c r="R119" s="354"/>
      <c r="S119" s="354"/>
      <c r="T119" s="354"/>
      <c r="U119" s="354"/>
      <c r="V119" s="354"/>
      <c r="W119" s="354"/>
      <c r="X119" s="354"/>
      <c r="Y119" s="354"/>
      <c r="Z119" s="354"/>
      <c r="AA119" s="354"/>
      <c r="AB119" s="354"/>
      <c r="AC119" s="354"/>
      <c r="AD119" s="354"/>
      <c r="AE119" s="354"/>
      <c r="AF119" s="354"/>
      <c r="AG119" s="354"/>
      <c r="AH119" s="354"/>
      <c r="AI119" s="354"/>
      <c r="AJ119" s="354"/>
      <c r="AK119" s="354"/>
      <c r="AL119" s="354"/>
    </row>
    <row r="120">
      <c r="A120" s="354"/>
      <c r="B120" s="354"/>
      <c r="C120" s="354"/>
      <c r="D120" s="354"/>
      <c r="E120" s="354"/>
      <c r="F120" s="354"/>
      <c r="G120" s="354"/>
      <c r="H120" s="354"/>
      <c r="I120" s="354"/>
      <c r="J120" s="354"/>
      <c r="K120" s="354"/>
      <c r="L120" s="354"/>
      <c r="M120" s="354"/>
      <c r="N120" s="354"/>
      <c r="O120" s="354"/>
      <c r="P120" s="354"/>
      <c r="Q120" s="354"/>
      <c r="R120" s="354"/>
      <c r="S120" s="354"/>
      <c r="T120" s="354"/>
      <c r="U120" s="354"/>
      <c r="V120" s="354"/>
      <c r="W120" s="354"/>
      <c r="X120" s="354"/>
      <c r="Y120" s="354"/>
      <c r="Z120" s="354"/>
      <c r="AA120" s="354"/>
      <c r="AB120" s="354"/>
      <c r="AC120" s="354"/>
      <c r="AD120" s="354"/>
      <c r="AE120" s="354"/>
      <c r="AF120" s="354"/>
      <c r="AG120" s="354"/>
      <c r="AH120" s="354"/>
      <c r="AI120" s="354"/>
      <c r="AJ120" s="354"/>
      <c r="AK120" s="354"/>
      <c r="AL120" s="354"/>
    </row>
    <row r="121">
      <c r="A121" s="354"/>
      <c r="B121" s="354"/>
      <c r="C121" s="354"/>
      <c r="D121" s="354"/>
      <c r="E121" s="354"/>
      <c r="F121" s="354"/>
      <c r="G121" s="354"/>
      <c r="H121" s="354"/>
      <c r="I121" s="354"/>
      <c r="J121" s="354"/>
      <c r="K121" s="354"/>
      <c r="L121" s="354"/>
      <c r="M121" s="354"/>
      <c r="N121" s="354"/>
      <c r="O121" s="354"/>
      <c r="P121" s="354"/>
      <c r="Q121" s="354"/>
      <c r="R121" s="354"/>
      <c r="S121" s="354"/>
      <c r="T121" s="354"/>
      <c r="U121" s="354"/>
      <c r="V121" s="354"/>
      <c r="W121" s="354"/>
      <c r="X121" s="354"/>
      <c r="Y121" s="354"/>
      <c r="Z121" s="354"/>
      <c r="AA121" s="354"/>
      <c r="AB121" s="354"/>
      <c r="AC121" s="354"/>
      <c r="AD121" s="354"/>
      <c r="AE121" s="354"/>
      <c r="AF121" s="354"/>
      <c r="AG121" s="354"/>
      <c r="AH121" s="354"/>
      <c r="AI121" s="354"/>
      <c r="AJ121" s="354"/>
      <c r="AK121" s="354"/>
      <c r="AL121" s="354"/>
    </row>
    <row r="122">
      <c r="A122" s="354"/>
      <c r="B122" s="354"/>
      <c r="C122" s="354"/>
      <c r="D122" s="354"/>
      <c r="E122" s="354"/>
      <c r="F122" s="354"/>
      <c r="G122" s="354"/>
      <c r="H122" s="354"/>
      <c r="I122" s="354"/>
      <c r="J122" s="354"/>
      <c r="K122" s="354"/>
      <c r="L122" s="354"/>
      <c r="M122" s="354"/>
      <c r="N122" s="354"/>
      <c r="O122" s="354"/>
      <c r="P122" s="354"/>
      <c r="Q122" s="354"/>
      <c r="R122" s="354"/>
      <c r="S122" s="354"/>
      <c r="T122" s="354"/>
      <c r="U122" s="354"/>
      <c r="V122" s="354"/>
      <c r="W122" s="354"/>
      <c r="X122" s="354"/>
      <c r="Y122" s="354"/>
      <c r="Z122" s="354"/>
      <c r="AA122" s="354"/>
      <c r="AB122" s="354"/>
      <c r="AC122" s="354"/>
      <c r="AD122" s="354"/>
      <c r="AE122" s="354"/>
      <c r="AF122" s="354"/>
      <c r="AG122" s="354"/>
      <c r="AH122" s="354"/>
      <c r="AI122" s="354"/>
      <c r="AJ122" s="354"/>
      <c r="AK122" s="354"/>
      <c r="AL122" s="354"/>
    </row>
    <row r="123">
      <c r="A123" s="354"/>
      <c r="B123" s="354"/>
      <c r="C123" s="354"/>
      <c r="D123" s="354"/>
      <c r="E123" s="354"/>
      <c r="F123" s="354"/>
      <c r="G123" s="354"/>
      <c r="H123" s="354"/>
      <c r="I123" s="354"/>
      <c r="J123" s="354"/>
      <c r="K123" s="354"/>
      <c r="L123" s="354"/>
      <c r="M123" s="354"/>
      <c r="N123" s="354"/>
      <c r="O123" s="354"/>
      <c r="P123" s="354"/>
      <c r="Q123" s="354"/>
      <c r="R123" s="354"/>
      <c r="S123" s="354"/>
      <c r="T123" s="354"/>
      <c r="U123" s="354"/>
      <c r="V123" s="354"/>
      <c r="W123" s="354"/>
      <c r="X123" s="354"/>
      <c r="Y123" s="354"/>
      <c r="Z123" s="354"/>
      <c r="AA123" s="354"/>
      <c r="AB123" s="354"/>
      <c r="AC123" s="354"/>
      <c r="AD123" s="354"/>
      <c r="AE123" s="354"/>
      <c r="AF123" s="354"/>
      <c r="AG123" s="354"/>
      <c r="AH123" s="354"/>
      <c r="AI123" s="354"/>
      <c r="AJ123" s="354"/>
      <c r="AK123" s="354"/>
      <c r="AL123" s="354"/>
    </row>
    <row r="124">
      <c r="A124" s="354"/>
      <c r="B124" s="354"/>
      <c r="C124" s="354"/>
      <c r="D124" s="354"/>
      <c r="E124" s="354"/>
      <c r="F124" s="354"/>
      <c r="G124" s="354"/>
      <c r="H124" s="354"/>
      <c r="I124" s="354"/>
      <c r="J124" s="354"/>
      <c r="K124" s="354"/>
      <c r="L124" s="354"/>
      <c r="M124" s="354"/>
      <c r="N124" s="354"/>
      <c r="O124" s="354"/>
      <c r="P124" s="354"/>
      <c r="Q124" s="354"/>
      <c r="R124" s="354"/>
      <c r="S124" s="354"/>
      <c r="T124" s="354"/>
      <c r="U124" s="354"/>
      <c r="V124" s="354"/>
      <c r="W124" s="354"/>
      <c r="X124" s="354"/>
      <c r="Y124" s="354"/>
      <c r="Z124" s="354"/>
      <c r="AA124" s="354"/>
      <c r="AB124" s="354"/>
      <c r="AC124" s="354"/>
      <c r="AD124" s="354"/>
      <c r="AE124" s="354"/>
      <c r="AF124" s="354"/>
      <c r="AG124" s="354"/>
      <c r="AH124" s="354"/>
      <c r="AI124" s="354"/>
      <c r="AJ124" s="354"/>
      <c r="AK124" s="354"/>
      <c r="AL124" s="354"/>
    </row>
    <row r="125">
      <c r="A125" s="354"/>
      <c r="B125" s="354"/>
      <c r="C125" s="354"/>
      <c r="D125" s="354"/>
      <c r="E125" s="354"/>
      <c r="F125" s="354"/>
      <c r="G125" s="354"/>
      <c r="H125" s="354"/>
      <c r="I125" s="354"/>
      <c r="J125" s="354"/>
      <c r="K125" s="354"/>
      <c r="L125" s="354"/>
      <c r="M125" s="354"/>
      <c r="N125" s="354"/>
      <c r="O125" s="354"/>
      <c r="P125" s="354"/>
      <c r="Q125" s="354"/>
      <c r="R125" s="354"/>
      <c r="S125" s="354"/>
      <c r="T125" s="354"/>
      <c r="U125" s="354"/>
      <c r="V125" s="354"/>
      <c r="W125" s="354"/>
      <c r="X125" s="354"/>
      <c r="Y125" s="354"/>
      <c r="Z125" s="354"/>
      <c r="AA125" s="354"/>
      <c r="AB125" s="354"/>
      <c r="AC125" s="354"/>
      <c r="AD125" s="354"/>
      <c r="AE125" s="354"/>
      <c r="AF125" s="354"/>
      <c r="AG125" s="354"/>
      <c r="AH125" s="354"/>
      <c r="AI125" s="354"/>
      <c r="AJ125" s="354"/>
      <c r="AK125" s="354"/>
      <c r="AL125" s="354"/>
    </row>
    <row r="126">
      <c r="A126" s="354"/>
      <c r="B126" s="354"/>
      <c r="C126" s="354"/>
      <c r="D126" s="354"/>
      <c r="E126" s="354"/>
      <c r="F126" s="354"/>
      <c r="G126" s="354"/>
      <c r="H126" s="354"/>
      <c r="I126" s="354"/>
      <c r="J126" s="354"/>
      <c r="K126" s="354"/>
      <c r="L126" s="354"/>
      <c r="M126" s="354"/>
      <c r="N126" s="354"/>
      <c r="O126" s="354"/>
      <c r="P126" s="354"/>
      <c r="Q126" s="354"/>
      <c r="R126" s="354"/>
      <c r="S126" s="354"/>
      <c r="T126" s="354"/>
      <c r="U126" s="354"/>
      <c r="V126" s="354"/>
      <c r="W126" s="354"/>
      <c r="X126" s="354"/>
      <c r="Y126" s="354"/>
      <c r="Z126" s="354"/>
      <c r="AA126" s="354"/>
      <c r="AB126" s="354"/>
      <c r="AC126" s="354"/>
      <c r="AD126" s="354"/>
      <c r="AE126" s="354"/>
      <c r="AF126" s="354"/>
      <c r="AG126" s="354"/>
      <c r="AH126" s="354"/>
      <c r="AI126" s="354"/>
      <c r="AJ126" s="354"/>
      <c r="AK126" s="354"/>
      <c r="AL126" s="354"/>
    </row>
    <row r="127">
      <c r="A127" s="354"/>
      <c r="B127" s="354"/>
      <c r="C127" s="354"/>
      <c r="D127" s="354"/>
      <c r="E127" s="354"/>
      <c r="F127" s="354"/>
      <c r="G127" s="354"/>
      <c r="H127" s="354"/>
      <c r="I127" s="354"/>
      <c r="J127" s="354"/>
      <c r="K127" s="354"/>
      <c r="L127" s="354"/>
      <c r="M127" s="354"/>
      <c r="N127" s="354"/>
      <c r="O127" s="354"/>
      <c r="P127" s="354"/>
      <c r="Q127" s="354"/>
      <c r="R127" s="354"/>
      <c r="S127" s="354"/>
      <c r="T127" s="354"/>
      <c r="U127" s="354"/>
      <c r="V127" s="354"/>
      <c r="W127" s="354"/>
      <c r="X127" s="354"/>
      <c r="Y127" s="354"/>
      <c r="Z127" s="354"/>
      <c r="AA127" s="354"/>
      <c r="AB127" s="354"/>
      <c r="AC127" s="354"/>
      <c r="AD127" s="354"/>
      <c r="AE127" s="354"/>
      <c r="AF127" s="354"/>
      <c r="AG127" s="354"/>
      <c r="AH127" s="354"/>
      <c r="AI127" s="354"/>
      <c r="AJ127" s="354"/>
      <c r="AK127" s="354"/>
      <c r="AL127" s="354"/>
    </row>
    <row r="128">
      <c r="A128" s="354"/>
      <c r="B128" s="354"/>
      <c r="C128" s="354"/>
      <c r="D128" s="354"/>
      <c r="E128" s="354"/>
      <c r="F128" s="354"/>
      <c r="G128" s="354"/>
      <c r="H128" s="354"/>
      <c r="I128" s="354"/>
      <c r="J128" s="354"/>
      <c r="K128" s="354"/>
      <c r="L128" s="354"/>
      <c r="M128" s="354"/>
      <c r="N128" s="354"/>
      <c r="O128" s="354"/>
      <c r="P128" s="354"/>
      <c r="Q128" s="354"/>
      <c r="R128" s="354"/>
      <c r="S128" s="354"/>
      <c r="T128" s="354"/>
      <c r="U128" s="354"/>
      <c r="V128" s="354"/>
      <c r="W128" s="354"/>
      <c r="X128" s="354"/>
      <c r="Y128" s="354"/>
      <c r="Z128" s="354"/>
      <c r="AA128" s="354"/>
      <c r="AB128" s="354"/>
      <c r="AC128" s="354"/>
      <c r="AD128" s="354"/>
      <c r="AE128" s="354"/>
      <c r="AF128" s="354"/>
      <c r="AG128" s="354"/>
      <c r="AH128" s="354"/>
      <c r="AI128" s="354"/>
      <c r="AJ128" s="354"/>
      <c r="AK128" s="354"/>
      <c r="AL128" s="354"/>
    </row>
    <row r="129">
      <c r="A129" s="354"/>
      <c r="B129" s="354"/>
      <c r="C129" s="354"/>
      <c r="D129" s="354"/>
      <c r="E129" s="354"/>
      <c r="F129" s="354"/>
      <c r="G129" s="354"/>
      <c r="H129" s="354"/>
      <c r="I129" s="354"/>
      <c r="J129" s="354"/>
      <c r="K129" s="354"/>
      <c r="L129" s="354"/>
      <c r="M129" s="354"/>
      <c r="N129" s="354"/>
      <c r="O129" s="354"/>
      <c r="P129" s="354"/>
      <c r="Q129" s="354"/>
      <c r="R129" s="354"/>
      <c r="S129" s="354"/>
      <c r="T129" s="354"/>
      <c r="U129" s="354"/>
      <c r="V129" s="354"/>
      <c r="W129" s="354"/>
      <c r="X129" s="354"/>
      <c r="Y129" s="354"/>
      <c r="Z129" s="354"/>
      <c r="AA129" s="354"/>
      <c r="AB129" s="354"/>
      <c r="AC129" s="354"/>
      <c r="AD129" s="354"/>
      <c r="AE129" s="354"/>
      <c r="AF129" s="354"/>
      <c r="AG129" s="354"/>
      <c r="AH129" s="354"/>
      <c r="AI129" s="354"/>
      <c r="AJ129" s="354"/>
      <c r="AK129" s="354"/>
      <c r="AL129" s="354"/>
    </row>
    <row r="130">
      <c r="A130" s="354"/>
      <c r="B130" s="354"/>
      <c r="C130" s="354"/>
      <c r="D130" s="354"/>
      <c r="E130" s="354"/>
      <c r="F130" s="354"/>
      <c r="G130" s="354"/>
      <c r="H130" s="354"/>
      <c r="I130" s="354"/>
      <c r="J130" s="354"/>
      <c r="K130" s="354"/>
      <c r="L130" s="354"/>
      <c r="M130" s="354"/>
      <c r="N130" s="354"/>
      <c r="O130" s="354"/>
      <c r="P130" s="354"/>
      <c r="Q130" s="354"/>
      <c r="R130" s="354"/>
      <c r="S130" s="354"/>
      <c r="T130" s="354"/>
      <c r="U130" s="354"/>
      <c r="V130" s="354"/>
      <c r="W130" s="354"/>
      <c r="X130" s="354"/>
      <c r="Y130" s="354"/>
      <c r="Z130" s="354"/>
      <c r="AA130" s="354"/>
      <c r="AB130" s="354"/>
      <c r="AC130" s="354"/>
      <c r="AD130" s="354"/>
      <c r="AE130" s="354"/>
      <c r="AF130" s="354"/>
      <c r="AG130" s="354"/>
      <c r="AH130" s="354"/>
      <c r="AI130" s="354"/>
      <c r="AJ130" s="354"/>
      <c r="AK130" s="354"/>
      <c r="AL130" s="354"/>
    </row>
    <row r="131">
      <c r="A131" s="354"/>
      <c r="B131" s="354"/>
      <c r="C131" s="354"/>
      <c r="D131" s="354"/>
      <c r="E131" s="354"/>
      <c r="F131" s="354"/>
      <c r="G131" s="354"/>
      <c r="H131" s="354"/>
      <c r="I131" s="354"/>
      <c r="J131" s="354"/>
      <c r="K131" s="354"/>
      <c r="L131" s="354"/>
      <c r="M131" s="354"/>
      <c r="N131" s="354"/>
      <c r="O131" s="354"/>
      <c r="P131" s="354"/>
      <c r="Q131" s="354"/>
      <c r="R131" s="354"/>
      <c r="S131" s="354"/>
      <c r="T131" s="354"/>
      <c r="U131" s="354"/>
      <c r="V131" s="354"/>
      <c r="W131" s="354"/>
      <c r="X131" s="354"/>
      <c r="Y131" s="354"/>
      <c r="Z131" s="354"/>
      <c r="AA131" s="354"/>
      <c r="AB131" s="354"/>
      <c r="AC131" s="354"/>
      <c r="AD131" s="354"/>
      <c r="AE131" s="354"/>
      <c r="AF131" s="354"/>
      <c r="AG131" s="354"/>
      <c r="AH131" s="354"/>
      <c r="AI131" s="354"/>
      <c r="AJ131" s="354"/>
      <c r="AK131" s="354"/>
      <c r="AL131" s="354"/>
    </row>
    <row r="132">
      <c r="A132" s="354"/>
      <c r="B132" s="354"/>
      <c r="C132" s="354"/>
      <c r="D132" s="354"/>
      <c r="E132" s="354"/>
      <c r="F132" s="354"/>
      <c r="G132" s="354"/>
      <c r="H132" s="354"/>
      <c r="I132" s="354"/>
      <c r="J132" s="354"/>
      <c r="K132" s="354"/>
      <c r="L132" s="354"/>
      <c r="M132" s="354"/>
      <c r="N132" s="354"/>
      <c r="O132" s="354"/>
      <c r="P132" s="354"/>
      <c r="Q132" s="354"/>
      <c r="R132" s="354"/>
      <c r="S132" s="354"/>
      <c r="T132" s="354"/>
      <c r="U132" s="354"/>
      <c r="V132" s="354"/>
      <c r="W132" s="354"/>
      <c r="X132" s="354"/>
      <c r="Y132" s="354"/>
      <c r="Z132" s="354"/>
      <c r="AA132" s="354"/>
      <c r="AB132" s="354"/>
      <c r="AC132" s="354"/>
      <c r="AD132" s="354"/>
      <c r="AE132" s="354"/>
      <c r="AF132" s="354"/>
      <c r="AG132" s="354"/>
      <c r="AH132" s="354"/>
      <c r="AI132" s="354"/>
      <c r="AJ132" s="354"/>
      <c r="AK132" s="354"/>
      <c r="AL132" s="354"/>
    </row>
    <row r="133">
      <c r="A133" s="354"/>
      <c r="B133" s="354"/>
      <c r="C133" s="354"/>
      <c r="D133" s="354"/>
      <c r="E133" s="354"/>
      <c r="F133" s="354"/>
      <c r="G133" s="354"/>
      <c r="H133" s="354"/>
      <c r="I133" s="354"/>
      <c r="J133" s="354"/>
      <c r="K133" s="354"/>
      <c r="L133" s="354"/>
      <c r="M133" s="354"/>
      <c r="N133" s="354"/>
      <c r="O133" s="354"/>
      <c r="P133" s="354"/>
      <c r="Q133" s="354"/>
      <c r="R133" s="354"/>
      <c r="S133" s="354"/>
      <c r="T133" s="354"/>
      <c r="U133" s="354"/>
      <c r="V133" s="354"/>
      <c r="W133" s="354"/>
      <c r="X133" s="354"/>
      <c r="Y133" s="354"/>
      <c r="Z133" s="354"/>
      <c r="AA133" s="354"/>
      <c r="AB133" s="354"/>
      <c r="AC133" s="354"/>
      <c r="AD133" s="354"/>
      <c r="AE133" s="354"/>
      <c r="AF133" s="354"/>
      <c r="AG133" s="354"/>
      <c r="AH133" s="354"/>
      <c r="AI133" s="354"/>
      <c r="AJ133" s="354"/>
      <c r="AK133" s="354"/>
      <c r="AL133" s="354"/>
    </row>
    <row r="134">
      <c r="A134" s="354"/>
      <c r="B134" s="354"/>
      <c r="C134" s="354"/>
      <c r="D134" s="354"/>
      <c r="E134" s="354"/>
      <c r="F134" s="354"/>
      <c r="G134" s="354"/>
      <c r="H134" s="354"/>
      <c r="I134" s="354"/>
      <c r="J134" s="354"/>
      <c r="K134" s="354"/>
      <c r="L134" s="354"/>
      <c r="M134" s="354"/>
      <c r="N134" s="354"/>
      <c r="O134" s="354"/>
      <c r="P134" s="354"/>
      <c r="Q134" s="354"/>
      <c r="R134" s="354"/>
      <c r="S134" s="354"/>
      <c r="T134" s="354"/>
      <c r="U134" s="354"/>
      <c r="V134" s="354"/>
      <c r="W134" s="354"/>
      <c r="X134" s="354"/>
      <c r="Y134" s="354"/>
      <c r="Z134" s="354"/>
      <c r="AA134" s="354"/>
      <c r="AB134" s="354"/>
      <c r="AC134" s="354"/>
      <c r="AD134" s="354"/>
      <c r="AE134" s="354"/>
      <c r="AF134" s="354"/>
      <c r="AG134" s="354"/>
      <c r="AH134" s="354"/>
      <c r="AI134" s="354"/>
      <c r="AJ134" s="354"/>
      <c r="AK134" s="354"/>
      <c r="AL134" s="354"/>
    </row>
    <row r="135">
      <c r="A135" s="354"/>
      <c r="B135" s="354"/>
      <c r="C135" s="354"/>
      <c r="D135" s="354"/>
      <c r="E135" s="354"/>
      <c r="F135" s="354"/>
      <c r="G135" s="354"/>
      <c r="H135" s="354"/>
      <c r="I135" s="354"/>
      <c r="J135" s="354"/>
      <c r="K135" s="354"/>
      <c r="L135" s="354"/>
      <c r="M135" s="354"/>
      <c r="N135" s="354"/>
      <c r="O135" s="354"/>
      <c r="P135" s="354"/>
      <c r="Q135" s="354"/>
      <c r="R135" s="354"/>
      <c r="S135" s="354"/>
      <c r="T135" s="354"/>
      <c r="U135" s="354"/>
      <c r="V135" s="354"/>
      <c r="W135" s="354"/>
      <c r="X135" s="354"/>
      <c r="Y135" s="354"/>
      <c r="Z135" s="354"/>
      <c r="AA135" s="354"/>
      <c r="AB135" s="354"/>
      <c r="AC135" s="354"/>
      <c r="AD135" s="354"/>
      <c r="AE135" s="354"/>
      <c r="AF135" s="354"/>
      <c r="AG135" s="354"/>
      <c r="AH135" s="354"/>
      <c r="AI135" s="354"/>
      <c r="AJ135" s="354"/>
      <c r="AK135" s="354"/>
      <c r="AL135" s="354"/>
    </row>
    <row r="136">
      <c r="A136" s="354"/>
      <c r="B136" s="354"/>
      <c r="C136" s="354"/>
      <c r="D136" s="354"/>
      <c r="E136" s="354"/>
      <c r="F136" s="354"/>
      <c r="G136" s="354"/>
      <c r="H136" s="354"/>
      <c r="I136" s="354"/>
      <c r="J136" s="354"/>
      <c r="K136" s="354"/>
      <c r="L136" s="354"/>
      <c r="M136" s="354"/>
      <c r="N136" s="354"/>
      <c r="O136" s="354"/>
      <c r="P136" s="354"/>
      <c r="Q136" s="354"/>
      <c r="R136" s="354"/>
      <c r="S136" s="354"/>
      <c r="T136" s="354"/>
      <c r="U136" s="354"/>
      <c r="V136" s="354"/>
      <c r="W136" s="354"/>
      <c r="X136" s="354"/>
      <c r="Y136" s="354"/>
      <c r="Z136" s="354"/>
      <c r="AA136" s="354"/>
      <c r="AB136" s="354"/>
      <c r="AC136" s="354"/>
      <c r="AD136" s="354"/>
      <c r="AE136" s="354"/>
      <c r="AF136" s="354"/>
      <c r="AG136" s="354"/>
      <c r="AH136" s="354"/>
      <c r="AI136" s="354"/>
      <c r="AJ136" s="354"/>
      <c r="AK136" s="354"/>
      <c r="AL136" s="354"/>
    </row>
    <row r="137">
      <c r="A137" s="354"/>
      <c r="B137" s="354"/>
      <c r="C137" s="354"/>
      <c r="D137" s="354"/>
      <c r="E137" s="354"/>
      <c r="F137" s="354"/>
      <c r="G137" s="354"/>
      <c r="H137" s="354"/>
      <c r="I137" s="354"/>
      <c r="J137" s="354"/>
      <c r="K137" s="354"/>
      <c r="L137" s="354"/>
      <c r="M137" s="354"/>
      <c r="N137" s="354"/>
      <c r="O137" s="354"/>
      <c r="P137" s="354"/>
      <c r="Q137" s="354"/>
      <c r="R137" s="354"/>
      <c r="S137" s="354"/>
      <c r="T137" s="354"/>
      <c r="U137" s="354"/>
      <c r="V137" s="354"/>
      <c r="W137" s="354"/>
      <c r="X137" s="354"/>
      <c r="Y137" s="354"/>
      <c r="Z137" s="354"/>
      <c r="AA137" s="354"/>
      <c r="AB137" s="354"/>
      <c r="AC137" s="354"/>
      <c r="AD137" s="354"/>
      <c r="AE137" s="354"/>
      <c r="AF137" s="354"/>
      <c r="AG137" s="354"/>
      <c r="AH137" s="354"/>
      <c r="AI137" s="354"/>
      <c r="AJ137" s="354"/>
      <c r="AK137" s="354"/>
      <c r="AL137" s="354"/>
    </row>
    <row r="138">
      <c r="A138" s="354"/>
      <c r="B138" s="354"/>
      <c r="C138" s="354"/>
      <c r="D138" s="354"/>
      <c r="E138" s="354"/>
      <c r="F138" s="354"/>
      <c r="G138" s="354"/>
      <c r="H138" s="354"/>
      <c r="I138" s="354"/>
      <c r="J138" s="354"/>
      <c r="K138" s="354"/>
      <c r="L138" s="354"/>
      <c r="M138" s="354"/>
      <c r="N138" s="354"/>
      <c r="O138" s="354"/>
      <c r="P138" s="354"/>
      <c r="Q138" s="354"/>
      <c r="R138" s="354"/>
      <c r="S138" s="354"/>
      <c r="T138" s="354"/>
      <c r="U138" s="354"/>
      <c r="V138" s="354"/>
      <c r="W138" s="354"/>
      <c r="X138" s="354"/>
      <c r="Y138" s="354"/>
      <c r="Z138" s="354"/>
      <c r="AA138" s="354"/>
      <c r="AB138" s="354"/>
      <c r="AC138" s="354"/>
      <c r="AD138" s="354"/>
      <c r="AE138" s="354"/>
      <c r="AF138" s="354"/>
      <c r="AG138" s="354"/>
      <c r="AH138" s="354"/>
      <c r="AI138" s="354"/>
      <c r="AJ138" s="354"/>
      <c r="AK138" s="354"/>
      <c r="AL138" s="354"/>
    </row>
    <row r="139">
      <c r="A139" s="354"/>
      <c r="B139" s="354"/>
      <c r="C139" s="354"/>
      <c r="D139" s="354"/>
      <c r="E139" s="354"/>
      <c r="F139" s="354"/>
      <c r="G139" s="354"/>
      <c r="H139" s="354"/>
      <c r="I139" s="354"/>
      <c r="J139" s="354"/>
      <c r="K139" s="354"/>
      <c r="L139" s="354"/>
      <c r="M139" s="354"/>
      <c r="N139" s="354"/>
      <c r="O139" s="354"/>
      <c r="P139" s="354"/>
      <c r="Q139" s="354"/>
      <c r="R139" s="354"/>
      <c r="S139" s="354"/>
      <c r="T139" s="354"/>
      <c r="U139" s="354"/>
      <c r="V139" s="354"/>
      <c r="W139" s="354"/>
      <c r="X139" s="354"/>
      <c r="Y139" s="354"/>
      <c r="Z139" s="354"/>
      <c r="AA139" s="354"/>
      <c r="AB139" s="354"/>
      <c r="AC139" s="354"/>
      <c r="AD139" s="354"/>
      <c r="AE139" s="354"/>
      <c r="AF139" s="354"/>
      <c r="AG139" s="354"/>
      <c r="AH139" s="354"/>
      <c r="AI139" s="354"/>
      <c r="AJ139" s="354"/>
      <c r="AK139" s="354"/>
      <c r="AL139" s="354"/>
    </row>
    <row r="140">
      <c r="A140" s="354"/>
      <c r="B140" s="354"/>
      <c r="C140" s="354"/>
      <c r="D140" s="354"/>
      <c r="E140" s="354"/>
      <c r="F140" s="354"/>
      <c r="G140" s="354"/>
      <c r="H140" s="354"/>
      <c r="I140" s="354"/>
      <c r="J140" s="354"/>
      <c r="K140" s="354"/>
      <c r="L140" s="354"/>
      <c r="M140" s="354"/>
      <c r="N140" s="354"/>
      <c r="O140" s="354"/>
      <c r="P140" s="354"/>
      <c r="Q140" s="354"/>
      <c r="R140" s="354"/>
      <c r="S140" s="354"/>
      <c r="T140" s="354"/>
      <c r="U140" s="354"/>
      <c r="V140" s="354"/>
      <c r="W140" s="354"/>
      <c r="X140" s="354"/>
      <c r="Y140" s="354"/>
      <c r="Z140" s="354"/>
      <c r="AA140" s="354"/>
      <c r="AB140" s="354"/>
      <c r="AC140" s="354"/>
      <c r="AD140" s="354"/>
      <c r="AE140" s="354"/>
      <c r="AF140" s="354"/>
      <c r="AG140" s="354"/>
      <c r="AH140" s="354"/>
      <c r="AI140" s="354"/>
      <c r="AJ140" s="354"/>
      <c r="AK140" s="354"/>
      <c r="AL140" s="354"/>
    </row>
    <row r="141">
      <c r="A141" s="354"/>
      <c r="B141" s="354"/>
      <c r="C141" s="354"/>
      <c r="D141" s="354"/>
      <c r="E141" s="354"/>
      <c r="F141" s="354"/>
      <c r="G141" s="354"/>
      <c r="H141" s="354"/>
      <c r="I141" s="354"/>
      <c r="J141" s="354"/>
      <c r="K141" s="354"/>
      <c r="L141" s="354"/>
      <c r="M141" s="354"/>
      <c r="N141" s="354"/>
      <c r="O141" s="354"/>
      <c r="P141" s="354"/>
      <c r="Q141" s="354"/>
      <c r="R141" s="354"/>
      <c r="S141" s="354"/>
      <c r="T141" s="354"/>
      <c r="U141" s="354"/>
      <c r="V141" s="354"/>
      <c r="W141" s="354"/>
      <c r="X141" s="354"/>
      <c r="Y141" s="354"/>
      <c r="Z141" s="354"/>
      <c r="AA141" s="354"/>
      <c r="AB141" s="354"/>
      <c r="AC141" s="354"/>
      <c r="AD141" s="354"/>
      <c r="AE141" s="354"/>
      <c r="AF141" s="354"/>
      <c r="AG141" s="354"/>
      <c r="AH141" s="354"/>
      <c r="AI141" s="354"/>
      <c r="AJ141" s="354"/>
      <c r="AK141" s="354"/>
      <c r="AL141" s="354"/>
    </row>
    <row r="142">
      <c r="A142" s="354"/>
      <c r="B142" s="354"/>
      <c r="C142" s="354"/>
      <c r="D142" s="354"/>
      <c r="E142" s="354"/>
      <c r="F142" s="354"/>
      <c r="G142" s="354"/>
      <c r="H142" s="354"/>
      <c r="I142" s="354"/>
      <c r="J142" s="354"/>
      <c r="K142" s="354"/>
      <c r="L142" s="354"/>
      <c r="M142" s="354"/>
      <c r="N142" s="354"/>
      <c r="O142" s="354"/>
      <c r="P142" s="354"/>
      <c r="Q142" s="354"/>
      <c r="R142" s="354"/>
      <c r="S142" s="354"/>
      <c r="T142" s="354"/>
      <c r="U142" s="354"/>
      <c r="V142" s="354"/>
      <c r="W142" s="354"/>
      <c r="X142" s="354"/>
      <c r="Y142" s="354"/>
      <c r="Z142" s="354"/>
      <c r="AA142" s="354"/>
      <c r="AB142" s="354"/>
      <c r="AC142" s="354"/>
      <c r="AD142" s="354"/>
      <c r="AE142" s="354"/>
      <c r="AF142" s="354"/>
      <c r="AG142" s="354"/>
      <c r="AH142" s="354"/>
      <c r="AI142" s="354"/>
      <c r="AJ142" s="354"/>
      <c r="AK142" s="354"/>
      <c r="AL142" s="354"/>
    </row>
    <row r="143">
      <c r="A143" s="354"/>
      <c r="B143" s="354"/>
      <c r="C143" s="354"/>
      <c r="D143" s="354"/>
      <c r="E143" s="354"/>
      <c r="F143" s="354"/>
      <c r="G143" s="354"/>
      <c r="H143" s="354"/>
      <c r="I143" s="354"/>
      <c r="J143" s="354"/>
      <c r="K143" s="354"/>
      <c r="L143" s="354"/>
      <c r="M143" s="354"/>
      <c r="N143" s="354"/>
      <c r="O143" s="354"/>
      <c r="P143" s="354"/>
      <c r="Q143" s="354"/>
      <c r="R143" s="354"/>
      <c r="S143" s="354"/>
      <c r="T143" s="354"/>
      <c r="U143" s="354"/>
      <c r="V143" s="354"/>
      <c r="W143" s="354"/>
      <c r="X143" s="354"/>
      <c r="Y143" s="354"/>
      <c r="Z143" s="354"/>
      <c r="AA143" s="354"/>
      <c r="AB143" s="354"/>
      <c r="AC143" s="354"/>
      <c r="AD143" s="354"/>
      <c r="AE143" s="354"/>
      <c r="AF143" s="354"/>
      <c r="AG143" s="354"/>
      <c r="AH143" s="354"/>
      <c r="AI143" s="354"/>
      <c r="AJ143" s="354"/>
      <c r="AK143" s="354"/>
      <c r="AL143" s="354"/>
    </row>
    <row r="144">
      <c r="A144" s="354"/>
      <c r="B144" s="354"/>
      <c r="C144" s="354"/>
      <c r="D144" s="354"/>
      <c r="E144" s="354"/>
      <c r="F144" s="354"/>
      <c r="G144" s="354"/>
      <c r="H144" s="354"/>
      <c r="I144" s="354"/>
      <c r="J144" s="354"/>
      <c r="K144" s="354"/>
      <c r="L144" s="354"/>
      <c r="M144" s="354"/>
      <c r="N144" s="354"/>
      <c r="O144" s="354"/>
      <c r="P144" s="354"/>
      <c r="Q144" s="354"/>
      <c r="R144" s="354"/>
      <c r="S144" s="354"/>
      <c r="T144" s="354"/>
      <c r="U144" s="354"/>
      <c r="V144" s="354"/>
      <c r="W144" s="354"/>
      <c r="X144" s="354"/>
      <c r="Y144" s="354"/>
      <c r="Z144" s="354"/>
      <c r="AA144" s="354"/>
      <c r="AB144" s="354"/>
      <c r="AC144" s="354"/>
      <c r="AD144" s="354"/>
      <c r="AE144" s="354"/>
      <c r="AF144" s="354"/>
      <c r="AG144" s="354"/>
      <c r="AH144" s="354"/>
      <c r="AI144" s="354"/>
      <c r="AJ144" s="354"/>
      <c r="AK144" s="354"/>
      <c r="AL144" s="354"/>
    </row>
    <row r="145">
      <c r="A145" s="354"/>
      <c r="B145" s="354"/>
      <c r="C145" s="354"/>
      <c r="D145" s="354"/>
      <c r="E145" s="354"/>
      <c r="F145" s="354"/>
      <c r="G145" s="354"/>
      <c r="H145" s="354"/>
      <c r="I145" s="354"/>
      <c r="J145" s="354"/>
      <c r="K145" s="354"/>
      <c r="L145" s="354"/>
      <c r="M145" s="354"/>
      <c r="N145" s="354"/>
      <c r="O145" s="354"/>
      <c r="P145" s="354"/>
      <c r="Q145" s="354"/>
      <c r="R145" s="354"/>
      <c r="S145" s="354"/>
      <c r="T145" s="354"/>
      <c r="U145" s="354"/>
      <c r="V145" s="354"/>
      <c r="W145" s="354"/>
      <c r="X145" s="354"/>
      <c r="Y145" s="354"/>
      <c r="Z145" s="354"/>
      <c r="AA145" s="354"/>
      <c r="AB145" s="354"/>
      <c r="AC145" s="354"/>
      <c r="AD145" s="354"/>
      <c r="AE145" s="354"/>
      <c r="AF145" s="354"/>
      <c r="AG145" s="354"/>
      <c r="AH145" s="354"/>
      <c r="AI145" s="354"/>
      <c r="AJ145" s="354"/>
      <c r="AK145" s="354"/>
      <c r="AL145" s="354"/>
    </row>
    <row r="146">
      <c r="A146" s="354"/>
      <c r="B146" s="354"/>
      <c r="C146" s="354"/>
      <c r="D146" s="354"/>
      <c r="E146" s="354"/>
      <c r="F146" s="354"/>
      <c r="G146" s="354"/>
      <c r="H146" s="354"/>
      <c r="I146" s="354"/>
      <c r="J146" s="354"/>
      <c r="K146" s="354"/>
      <c r="L146" s="354"/>
      <c r="M146" s="354"/>
      <c r="N146" s="354"/>
      <c r="O146" s="354"/>
      <c r="P146" s="354"/>
      <c r="Q146" s="354"/>
      <c r="R146" s="354"/>
      <c r="S146" s="354"/>
      <c r="T146" s="354"/>
      <c r="U146" s="354"/>
      <c r="V146" s="354"/>
      <c r="W146" s="354"/>
      <c r="X146" s="354"/>
      <c r="Y146" s="354"/>
      <c r="Z146" s="354"/>
      <c r="AA146" s="354"/>
      <c r="AB146" s="354"/>
      <c r="AC146" s="354"/>
      <c r="AD146" s="354"/>
      <c r="AE146" s="354"/>
      <c r="AF146" s="354"/>
      <c r="AG146" s="354"/>
      <c r="AH146" s="354"/>
      <c r="AI146" s="354"/>
      <c r="AJ146" s="354"/>
      <c r="AK146" s="354"/>
      <c r="AL146" s="354"/>
    </row>
    <row r="147">
      <c r="A147" s="354"/>
      <c r="B147" s="354"/>
      <c r="C147" s="354"/>
      <c r="D147" s="354"/>
      <c r="E147" s="354"/>
      <c r="F147" s="354"/>
      <c r="G147" s="354"/>
      <c r="H147" s="354"/>
      <c r="I147" s="354"/>
      <c r="J147" s="354"/>
      <c r="K147" s="354"/>
      <c r="L147" s="354"/>
      <c r="M147" s="354"/>
      <c r="N147" s="354"/>
      <c r="O147" s="354"/>
      <c r="P147" s="354"/>
      <c r="Q147" s="354"/>
      <c r="R147" s="354"/>
      <c r="S147" s="354"/>
      <c r="T147" s="354"/>
      <c r="U147" s="354"/>
      <c r="V147" s="354"/>
      <c r="W147" s="354"/>
      <c r="X147" s="354"/>
      <c r="Y147" s="354"/>
      <c r="Z147" s="354"/>
      <c r="AA147" s="354"/>
      <c r="AB147" s="354"/>
      <c r="AC147" s="354"/>
      <c r="AD147" s="354"/>
      <c r="AE147" s="354"/>
      <c r="AF147" s="354"/>
      <c r="AG147" s="354"/>
      <c r="AH147" s="354"/>
      <c r="AI147" s="354"/>
      <c r="AJ147" s="354"/>
      <c r="AK147" s="354"/>
      <c r="AL147" s="354"/>
    </row>
    <row r="148">
      <c r="A148" s="354"/>
      <c r="B148" s="354"/>
      <c r="C148" s="354"/>
      <c r="D148" s="354"/>
      <c r="E148" s="354"/>
      <c r="F148" s="354"/>
      <c r="G148" s="354"/>
      <c r="H148" s="354"/>
      <c r="I148" s="354"/>
      <c r="J148" s="354"/>
      <c r="K148" s="354"/>
      <c r="L148" s="354"/>
      <c r="M148" s="354"/>
      <c r="N148" s="354"/>
      <c r="O148" s="354"/>
      <c r="P148" s="354"/>
      <c r="Q148" s="354"/>
      <c r="R148" s="354"/>
      <c r="S148" s="354"/>
      <c r="T148" s="354"/>
      <c r="U148" s="354"/>
      <c r="V148" s="354"/>
      <c r="W148" s="354"/>
      <c r="X148" s="354"/>
      <c r="Y148" s="354"/>
      <c r="Z148" s="354"/>
      <c r="AA148" s="354"/>
      <c r="AB148" s="354"/>
      <c r="AC148" s="354"/>
      <c r="AD148" s="354"/>
      <c r="AE148" s="354"/>
      <c r="AF148" s="354"/>
      <c r="AG148" s="354"/>
      <c r="AH148" s="354"/>
      <c r="AI148" s="354"/>
      <c r="AJ148" s="354"/>
      <c r="AK148" s="354"/>
      <c r="AL148" s="354"/>
    </row>
    <row r="149">
      <c r="A149" s="354"/>
      <c r="B149" s="354"/>
      <c r="C149" s="354"/>
      <c r="D149" s="354"/>
      <c r="E149" s="354"/>
      <c r="F149" s="354"/>
      <c r="G149" s="354"/>
      <c r="H149" s="354"/>
      <c r="I149" s="354"/>
      <c r="J149" s="354"/>
      <c r="K149" s="354"/>
      <c r="L149" s="354"/>
      <c r="M149" s="354"/>
      <c r="N149" s="354"/>
      <c r="O149" s="354"/>
      <c r="P149" s="354"/>
      <c r="Q149" s="354"/>
      <c r="R149" s="354"/>
      <c r="S149" s="354"/>
      <c r="T149" s="354"/>
      <c r="U149" s="354"/>
      <c r="V149" s="354"/>
      <c r="W149" s="354"/>
      <c r="X149" s="354"/>
      <c r="Y149" s="354"/>
      <c r="Z149" s="354"/>
      <c r="AA149" s="354"/>
      <c r="AB149" s="354"/>
      <c r="AC149" s="354"/>
      <c r="AD149" s="354"/>
      <c r="AE149" s="354"/>
      <c r="AF149" s="354"/>
      <c r="AG149" s="354"/>
      <c r="AH149" s="354"/>
      <c r="AI149" s="354"/>
      <c r="AJ149" s="354"/>
      <c r="AK149" s="354"/>
      <c r="AL149" s="354"/>
    </row>
    <row r="150">
      <c r="A150" s="354"/>
      <c r="B150" s="354"/>
      <c r="C150" s="354"/>
      <c r="D150" s="354"/>
      <c r="E150" s="354"/>
      <c r="F150" s="354"/>
      <c r="G150" s="354"/>
      <c r="H150" s="354"/>
      <c r="I150" s="354"/>
      <c r="J150" s="354"/>
      <c r="K150" s="354"/>
      <c r="L150" s="354"/>
      <c r="M150" s="354"/>
      <c r="N150" s="354"/>
      <c r="O150" s="354"/>
      <c r="P150" s="354"/>
      <c r="Q150" s="354"/>
      <c r="R150" s="354"/>
      <c r="S150" s="354"/>
      <c r="T150" s="354"/>
      <c r="U150" s="354"/>
      <c r="V150" s="354"/>
      <c r="W150" s="354"/>
      <c r="X150" s="354"/>
      <c r="Y150" s="354"/>
      <c r="Z150" s="354"/>
      <c r="AA150" s="354"/>
      <c r="AB150" s="354"/>
      <c r="AC150" s="354"/>
      <c r="AD150" s="354"/>
      <c r="AE150" s="354"/>
      <c r="AF150" s="354"/>
      <c r="AG150" s="354"/>
      <c r="AH150" s="354"/>
      <c r="AI150" s="354"/>
      <c r="AJ150" s="354"/>
      <c r="AK150" s="354"/>
      <c r="AL150" s="354"/>
    </row>
    <row r="151">
      <c r="A151" s="354"/>
      <c r="B151" s="354"/>
      <c r="C151" s="354"/>
      <c r="D151" s="354"/>
      <c r="E151" s="354"/>
      <c r="F151" s="354"/>
      <c r="G151" s="354"/>
      <c r="H151" s="354"/>
      <c r="I151" s="354"/>
      <c r="J151" s="354"/>
      <c r="K151" s="354"/>
      <c r="L151" s="354"/>
      <c r="M151" s="354"/>
      <c r="N151" s="354"/>
      <c r="O151" s="354"/>
      <c r="P151" s="354"/>
      <c r="Q151" s="354"/>
      <c r="R151" s="354"/>
      <c r="S151" s="354"/>
      <c r="T151" s="354"/>
      <c r="U151" s="354"/>
      <c r="V151" s="354"/>
      <c r="W151" s="354"/>
      <c r="X151" s="354"/>
      <c r="Y151" s="354"/>
      <c r="Z151" s="354"/>
      <c r="AA151" s="354"/>
      <c r="AB151" s="354"/>
      <c r="AC151" s="354"/>
      <c r="AD151" s="354"/>
      <c r="AE151" s="354"/>
      <c r="AF151" s="354"/>
      <c r="AG151" s="354"/>
      <c r="AH151" s="354"/>
      <c r="AI151" s="354"/>
      <c r="AJ151" s="354"/>
      <c r="AK151" s="354"/>
      <c r="AL151" s="354"/>
    </row>
    <row r="152">
      <c r="A152" s="354"/>
      <c r="B152" s="354"/>
      <c r="C152" s="354"/>
      <c r="D152" s="354"/>
      <c r="E152" s="354"/>
      <c r="F152" s="354"/>
      <c r="G152" s="354"/>
      <c r="H152" s="354"/>
      <c r="I152" s="354"/>
      <c r="J152" s="354"/>
      <c r="K152" s="354"/>
      <c r="L152" s="354"/>
      <c r="M152" s="354"/>
      <c r="N152" s="354"/>
      <c r="O152" s="354"/>
      <c r="P152" s="354"/>
      <c r="Q152" s="354"/>
      <c r="R152" s="354"/>
      <c r="S152" s="354"/>
      <c r="T152" s="354"/>
      <c r="U152" s="354"/>
      <c r="V152" s="354"/>
      <c r="W152" s="354"/>
      <c r="X152" s="354"/>
      <c r="Y152" s="354"/>
      <c r="Z152" s="354"/>
      <c r="AA152" s="354"/>
      <c r="AB152" s="354"/>
      <c r="AC152" s="354"/>
      <c r="AD152" s="354"/>
      <c r="AE152" s="354"/>
      <c r="AF152" s="354"/>
      <c r="AG152" s="354"/>
      <c r="AH152" s="354"/>
      <c r="AI152" s="354"/>
      <c r="AJ152" s="354"/>
      <c r="AK152" s="354"/>
      <c r="AL152" s="354"/>
    </row>
    <row r="153">
      <c r="A153" s="354"/>
      <c r="B153" s="354"/>
      <c r="C153" s="354"/>
      <c r="D153" s="354"/>
      <c r="E153" s="354"/>
      <c r="F153" s="354"/>
      <c r="G153" s="354"/>
      <c r="H153" s="354"/>
      <c r="I153" s="354"/>
      <c r="J153" s="354"/>
      <c r="K153" s="354"/>
      <c r="L153" s="354"/>
      <c r="M153" s="354"/>
      <c r="N153" s="354"/>
      <c r="O153" s="354"/>
      <c r="P153" s="354"/>
      <c r="Q153" s="354"/>
      <c r="R153" s="354"/>
      <c r="S153" s="354"/>
      <c r="T153" s="354"/>
      <c r="U153" s="354"/>
      <c r="V153" s="354"/>
      <c r="W153" s="354"/>
      <c r="X153" s="354"/>
      <c r="Y153" s="354"/>
      <c r="Z153" s="354"/>
      <c r="AA153" s="354"/>
      <c r="AB153" s="354"/>
      <c r="AC153" s="354"/>
      <c r="AD153" s="354"/>
      <c r="AE153" s="354"/>
      <c r="AF153" s="354"/>
      <c r="AG153" s="354"/>
      <c r="AH153" s="354"/>
      <c r="AI153" s="354"/>
      <c r="AJ153" s="354"/>
      <c r="AK153" s="354"/>
      <c r="AL153" s="354"/>
    </row>
    <row r="154">
      <c r="A154" s="354"/>
      <c r="B154" s="354"/>
      <c r="C154" s="354"/>
      <c r="D154" s="354"/>
      <c r="E154" s="354"/>
      <c r="F154" s="354"/>
      <c r="G154" s="354"/>
      <c r="H154" s="354"/>
      <c r="I154" s="354"/>
      <c r="J154" s="354"/>
      <c r="K154" s="354"/>
      <c r="L154" s="354"/>
      <c r="M154" s="354"/>
      <c r="N154" s="354"/>
      <c r="O154" s="354"/>
      <c r="P154" s="354"/>
      <c r="Q154" s="354"/>
      <c r="R154" s="354"/>
      <c r="S154" s="354"/>
      <c r="T154" s="354"/>
      <c r="U154" s="354"/>
      <c r="V154" s="354"/>
      <c r="W154" s="354"/>
      <c r="X154" s="354"/>
      <c r="Y154" s="354"/>
      <c r="Z154" s="354"/>
      <c r="AA154" s="354"/>
      <c r="AB154" s="354"/>
      <c r="AC154" s="354"/>
      <c r="AD154" s="354"/>
      <c r="AE154" s="354"/>
      <c r="AF154" s="354"/>
      <c r="AG154" s="354"/>
      <c r="AH154" s="354"/>
      <c r="AI154" s="354"/>
      <c r="AJ154" s="354"/>
      <c r="AK154" s="354"/>
      <c r="AL154" s="354"/>
    </row>
    <row r="155">
      <c r="A155" s="354"/>
      <c r="B155" s="354"/>
      <c r="C155" s="354"/>
      <c r="D155" s="354"/>
      <c r="E155" s="354"/>
      <c r="F155" s="354"/>
      <c r="G155" s="354"/>
      <c r="H155" s="354"/>
      <c r="I155" s="354"/>
      <c r="J155" s="354"/>
      <c r="K155" s="354"/>
      <c r="L155" s="354"/>
      <c r="M155" s="354"/>
      <c r="N155" s="354"/>
      <c r="O155" s="354"/>
      <c r="P155" s="354"/>
      <c r="Q155" s="354"/>
      <c r="R155" s="354"/>
      <c r="S155" s="354"/>
      <c r="T155" s="354"/>
      <c r="U155" s="354"/>
      <c r="V155" s="354"/>
      <c r="W155" s="354"/>
      <c r="X155" s="354"/>
      <c r="Y155" s="354"/>
      <c r="Z155" s="354"/>
      <c r="AA155" s="354"/>
      <c r="AB155" s="354"/>
      <c r="AC155" s="354"/>
      <c r="AD155" s="354"/>
      <c r="AE155" s="354"/>
      <c r="AF155" s="354"/>
      <c r="AG155" s="354"/>
      <c r="AH155" s="354"/>
      <c r="AI155" s="354"/>
      <c r="AJ155" s="354"/>
      <c r="AK155" s="354"/>
      <c r="AL155" s="354"/>
    </row>
    <row r="156">
      <c r="A156" s="354"/>
      <c r="B156" s="354"/>
      <c r="C156" s="354"/>
      <c r="D156" s="354"/>
      <c r="E156" s="354"/>
      <c r="F156" s="354"/>
      <c r="G156" s="354"/>
      <c r="H156" s="354"/>
      <c r="I156" s="354"/>
      <c r="J156" s="354"/>
      <c r="K156" s="354"/>
      <c r="L156" s="354"/>
      <c r="M156" s="354"/>
      <c r="N156" s="354"/>
      <c r="O156" s="354"/>
      <c r="P156" s="354"/>
      <c r="Q156" s="354"/>
      <c r="R156" s="354"/>
      <c r="S156" s="354"/>
      <c r="T156" s="354"/>
      <c r="U156" s="354"/>
      <c r="V156" s="354"/>
      <c r="W156" s="354"/>
      <c r="X156" s="354"/>
      <c r="Y156" s="354"/>
      <c r="Z156" s="354"/>
      <c r="AA156" s="354"/>
      <c r="AB156" s="354"/>
      <c r="AC156" s="354"/>
      <c r="AD156" s="354"/>
      <c r="AE156" s="354"/>
      <c r="AF156" s="354"/>
      <c r="AG156" s="354"/>
      <c r="AH156" s="354"/>
      <c r="AI156" s="354"/>
      <c r="AJ156" s="354"/>
      <c r="AK156" s="354"/>
      <c r="AL156" s="354"/>
    </row>
    <row r="157">
      <c r="A157" s="354"/>
      <c r="B157" s="354"/>
      <c r="C157" s="354"/>
      <c r="D157" s="354"/>
      <c r="E157" s="354"/>
      <c r="F157" s="354"/>
      <c r="G157" s="354"/>
      <c r="H157" s="354"/>
      <c r="I157" s="354"/>
      <c r="J157" s="354"/>
      <c r="K157" s="354"/>
      <c r="L157" s="354"/>
      <c r="M157" s="354"/>
      <c r="N157" s="354"/>
      <c r="O157" s="354"/>
      <c r="P157" s="354"/>
      <c r="Q157" s="354"/>
      <c r="R157" s="354"/>
      <c r="S157" s="354"/>
      <c r="T157" s="354"/>
      <c r="U157" s="354"/>
      <c r="V157" s="354"/>
      <c r="W157" s="354"/>
      <c r="X157" s="354"/>
      <c r="Y157" s="354"/>
      <c r="Z157" s="354"/>
      <c r="AA157" s="354"/>
      <c r="AB157" s="354"/>
      <c r="AC157" s="354"/>
      <c r="AD157" s="354"/>
      <c r="AE157" s="354"/>
      <c r="AF157" s="354"/>
      <c r="AG157" s="354"/>
      <c r="AH157" s="354"/>
      <c r="AI157" s="354"/>
      <c r="AJ157" s="354"/>
      <c r="AK157" s="354"/>
      <c r="AL157" s="354"/>
    </row>
    <row r="158">
      <c r="A158" s="354"/>
      <c r="B158" s="354"/>
      <c r="C158" s="354"/>
      <c r="D158" s="354"/>
      <c r="E158" s="354"/>
      <c r="F158" s="354"/>
      <c r="G158" s="354"/>
      <c r="H158" s="354"/>
      <c r="I158" s="354"/>
      <c r="J158" s="354"/>
      <c r="K158" s="354"/>
      <c r="L158" s="354"/>
      <c r="M158" s="354"/>
      <c r="N158" s="354"/>
      <c r="O158" s="354"/>
      <c r="P158" s="354"/>
      <c r="Q158" s="354"/>
      <c r="R158" s="354"/>
      <c r="S158" s="354"/>
      <c r="T158" s="354"/>
      <c r="U158" s="354"/>
      <c r="V158" s="354"/>
      <c r="W158" s="354"/>
      <c r="X158" s="354"/>
      <c r="Y158" s="354"/>
      <c r="Z158" s="354"/>
      <c r="AA158" s="354"/>
      <c r="AB158" s="354"/>
      <c r="AC158" s="354"/>
      <c r="AD158" s="354"/>
      <c r="AE158" s="354"/>
      <c r="AF158" s="354"/>
      <c r="AG158" s="354"/>
      <c r="AH158" s="354"/>
      <c r="AI158" s="354"/>
      <c r="AJ158" s="354"/>
      <c r="AK158" s="354"/>
      <c r="AL158" s="354"/>
    </row>
    <row r="159">
      <c r="A159" s="354"/>
      <c r="B159" s="354"/>
      <c r="C159" s="354"/>
      <c r="D159" s="354"/>
      <c r="E159" s="354"/>
      <c r="F159" s="354"/>
      <c r="G159" s="354"/>
      <c r="H159" s="354"/>
      <c r="I159" s="354"/>
      <c r="J159" s="354"/>
      <c r="K159" s="354"/>
      <c r="L159" s="354"/>
      <c r="M159" s="354"/>
      <c r="N159" s="354"/>
      <c r="O159" s="354"/>
      <c r="P159" s="354"/>
      <c r="Q159" s="354"/>
      <c r="R159" s="354"/>
      <c r="S159" s="354"/>
      <c r="T159" s="354"/>
      <c r="U159" s="354"/>
      <c r="V159" s="354"/>
      <c r="W159" s="354"/>
      <c r="X159" s="354"/>
      <c r="Y159" s="354"/>
      <c r="Z159" s="354"/>
      <c r="AA159" s="354"/>
      <c r="AB159" s="354"/>
      <c r="AC159" s="354"/>
      <c r="AD159" s="354"/>
      <c r="AE159" s="354"/>
      <c r="AF159" s="354"/>
      <c r="AG159" s="354"/>
      <c r="AH159" s="354"/>
      <c r="AI159" s="354"/>
      <c r="AJ159" s="354"/>
      <c r="AK159" s="354"/>
      <c r="AL159" s="354"/>
    </row>
    <row r="160">
      <c r="A160" s="354"/>
      <c r="B160" s="354"/>
      <c r="C160" s="354"/>
      <c r="D160" s="354"/>
      <c r="E160" s="354"/>
      <c r="F160" s="354"/>
      <c r="G160" s="354"/>
      <c r="H160" s="354"/>
      <c r="I160" s="354"/>
      <c r="J160" s="354"/>
      <c r="K160" s="354"/>
      <c r="L160" s="354"/>
      <c r="M160" s="354"/>
      <c r="N160" s="354"/>
      <c r="O160" s="354"/>
      <c r="P160" s="354"/>
      <c r="Q160" s="354"/>
      <c r="R160" s="354"/>
      <c r="S160" s="354"/>
      <c r="T160" s="354"/>
      <c r="U160" s="354"/>
      <c r="V160" s="354"/>
      <c r="W160" s="354"/>
      <c r="X160" s="354"/>
      <c r="Y160" s="354"/>
      <c r="Z160" s="354"/>
      <c r="AA160" s="354"/>
      <c r="AB160" s="354"/>
      <c r="AC160" s="354"/>
      <c r="AD160" s="354"/>
      <c r="AE160" s="354"/>
      <c r="AF160" s="354"/>
      <c r="AG160" s="354"/>
      <c r="AH160" s="354"/>
      <c r="AI160" s="354"/>
      <c r="AJ160" s="354"/>
      <c r="AK160" s="354"/>
      <c r="AL160" s="354"/>
    </row>
    <row r="161">
      <c r="A161" s="354"/>
      <c r="B161" s="354"/>
      <c r="C161" s="354"/>
      <c r="D161" s="354"/>
      <c r="E161" s="354"/>
      <c r="F161" s="354"/>
      <c r="G161" s="354"/>
      <c r="H161" s="354"/>
      <c r="I161" s="354"/>
      <c r="J161" s="354"/>
      <c r="K161" s="354"/>
      <c r="L161" s="354"/>
      <c r="M161" s="354"/>
      <c r="N161" s="354"/>
      <c r="O161" s="354"/>
      <c r="P161" s="354"/>
      <c r="Q161" s="354"/>
      <c r="R161" s="354"/>
      <c r="S161" s="354"/>
      <c r="T161" s="354"/>
      <c r="U161" s="354"/>
      <c r="V161" s="354"/>
      <c r="W161" s="354"/>
      <c r="X161" s="354"/>
      <c r="Y161" s="354"/>
      <c r="Z161" s="354"/>
      <c r="AA161" s="354"/>
      <c r="AB161" s="354"/>
      <c r="AC161" s="354"/>
      <c r="AD161" s="354"/>
      <c r="AE161" s="354"/>
      <c r="AF161" s="354"/>
      <c r="AG161" s="354"/>
      <c r="AH161" s="354"/>
      <c r="AI161" s="354"/>
      <c r="AJ161" s="354"/>
      <c r="AK161" s="354"/>
      <c r="AL161" s="354"/>
    </row>
    <row r="162">
      <c r="A162" s="354"/>
      <c r="B162" s="354"/>
      <c r="C162" s="354"/>
      <c r="D162" s="354"/>
      <c r="E162" s="354"/>
      <c r="F162" s="354"/>
      <c r="G162" s="354"/>
      <c r="H162" s="354"/>
      <c r="I162" s="354"/>
      <c r="J162" s="354"/>
      <c r="K162" s="354"/>
      <c r="L162" s="354"/>
      <c r="M162" s="354"/>
      <c r="N162" s="354"/>
      <c r="O162" s="354"/>
      <c r="P162" s="354"/>
      <c r="Q162" s="354"/>
      <c r="R162" s="354"/>
      <c r="S162" s="354"/>
      <c r="T162" s="354"/>
      <c r="U162" s="354"/>
      <c r="V162" s="354"/>
      <c r="W162" s="354"/>
      <c r="X162" s="354"/>
      <c r="Y162" s="354"/>
      <c r="Z162" s="354"/>
      <c r="AA162" s="354"/>
      <c r="AB162" s="354"/>
      <c r="AC162" s="354"/>
      <c r="AD162" s="354"/>
      <c r="AE162" s="354"/>
      <c r="AF162" s="354"/>
      <c r="AG162" s="354"/>
      <c r="AH162" s="354"/>
      <c r="AI162" s="354"/>
      <c r="AJ162" s="354"/>
      <c r="AK162" s="354"/>
      <c r="AL162" s="354"/>
    </row>
    <row r="163">
      <c r="A163" s="354"/>
      <c r="B163" s="354"/>
      <c r="C163" s="354"/>
      <c r="D163" s="354"/>
      <c r="E163" s="354"/>
      <c r="F163" s="354"/>
      <c r="G163" s="354"/>
      <c r="H163" s="354"/>
      <c r="I163" s="354"/>
      <c r="J163" s="354"/>
      <c r="K163" s="354"/>
      <c r="L163" s="354"/>
      <c r="M163" s="354"/>
      <c r="N163" s="354"/>
      <c r="O163" s="354"/>
      <c r="P163" s="354"/>
      <c r="Q163" s="354"/>
      <c r="R163" s="354"/>
      <c r="S163" s="354"/>
      <c r="T163" s="354"/>
      <c r="U163" s="354"/>
      <c r="V163" s="354"/>
      <c r="W163" s="354"/>
      <c r="X163" s="354"/>
      <c r="Y163" s="354"/>
      <c r="Z163" s="354"/>
      <c r="AA163" s="354"/>
      <c r="AB163" s="354"/>
      <c r="AC163" s="354"/>
      <c r="AD163" s="354"/>
      <c r="AE163" s="354"/>
      <c r="AF163" s="354"/>
      <c r="AG163" s="354"/>
      <c r="AH163" s="354"/>
      <c r="AI163" s="354"/>
      <c r="AJ163" s="354"/>
      <c r="AK163" s="354"/>
      <c r="AL163" s="354"/>
    </row>
    <row r="164">
      <c r="A164" s="354"/>
      <c r="B164" s="354"/>
      <c r="C164" s="354"/>
      <c r="D164" s="354"/>
      <c r="E164" s="354"/>
      <c r="F164" s="354"/>
      <c r="G164" s="354"/>
      <c r="H164" s="354"/>
      <c r="I164" s="354"/>
      <c r="J164" s="354"/>
      <c r="K164" s="354"/>
      <c r="L164" s="354"/>
      <c r="M164" s="354"/>
      <c r="N164" s="354"/>
      <c r="O164" s="354"/>
      <c r="P164" s="354"/>
      <c r="Q164" s="354"/>
      <c r="R164" s="354"/>
      <c r="S164" s="354"/>
      <c r="T164" s="354"/>
      <c r="U164" s="354"/>
      <c r="V164" s="354"/>
      <c r="W164" s="354"/>
      <c r="X164" s="354"/>
      <c r="Y164" s="354"/>
      <c r="Z164" s="354"/>
      <c r="AA164" s="354"/>
      <c r="AB164" s="354"/>
      <c r="AC164" s="354"/>
      <c r="AD164" s="354"/>
      <c r="AE164" s="354"/>
      <c r="AF164" s="354"/>
      <c r="AG164" s="354"/>
      <c r="AH164" s="354"/>
      <c r="AI164" s="354"/>
      <c r="AJ164" s="354"/>
      <c r="AK164" s="354"/>
      <c r="AL164" s="354"/>
    </row>
    <row r="165">
      <c r="A165" s="354"/>
      <c r="B165" s="354"/>
      <c r="C165" s="354"/>
      <c r="D165" s="354"/>
      <c r="E165" s="354"/>
      <c r="F165" s="354"/>
      <c r="G165" s="354"/>
      <c r="H165" s="354"/>
      <c r="I165" s="354"/>
      <c r="J165" s="354"/>
      <c r="K165" s="354"/>
      <c r="L165" s="354"/>
      <c r="M165" s="354"/>
      <c r="N165" s="354"/>
      <c r="O165" s="354"/>
      <c r="P165" s="354"/>
      <c r="Q165" s="354"/>
      <c r="R165" s="354"/>
      <c r="S165" s="354"/>
      <c r="T165" s="354"/>
      <c r="U165" s="354"/>
      <c r="V165" s="354"/>
      <c r="W165" s="354"/>
      <c r="X165" s="354"/>
      <c r="Y165" s="354"/>
      <c r="Z165" s="354"/>
      <c r="AA165" s="354"/>
      <c r="AB165" s="354"/>
      <c r="AC165" s="354"/>
      <c r="AD165" s="354"/>
      <c r="AE165" s="354"/>
      <c r="AF165" s="354"/>
      <c r="AG165" s="354"/>
      <c r="AH165" s="354"/>
      <c r="AI165" s="354"/>
      <c r="AJ165" s="354"/>
      <c r="AK165" s="354"/>
      <c r="AL165" s="354"/>
    </row>
    <row r="166">
      <c r="A166" s="354"/>
      <c r="B166" s="354"/>
      <c r="C166" s="354"/>
      <c r="D166" s="354"/>
      <c r="E166" s="354"/>
      <c r="F166" s="354"/>
      <c r="G166" s="354"/>
      <c r="H166" s="354"/>
      <c r="I166" s="354"/>
      <c r="J166" s="354"/>
      <c r="K166" s="354"/>
      <c r="L166" s="354"/>
      <c r="M166" s="354"/>
      <c r="N166" s="354"/>
      <c r="O166" s="354"/>
      <c r="P166" s="354"/>
      <c r="Q166" s="354"/>
      <c r="R166" s="354"/>
      <c r="S166" s="354"/>
      <c r="T166" s="354"/>
      <c r="U166" s="354"/>
      <c r="V166" s="354"/>
      <c r="W166" s="354"/>
      <c r="X166" s="354"/>
      <c r="Y166" s="354"/>
      <c r="Z166" s="354"/>
      <c r="AA166" s="354"/>
      <c r="AB166" s="354"/>
      <c r="AC166" s="354"/>
      <c r="AD166" s="354"/>
      <c r="AE166" s="354"/>
      <c r="AF166" s="354"/>
      <c r="AG166" s="354"/>
      <c r="AH166" s="354"/>
      <c r="AI166" s="354"/>
      <c r="AJ166" s="354"/>
      <c r="AK166" s="354"/>
      <c r="AL166" s="354"/>
    </row>
    <row r="167">
      <c r="A167" s="354"/>
      <c r="B167" s="354"/>
      <c r="C167" s="354"/>
      <c r="D167" s="354"/>
      <c r="E167" s="354"/>
      <c r="F167" s="354"/>
      <c r="G167" s="354"/>
      <c r="H167" s="354"/>
      <c r="I167" s="354"/>
      <c r="J167" s="354"/>
      <c r="K167" s="354"/>
      <c r="L167" s="354"/>
      <c r="M167" s="354"/>
      <c r="N167" s="354"/>
      <c r="O167" s="354"/>
      <c r="P167" s="354"/>
      <c r="Q167" s="354"/>
      <c r="R167" s="354"/>
      <c r="S167" s="354"/>
      <c r="T167" s="354"/>
      <c r="U167" s="354"/>
      <c r="V167" s="354"/>
      <c r="W167" s="354"/>
      <c r="X167" s="354"/>
      <c r="Y167" s="354"/>
      <c r="Z167" s="354"/>
      <c r="AA167" s="354"/>
      <c r="AB167" s="354"/>
      <c r="AC167" s="354"/>
      <c r="AD167" s="354"/>
      <c r="AE167" s="354"/>
      <c r="AF167" s="354"/>
      <c r="AG167" s="354"/>
      <c r="AH167" s="354"/>
      <c r="AI167" s="354"/>
      <c r="AJ167" s="354"/>
      <c r="AK167" s="354"/>
      <c r="AL167" s="354"/>
    </row>
    <row r="168">
      <c r="A168" s="354"/>
      <c r="B168" s="354"/>
      <c r="C168" s="354"/>
      <c r="D168" s="354"/>
      <c r="E168" s="354"/>
      <c r="F168" s="354"/>
      <c r="G168" s="354"/>
      <c r="H168" s="354"/>
      <c r="I168" s="354"/>
      <c r="J168" s="354"/>
      <c r="K168" s="354"/>
      <c r="L168" s="354"/>
      <c r="M168" s="354"/>
      <c r="N168" s="354"/>
      <c r="O168" s="354"/>
      <c r="P168" s="354"/>
      <c r="Q168" s="354"/>
      <c r="R168" s="354"/>
      <c r="S168" s="354"/>
      <c r="T168" s="354"/>
      <c r="U168" s="354"/>
      <c r="V168" s="354"/>
      <c r="W168" s="354"/>
      <c r="X168" s="354"/>
      <c r="Y168" s="354"/>
      <c r="Z168" s="354"/>
      <c r="AA168" s="354"/>
      <c r="AB168" s="354"/>
      <c r="AC168" s="354"/>
      <c r="AD168" s="354"/>
      <c r="AE168" s="354"/>
      <c r="AF168" s="354"/>
      <c r="AG168" s="354"/>
      <c r="AH168" s="354"/>
      <c r="AI168" s="354"/>
      <c r="AJ168" s="354"/>
      <c r="AK168" s="354"/>
      <c r="AL168" s="354"/>
    </row>
    <row r="169">
      <c r="A169" s="354"/>
      <c r="B169" s="354"/>
      <c r="C169" s="354"/>
      <c r="D169" s="354"/>
      <c r="E169" s="354"/>
      <c r="F169" s="354"/>
      <c r="G169" s="354"/>
      <c r="H169" s="354"/>
      <c r="I169" s="354"/>
      <c r="J169" s="354"/>
      <c r="K169" s="354"/>
      <c r="L169" s="354"/>
      <c r="M169" s="354"/>
      <c r="N169" s="354"/>
      <c r="O169" s="354"/>
      <c r="P169" s="354"/>
      <c r="Q169" s="354"/>
      <c r="R169" s="354"/>
      <c r="S169" s="354"/>
      <c r="T169" s="354"/>
      <c r="U169" s="354"/>
      <c r="V169" s="354"/>
      <c r="W169" s="354"/>
      <c r="X169" s="354"/>
      <c r="Y169" s="354"/>
      <c r="Z169" s="354"/>
      <c r="AA169" s="354"/>
      <c r="AB169" s="354"/>
      <c r="AC169" s="354"/>
      <c r="AD169" s="354"/>
      <c r="AE169" s="354"/>
      <c r="AF169" s="354"/>
      <c r="AG169" s="354"/>
      <c r="AH169" s="354"/>
      <c r="AI169" s="354"/>
      <c r="AJ169" s="354"/>
      <c r="AK169" s="354"/>
      <c r="AL169" s="354"/>
    </row>
    <row r="170">
      <c r="A170" s="354"/>
      <c r="B170" s="354"/>
      <c r="C170" s="354"/>
      <c r="D170" s="354"/>
      <c r="E170" s="354"/>
      <c r="F170" s="354"/>
      <c r="G170" s="354"/>
      <c r="H170" s="354"/>
      <c r="I170" s="354"/>
      <c r="J170" s="354"/>
      <c r="K170" s="354"/>
      <c r="L170" s="354"/>
      <c r="M170" s="354"/>
      <c r="N170" s="354"/>
      <c r="O170" s="354"/>
      <c r="P170" s="354"/>
      <c r="Q170" s="354"/>
      <c r="R170" s="354"/>
      <c r="S170" s="354"/>
      <c r="T170" s="354"/>
      <c r="U170" s="354"/>
      <c r="V170" s="354"/>
      <c r="W170" s="354"/>
      <c r="X170" s="354"/>
      <c r="Y170" s="354"/>
      <c r="Z170" s="354"/>
      <c r="AA170" s="354"/>
      <c r="AB170" s="354"/>
      <c r="AC170" s="354"/>
      <c r="AD170" s="354"/>
      <c r="AE170" s="354"/>
      <c r="AF170" s="354"/>
      <c r="AG170" s="354"/>
      <c r="AH170" s="354"/>
      <c r="AI170" s="354"/>
      <c r="AJ170" s="354"/>
      <c r="AK170" s="354"/>
      <c r="AL170" s="354"/>
    </row>
    <row r="171">
      <c r="A171" s="354"/>
      <c r="B171" s="354"/>
      <c r="C171" s="354"/>
      <c r="D171" s="354"/>
      <c r="E171" s="354"/>
      <c r="F171" s="354"/>
      <c r="G171" s="354"/>
      <c r="H171" s="354"/>
      <c r="I171" s="354"/>
      <c r="J171" s="354"/>
      <c r="K171" s="354"/>
      <c r="L171" s="354"/>
      <c r="M171" s="354"/>
      <c r="N171" s="354"/>
      <c r="O171" s="354"/>
      <c r="P171" s="354"/>
      <c r="Q171" s="354"/>
      <c r="R171" s="354"/>
      <c r="S171" s="354"/>
      <c r="T171" s="354"/>
      <c r="U171" s="354"/>
      <c r="V171" s="354"/>
      <c r="W171" s="354"/>
      <c r="X171" s="354"/>
      <c r="Y171" s="354"/>
      <c r="Z171" s="354"/>
      <c r="AA171" s="354"/>
      <c r="AB171" s="354"/>
      <c r="AC171" s="354"/>
      <c r="AD171" s="354"/>
      <c r="AE171" s="354"/>
      <c r="AF171" s="354"/>
      <c r="AG171" s="354"/>
      <c r="AH171" s="354"/>
      <c r="AI171" s="354"/>
      <c r="AJ171" s="354"/>
      <c r="AK171" s="354"/>
      <c r="AL171" s="354"/>
    </row>
    <row r="172">
      <c r="A172" s="354"/>
      <c r="B172" s="354"/>
      <c r="C172" s="354"/>
      <c r="D172" s="354"/>
      <c r="E172" s="354"/>
      <c r="F172" s="354"/>
      <c r="G172" s="354"/>
      <c r="H172" s="354"/>
      <c r="I172" s="354"/>
      <c r="J172" s="354"/>
      <c r="K172" s="354"/>
      <c r="L172" s="354"/>
      <c r="M172" s="354"/>
      <c r="N172" s="354"/>
      <c r="O172" s="354"/>
      <c r="P172" s="354"/>
      <c r="Q172" s="354"/>
      <c r="R172" s="354"/>
      <c r="S172" s="354"/>
      <c r="T172" s="354"/>
      <c r="U172" s="354"/>
      <c r="V172" s="354"/>
      <c r="W172" s="354"/>
      <c r="X172" s="354"/>
      <c r="Y172" s="354"/>
      <c r="Z172" s="354"/>
      <c r="AA172" s="354"/>
      <c r="AB172" s="354"/>
      <c r="AC172" s="354"/>
      <c r="AD172" s="354"/>
      <c r="AE172" s="354"/>
      <c r="AF172" s="354"/>
      <c r="AG172" s="354"/>
      <c r="AH172" s="354"/>
      <c r="AI172" s="354"/>
      <c r="AJ172" s="354"/>
      <c r="AK172" s="354"/>
      <c r="AL172" s="354"/>
    </row>
    <row r="173">
      <c r="A173" s="354"/>
      <c r="B173" s="354"/>
      <c r="C173" s="354"/>
      <c r="D173" s="354"/>
      <c r="E173" s="354"/>
      <c r="F173" s="354"/>
      <c r="G173" s="354"/>
      <c r="H173" s="354"/>
      <c r="I173" s="354"/>
      <c r="J173" s="354"/>
      <c r="K173" s="354"/>
      <c r="L173" s="354"/>
      <c r="M173" s="354"/>
      <c r="N173" s="354"/>
      <c r="O173" s="354"/>
      <c r="P173" s="354"/>
      <c r="Q173" s="354"/>
      <c r="R173" s="354"/>
      <c r="S173" s="354"/>
      <c r="T173" s="354"/>
      <c r="U173" s="354"/>
      <c r="V173" s="354"/>
      <c r="W173" s="354"/>
      <c r="X173" s="354"/>
      <c r="Y173" s="354"/>
      <c r="Z173" s="354"/>
      <c r="AA173" s="354"/>
      <c r="AB173" s="354"/>
      <c r="AC173" s="354"/>
      <c r="AD173" s="354"/>
      <c r="AE173" s="354"/>
      <c r="AF173" s="354"/>
      <c r="AG173" s="354"/>
      <c r="AH173" s="354"/>
      <c r="AI173" s="354"/>
      <c r="AJ173" s="354"/>
      <c r="AK173" s="354"/>
      <c r="AL173" s="354"/>
    </row>
    <row r="174">
      <c r="A174" s="354"/>
      <c r="B174" s="354"/>
      <c r="C174" s="354"/>
      <c r="D174" s="354"/>
      <c r="E174" s="354"/>
      <c r="F174" s="354"/>
      <c r="G174" s="354"/>
      <c r="H174" s="354"/>
      <c r="I174" s="354"/>
      <c r="J174" s="354"/>
      <c r="K174" s="354"/>
      <c r="L174" s="354"/>
      <c r="M174" s="354"/>
      <c r="N174" s="354"/>
      <c r="O174" s="354"/>
      <c r="P174" s="354"/>
      <c r="Q174" s="354"/>
      <c r="R174" s="354"/>
      <c r="S174" s="354"/>
      <c r="T174" s="354"/>
      <c r="U174" s="354"/>
      <c r="V174" s="354"/>
      <c r="W174" s="354"/>
      <c r="X174" s="354"/>
      <c r="Y174" s="354"/>
      <c r="Z174" s="354"/>
      <c r="AA174" s="354"/>
      <c r="AB174" s="354"/>
      <c r="AC174" s="354"/>
      <c r="AD174" s="354"/>
      <c r="AE174" s="354"/>
      <c r="AF174" s="354"/>
      <c r="AG174" s="354"/>
      <c r="AH174" s="354"/>
      <c r="AI174" s="354"/>
      <c r="AJ174" s="354"/>
      <c r="AK174" s="354"/>
      <c r="AL174" s="354"/>
    </row>
    <row r="175">
      <c r="A175" s="354"/>
      <c r="B175" s="354"/>
      <c r="C175" s="354"/>
      <c r="D175" s="354"/>
      <c r="E175" s="354"/>
      <c r="F175" s="354"/>
      <c r="G175" s="354"/>
      <c r="H175" s="354"/>
      <c r="I175" s="354"/>
      <c r="J175" s="354"/>
      <c r="K175" s="354"/>
      <c r="L175" s="354"/>
      <c r="M175" s="354"/>
      <c r="N175" s="354"/>
      <c r="O175" s="354"/>
      <c r="P175" s="354"/>
      <c r="Q175" s="354"/>
      <c r="R175" s="354"/>
      <c r="S175" s="354"/>
      <c r="T175" s="354"/>
      <c r="U175" s="354"/>
      <c r="V175" s="354"/>
      <c r="W175" s="354"/>
      <c r="X175" s="354"/>
      <c r="Y175" s="354"/>
      <c r="Z175" s="354"/>
      <c r="AA175" s="354"/>
      <c r="AB175" s="354"/>
      <c r="AC175" s="354"/>
      <c r="AD175" s="354"/>
      <c r="AE175" s="354"/>
      <c r="AF175" s="354"/>
      <c r="AG175" s="354"/>
      <c r="AH175" s="354"/>
      <c r="AI175" s="354"/>
      <c r="AJ175" s="354"/>
      <c r="AK175" s="354"/>
      <c r="AL175" s="354"/>
    </row>
    <row r="176">
      <c r="A176" s="354"/>
      <c r="B176" s="354"/>
      <c r="C176" s="354"/>
      <c r="D176" s="354"/>
      <c r="E176" s="354"/>
      <c r="F176" s="354"/>
      <c r="G176" s="354"/>
      <c r="H176" s="354"/>
      <c r="I176" s="354"/>
      <c r="J176" s="354"/>
      <c r="K176" s="354"/>
      <c r="L176" s="354"/>
      <c r="M176" s="354"/>
      <c r="N176" s="354"/>
      <c r="O176" s="354"/>
      <c r="P176" s="354"/>
      <c r="Q176" s="354"/>
      <c r="R176" s="354"/>
      <c r="S176" s="354"/>
      <c r="T176" s="354"/>
      <c r="U176" s="354"/>
      <c r="V176" s="354"/>
      <c r="W176" s="354"/>
      <c r="X176" s="354"/>
      <c r="Y176" s="354"/>
      <c r="Z176" s="354"/>
      <c r="AA176" s="354"/>
      <c r="AB176" s="354"/>
      <c r="AC176" s="354"/>
      <c r="AD176" s="354"/>
      <c r="AE176" s="354"/>
      <c r="AF176" s="354"/>
      <c r="AG176" s="354"/>
      <c r="AH176" s="354"/>
      <c r="AI176" s="354"/>
      <c r="AJ176" s="354"/>
      <c r="AK176" s="354"/>
      <c r="AL176" s="354"/>
    </row>
    <row r="177">
      <c r="A177" s="354"/>
      <c r="B177" s="354"/>
      <c r="C177" s="354"/>
      <c r="D177" s="354"/>
      <c r="E177" s="354"/>
      <c r="F177" s="354"/>
      <c r="G177" s="354"/>
      <c r="H177" s="354"/>
      <c r="I177" s="354"/>
      <c r="J177" s="354"/>
      <c r="K177" s="354"/>
      <c r="L177" s="354"/>
      <c r="M177" s="354"/>
      <c r="N177" s="354"/>
      <c r="O177" s="354"/>
      <c r="P177" s="354"/>
      <c r="Q177" s="354"/>
      <c r="R177" s="354"/>
      <c r="S177" s="354"/>
      <c r="T177" s="354"/>
      <c r="U177" s="354"/>
      <c r="V177" s="354"/>
      <c r="W177" s="354"/>
      <c r="X177" s="354"/>
      <c r="Y177" s="354"/>
      <c r="Z177" s="354"/>
      <c r="AA177" s="354"/>
      <c r="AB177" s="354"/>
      <c r="AC177" s="354"/>
      <c r="AD177" s="354"/>
      <c r="AE177" s="354"/>
      <c r="AF177" s="354"/>
      <c r="AG177" s="354"/>
      <c r="AH177" s="354"/>
      <c r="AI177" s="354"/>
      <c r="AJ177" s="354"/>
      <c r="AK177" s="354"/>
      <c r="AL177" s="354"/>
    </row>
    <row r="178">
      <c r="A178" s="354"/>
      <c r="B178" s="354"/>
      <c r="C178" s="354"/>
      <c r="D178" s="354"/>
      <c r="E178" s="354"/>
      <c r="F178" s="354"/>
      <c r="G178" s="354"/>
      <c r="H178" s="354"/>
      <c r="I178" s="354"/>
      <c r="J178" s="354"/>
      <c r="K178" s="354"/>
      <c r="L178" s="354"/>
      <c r="M178" s="354"/>
      <c r="N178" s="354"/>
      <c r="O178" s="354"/>
      <c r="P178" s="354"/>
      <c r="Q178" s="354"/>
      <c r="R178" s="354"/>
      <c r="S178" s="354"/>
      <c r="T178" s="354"/>
      <c r="U178" s="354"/>
      <c r="V178" s="354"/>
      <c r="W178" s="354"/>
      <c r="X178" s="354"/>
      <c r="Y178" s="354"/>
      <c r="Z178" s="354"/>
      <c r="AA178" s="354"/>
      <c r="AB178" s="354"/>
      <c r="AC178" s="354"/>
      <c r="AD178" s="354"/>
      <c r="AE178" s="354"/>
      <c r="AF178" s="354"/>
      <c r="AG178" s="354"/>
      <c r="AH178" s="354"/>
      <c r="AI178" s="354"/>
      <c r="AJ178" s="354"/>
      <c r="AK178" s="354"/>
      <c r="AL178" s="354"/>
    </row>
    <row r="179">
      <c r="A179" s="354"/>
      <c r="B179" s="354"/>
      <c r="C179" s="354"/>
      <c r="D179" s="354"/>
      <c r="E179" s="354"/>
      <c r="F179" s="354"/>
      <c r="G179" s="354"/>
      <c r="H179" s="354"/>
      <c r="I179" s="354"/>
      <c r="J179" s="354"/>
      <c r="K179" s="354"/>
      <c r="L179" s="354"/>
      <c r="M179" s="354"/>
      <c r="N179" s="354"/>
      <c r="O179" s="354"/>
      <c r="P179" s="354"/>
      <c r="Q179" s="354"/>
      <c r="R179" s="354"/>
      <c r="S179" s="354"/>
      <c r="T179" s="354"/>
      <c r="U179" s="354"/>
      <c r="V179" s="354"/>
      <c r="W179" s="354"/>
      <c r="X179" s="354"/>
      <c r="Y179" s="354"/>
      <c r="Z179" s="354"/>
      <c r="AA179" s="354"/>
      <c r="AB179" s="354"/>
      <c r="AC179" s="354"/>
      <c r="AD179" s="354"/>
      <c r="AE179" s="354"/>
      <c r="AF179" s="354"/>
      <c r="AG179" s="354"/>
      <c r="AH179" s="354"/>
      <c r="AI179" s="354"/>
      <c r="AJ179" s="354"/>
      <c r="AK179" s="354"/>
      <c r="AL179" s="354"/>
    </row>
    <row r="180">
      <c r="A180" s="354"/>
      <c r="B180" s="354"/>
      <c r="C180" s="354"/>
      <c r="D180" s="354"/>
      <c r="E180" s="354"/>
      <c r="F180" s="354"/>
      <c r="G180" s="354"/>
      <c r="H180" s="354"/>
      <c r="I180" s="354"/>
      <c r="J180" s="354"/>
      <c r="K180" s="354"/>
      <c r="L180" s="354"/>
      <c r="M180" s="354"/>
      <c r="N180" s="354"/>
      <c r="O180" s="354"/>
      <c r="P180" s="354"/>
      <c r="Q180" s="354"/>
      <c r="R180" s="354"/>
      <c r="S180" s="354"/>
      <c r="T180" s="354"/>
      <c r="U180" s="354"/>
      <c r="V180" s="354"/>
      <c r="W180" s="354"/>
      <c r="X180" s="354"/>
      <c r="Y180" s="354"/>
      <c r="Z180" s="354"/>
      <c r="AA180" s="354"/>
      <c r="AB180" s="354"/>
      <c r="AC180" s="354"/>
      <c r="AD180" s="354"/>
      <c r="AE180" s="354"/>
      <c r="AF180" s="354"/>
      <c r="AG180" s="354"/>
      <c r="AH180" s="354"/>
      <c r="AI180" s="354"/>
      <c r="AJ180" s="354"/>
      <c r="AK180" s="354"/>
      <c r="AL180" s="354"/>
    </row>
    <row r="181">
      <c r="A181" s="354"/>
      <c r="B181" s="354"/>
      <c r="C181" s="354"/>
      <c r="D181" s="354"/>
      <c r="E181" s="354"/>
      <c r="F181" s="354"/>
      <c r="G181" s="354"/>
      <c r="H181" s="354"/>
      <c r="I181" s="354"/>
      <c r="J181" s="354"/>
      <c r="K181" s="354"/>
      <c r="L181" s="354"/>
      <c r="M181" s="354"/>
      <c r="N181" s="354"/>
      <c r="O181" s="354"/>
      <c r="P181" s="354"/>
      <c r="Q181" s="354"/>
      <c r="R181" s="354"/>
      <c r="S181" s="354"/>
      <c r="T181" s="354"/>
      <c r="U181" s="354"/>
      <c r="V181" s="354"/>
      <c r="W181" s="354"/>
      <c r="X181" s="354"/>
      <c r="Y181" s="354"/>
      <c r="Z181" s="354"/>
      <c r="AA181" s="354"/>
      <c r="AB181" s="354"/>
      <c r="AC181" s="354"/>
      <c r="AD181" s="354"/>
      <c r="AE181" s="354"/>
      <c r="AF181" s="354"/>
      <c r="AG181" s="354"/>
      <c r="AH181" s="354"/>
      <c r="AI181" s="354"/>
      <c r="AJ181" s="354"/>
      <c r="AK181" s="354"/>
      <c r="AL181" s="354"/>
    </row>
    <row r="182">
      <c r="A182" s="354"/>
      <c r="B182" s="354"/>
      <c r="C182" s="354"/>
      <c r="D182" s="354"/>
      <c r="E182" s="354"/>
      <c r="F182" s="354"/>
      <c r="G182" s="354"/>
      <c r="H182" s="354"/>
      <c r="I182" s="354"/>
      <c r="J182" s="354"/>
      <c r="K182" s="354"/>
      <c r="L182" s="354"/>
      <c r="M182" s="354"/>
      <c r="N182" s="354"/>
      <c r="O182" s="354"/>
      <c r="P182" s="354"/>
      <c r="Q182" s="354"/>
      <c r="R182" s="354"/>
      <c r="S182" s="354"/>
      <c r="T182" s="354"/>
      <c r="U182" s="354"/>
      <c r="V182" s="354"/>
      <c r="W182" s="354"/>
      <c r="X182" s="354"/>
      <c r="Y182" s="354"/>
      <c r="Z182" s="354"/>
      <c r="AA182" s="354"/>
      <c r="AB182" s="354"/>
      <c r="AC182" s="354"/>
      <c r="AD182" s="354"/>
      <c r="AE182" s="354"/>
      <c r="AF182" s="354"/>
      <c r="AG182" s="354"/>
      <c r="AH182" s="354"/>
      <c r="AI182" s="354"/>
      <c r="AJ182" s="354"/>
      <c r="AK182" s="354"/>
      <c r="AL182" s="354"/>
    </row>
    <row r="183">
      <c r="A183" s="354"/>
      <c r="B183" s="354"/>
      <c r="C183" s="354"/>
      <c r="D183" s="354"/>
      <c r="E183" s="354"/>
      <c r="F183" s="354"/>
      <c r="G183" s="354"/>
      <c r="H183" s="354"/>
      <c r="I183" s="354"/>
      <c r="J183" s="354"/>
      <c r="K183" s="354"/>
      <c r="L183" s="354"/>
      <c r="M183" s="354"/>
      <c r="N183" s="354"/>
      <c r="O183" s="354"/>
      <c r="P183" s="354"/>
      <c r="Q183" s="354"/>
      <c r="R183" s="354"/>
      <c r="S183" s="354"/>
      <c r="T183" s="354"/>
      <c r="U183" s="354"/>
      <c r="V183" s="354"/>
      <c r="W183" s="354"/>
      <c r="X183" s="354"/>
      <c r="Y183" s="354"/>
      <c r="Z183" s="354"/>
      <c r="AA183" s="354"/>
      <c r="AB183" s="354"/>
      <c r="AC183" s="354"/>
      <c r="AD183" s="354"/>
      <c r="AE183" s="354"/>
      <c r="AF183" s="354"/>
      <c r="AG183" s="354"/>
      <c r="AH183" s="354"/>
      <c r="AI183" s="354"/>
      <c r="AJ183" s="354"/>
      <c r="AK183" s="354"/>
      <c r="AL183" s="354"/>
    </row>
    <row r="184">
      <c r="A184" s="354"/>
      <c r="B184" s="354"/>
      <c r="C184" s="354"/>
      <c r="D184" s="354"/>
      <c r="E184" s="354"/>
      <c r="F184" s="354"/>
      <c r="G184" s="354"/>
      <c r="H184" s="354"/>
      <c r="I184" s="354"/>
      <c r="J184" s="354"/>
      <c r="K184" s="354"/>
      <c r="L184" s="354"/>
      <c r="M184" s="354"/>
      <c r="N184" s="354"/>
      <c r="O184" s="354"/>
      <c r="P184" s="354"/>
      <c r="Q184" s="354"/>
      <c r="R184" s="354"/>
      <c r="S184" s="354"/>
      <c r="T184" s="354"/>
      <c r="U184" s="354"/>
      <c r="V184" s="354"/>
      <c r="W184" s="354"/>
      <c r="X184" s="354"/>
      <c r="Y184" s="354"/>
      <c r="Z184" s="354"/>
      <c r="AA184" s="354"/>
      <c r="AB184" s="354"/>
      <c r="AC184" s="354"/>
      <c r="AD184" s="354"/>
      <c r="AE184" s="354"/>
      <c r="AF184" s="354"/>
      <c r="AG184" s="354"/>
      <c r="AH184" s="354"/>
      <c r="AI184" s="354"/>
      <c r="AJ184" s="354"/>
      <c r="AK184" s="354"/>
      <c r="AL184" s="354"/>
    </row>
    <row r="185">
      <c r="A185" s="354"/>
      <c r="B185" s="354"/>
      <c r="C185" s="354"/>
      <c r="D185" s="354"/>
      <c r="E185" s="354"/>
      <c r="F185" s="354"/>
      <c r="G185" s="354"/>
      <c r="H185" s="354"/>
      <c r="I185" s="354"/>
      <c r="J185" s="354"/>
      <c r="K185" s="354"/>
      <c r="L185" s="354"/>
      <c r="M185" s="354"/>
      <c r="N185" s="354"/>
      <c r="O185" s="354"/>
      <c r="P185" s="354"/>
      <c r="Q185" s="354"/>
      <c r="R185" s="354"/>
      <c r="S185" s="354"/>
      <c r="T185" s="354"/>
      <c r="U185" s="354"/>
      <c r="V185" s="354"/>
      <c r="W185" s="354"/>
      <c r="X185" s="354"/>
      <c r="Y185" s="354"/>
      <c r="Z185" s="354"/>
      <c r="AA185" s="354"/>
      <c r="AB185" s="354"/>
      <c r="AC185" s="354"/>
      <c r="AD185" s="354"/>
      <c r="AE185" s="354"/>
      <c r="AF185" s="354"/>
      <c r="AG185" s="354"/>
      <c r="AH185" s="354"/>
      <c r="AI185" s="354"/>
      <c r="AJ185" s="354"/>
      <c r="AK185" s="354"/>
      <c r="AL185" s="354"/>
    </row>
    <row r="186">
      <c r="A186" s="354"/>
      <c r="B186" s="354"/>
      <c r="C186" s="354"/>
      <c r="D186" s="354"/>
      <c r="E186" s="354"/>
      <c r="F186" s="354"/>
      <c r="G186" s="354"/>
      <c r="H186" s="354"/>
      <c r="I186" s="354"/>
      <c r="J186" s="354"/>
      <c r="K186" s="354"/>
      <c r="L186" s="354"/>
      <c r="M186" s="354"/>
      <c r="N186" s="354"/>
      <c r="O186" s="354"/>
      <c r="P186" s="354"/>
      <c r="Q186" s="354"/>
      <c r="R186" s="354"/>
      <c r="S186" s="354"/>
      <c r="T186" s="354"/>
      <c r="U186" s="354"/>
      <c r="V186" s="354"/>
      <c r="W186" s="354"/>
      <c r="X186" s="354"/>
      <c r="Y186" s="354"/>
      <c r="Z186" s="354"/>
      <c r="AA186" s="354"/>
      <c r="AB186" s="354"/>
      <c r="AC186" s="354"/>
      <c r="AD186" s="354"/>
      <c r="AE186" s="354"/>
      <c r="AF186" s="354"/>
      <c r="AG186" s="354"/>
      <c r="AH186" s="354"/>
      <c r="AI186" s="354"/>
      <c r="AJ186" s="354"/>
      <c r="AK186" s="354"/>
      <c r="AL186" s="354"/>
    </row>
    <row r="187">
      <c r="A187" s="354"/>
      <c r="B187" s="354"/>
      <c r="C187" s="354"/>
      <c r="D187" s="354"/>
      <c r="E187" s="354"/>
      <c r="F187" s="354"/>
      <c r="G187" s="354"/>
      <c r="H187" s="354"/>
      <c r="I187" s="354"/>
      <c r="J187" s="354"/>
      <c r="K187" s="354"/>
      <c r="L187" s="354"/>
      <c r="M187" s="354"/>
      <c r="N187" s="354"/>
      <c r="O187" s="354"/>
      <c r="P187" s="354"/>
      <c r="Q187" s="354"/>
      <c r="R187" s="354"/>
      <c r="S187" s="354"/>
      <c r="T187" s="354"/>
      <c r="U187" s="354"/>
      <c r="V187" s="354"/>
      <c r="W187" s="354"/>
      <c r="X187" s="354"/>
      <c r="Y187" s="354"/>
      <c r="Z187" s="354"/>
      <c r="AA187" s="354"/>
      <c r="AB187" s="354"/>
      <c r="AC187" s="354"/>
      <c r="AD187" s="354"/>
      <c r="AE187" s="354"/>
      <c r="AF187" s="354"/>
      <c r="AG187" s="354"/>
      <c r="AH187" s="354"/>
      <c r="AI187" s="354"/>
      <c r="AJ187" s="354"/>
      <c r="AK187" s="354"/>
      <c r="AL187" s="354"/>
    </row>
    <row r="188">
      <c r="A188" s="354"/>
      <c r="B188" s="354"/>
      <c r="C188" s="354"/>
      <c r="D188" s="354"/>
      <c r="E188" s="354"/>
      <c r="F188" s="354"/>
      <c r="G188" s="354"/>
      <c r="H188" s="354"/>
      <c r="I188" s="354"/>
      <c r="J188" s="354"/>
      <c r="K188" s="354"/>
      <c r="L188" s="354"/>
      <c r="M188" s="354"/>
      <c r="N188" s="354"/>
      <c r="O188" s="354"/>
      <c r="P188" s="354"/>
      <c r="Q188" s="354"/>
      <c r="R188" s="354"/>
      <c r="S188" s="354"/>
      <c r="T188" s="354"/>
      <c r="U188" s="354"/>
      <c r="V188" s="354"/>
      <c r="W188" s="354"/>
      <c r="X188" s="354"/>
      <c r="Y188" s="354"/>
      <c r="Z188" s="354"/>
      <c r="AA188" s="354"/>
      <c r="AB188" s="354"/>
      <c r="AC188" s="354"/>
      <c r="AD188" s="354"/>
      <c r="AE188" s="354"/>
      <c r="AF188" s="354"/>
      <c r="AG188" s="354"/>
      <c r="AH188" s="354"/>
      <c r="AI188" s="354"/>
      <c r="AJ188" s="354"/>
      <c r="AK188" s="354"/>
      <c r="AL188" s="354"/>
    </row>
    <row r="189">
      <c r="A189" s="354"/>
      <c r="B189" s="354"/>
      <c r="C189" s="354"/>
      <c r="D189" s="354"/>
      <c r="E189" s="354"/>
      <c r="F189" s="354"/>
      <c r="G189" s="354"/>
      <c r="H189" s="354"/>
      <c r="I189" s="354"/>
      <c r="J189" s="354"/>
      <c r="K189" s="354"/>
      <c r="L189" s="354"/>
      <c r="M189" s="354"/>
      <c r="N189" s="354"/>
      <c r="O189" s="354"/>
      <c r="P189" s="354"/>
      <c r="Q189" s="354"/>
      <c r="R189" s="354"/>
      <c r="S189" s="354"/>
      <c r="T189" s="354"/>
      <c r="U189" s="354"/>
      <c r="V189" s="354"/>
      <c r="W189" s="354"/>
      <c r="X189" s="354"/>
      <c r="Y189" s="354"/>
      <c r="Z189" s="354"/>
      <c r="AA189" s="354"/>
      <c r="AB189" s="354"/>
      <c r="AC189" s="354"/>
      <c r="AD189" s="354"/>
      <c r="AE189" s="354"/>
      <c r="AF189" s="354"/>
      <c r="AG189" s="354"/>
      <c r="AH189" s="354"/>
      <c r="AI189" s="354"/>
      <c r="AJ189" s="354"/>
      <c r="AK189" s="354"/>
      <c r="AL189" s="354"/>
    </row>
    <row r="190">
      <c r="A190" s="354"/>
      <c r="B190" s="354"/>
      <c r="C190" s="354"/>
      <c r="D190" s="354"/>
      <c r="E190" s="354"/>
      <c r="F190" s="354"/>
      <c r="G190" s="354"/>
      <c r="H190" s="354"/>
      <c r="I190" s="354"/>
      <c r="J190" s="354"/>
      <c r="K190" s="354"/>
      <c r="L190" s="354"/>
      <c r="M190" s="354"/>
      <c r="N190" s="354"/>
      <c r="O190" s="354"/>
      <c r="P190" s="354"/>
      <c r="Q190" s="354"/>
      <c r="R190" s="354"/>
      <c r="S190" s="354"/>
      <c r="T190" s="354"/>
      <c r="U190" s="354"/>
      <c r="V190" s="354"/>
      <c r="W190" s="354"/>
      <c r="X190" s="354"/>
      <c r="Y190" s="354"/>
      <c r="Z190" s="354"/>
      <c r="AA190" s="354"/>
      <c r="AB190" s="354"/>
      <c r="AC190" s="354"/>
      <c r="AD190" s="354"/>
      <c r="AE190" s="354"/>
      <c r="AF190" s="354"/>
      <c r="AG190" s="354"/>
      <c r="AH190" s="354"/>
      <c r="AI190" s="354"/>
      <c r="AJ190" s="354"/>
      <c r="AK190" s="354"/>
      <c r="AL190" s="354"/>
    </row>
    <row r="191">
      <c r="A191" s="354"/>
      <c r="B191" s="354"/>
      <c r="C191" s="354"/>
      <c r="D191" s="354"/>
      <c r="E191" s="354"/>
      <c r="F191" s="354"/>
      <c r="G191" s="354"/>
      <c r="H191" s="354"/>
      <c r="I191" s="354"/>
      <c r="J191" s="354"/>
      <c r="K191" s="354"/>
      <c r="L191" s="354"/>
      <c r="M191" s="354"/>
      <c r="N191" s="354"/>
      <c r="O191" s="354"/>
      <c r="P191" s="354"/>
      <c r="Q191" s="354"/>
      <c r="R191" s="354"/>
      <c r="S191" s="354"/>
      <c r="T191" s="354"/>
      <c r="U191" s="354"/>
      <c r="V191" s="354"/>
      <c r="W191" s="354"/>
      <c r="X191" s="354"/>
      <c r="Y191" s="354"/>
      <c r="Z191" s="354"/>
      <c r="AA191" s="354"/>
      <c r="AB191" s="354"/>
      <c r="AC191" s="354"/>
      <c r="AD191" s="354"/>
      <c r="AE191" s="354"/>
      <c r="AF191" s="354"/>
      <c r="AG191" s="354"/>
      <c r="AH191" s="354"/>
      <c r="AI191" s="354"/>
      <c r="AJ191" s="354"/>
      <c r="AK191" s="354"/>
      <c r="AL191" s="354"/>
    </row>
    <row r="192">
      <c r="A192" s="354"/>
      <c r="B192" s="354"/>
      <c r="C192" s="354"/>
      <c r="D192" s="354"/>
      <c r="E192" s="354"/>
      <c r="F192" s="354"/>
      <c r="G192" s="354"/>
      <c r="H192" s="354"/>
      <c r="I192" s="354"/>
      <c r="J192" s="354"/>
      <c r="K192" s="354"/>
      <c r="L192" s="354"/>
      <c r="M192" s="354"/>
      <c r="N192" s="354"/>
      <c r="O192" s="354"/>
      <c r="P192" s="354"/>
      <c r="Q192" s="354"/>
      <c r="R192" s="354"/>
      <c r="S192" s="354"/>
      <c r="T192" s="354"/>
      <c r="U192" s="354"/>
      <c r="V192" s="354"/>
      <c r="W192" s="354"/>
      <c r="X192" s="354"/>
      <c r="Y192" s="354"/>
      <c r="Z192" s="354"/>
      <c r="AA192" s="354"/>
      <c r="AB192" s="354"/>
      <c r="AC192" s="354"/>
      <c r="AD192" s="354"/>
      <c r="AE192" s="354"/>
      <c r="AF192" s="354"/>
      <c r="AG192" s="354"/>
      <c r="AH192" s="354"/>
      <c r="AI192" s="354"/>
      <c r="AJ192" s="354"/>
      <c r="AK192" s="354"/>
      <c r="AL192" s="354"/>
    </row>
    <row r="193">
      <c r="A193" s="354"/>
      <c r="B193" s="354"/>
      <c r="C193" s="354"/>
      <c r="D193" s="354"/>
      <c r="E193" s="354"/>
      <c r="F193" s="354"/>
      <c r="G193" s="354"/>
      <c r="H193" s="354"/>
      <c r="I193" s="354"/>
      <c r="J193" s="354"/>
      <c r="K193" s="354"/>
      <c r="L193" s="354"/>
      <c r="M193" s="354"/>
      <c r="N193" s="354"/>
      <c r="O193" s="354"/>
      <c r="P193" s="354"/>
      <c r="Q193" s="354"/>
      <c r="R193" s="354"/>
      <c r="S193" s="354"/>
      <c r="T193" s="354"/>
      <c r="U193" s="354"/>
      <c r="V193" s="354"/>
      <c r="W193" s="354"/>
      <c r="X193" s="354"/>
      <c r="Y193" s="354"/>
      <c r="Z193" s="354"/>
      <c r="AA193" s="354"/>
      <c r="AB193" s="354"/>
      <c r="AC193" s="354"/>
      <c r="AD193" s="354"/>
      <c r="AE193" s="354"/>
      <c r="AF193" s="354"/>
      <c r="AG193" s="354"/>
      <c r="AH193" s="354"/>
      <c r="AI193" s="354"/>
      <c r="AJ193" s="354"/>
      <c r="AK193" s="354"/>
      <c r="AL193" s="354"/>
    </row>
    <row r="194">
      <c r="A194" s="354"/>
      <c r="B194" s="354"/>
      <c r="C194" s="354"/>
      <c r="D194" s="354"/>
      <c r="E194" s="354"/>
      <c r="F194" s="354"/>
      <c r="G194" s="354"/>
      <c r="H194" s="354"/>
      <c r="I194" s="354"/>
      <c r="J194" s="354"/>
      <c r="K194" s="354"/>
      <c r="L194" s="354"/>
      <c r="M194" s="354"/>
      <c r="N194" s="354"/>
      <c r="O194" s="354"/>
      <c r="P194" s="354"/>
      <c r="Q194" s="354"/>
      <c r="R194" s="354"/>
      <c r="S194" s="354"/>
      <c r="T194" s="354"/>
      <c r="U194" s="354"/>
      <c r="V194" s="354"/>
      <c r="W194" s="354"/>
      <c r="X194" s="354"/>
      <c r="Y194" s="354"/>
      <c r="Z194" s="354"/>
      <c r="AA194" s="354"/>
      <c r="AB194" s="354"/>
      <c r="AC194" s="354"/>
      <c r="AD194" s="354"/>
      <c r="AE194" s="354"/>
      <c r="AF194" s="354"/>
      <c r="AG194" s="354"/>
      <c r="AH194" s="354"/>
      <c r="AI194" s="354"/>
      <c r="AJ194" s="354"/>
      <c r="AK194" s="354"/>
      <c r="AL194" s="354"/>
    </row>
    <row r="195">
      <c r="A195" s="354"/>
      <c r="B195" s="354"/>
      <c r="C195" s="354"/>
      <c r="D195" s="354"/>
      <c r="E195" s="354"/>
      <c r="F195" s="354"/>
      <c r="G195" s="354"/>
      <c r="H195" s="354"/>
      <c r="I195" s="354"/>
      <c r="J195" s="354"/>
      <c r="K195" s="354"/>
      <c r="L195" s="354"/>
      <c r="M195" s="354"/>
      <c r="N195" s="354"/>
      <c r="O195" s="354"/>
      <c r="P195" s="354"/>
      <c r="Q195" s="354"/>
      <c r="R195" s="354"/>
      <c r="S195" s="354"/>
      <c r="T195" s="354"/>
      <c r="U195" s="354"/>
      <c r="V195" s="354"/>
      <c r="W195" s="354"/>
      <c r="X195" s="354"/>
      <c r="Y195" s="354"/>
      <c r="Z195" s="354"/>
      <c r="AA195" s="354"/>
      <c r="AB195" s="354"/>
      <c r="AC195" s="354"/>
      <c r="AD195" s="354"/>
      <c r="AE195" s="354"/>
      <c r="AF195" s="354"/>
      <c r="AG195" s="354"/>
      <c r="AH195" s="354"/>
      <c r="AI195" s="354"/>
      <c r="AJ195" s="354"/>
      <c r="AK195" s="354"/>
      <c r="AL195" s="354"/>
    </row>
    <row r="196">
      <c r="A196" s="354"/>
      <c r="B196" s="354"/>
      <c r="C196" s="354"/>
      <c r="D196" s="354"/>
      <c r="E196" s="354"/>
      <c r="F196" s="354"/>
      <c r="G196" s="354"/>
      <c r="H196" s="354"/>
      <c r="I196" s="354"/>
      <c r="J196" s="354"/>
      <c r="K196" s="354"/>
      <c r="L196" s="354"/>
      <c r="M196" s="354"/>
      <c r="N196" s="354"/>
      <c r="O196" s="354"/>
      <c r="P196" s="354"/>
      <c r="Q196" s="354"/>
      <c r="R196" s="354"/>
      <c r="S196" s="354"/>
      <c r="T196" s="354"/>
      <c r="U196" s="354"/>
      <c r="V196" s="354"/>
      <c r="W196" s="354"/>
      <c r="X196" s="354"/>
      <c r="Y196" s="354"/>
      <c r="Z196" s="354"/>
      <c r="AA196" s="354"/>
      <c r="AB196" s="354"/>
      <c r="AC196" s="354"/>
      <c r="AD196" s="354"/>
      <c r="AE196" s="354"/>
      <c r="AF196" s="354"/>
      <c r="AG196" s="354"/>
      <c r="AH196" s="354"/>
      <c r="AI196" s="354"/>
      <c r="AJ196" s="354"/>
      <c r="AK196" s="354"/>
      <c r="AL196" s="354"/>
    </row>
    <row r="197">
      <c r="A197" s="354"/>
      <c r="B197" s="354"/>
      <c r="C197" s="354"/>
      <c r="D197" s="354"/>
      <c r="E197" s="354"/>
      <c r="F197" s="354"/>
      <c r="G197" s="354"/>
      <c r="H197" s="354"/>
      <c r="I197" s="354"/>
      <c r="J197" s="354"/>
      <c r="K197" s="354"/>
      <c r="L197" s="354"/>
      <c r="M197" s="354"/>
      <c r="N197" s="354"/>
      <c r="O197" s="354"/>
      <c r="P197" s="354"/>
      <c r="Q197" s="354"/>
      <c r="R197" s="354"/>
      <c r="S197" s="354"/>
      <c r="T197" s="354"/>
      <c r="U197" s="354"/>
      <c r="V197" s="354"/>
      <c r="W197" s="354"/>
      <c r="X197" s="354"/>
      <c r="Y197" s="354"/>
      <c r="Z197" s="354"/>
      <c r="AA197" s="354"/>
      <c r="AB197" s="354"/>
      <c r="AC197" s="354"/>
      <c r="AD197" s="354"/>
      <c r="AE197" s="354"/>
      <c r="AF197" s="354"/>
      <c r="AG197" s="354"/>
      <c r="AH197" s="354"/>
      <c r="AI197" s="354"/>
      <c r="AJ197" s="354"/>
      <c r="AK197" s="354"/>
      <c r="AL197" s="354"/>
    </row>
    <row r="198">
      <c r="A198" s="354"/>
      <c r="B198" s="354"/>
      <c r="C198" s="354"/>
      <c r="D198" s="354"/>
      <c r="E198" s="354"/>
      <c r="F198" s="354"/>
      <c r="G198" s="354"/>
      <c r="H198" s="354"/>
      <c r="I198" s="354"/>
      <c r="J198" s="354"/>
      <c r="K198" s="354"/>
      <c r="L198" s="354"/>
      <c r="M198" s="354"/>
      <c r="N198" s="354"/>
      <c r="O198" s="354"/>
      <c r="P198" s="354"/>
      <c r="Q198" s="354"/>
      <c r="R198" s="354"/>
      <c r="S198" s="354"/>
      <c r="T198" s="354"/>
      <c r="U198" s="354"/>
      <c r="V198" s="354"/>
      <c r="W198" s="354"/>
      <c r="X198" s="354"/>
      <c r="Y198" s="354"/>
      <c r="Z198" s="354"/>
      <c r="AA198" s="354"/>
      <c r="AB198" s="354"/>
      <c r="AC198" s="354"/>
      <c r="AD198" s="354"/>
      <c r="AE198" s="354"/>
      <c r="AF198" s="354"/>
      <c r="AG198" s="354"/>
      <c r="AH198" s="354"/>
      <c r="AI198" s="354"/>
      <c r="AJ198" s="354"/>
      <c r="AK198" s="354"/>
      <c r="AL198" s="354"/>
    </row>
    <row r="199">
      <c r="A199" s="354"/>
      <c r="B199" s="354"/>
      <c r="C199" s="354"/>
      <c r="D199" s="354"/>
      <c r="E199" s="354"/>
      <c r="F199" s="354"/>
      <c r="G199" s="354"/>
      <c r="H199" s="354"/>
      <c r="I199" s="354"/>
      <c r="J199" s="354"/>
      <c r="K199" s="354"/>
      <c r="L199" s="354"/>
      <c r="M199" s="354"/>
      <c r="N199" s="354"/>
      <c r="O199" s="354"/>
      <c r="P199" s="354"/>
      <c r="Q199" s="354"/>
      <c r="R199" s="354"/>
      <c r="S199" s="354"/>
      <c r="T199" s="354"/>
      <c r="U199" s="354"/>
      <c r="V199" s="354"/>
      <c r="W199" s="354"/>
      <c r="X199" s="354"/>
      <c r="Y199" s="354"/>
      <c r="Z199" s="354"/>
      <c r="AA199" s="354"/>
      <c r="AB199" s="354"/>
      <c r="AC199" s="354"/>
      <c r="AD199" s="354"/>
      <c r="AE199" s="354"/>
      <c r="AF199" s="354"/>
      <c r="AG199" s="354"/>
      <c r="AH199" s="354"/>
      <c r="AI199" s="354"/>
      <c r="AJ199" s="354"/>
      <c r="AK199" s="354"/>
      <c r="AL199" s="354"/>
    </row>
    <row r="200">
      <c r="A200" s="354"/>
      <c r="B200" s="354"/>
      <c r="C200" s="354"/>
      <c r="D200" s="354"/>
      <c r="E200" s="354"/>
      <c r="F200" s="354"/>
      <c r="G200" s="354"/>
      <c r="H200" s="354"/>
      <c r="I200" s="354"/>
      <c r="J200" s="354"/>
      <c r="K200" s="354"/>
      <c r="L200" s="354"/>
      <c r="M200" s="354"/>
      <c r="N200" s="354"/>
      <c r="O200" s="354"/>
      <c r="P200" s="354"/>
      <c r="Q200" s="354"/>
      <c r="R200" s="354"/>
      <c r="S200" s="354"/>
      <c r="T200" s="354"/>
      <c r="U200" s="354"/>
      <c r="V200" s="354"/>
      <c r="W200" s="354"/>
      <c r="X200" s="354"/>
      <c r="Y200" s="354"/>
      <c r="Z200" s="354"/>
      <c r="AA200" s="354"/>
      <c r="AB200" s="354"/>
      <c r="AC200" s="354"/>
      <c r="AD200" s="354"/>
      <c r="AE200" s="354"/>
      <c r="AF200" s="354"/>
      <c r="AG200" s="354"/>
      <c r="AH200" s="354"/>
      <c r="AI200" s="354"/>
      <c r="AJ200" s="354"/>
      <c r="AK200" s="354"/>
      <c r="AL200" s="354"/>
    </row>
  </sheetData>
  <mergeCells>
    <mergeCell ref="C1:D1"/>
    <mergeCell ref="E1:F1"/>
    <mergeCell ref="G1:H1"/>
    <mergeCell ref="I1:J1"/>
    <mergeCell ref="K1:L1"/>
    <mergeCell ref="M1:N1"/>
    <mergeCell ref="O1:P1"/>
    <mergeCell ref="Q1:R1"/>
    <mergeCell ref="S1:T1"/>
    <mergeCell ref="U1:V1"/>
    <mergeCell ref="W1:X1"/>
    <mergeCell ref="Y1:Z1"/>
    <mergeCell ref="AA1:AB1"/>
    <mergeCell ref="AC1:AD1"/>
    <mergeCell ref="AE1:AF1"/>
    <mergeCell ref="AG1:AH1"/>
    <mergeCell ref="AI1:AJ1"/>
    <mergeCell ref="AK1:AL1"/>
    <mergeCell ref="C14:D14"/>
    <mergeCell ref="E14:F14"/>
    <mergeCell ref="G14:H14"/>
    <mergeCell ref="I14:J14"/>
    <mergeCell ref="K14:L14"/>
    <mergeCell ref="M14:N14"/>
    <mergeCell ref="O14:P14"/>
    <mergeCell ref="Q14:R14"/>
    <mergeCell ref="S14:T14"/>
    <mergeCell ref="U14:V14"/>
    <mergeCell ref="W14:X14"/>
    <mergeCell ref="Y14:Z14"/>
    <mergeCell ref="AA14:AB14"/>
    <mergeCell ref="AC14:AD14"/>
    <mergeCell ref="AE14:AF14"/>
    <mergeCell ref="AG14:AH14"/>
    <mergeCell ref="AI14:AJ14"/>
    <mergeCell ref="AK14:AL14"/>
    <mergeCell ref="C27:D27"/>
    <mergeCell ref="E27:F27"/>
    <mergeCell ref="G27:H27"/>
    <mergeCell ref="I27:J27"/>
    <mergeCell ref="K27:L27"/>
    <mergeCell ref="M27:N27"/>
    <mergeCell ref="O27:P27"/>
    <mergeCell ref="Q27:R27"/>
    <mergeCell ref="S27:T27"/>
    <mergeCell ref="U27:V27"/>
    <mergeCell ref="W27:X27"/>
    <mergeCell ref="Y27:Z27"/>
    <mergeCell ref="AA27:AB27"/>
    <mergeCell ref="AC27:AD27"/>
    <mergeCell ref="AE27:AF27"/>
    <mergeCell ref="AG27:AH27"/>
  </mergeCells>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341" t="str">
        <v>序号</v>
      </c>
      <c r="B1" s="348" t="str">
        <v>pic</v>
      </c>
      <c r="C1" s="348" t="str">
        <v>asin</v>
      </c>
      <c r="D1" s="348" t="str">
        <v>类目</v>
      </c>
      <c r="E1" s="368">
        <v>46093</v>
      </c>
      <c r="F1" s="368">
        <v>46094</v>
      </c>
      <c r="G1" s="348">
        <v>46095</v>
      </c>
      <c r="H1" s="368">
        <v>46096</v>
      </c>
      <c r="I1" s="368">
        <v>46097</v>
      </c>
      <c r="J1" s="368">
        <v>46098</v>
      </c>
      <c r="K1" s="368">
        <v>46099</v>
      </c>
      <c r="L1" s="368">
        <v>46100</v>
      </c>
      <c r="M1" s="368">
        <v>46101</v>
      </c>
      <c r="N1" s="368">
        <v>46102</v>
      </c>
      <c r="O1" s="368">
        <v>46103</v>
      </c>
      <c r="P1" s="368">
        <v>46104</v>
      </c>
      <c r="Q1" s="368">
        <v>46105</v>
      </c>
      <c r="R1" s="368">
        <v>46106</v>
      </c>
      <c r="S1" s="368">
        <v>46107</v>
      </c>
      <c r="T1" s="368">
        <v>46108</v>
      </c>
      <c r="U1" s="368">
        <v>46109</v>
      </c>
      <c r="V1" s="368">
        <v>46110</v>
      </c>
      <c r="W1" s="368">
        <v>46111</v>
      </c>
      <c r="X1" s="368">
        <v>46112</v>
      </c>
      <c r="Y1" s="339"/>
      <c r="Z1" s="339"/>
      <c r="AA1" s="339"/>
    </row>
    <row r="2">
      <c r="A2" s="341">
        <v>1</v>
      </c>
      <c r="B2" s="339"/>
      <c r="C2" s="348"/>
      <c r="D2" s="348" t="str">
        <v>大类</v>
      </c>
      <c r="E2" s="348"/>
      <c r="F2" s="348"/>
      <c r="G2" s="348"/>
      <c r="H2" s="351"/>
      <c r="I2" s="351"/>
      <c r="J2" s="339"/>
      <c r="K2" s="351"/>
      <c r="L2" s="351"/>
      <c r="M2" s="351"/>
      <c r="N2" s="351"/>
      <c r="O2" s="351"/>
      <c r="P2" s="339"/>
      <c r="Q2" s="339"/>
      <c r="R2" s="339"/>
      <c r="S2" s="339"/>
      <c r="T2" s="339"/>
      <c r="U2" s="339"/>
      <c r="V2" s="339"/>
      <c r="W2" s="339"/>
      <c r="X2" s="339"/>
      <c r="Y2" s="339"/>
      <c r="Z2" s="339"/>
      <c r="AA2" s="339"/>
    </row>
    <row r="3">
      <c r="A3" s="341"/>
      <c r="B3" s="339"/>
      <c r="C3" s="348"/>
      <c r="D3" s="348" t="str">
        <v>小类</v>
      </c>
      <c r="E3" s="348"/>
      <c r="F3" s="348"/>
      <c r="G3" s="348"/>
      <c r="H3" s="351"/>
      <c r="I3" s="351"/>
      <c r="J3" s="339"/>
      <c r="K3" s="351"/>
      <c r="L3" s="351"/>
      <c r="M3" s="351"/>
      <c r="N3" s="351"/>
      <c r="O3" s="351"/>
      <c r="P3" s="339"/>
      <c r="Q3" s="339"/>
      <c r="R3" s="339"/>
      <c r="S3" s="339"/>
      <c r="T3" s="339"/>
      <c r="U3" s="339"/>
      <c r="V3" s="339"/>
      <c r="W3" s="339"/>
      <c r="X3" s="339"/>
      <c r="Y3" s="339"/>
      <c r="Z3" s="339"/>
      <c r="AA3" s="339"/>
    </row>
    <row r="4">
      <c r="A4" s="341"/>
      <c r="B4" s="339"/>
      <c r="C4" s="348"/>
      <c r="D4" s="348" t="str">
        <v>rating数</v>
      </c>
      <c r="E4" s="348"/>
      <c r="F4" s="348"/>
      <c r="G4" s="348"/>
      <c r="H4" s="351"/>
      <c r="I4" s="351"/>
      <c r="J4" s="339"/>
      <c r="K4" s="351"/>
      <c r="L4" s="351"/>
      <c r="M4" s="351"/>
      <c r="N4" s="351"/>
      <c r="O4" s="351"/>
      <c r="P4" s="339"/>
      <c r="Q4" s="339"/>
      <c r="R4" s="339"/>
      <c r="S4" s="339"/>
      <c r="T4" s="339"/>
      <c r="U4" s="339"/>
      <c r="V4" s="339"/>
      <c r="W4" s="339"/>
      <c r="X4" s="339"/>
      <c r="Y4" s="339"/>
      <c r="Z4" s="339"/>
      <c r="AA4" s="339"/>
    </row>
    <row r="5">
      <c r="A5" s="341"/>
      <c r="B5" s="339"/>
      <c r="C5" s="348"/>
      <c r="D5" s="348" t="str">
        <v>review分</v>
      </c>
      <c r="E5" s="348"/>
      <c r="F5" s="348"/>
      <c r="G5" s="348"/>
      <c r="H5" s="351"/>
      <c r="I5" s="351"/>
      <c r="J5" s="339"/>
      <c r="K5" s="351"/>
      <c r="L5" s="351"/>
      <c r="M5" s="351"/>
      <c r="N5" s="351"/>
      <c r="O5" s="351"/>
      <c r="P5" s="339"/>
      <c r="Q5" s="339"/>
      <c r="R5" s="339"/>
      <c r="S5" s="339"/>
      <c r="T5" s="339"/>
      <c r="U5" s="339"/>
      <c r="V5" s="339"/>
      <c r="W5" s="339"/>
      <c r="X5" s="339"/>
      <c r="Y5" s="339"/>
      <c r="Z5" s="339"/>
      <c r="AA5" s="339"/>
    </row>
    <row r="6">
      <c r="A6" s="341"/>
      <c r="B6" s="339"/>
      <c r="C6" s="348"/>
      <c r="D6" s="348" t="str">
        <v>售价</v>
      </c>
      <c r="E6" s="348"/>
      <c r="F6" s="348"/>
      <c r="G6" s="348"/>
      <c r="H6" s="348"/>
      <c r="I6" s="351"/>
      <c r="J6" s="339"/>
      <c r="K6" s="351"/>
      <c r="L6" s="351"/>
      <c r="M6" s="351"/>
      <c r="N6" s="351"/>
      <c r="O6" s="351"/>
      <c r="P6" s="339"/>
      <c r="Q6" s="339"/>
      <c r="R6" s="339"/>
      <c r="S6" s="339"/>
      <c r="T6" s="339"/>
      <c r="U6" s="339"/>
      <c r="V6" s="339"/>
      <c r="W6" s="339"/>
      <c r="X6" s="339"/>
      <c r="Y6" s="339"/>
      <c r="Z6" s="339"/>
      <c r="AA6" s="339"/>
    </row>
    <row r="7">
      <c r="A7" s="367"/>
      <c r="B7" s="365"/>
      <c r="C7" s="365"/>
      <c r="D7" s="366" t="str">
        <v>运营观察与记录</v>
      </c>
      <c r="E7" s="365"/>
      <c r="F7" s="365"/>
      <c r="G7" s="369"/>
      <c r="H7" s="369"/>
      <c r="I7" s="369"/>
      <c r="J7" s="365"/>
      <c r="K7" s="369"/>
      <c r="L7" s="369"/>
      <c r="M7" s="369"/>
      <c r="N7" s="369"/>
      <c r="O7" s="369"/>
      <c r="P7" s="339"/>
      <c r="Q7" s="339"/>
      <c r="R7" s="339"/>
      <c r="S7" s="339"/>
      <c r="T7" s="339"/>
      <c r="U7" s="339"/>
      <c r="V7" s="339"/>
      <c r="W7" s="339"/>
      <c r="X7" s="339"/>
      <c r="Y7" s="339"/>
      <c r="Z7" s="339"/>
      <c r="AA7" s="339"/>
    </row>
    <row r="8">
      <c r="A8" s="341"/>
      <c r="B8" s="339"/>
      <c r="C8" s="339"/>
      <c r="D8" s="364" t="str">
        <v>原因分析</v>
      </c>
      <c r="E8" s="339"/>
      <c r="F8" s="339"/>
      <c r="G8" s="339"/>
      <c r="H8" s="348"/>
      <c r="I8" s="348"/>
      <c r="J8" s="339"/>
      <c r="K8" s="348"/>
      <c r="L8" s="348"/>
      <c r="M8" s="348"/>
      <c r="N8" s="348"/>
      <c r="O8" s="348"/>
      <c r="P8" s="339"/>
      <c r="Q8" s="339"/>
      <c r="R8" s="339"/>
      <c r="S8" s="339"/>
      <c r="T8" s="339"/>
      <c r="U8" s="339"/>
      <c r="V8" s="339"/>
      <c r="W8" s="339"/>
      <c r="X8" s="339"/>
      <c r="Y8" s="339"/>
      <c r="Z8" s="339"/>
      <c r="AA8" s="339"/>
    </row>
    <row r="9">
      <c r="A9" s="363"/>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row>
    <row r="10">
      <c r="A10" s="341">
        <v>3</v>
      </c>
      <c r="B10" s="339"/>
      <c r="C10" s="348"/>
      <c r="D10" s="348" t="str">
        <v>大类</v>
      </c>
      <c r="E10" s="348"/>
      <c r="F10" s="348"/>
      <c r="G10" s="348"/>
      <c r="H10" s="351"/>
      <c r="I10" s="351"/>
      <c r="J10" s="351"/>
      <c r="K10" s="351"/>
      <c r="L10" s="351"/>
      <c r="M10" s="351"/>
      <c r="N10" s="351"/>
      <c r="O10" s="351"/>
      <c r="P10" s="339"/>
      <c r="Q10" s="339"/>
      <c r="R10" s="339"/>
      <c r="S10" s="339"/>
      <c r="T10" s="339"/>
      <c r="U10" s="339"/>
      <c r="V10" s="339"/>
      <c r="W10" s="339"/>
      <c r="X10" s="339"/>
      <c r="Y10" s="339"/>
      <c r="Z10" s="339"/>
      <c r="AA10" s="339"/>
    </row>
    <row r="11">
      <c r="A11" s="341"/>
      <c r="B11" s="339"/>
      <c r="C11" s="348"/>
      <c r="D11" s="348" t="str">
        <v>小类</v>
      </c>
      <c r="E11" s="348"/>
      <c r="F11" s="348"/>
      <c r="G11" s="348"/>
      <c r="H11" s="351"/>
      <c r="I11" s="351"/>
      <c r="J11" s="351"/>
      <c r="K11" s="351"/>
      <c r="L11" s="351"/>
      <c r="M11" s="351"/>
      <c r="N11" s="351"/>
      <c r="O11" s="351"/>
      <c r="P11" s="339"/>
      <c r="Q11" s="339"/>
      <c r="R11" s="339"/>
      <c r="S11" s="339"/>
      <c r="T11" s="339"/>
      <c r="U11" s="339"/>
      <c r="V11" s="339"/>
      <c r="W11" s="339"/>
      <c r="X11" s="339"/>
      <c r="Y11" s="339"/>
      <c r="Z11" s="339"/>
      <c r="AA11" s="339"/>
    </row>
    <row r="12">
      <c r="A12" s="341"/>
      <c r="B12" s="339"/>
      <c r="C12" s="348"/>
      <c r="D12" s="348" t="str">
        <v>rating数</v>
      </c>
      <c r="E12" s="348"/>
      <c r="F12" s="348"/>
      <c r="G12" s="348"/>
      <c r="H12" s="351"/>
      <c r="I12" s="351"/>
      <c r="J12" s="351"/>
      <c r="K12" s="351"/>
      <c r="L12" s="351"/>
      <c r="M12" s="351"/>
      <c r="N12" s="351"/>
      <c r="O12" s="351"/>
      <c r="P12" s="339"/>
      <c r="Q12" s="339"/>
      <c r="R12" s="339"/>
      <c r="S12" s="339"/>
      <c r="T12" s="339"/>
      <c r="U12" s="339"/>
      <c r="V12" s="339"/>
      <c r="W12" s="339"/>
      <c r="X12" s="339"/>
      <c r="Y12" s="339"/>
      <c r="Z12" s="339"/>
      <c r="AA12" s="339"/>
    </row>
    <row r="13">
      <c r="A13" s="341"/>
      <c r="B13" s="339"/>
      <c r="C13" s="348"/>
      <c r="D13" s="348" t="str">
        <v>review分</v>
      </c>
      <c r="E13" s="348"/>
      <c r="F13" s="348"/>
      <c r="G13" s="348"/>
      <c r="H13" s="351"/>
      <c r="I13" s="351"/>
      <c r="J13" s="351"/>
      <c r="K13" s="351"/>
      <c r="L13" s="351"/>
      <c r="M13" s="351"/>
      <c r="N13" s="351"/>
      <c r="O13" s="351"/>
      <c r="P13" s="339"/>
      <c r="Q13" s="339"/>
      <c r="R13" s="339"/>
      <c r="S13" s="339"/>
      <c r="T13" s="339"/>
      <c r="U13" s="339"/>
      <c r="V13" s="339"/>
      <c r="W13" s="339"/>
      <c r="X13" s="339"/>
      <c r="Y13" s="339"/>
      <c r="Z13" s="339"/>
      <c r="AA13" s="339"/>
    </row>
    <row r="14">
      <c r="A14" s="341"/>
      <c r="B14" s="339"/>
      <c r="C14" s="348"/>
      <c r="D14" s="348" t="str">
        <v>售价</v>
      </c>
      <c r="E14" s="361"/>
      <c r="F14" s="361"/>
      <c r="G14" s="361"/>
      <c r="H14" s="361"/>
      <c r="I14" s="361"/>
      <c r="J14" s="361"/>
      <c r="K14" s="339"/>
      <c r="L14" s="339"/>
      <c r="M14" s="339"/>
      <c r="N14" s="339"/>
      <c r="O14" s="339"/>
      <c r="P14" s="339"/>
      <c r="Q14" s="339"/>
      <c r="R14" s="339"/>
      <c r="S14" s="339"/>
      <c r="T14" s="339"/>
      <c r="U14" s="339"/>
      <c r="V14" s="339"/>
      <c r="W14" s="339"/>
      <c r="X14" s="339"/>
      <c r="Y14" s="339"/>
      <c r="Z14" s="339"/>
      <c r="AA14" s="339"/>
    </row>
    <row r="15">
      <c r="A15" s="367"/>
      <c r="B15" s="365"/>
      <c r="C15" s="365"/>
      <c r="D15" s="366" t="str">
        <v>运营观察与记录</v>
      </c>
      <c r="E15" s="365"/>
      <c r="F15" s="365"/>
      <c r="G15" s="348"/>
      <c r="H15" s="339"/>
      <c r="I15" s="339"/>
      <c r="J15" s="348"/>
      <c r="K15" s="339"/>
      <c r="L15" s="339"/>
      <c r="M15" s="339"/>
      <c r="N15" s="339"/>
      <c r="O15" s="339"/>
      <c r="P15" s="339"/>
      <c r="Q15" s="339"/>
      <c r="R15" s="339"/>
      <c r="S15" s="339"/>
      <c r="T15" s="339"/>
      <c r="U15" s="339"/>
      <c r="V15" s="339"/>
      <c r="W15" s="339"/>
      <c r="X15" s="339"/>
      <c r="Y15" s="339"/>
      <c r="Z15" s="339"/>
      <c r="AA15" s="339"/>
    </row>
    <row r="16">
      <c r="A16" s="341"/>
      <c r="B16" s="339"/>
      <c r="C16" s="339"/>
      <c r="D16" s="364" t="str">
        <v>原因分析</v>
      </c>
      <c r="E16" s="339"/>
      <c r="F16" s="365"/>
      <c r="G16" s="339"/>
      <c r="H16" s="339"/>
      <c r="I16" s="339"/>
      <c r="J16" s="348"/>
      <c r="K16" s="339"/>
      <c r="L16" s="339"/>
      <c r="M16" s="339"/>
      <c r="N16" s="339"/>
      <c r="O16" s="339"/>
      <c r="P16" s="339"/>
      <c r="Q16" s="339"/>
      <c r="R16" s="339"/>
      <c r="S16" s="339"/>
      <c r="T16" s="339"/>
      <c r="U16" s="339"/>
      <c r="V16" s="339"/>
      <c r="W16" s="339"/>
      <c r="X16" s="339"/>
      <c r="Y16" s="339"/>
      <c r="Z16" s="339"/>
      <c r="AA16" s="339"/>
    </row>
    <row r="17">
      <c r="A17" s="363"/>
      <c r="B17" s="362"/>
      <c r="C17" s="362"/>
      <c r="D17" s="362"/>
      <c r="E17" s="362"/>
      <c r="F17" s="362"/>
      <c r="G17" s="362"/>
      <c r="H17" s="362"/>
      <c r="I17" s="362"/>
      <c r="J17" s="362"/>
      <c r="K17" s="362"/>
      <c r="L17" s="362"/>
      <c r="M17" s="362"/>
      <c r="N17" s="362"/>
      <c r="O17" s="362"/>
      <c r="P17" s="362"/>
      <c r="Q17" s="362"/>
      <c r="R17" s="362"/>
      <c r="S17" s="362"/>
      <c r="T17" s="362"/>
      <c r="U17" s="362"/>
      <c r="V17" s="362"/>
      <c r="W17" s="362"/>
      <c r="X17" s="362"/>
      <c r="Y17" s="362"/>
      <c r="Z17" s="362"/>
      <c r="AA17" s="362"/>
    </row>
    <row r="18">
      <c r="A18" s="341">
        <v>4</v>
      </c>
      <c r="B18" s="339"/>
      <c r="C18" s="339"/>
      <c r="D18" s="348" t="str">
        <v>大类</v>
      </c>
      <c r="E18" s="348"/>
      <c r="F18" s="348"/>
      <c r="G18" s="348"/>
      <c r="H18" s="339"/>
      <c r="I18" s="339"/>
      <c r="J18" s="339"/>
      <c r="K18" s="339"/>
      <c r="L18" s="339"/>
      <c r="M18" s="339"/>
      <c r="N18" s="339"/>
      <c r="O18" s="339"/>
      <c r="P18" s="339"/>
      <c r="Q18" s="339"/>
      <c r="R18" s="339"/>
      <c r="S18" s="339"/>
      <c r="T18" s="339"/>
      <c r="U18" s="339"/>
      <c r="V18" s="339"/>
      <c r="W18" s="339"/>
      <c r="X18" s="339"/>
      <c r="Y18" s="339"/>
      <c r="Z18" s="339"/>
      <c r="AA18" s="339"/>
    </row>
    <row r="19">
      <c r="A19" s="341"/>
      <c r="B19" s="339"/>
      <c r="C19" s="339"/>
      <c r="D19" s="348" t="str">
        <v>小类</v>
      </c>
      <c r="E19" s="348"/>
      <c r="F19" s="348"/>
      <c r="G19" s="348"/>
      <c r="H19" s="339"/>
      <c r="I19" s="339"/>
      <c r="J19" s="339"/>
      <c r="K19" s="339"/>
      <c r="L19" s="339"/>
      <c r="M19" s="339"/>
      <c r="N19" s="339"/>
      <c r="O19" s="339"/>
      <c r="P19" s="339"/>
      <c r="Q19" s="339"/>
      <c r="R19" s="339"/>
      <c r="S19" s="339"/>
      <c r="T19" s="339"/>
      <c r="U19" s="339"/>
      <c r="V19" s="339"/>
      <c r="W19" s="339"/>
      <c r="X19" s="339"/>
      <c r="Y19" s="339"/>
      <c r="Z19" s="339"/>
      <c r="AA19" s="339"/>
    </row>
    <row r="20">
      <c r="A20" s="341"/>
      <c r="B20" s="339"/>
      <c r="C20" s="339"/>
      <c r="D20" s="348" t="str">
        <v>rating数</v>
      </c>
      <c r="E20" s="348"/>
      <c r="F20" s="348"/>
      <c r="G20" s="348"/>
      <c r="H20" s="339"/>
      <c r="I20" s="339"/>
      <c r="J20" s="339"/>
      <c r="K20" s="339"/>
      <c r="L20" s="339"/>
      <c r="M20" s="339"/>
      <c r="N20" s="339"/>
      <c r="O20" s="339"/>
      <c r="P20" s="339"/>
      <c r="Q20" s="339"/>
      <c r="R20" s="339"/>
      <c r="S20" s="339"/>
      <c r="T20" s="339"/>
      <c r="U20" s="339"/>
      <c r="V20" s="339"/>
      <c r="W20" s="339"/>
      <c r="X20" s="339"/>
      <c r="Y20" s="339"/>
      <c r="Z20" s="339"/>
      <c r="AA20" s="339"/>
    </row>
    <row r="21">
      <c r="A21" s="341"/>
      <c r="B21" s="339"/>
      <c r="C21" s="339"/>
      <c r="D21" s="348" t="str">
        <v>review分</v>
      </c>
      <c r="E21" s="348"/>
      <c r="F21" s="348"/>
      <c r="G21" s="348"/>
      <c r="H21" s="339"/>
      <c r="I21" s="339"/>
      <c r="J21" s="339"/>
      <c r="K21" s="339"/>
      <c r="L21" s="339"/>
      <c r="M21" s="339"/>
      <c r="N21" s="339"/>
      <c r="O21" s="339"/>
      <c r="P21" s="339"/>
      <c r="Q21" s="339"/>
      <c r="R21" s="339"/>
      <c r="S21" s="339"/>
      <c r="T21" s="339"/>
      <c r="U21" s="339"/>
      <c r="V21" s="339"/>
      <c r="W21" s="339"/>
      <c r="X21" s="339"/>
      <c r="Y21" s="339"/>
      <c r="Z21" s="339"/>
      <c r="AA21" s="339"/>
    </row>
    <row r="22">
      <c r="A22" s="341"/>
      <c r="B22" s="339"/>
      <c r="C22" s="339"/>
      <c r="D22" s="348" t="str">
        <v>售价</v>
      </c>
      <c r="E22" s="361"/>
      <c r="F22" s="361"/>
      <c r="G22" s="361"/>
      <c r="H22" s="361"/>
      <c r="I22" s="361"/>
      <c r="J22" s="361"/>
      <c r="K22" s="339"/>
      <c r="L22" s="339"/>
      <c r="M22" s="339"/>
      <c r="N22" s="339"/>
      <c r="O22" s="339"/>
      <c r="P22" s="339"/>
      <c r="Q22" s="339"/>
      <c r="R22" s="339"/>
      <c r="S22" s="339"/>
      <c r="T22" s="339"/>
      <c r="U22" s="339"/>
      <c r="V22" s="339"/>
      <c r="W22" s="339"/>
      <c r="X22" s="339"/>
      <c r="Y22" s="339"/>
      <c r="Z22" s="339"/>
      <c r="AA22" s="339"/>
    </row>
    <row r="23">
      <c r="A23" s="367"/>
      <c r="B23" s="365"/>
      <c r="C23" s="365"/>
      <c r="D23" s="366" t="str">
        <v>运营观察与记录</v>
      </c>
      <c r="E23" s="365"/>
      <c r="F23" s="365"/>
      <c r="G23" s="339"/>
      <c r="H23" s="339"/>
      <c r="I23" s="339"/>
      <c r="J23" s="339"/>
      <c r="K23" s="339"/>
      <c r="L23" s="339"/>
      <c r="M23" s="339"/>
      <c r="N23" s="339"/>
      <c r="O23" s="339"/>
      <c r="P23" s="339"/>
      <c r="Q23" s="339"/>
      <c r="R23" s="339"/>
      <c r="S23" s="339"/>
      <c r="T23" s="339"/>
      <c r="U23" s="339"/>
      <c r="V23" s="339"/>
      <c r="W23" s="339"/>
      <c r="X23" s="339"/>
      <c r="Y23" s="339"/>
      <c r="Z23" s="339"/>
      <c r="AA23" s="339"/>
    </row>
    <row r="24">
      <c r="A24" s="341"/>
      <c r="B24" s="339"/>
      <c r="C24" s="339"/>
      <c r="D24" s="364" t="str">
        <v>原因分析</v>
      </c>
      <c r="E24" s="339"/>
      <c r="F24" s="339"/>
      <c r="G24" s="339"/>
      <c r="H24" s="339"/>
      <c r="I24" s="339"/>
      <c r="J24" s="339"/>
      <c r="K24" s="339"/>
      <c r="L24" s="339"/>
      <c r="M24" s="339"/>
      <c r="N24" s="339"/>
      <c r="O24" s="339"/>
      <c r="P24" s="339"/>
      <c r="Q24" s="339"/>
      <c r="R24" s="339"/>
      <c r="S24" s="339"/>
      <c r="T24" s="339"/>
      <c r="U24" s="339"/>
      <c r="V24" s="339"/>
      <c r="W24" s="339"/>
      <c r="X24" s="339"/>
      <c r="Y24" s="339"/>
      <c r="Z24" s="339"/>
      <c r="AA24" s="339"/>
    </row>
    <row r="25">
      <c r="A25" s="362"/>
      <c r="B25" s="362"/>
      <c r="C25" s="362"/>
      <c r="D25" s="362"/>
      <c r="E25" s="362"/>
      <c r="F25" s="362"/>
      <c r="G25" s="362"/>
      <c r="H25" s="362"/>
      <c r="I25" s="362"/>
      <c r="J25" s="362"/>
      <c r="K25" s="362"/>
      <c r="L25" s="362"/>
      <c r="M25" s="362"/>
      <c r="N25" s="362"/>
      <c r="O25" s="362"/>
      <c r="P25" s="362"/>
      <c r="Q25" s="362"/>
      <c r="R25" s="362"/>
      <c r="S25" s="362"/>
      <c r="T25" s="362"/>
      <c r="U25" s="362"/>
      <c r="V25" s="362"/>
      <c r="W25" s="362"/>
      <c r="X25" s="362"/>
      <c r="Y25" s="362"/>
      <c r="Z25" s="362"/>
      <c r="AA25" s="362"/>
    </row>
    <row r="26">
      <c r="A26" s="341">
        <v>5</v>
      </c>
      <c r="B26" s="339"/>
      <c r="C26" s="348"/>
      <c r="D26" s="348" t="str">
        <v>大类</v>
      </c>
      <c r="E26" s="361"/>
      <c r="F26" s="361"/>
      <c r="G26" s="361"/>
      <c r="H26" s="339"/>
      <c r="I26" s="339"/>
      <c r="J26" s="339"/>
      <c r="K26" s="339"/>
      <c r="L26" s="339"/>
      <c r="M26" s="339"/>
      <c r="N26" s="339"/>
      <c r="O26" s="339"/>
      <c r="P26" s="339"/>
      <c r="Q26" s="339"/>
      <c r="R26" s="339"/>
      <c r="S26" s="339"/>
      <c r="T26" s="339"/>
      <c r="U26" s="339"/>
      <c r="V26" s="339"/>
      <c r="W26" s="339"/>
      <c r="X26" s="339"/>
      <c r="Y26" s="339"/>
      <c r="Z26" s="339"/>
      <c r="AA26" s="339"/>
    </row>
    <row r="27">
      <c r="A27" s="341"/>
      <c r="B27" s="339"/>
      <c r="C27" s="348"/>
      <c r="D27" s="348" t="str">
        <v>小类</v>
      </c>
      <c r="E27" s="361"/>
      <c r="F27" s="361"/>
      <c r="G27" s="361"/>
      <c r="H27" s="339"/>
      <c r="I27" s="339"/>
      <c r="J27" s="339"/>
      <c r="K27" s="339"/>
      <c r="L27" s="339"/>
      <c r="M27" s="339"/>
      <c r="N27" s="339"/>
      <c r="O27" s="339"/>
      <c r="P27" s="339"/>
      <c r="Q27" s="339"/>
      <c r="R27" s="339"/>
      <c r="S27" s="339"/>
      <c r="T27" s="339"/>
      <c r="U27" s="339"/>
      <c r="V27" s="339"/>
      <c r="W27" s="339"/>
      <c r="X27" s="339"/>
      <c r="Y27" s="339"/>
      <c r="Z27" s="339"/>
      <c r="AA27" s="339"/>
    </row>
    <row r="28">
      <c r="A28" s="341"/>
      <c r="B28" s="339"/>
      <c r="C28" s="348"/>
      <c r="D28" s="348" t="str">
        <v>rating数</v>
      </c>
      <c r="E28" s="361"/>
      <c r="F28" s="361"/>
      <c r="G28" s="361"/>
      <c r="H28" s="339"/>
      <c r="I28" s="339"/>
      <c r="J28" s="339"/>
      <c r="K28" s="339"/>
      <c r="L28" s="339"/>
      <c r="M28" s="339"/>
      <c r="N28" s="339"/>
      <c r="O28" s="339"/>
      <c r="P28" s="339"/>
      <c r="Q28" s="339"/>
      <c r="R28" s="339"/>
      <c r="S28" s="339"/>
      <c r="T28" s="339"/>
      <c r="U28" s="339"/>
      <c r="V28" s="339"/>
      <c r="W28" s="339"/>
      <c r="X28" s="339"/>
      <c r="Y28" s="339"/>
      <c r="Z28" s="339"/>
      <c r="AA28" s="339"/>
    </row>
    <row r="29">
      <c r="A29" s="341"/>
      <c r="B29" s="339"/>
      <c r="C29" s="348"/>
      <c r="D29" s="348" t="str">
        <v>review分</v>
      </c>
      <c r="E29" s="361"/>
      <c r="F29" s="361"/>
      <c r="G29" s="361"/>
      <c r="H29" s="339"/>
      <c r="I29" s="339"/>
      <c r="J29" s="339"/>
      <c r="K29" s="339"/>
      <c r="L29" s="339"/>
      <c r="M29" s="339"/>
      <c r="N29" s="339"/>
      <c r="O29" s="339"/>
      <c r="P29" s="339"/>
      <c r="Q29" s="339"/>
      <c r="R29" s="339"/>
      <c r="S29" s="339"/>
      <c r="T29" s="339"/>
      <c r="U29" s="339"/>
      <c r="V29" s="339"/>
      <c r="W29" s="339"/>
      <c r="X29" s="339"/>
      <c r="Y29" s="339"/>
      <c r="Z29" s="339"/>
      <c r="AA29" s="339"/>
    </row>
    <row r="30">
      <c r="A30" s="341"/>
      <c r="B30" s="339"/>
      <c r="C30" s="348"/>
      <c r="D30" s="348" t="str">
        <v>售价</v>
      </c>
      <c r="E30" s="361"/>
      <c r="F30" s="361"/>
      <c r="G30" s="361"/>
      <c r="H30" s="339"/>
      <c r="I30" s="339"/>
      <c r="J30" s="339"/>
      <c r="K30" s="339"/>
      <c r="L30" s="339"/>
      <c r="M30" s="339"/>
      <c r="N30" s="339"/>
      <c r="O30" s="339"/>
      <c r="P30" s="339"/>
      <c r="Q30" s="339"/>
      <c r="R30" s="339"/>
      <c r="S30" s="339"/>
      <c r="T30" s="339"/>
      <c r="U30" s="339"/>
      <c r="V30" s="339"/>
      <c r="W30" s="339"/>
      <c r="X30" s="339"/>
      <c r="Y30" s="339"/>
      <c r="Z30" s="339"/>
      <c r="AA30" s="339"/>
    </row>
    <row r="31">
      <c r="A31" s="367"/>
      <c r="B31" s="365"/>
      <c r="C31" s="365"/>
      <c r="D31" s="366" t="str">
        <v>运营观察与记录</v>
      </c>
      <c r="E31" s="365"/>
      <c r="F31" s="365"/>
      <c r="G31" s="339"/>
      <c r="H31" s="339"/>
      <c r="I31" s="339"/>
      <c r="J31" s="339"/>
      <c r="K31" s="339"/>
      <c r="L31" s="339"/>
      <c r="M31" s="339"/>
      <c r="N31" s="339"/>
      <c r="O31" s="339"/>
      <c r="P31" s="339"/>
      <c r="Q31" s="339"/>
      <c r="R31" s="339"/>
      <c r="S31" s="339"/>
      <c r="T31" s="339"/>
      <c r="U31" s="339"/>
      <c r="V31" s="339"/>
      <c r="W31" s="339"/>
      <c r="X31" s="339"/>
      <c r="Y31" s="339"/>
      <c r="Z31" s="339"/>
      <c r="AA31" s="339"/>
    </row>
    <row r="32">
      <c r="A32" s="341"/>
      <c r="B32" s="339"/>
      <c r="C32" s="339"/>
      <c r="D32" s="364" t="str">
        <v>原因分析</v>
      </c>
      <c r="E32" s="339"/>
      <c r="F32" s="339"/>
      <c r="G32" s="339"/>
      <c r="H32" s="339"/>
      <c r="I32" s="339"/>
      <c r="J32" s="339"/>
      <c r="K32" s="339"/>
      <c r="L32" s="339"/>
      <c r="M32" s="339"/>
      <c r="N32" s="339"/>
      <c r="O32" s="339"/>
      <c r="P32" s="339"/>
      <c r="Q32" s="339"/>
      <c r="R32" s="339"/>
      <c r="S32" s="339"/>
      <c r="T32" s="339"/>
      <c r="U32" s="339"/>
      <c r="V32" s="339"/>
      <c r="W32" s="339"/>
      <c r="X32" s="339"/>
      <c r="Y32" s="339"/>
      <c r="Z32" s="339"/>
      <c r="AA32" s="339"/>
    </row>
    <row r="33">
      <c r="A33" s="339"/>
      <c r="B33" s="339"/>
      <c r="C33" s="339"/>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row>
    <row r="34">
      <c r="A34" s="339"/>
      <c r="B34" s="339"/>
      <c r="C34" s="339"/>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row>
    <row r="35">
      <c r="A35" s="339"/>
      <c r="B35" s="339"/>
      <c r="C35" s="339"/>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row>
    <row r="36">
      <c r="A36" s="339"/>
      <c r="B36" s="339"/>
      <c r="C36" s="339"/>
      <c r="D36" s="339"/>
      <c r="E36" s="339"/>
      <c r="F36" s="339"/>
      <c r="G36" s="339"/>
      <c r="H36" s="339"/>
      <c r="I36" s="339"/>
      <c r="J36" s="339"/>
      <c r="K36" s="339"/>
      <c r="L36" s="339"/>
      <c r="M36" s="339"/>
      <c r="N36" s="339"/>
      <c r="O36" s="339"/>
      <c r="P36" s="339"/>
      <c r="Q36" s="339"/>
      <c r="R36" s="339"/>
      <c r="S36" s="339"/>
      <c r="T36" s="339"/>
      <c r="U36" s="339"/>
      <c r="V36" s="339"/>
      <c r="W36" s="339"/>
      <c r="X36" s="339"/>
      <c r="Y36" s="339"/>
      <c r="Z36" s="339"/>
      <c r="AA36" s="339"/>
    </row>
    <row r="37">
      <c r="A37" s="339"/>
      <c r="B37" s="339"/>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c r="AA37" s="339"/>
    </row>
    <row r="38">
      <c r="A38" s="339"/>
      <c r="B38" s="339"/>
      <c r="C38" s="339"/>
      <c r="D38" s="339"/>
      <c r="E38" s="339"/>
      <c r="F38" s="339"/>
      <c r="G38" s="339"/>
      <c r="H38" s="339"/>
      <c r="I38" s="339"/>
      <c r="J38" s="339"/>
      <c r="K38" s="339"/>
      <c r="L38" s="339"/>
      <c r="M38" s="339"/>
      <c r="N38" s="339"/>
      <c r="O38" s="339"/>
      <c r="P38" s="339"/>
      <c r="Q38" s="339"/>
      <c r="R38" s="339"/>
      <c r="S38" s="339"/>
      <c r="T38" s="339"/>
      <c r="U38" s="339"/>
      <c r="V38" s="339"/>
      <c r="W38" s="339"/>
      <c r="X38" s="339"/>
      <c r="Y38" s="339"/>
      <c r="Z38" s="339"/>
      <c r="AA38" s="339"/>
    </row>
    <row r="39">
      <c r="A39" s="339"/>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row>
    <row r="40">
      <c r="A40" s="339"/>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row>
    <row r="41">
      <c r="A41" s="339"/>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row>
    <row r="42">
      <c r="A42" s="339"/>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row>
    <row r="43">
      <c r="A43" s="339"/>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row>
    <row r="44">
      <c r="A44" s="339"/>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row>
    <row r="45">
      <c r="A45" s="339"/>
      <c r="B45" s="339"/>
      <c r="C45" s="339"/>
      <c r="D45" s="339"/>
      <c r="E45" s="339"/>
      <c r="F45" s="339"/>
      <c r="G45" s="339"/>
      <c r="H45" s="339"/>
      <c r="I45" s="339"/>
      <c r="J45" s="339"/>
      <c r="K45" s="339"/>
      <c r="L45" s="339"/>
      <c r="M45" s="339"/>
      <c r="N45" s="339"/>
      <c r="O45" s="339"/>
      <c r="P45" s="339"/>
      <c r="Q45" s="339"/>
      <c r="R45" s="339"/>
      <c r="S45" s="339"/>
      <c r="T45" s="339"/>
      <c r="U45" s="339"/>
      <c r="V45" s="339"/>
      <c r="W45" s="339"/>
      <c r="X45" s="339"/>
      <c r="Y45" s="339"/>
      <c r="Z45" s="339"/>
      <c r="AA45" s="339"/>
    </row>
    <row r="46">
      <c r="A46" s="339"/>
      <c r="B46" s="339"/>
      <c r="C46" s="339"/>
      <c r="D46" s="339"/>
      <c r="E46" s="339"/>
      <c r="F46" s="339"/>
      <c r="G46" s="339"/>
      <c r="H46" s="339"/>
      <c r="I46" s="339"/>
      <c r="J46" s="339"/>
      <c r="K46" s="339"/>
      <c r="L46" s="339"/>
      <c r="M46" s="339"/>
      <c r="N46" s="339"/>
      <c r="O46" s="339"/>
      <c r="P46" s="339"/>
      <c r="Q46" s="339"/>
      <c r="R46" s="339"/>
      <c r="S46" s="339"/>
      <c r="T46" s="339"/>
      <c r="U46" s="339"/>
      <c r="V46" s="339"/>
      <c r="W46" s="339"/>
      <c r="X46" s="339"/>
      <c r="Y46" s="339"/>
      <c r="Z46" s="339"/>
      <c r="AA46" s="339"/>
    </row>
    <row r="47">
      <c r="A47" s="339"/>
      <c r="B47" s="339"/>
      <c r="C47" s="339"/>
      <c r="D47" s="339"/>
      <c r="E47" s="339"/>
      <c r="F47" s="339"/>
      <c r="G47" s="339"/>
      <c r="H47" s="339"/>
      <c r="I47" s="339"/>
      <c r="J47" s="339"/>
      <c r="K47" s="339"/>
      <c r="L47" s="339"/>
      <c r="M47" s="339"/>
      <c r="N47" s="339"/>
      <c r="O47" s="339"/>
      <c r="P47" s="339"/>
      <c r="Q47" s="339"/>
      <c r="R47" s="339"/>
      <c r="S47" s="339"/>
      <c r="T47" s="339"/>
      <c r="U47" s="339"/>
      <c r="V47" s="339"/>
      <c r="W47" s="339"/>
      <c r="X47" s="339"/>
      <c r="Y47" s="339"/>
      <c r="Z47" s="339"/>
      <c r="AA47" s="339"/>
    </row>
    <row r="48">
      <c r="A48" s="339"/>
      <c r="B48" s="339"/>
      <c r="C48" s="339"/>
      <c r="D48" s="339"/>
      <c r="E48" s="339"/>
      <c r="F48" s="339"/>
      <c r="G48" s="339"/>
      <c r="H48" s="339"/>
      <c r="I48" s="339"/>
      <c r="J48" s="339"/>
      <c r="K48" s="339"/>
      <c r="L48" s="339"/>
      <c r="M48" s="339"/>
      <c r="N48" s="339"/>
      <c r="O48" s="339"/>
      <c r="P48" s="339"/>
      <c r="Q48" s="339"/>
      <c r="R48" s="339"/>
      <c r="S48" s="339"/>
      <c r="T48" s="339"/>
      <c r="U48" s="339"/>
      <c r="V48" s="339"/>
      <c r="W48" s="339"/>
      <c r="X48" s="339"/>
      <c r="Y48" s="339"/>
      <c r="Z48" s="339"/>
      <c r="AA48" s="339"/>
    </row>
    <row r="49">
      <c r="A49" s="339"/>
      <c r="B49" s="339"/>
      <c r="C49" s="339"/>
      <c r="D49" s="339"/>
      <c r="E49" s="339"/>
      <c r="F49" s="339"/>
      <c r="G49" s="339"/>
      <c r="H49" s="339"/>
      <c r="I49" s="339"/>
      <c r="J49" s="339"/>
      <c r="K49" s="339"/>
      <c r="L49" s="339"/>
      <c r="M49" s="339"/>
      <c r="N49" s="339"/>
      <c r="O49" s="339"/>
      <c r="P49" s="339"/>
      <c r="Q49" s="339"/>
      <c r="R49" s="339"/>
      <c r="S49" s="339"/>
      <c r="T49" s="339"/>
      <c r="U49" s="339"/>
      <c r="V49" s="339"/>
      <c r="W49" s="339"/>
      <c r="X49" s="339"/>
      <c r="Y49" s="339"/>
      <c r="Z49" s="339"/>
      <c r="AA49" s="339"/>
    </row>
    <row r="50">
      <c r="A50" s="339"/>
      <c r="B50" s="339"/>
      <c r="C50" s="339"/>
      <c r="D50" s="339"/>
      <c r="E50" s="339"/>
      <c r="F50" s="339"/>
      <c r="G50" s="339"/>
      <c r="H50" s="339"/>
      <c r="I50" s="339"/>
      <c r="J50" s="339"/>
      <c r="K50" s="339"/>
      <c r="L50" s="339"/>
      <c r="M50" s="339"/>
      <c r="N50" s="339"/>
      <c r="O50" s="339"/>
      <c r="P50" s="339"/>
      <c r="Q50" s="339"/>
      <c r="R50" s="339"/>
      <c r="S50" s="339"/>
      <c r="T50" s="339"/>
      <c r="U50" s="339"/>
      <c r="V50" s="339"/>
      <c r="W50" s="339"/>
      <c r="X50" s="339"/>
      <c r="Y50" s="339"/>
      <c r="Z50" s="339"/>
      <c r="AA50" s="339"/>
    </row>
    <row r="51">
      <c r="A51" s="339"/>
      <c r="B51" s="339"/>
      <c r="C51" s="339"/>
      <c r="D51" s="339"/>
      <c r="E51" s="339"/>
      <c r="F51" s="339"/>
      <c r="G51" s="339"/>
      <c r="H51" s="339"/>
      <c r="I51" s="339"/>
      <c r="J51" s="339"/>
      <c r="K51" s="339"/>
      <c r="L51" s="339"/>
      <c r="M51" s="339"/>
      <c r="N51" s="339"/>
      <c r="O51" s="339"/>
      <c r="P51" s="339"/>
      <c r="Q51" s="339"/>
      <c r="R51" s="339"/>
      <c r="S51" s="339"/>
      <c r="T51" s="339"/>
      <c r="U51" s="339"/>
      <c r="V51" s="339"/>
      <c r="W51" s="339"/>
      <c r="X51" s="339"/>
      <c r="Y51" s="339"/>
      <c r="Z51" s="339"/>
      <c r="AA51" s="339"/>
    </row>
    <row r="52">
      <c r="A52" s="339"/>
      <c r="B52" s="339"/>
      <c r="C52" s="339"/>
      <c r="D52" s="339"/>
      <c r="E52" s="339"/>
      <c r="F52" s="339"/>
      <c r="G52" s="339"/>
      <c r="H52" s="339"/>
      <c r="I52" s="339"/>
      <c r="J52" s="339"/>
      <c r="K52" s="339"/>
      <c r="L52" s="339"/>
      <c r="M52" s="339"/>
      <c r="N52" s="339"/>
      <c r="O52" s="339"/>
      <c r="P52" s="339"/>
      <c r="Q52" s="339"/>
      <c r="R52" s="339"/>
      <c r="S52" s="339"/>
      <c r="T52" s="339"/>
      <c r="U52" s="339"/>
      <c r="V52" s="339"/>
      <c r="W52" s="339"/>
      <c r="X52" s="339"/>
      <c r="Y52" s="339"/>
      <c r="Z52" s="339"/>
      <c r="AA52" s="339"/>
    </row>
    <row r="53">
      <c r="A53" s="339"/>
      <c r="B53" s="339"/>
      <c r="C53" s="339"/>
      <c r="D53" s="339"/>
      <c r="E53" s="339"/>
      <c r="F53" s="339"/>
      <c r="G53" s="339"/>
      <c r="H53" s="339"/>
      <c r="I53" s="339"/>
      <c r="J53" s="339"/>
      <c r="K53" s="339"/>
      <c r="L53" s="339"/>
      <c r="M53" s="339"/>
      <c r="N53" s="339"/>
      <c r="O53" s="339"/>
      <c r="P53" s="339"/>
      <c r="Q53" s="339"/>
      <c r="R53" s="339"/>
      <c r="S53" s="339"/>
      <c r="T53" s="339"/>
      <c r="U53" s="339"/>
      <c r="V53" s="339"/>
      <c r="W53" s="339"/>
      <c r="X53" s="339"/>
      <c r="Y53" s="339"/>
      <c r="Z53" s="339"/>
      <c r="AA53" s="339"/>
    </row>
    <row r="54">
      <c r="A54" s="339"/>
      <c r="B54" s="339"/>
      <c r="C54" s="339"/>
      <c r="D54" s="339"/>
      <c r="E54" s="339"/>
      <c r="F54" s="339"/>
      <c r="G54" s="339"/>
      <c r="H54" s="339"/>
      <c r="I54" s="339"/>
      <c r="J54" s="339"/>
      <c r="K54" s="339"/>
      <c r="L54" s="339"/>
      <c r="M54" s="339"/>
      <c r="N54" s="339"/>
      <c r="O54" s="339"/>
      <c r="P54" s="339"/>
      <c r="Q54" s="339"/>
      <c r="R54" s="339"/>
      <c r="S54" s="339"/>
      <c r="T54" s="339"/>
      <c r="U54" s="339"/>
      <c r="V54" s="339"/>
      <c r="W54" s="339"/>
      <c r="X54" s="339"/>
      <c r="Y54" s="339"/>
      <c r="Z54" s="339"/>
      <c r="AA54" s="339"/>
    </row>
    <row r="55">
      <c r="A55" s="339"/>
      <c r="B55" s="339"/>
      <c r="C55" s="339"/>
      <c r="D55" s="339"/>
      <c r="E55" s="339"/>
      <c r="F55" s="339"/>
      <c r="G55" s="339"/>
      <c r="H55" s="339"/>
      <c r="I55" s="339"/>
      <c r="J55" s="339"/>
      <c r="K55" s="339"/>
      <c r="L55" s="339"/>
      <c r="M55" s="339"/>
      <c r="N55" s="339"/>
      <c r="O55" s="339"/>
      <c r="P55" s="339"/>
      <c r="Q55" s="339"/>
      <c r="R55" s="339"/>
      <c r="S55" s="339"/>
      <c r="T55" s="339"/>
      <c r="U55" s="339"/>
      <c r="V55" s="339"/>
      <c r="W55" s="339"/>
      <c r="X55" s="339"/>
      <c r="Y55" s="339"/>
      <c r="Z55" s="339"/>
      <c r="AA55" s="339"/>
    </row>
    <row r="56">
      <c r="A56" s="339"/>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row>
    <row r="57">
      <c r="A57" s="339"/>
      <c r="B57" s="339"/>
      <c r="C57" s="339"/>
      <c r="D57" s="339"/>
      <c r="E57" s="339"/>
      <c r="F57" s="339"/>
      <c r="G57" s="339"/>
      <c r="H57" s="339"/>
      <c r="I57" s="339"/>
      <c r="J57" s="339"/>
      <c r="K57" s="339"/>
      <c r="L57" s="339"/>
      <c r="M57" s="339"/>
      <c r="N57" s="339"/>
      <c r="O57" s="339"/>
      <c r="P57" s="339"/>
      <c r="Q57" s="339"/>
      <c r="R57" s="339"/>
      <c r="S57" s="339"/>
      <c r="T57" s="339"/>
      <c r="U57" s="339"/>
      <c r="V57" s="339"/>
      <c r="W57" s="339"/>
      <c r="X57" s="339"/>
      <c r="Y57" s="339"/>
      <c r="Z57" s="339"/>
      <c r="AA57" s="339"/>
    </row>
    <row r="58">
      <c r="A58" s="339"/>
      <c r="B58" s="339"/>
      <c r="C58" s="339"/>
      <c r="D58" s="339"/>
      <c r="E58" s="339"/>
      <c r="F58" s="339"/>
      <c r="G58" s="339"/>
      <c r="H58" s="339"/>
      <c r="I58" s="339"/>
      <c r="J58" s="339"/>
      <c r="K58" s="339"/>
      <c r="L58" s="339"/>
      <c r="M58" s="339"/>
      <c r="N58" s="339"/>
      <c r="O58" s="339"/>
      <c r="P58" s="339"/>
      <c r="Q58" s="339"/>
      <c r="R58" s="339"/>
      <c r="S58" s="339"/>
      <c r="T58" s="339"/>
      <c r="U58" s="339"/>
      <c r="V58" s="339"/>
      <c r="W58" s="339"/>
      <c r="X58" s="339"/>
      <c r="Y58" s="339"/>
      <c r="Z58" s="339"/>
      <c r="AA58" s="339"/>
    </row>
    <row r="59">
      <c r="A59" s="339"/>
      <c r="B59" s="339"/>
      <c r="C59" s="339"/>
      <c r="D59" s="339"/>
      <c r="E59" s="339"/>
      <c r="F59" s="339"/>
      <c r="G59" s="339"/>
      <c r="H59" s="339"/>
      <c r="I59" s="339"/>
      <c r="J59" s="339"/>
      <c r="K59" s="339"/>
      <c r="L59" s="339"/>
      <c r="M59" s="339"/>
      <c r="N59" s="339"/>
      <c r="O59" s="339"/>
      <c r="P59" s="339"/>
      <c r="Q59" s="339"/>
      <c r="R59" s="339"/>
      <c r="S59" s="339"/>
      <c r="T59" s="339"/>
      <c r="U59" s="339"/>
      <c r="V59" s="339"/>
      <c r="W59" s="339"/>
      <c r="X59" s="339"/>
      <c r="Y59" s="339"/>
      <c r="Z59" s="339"/>
      <c r="AA59" s="339"/>
    </row>
    <row r="60">
      <c r="A60" s="339"/>
      <c r="B60" s="339"/>
      <c r="C60" s="339"/>
      <c r="D60" s="339"/>
      <c r="E60" s="339"/>
      <c r="F60" s="339"/>
      <c r="G60" s="339"/>
      <c r="H60" s="339"/>
      <c r="I60" s="339"/>
      <c r="J60" s="339"/>
      <c r="K60" s="339"/>
      <c r="L60" s="339"/>
      <c r="M60" s="339"/>
      <c r="N60" s="339"/>
      <c r="O60" s="339"/>
      <c r="P60" s="339"/>
      <c r="Q60" s="339"/>
      <c r="R60" s="339"/>
      <c r="S60" s="339"/>
      <c r="T60" s="339"/>
      <c r="U60" s="339"/>
      <c r="V60" s="339"/>
      <c r="W60" s="339"/>
      <c r="X60" s="339"/>
      <c r="Y60" s="339"/>
      <c r="Z60" s="339"/>
      <c r="AA60" s="339"/>
    </row>
    <row r="61">
      <c r="A61" s="339"/>
      <c r="B61" s="339"/>
      <c r="C61" s="339"/>
      <c r="D61" s="339"/>
      <c r="E61" s="339"/>
      <c r="F61" s="339"/>
      <c r="G61" s="339"/>
      <c r="H61" s="339"/>
      <c r="I61" s="339"/>
      <c r="J61" s="339"/>
      <c r="K61" s="339"/>
      <c r="L61" s="339"/>
      <c r="M61" s="339"/>
      <c r="N61" s="339"/>
      <c r="O61" s="339"/>
      <c r="P61" s="339"/>
      <c r="Q61" s="339"/>
      <c r="R61" s="339"/>
      <c r="S61" s="339"/>
      <c r="T61" s="339"/>
      <c r="U61" s="339"/>
      <c r="V61" s="339"/>
      <c r="W61" s="339"/>
      <c r="X61" s="339"/>
      <c r="Y61" s="339"/>
      <c r="Z61" s="339"/>
      <c r="AA61" s="339"/>
    </row>
    <row r="62">
      <c r="A62" s="339"/>
      <c r="B62" s="339"/>
      <c r="C62" s="339"/>
      <c r="D62" s="339"/>
      <c r="E62" s="339"/>
      <c r="F62" s="339"/>
      <c r="G62" s="339"/>
      <c r="H62" s="339"/>
      <c r="I62" s="339"/>
      <c r="J62" s="339"/>
      <c r="K62" s="339"/>
      <c r="L62" s="339"/>
      <c r="M62" s="339"/>
      <c r="N62" s="339"/>
      <c r="O62" s="339"/>
      <c r="P62" s="339"/>
      <c r="Q62" s="339"/>
      <c r="R62" s="339"/>
      <c r="S62" s="339"/>
      <c r="T62" s="339"/>
      <c r="U62" s="339"/>
      <c r="V62" s="339"/>
      <c r="W62" s="339"/>
      <c r="X62" s="339"/>
      <c r="Y62" s="339"/>
      <c r="Z62" s="339"/>
      <c r="AA62" s="339"/>
    </row>
    <row r="63">
      <c r="A63" s="339"/>
      <c r="B63" s="339"/>
      <c r="C63" s="339"/>
      <c r="D63" s="339"/>
      <c r="E63" s="339"/>
      <c r="F63" s="339"/>
      <c r="G63" s="339"/>
      <c r="H63" s="339"/>
      <c r="I63" s="339"/>
      <c r="J63" s="339"/>
      <c r="K63" s="339"/>
      <c r="L63" s="339"/>
      <c r="M63" s="339"/>
      <c r="N63" s="339"/>
      <c r="O63" s="339"/>
      <c r="P63" s="339"/>
      <c r="Q63" s="339"/>
      <c r="R63" s="339"/>
      <c r="S63" s="339"/>
      <c r="T63" s="339"/>
      <c r="U63" s="339"/>
      <c r="V63" s="339"/>
      <c r="W63" s="339"/>
      <c r="X63" s="339"/>
      <c r="Y63" s="339"/>
      <c r="Z63" s="339"/>
      <c r="AA63" s="339"/>
    </row>
    <row r="64">
      <c r="A64" s="339"/>
      <c r="B64" s="339"/>
      <c r="C64" s="339"/>
      <c r="D64" s="339"/>
      <c r="E64" s="339"/>
      <c r="F64" s="339"/>
      <c r="G64" s="339"/>
      <c r="H64" s="339"/>
      <c r="I64" s="339"/>
      <c r="J64" s="339"/>
      <c r="K64" s="339"/>
      <c r="L64" s="339"/>
      <c r="M64" s="339"/>
      <c r="N64" s="339"/>
      <c r="O64" s="339"/>
      <c r="P64" s="339"/>
      <c r="Q64" s="339"/>
      <c r="R64" s="339"/>
      <c r="S64" s="339"/>
      <c r="T64" s="339"/>
      <c r="U64" s="339"/>
      <c r="V64" s="339"/>
      <c r="W64" s="339"/>
      <c r="X64" s="339"/>
      <c r="Y64" s="339"/>
      <c r="Z64" s="339"/>
      <c r="AA64" s="339"/>
    </row>
    <row r="65">
      <c r="A65" s="339"/>
      <c r="B65" s="339"/>
      <c r="C65" s="339"/>
      <c r="D65" s="339"/>
      <c r="E65" s="339"/>
      <c r="F65" s="339"/>
      <c r="G65" s="339"/>
      <c r="H65" s="339"/>
      <c r="I65" s="339"/>
      <c r="J65" s="339"/>
      <c r="K65" s="339"/>
      <c r="L65" s="339"/>
      <c r="M65" s="339"/>
      <c r="N65" s="339"/>
      <c r="O65" s="339"/>
      <c r="P65" s="339"/>
      <c r="Q65" s="339"/>
      <c r="R65" s="339"/>
      <c r="S65" s="339"/>
      <c r="T65" s="339"/>
      <c r="U65" s="339"/>
      <c r="V65" s="339"/>
      <c r="W65" s="339"/>
      <c r="X65" s="339"/>
      <c r="Y65" s="339"/>
      <c r="Z65" s="339"/>
      <c r="AA65" s="339"/>
    </row>
    <row r="66">
      <c r="A66" s="339"/>
      <c r="B66" s="339"/>
      <c r="C66" s="339"/>
      <c r="D66" s="339"/>
      <c r="E66" s="339"/>
      <c r="F66" s="339"/>
      <c r="G66" s="339"/>
      <c r="H66" s="339"/>
      <c r="I66" s="339"/>
      <c r="J66" s="339"/>
      <c r="K66" s="339"/>
      <c r="L66" s="339"/>
      <c r="M66" s="339"/>
      <c r="N66" s="339"/>
      <c r="O66" s="339"/>
      <c r="P66" s="339"/>
      <c r="Q66" s="339"/>
      <c r="R66" s="339"/>
      <c r="S66" s="339"/>
      <c r="T66" s="339"/>
      <c r="U66" s="339"/>
      <c r="V66" s="339"/>
      <c r="W66" s="339"/>
      <c r="X66" s="339"/>
      <c r="Y66" s="339"/>
      <c r="Z66" s="339"/>
      <c r="AA66" s="339"/>
    </row>
    <row r="67">
      <c r="A67" s="339"/>
      <c r="B67" s="339"/>
      <c r="C67" s="339"/>
      <c r="D67" s="339"/>
      <c r="E67" s="339"/>
      <c r="F67" s="339"/>
      <c r="G67" s="339"/>
      <c r="H67" s="339"/>
      <c r="I67" s="339"/>
      <c r="J67" s="339"/>
      <c r="K67" s="339"/>
      <c r="L67" s="339"/>
      <c r="M67" s="339"/>
      <c r="N67" s="339"/>
      <c r="O67" s="339"/>
      <c r="P67" s="339"/>
      <c r="Q67" s="339"/>
      <c r="R67" s="339"/>
      <c r="S67" s="339"/>
      <c r="T67" s="339"/>
      <c r="U67" s="339"/>
      <c r="V67" s="339"/>
      <c r="W67" s="339"/>
      <c r="X67" s="339"/>
      <c r="Y67" s="339"/>
      <c r="Z67" s="339"/>
      <c r="AA67" s="339"/>
    </row>
    <row r="68">
      <c r="A68" s="339"/>
      <c r="B68" s="339"/>
      <c r="C68" s="339"/>
      <c r="D68" s="339"/>
      <c r="E68" s="339"/>
      <c r="F68" s="339"/>
      <c r="G68" s="339"/>
      <c r="H68" s="339"/>
      <c r="I68" s="339"/>
      <c r="J68" s="339"/>
      <c r="K68" s="339"/>
      <c r="L68" s="339"/>
      <c r="M68" s="339"/>
      <c r="N68" s="339"/>
      <c r="O68" s="339"/>
      <c r="P68" s="339"/>
      <c r="Q68" s="339"/>
      <c r="R68" s="339"/>
      <c r="S68" s="339"/>
      <c r="T68" s="339"/>
      <c r="U68" s="339"/>
      <c r="V68" s="339"/>
      <c r="W68" s="339"/>
      <c r="X68" s="339"/>
      <c r="Y68" s="339"/>
      <c r="Z68" s="339"/>
      <c r="AA68" s="339"/>
    </row>
    <row r="69">
      <c r="A69" s="339"/>
      <c r="B69" s="339"/>
      <c r="C69" s="339"/>
      <c r="D69" s="339"/>
      <c r="E69" s="339"/>
      <c r="F69" s="339"/>
      <c r="G69" s="339"/>
      <c r="H69" s="339"/>
      <c r="I69" s="339"/>
      <c r="J69" s="339"/>
      <c r="K69" s="339"/>
      <c r="L69" s="339"/>
      <c r="M69" s="339"/>
      <c r="N69" s="339"/>
      <c r="O69" s="339"/>
      <c r="P69" s="339"/>
      <c r="Q69" s="339"/>
      <c r="R69" s="339"/>
      <c r="S69" s="339"/>
      <c r="T69" s="339"/>
      <c r="U69" s="339"/>
      <c r="V69" s="339"/>
      <c r="W69" s="339"/>
      <c r="X69" s="339"/>
      <c r="Y69" s="339"/>
      <c r="Z69" s="339"/>
      <c r="AA69" s="339"/>
    </row>
    <row r="70">
      <c r="A70" s="339"/>
      <c r="B70" s="339"/>
      <c r="C70" s="339"/>
      <c r="D70" s="339"/>
      <c r="E70" s="339"/>
      <c r="F70" s="339"/>
      <c r="G70" s="339"/>
      <c r="H70" s="339"/>
      <c r="I70" s="339"/>
      <c r="J70" s="339"/>
      <c r="K70" s="339"/>
      <c r="L70" s="339"/>
      <c r="M70" s="339"/>
      <c r="N70" s="339"/>
      <c r="O70" s="339"/>
      <c r="P70" s="339"/>
      <c r="Q70" s="339"/>
      <c r="R70" s="339"/>
      <c r="S70" s="339"/>
      <c r="T70" s="339"/>
      <c r="U70" s="339"/>
      <c r="V70" s="339"/>
      <c r="W70" s="339"/>
      <c r="X70" s="339"/>
      <c r="Y70" s="339"/>
      <c r="Z70" s="339"/>
      <c r="AA70" s="339"/>
    </row>
    <row r="71">
      <c r="A71" s="339"/>
      <c r="B71" s="339"/>
      <c r="C71" s="339"/>
      <c r="D71" s="339"/>
      <c r="E71" s="339"/>
      <c r="F71" s="339"/>
      <c r="G71" s="339"/>
      <c r="H71" s="339"/>
      <c r="I71" s="339"/>
      <c r="J71" s="339"/>
      <c r="K71" s="339"/>
      <c r="L71" s="339"/>
      <c r="M71" s="339"/>
      <c r="N71" s="339"/>
      <c r="O71" s="339"/>
      <c r="P71" s="339"/>
      <c r="Q71" s="339"/>
      <c r="R71" s="339"/>
      <c r="S71" s="339"/>
      <c r="T71" s="339"/>
      <c r="U71" s="339"/>
      <c r="V71" s="339"/>
      <c r="W71" s="339"/>
      <c r="X71" s="339"/>
      <c r="Y71" s="339"/>
      <c r="Z71" s="339"/>
      <c r="AA71" s="339"/>
    </row>
    <row r="72">
      <c r="A72" s="339"/>
      <c r="B72" s="339"/>
      <c r="C72" s="339"/>
      <c r="D72" s="339"/>
      <c r="E72" s="339"/>
      <c r="F72" s="339"/>
      <c r="G72" s="339"/>
      <c r="H72" s="339"/>
      <c r="I72" s="339"/>
      <c r="J72" s="339"/>
      <c r="K72" s="339"/>
      <c r="L72" s="339"/>
      <c r="M72" s="339"/>
      <c r="N72" s="339"/>
      <c r="O72" s="339"/>
      <c r="P72" s="339"/>
      <c r="Q72" s="339"/>
      <c r="R72" s="339"/>
      <c r="S72" s="339"/>
      <c r="T72" s="339"/>
      <c r="U72" s="339"/>
      <c r="V72" s="339"/>
      <c r="W72" s="339"/>
      <c r="X72" s="339"/>
      <c r="Y72" s="339"/>
      <c r="Z72" s="339"/>
      <c r="AA72" s="339"/>
    </row>
    <row r="73">
      <c r="A73" s="339"/>
      <c r="B73" s="339"/>
      <c r="C73" s="339"/>
      <c r="D73" s="339"/>
      <c r="E73" s="339"/>
      <c r="F73" s="339"/>
      <c r="G73" s="339"/>
      <c r="H73" s="339"/>
      <c r="I73" s="339"/>
      <c r="J73" s="339"/>
      <c r="K73" s="339"/>
      <c r="L73" s="339"/>
      <c r="M73" s="339"/>
      <c r="N73" s="339"/>
      <c r="O73" s="339"/>
      <c r="P73" s="339"/>
      <c r="Q73" s="339"/>
      <c r="R73" s="339"/>
      <c r="S73" s="339"/>
      <c r="T73" s="339"/>
      <c r="U73" s="339"/>
      <c r="V73" s="339"/>
      <c r="W73" s="339"/>
      <c r="X73" s="339"/>
      <c r="Y73" s="339"/>
      <c r="Z73" s="339"/>
      <c r="AA73" s="339"/>
    </row>
    <row r="74">
      <c r="A74" s="339"/>
      <c r="B74" s="339"/>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row>
    <row r="75">
      <c r="A75" s="339"/>
      <c r="B75" s="339"/>
      <c r="C75" s="339"/>
      <c r="D75" s="339"/>
      <c r="E75" s="339"/>
      <c r="F75" s="339"/>
      <c r="G75" s="339"/>
      <c r="H75" s="339"/>
      <c r="I75" s="339"/>
      <c r="J75" s="339"/>
      <c r="K75" s="339"/>
      <c r="L75" s="339"/>
      <c r="M75" s="339"/>
      <c r="N75" s="339"/>
      <c r="O75" s="339"/>
      <c r="P75" s="339"/>
      <c r="Q75" s="339"/>
      <c r="R75" s="339"/>
      <c r="S75" s="339"/>
      <c r="T75" s="339"/>
      <c r="U75" s="339"/>
      <c r="V75" s="339"/>
      <c r="W75" s="339"/>
      <c r="X75" s="339"/>
      <c r="Y75" s="339"/>
      <c r="Z75" s="339"/>
      <c r="AA75" s="339"/>
    </row>
    <row r="76">
      <c r="A76" s="339"/>
      <c r="B76" s="339"/>
      <c r="C76" s="339"/>
      <c r="D76" s="339"/>
      <c r="E76" s="339"/>
      <c r="F76" s="339"/>
      <c r="G76" s="339"/>
      <c r="H76" s="339"/>
      <c r="I76" s="339"/>
      <c r="J76" s="339"/>
      <c r="K76" s="339"/>
      <c r="L76" s="339"/>
      <c r="M76" s="339"/>
      <c r="N76" s="339"/>
      <c r="O76" s="339"/>
      <c r="P76" s="339"/>
      <c r="Q76" s="339"/>
      <c r="R76" s="339"/>
      <c r="S76" s="339"/>
      <c r="T76" s="339"/>
      <c r="U76" s="339"/>
      <c r="V76" s="339"/>
      <c r="W76" s="339"/>
      <c r="X76" s="339"/>
      <c r="Y76" s="339"/>
      <c r="Z76" s="339"/>
      <c r="AA76" s="339"/>
    </row>
    <row r="77">
      <c r="A77" s="339"/>
      <c r="B77" s="339"/>
      <c r="C77" s="339"/>
      <c r="D77" s="339"/>
      <c r="E77" s="339"/>
      <c r="F77" s="339"/>
      <c r="G77" s="339"/>
      <c r="H77" s="339"/>
      <c r="I77" s="339"/>
      <c r="J77" s="339"/>
      <c r="K77" s="339"/>
      <c r="L77" s="339"/>
      <c r="M77" s="339"/>
      <c r="N77" s="339"/>
      <c r="O77" s="339"/>
      <c r="P77" s="339"/>
      <c r="Q77" s="339"/>
      <c r="R77" s="339"/>
      <c r="S77" s="339"/>
      <c r="T77" s="339"/>
      <c r="U77" s="339"/>
      <c r="V77" s="339"/>
      <c r="W77" s="339"/>
      <c r="X77" s="339"/>
      <c r="Y77" s="339"/>
      <c r="Z77" s="339"/>
      <c r="AA77" s="339"/>
    </row>
    <row r="78">
      <c r="A78" s="339"/>
      <c r="B78" s="339"/>
      <c r="C78" s="339"/>
      <c r="D78" s="339"/>
      <c r="E78" s="339"/>
      <c r="F78" s="339"/>
      <c r="G78" s="339"/>
      <c r="H78" s="339"/>
      <c r="I78" s="339"/>
      <c r="J78" s="339"/>
      <c r="K78" s="339"/>
      <c r="L78" s="339"/>
      <c r="M78" s="339"/>
      <c r="N78" s="339"/>
      <c r="O78" s="339"/>
      <c r="P78" s="339"/>
      <c r="Q78" s="339"/>
      <c r="R78" s="339"/>
      <c r="S78" s="339"/>
      <c r="T78" s="339"/>
      <c r="U78" s="339"/>
      <c r="V78" s="339"/>
      <c r="W78" s="339"/>
      <c r="X78" s="339"/>
      <c r="Y78" s="339"/>
      <c r="Z78" s="339"/>
      <c r="AA78" s="339"/>
    </row>
    <row r="79">
      <c r="A79" s="339"/>
      <c r="B79" s="339"/>
      <c r="C79" s="339"/>
      <c r="D79" s="339"/>
      <c r="E79" s="339"/>
      <c r="F79" s="339"/>
      <c r="G79" s="339"/>
      <c r="H79" s="339"/>
      <c r="I79" s="339"/>
      <c r="J79" s="339"/>
      <c r="K79" s="339"/>
      <c r="L79" s="339"/>
      <c r="M79" s="339"/>
      <c r="N79" s="339"/>
      <c r="O79" s="339"/>
      <c r="P79" s="339"/>
      <c r="Q79" s="339"/>
      <c r="R79" s="339"/>
      <c r="S79" s="339"/>
      <c r="T79" s="339"/>
      <c r="U79" s="339"/>
      <c r="V79" s="339"/>
      <c r="W79" s="339"/>
      <c r="X79" s="339"/>
      <c r="Y79" s="339"/>
      <c r="Z79" s="339"/>
      <c r="AA79" s="339"/>
    </row>
    <row r="80">
      <c r="A80" s="339"/>
      <c r="B80" s="339"/>
      <c r="C80" s="339"/>
      <c r="D80" s="339"/>
      <c r="E80" s="339"/>
      <c r="F80" s="339"/>
      <c r="G80" s="339"/>
      <c r="H80" s="339"/>
      <c r="I80" s="339"/>
      <c r="J80" s="339"/>
      <c r="K80" s="339"/>
      <c r="L80" s="339"/>
      <c r="M80" s="339"/>
      <c r="N80" s="339"/>
      <c r="O80" s="339"/>
      <c r="P80" s="339"/>
      <c r="Q80" s="339"/>
      <c r="R80" s="339"/>
      <c r="S80" s="339"/>
      <c r="T80" s="339"/>
      <c r="U80" s="339"/>
      <c r="V80" s="339"/>
      <c r="W80" s="339"/>
      <c r="X80" s="339"/>
      <c r="Y80" s="339"/>
      <c r="Z80" s="339"/>
      <c r="AA80" s="339"/>
    </row>
    <row r="81">
      <c r="A81" s="339"/>
      <c r="B81" s="339"/>
      <c r="C81" s="339"/>
      <c r="D81" s="339"/>
      <c r="E81" s="339"/>
      <c r="F81" s="339"/>
      <c r="G81" s="339"/>
      <c r="H81" s="339"/>
      <c r="I81" s="339"/>
      <c r="J81" s="339"/>
      <c r="K81" s="339"/>
      <c r="L81" s="339"/>
      <c r="M81" s="339"/>
      <c r="N81" s="339"/>
      <c r="O81" s="339"/>
      <c r="P81" s="339"/>
      <c r="Q81" s="339"/>
      <c r="R81" s="339"/>
      <c r="S81" s="339"/>
      <c r="T81" s="339"/>
      <c r="U81" s="339"/>
      <c r="V81" s="339"/>
      <c r="W81" s="339"/>
      <c r="X81" s="339"/>
      <c r="Y81" s="339"/>
      <c r="Z81" s="339"/>
      <c r="AA81" s="339"/>
    </row>
    <row r="82">
      <c r="A82" s="339"/>
      <c r="B82" s="339"/>
      <c r="C82" s="339"/>
      <c r="D82" s="339"/>
      <c r="E82" s="339"/>
      <c r="F82" s="339"/>
      <c r="G82" s="339"/>
      <c r="H82" s="339"/>
      <c r="I82" s="339"/>
      <c r="J82" s="339"/>
      <c r="K82" s="339"/>
      <c r="L82" s="339"/>
      <c r="M82" s="339"/>
      <c r="N82" s="339"/>
      <c r="O82" s="339"/>
      <c r="P82" s="339"/>
      <c r="Q82" s="339"/>
      <c r="R82" s="339"/>
      <c r="S82" s="339"/>
      <c r="T82" s="339"/>
      <c r="U82" s="339"/>
      <c r="V82" s="339"/>
      <c r="W82" s="339"/>
      <c r="X82" s="339"/>
      <c r="Y82" s="339"/>
      <c r="Z82" s="339"/>
      <c r="AA82" s="339"/>
    </row>
    <row r="83">
      <c r="A83" s="339"/>
      <c r="B83" s="339"/>
      <c r="C83" s="339"/>
      <c r="D83" s="339"/>
      <c r="E83" s="339"/>
      <c r="F83" s="339"/>
      <c r="G83" s="339"/>
      <c r="H83" s="339"/>
      <c r="I83" s="339"/>
      <c r="J83" s="339"/>
      <c r="K83" s="339"/>
      <c r="L83" s="339"/>
      <c r="M83" s="339"/>
      <c r="N83" s="339"/>
      <c r="O83" s="339"/>
      <c r="P83" s="339"/>
      <c r="Q83" s="339"/>
      <c r="R83" s="339"/>
      <c r="S83" s="339"/>
      <c r="T83" s="339"/>
      <c r="U83" s="339"/>
      <c r="V83" s="339"/>
      <c r="W83" s="339"/>
      <c r="X83" s="339"/>
      <c r="Y83" s="339"/>
      <c r="Z83" s="339"/>
      <c r="AA83" s="339"/>
    </row>
    <row r="84">
      <c r="A84" s="339"/>
      <c r="B84" s="339"/>
      <c r="C84" s="339"/>
      <c r="D84" s="339"/>
      <c r="E84" s="339"/>
      <c r="F84" s="339"/>
      <c r="G84" s="339"/>
      <c r="H84" s="339"/>
      <c r="I84" s="339"/>
      <c r="J84" s="339"/>
      <c r="K84" s="339"/>
      <c r="L84" s="339"/>
      <c r="M84" s="339"/>
      <c r="N84" s="339"/>
      <c r="O84" s="339"/>
      <c r="P84" s="339"/>
      <c r="Q84" s="339"/>
      <c r="R84" s="339"/>
      <c r="S84" s="339"/>
      <c r="T84" s="339"/>
      <c r="U84" s="339"/>
      <c r="V84" s="339"/>
      <c r="W84" s="339"/>
      <c r="X84" s="339"/>
      <c r="Y84" s="339"/>
      <c r="Z84" s="339"/>
      <c r="AA84" s="339"/>
    </row>
    <row r="85">
      <c r="A85" s="339"/>
      <c r="B85" s="339"/>
      <c r="C85" s="339"/>
      <c r="D85" s="339"/>
      <c r="E85" s="339"/>
      <c r="F85" s="339"/>
      <c r="G85" s="339"/>
      <c r="H85" s="339"/>
      <c r="I85" s="339"/>
      <c r="J85" s="339"/>
      <c r="K85" s="339"/>
      <c r="L85" s="339"/>
      <c r="M85" s="339"/>
      <c r="N85" s="339"/>
      <c r="O85" s="339"/>
      <c r="P85" s="339"/>
      <c r="Q85" s="339"/>
      <c r="R85" s="339"/>
      <c r="S85" s="339"/>
      <c r="T85" s="339"/>
      <c r="U85" s="339"/>
      <c r="V85" s="339"/>
      <c r="W85" s="339"/>
      <c r="X85" s="339"/>
      <c r="Y85" s="339"/>
      <c r="Z85" s="339"/>
      <c r="AA85" s="339"/>
    </row>
    <row r="86">
      <c r="A86" s="339"/>
      <c r="B86" s="339"/>
      <c r="C86" s="339"/>
      <c r="D86" s="339"/>
      <c r="E86" s="339"/>
      <c r="F86" s="339"/>
      <c r="G86" s="339"/>
      <c r="H86" s="339"/>
      <c r="I86" s="339"/>
      <c r="J86" s="339"/>
      <c r="K86" s="339"/>
      <c r="L86" s="339"/>
      <c r="M86" s="339"/>
      <c r="N86" s="339"/>
      <c r="O86" s="339"/>
      <c r="P86" s="339"/>
      <c r="Q86" s="339"/>
      <c r="R86" s="339"/>
      <c r="S86" s="339"/>
      <c r="T86" s="339"/>
      <c r="U86" s="339"/>
      <c r="V86" s="339"/>
      <c r="W86" s="339"/>
      <c r="X86" s="339"/>
      <c r="Y86" s="339"/>
      <c r="Z86" s="339"/>
      <c r="AA86" s="339"/>
    </row>
    <row r="87">
      <c r="A87" s="339"/>
      <c r="B87" s="339"/>
      <c r="C87" s="339"/>
      <c r="D87" s="339"/>
      <c r="E87" s="339"/>
      <c r="F87" s="339"/>
      <c r="G87" s="339"/>
      <c r="H87" s="339"/>
      <c r="I87" s="339"/>
      <c r="J87" s="339"/>
      <c r="K87" s="339"/>
      <c r="L87" s="339"/>
      <c r="M87" s="339"/>
      <c r="N87" s="339"/>
      <c r="O87" s="339"/>
      <c r="P87" s="339"/>
      <c r="Q87" s="339"/>
      <c r="R87" s="339"/>
      <c r="S87" s="339"/>
      <c r="T87" s="339"/>
      <c r="U87" s="339"/>
      <c r="V87" s="339"/>
      <c r="W87" s="339"/>
      <c r="X87" s="339"/>
      <c r="Y87" s="339"/>
      <c r="Z87" s="339"/>
      <c r="AA87" s="339"/>
    </row>
    <row r="88">
      <c r="A88" s="339"/>
      <c r="B88" s="339"/>
      <c r="C88" s="339"/>
      <c r="D88" s="339"/>
      <c r="E88" s="339"/>
      <c r="F88" s="339"/>
      <c r="G88" s="339"/>
      <c r="H88" s="339"/>
      <c r="I88" s="339"/>
      <c r="J88" s="339"/>
      <c r="K88" s="339"/>
      <c r="L88" s="339"/>
      <c r="M88" s="339"/>
      <c r="N88" s="339"/>
      <c r="O88" s="339"/>
      <c r="P88" s="339"/>
      <c r="Q88" s="339"/>
      <c r="R88" s="339"/>
      <c r="S88" s="339"/>
      <c r="T88" s="339"/>
      <c r="U88" s="339"/>
      <c r="V88" s="339"/>
      <c r="W88" s="339"/>
      <c r="X88" s="339"/>
      <c r="Y88" s="339"/>
      <c r="Z88" s="339"/>
      <c r="AA88" s="339"/>
    </row>
    <row r="89">
      <c r="A89" s="339"/>
      <c r="B89" s="339"/>
      <c r="C89" s="339"/>
      <c r="D89" s="339"/>
      <c r="E89" s="339"/>
      <c r="F89" s="339"/>
      <c r="G89" s="339"/>
      <c r="H89" s="339"/>
      <c r="I89" s="339"/>
      <c r="J89" s="339"/>
      <c r="K89" s="339"/>
      <c r="L89" s="339"/>
      <c r="M89" s="339"/>
      <c r="N89" s="339"/>
      <c r="O89" s="339"/>
      <c r="P89" s="339"/>
      <c r="Q89" s="339"/>
      <c r="R89" s="339"/>
      <c r="S89" s="339"/>
      <c r="T89" s="339"/>
      <c r="U89" s="339"/>
      <c r="V89" s="339"/>
      <c r="W89" s="339"/>
      <c r="X89" s="339"/>
      <c r="Y89" s="339"/>
      <c r="Z89" s="339"/>
      <c r="AA89" s="339"/>
    </row>
    <row r="90">
      <c r="A90" s="339"/>
      <c r="B90" s="339"/>
      <c r="C90" s="339"/>
      <c r="D90" s="339"/>
      <c r="E90" s="339"/>
      <c r="F90" s="339"/>
      <c r="G90" s="339"/>
      <c r="H90" s="339"/>
      <c r="I90" s="339"/>
      <c r="J90" s="339"/>
      <c r="K90" s="339"/>
      <c r="L90" s="339"/>
      <c r="M90" s="339"/>
      <c r="N90" s="339"/>
      <c r="O90" s="339"/>
      <c r="P90" s="339"/>
      <c r="Q90" s="339"/>
      <c r="R90" s="339"/>
      <c r="S90" s="339"/>
      <c r="T90" s="339"/>
      <c r="U90" s="339"/>
      <c r="V90" s="339"/>
      <c r="W90" s="339"/>
      <c r="X90" s="339"/>
      <c r="Y90" s="339"/>
      <c r="Z90" s="339"/>
      <c r="AA90" s="339"/>
    </row>
    <row r="91">
      <c r="A91" s="339"/>
      <c r="B91" s="339"/>
      <c r="C91" s="339"/>
      <c r="D91" s="339"/>
      <c r="E91" s="339"/>
      <c r="F91" s="339"/>
      <c r="G91" s="339"/>
      <c r="H91" s="339"/>
      <c r="I91" s="339"/>
      <c r="J91" s="339"/>
      <c r="K91" s="339"/>
      <c r="L91" s="339"/>
      <c r="M91" s="339"/>
      <c r="N91" s="339"/>
      <c r="O91" s="339"/>
      <c r="P91" s="339"/>
      <c r="Q91" s="339"/>
      <c r="R91" s="339"/>
      <c r="S91" s="339"/>
      <c r="T91" s="339"/>
      <c r="U91" s="339"/>
      <c r="V91" s="339"/>
      <c r="W91" s="339"/>
      <c r="X91" s="339"/>
      <c r="Y91" s="339"/>
      <c r="Z91" s="339"/>
      <c r="AA91" s="339"/>
    </row>
    <row r="92">
      <c r="A92" s="339"/>
      <c r="B92" s="339"/>
      <c r="C92" s="339"/>
      <c r="D92" s="339"/>
      <c r="E92" s="339"/>
      <c r="F92" s="339"/>
      <c r="G92" s="339"/>
      <c r="H92" s="339"/>
      <c r="I92" s="339"/>
      <c r="J92" s="339"/>
      <c r="K92" s="339"/>
      <c r="L92" s="339"/>
      <c r="M92" s="339"/>
      <c r="N92" s="339"/>
      <c r="O92" s="339"/>
      <c r="P92" s="339"/>
      <c r="Q92" s="339"/>
      <c r="R92" s="339"/>
      <c r="S92" s="339"/>
      <c r="T92" s="339"/>
      <c r="U92" s="339"/>
      <c r="V92" s="339"/>
      <c r="W92" s="339"/>
      <c r="X92" s="339"/>
      <c r="Y92" s="339"/>
      <c r="Z92" s="339"/>
      <c r="AA92" s="339"/>
    </row>
    <row r="93">
      <c r="A93" s="339"/>
      <c r="B93" s="339"/>
      <c r="C93" s="339"/>
      <c r="D93" s="339"/>
      <c r="E93" s="339"/>
      <c r="F93" s="339"/>
      <c r="G93" s="339"/>
      <c r="H93" s="339"/>
      <c r="I93" s="339"/>
      <c r="J93" s="339"/>
      <c r="K93" s="339"/>
      <c r="L93" s="339"/>
      <c r="M93" s="339"/>
      <c r="N93" s="339"/>
      <c r="O93" s="339"/>
      <c r="P93" s="339"/>
      <c r="Q93" s="339"/>
      <c r="R93" s="339"/>
      <c r="S93" s="339"/>
      <c r="T93" s="339"/>
      <c r="U93" s="339"/>
      <c r="V93" s="339"/>
      <c r="W93" s="339"/>
      <c r="X93" s="339"/>
      <c r="Y93" s="339"/>
      <c r="Z93" s="339"/>
      <c r="AA93" s="339"/>
    </row>
    <row r="94">
      <c r="A94" s="339"/>
      <c r="B94" s="339"/>
      <c r="C94" s="339"/>
      <c r="D94" s="339"/>
      <c r="E94" s="339"/>
      <c r="F94" s="339"/>
      <c r="G94" s="339"/>
      <c r="H94" s="339"/>
      <c r="I94" s="339"/>
      <c r="J94" s="339"/>
      <c r="K94" s="339"/>
      <c r="L94" s="339"/>
      <c r="M94" s="339"/>
      <c r="N94" s="339"/>
      <c r="O94" s="339"/>
      <c r="P94" s="339"/>
      <c r="Q94" s="339"/>
      <c r="R94" s="339"/>
      <c r="S94" s="339"/>
      <c r="T94" s="339"/>
      <c r="U94" s="339"/>
      <c r="V94" s="339"/>
      <c r="W94" s="339"/>
      <c r="X94" s="339"/>
      <c r="Y94" s="339"/>
      <c r="Z94" s="339"/>
      <c r="AA94" s="339"/>
    </row>
    <row r="95">
      <c r="A95" s="339"/>
      <c r="B95" s="339"/>
      <c r="C95" s="339"/>
      <c r="D95" s="339"/>
      <c r="E95" s="339"/>
      <c r="F95" s="339"/>
      <c r="G95" s="339"/>
      <c r="H95" s="339"/>
      <c r="I95" s="339"/>
      <c r="J95" s="339"/>
      <c r="K95" s="339"/>
      <c r="L95" s="339"/>
      <c r="M95" s="339"/>
      <c r="N95" s="339"/>
      <c r="O95" s="339"/>
      <c r="P95" s="339"/>
      <c r="Q95" s="339"/>
      <c r="R95" s="339"/>
      <c r="S95" s="339"/>
      <c r="T95" s="339"/>
      <c r="U95" s="339"/>
      <c r="V95" s="339"/>
      <c r="W95" s="339"/>
      <c r="X95" s="339"/>
      <c r="Y95" s="339"/>
      <c r="Z95" s="339"/>
      <c r="AA95" s="339"/>
    </row>
    <row r="96">
      <c r="A96" s="339"/>
      <c r="B96" s="339"/>
      <c r="C96" s="339"/>
      <c r="D96" s="339"/>
      <c r="E96" s="339"/>
      <c r="F96" s="339"/>
      <c r="G96" s="339"/>
      <c r="H96" s="339"/>
      <c r="I96" s="339"/>
      <c r="J96" s="339"/>
      <c r="K96" s="339"/>
      <c r="L96" s="339"/>
      <c r="M96" s="339"/>
      <c r="N96" s="339"/>
      <c r="O96" s="339"/>
      <c r="P96" s="339"/>
      <c r="Q96" s="339"/>
      <c r="R96" s="339"/>
      <c r="S96" s="339"/>
      <c r="T96" s="339"/>
      <c r="U96" s="339"/>
      <c r="V96" s="339"/>
      <c r="W96" s="339"/>
      <c r="X96" s="339"/>
      <c r="Y96" s="339"/>
      <c r="Z96" s="339"/>
      <c r="AA96" s="339"/>
    </row>
    <row r="97">
      <c r="A97" s="339"/>
      <c r="B97" s="339"/>
      <c r="C97" s="339"/>
      <c r="D97" s="339"/>
      <c r="E97" s="339"/>
      <c r="F97" s="339"/>
      <c r="G97" s="339"/>
      <c r="H97" s="339"/>
      <c r="I97" s="339"/>
      <c r="J97" s="339"/>
      <c r="K97" s="339"/>
      <c r="L97" s="339"/>
      <c r="M97" s="339"/>
      <c r="N97" s="339"/>
      <c r="O97" s="339"/>
      <c r="P97" s="339"/>
      <c r="Q97" s="339"/>
      <c r="R97" s="339"/>
      <c r="S97" s="339"/>
      <c r="T97" s="339"/>
      <c r="U97" s="339"/>
      <c r="V97" s="339"/>
      <c r="W97" s="339"/>
      <c r="X97" s="339"/>
      <c r="Y97" s="339"/>
      <c r="Z97" s="339"/>
      <c r="AA97" s="339"/>
    </row>
    <row r="98">
      <c r="A98" s="339"/>
      <c r="B98" s="339"/>
      <c r="C98" s="339"/>
      <c r="D98" s="339"/>
      <c r="E98" s="339"/>
      <c r="F98" s="339"/>
      <c r="G98" s="339"/>
      <c r="H98" s="339"/>
      <c r="I98" s="339"/>
      <c r="J98" s="339"/>
      <c r="K98" s="339"/>
      <c r="L98" s="339"/>
      <c r="M98" s="339"/>
      <c r="N98" s="339"/>
      <c r="O98" s="339"/>
      <c r="P98" s="339"/>
      <c r="Q98" s="339"/>
      <c r="R98" s="339"/>
      <c r="S98" s="339"/>
      <c r="T98" s="339"/>
      <c r="U98" s="339"/>
      <c r="V98" s="339"/>
      <c r="W98" s="339"/>
      <c r="X98" s="339"/>
      <c r="Y98" s="339"/>
      <c r="Z98" s="339"/>
      <c r="AA98" s="339"/>
    </row>
    <row r="99">
      <c r="A99" s="339"/>
      <c r="B99" s="339"/>
      <c r="C99" s="339"/>
      <c r="D99" s="339"/>
      <c r="E99" s="339"/>
      <c r="F99" s="339"/>
      <c r="G99" s="339"/>
      <c r="H99" s="339"/>
      <c r="I99" s="339"/>
      <c r="J99" s="339"/>
      <c r="K99" s="339"/>
      <c r="L99" s="339"/>
      <c r="M99" s="339"/>
      <c r="N99" s="339"/>
      <c r="O99" s="339"/>
      <c r="P99" s="339"/>
      <c r="Q99" s="339"/>
      <c r="R99" s="339"/>
      <c r="S99" s="339"/>
      <c r="T99" s="339"/>
      <c r="U99" s="339"/>
      <c r="V99" s="339"/>
      <c r="W99" s="339"/>
      <c r="X99" s="339"/>
      <c r="Y99" s="339"/>
      <c r="Z99" s="339"/>
      <c r="AA99" s="339"/>
    </row>
    <row r="100">
      <c r="A100" s="339"/>
      <c r="B100" s="339"/>
      <c r="C100" s="339"/>
      <c r="D100" s="339"/>
      <c r="E100" s="339"/>
      <c r="F100" s="339"/>
      <c r="G100" s="339"/>
      <c r="H100" s="339"/>
      <c r="I100" s="339"/>
      <c r="J100" s="339"/>
      <c r="K100" s="339"/>
      <c r="L100" s="339"/>
      <c r="M100" s="339"/>
      <c r="N100" s="339"/>
      <c r="O100" s="339"/>
      <c r="P100" s="339"/>
      <c r="Q100" s="339"/>
      <c r="R100" s="339"/>
      <c r="S100" s="339"/>
      <c r="T100" s="339"/>
      <c r="U100" s="339"/>
      <c r="V100" s="339"/>
      <c r="W100" s="339"/>
      <c r="X100" s="339"/>
      <c r="Y100" s="339"/>
      <c r="Z100" s="339"/>
      <c r="AA100" s="339"/>
    </row>
    <row r="101">
      <c r="A101" s="339"/>
      <c r="B101" s="339"/>
      <c r="C101" s="339"/>
      <c r="D101" s="339"/>
      <c r="E101" s="339"/>
      <c r="F101" s="339"/>
      <c r="G101" s="339"/>
      <c r="H101" s="339"/>
      <c r="I101" s="339"/>
      <c r="J101" s="339"/>
      <c r="K101" s="339"/>
      <c r="L101" s="339"/>
      <c r="M101" s="339"/>
      <c r="N101" s="339"/>
      <c r="O101" s="339"/>
      <c r="P101" s="339"/>
      <c r="Q101" s="339"/>
      <c r="R101" s="339"/>
      <c r="S101" s="339"/>
      <c r="T101" s="339"/>
      <c r="U101" s="339"/>
      <c r="V101" s="339"/>
      <c r="W101" s="339"/>
      <c r="X101" s="339"/>
      <c r="Y101" s="339"/>
      <c r="Z101" s="339"/>
      <c r="AA101" s="339"/>
    </row>
    <row r="102">
      <c r="A102" s="339"/>
      <c r="B102" s="339"/>
      <c r="C102" s="339"/>
      <c r="D102" s="339"/>
      <c r="E102" s="339"/>
      <c r="F102" s="339"/>
      <c r="G102" s="339"/>
      <c r="H102" s="339"/>
      <c r="I102" s="339"/>
      <c r="J102" s="339"/>
      <c r="K102" s="339"/>
      <c r="L102" s="339"/>
      <c r="M102" s="339"/>
      <c r="N102" s="339"/>
      <c r="O102" s="339"/>
      <c r="P102" s="339"/>
      <c r="Q102" s="339"/>
      <c r="R102" s="339"/>
      <c r="S102" s="339"/>
      <c r="T102" s="339"/>
      <c r="U102" s="339"/>
      <c r="V102" s="339"/>
      <c r="W102" s="339"/>
      <c r="X102" s="339"/>
      <c r="Y102" s="339"/>
      <c r="Z102" s="339"/>
      <c r="AA102" s="339"/>
    </row>
    <row r="103">
      <c r="A103" s="339"/>
      <c r="B103" s="339"/>
      <c r="C103" s="339"/>
      <c r="D103" s="339"/>
      <c r="E103" s="339"/>
      <c r="F103" s="339"/>
      <c r="G103" s="339"/>
      <c r="H103" s="339"/>
      <c r="I103" s="339"/>
      <c r="J103" s="339"/>
      <c r="K103" s="339"/>
      <c r="L103" s="339"/>
      <c r="M103" s="339"/>
      <c r="N103" s="339"/>
      <c r="O103" s="339"/>
      <c r="P103" s="339"/>
      <c r="Q103" s="339"/>
      <c r="R103" s="339"/>
      <c r="S103" s="339"/>
      <c r="T103" s="339"/>
      <c r="U103" s="339"/>
      <c r="V103" s="339"/>
      <c r="W103" s="339"/>
      <c r="X103" s="339"/>
      <c r="Y103" s="339"/>
      <c r="Z103" s="339"/>
      <c r="AA103" s="339"/>
    </row>
    <row r="104">
      <c r="A104" s="339"/>
      <c r="B104" s="339"/>
      <c r="C104" s="339"/>
      <c r="D104" s="339"/>
      <c r="E104" s="339"/>
      <c r="F104" s="339"/>
      <c r="G104" s="339"/>
      <c r="H104" s="339"/>
      <c r="I104" s="339"/>
      <c r="J104" s="339"/>
      <c r="K104" s="339"/>
      <c r="L104" s="339"/>
      <c r="M104" s="339"/>
      <c r="N104" s="339"/>
      <c r="O104" s="339"/>
      <c r="P104" s="339"/>
      <c r="Q104" s="339"/>
      <c r="R104" s="339"/>
      <c r="S104" s="339"/>
      <c r="T104" s="339"/>
      <c r="U104" s="339"/>
      <c r="V104" s="339"/>
      <c r="W104" s="339"/>
      <c r="X104" s="339"/>
      <c r="Y104" s="339"/>
      <c r="Z104" s="339"/>
      <c r="AA104" s="339"/>
    </row>
    <row r="105">
      <c r="A105" s="339"/>
      <c r="B105" s="339"/>
      <c r="C105" s="339"/>
      <c r="D105" s="339"/>
      <c r="E105" s="339"/>
      <c r="F105" s="339"/>
      <c r="G105" s="339"/>
      <c r="H105" s="339"/>
      <c r="I105" s="339"/>
      <c r="J105" s="339"/>
      <c r="K105" s="339"/>
      <c r="L105" s="339"/>
      <c r="M105" s="339"/>
      <c r="N105" s="339"/>
      <c r="O105" s="339"/>
      <c r="P105" s="339"/>
      <c r="Q105" s="339"/>
      <c r="R105" s="339"/>
      <c r="S105" s="339"/>
      <c r="T105" s="339"/>
      <c r="U105" s="339"/>
      <c r="V105" s="339"/>
      <c r="W105" s="339"/>
      <c r="X105" s="339"/>
      <c r="Y105" s="339"/>
      <c r="Z105" s="339"/>
      <c r="AA105" s="339"/>
    </row>
    <row r="106">
      <c r="A106" s="339"/>
      <c r="B106" s="339"/>
      <c r="C106" s="339"/>
      <c r="D106" s="339"/>
      <c r="E106" s="339"/>
      <c r="F106" s="339"/>
      <c r="G106" s="339"/>
      <c r="H106" s="339"/>
      <c r="I106" s="339"/>
      <c r="J106" s="339"/>
      <c r="K106" s="339"/>
      <c r="L106" s="339"/>
      <c r="M106" s="339"/>
      <c r="N106" s="339"/>
      <c r="O106" s="339"/>
      <c r="P106" s="339"/>
      <c r="Q106" s="339"/>
      <c r="R106" s="339"/>
      <c r="S106" s="339"/>
      <c r="T106" s="339"/>
      <c r="U106" s="339"/>
      <c r="V106" s="339"/>
      <c r="W106" s="339"/>
      <c r="X106" s="339"/>
      <c r="Y106" s="339"/>
      <c r="Z106" s="339"/>
      <c r="AA106" s="339"/>
    </row>
    <row r="107">
      <c r="A107" s="339"/>
      <c r="B107" s="339"/>
      <c r="C107" s="339"/>
      <c r="D107" s="339"/>
      <c r="E107" s="339"/>
      <c r="F107" s="339"/>
      <c r="G107" s="339"/>
      <c r="H107" s="339"/>
      <c r="I107" s="339"/>
      <c r="J107" s="339"/>
      <c r="K107" s="339"/>
      <c r="L107" s="339"/>
      <c r="M107" s="339"/>
      <c r="N107" s="339"/>
      <c r="O107" s="339"/>
      <c r="P107" s="339"/>
      <c r="Q107" s="339"/>
      <c r="R107" s="339"/>
      <c r="S107" s="339"/>
      <c r="T107" s="339"/>
      <c r="U107" s="339"/>
      <c r="V107" s="339"/>
      <c r="W107" s="339"/>
      <c r="X107" s="339"/>
      <c r="Y107" s="339"/>
      <c r="Z107" s="339"/>
      <c r="AA107" s="339"/>
    </row>
    <row r="108">
      <c r="A108" s="339"/>
      <c r="B108" s="339"/>
      <c r="C108" s="339"/>
      <c r="D108" s="339"/>
      <c r="E108" s="339"/>
      <c r="F108" s="339"/>
      <c r="G108" s="339"/>
      <c r="H108" s="339"/>
      <c r="I108" s="339"/>
      <c r="J108" s="339"/>
      <c r="K108" s="339"/>
      <c r="L108" s="339"/>
      <c r="M108" s="339"/>
      <c r="N108" s="339"/>
      <c r="O108" s="339"/>
      <c r="P108" s="339"/>
      <c r="Q108" s="339"/>
      <c r="R108" s="339"/>
      <c r="S108" s="339"/>
      <c r="T108" s="339"/>
      <c r="U108" s="339"/>
      <c r="V108" s="339"/>
      <c r="W108" s="339"/>
      <c r="X108" s="339"/>
      <c r="Y108" s="339"/>
      <c r="Z108" s="339"/>
      <c r="AA108" s="339"/>
    </row>
    <row r="109">
      <c r="A109" s="339"/>
      <c r="B109" s="339"/>
      <c r="C109" s="339"/>
      <c r="D109" s="339"/>
      <c r="E109" s="339"/>
      <c r="F109" s="339"/>
      <c r="G109" s="339"/>
      <c r="H109" s="339"/>
      <c r="I109" s="339"/>
      <c r="J109" s="339"/>
      <c r="K109" s="339"/>
      <c r="L109" s="339"/>
      <c r="M109" s="339"/>
      <c r="N109" s="339"/>
      <c r="O109" s="339"/>
      <c r="P109" s="339"/>
      <c r="Q109" s="339"/>
      <c r="R109" s="339"/>
      <c r="S109" s="339"/>
      <c r="T109" s="339"/>
      <c r="U109" s="339"/>
      <c r="V109" s="339"/>
      <c r="W109" s="339"/>
      <c r="X109" s="339"/>
      <c r="Y109" s="339"/>
      <c r="Z109" s="339"/>
      <c r="AA109" s="339"/>
    </row>
    <row r="110">
      <c r="A110" s="339"/>
      <c r="B110" s="339"/>
      <c r="C110" s="339"/>
      <c r="D110" s="339"/>
      <c r="E110" s="339"/>
      <c r="F110" s="339"/>
      <c r="G110" s="339"/>
      <c r="H110" s="339"/>
      <c r="I110" s="339"/>
      <c r="J110" s="339"/>
      <c r="K110" s="339"/>
      <c r="L110" s="339"/>
      <c r="M110" s="339"/>
      <c r="N110" s="339"/>
      <c r="O110" s="339"/>
      <c r="P110" s="339"/>
      <c r="Q110" s="339"/>
      <c r="R110" s="339"/>
      <c r="S110" s="339"/>
      <c r="T110" s="339"/>
      <c r="U110" s="339"/>
      <c r="V110" s="339"/>
      <c r="W110" s="339"/>
      <c r="X110" s="339"/>
      <c r="Y110" s="339"/>
      <c r="Z110" s="339"/>
      <c r="AA110" s="339"/>
    </row>
    <row r="111">
      <c r="A111" s="339"/>
      <c r="B111" s="339"/>
      <c r="C111" s="339"/>
      <c r="D111" s="339"/>
      <c r="E111" s="339"/>
      <c r="F111" s="339"/>
      <c r="G111" s="339"/>
      <c r="H111" s="339"/>
      <c r="I111" s="339"/>
      <c r="J111" s="339"/>
      <c r="K111" s="339"/>
      <c r="L111" s="339"/>
      <c r="M111" s="339"/>
      <c r="N111" s="339"/>
      <c r="O111" s="339"/>
      <c r="P111" s="339"/>
      <c r="Q111" s="339"/>
      <c r="R111" s="339"/>
      <c r="S111" s="339"/>
      <c r="T111" s="339"/>
      <c r="U111" s="339"/>
      <c r="V111" s="339"/>
      <c r="W111" s="339"/>
      <c r="X111" s="339"/>
      <c r="Y111" s="339"/>
      <c r="Z111" s="339"/>
      <c r="AA111" s="339"/>
    </row>
    <row r="112">
      <c r="A112" s="339"/>
      <c r="B112" s="339"/>
      <c r="C112" s="339"/>
      <c r="D112" s="339"/>
      <c r="E112" s="339"/>
      <c r="F112" s="339"/>
      <c r="G112" s="339"/>
      <c r="H112" s="339"/>
      <c r="I112" s="339"/>
      <c r="J112" s="339"/>
      <c r="K112" s="339"/>
      <c r="L112" s="339"/>
      <c r="M112" s="339"/>
      <c r="N112" s="339"/>
      <c r="O112" s="339"/>
      <c r="P112" s="339"/>
      <c r="Q112" s="339"/>
      <c r="R112" s="339"/>
      <c r="S112" s="339"/>
      <c r="T112" s="339"/>
      <c r="U112" s="339"/>
      <c r="V112" s="339"/>
      <c r="W112" s="339"/>
      <c r="X112" s="339"/>
      <c r="Y112" s="339"/>
      <c r="Z112" s="339"/>
      <c r="AA112" s="339"/>
    </row>
    <row r="113">
      <c r="A113" s="339"/>
      <c r="B113" s="339"/>
      <c r="C113" s="339"/>
      <c r="D113" s="339"/>
      <c r="E113" s="339"/>
      <c r="F113" s="339"/>
      <c r="G113" s="339"/>
      <c r="H113" s="339"/>
      <c r="I113" s="339"/>
      <c r="J113" s="339"/>
      <c r="K113" s="339"/>
      <c r="L113" s="339"/>
      <c r="M113" s="339"/>
      <c r="N113" s="339"/>
      <c r="O113" s="339"/>
      <c r="P113" s="339"/>
      <c r="Q113" s="339"/>
      <c r="R113" s="339"/>
      <c r="S113" s="339"/>
      <c r="T113" s="339"/>
      <c r="U113" s="339"/>
      <c r="V113" s="339"/>
      <c r="W113" s="339"/>
      <c r="X113" s="339"/>
      <c r="Y113" s="339"/>
      <c r="Z113" s="339"/>
      <c r="AA113" s="339"/>
    </row>
    <row r="114">
      <c r="A114" s="339"/>
      <c r="B114" s="339"/>
      <c r="C114" s="339"/>
      <c r="D114" s="339"/>
      <c r="E114" s="339"/>
      <c r="F114" s="339"/>
      <c r="G114" s="339"/>
      <c r="H114" s="339"/>
      <c r="I114" s="339"/>
      <c r="J114" s="339"/>
      <c r="K114" s="339"/>
      <c r="L114" s="339"/>
      <c r="M114" s="339"/>
      <c r="N114" s="339"/>
      <c r="O114" s="339"/>
      <c r="P114" s="339"/>
      <c r="Q114" s="339"/>
      <c r="R114" s="339"/>
      <c r="S114" s="339"/>
      <c r="T114" s="339"/>
      <c r="U114" s="339"/>
      <c r="V114" s="339"/>
      <c r="W114" s="339"/>
      <c r="X114" s="339"/>
      <c r="Y114" s="339"/>
      <c r="Z114" s="339"/>
      <c r="AA114" s="339"/>
    </row>
    <row r="115">
      <c r="A115" s="339"/>
      <c r="B115" s="339"/>
      <c r="C115" s="339"/>
      <c r="D115" s="339"/>
      <c r="E115" s="339"/>
      <c r="F115" s="339"/>
      <c r="G115" s="339"/>
      <c r="H115" s="339"/>
      <c r="I115" s="339"/>
      <c r="J115" s="339"/>
      <c r="K115" s="339"/>
      <c r="L115" s="339"/>
      <c r="M115" s="339"/>
      <c r="N115" s="339"/>
      <c r="O115" s="339"/>
      <c r="P115" s="339"/>
      <c r="Q115" s="339"/>
      <c r="R115" s="339"/>
      <c r="S115" s="339"/>
      <c r="T115" s="339"/>
      <c r="U115" s="339"/>
      <c r="V115" s="339"/>
      <c r="W115" s="339"/>
      <c r="X115" s="339"/>
      <c r="Y115" s="339"/>
      <c r="Z115" s="339"/>
      <c r="AA115" s="339"/>
    </row>
    <row r="116">
      <c r="A116" s="339"/>
      <c r="B116" s="339"/>
      <c r="C116" s="339"/>
      <c r="D116" s="339"/>
      <c r="E116" s="339"/>
      <c r="F116" s="339"/>
      <c r="G116" s="339"/>
      <c r="H116" s="339"/>
      <c r="I116" s="339"/>
      <c r="J116" s="339"/>
      <c r="K116" s="339"/>
      <c r="L116" s="339"/>
      <c r="M116" s="339"/>
      <c r="N116" s="339"/>
      <c r="O116" s="339"/>
      <c r="P116" s="339"/>
      <c r="Q116" s="339"/>
      <c r="R116" s="339"/>
      <c r="S116" s="339"/>
      <c r="T116" s="339"/>
      <c r="U116" s="339"/>
      <c r="V116" s="339"/>
      <c r="W116" s="339"/>
      <c r="X116" s="339"/>
      <c r="Y116" s="339"/>
      <c r="Z116" s="339"/>
      <c r="AA116" s="339"/>
    </row>
    <row r="117">
      <c r="A117" s="339"/>
      <c r="B117" s="339"/>
      <c r="C117" s="339"/>
      <c r="D117" s="339"/>
      <c r="E117" s="339"/>
      <c r="F117" s="339"/>
      <c r="G117" s="339"/>
      <c r="H117" s="339"/>
      <c r="I117" s="339"/>
      <c r="J117" s="339"/>
      <c r="K117" s="339"/>
      <c r="L117" s="339"/>
      <c r="M117" s="339"/>
      <c r="N117" s="339"/>
      <c r="O117" s="339"/>
      <c r="P117" s="339"/>
      <c r="Q117" s="339"/>
      <c r="R117" s="339"/>
      <c r="S117" s="339"/>
      <c r="T117" s="339"/>
      <c r="U117" s="339"/>
      <c r="V117" s="339"/>
      <c r="W117" s="339"/>
      <c r="X117" s="339"/>
      <c r="Y117" s="339"/>
      <c r="Z117" s="339"/>
      <c r="AA117" s="339"/>
    </row>
    <row r="118">
      <c r="A118" s="339"/>
      <c r="B118" s="339"/>
      <c r="C118" s="339"/>
      <c r="D118" s="339"/>
      <c r="E118" s="339"/>
      <c r="F118" s="339"/>
      <c r="G118" s="339"/>
      <c r="H118" s="339"/>
      <c r="I118" s="339"/>
      <c r="J118" s="339"/>
      <c r="K118" s="339"/>
      <c r="L118" s="339"/>
      <c r="M118" s="339"/>
      <c r="N118" s="339"/>
      <c r="O118" s="339"/>
      <c r="P118" s="339"/>
      <c r="Q118" s="339"/>
      <c r="R118" s="339"/>
      <c r="S118" s="339"/>
      <c r="T118" s="339"/>
      <c r="U118" s="339"/>
      <c r="V118" s="339"/>
      <c r="W118" s="339"/>
      <c r="X118" s="339"/>
      <c r="Y118" s="339"/>
      <c r="Z118" s="339"/>
      <c r="AA118" s="339"/>
    </row>
    <row r="119">
      <c r="A119" s="339"/>
      <c r="B119" s="339"/>
      <c r="C119" s="339"/>
      <c r="D119" s="339"/>
      <c r="E119" s="339"/>
      <c r="F119" s="339"/>
      <c r="G119" s="339"/>
      <c r="H119" s="339"/>
      <c r="I119" s="339"/>
      <c r="J119" s="339"/>
      <c r="K119" s="339"/>
      <c r="L119" s="339"/>
      <c r="M119" s="339"/>
      <c r="N119" s="339"/>
      <c r="O119" s="339"/>
      <c r="P119" s="339"/>
      <c r="Q119" s="339"/>
      <c r="R119" s="339"/>
      <c r="S119" s="339"/>
      <c r="T119" s="339"/>
      <c r="U119" s="339"/>
      <c r="V119" s="339"/>
      <c r="W119" s="339"/>
      <c r="X119" s="339"/>
      <c r="Y119" s="339"/>
      <c r="Z119" s="339"/>
      <c r="AA119" s="339"/>
    </row>
    <row r="120">
      <c r="A120" s="339"/>
      <c r="B120" s="339"/>
      <c r="C120" s="339"/>
      <c r="D120" s="339"/>
      <c r="E120" s="339"/>
      <c r="F120" s="339"/>
      <c r="G120" s="339"/>
      <c r="H120" s="339"/>
      <c r="I120" s="339"/>
      <c r="J120" s="339"/>
      <c r="K120" s="339"/>
      <c r="L120" s="339"/>
      <c r="M120" s="339"/>
      <c r="N120" s="339"/>
      <c r="O120" s="339"/>
      <c r="P120" s="339"/>
      <c r="Q120" s="339"/>
      <c r="R120" s="339"/>
      <c r="S120" s="339"/>
      <c r="T120" s="339"/>
      <c r="U120" s="339"/>
      <c r="V120" s="339"/>
      <c r="W120" s="339"/>
      <c r="X120" s="339"/>
      <c r="Y120" s="339"/>
      <c r="Z120" s="339"/>
      <c r="AA120" s="339"/>
    </row>
    <row r="121">
      <c r="A121" s="339"/>
      <c r="B121" s="339"/>
      <c r="C121" s="339"/>
      <c r="D121" s="339"/>
      <c r="E121" s="339"/>
      <c r="F121" s="339"/>
      <c r="G121" s="339"/>
      <c r="H121" s="339"/>
      <c r="I121" s="339"/>
      <c r="J121" s="339"/>
      <c r="K121" s="339"/>
      <c r="L121" s="339"/>
      <c r="M121" s="339"/>
      <c r="N121" s="339"/>
      <c r="O121" s="339"/>
      <c r="P121" s="339"/>
      <c r="Q121" s="339"/>
      <c r="R121" s="339"/>
      <c r="S121" s="339"/>
      <c r="T121" s="339"/>
      <c r="U121" s="339"/>
      <c r="V121" s="339"/>
      <c r="W121" s="339"/>
      <c r="X121" s="339"/>
      <c r="Y121" s="339"/>
      <c r="Z121" s="339"/>
      <c r="AA121" s="339"/>
    </row>
    <row r="122">
      <c r="A122" s="339"/>
      <c r="B122" s="339"/>
      <c r="C122" s="339"/>
      <c r="D122" s="339"/>
      <c r="E122" s="339"/>
      <c r="F122" s="339"/>
      <c r="G122" s="339"/>
      <c r="H122" s="339"/>
      <c r="I122" s="339"/>
      <c r="J122" s="339"/>
      <c r="K122" s="339"/>
      <c r="L122" s="339"/>
      <c r="M122" s="339"/>
      <c r="N122" s="339"/>
      <c r="O122" s="339"/>
      <c r="P122" s="339"/>
      <c r="Q122" s="339"/>
      <c r="R122" s="339"/>
      <c r="S122" s="339"/>
      <c r="T122" s="339"/>
      <c r="U122" s="339"/>
      <c r="V122" s="339"/>
      <c r="W122" s="339"/>
      <c r="X122" s="339"/>
      <c r="Y122" s="339"/>
      <c r="Z122" s="339"/>
      <c r="AA122" s="339"/>
    </row>
    <row r="123">
      <c r="A123" s="339"/>
      <c r="B123" s="339"/>
      <c r="C123" s="339"/>
      <c r="D123" s="339"/>
      <c r="E123" s="339"/>
      <c r="F123" s="339"/>
      <c r="G123" s="339"/>
      <c r="H123" s="339"/>
      <c r="I123" s="339"/>
      <c r="J123" s="339"/>
      <c r="K123" s="339"/>
      <c r="L123" s="339"/>
      <c r="M123" s="339"/>
      <c r="N123" s="339"/>
      <c r="O123" s="339"/>
      <c r="P123" s="339"/>
      <c r="Q123" s="339"/>
      <c r="R123" s="339"/>
      <c r="S123" s="339"/>
      <c r="T123" s="339"/>
      <c r="U123" s="339"/>
      <c r="V123" s="339"/>
      <c r="W123" s="339"/>
      <c r="X123" s="339"/>
      <c r="Y123" s="339"/>
      <c r="Z123" s="339"/>
      <c r="AA123" s="339"/>
    </row>
    <row r="124">
      <c r="A124" s="339"/>
      <c r="B124" s="339"/>
      <c r="C124" s="339"/>
      <c r="D124" s="339"/>
      <c r="E124" s="339"/>
      <c r="F124" s="339"/>
      <c r="G124" s="339"/>
      <c r="H124" s="339"/>
      <c r="I124" s="339"/>
      <c r="J124" s="339"/>
      <c r="K124" s="339"/>
      <c r="L124" s="339"/>
      <c r="M124" s="339"/>
      <c r="N124" s="339"/>
      <c r="O124" s="339"/>
      <c r="P124" s="339"/>
      <c r="Q124" s="339"/>
      <c r="R124" s="339"/>
      <c r="S124" s="339"/>
      <c r="T124" s="339"/>
      <c r="U124" s="339"/>
      <c r="V124" s="339"/>
      <c r="W124" s="339"/>
      <c r="X124" s="339"/>
      <c r="Y124" s="339"/>
      <c r="Z124" s="339"/>
      <c r="AA124" s="339"/>
    </row>
    <row r="125">
      <c r="A125" s="339"/>
      <c r="B125" s="339"/>
      <c r="C125" s="339"/>
      <c r="D125" s="339"/>
      <c r="E125" s="339"/>
      <c r="F125" s="339"/>
      <c r="G125" s="339"/>
      <c r="H125" s="339"/>
      <c r="I125" s="339"/>
      <c r="J125" s="339"/>
      <c r="K125" s="339"/>
      <c r="L125" s="339"/>
      <c r="M125" s="339"/>
      <c r="N125" s="339"/>
      <c r="O125" s="339"/>
      <c r="P125" s="339"/>
      <c r="Q125" s="339"/>
      <c r="R125" s="339"/>
      <c r="S125" s="339"/>
      <c r="T125" s="339"/>
      <c r="U125" s="339"/>
      <c r="V125" s="339"/>
      <c r="W125" s="339"/>
      <c r="X125" s="339"/>
      <c r="Y125" s="339"/>
      <c r="Z125" s="339"/>
      <c r="AA125" s="339"/>
    </row>
    <row r="126">
      <c r="A126" s="339"/>
      <c r="B126" s="339"/>
      <c r="C126" s="339"/>
      <c r="D126" s="339"/>
      <c r="E126" s="339"/>
      <c r="F126" s="339"/>
      <c r="G126" s="339"/>
      <c r="H126" s="339"/>
      <c r="I126" s="339"/>
      <c r="J126" s="339"/>
      <c r="K126" s="339"/>
      <c r="L126" s="339"/>
      <c r="M126" s="339"/>
      <c r="N126" s="339"/>
      <c r="O126" s="339"/>
      <c r="P126" s="339"/>
      <c r="Q126" s="339"/>
      <c r="R126" s="339"/>
      <c r="S126" s="339"/>
      <c r="T126" s="339"/>
      <c r="U126" s="339"/>
      <c r="V126" s="339"/>
      <c r="W126" s="339"/>
      <c r="X126" s="339"/>
      <c r="Y126" s="339"/>
      <c r="Z126" s="339"/>
      <c r="AA126" s="339"/>
    </row>
    <row r="127">
      <c r="A127" s="339"/>
      <c r="B127" s="339"/>
      <c r="C127" s="339"/>
      <c r="D127" s="339"/>
      <c r="E127" s="339"/>
      <c r="F127" s="339"/>
      <c r="G127" s="339"/>
      <c r="H127" s="339"/>
      <c r="I127" s="339"/>
      <c r="J127" s="339"/>
      <c r="K127" s="339"/>
      <c r="L127" s="339"/>
      <c r="M127" s="339"/>
      <c r="N127" s="339"/>
      <c r="O127" s="339"/>
      <c r="P127" s="339"/>
      <c r="Q127" s="339"/>
      <c r="R127" s="339"/>
      <c r="S127" s="339"/>
      <c r="T127" s="339"/>
      <c r="U127" s="339"/>
      <c r="V127" s="339"/>
      <c r="W127" s="339"/>
      <c r="X127" s="339"/>
      <c r="Y127" s="339"/>
      <c r="Z127" s="339"/>
      <c r="AA127" s="339"/>
    </row>
    <row r="128">
      <c r="A128" s="339"/>
      <c r="B128" s="339"/>
      <c r="C128" s="339"/>
      <c r="D128" s="339"/>
      <c r="E128" s="339"/>
      <c r="F128" s="339"/>
      <c r="G128" s="339"/>
      <c r="H128" s="339"/>
      <c r="I128" s="339"/>
      <c r="J128" s="339"/>
      <c r="K128" s="339"/>
      <c r="L128" s="339"/>
      <c r="M128" s="339"/>
      <c r="N128" s="339"/>
      <c r="O128" s="339"/>
      <c r="P128" s="339"/>
      <c r="Q128" s="339"/>
      <c r="R128" s="339"/>
      <c r="S128" s="339"/>
      <c r="T128" s="339"/>
      <c r="U128" s="339"/>
      <c r="V128" s="339"/>
      <c r="W128" s="339"/>
      <c r="X128" s="339"/>
      <c r="Y128" s="339"/>
      <c r="Z128" s="339"/>
      <c r="AA128" s="339"/>
    </row>
    <row r="129">
      <c r="A129" s="339"/>
      <c r="B129" s="339"/>
      <c r="C129" s="339"/>
      <c r="D129" s="339"/>
      <c r="E129" s="339"/>
      <c r="F129" s="339"/>
      <c r="G129" s="339"/>
      <c r="H129" s="339"/>
      <c r="I129" s="339"/>
      <c r="J129" s="339"/>
      <c r="K129" s="339"/>
      <c r="L129" s="339"/>
      <c r="M129" s="339"/>
      <c r="N129" s="339"/>
      <c r="O129" s="339"/>
      <c r="P129" s="339"/>
      <c r="Q129" s="339"/>
      <c r="R129" s="339"/>
      <c r="S129" s="339"/>
      <c r="T129" s="339"/>
      <c r="U129" s="339"/>
      <c r="V129" s="339"/>
      <c r="W129" s="339"/>
      <c r="X129" s="339"/>
      <c r="Y129" s="339"/>
      <c r="Z129" s="339"/>
      <c r="AA129" s="339"/>
    </row>
    <row r="130">
      <c r="A130" s="339"/>
      <c r="B130" s="339"/>
      <c r="C130" s="339"/>
      <c r="D130" s="339"/>
      <c r="E130" s="339"/>
      <c r="F130" s="339"/>
      <c r="G130" s="339"/>
      <c r="H130" s="339"/>
      <c r="I130" s="339"/>
      <c r="J130" s="339"/>
      <c r="K130" s="339"/>
      <c r="L130" s="339"/>
      <c r="M130" s="339"/>
      <c r="N130" s="339"/>
      <c r="O130" s="339"/>
      <c r="P130" s="339"/>
      <c r="Q130" s="339"/>
      <c r="R130" s="339"/>
      <c r="S130" s="339"/>
      <c r="T130" s="339"/>
      <c r="U130" s="339"/>
      <c r="V130" s="339"/>
      <c r="W130" s="339"/>
      <c r="X130" s="339"/>
      <c r="Y130" s="339"/>
      <c r="Z130" s="339"/>
      <c r="AA130" s="339"/>
    </row>
    <row r="131">
      <c r="A131" s="339"/>
      <c r="B131" s="339"/>
      <c r="C131" s="339"/>
      <c r="D131" s="339"/>
      <c r="E131" s="339"/>
      <c r="F131" s="339"/>
      <c r="G131" s="339"/>
      <c r="H131" s="339"/>
      <c r="I131" s="339"/>
      <c r="J131" s="339"/>
      <c r="K131" s="339"/>
      <c r="L131" s="339"/>
      <c r="M131" s="339"/>
      <c r="N131" s="339"/>
      <c r="O131" s="339"/>
      <c r="P131" s="339"/>
      <c r="Q131" s="339"/>
      <c r="R131" s="339"/>
      <c r="S131" s="339"/>
      <c r="T131" s="339"/>
      <c r="U131" s="339"/>
      <c r="V131" s="339"/>
      <c r="W131" s="339"/>
      <c r="X131" s="339"/>
      <c r="Y131" s="339"/>
      <c r="Z131" s="339"/>
      <c r="AA131" s="339"/>
    </row>
    <row r="132">
      <c r="A132" s="339"/>
      <c r="B132" s="339"/>
      <c r="C132" s="339"/>
      <c r="D132" s="339"/>
      <c r="E132" s="339"/>
      <c r="F132" s="339"/>
      <c r="G132" s="339"/>
      <c r="H132" s="339"/>
      <c r="I132" s="339"/>
      <c r="J132" s="339"/>
      <c r="K132" s="339"/>
      <c r="L132" s="339"/>
      <c r="M132" s="339"/>
      <c r="N132" s="339"/>
      <c r="O132" s="339"/>
      <c r="P132" s="339"/>
      <c r="Q132" s="339"/>
      <c r="R132" s="339"/>
      <c r="S132" s="339"/>
      <c r="T132" s="339"/>
      <c r="U132" s="339"/>
      <c r="V132" s="339"/>
      <c r="W132" s="339"/>
      <c r="X132" s="339"/>
      <c r="Y132" s="339"/>
      <c r="Z132" s="339"/>
      <c r="AA132" s="339"/>
    </row>
    <row r="133">
      <c r="A133" s="339"/>
      <c r="B133" s="339"/>
      <c r="C133" s="339"/>
      <c r="D133" s="339"/>
      <c r="E133" s="339"/>
      <c r="F133" s="339"/>
      <c r="G133" s="339"/>
      <c r="H133" s="339"/>
      <c r="I133" s="339"/>
      <c r="J133" s="339"/>
      <c r="K133" s="339"/>
      <c r="L133" s="339"/>
      <c r="M133" s="339"/>
      <c r="N133" s="339"/>
      <c r="O133" s="339"/>
      <c r="P133" s="339"/>
      <c r="Q133" s="339"/>
      <c r="R133" s="339"/>
      <c r="S133" s="339"/>
      <c r="T133" s="339"/>
      <c r="U133" s="339"/>
      <c r="V133" s="339"/>
      <c r="W133" s="339"/>
      <c r="X133" s="339"/>
      <c r="Y133" s="339"/>
      <c r="Z133" s="339"/>
      <c r="AA133" s="339"/>
    </row>
    <row r="134">
      <c r="A134" s="339"/>
      <c r="B134" s="339"/>
      <c r="C134" s="339"/>
      <c r="D134" s="339"/>
      <c r="E134" s="339"/>
      <c r="F134" s="339"/>
      <c r="G134" s="339"/>
      <c r="H134" s="339"/>
      <c r="I134" s="339"/>
      <c r="J134" s="339"/>
      <c r="K134" s="339"/>
      <c r="L134" s="339"/>
      <c r="M134" s="339"/>
      <c r="N134" s="339"/>
      <c r="O134" s="339"/>
      <c r="P134" s="339"/>
      <c r="Q134" s="339"/>
      <c r="R134" s="339"/>
      <c r="S134" s="339"/>
      <c r="T134" s="339"/>
      <c r="U134" s="339"/>
      <c r="V134" s="339"/>
      <c r="W134" s="339"/>
      <c r="X134" s="339"/>
      <c r="Y134" s="339"/>
      <c r="Z134" s="339"/>
      <c r="AA134" s="339"/>
    </row>
    <row r="135">
      <c r="A135" s="339"/>
      <c r="B135" s="339"/>
      <c r="C135" s="339"/>
      <c r="D135" s="339"/>
      <c r="E135" s="339"/>
      <c r="F135" s="339"/>
      <c r="G135" s="339"/>
      <c r="H135" s="339"/>
      <c r="I135" s="339"/>
      <c r="J135" s="339"/>
      <c r="K135" s="339"/>
      <c r="L135" s="339"/>
      <c r="M135" s="339"/>
      <c r="N135" s="339"/>
      <c r="O135" s="339"/>
      <c r="P135" s="339"/>
      <c r="Q135" s="339"/>
      <c r="R135" s="339"/>
      <c r="S135" s="339"/>
      <c r="T135" s="339"/>
      <c r="U135" s="339"/>
      <c r="V135" s="339"/>
      <c r="W135" s="339"/>
      <c r="X135" s="339"/>
      <c r="Y135" s="339"/>
      <c r="Z135" s="339"/>
      <c r="AA135" s="339"/>
    </row>
    <row r="136">
      <c r="A136" s="339"/>
      <c r="B136" s="339"/>
      <c r="C136" s="339"/>
      <c r="D136" s="339"/>
      <c r="E136" s="339"/>
      <c r="F136" s="339"/>
      <c r="G136" s="339"/>
      <c r="H136" s="339"/>
      <c r="I136" s="339"/>
      <c r="J136" s="339"/>
      <c r="K136" s="339"/>
      <c r="L136" s="339"/>
      <c r="M136" s="339"/>
      <c r="N136" s="339"/>
      <c r="O136" s="339"/>
      <c r="P136" s="339"/>
      <c r="Q136" s="339"/>
      <c r="R136" s="339"/>
      <c r="S136" s="339"/>
      <c r="T136" s="339"/>
      <c r="U136" s="339"/>
      <c r="V136" s="339"/>
      <c r="W136" s="339"/>
      <c r="X136" s="339"/>
      <c r="Y136" s="339"/>
      <c r="Z136" s="339"/>
      <c r="AA136" s="339"/>
    </row>
    <row r="137">
      <c r="A137" s="339"/>
      <c r="B137" s="339"/>
      <c r="C137" s="339"/>
      <c r="D137" s="339"/>
      <c r="E137" s="339"/>
      <c r="F137" s="339"/>
      <c r="G137" s="339"/>
      <c r="H137" s="339"/>
      <c r="I137" s="339"/>
      <c r="J137" s="339"/>
      <c r="K137" s="339"/>
      <c r="L137" s="339"/>
      <c r="M137" s="339"/>
      <c r="N137" s="339"/>
      <c r="O137" s="339"/>
      <c r="P137" s="339"/>
      <c r="Q137" s="339"/>
      <c r="R137" s="339"/>
      <c r="S137" s="339"/>
      <c r="T137" s="339"/>
      <c r="U137" s="339"/>
      <c r="V137" s="339"/>
      <c r="W137" s="339"/>
      <c r="X137" s="339"/>
      <c r="Y137" s="339"/>
      <c r="Z137" s="339"/>
      <c r="AA137" s="339"/>
    </row>
    <row r="138">
      <c r="A138" s="339"/>
      <c r="B138" s="339"/>
      <c r="C138" s="339"/>
      <c r="D138" s="339"/>
      <c r="E138" s="339"/>
      <c r="F138" s="339"/>
      <c r="G138" s="339"/>
      <c r="H138" s="339"/>
      <c r="I138" s="339"/>
      <c r="J138" s="339"/>
      <c r="K138" s="339"/>
      <c r="L138" s="339"/>
      <c r="M138" s="339"/>
      <c r="N138" s="339"/>
      <c r="O138" s="339"/>
      <c r="P138" s="339"/>
      <c r="Q138" s="339"/>
      <c r="R138" s="339"/>
      <c r="S138" s="339"/>
      <c r="T138" s="339"/>
      <c r="U138" s="339"/>
      <c r="V138" s="339"/>
      <c r="W138" s="339"/>
      <c r="X138" s="339"/>
      <c r="Y138" s="339"/>
      <c r="Z138" s="339"/>
      <c r="AA138" s="339"/>
    </row>
    <row r="139">
      <c r="A139" s="339"/>
      <c r="B139" s="339"/>
      <c r="C139" s="339"/>
      <c r="D139" s="339"/>
      <c r="E139" s="339"/>
      <c r="F139" s="339"/>
      <c r="G139" s="339"/>
      <c r="H139" s="339"/>
      <c r="I139" s="339"/>
      <c r="J139" s="339"/>
      <c r="K139" s="339"/>
      <c r="L139" s="339"/>
      <c r="M139" s="339"/>
      <c r="N139" s="339"/>
      <c r="O139" s="339"/>
      <c r="P139" s="339"/>
      <c r="Q139" s="339"/>
      <c r="R139" s="339"/>
      <c r="S139" s="339"/>
      <c r="T139" s="339"/>
      <c r="U139" s="339"/>
      <c r="V139" s="339"/>
      <c r="W139" s="339"/>
      <c r="X139" s="339"/>
      <c r="Y139" s="339"/>
      <c r="Z139" s="339"/>
      <c r="AA139" s="339"/>
    </row>
    <row r="140">
      <c r="A140" s="339"/>
      <c r="B140" s="339"/>
      <c r="C140" s="339"/>
      <c r="D140" s="339"/>
      <c r="E140" s="339"/>
      <c r="F140" s="339"/>
      <c r="G140" s="339"/>
      <c r="H140" s="339"/>
      <c r="I140" s="339"/>
      <c r="J140" s="339"/>
      <c r="K140" s="339"/>
      <c r="L140" s="339"/>
      <c r="M140" s="339"/>
      <c r="N140" s="339"/>
      <c r="O140" s="339"/>
      <c r="P140" s="339"/>
      <c r="Q140" s="339"/>
      <c r="R140" s="339"/>
      <c r="S140" s="339"/>
      <c r="T140" s="339"/>
      <c r="U140" s="339"/>
      <c r="V140" s="339"/>
      <c r="W140" s="339"/>
      <c r="X140" s="339"/>
      <c r="Y140" s="339"/>
      <c r="Z140" s="339"/>
      <c r="AA140" s="339"/>
    </row>
    <row r="141">
      <c r="A141" s="339"/>
      <c r="B141" s="339"/>
      <c r="C141" s="339"/>
      <c r="D141" s="339"/>
      <c r="E141" s="339"/>
      <c r="F141" s="339"/>
      <c r="G141" s="339"/>
      <c r="H141" s="339"/>
      <c r="I141" s="339"/>
      <c r="J141" s="339"/>
      <c r="K141" s="339"/>
      <c r="L141" s="339"/>
      <c r="M141" s="339"/>
      <c r="N141" s="339"/>
      <c r="O141" s="339"/>
      <c r="P141" s="339"/>
      <c r="Q141" s="339"/>
      <c r="R141" s="339"/>
      <c r="S141" s="339"/>
      <c r="T141" s="339"/>
      <c r="U141" s="339"/>
      <c r="V141" s="339"/>
      <c r="W141" s="339"/>
      <c r="X141" s="339"/>
      <c r="Y141" s="339"/>
      <c r="Z141" s="339"/>
      <c r="AA141" s="339"/>
    </row>
    <row r="142">
      <c r="A142" s="339"/>
      <c r="B142" s="339"/>
      <c r="C142" s="339"/>
      <c r="D142" s="339"/>
      <c r="E142" s="339"/>
      <c r="F142" s="339"/>
      <c r="G142" s="339"/>
      <c r="H142" s="339"/>
      <c r="I142" s="339"/>
      <c r="J142" s="339"/>
      <c r="K142" s="339"/>
      <c r="L142" s="339"/>
      <c r="M142" s="339"/>
      <c r="N142" s="339"/>
      <c r="O142" s="339"/>
      <c r="P142" s="339"/>
      <c r="Q142" s="339"/>
      <c r="R142" s="339"/>
      <c r="S142" s="339"/>
      <c r="T142" s="339"/>
      <c r="U142" s="339"/>
      <c r="V142" s="339"/>
      <c r="W142" s="339"/>
      <c r="X142" s="339"/>
      <c r="Y142" s="339"/>
      <c r="Z142" s="339"/>
      <c r="AA142" s="339"/>
    </row>
    <row r="143">
      <c r="A143" s="339"/>
      <c r="B143" s="339"/>
      <c r="C143" s="339"/>
      <c r="D143" s="339"/>
      <c r="E143" s="339"/>
      <c r="F143" s="339"/>
      <c r="G143" s="339"/>
      <c r="H143" s="339"/>
      <c r="I143" s="339"/>
      <c r="J143" s="339"/>
      <c r="K143" s="339"/>
      <c r="L143" s="339"/>
      <c r="M143" s="339"/>
      <c r="N143" s="339"/>
      <c r="O143" s="339"/>
      <c r="P143" s="339"/>
      <c r="Q143" s="339"/>
      <c r="R143" s="339"/>
      <c r="S143" s="339"/>
      <c r="T143" s="339"/>
      <c r="U143" s="339"/>
      <c r="V143" s="339"/>
      <c r="W143" s="339"/>
      <c r="X143" s="339"/>
      <c r="Y143" s="339"/>
      <c r="Z143" s="339"/>
      <c r="AA143" s="339"/>
    </row>
    <row r="144">
      <c r="A144" s="339"/>
      <c r="B144" s="339"/>
      <c r="C144" s="339"/>
      <c r="D144" s="339"/>
      <c r="E144" s="339"/>
      <c r="F144" s="339"/>
      <c r="G144" s="339"/>
      <c r="H144" s="339"/>
      <c r="I144" s="339"/>
      <c r="J144" s="339"/>
      <c r="K144" s="339"/>
      <c r="L144" s="339"/>
      <c r="M144" s="339"/>
      <c r="N144" s="339"/>
      <c r="O144" s="339"/>
      <c r="P144" s="339"/>
      <c r="Q144" s="339"/>
      <c r="R144" s="339"/>
      <c r="S144" s="339"/>
      <c r="T144" s="339"/>
      <c r="U144" s="339"/>
      <c r="V144" s="339"/>
      <c r="W144" s="339"/>
      <c r="X144" s="339"/>
      <c r="Y144" s="339"/>
      <c r="Z144" s="339"/>
      <c r="AA144" s="339"/>
    </row>
    <row r="145">
      <c r="A145" s="339"/>
      <c r="B145" s="339"/>
      <c r="C145" s="339"/>
      <c r="D145" s="339"/>
      <c r="E145" s="339"/>
      <c r="F145" s="339"/>
      <c r="G145" s="339"/>
      <c r="H145" s="339"/>
      <c r="I145" s="339"/>
      <c r="J145" s="339"/>
      <c r="K145" s="339"/>
      <c r="L145" s="339"/>
      <c r="M145" s="339"/>
      <c r="N145" s="339"/>
      <c r="O145" s="339"/>
      <c r="P145" s="339"/>
      <c r="Q145" s="339"/>
      <c r="R145" s="339"/>
      <c r="S145" s="339"/>
      <c r="T145" s="339"/>
      <c r="U145" s="339"/>
      <c r="V145" s="339"/>
      <c r="W145" s="339"/>
      <c r="X145" s="339"/>
      <c r="Y145" s="339"/>
      <c r="Z145" s="339"/>
      <c r="AA145" s="339"/>
    </row>
    <row r="146">
      <c r="A146" s="339"/>
      <c r="B146" s="339"/>
      <c r="C146" s="339"/>
      <c r="D146" s="339"/>
      <c r="E146" s="339"/>
      <c r="F146" s="339"/>
      <c r="G146" s="339"/>
      <c r="H146" s="339"/>
      <c r="I146" s="339"/>
      <c r="J146" s="339"/>
      <c r="K146" s="339"/>
      <c r="L146" s="339"/>
      <c r="M146" s="339"/>
      <c r="N146" s="339"/>
      <c r="O146" s="339"/>
      <c r="P146" s="339"/>
      <c r="Q146" s="339"/>
      <c r="R146" s="339"/>
      <c r="S146" s="339"/>
      <c r="T146" s="339"/>
      <c r="U146" s="339"/>
      <c r="V146" s="339"/>
      <c r="W146" s="339"/>
      <c r="X146" s="339"/>
      <c r="Y146" s="339"/>
      <c r="Z146" s="339"/>
      <c r="AA146" s="339"/>
    </row>
    <row r="147">
      <c r="A147" s="339"/>
      <c r="B147" s="339"/>
      <c r="C147" s="339"/>
      <c r="D147" s="339"/>
      <c r="E147" s="339"/>
      <c r="F147" s="339"/>
      <c r="G147" s="339"/>
      <c r="H147" s="339"/>
      <c r="I147" s="339"/>
      <c r="J147" s="339"/>
      <c r="K147" s="339"/>
      <c r="L147" s="339"/>
      <c r="M147" s="339"/>
      <c r="N147" s="339"/>
      <c r="O147" s="339"/>
      <c r="P147" s="339"/>
      <c r="Q147" s="339"/>
      <c r="R147" s="339"/>
      <c r="S147" s="339"/>
      <c r="T147" s="339"/>
      <c r="U147" s="339"/>
      <c r="V147" s="339"/>
      <c r="W147" s="339"/>
      <c r="X147" s="339"/>
      <c r="Y147" s="339"/>
      <c r="Z147" s="339"/>
      <c r="AA147" s="339"/>
    </row>
    <row r="148">
      <c r="A148" s="339"/>
      <c r="B148" s="339"/>
      <c r="C148" s="339"/>
      <c r="D148" s="339"/>
      <c r="E148" s="339"/>
      <c r="F148" s="339"/>
      <c r="G148" s="339"/>
      <c r="H148" s="339"/>
      <c r="I148" s="339"/>
      <c r="J148" s="339"/>
      <c r="K148" s="339"/>
      <c r="L148" s="339"/>
      <c r="M148" s="339"/>
      <c r="N148" s="339"/>
      <c r="O148" s="339"/>
      <c r="P148" s="339"/>
      <c r="Q148" s="339"/>
      <c r="R148" s="339"/>
      <c r="S148" s="339"/>
      <c r="T148" s="339"/>
      <c r="U148" s="339"/>
      <c r="V148" s="339"/>
      <c r="W148" s="339"/>
      <c r="X148" s="339"/>
      <c r="Y148" s="339"/>
      <c r="Z148" s="339"/>
      <c r="AA148" s="339"/>
    </row>
    <row r="149">
      <c r="A149" s="339"/>
      <c r="B149" s="339"/>
      <c r="C149" s="339"/>
      <c r="D149" s="339"/>
      <c r="E149" s="339"/>
      <c r="F149" s="339"/>
      <c r="G149" s="339"/>
      <c r="H149" s="339"/>
      <c r="I149" s="339"/>
      <c r="J149" s="339"/>
      <c r="K149" s="339"/>
      <c r="L149" s="339"/>
      <c r="M149" s="339"/>
      <c r="N149" s="339"/>
      <c r="O149" s="339"/>
      <c r="P149" s="339"/>
      <c r="Q149" s="339"/>
      <c r="R149" s="339"/>
      <c r="S149" s="339"/>
      <c r="T149" s="339"/>
      <c r="U149" s="339"/>
      <c r="V149" s="339"/>
      <c r="W149" s="339"/>
      <c r="X149" s="339"/>
      <c r="Y149" s="339"/>
      <c r="Z149" s="339"/>
      <c r="AA149" s="339"/>
    </row>
    <row r="150">
      <c r="A150" s="339"/>
      <c r="B150" s="339"/>
      <c r="C150" s="339"/>
      <c r="D150" s="339"/>
      <c r="E150" s="339"/>
      <c r="F150" s="339"/>
      <c r="G150" s="339"/>
      <c r="H150" s="339"/>
      <c r="I150" s="339"/>
      <c r="J150" s="339"/>
      <c r="K150" s="339"/>
      <c r="L150" s="339"/>
      <c r="M150" s="339"/>
      <c r="N150" s="339"/>
      <c r="O150" s="339"/>
      <c r="P150" s="339"/>
      <c r="Q150" s="339"/>
      <c r="R150" s="339"/>
      <c r="S150" s="339"/>
      <c r="T150" s="339"/>
      <c r="U150" s="339"/>
      <c r="V150" s="339"/>
      <c r="W150" s="339"/>
      <c r="X150" s="339"/>
      <c r="Y150" s="339"/>
      <c r="Z150" s="339"/>
      <c r="AA150" s="339"/>
    </row>
    <row r="151">
      <c r="A151" s="339"/>
      <c r="B151" s="339"/>
      <c r="C151" s="339"/>
      <c r="D151" s="339"/>
      <c r="E151" s="339"/>
      <c r="F151" s="339"/>
      <c r="G151" s="339"/>
      <c r="H151" s="339"/>
      <c r="I151" s="339"/>
      <c r="J151" s="339"/>
      <c r="K151" s="339"/>
      <c r="L151" s="339"/>
      <c r="M151" s="339"/>
      <c r="N151" s="339"/>
      <c r="O151" s="339"/>
      <c r="P151" s="339"/>
      <c r="Q151" s="339"/>
      <c r="R151" s="339"/>
      <c r="S151" s="339"/>
      <c r="T151" s="339"/>
      <c r="U151" s="339"/>
      <c r="V151" s="339"/>
      <c r="W151" s="339"/>
      <c r="X151" s="339"/>
      <c r="Y151" s="339"/>
      <c r="Z151" s="339"/>
      <c r="AA151" s="339"/>
    </row>
    <row r="152">
      <c r="A152" s="339"/>
      <c r="B152" s="339"/>
      <c r="C152" s="339"/>
      <c r="D152" s="339"/>
      <c r="E152" s="339"/>
      <c r="F152" s="339"/>
      <c r="G152" s="339"/>
      <c r="H152" s="339"/>
      <c r="I152" s="339"/>
      <c r="J152" s="339"/>
      <c r="K152" s="339"/>
      <c r="L152" s="339"/>
      <c r="M152" s="339"/>
      <c r="N152" s="339"/>
      <c r="O152" s="339"/>
      <c r="P152" s="339"/>
      <c r="Q152" s="339"/>
      <c r="R152" s="339"/>
      <c r="S152" s="339"/>
      <c r="T152" s="339"/>
      <c r="U152" s="339"/>
      <c r="V152" s="339"/>
      <c r="W152" s="339"/>
      <c r="X152" s="339"/>
      <c r="Y152" s="339"/>
      <c r="Z152" s="339"/>
      <c r="AA152" s="339"/>
    </row>
    <row r="153">
      <c r="A153" s="339"/>
      <c r="B153" s="339"/>
      <c r="C153" s="339"/>
      <c r="D153" s="339"/>
      <c r="E153" s="339"/>
      <c r="F153" s="339"/>
      <c r="G153" s="339"/>
      <c r="H153" s="339"/>
      <c r="I153" s="339"/>
      <c r="J153" s="339"/>
      <c r="K153" s="339"/>
      <c r="L153" s="339"/>
      <c r="M153" s="339"/>
      <c r="N153" s="339"/>
      <c r="O153" s="339"/>
      <c r="P153" s="339"/>
      <c r="Q153" s="339"/>
      <c r="R153" s="339"/>
      <c r="S153" s="339"/>
      <c r="T153" s="339"/>
      <c r="U153" s="339"/>
      <c r="V153" s="339"/>
      <c r="W153" s="339"/>
      <c r="X153" s="339"/>
      <c r="Y153" s="339"/>
      <c r="Z153" s="339"/>
      <c r="AA153" s="339"/>
    </row>
    <row r="154">
      <c r="A154" s="339"/>
      <c r="B154" s="339"/>
      <c r="C154" s="339"/>
      <c r="D154" s="339"/>
      <c r="E154" s="339"/>
      <c r="F154" s="339"/>
      <c r="G154" s="339"/>
      <c r="H154" s="339"/>
      <c r="I154" s="339"/>
      <c r="J154" s="339"/>
      <c r="K154" s="339"/>
      <c r="L154" s="339"/>
      <c r="M154" s="339"/>
      <c r="N154" s="339"/>
      <c r="O154" s="339"/>
      <c r="P154" s="339"/>
      <c r="Q154" s="339"/>
      <c r="R154" s="339"/>
      <c r="S154" s="339"/>
      <c r="T154" s="339"/>
      <c r="U154" s="339"/>
      <c r="V154" s="339"/>
      <c r="W154" s="339"/>
      <c r="X154" s="339"/>
      <c r="Y154" s="339"/>
      <c r="Z154" s="339"/>
      <c r="AA154" s="339"/>
    </row>
    <row r="155">
      <c r="A155" s="339"/>
      <c r="B155" s="339"/>
      <c r="C155" s="339"/>
      <c r="D155" s="339"/>
      <c r="E155" s="339"/>
      <c r="F155" s="339"/>
      <c r="G155" s="339"/>
      <c r="H155" s="339"/>
      <c r="I155" s="339"/>
      <c r="J155" s="339"/>
      <c r="K155" s="339"/>
      <c r="L155" s="339"/>
      <c r="M155" s="339"/>
      <c r="N155" s="339"/>
      <c r="O155" s="339"/>
      <c r="P155" s="339"/>
      <c r="Q155" s="339"/>
      <c r="R155" s="339"/>
      <c r="S155" s="339"/>
      <c r="T155" s="339"/>
      <c r="U155" s="339"/>
      <c r="V155" s="339"/>
      <c r="W155" s="339"/>
      <c r="X155" s="339"/>
      <c r="Y155" s="339"/>
      <c r="Z155" s="339"/>
      <c r="AA155" s="339"/>
    </row>
    <row r="156">
      <c r="A156" s="339"/>
      <c r="B156" s="339"/>
      <c r="C156" s="339"/>
      <c r="D156" s="339"/>
      <c r="E156" s="339"/>
      <c r="F156" s="339"/>
      <c r="G156" s="339"/>
      <c r="H156" s="339"/>
      <c r="I156" s="339"/>
      <c r="J156" s="339"/>
      <c r="K156" s="339"/>
      <c r="L156" s="339"/>
      <c r="M156" s="339"/>
      <c r="N156" s="339"/>
      <c r="O156" s="339"/>
      <c r="P156" s="339"/>
      <c r="Q156" s="339"/>
      <c r="R156" s="339"/>
      <c r="S156" s="339"/>
      <c r="T156" s="339"/>
      <c r="U156" s="339"/>
      <c r="V156" s="339"/>
      <c r="W156" s="339"/>
      <c r="X156" s="339"/>
      <c r="Y156" s="339"/>
      <c r="Z156" s="339"/>
      <c r="AA156" s="339"/>
    </row>
    <row r="157">
      <c r="A157" s="339"/>
      <c r="B157" s="339"/>
      <c r="C157" s="339"/>
      <c r="D157" s="339"/>
      <c r="E157" s="339"/>
      <c r="F157" s="339"/>
      <c r="G157" s="339"/>
      <c r="H157" s="339"/>
      <c r="I157" s="339"/>
      <c r="J157" s="339"/>
      <c r="K157" s="339"/>
      <c r="L157" s="339"/>
      <c r="M157" s="339"/>
      <c r="N157" s="339"/>
      <c r="O157" s="339"/>
      <c r="P157" s="339"/>
      <c r="Q157" s="339"/>
      <c r="R157" s="339"/>
      <c r="S157" s="339"/>
      <c r="T157" s="339"/>
      <c r="U157" s="339"/>
      <c r="V157" s="339"/>
      <c r="W157" s="339"/>
      <c r="X157" s="339"/>
      <c r="Y157" s="339"/>
      <c r="Z157" s="339"/>
      <c r="AA157" s="339"/>
    </row>
    <row r="158">
      <c r="A158" s="339"/>
      <c r="B158" s="339"/>
      <c r="C158" s="339"/>
      <c r="D158" s="339"/>
      <c r="E158" s="339"/>
      <c r="F158" s="339"/>
      <c r="G158" s="339"/>
      <c r="H158" s="339"/>
      <c r="I158" s="339"/>
      <c r="J158" s="339"/>
      <c r="K158" s="339"/>
      <c r="L158" s="339"/>
      <c r="M158" s="339"/>
      <c r="N158" s="339"/>
      <c r="O158" s="339"/>
      <c r="P158" s="339"/>
      <c r="Q158" s="339"/>
      <c r="R158" s="339"/>
      <c r="S158" s="339"/>
      <c r="T158" s="339"/>
      <c r="U158" s="339"/>
      <c r="V158" s="339"/>
      <c r="W158" s="339"/>
      <c r="X158" s="339"/>
      <c r="Y158" s="339"/>
      <c r="Z158" s="339"/>
      <c r="AA158" s="339"/>
    </row>
    <row r="159">
      <c r="A159" s="339"/>
      <c r="B159" s="339"/>
      <c r="C159" s="339"/>
      <c r="D159" s="339"/>
      <c r="E159" s="339"/>
      <c r="F159" s="339"/>
      <c r="G159" s="339"/>
      <c r="H159" s="339"/>
      <c r="I159" s="339"/>
      <c r="J159" s="339"/>
      <c r="K159" s="339"/>
      <c r="L159" s="339"/>
      <c r="M159" s="339"/>
      <c r="N159" s="339"/>
      <c r="O159" s="339"/>
      <c r="P159" s="339"/>
      <c r="Q159" s="339"/>
      <c r="R159" s="339"/>
      <c r="S159" s="339"/>
      <c r="T159" s="339"/>
      <c r="U159" s="339"/>
      <c r="V159" s="339"/>
      <c r="W159" s="339"/>
      <c r="X159" s="339"/>
      <c r="Y159" s="339"/>
      <c r="Z159" s="339"/>
      <c r="AA159" s="339"/>
    </row>
    <row r="160">
      <c r="A160" s="339"/>
      <c r="B160" s="339"/>
      <c r="C160" s="339"/>
      <c r="D160" s="339"/>
      <c r="E160" s="339"/>
      <c r="F160" s="339"/>
      <c r="G160" s="339"/>
      <c r="H160" s="339"/>
      <c r="I160" s="339"/>
      <c r="J160" s="339"/>
      <c r="K160" s="339"/>
      <c r="L160" s="339"/>
      <c r="M160" s="339"/>
      <c r="N160" s="339"/>
      <c r="O160" s="339"/>
      <c r="P160" s="339"/>
      <c r="Q160" s="339"/>
      <c r="R160" s="339"/>
      <c r="S160" s="339"/>
      <c r="T160" s="339"/>
      <c r="U160" s="339"/>
      <c r="V160" s="339"/>
      <c r="W160" s="339"/>
      <c r="X160" s="339"/>
      <c r="Y160" s="339"/>
      <c r="Z160" s="339"/>
      <c r="AA160" s="339"/>
    </row>
    <row r="161">
      <c r="A161" s="339"/>
      <c r="B161" s="339"/>
      <c r="C161" s="339"/>
      <c r="D161" s="339"/>
      <c r="E161" s="339"/>
      <c r="F161" s="339"/>
      <c r="G161" s="339"/>
      <c r="H161" s="339"/>
      <c r="I161" s="339"/>
      <c r="J161" s="339"/>
      <c r="K161" s="339"/>
      <c r="L161" s="339"/>
      <c r="M161" s="339"/>
      <c r="N161" s="339"/>
      <c r="O161" s="339"/>
      <c r="P161" s="339"/>
      <c r="Q161" s="339"/>
      <c r="R161" s="339"/>
      <c r="S161" s="339"/>
      <c r="T161" s="339"/>
      <c r="U161" s="339"/>
      <c r="V161" s="339"/>
      <c r="W161" s="339"/>
      <c r="X161" s="339"/>
      <c r="Y161" s="339"/>
      <c r="Z161" s="339"/>
      <c r="AA161" s="339"/>
    </row>
    <row r="162">
      <c r="A162" s="339"/>
      <c r="B162" s="339"/>
      <c r="C162" s="339"/>
      <c r="D162" s="339"/>
      <c r="E162" s="339"/>
      <c r="F162" s="339"/>
      <c r="G162" s="339"/>
      <c r="H162" s="339"/>
      <c r="I162" s="339"/>
      <c r="J162" s="339"/>
      <c r="K162" s="339"/>
      <c r="L162" s="339"/>
      <c r="M162" s="339"/>
      <c r="N162" s="339"/>
      <c r="O162" s="339"/>
      <c r="P162" s="339"/>
      <c r="Q162" s="339"/>
      <c r="R162" s="339"/>
      <c r="S162" s="339"/>
      <c r="T162" s="339"/>
      <c r="U162" s="339"/>
      <c r="V162" s="339"/>
      <c r="W162" s="339"/>
      <c r="X162" s="339"/>
      <c r="Y162" s="339"/>
      <c r="Z162" s="339"/>
      <c r="AA162" s="339"/>
    </row>
    <row r="163">
      <c r="A163" s="339"/>
      <c r="B163" s="339"/>
      <c r="C163" s="339"/>
      <c r="D163" s="339"/>
      <c r="E163" s="339"/>
      <c r="F163" s="339"/>
      <c r="G163" s="339"/>
      <c r="H163" s="339"/>
      <c r="I163" s="339"/>
      <c r="J163" s="339"/>
      <c r="K163" s="339"/>
      <c r="L163" s="339"/>
      <c r="M163" s="339"/>
      <c r="N163" s="339"/>
      <c r="O163" s="339"/>
      <c r="P163" s="339"/>
      <c r="Q163" s="339"/>
      <c r="R163" s="339"/>
      <c r="S163" s="339"/>
      <c r="T163" s="339"/>
      <c r="U163" s="339"/>
      <c r="V163" s="339"/>
      <c r="W163" s="339"/>
      <c r="X163" s="339"/>
      <c r="Y163" s="339"/>
      <c r="Z163" s="339"/>
      <c r="AA163" s="339"/>
    </row>
    <row r="164">
      <c r="A164" s="339"/>
      <c r="B164" s="339"/>
      <c r="C164" s="339"/>
      <c r="D164" s="339"/>
      <c r="E164" s="339"/>
      <c r="F164" s="339"/>
      <c r="G164" s="339"/>
      <c r="H164" s="339"/>
      <c r="I164" s="339"/>
      <c r="J164" s="339"/>
      <c r="K164" s="339"/>
      <c r="L164" s="339"/>
      <c r="M164" s="339"/>
      <c r="N164" s="339"/>
      <c r="O164" s="339"/>
      <c r="P164" s="339"/>
      <c r="Q164" s="339"/>
      <c r="R164" s="339"/>
      <c r="S164" s="339"/>
      <c r="T164" s="339"/>
      <c r="U164" s="339"/>
      <c r="V164" s="339"/>
      <c r="W164" s="339"/>
      <c r="X164" s="339"/>
      <c r="Y164" s="339"/>
      <c r="Z164" s="339"/>
      <c r="AA164" s="339"/>
    </row>
    <row r="165">
      <c r="A165" s="339"/>
      <c r="B165" s="339"/>
      <c r="C165" s="339"/>
      <c r="D165" s="339"/>
      <c r="E165" s="339"/>
      <c r="F165" s="339"/>
      <c r="G165" s="339"/>
      <c r="H165" s="339"/>
      <c r="I165" s="339"/>
      <c r="J165" s="339"/>
      <c r="K165" s="339"/>
      <c r="L165" s="339"/>
      <c r="M165" s="339"/>
      <c r="N165" s="339"/>
      <c r="O165" s="339"/>
      <c r="P165" s="339"/>
      <c r="Q165" s="339"/>
      <c r="R165" s="339"/>
      <c r="S165" s="339"/>
      <c r="T165" s="339"/>
      <c r="U165" s="339"/>
      <c r="V165" s="339"/>
      <c r="W165" s="339"/>
      <c r="X165" s="339"/>
      <c r="Y165" s="339"/>
      <c r="Z165" s="339"/>
      <c r="AA165" s="339"/>
    </row>
    <row r="166">
      <c r="A166" s="339"/>
      <c r="B166" s="339"/>
      <c r="C166" s="339"/>
      <c r="D166" s="339"/>
      <c r="E166" s="339"/>
      <c r="F166" s="339"/>
      <c r="G166" s="339"/>
      <c r="H166" s="339"/>
      <c r="I166" s="339"/>
      <c r="J166" s="339"/>
      <c r="K166" s="339"/>
      <c r="L166" s="339"/>
      <c r="M166" s="339"/>
      <c r="N166" s="339"/>
      <c r="O166" s="339"/>
      <c r="P166" s="339"/>
      <c r="Q166" s="339"/>
      <c r="R166" s="339"/>
      <c r="S166" s="339"/>
      <c r="T166" s="339"/>
      <c r="U166" s="339"/>
      <c r="V166" s="339"/>
      <c r="W166" s="339"/>
      <c r="X166" s="339"/>
      <c r="Y166" s="339"/>
      <c r="Z166" s="339"/>
      <c r="AA166" s="339"/>
    </row>
    <row r="167">
      <c r="A167" s="339"/>
      <c r="B167" s="339"/>
      <c r="C167" s="339"/>
      <c r="D167" s="339"/>
      <c r="E167" s="339"/>
      <c r="F167" s="339"/>
      <c r="G167" s="339"/>
      <c r="H167" s="339"/>
      <c r="I167" s="339"/>
      <c r="J167" s="339"/>
      <c r="K167" s="339"/>
      <c r="L167" s="339"/>
      <c r="M167" s="339"/>
      <c r="N167" s="339"/>
      <c r="O167" s="339"/>
      <c r="P167" s="339"/>
      <c r="Q167" s="339"/>
      <c r="R167" s="339"/>
      <c r="S167" s="339"/>
      <c r="T167" s="339"/>
      <c r="U167" s="339"/>
      <c r="V167" s="339"/>
      <c r="W167" s="339"/>
      <c r="X167" s="339"/>
      <c r="Y167" s="339"/>
      <c r="Z167" s="339"/>
      <c r="AA167" s="339"/>
    </row>
    <row r="168">
      <c r="A168" s="339"/>
      <c r="B168" s="339"/>
      <c r="C168" s="339"/>
      <c r="D168" s="339"/>
      <c r="E168" s="339"/>
      <c r="F168" s="339"/>
      <c r="G168" s="339"/>
      <c r="H168" s="339"/>
      <c r="I168" s="339"/>
      <c r="J168" s="339"/>
      <c r="K168" s="339"/>
      <c r="L168" s="339"/>
      <c r="M168" s="339"/>
      <c r="N168" s="339"/>
      <c r="O168" s="339"/>
      <c r="P168" s="339"/>
      <c r="Q168" s="339"/>
      <c r="R168" s="339"/>
      <c r="S168" s="339"/>
      <c r="T168" s="339"/>
      <c r="U168" s="339"/>
      <c r="V168" s="339"/>
      <c r="W168" s="339"/>
      <c r="X168" s="339"/>
      <c r="Y168" s="339"/>
      <c r="Z168" s="339"/>
      <c r="AA168" s="339"/>
    </row>
    <row r="169">
      <c r="A169" s="339"/>
      <c r="B169" s="339"/>
      <c r="C169" s="339"/>
      <c r="D169" s="339"/>
      <c r="E169" s="339"/>
      <c r="F169" s="339"/>
      <c r="G169" s="339"/>
      <c r="H169" s="339"/>
      <c r="I169" s="339"/>
      <c r="J169" s="339"/>
      <c r="K169" s="339"/>
      <c r="L169" s="339"/>
      <c r="M169" s="339"/>
      <c r="N169" s="339"/>
      <c r="O169" s="339"/>
      <c r="P169" s="339"/>
      <c r="Q169" s="339"/>
      <c r="R169" s="339"/>
      <c r="S169" s="339"/>
      <c r="T169" s="339"/>
      <c r="U169" s="339"/>
      <c r="V169" s="339"/>
      <c r="W169" s="339"/>
      <c r="X169" s="339"/>
      <c r="Y169" s="339"/>
      <c r="Z169" s="339"/>
      <c r="AA169" s="339"/>
    </row>
    <row r="170">
      <c r="A170" s="339"/>
      <c r="B170" s="339"/>
      <c r="C170" s="339"/>
      <c r="D170" s="339"/>
      <c r="E170" s="339"/>
      <c r="F170" s="339"/>
      <c r="G170" s="339"/>
      <c r="H170" s="339"/>
      <c r="I170" s="339"/>
      <c r="J170" s="339"/>
      <c r="K170" s="339"/>
      <c r="L170" s="339"/>
      <c r="M170" s="339"/>
      <c r="N170" s="339"/>
      <c r="O170" s="339"/>
      <c r="P170" s="339"/>
      <c r="Q170" s="339"/>
      <c r="R170" s="339"/>
      <c r="S170" s="339"/>
      <c r="T170" s="339"/>
      <c r="U170" s="339"/>
      <c r="V170" s="339"/>
      <c r="W170" s="339"/>
      <c r="X170" s="339"/>
      <c r="Y170" s="339"/>
      <c r="Z170" s="339"/>
      <c r="AA170" s="339"/>
    </row>
    <row r="171">
      <c r="A171" s="339"/>
      <c r="B171" s="339"/>
      <c r="C171" s="339"/>
      <c r="D171" s="339"/>
      <c r="E171" s="339"/>
      <c r="F171" s="339"/>
      <c r="G171" s="339"/>
      <c r="H171" s="339"/>
      <c r="I171" s="339"/>
      <c r="J171" s="339"/>
      <c r="K171" s="339"/>
      <c r="L171" s="339"/>
      <c r="M171" s="339"/>
      <c r="N171" s="339"/>
      <c r="O171" s="339"/>
      <c r="P171" s="339"/>
      <c r="Q171" s="339"/>
      <c r="R171" s="339"/>
      <c r="S171" s="339"/>
      <c r="T171" s="339"/>
      <c r="U171" s="339"/>
      <c r="V171" s="339"/>
      <c r="W171" s="339"/>
      <c r="X171" s="339"/>
      <c r="Y171" s="339"/>
      <c r="Z171" s="339"/>
      <c r="AA171" s="339"/>
    </row>
    <row r="172">
      <c r="A172" s="339"/>
      <c r="B172" s="339"/>
      <c r="C172" s="339"/>
      <c r="D172" s="339"/>
      <c r="E172" s="339"/>
      <c r="F172" s="339"/>
      <c r="G172" s="339"/>
      <c r="H172" s="339"/>
      <c r="I172" s="339"/>
      <c r="J172" s="339"/>
      <c r="K172" s="339"/>
      <c r="L172" s="339"/>
      <c r="M172" s="339"/>
      <c r="N172" s="339"/>
      <c r="O172" s="339"/>
      <c r="P172" s="339"/>
      <c r="Q172" s="339"/>
      <c r="R172" s="339"/>
      <c r="S172" s="339"/>
      <c r="T172" s="339"/>
      <c r="U172" s="339"/>
      <c r="V172" s="339"/>
      <c r="W172" s="339"/>
      <c r="X172" s="339"/>
      <c r="Y172" s="339"/>
      <c r="Z172" s="339"/>
      <c r="AA172" s="339"/>
    </row>
    <row r="173">
      <c r="A173" s="339"/>
      <c r="B173" s="339"/>
      <c r="C173" s="339"/>
      <c r="D173" s="339"/>
      <c r="E173" s="339"/>
      <c r="F173" s="339"/>
      <c r="G173" s="339"/>
      <c r="H173" s="339"/>
      <c r="I173" s="339"/>
      <c r="J173" s="339"/>
      <c r="K173" s="339"/>
      <c r="L173" s="339"/>
      <c r="M173" s="339"/>
      <c r="N173" s="339"/>
      <c r="O173" s="339"/>
      <c r="P173" s="339"/>
      <c r="Q173" s="339"/>
      <c r="R173" s="339"/>
      <c r="S173" s="339"/>
      <c r="T173" s="339"/>
      <c r="U173" s="339"/>
      <c r="V173" s="339"/>
      <c r="W173" s="339"/>
      <c r="X173" s="339"/>
      <c r="Y173" s="339"/>
      <c r="Z173" s="339"/>
      <c r="AA173" s="339"/>
    </row>
    <row r="174">
      <c r="A174" s="339"/>
      <c r="B174" s="339"/>
      <c r="C174" s="339"/>
      <c r="D174" s="339"/>
      <c r="E174" s="339"/>
      <c r="F174" s="339"/>
      <c r="G174" s="339"/>
      <c r="H174" s="339"/>
      <c r="I174" s="339"/>
      <c r="J174" s="339"/>
      <c r="K174" s="339"/>
      <c r="L174" s="339"/>
      <c r="M174" s="339"/>
      <c r="N174" s="339"/>
      <c r="O174" s="339"/>
      <c r="P174" s="339"/>
      <c r="Q174" s="339"/>
      <c r="R174" s="339"/>
      <c r="S174" s="339"/>
      <c r="T174" s="339"/>
      <c r="U174" s="339"/>
      <c r="V174" s="339"/>
      <c r="W174" s="339"/>
      <c r="X174" s="339"/>
      <c r="Y174" s="339"/>
      <c r="Z174" s="339"/>
      <c r="AA174" s="339"/>
    </row>
    <row r="175">
      <c r="A175" s="339"/>
      <c r="B175" s="339"/>
      <c r="C175" s="339"/>
      <c r="D175" s="339"/>
      <c r="E175" s="339"/>
      <c r="F175" s="339"/>
      <c r="G175" s="339"/>
      <c r="H175" s="339"/>
      <c r="I175" s="339"/>
      <c r="J175" s="339"/>
      <c r="K175" s="339"/>
      <c r="L175" s="339"/>
      <c r="M175" s="339"/>
      <c r="N175" s="339"/>
      <c r="O175" s="339"/>
      <c r="P175" s="339"/>
      <c r="Q175" s="339"/>
      <c r="R175" s="339"/>
      <c r="S175" s="339"/>
      <c r="T175" s="339"/>
      <c r="U175" s="339"/>
      <c r="V175" s="339"/>
      <c r="W175" s="339"/>
      <c r="X175" s="339"/>
      <c r="Y175" s="339"/>
      <c r="Z175" s="339"/>
      <c r="AA175" s="339"/>
    </row>
    <row r="176">
      <c r="A176" s="339"/>
      <c r="B176" s="339"/>
      <c r="C176" s="339"/>
      <c r="D176" s="339"/>
      <c r="E176" s="339"/>
      <c r="F176" s="339"/>
      <c r="G176" s="339"/>
      <c r="H176" s="339"/>
      <c r="I176" s="339"/>
      <c r="J176" s="339"/>
      <c r="K176" s="339"/>
      <c r="L176" s="339"/>
      <c r="M176" s="339"/>
      <c r="N176" s="339"/>
      <c r="O176" s="339"/>
      <c r="P176" s="339"/>
      <c r="Q176" s="339"/>
      <c r="R176" s="339"/>
      <c r="S176" s="339"/>
      <c r="T176" s="339"/>
      <c r="U176" s="339"/>
      <c r="V176" s="339"/>
      <c r="W176" s="339"/>
      <c r="X176" s="339"/>
      <c r="Y176" s="339"/>
      <c r="Z176" s="339"/>
      <c r="AA176" s="339"/>
    </row>
    <row r="177">
      <c r="A177" s="339"/>
      <c r="B177" s="339"/>
      <c r="C177" s="339"/>
      <c r="D177" s="339"/>
      <c r="E177" s="339"/>
      <c r="F177" s="339"/>
      <c r="G177" s="339"/>
      <c r="H177" s="339"/>
      <c r="I177" s="339"/>
      <c r="J177" s="339"/>
      <c r="K177" s="339"/>
      <c r="L177" s="339"/>
      <c r="M177" s="339"/>
      <c r="N177" s="339"/>
      <c r="O177" s="339"/>
      <c r="P177" s="339"/>
      <c r="Q177" s="339"/>
      <c r="R177" s="339"/>
      <c r="S177" s="339"/>
      <c r="T177" s="339"/>
      <c r="U177" s="339"/>
      <c r="V177" s="339"/>
      <c r="W177" s="339"/>
      <c r="X177" s="339"/>
      <c r="Y177" s="339"/>
      <c r="Z177" s="339"/>
      <c r="AA177" s="339"/>
    </row>
    <row r="178">
      <c r="A178" s="339"/>
      <c r="B178" s="339"/>
      <c r="C178" s="339"/>
      <c r="D178" s="339"/>
      <c r="E178" s="339"/>
      <c r="F178" s="339"/>
      <c r="G178" s="339"/>
      <c r="H178" s="339"/>
      <c r="I178" s="339"/>
      <c r="J178" s="339"/>
      <c r="K178" s="339"/>
      <c r="L178" s="339"/>
      <c r="M178" s="339"/>
      <c r="N178" s="339"/>
      <c r="O178" s="339"/>
      <c r="P178" s="339"/>
      <c r="Q178" s="339"/>
      <c r="R178" s="339"/>
      <c r="S178" s="339"/>
      <c r="T178" s="339"/>
      <c r="U178" s="339"/>
      <c r="V178" s="339"/>
      <c r="W178" s="339"/>
      <c r="X178" s="339"/>
      <c r="Y178" s="339"/>
      <c r="Z178" s="339"/>
      <c r="AA178" s="339"/>
    </row>
    <row r="179">
      <c r="A179" s="339"/>
      <c r="B179" s="339"/>
      <c r="C179" s="339"/>
      <c r="D179" s="339"/>
      <c r="E179" s="339"/>
      <c r="F179" s="339"/>
      <c r="G179" s="339"/>
      <c r="H179" s="339"/>
      <c r="I179" s="339"/>
      <c r="J179" s="339"/>
      <c r="K179" s="339"/>
      <c r="L179" s="339"/>
      <c r="M179" s="339"/>
      <c r="N179" s="339"/>
      <c r="O179" s="339"/>
      <c r="P179" s="339"/>
      <c r="Q179" s="339"/>
      <c r="R179" s="339"/>
      <c r="S179" s="339"/>
      <c r="T179" s="339"/>
      <c r="U179" s="339"/>
      <c r="V179" s="339"/>
      <c r="W179" s="339"/>
      <c r="X179" s="339"/>
      <c r="Y179" s="339"/>
      <c r="Z179" s="339"/>
      <c r="AA179" s="339"/>
    </row>
    <row r="180">
      <c r="A180" s="339"/>
      <c r="B180" s="339"/>
      <c r="C180" s="339"/>
      <c r="D180" s="339"/>
      <c r="E180" s="339"/>
      <c r="F180" s="339"/>
      <c r="G180" s="339"/>
      <c r="H180" s="339"/>
      <c r="I180" s="339"/>
      <c r="J180" s="339"/>
      <c r="K180" s="339"/>
      <c r="L180" s="339"/>
      <c r="M180" s="339"/>
      <c r="N180" s="339"/>
      <c r="O180" s="339"/>
      <c r="P180" s="339"/>
      <c r="Q180" s="339"/>
      <c r="R180" s="339"/>
      <c r="S180" s="339"/>
      <c r="T180" s="339"/>
      <c r="U180" s="339"/>
      <c r="V180" s="339"/>
      <c r="W180" s="339"/>
      <c r="X180" s="339"/>
      <c r="Y180" s="339"/>
      <c r="Z180" s="339"/>
      <c r="AA180" s="339"/>
    </row>
    <row r="181">
      <c r="A181" s="339"/>
      <c r="B181" s="339"/>
      <c r="C181" s="339"/>
      <c r="D181" s="339"/>
      <c r="E181" s="339"/>
      <c r="F181" s="339"/>
      <c r="G181" s="339"/>
      <c r="H181" s="339"/>
      <c r="I181" s="339"/>
      <c r="J181" s="339"/>
      <c r="K181" s="339"/>
      <c r="L181" s="339"/>
      <c r="M181" s="339"/>
      <c r="N181" s="339"/>
      <c r="O181" s="339"/>
      <c r="P181" s="339"/>
      <c r="Q181" s="339"/>
      <c r="R181" s="339"/>
      <c r="S181" s="339"/>
      <c r="T181" s="339"/>
      <c r="U181" s="339"/>
      <c r="V181" s="339"/>
      <c r="W181" s="339"/>
      <c r="X181" s="339"/>
      <c r="Y181" s="339"/>
      <c r="Z181" s="339"/>
      <c r="AA181" s="339"/>
    </row>
    <row r="182">
      <c r="A182" s="339"/>
      <c r="B182" s="339"/>
      <c r="C182" s="339"/>
      <c r="D182" s="339"/>
      <c r="E182" s="339"/>
      <c r="F182" s="339"/>
      <c r="G182" s="339"/>
      <c r="H182" s="339"/>
      <c r="I182" s="339"/>
      <c r="J182" s="339"/>
      <c r="K182" s="339"/>
      <c r="L182" s="339"/>
      <c r="M182" s="339"/>
      <c r="N182" s="339"/>
      <c r="O182" s="339"/>
      <c r="P182" s="339"/>
      <c r="Q182" s="339"/>
      <c r="R182" s="339"/>
      <c r="S182" s="339"/>
      <c r="T182" s="339"/>
      <c r="U182" s="339"/>
      <c r="V182" s="339"/>
      <c r="W182" s="339"/>
      <c r="X182" s="339"/>
      <c r="Y182" s="339"/>
      <c r="Z182" s="339"/>
      <c r="AA182" s="339"/>
    </row>
    <row r="183">
      <c r="A183" s="339"/>
      <c r="B183" s="339"/>
      <c r="C183" s="339"/>
      <c r="D183" s="339"/>
      <c r="E183" s="339"/>
      <c r="F183" s="339"/>
      <c r="G183" s="339"/>
      <c r="H183" s="339"/>
      <c r="I183" s="339"/>
      <c r="J183" s="339"/>
      <c r="K183" s="339"/>
      <c r="L183" s="339"/>
      <c r="M183" s="339"/>
      <c r="N183" s="339"/>
      <c r="O183" s="339"/>
      <c r="P183" s="339"/>
      <c r="Q183" s="339"/>
      <c r="R183" s="339"/>
      <c r="S183" s="339"/>
      <c r="T183" s="339"/>
      <c r="U183" s="339"/>
      <c r="V183" s="339"/>
      <c r="W183" s="339"/>
      <c r="X183" s="339"/>
      <c r="Y183" s="339"/>
      <c r="Z183" s="339"/>
      <c r="AA183" s="339"/>
    </row>
    <row r="184">
      <c r="A184" s="339"/>
      <c r="B184" s="339"/>
      <c r="C184" s="339"/>
      <c r="D184" s="339"/>
      <c r="E184" s="339"/>
      <c r="F184" s="339"/>
      <c r="G184" s="339"/>
      <c r="H184" s="339"/>
      <c r="I184" s="339"/>
      <c r="J184" s="339"/>
      <c r="K184" s="339"/>
      <c r="L184" s="339"/>
      <c r="M184" s="339"/>
      <c r="N184" s="339"/>
      <c r="O184" s="339"/>
      <c r="P184" s="339"/>
      <c r="Q184" s="339"/>
      <c r="R184" s="339"/>
      <c r="S184" s="339"/>
      <c r="T184" s="339"/>
      <c r="U184" s="339"/>
      <c r="V184" s="339"/>
      <c r="W184" s="339"/>
      <c r="X184" s="339"/>
      <c r="Y184" s="339"/>
      <c r="Z184" s="339"/>
      <c r="AA184" s="339"/>
    </row>
    <row r="185">
      <c r="A185" s="339"/>
      <c r="B185" s="339"/>
      <c r="C185" s="339"/>
      <c r="D185" s="339"/>
      <c r="E185" s="339"/>
      <c r="F185" s="339"/>
      <c r="G185" s="339"/>
      <c r="H185" s="339"/>
      <c r="I185" s="339"/>
      <c r="J185" s="339"/>
      <c r="K185" s="339"/>
      <c r="L185" s="339"/>
      <c r="M185" s="339"/>
      <c r="N185" s="339"/>
      <c r="O185" s="339"/>
      <c r="P185" s="339"/>
      <c r="Q185" s="339"/>
      <c r="R185" s="339"/>
      <c r="S185" s="339"/>
      <c r="T185" s="339"/>
      <c r="U185" s="339"/>
      <c r="V185" s="339"/>
      <c r="W185" s="339"/>
      <c r="X185" s="339"/>
      <c r="Y185" s="339"/>
      <c r="Z185" s="339"/>
      <c r="AA185" s="339"/>
    </row>
    <row r="186">
      <c r="A186" s="339"/>
      <c r="B186" s="339"/>
      <c r="C186" s="339"/>
      <c r="D186" s="339"/>
      <c r="E186" s="339"/>
      <c r="F186" s="339"/>
      <c r="G186" s="339"/>
      <c r="H186" s="339"/>
      <c r="I186" s="339"/>
      <c r="J186" s="339"/>
      <c r="K186" s="339"/>
      <c r="L186" s="339"/>
      <c r="M186" s="339"/>
      <c r="N186" s="339"/>
      <c r="O186" s="339"/>
      <c r="P186" s="339"/>
      <c r="Q186" s="339"/>
      <c r="R186" s="339"/>
      <c r="S186" s="339"/>
      <c r="T186" s="339"/>
      <c r="U186" s="339"/>
      <c r="V186" s="339"/>
      <c r="W186" s="339"/>
      <c r="X186" s="339"/>
      <c r="Y186" s="339"/>
      <c r="Z186" s="339"/>
      <c r="AA186" s="339"/>
    </row>
    <row r="187">
      <c r="A187" s="339"/>
      <c r="B187" s="339"/>
      <c r="C187" s="339"/>
      <c r="D187" s="339"/>
      <c r="E187" s="339"/>
      <c r="F187" s="339"/>
      <c r="G187" s="339"/>
      <c r="H187" s="339"/>
      <c r="I187" s="339"/>
      <c r="J187" s="339"/>
      <c r="K187" s="339"/>
      <c r="L187" s="339"/>
      <c r="M187" s="339"/>
      <c r="N187" s="339"/>
      <c r="O187" s="339"/>
      <c r="P187" s="339"/>
      <c r="Q187" s="339"/>
      <c r="R187" s="339"/>
      <c r="S187" s="339"/>
      <c r="T187" s="339"/>
      <c r="U187" s="339"/>
      <c r="V187" s="339"/>
      <c r="W187" s="339"/>
      <c r="X187" s="339"/>
      <c r="Y187" s="339"/>
      <c r="Z187" s="339"/>
      <c r="AA187" s="339"/>
    </row>
    <row r="188">
      <c r="A188" s="339"/>
      <c r="B188" s="339"/>
      <c r="C188" s="339"/>
      <c r="D188" s="339"/>
      <c r="E188" s="339"/>
      <c r="F188" s="339"/>
      <c r="G188" s="339"/>
      <c r="H188" s="339"/>
      <c r="I188" s="339"/>
      <c r="J188" s="339"/>
      <c r="K188" s="339"/>
      <c r="L188" s="339"/>
      <c r="M188" s="339"/>
      <c r="N188" s="339"/>
      <c r="O188" s="339"/>
      <c r="P188" s="339"/>
      <c r="Q188" s="339"/>
      <c r="R188" s="339"/>
      <c r="S188" s="339"/>
      <c r="T188" s="339"/>
      <c r="U188" s="339"/>
      <c r="V188" s="339"/>
      <c r="W188" s="339"/>
      <c r="X188" s="339"/>
      <c r="Y188" s="339"/>
      <c r="Z188" s="339"/>
      <c r="AA188" s="339"/>
    </row>
    <row r="189">
      <c r="A189" s="339"/>
      <c r="B189" s="339"/>
      <c r="C189" s="339"/>
      <c r="D189" s="339"/>
      <c r="E189" s="339"/>
      <c r="F189" s="339"/>
      <c r="G189" s="339"/>
      <c r="H189" s="339"/>
      <c r="I189" s="339"/>
      <c r="J189" s="339"/>
      <c r="K189" s="339"/>
      <c r="L189" s="339"/>
      <c r="M189" s="339"/>
      <c r="N189" s="339"/>
      <c r="O189" s="339"/>
      <c r="P189" s="339"/>
      <c r="Q189" s="339"/>
      <c r="R189" s="339"/>
      <c r="S189" s="339"/>
      <c r="T189" s="339"/>
      <c r="U189" s="339"/>
      <c r="V189" s="339"/>
      <c r="W189" s="339"/>
      <c r="X189" s="339"/>
      <c r="Y189" s="339"/>
      <c r="Z189" s="339"/>
      <c r="AA189" s="339"/>
    </row>
    <row r="190">
      <c r="A190" s="339"/>
      <c r="B190" s="339"/>
      <c r="C190" s="339"/>
      <c r="D190" s="339"/>
      <c r="E190" s="339"/>
      <c r="F190" s="339"/>
      <c r="G190" s="339"/>
      <c r="H190" s="339"/>
      <c r="I190" s="339"/>
      <c r="J190" s="339"/>
      <c r="K190" s="339"/>
      <c r="L190" s="339"/>
      <c r="M190" s="339"/>
      <c r="N190" s="339"/>
      <c r="O190" s="339"/>
      <c r="P190" s="339"/>
      <c r="Q190" s="339"/>
      <c r="R190" s="339"/>
      <c r="S190" s="339"/>
      <c r="T190" s="339"/>
      <c r="U190" s="339"/>
      <c r="V190" s="339"/>
      <c r="W190" s="339"/>
      <c r="X190" s="339"/>
      <c r="Y190" s="339"/>
      <c r="Z190" s="339"/>
      <c r="AA190" s="339"/>
    </row>
    <row r="191">
      <c r="A191" s="339"/>
      <c r="B191" s="339"/>
      <c r="C191" s="339"/>
      <c r="D191" s="339"/>
      <c r="E191" s="339"/>
      <c r="F191" s="339"/>
      <c r="G191" s="339"/>
      <c r="H191" s="339"/>
      <c r="I191" s="339"/>
      <c r="J191" s="339"/>
      <c r="K191" s="339"/>
      <c r="L191" s="339"/>
      <c r="M191" s="339"/>
      <c r="N191" s="339"/>
      <c r="O191" s="339"/>
      <c r="P191" s="339"/>
      <c r="Q191" s="339"/>
      <c r="R191" s="339"/>
      <c r="S191" s="339"/>
      <c r="T191" s="339"/>
      <c r="U191" s="339"/>
      <c r="V191" s="339"/>
      <c r="W191" s="339"/>
      <c r="X191" s="339"/>
      <c r="Y191" s="339"/>
      <c r="Z191" s="339"/>
      <c r="AA191" s="339"/>
    </row>
    <row r="192">
      <c r="A192" s="339"/>
      <c r="B192" s="339"/>
      <c r="C192" s="339"/>
      <c r="D192" s="339"/>
      <c r="E192" s="339"/>
      <c r="F192" s="339"/>
      <c r="G192" s="339"/>
      <c r="H192" s="339"/>
      <c r="I192" s="339"/>
      <c r="J192" s="339"/>
      <c r="K192" s="339"/>
      <c r="L192" s="339"/>
      <c r="M192" s="339"/>
      <c r="N192" s="339"/>
      <c r="O192" s="339"/>
      <c r="P192" s="339"/>
      <c r="Q192" s="339"/>
      <c r="R192" s="339"/>
      <c r="S192" s="339"/>
      <c r="T192" s="339"/>
      <c r="U192" s="339"/>
      <c r="V192" s="339"/>
      <c r="W192" s="339"/>
      <c r="X192" s="339"/>
      <c r="Y192" s="339"/>
      <c r="Z192" s="339"/>
      <c r="AA192" s="339"/>
    </row>
    <row r="193">
      <c r="A193" s="339"/>
      <c r="B193" s="339"/>
      <c r="C193" s="339"/>
      <c r="D193" s="339"/>
      <c r="E193" s="339"/>
      <c r="F193" s="339"/>
      <c r="G193" s="339"/>
      <c r="H193" s="339"/>
      <c r="I193" s="339"/>
      <c r="J193" s="339"/>
      <c r="K193" s="339"/>
      <c r="L193" s="339"/>
      <c r="M193" s="339"/>
      <c r="N193" s="339"/>
      <c r="O193" s="339"/>
      <c r="P193" s="339"/>
      <c r="Q193" s="339"/>
      <c r="R193" s="339"/>
      <c r="S193" s="339"/>
      <c r="T193" s="339"/>
      <c r="U193" s="339"/>
      <c r="V193" s="339"/>
      <c r="W193" s="339"/>
      <c r="X193" s="339"/>
      <c r="Y193" s="339"/>
      <c r="Z193" s="339"/>
      <c r="AA193" s="339"/>
    </row>
    <row r="194">
      <c r="A194" s="339"/>
      <c r="B194" s="339"/>
      <c r="C194" s="339"/>
      <c r="D194" s="339"/>
      <c r="E194" s="339"/>
      <c r="F194" s="339"/>
      <c r="G194" s="339"/>
      <c r="H194" s="339"/>
      <c r="I194" s="339"/>
      <c r="J194" s="339"/>
      <c r="K194" s="339"/>
      <c r="L194" s="339"/>
      <c r="M194" s="339"/>
      <c r="N194" s="339"/>
      <c r="O194" s="339"/>
      <c r="P194" s="339"/>
      <c r="Q194" s="339"/>
      <c r="R194" s="339"/>
      <c r="S194" s="339"/>
      <c r="T194" s="339"/>
      <c r="U194" s="339"/>
      <c r="V194" s="339"/>
      <c r="W194" s="339"/>
      <c r="X194" s="339"/>
      <c r="Y194" s="339"/>
      <c r="Z194" s="339"/>
      <c r="AA194" s="339"/>
    </row>
    <row r="195">
      <c r="A195" s="339"/>
      <c r="B195" s="339"/>
      <c r="C195" s="339"/>
      <c r="D195" s="339"/>
      <c r="E195" s="339"/>
      <c r="F195" s="339"/>
      <c r="G195" s="339"/>
      <c r="H195" s="339"/>
      <c r="I195" s="339"/>
      <c r="J195" s="339"/>
      <c r="K195" s="339"/>
      <c r="L195" s="339"/>
      <c r="M195" s="339"/>
      <c r="N195" s="339"/>
      <c r="O195" s="339"/>
      <c r="P195" s="339"/>
      <c r="Q195" s="339"/>
      <c r="R195" s="339"/>
      <c r="S195" s="339"/>
      <c r="T195" s="339"/>
      <c r="U195" s="339"/>
      <c r="V195" s="339"/>
      <c r="W195" s="339"/>
      <c r="X195" s="339"/>
      <c r="Y195" s="339"/>
      <c r="Z195" s="339"/>
      <c r="AA195" s="339"/>
    </row>
    <row r="196">
      <c r="A196" s="339"/>
      <c r="B196" s="339"/>
      <c r="C196" s="339"/>
      <c r="D196" s="339"/>
      <c r="E196" s="339"/>
      <c r="F196" s="339"/>
      <c r="G196" s="339"/>
      <c r="H196" s="339"/>
      <c r="I196" s="339"/>
      <c r="J196" s="339"/>
      <c r="K196" s="339"/>
      <c r="L196" s="339"/>
      <c r="M196" s="339"/>
      <c r="N196" s="339"/>
      <c r="O196" s="339"/>
      <c r="P196" s="339"/>
      <c r="Q196" s="339"/>
      <c r="R196" s="339"/>
      <c r="S196" s="339"/>
      <c r="T196" s="339"/>
      <c r="U196" s="339"/>
      <c r="V196" s="339"/>
      <c r="W196" s="339"/>
      <c r="X196" s="339"/>
      <c r="Y196" s="339"/>
      <c r="Z196" s="339"/>
      <c r="AA196" s="339"/>
    </row>
    <row r="197">
      <c r="A197" s="339"/>
      <c r="B197" s="339"/>
      <c r="C197" s="339"/>
      <c r="D197" s="339"/>
      <c r="E197" s="339"/>
      <c r="F197" s="339"/>
      <c r="G197" s="339"/>
      <c r="H197" s="339"/>
      <c r="I197" s="339"/>
      <c r="J197" s="339"/>
      <c r="K197" s="339"/>
      <c r="L197" s="339"/>
      <c r="M197" s="339"/>
      <c r="N197" s="339"/>
      <c r="O197" s="339"/>
      <c r="P197" s="339"/>
      <c r="Q197" s="339"/>
      <c r="R197" s="339"/>
      <c r="S197" s="339"/>
      <c r="T197" s="339"/>
      <c r="U197" s="339"/>
      <c r="V197" s="339"/>
      <c r="W197" s="339"/>
      <c r="X197" s="339"/>
      <c r="Y197" s="339"/>
      <c r="Z197" s="339"/>
      <c r="AA197" s="339"/>
    </row>
    <row r="198">
      <c r="A198" s="339"/>
      <c r="B198" s="339"/>
      <c r="C198" s="339"/>
      <c r="D198" s="339"/>
      <c r="E198" s="339"/>
      <c r="F198" s="339"/>
      <c r="G198" s="339"/>
      <c r="H198" s="339"/>
      <c r="I198" s="339"/>
      <c r="J198" s="339"/>
      <c r="K198" s="339"/>
      <c r="L198" s="339"/>
      <c r="M198" s="339"/>
      <c r="N198" s="339"/>
      <c r="O198" s="339"/>
      <c r="P198" s="339"/>
      <c r="Q198" s="339"/>
      <c r="R198" s="339"/>
      <c r="S198" s="339"/>
      <c r="T198" s="339"/>
      <c r="U198" s="339"/>
      <c r="V198" s="339"/>
      <c r="W198" s="339"/>
      <c r="X198" s="339"/>
      <c r="Y198" s="339"/>
      <c r="Z198" s="339"/>
      <c r="AA198" s="339"/>
    </row>
    <row r="199">
      <c r="A199" s="339"/>
      <c r="B199" s="339"/>
      <c r="C199" s="339"/>
      <c r="D199" s="339"/>
      <c r="E199" s="339"/>
      <c r="F199" s="339"/>
      <c r="G199" s="339"/>
      <c r="H199" s="339"/>
      <c r="I199" s="339"/>
      <c r="J199" s="339"/>
      <c r="K199" s="339"/>
      <c r="L199" s="339"/>
      <c r="M199" s="339"/>
      <c r="N199" s="339"/>
      <c r="O199" s="339"/>
      <c r="P199" s="339"/>
      <c r="Q199" s="339"/>
      <c r="R199" s="339"/>
      <c r="S199" s="339"/>
      <c r="T199" s="339"/>
      <c r="U199" s="339"/>
      <c r="V199" s="339"/>
      <c r="W199" s="339"/>
      <c r="X199" s="339"/>
      <c r="Y199" s="339"/>
      <c r="Z199" s="339"/>
      <c r="AA199" s="339"/>
    </row>
    <row r="200">
      <c r="A200" s="339"/>
      <c r="B200" s="339"/>
      <c r="C200" s="339"/>
      <c r="D200" s="339"/>
      <c r="E200" s="339"/>
      <c r="F200" s="339"/>
      <c r="G200" s="339"/>
      <c r="H200" s="339"/>
      <c r="I200" s="339"/>
      <c r="J200" s="339"/>
      <c r="K200" s="339"/>
      <c r="L200" s="339"/>
      <c r="M200" s="339"/>
      <c r="N200" s="339"/>
      <c r="O200" s="339"/>
      <c r="P200" s="339"/>
      <c r="Q200" s="339"/>
      <c r="R200" s="339"/>
      <c r="S200" s="339"/>
      <c r="T200" s="339"/>
      <c r="U200" s="339"/>
      <c r="V200" s="339"/>
      <c r="W200" s="339"/>
      <c r="X200" s="339"/>
      <c r="Y200" s="339"/>
      <c r="Z200" s="339"/>
      <c r="AA200" s="339"/>
    </row>
    <row r="201">
      <c r="A201" s="339"/>
      <c r="B201" s="339"/>
      <c r="C201" s="339"/>
      <c r="D201" s="339"/>
      <c r="E201" s="339"/>
      <c r="F201" s="339"/>
      <c r="G201" s="339"/>
      <c r="H201" s="339"/>
      <c r="I201" s="339"/>
      <c r="J201" s="339"/>
      <c r="K201" s="339"/>
      <c r="L201" s="339"/>
      <c r="M201" s="339"/>
      <c r="N201" s="339"/>
      <c r="O201" s="339"/>
      <c r="P201" s="339"/>
      <c r="Q201" s="339"/>
      <c r="R201" s="339"/>
      <c r="S201" s="339"/>
      <c r="T201" s="339"/>
      <c r="U201" s="339"/>
      <c r="V201" s="339"/>
      <c r="W201" s="339"/>
      <c r="X201" s="339"/>
      <c r="Y201" s="339"/>
      <c r="Z201" s="339"/>
      <c r="AA201" s="339"/>
    </row>
    <row r="202">
      <c r="A202" s="339"/>
      <c r="B202" s="339"/>
      <c r="C202" s="339"/>
      <c r="D202" s="339"/>
      <c r="E202" s="339"/>
      <c r="F202" s="339"/>
      <c r="G202" s="339"/>
      <c r="H202" s="339"/>
      <c r="I202" s="339"/>
      <c r="J202" s="339"/>
      <c r="K202" s="339"/>
      <c r="L202" s="339"/>
      <c r="M202" s="339"/>
      <c r="N202" s="339"/>
      <c r="O202" s="339"/>
      <c r="P202" s="339"/>
      <c r="Q202" s="339"/>
      <c r="R202" s="339"/>
      <c r="S202" s="339"/>
      <c r="T202" s="339"/>
      <c r="U202" s="339"/>
      <c r="V202" s="339"/>
      <c r="W202" s="339"/>
      <c r="X202" s="339"/>
      <c r="Y202" s="339"/>
      <c r="Z202" s="339"/>
      <c r="AA202" s="339"/>
    </row>
  </sheetData>
  <mergeCells>
    <mergeCell ref="A2:A6"/>
    <mergeCell ref="B2:B6"/>
    <mergeCell ref="C2:C6"/>
    <mergeCell ref="A10:A14"/>
    <mergeCell ref="B10:B14"/>
    <mergeCell ref="C10:C14"/>
    <mergeCell ref="A18:A22"/>
    <mergeCell ref="B18:B22"/>
    <mergeCell ref="C18:C22"/>
    <mergeCell ref="A26:A30"/>
    <mergeCell ref="B26:B30"/>
    <mergeCell ref="C26:C3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