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<sst xmlns="http://schemas.openxmlformats.org/spreadsheetml/2006/main" count="73" uniqueCount="54">
  <si>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ASIN</t>
  </si>
  <si>
    <t>商机探测器360 搜索点击量</t>
  </si>
  <si>
    <t>业务报告 365--会话数 - 总计</t>
  </si>
  <si>
    <t>业务报告 365 --页面浏览量 - 总计</t>
  </si>
  <si>
    <t>glance view所有</t>
  </si>
  <si>
    <t>订单</t>
  </si>
  <si>
    <t>预估转化率</t>
  </si>
  <si>
    <t>商机探测的转化率</t>
  </si>
  <si>
    <t>转化率 - 总计</t>
  </si>
  <si>
    <t>B0G56Z1QX7</t>
  </si>
  <si>
    <t>B0998RJNLX</t>
  </si>
  <si>
    <t>B0GTYVFPBY</t>
  </si>
  <si>
    <t>B0BRNFKGKP</t>
  </si>
  <si>
    <t>B0GDDKS6ZJ</t>
  </si>
  <si>
    <t>B0DRFDS3BW</t>
  </si>
  <si>
    <t>B0FNM5M6R6</t>
  </si>
  <si>
    <t>B0FNR23GX1</t>
  </si>
  <si>
    <t>B0F3CK5TDN</t>
  </si>
  <si>
    <t>B0G6D7TQVK</t>
  </si>
  <si>
    <t>B0F3GR9D5Z</t>
  </si>
  <si>
    <t>B0F2FT16RB</t>
  </si>
  <si>
    <t>B086SQWZK5</t>
  </si>
  <si>
    <t>B0CZ3GP76F</t>
  </si>
  <si>
    <t>B086SRQVVM</t>
  </si>
  <si>
    <t>B0D83H9RNR</t>
  </si>
  <si>
    <t>B0D95RN1XB</t>
  </si>
  <si>
    <t>B094J9ZTJ1</t>
  </si>
  <si>
    <t>B0CHDXRBMY</t>
  </si>
  <si>
    <t>B0BBM27CFK</t>
  </si>
  <si>
    <t>B0FMXX8CSP</t>
  </si>
  <si>
    <t>B0F12MGMY9</t>
  </si>
  <si>
    <t>B0DC9KKV8L</t>
  </si>
  <si>
    <t>B0FG7L3M7C</t>
  </si>
  <si>
    <t>B0BD6TYYMH</t>
  </si>
  <si>
    <t>B0D93KJPP2</t>
  </si>
  <si>
    <t>B0FMY2HP87</t>
  </si>
  <si>
    <t>B0C77TK34F</t>
  </si>
  <si>
    <t>B0F214MJGW</t>
  </si>
  <si>
    <t>B0BRQ4ZKGJ</t>
  </si>
  <si>
    <t>B0FXF7WZZ3</t>
  </si>
  <si>
    <t>B0GPVB5JZM</t>
  </si>
  <si>
    <t>B0CYZWZ964</t>
  </si>
  <si>
    <t>B0F4CNG2JL</t>
  </si>
  <si>
    <t>B0GPWBV4DY</t>
  </si>
  <si>
    <t>B07QXS15N1</t>
  </si>
  <si>
    <t>B07S1MK2DV</t>
  </si>
  <si>
    <t>B099ZT7QC3</t>
  </si>
  <si>
    <t>B0F91W95PM</t>
  </si>
  <si>
    <t>B0F91TLT43</t>
  </si>
  <si>
    <t>B088JRPQCN</t>
  </si>
  <si>
    <t>B0D1KCFXVN</t>
  </si>
  <si>
    <t>B0CZDHN3WG</t>
  </si>
  <si>
    <t>B0FSDB4TBK</t>
  </si>
  <si>
    <t>B0CHDS42YJ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</si>
</sst>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6"/>
  <sheetViews>
    <sheetView tabSelected="1" topLeftCell="C37" workbookViewId="0">
      <selection activeCell="L54" sqref="L54"/>
    </sheetView>
  </sheetViews>
  <sheetFormatPr defaultColWidth="8.88888888888889" defaultRowHeight="14.4"/>
  <cols>
    <col min="1" max="1" width="19.5555555555556" customWidth="1"/>
    <col min="2" max="2" width="27.8888888888889" style="1" customWidth="1"/>
    <col min="3" max="3" width="39.4444444444444" style="1" customWidth="1"/>
    <col min="4" max="4" width="58.3333333333333" style="1" customWidth="1"/>
    <col min="5" max="5" width="19.7777777777778" customWidth="1"/>
    <col min="8" max="8" width="11.3333333333333" style="2" customWidth="1"/>
    <col min="9" max="9" width="21.3333333333333" style="2" customWidth="1"/>
    <col min="11" max="11" width="8.88888888888889" hidden="1" customWidth="1"/>
    <col min="12" max="12" width="12.8888888888889" style="2"/>
  </cols>
  <sheetData>
    <row r="1" spans="1:1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H1" s="2" t="s">
        <v>6</v>
      </c>
      <c r="I1" s="2" t="s">
        <v>7</v>
      </c>
      <c r="L1" s="2" t="s">
        <v>8</v>
      </c>
    </row>
    <row r="2" spans="1:12">
      <c r="A2" t="s">
        <v>9</v>
      </c>
      <c r="B2" s="1">
        <v>6542</v>
      </c>
      <c r="C2" s="1">
        <v>9769</v>
      </c>
      <c r="D2" s="1">
        <v>15184</v>
      </c>
      <c r="E2">
        <v>12000</v>
      </c>
      <c r="F2">
        <v>1778</v>
      </c>
      <c r="H2" s="2">
        <f>F2/E2</f>
        <v>0.148166666666667</v>
      </c>
      <c r="I2" s="2">
        <f>F2/B2</f>
        <v>0.271782329562825</v>
      </c>
      <c r="L2" s="2">
        <f>F2/C2</f>
        <v>0.182004299314157</v>
      </c>
    </row>
    <row r="3" spans="1:12">
      <c r="A3" t="s">
        <v>10</v>
      </c>
      <c r="B3" s="1">
        <v>22708</v>
      </c>
      <c r="C3" s="1">
        <v>11069</v>
      </c>
      <c r="D3" s="1">
        <v>17908</v>
      </c>
      <c r="E3">
        <v>44000</v>
      </c>
      <c r="F3">
        <v>289</v>
      </c>
      <c r="H3" s="2">
        <f t="shared" ref="H3:H8" si="0">F3/E3</f>
        <v>0.00656818181818182</v>
      </c>
      <c r="I3" s="2">
        <f t="shared" ref="I3:I8" si="1">F3/B3</f>
        <v>0.0127267923198873</v>
      </c>
      <c r="L3" s="2">
        <f t="shared" ref="L3:L34" si="2">F3/C3</f>
        <v>0.0261089529316108</v>
      </c>
    </row>
    <row r="4" spans="1:12">
      <c r="A4" t="s">
        <v>11</v>
      </c>
      <c r="B4" s="1">
        <v>432</v>
      </c>
      <c r="C4" s="1">
        <v>1481</v>
      </c>
      <c r="D4" s="1">
        <v>2212</v>
      </c>
      <c r="E4">
        <v>864</v>
      </c>
      <c r="F4">
        <v>220</v>
      </c>
      <c r="H4" s="2">
        <f t="shared" si="0"/>
        <v>0.25462962962963</v>
      </c>
      <c r="I4" s="2">
        <f t="shared" si="1"/>
        <v>0.509259259259259</v>
      </c>
      <c r="L4" s="2">
        <f t="shared" si="2"/>
        <v>0.148548278190412</v>
      </c>
    </row>
    <row r="5" spans="1:12">
      <c r="A5" t="s">
        <v>12</v>
      </c>
      <c r="B5" s="1">
        <v>15144</v>
      </c>
      <c r="C5" s="1">
        <v>23533</v>
      </c>
      <c r="D5" s="1">
        <v>36075</v>
      </c>
      <c r="E5">
        <v>30000</v>
      </c>
      <c r="F5">
        <v>126</v>
      </c>
      <c r="H5" s="2">
        <f t="shared" si="0"/>
        <v>0.0042</v>
      </c>
      <c r="I5" s="2">
        <f t="shared" si="1"/>
        <v>0.00832012678288431</v>
      </c>
      <c r="L5" s="2">
        <f t="shared" si="2"/>
        <v>0.00535418348701823</v>
      </c>
    </row>
    <row r="6" spans="1:12">
      <c r="A6" t="s">
        <v>13</v>
      </c>
      <c r="B6" s="1">
        <v>8</v>
      </c>
      <c r="C6" s="1">
        <v>1</v>
      </c>
      <c r="D6" s="1">
        <v>1</v>
      </c>
      <c r="E6">
        <v>16</v>
      </c>
      <c r="F6">
        <v>1</v>
      </c>
      <c r="H6" s="2">
        <f t="shared" si="0"/>
        <v>0.0625</v>
      </c>
      <c r="I6" s="2">
        <f t="shared" si="1"/>
        <v>0.125</v>
      </c>
      <c r="L6" s="2">
        <f t="shared" si="2"/>
        <v>1</v>
      </c>
    </row>
    <row r="7" spans="1:12">
      <c r="A7" t="s">
        <v>14</v>
      </c>
      <c r="B7" s="1">
        <v>3592</v>
      </c>
      <c r="C7" s="1">
        <f>639+2498+2225+153</f>
        <v>5515</v>
      </c>
      <c r="D7" s="1">
        <f>861+3516+3097+190</f>
        <v>7664</v>
      </c>
      <c r="E7">
        <v>7200</v>
      </c>
      <c r="F7">
        <f>53+9</f>
        <v>62</v>
      </c>
      <c r="H7" s="2">
        <f t="shared" si="0"/>
        <v>0.00861111111111111</v>
      </c>
      <c r="I7" s="2">
        <f t="shared" si="1"/>
        <v>0.017260579064588</v>
      </c>
      <c r="L7" s="2">
        <f t="shared" si="2"/>
        <v>0.0112420670897552</v>
      </c>
    </row>
    <row r="8" spans="1:12">
      <c r="A8" t="s">
        <v>15</v>
      </c>
      <c r="B8" s="1">
        <v>4629</v>
      </c>
      <c r="C8" s="1">
        <f>7257+420</f>
        <v>7677</v>
      </c>
      <c r="D8" s="1">
        <f>10785+673</f>
        <v>11458</v>
      </c>
      <c r="E8">
        <v>9100</v>
      </c>
      <c r="F8">
        <v>77</v>
      </c>
      <c r="H8" s="2">
        <f t="shared" si="0"/>
        <v>0.00846153846153846</v>
      </c>
      <c r="I8" s="2">
        <f t="shared" si="1"/>
        <v>0.0166342622596673</v>
      </c>
      <c r="L8" s="2">
        <f t="shared" si="2"/>
        <v>0.0100299596196431</v>
      </c>
    </row>
    <row r="10" spans="1:12">
      <c r="A10" t="s">
        <v>16</v>
      </c>
      <c r="B10" s="1">
        <v>405</v>
      </c>
      <c r="C10" s="1">
        <v>744</v>
      </c>
      <c r="D10" s="1">
        <v>970</v>
      </c>
      <c r="E10">
        <v>810</v>
      </c>
      <c r="F10">
        <v>34</v>
      </c>
      <c r="H10" s="2">
        <f>F10/E10</f>
        <v>0.0419753086419753</v>
      </c>
      <c r="I10" s="2">
        <f>F10/B10</f>
        <v>0.0839506172839506</v>
      </c>
      <c r="L10" s="2">
        <f t="shared" si="2"/>
        <v>0.0456989247311828</v>
      </c>
    </row>
    <row r="11" spans="1:12">
      <c r="K11" t="s">
        <v>8</v>
      </c>
    </row>
    <row r="12" spans="1:12">
      <c r="A12" t="s">
        <v>17</v>
      </c>
      <c r="B12" s="1">
        <v>4037</v>
      </c>
      <c r="C12" s="1">
        <v>10937</v>
      </c>
      <c r="D12" s="1">
        <v>17112</v>
      </c>
      <c r="E12">
        <f>2*B12</f>
        <v>8074</v>
      </c>
      <c r="F12">
        <v>740</v>
      </c>
      <c r="H12" s="2">
        <f>F12/E12</f>
        <v>0.0916522169928164</v>
      </c>
      <c r="I12" s="2">
        <f t="shared" ref="I11:I42" si="3">F12/B12</f>
        <v>0.183304433985633</v>
      </c>
      <c r="K12" s="2">
        <v>0.068</v>
      </c>
      <c r="L12" s="2">
        <f t="shared" si="2"/>
        <v>0.0676602358964981</v>
      </c>
    </row>
    <row r="13" spans="1:12">
      <c r="A13" t="s">
        <v>18</v>
      </c>
      <c r="B13" s="1">
        <v>3572</v>
      </c>
      <c r="C13" s="1">
        <v>8655</v>
      </c>
      <c r="D13" s="1">
        <v>12807</v>
      </c>
      <c r="E13">
        <f t="shared" ref="E13:E44" si="4">2*B13</f>
        <v>7144</v>
      </c>
      <c r="F13">
        <v>562</v>
      </c>
      <c r="H13" s="2">
        <f t="shared" ref="H11:H42" si="5">F13/E13</f>
        <v>0.0786674132138858</v>
      </c>
      <c r="I13" s="2">
        <f t="shared" si="3"/>
        <v>0.157334826427772</v>
      </c>
      <c r="K13" s="2">
        <v>0.0538</v>
      </c>
      <c r="L13" s="2">
        <f t="shared" si="2"/>
        <v>0.0649335644136337</v>
      </c>
    </row>
    <row r="14" spans="1:12">
      <c r="A14" t="s">
        <v>19</v>
      </c>
      <c r="B14" s="1">
        <v>3061</v>
      </c>
      <c r="C14" s="1">
        <v>4304</v>
      </c>
      <c r="D14" s="1">
        <v>6710</v>
      </c>
      <c r="E14">
        <f t="shared" si="4"/>
        <v>6122</v>
      </c>
      <c r="F14">
        <v>486</v>
      </c>
      <c r="H14" s="2">
        <f t="shared" si="5"/>
        <v>0.0793858216269193</v>
      </c>
      <c r="I14" s="2">
        <f t="shared" si="3"/>
        <v>0.158771643253839</v>
      </c>
      <c r="K14" s="2">
        <v>0.0268</v>
      </c>
      <c r="L14" s="2">
        <f t="shared" si="2"/>
        <v>0.112918215613383</v>
      </c>
    </row>
    <row r="15" spans="1:12">
      <c r="A15" t="s">
        <v>20</v>
      </c>
      <c r="B15" s="1">
        <v>3822</v>
      </c>
      <c r="C15" s="1">
        <v>3172</v>
      </c>
      <c r="D15" s="1">
        <v>4746</v>
      </c>
      <c r="E15">
        <f t="shared" si="4"/>
        <v>7644</v>
      </c>
      <c r="F15">
        <v>478</v>
      </c>
      <c r="H15" s="2">
        <f t="shared" si="5"/>
        <v>0.0625327053898482</v>
      </c>
      <c r="I15" s="2">
        <f t="shared" si="3"/>
        <v>0.125065410779696</v>
      </c>
      <c r="K15" s="2">
        <v>0.0197</v>
      </c>
      <c r="L15" s="2">
        <f t="shared" si="2"/>
        <v>0.150693568726356</v>
      </c>
    </row>
    <row r="16" spans="1:12">
      <c r="A16" t="s">
        <v>21</v>
      </c>
      <c r="B16" s="1">
        <v>78195</v>
      </c>
      <c r="C16" s="1">
        <v>17940</v>
      </c>
      <c r="D16" s="1">
        <v>26029</v>
      </c>
      <c r="E16">
        <f t="shared" si="4"/>
        <v>156390</v>
      </c>
      <c r="F16">
        <v>456</v>
      </c>
      <c r="H16" s="2">
        <f t="shared" si="5"/>
        <v>0.00291578745444082</v>
      </c>
      <c r="I16" s="2">
        <f t="shared" si="3"/>
        <v>0.00583157490888164</v>
      </c>
      <c r="K16" s="2">
        <v>0.1116</v>
      </c>
      <c r="L16" s="2">
        <f t="shared" si="2"/>
        <v>0.0254180602006689</v>
      </c>
    </row>
    <row r="17" spans="1:12">
      <c r="A17" t="s">
        <v>22</v>
      </c>
      <c r="B17" s="1">
        <v>5985</v>
      </c>
      <c r="C17" s="1">
        <v>4582</v>
      </c>
      <c r="D17" s="1">
        <v>7542</v>
      </c>
      <c r="E17">
        <f t="shared" si="4"/>
        <v>11970</v>
      </c>
      <c r="F17">
        <v>440</v>
      </c>
      <c r="H17" s="2">
        <f t="shared" si="5"/>
        <v>0.0367585630743525</v>
      </c>
      <c r="I17" s="2">
        <f t="shared" si="3"/>
        <v>0.0735171261487051</v>
      </c>
      <c r="K17" s="2">
        <v>0.0285</v>
      </c>
      <c r="L17" s="2">
        <f t="shared" si="2"/>
        <v>0.0960279353993889</v>
      </c>
    </row>
    <row r="18" spans="1:12">
      <c r="A18" t="s">
        <v>20</v>
      </c>
      <c r="B18" s="1">
        <v>3822</v>
      </c>
      <c r="C18" s="1">
        <v>3150</v>
      </c>
      <c r="D18" s="1">
        <v>4338</v>
      </c>
      <c r="E18">
        <f t="shared" si="4"/>
        <v>7644</v>
      </c>
      <c r="F18">
        <v>431</v>
      </c>
      <c r="H18" s="2">
        <f t="shared" si="5"/>
        <v>0.0563840920983778</v>
      </c>
      <c r="I18" s="2">
        <f t="shared" si="3"/>
        <v>0.112768184196756</v>
      </c>
      <c r="K18" s="2">
        <v>0.0196</v>
      </c>
      <c r="L18" s="2">
        <f t="shared" si="2"/>
        <v>0.136825396825397</v>
      </c>
    </row>
    <row r="19" spans="1:12">
      <c r="A19" t="s">
        <v>23</v>
      </c>
      <c r="B19" s="1">
        <v>7905</v>
      </c>
      <c r="C19" s="1">
        <v>12241</v>
      </c>
      <c r="D19" s="1">
        <v>18639</v>
      </c>
      <c r="E19">
        <f t="shared" si="4"/>
        <v>15810</v>
      </c>
      <c r="F19">
        <v>375</v>
      </c>
      <c r="H19" s="2">
        <f t="shared" si="5"/>
        <v>0.023719165085389</v>
      </c>
      <c r="I19" s="2">
        <f t="shared" si="3"/>
        <v>0.047438330170778</v>
      </c>
      <c r="K19" s="2">
        <v>0.0762</v>
      </c>
      <c r="L19" s="2">
        <f t="shared" si="2"/>
        <v>0.03063475206274</v>
      </c>
    </row>
    <row r="20" spans="1:12">
      <c r="A20" t="s">
        <v>19</v>
      </c>
      <c r="B20" s="1">
        <v>3061</v>
      </c>
      <c r="C20" s="1">
        <v>2663</v>
      </c>
      <c r="D20" s="1">
        <v>3684</v>
      </c>
      <c r="E20">
        <f t="shared" si="4"/>
        <v>6122</v>
      </c>
      <c r="F20">
        <v>338</v>
      </c>
      <c r="H20" s="2">
        <f t="shared" si="5"/>
        <v>0.0552107154524665</v>
      </c>
      <c r="I20" s="2">
        <f t="shared" si="3"/>
        <v>0.110421430904933</v>
      </c>
      <c r="K20" s="2">
        <v>0.0166</v>
      </c>
      <c r="L20" s="2">
        <f t="shared" si="2"/>
        <v>0.126924521216673</v>
      </c>
    </row>
    <row r="21" spans="1:12">
      <c r="A21" t="s">
        <v>24</v>
      </c>
      <c r="B21" s="1">
        <v>44</v>
      </c>
      <c r="C21" s="1">
        <v>3212</v>
      </c>
      <c r="D21" s="1">
        <v>4876</v>
      </c>
      <c r="E21">
        <f t="shared" si="4"/>
        <v>88</v>
      </c>
      <c r="F21">
        <v>243</v>
      </c>
      <c r="H21" s="2">
        <f t="shared" si="5"/>
        <v>2.76136363636364</v>
      </c>
      <c r="I21" s="2">
        <f t="shared" si="3"/>
        <v>5.52272727272727</v>
      </c>
      <c r="K21" s="2">
        <v>0.02</v>
      </c>
      <c r="L21" s="2">
        <f t="shared" si="2"/>
        <v>0.075653798256538</v>
      </c>
    </row>
    <row r="22" spans="1:12">
      <c r="A22" t="s">
        <v>21</v>
      </c>
      <c r="B22" s="1">
        <v>78195</v>
      </c>
      <c r="C22" s="1">
        <v>17940</v>
      </c>
      <c r="D22" s="1">
        <v>26029</v>
      </c>
      <c r="E22">
        <f t="shared" si="4"/>
        <v>156390</v>
      </c>
      <c r="F22">
        <v>197</v>
      </c>
      <c r="H22" s="2">
        <f t="shared" si="5"/>
        <v>0.0012596713344843</v>
      </c>
      <c r="I22" s="2">
        <f t="shared" si="3"/>
        <v>0.0025193426689686</v>
      </c>
      <c r="K22" s="2">
        <v>0.1116</v>
      </c>
      <c r="L22" s="2">
        <f t="shared" si="2"/>
        <v>0.0109810479375697</v>
      </c>
    </row>
    <row r="23" spans="1:12">
      <c r="A23" t="s">
        <v>25</v>
      </c>
      <c r="B23" s="1">
        <v>2874</v>
      </c>
      <c r="C23" s="1">
        <v>6463</v>
      </c>
      <c r="D23" s="1">
        <v>9643</v>
      </c>
      <c r="E23">
        <f t="shared" si="4"/>
        <v>5748</v>
      </c>
      <c r="F23">
        <v>149</v>
      </c>
      <c r="H23" s="2">
        <f t="shared" si="5"/>
        <v>0.0259220598469033</v>
      </c>
      <c r="I23" s="2">
        <f t="shared" si="3"/>
        <v>0.0518441196938065</v>
      </c>
      <c r="K23" s="2">
        <v>0.0402</v>
      </c>
      <c r="L23" s="2">
        <f t="shared" si="2"/>
        <v>0.0230543091443602</v>
      </c>
    </row>
    <row r="24" spans="1:12">
      <c r="A24" t="s">
        <v>25</v>
      </c>
      <c r="B24" s="1">
        <v>2874</v>
      </c>
      <c r="C24" s="1">
        <v>6441</v>
      </c>
      <c r="D24" s="1">
        <v>10000</v>
      </c>
      <c r="E24">
        <f t="shared" si="4"/>
        <v>5748</v>
      </c>
      <c r="F24">
        <v>140</v>
      </c>
      <c r="H24" s="2">
        <f t="shared" si="5"/>
        <v>0.0243562978427279</v>
      </c>
      <c r="I24" s="2">
        <f t="shared" si="3"/>
        <v>0.0487125956854558</v>
      </c>
      <c r="K24" s="2">
        <v>0.0401</v>
      </c>
      <c r="L24" s="2">
        <f t="shared" si="2"/>
        <v>0.0217357553174973</v>
      </c>
    </row>
    <row r="25" spans="1:12">
      <c r="A25" t="s">
        <v>26</v>
      </c>
      <c r="B25" s="1">
        <v>303</v>
      </c>
      <c r="C25" s="1">
        <v>591</v>
      </c>
      <c r="D25" s="1">
        <v>823</v>
      </c>
      <c r="E25">
        <f t="shared" si="4"/>
        <v>606</v>
      </c>
      <c r="F25">
        <v>102</v>
      </c>
      <c r="H25" s="2">
        <f t="shared" si="5"/>
        <v>0.168316831683168</v>
      </c>
      <c r="I25" s="2">
        <f t="shared" si="3"/>
        <v>0.336633663366337</v>
      </c>
      <c r="K25" s="2">
        <v>0.0037</v>
      </c>
      <c r="L25" s="2">
        <f t="shared" si="2"/>
        <v>0.17258883248731</v>
      </c>
    </row>
    <row r="26" spans="1:12">
      <c r="A26" t="s">
        <v>27</v>
      </c>
      <c r="B26" s="1">
        <v>3656</v>
      </c>
      <c r="C26" s="1">
        <v>4769</v>
      </c>
      <c r="D26" s="1">
        <v>6752</v>
      </c>
      <c r="E26">
        <f t="shared" si="4"/>
        <v>7312</v>
      </c>
      <c r="F26">
        <v>92</v>
      </c>
      <c r="H26" s="2">
        <f t="shared" si="5"/>
        <v>0.012582056892779</v>
      </c>
      <c r="I26" s="2">
        <f t="shared" si="3"/>
        <v>0.025164113785558</v>
      </c>
      <c r="K26" s="2">
        <v>0.0297</v>
      </c>
      <c r="L26" s="2">
        <f t="shared" si="2"/>
        <v>0.0192912560285175</v>
      </c>
    </row>
    <row r="27" spans="1:12">
      <c r="A27" t="s">
        <v>28</v>
      </c>
      <c r="B27" s="1">
        <v>1314</v>
      </c>
      <c r="C27" s="1">
        <v>1419</v>
      </c>
      <c r="D27" s="1">
        <v>1960</v>
      </c>
      <c r="E27">
        <f t="shared" si="4"/>
        <v>2628</v>
      </c>
      <c r="F27">
        <v>83</v>
      </c>
      <c r="H27" s="2">
        <f t="shared" si="5"/>
        <v>0.0315829528158295</v>
      </c>
      <c r="I27" s="2">
        <f t="shared" si="3"/>
        <v>0.0631659056316591</v>
      </c>
      <c r="K27" s="2">
        <v>0.0088</v>
      </c>
      <c r="L27" s="2">
        <f t="shared" si="2"/>
        <v>0.058491895701198</v>
      </c>
    </row>
    <row r="28" spans="1:12">
      <c r="A28" t="s">
        <v>29</v>
      </c>
      <c r="B28" s="1">
        <v>182</v>
      </c>
      <c r="C28" s="1">
        <v>230</v>
      </c>
      <c r="D28" s="1">
        <v>384</v>
      </c>
      <c r="E28">
        <f t="shared" si="4"/>
        <v>364</v>
      </c>
      <c r="F28">
        <v>101</v>
      </c>
      <c r="H28" s="2">
        <f t="shared" si="5"/>
        <v>0.277472527472527</v>
      </c>
      <c r="I28" s="2">
        <f t="shared" si="3"/>
        <v>0.554945054945055</v>
      </c>
      <c r="K28" s="2">
        <v>0.0014</v>
      </c>
      <c r="L28" s="2">
        <f t="shared" si="2"/>
        <v>0.439130434782609</v>
      </c>
    </row>
    <row r="29" spans="1:12">
      <c r="A29" t="s">
        <v>30</v>
      </c>
      <c r="B29" s="1">
        <v>41</v>
      </c>
      <c r="C29" s="1">
        <v>615</v>
      </c>
      <c r="D29" s="1">
        <v>944</v>
      </c>
      <c r="E29">
        <f t="shared" si="4"/>
        <v>82</v>
      </c>
      <c r="F29">
        <v>82</v>
      </c>
      <c r="H29" s="2">
        <f t="shared" si="5"/>
        <v>1</v>
      </c>
      <c r="I29" s="2">
        <f t="shared" si="3"/>
        <v>2</v>
      </c>
      <c r="K29" s="2">
        <v>0.0038</v>
      </c>
      <c r="L29" s="2">
        <f t="shared" si="2"/>
        <v>0.133333333333333</v>
      </c>
    </row>
    <row r="30" spans="1:12">
      <c r="A30" t="s">
        <v>28</v>
      </c>
      <c r="B30" s="1">
        <v>1314</v>
      </c>
      <c r="C30" s="1">
        <v>1587</v>
      </c>
      <c r="D30" s="1">
        <v>2244</v>
      </c>
      <c r="E30">
        <f t="shared" si="4"/>
        <v>2628</v>
      </c>
      <c r="F30">
        <v>71</v>
      </c>
      <c r="H30" s="2">
        <f t="shared" si="5"/>
        <v>0.0270167427701674</v>
      </c>
      <c r="I30" s="2">
        <f t="shared" si="3"/>
        <v>0.0540334855403349</v>
      </c>
      <c r="K30" s="2">
        <v>0.0099</v>
      </c>
      <c r="L30" s="2">
        <f t="shared" si="2"/>
        <v>0.0447385003150599</v>
      </c>
    </row>
    <row r="31" spans="1:12">
      <c r="A31" t="s">
        <v>31</v>
      </c>
      <c r="B31" s="1">
        <v>65</v>
      </c>
      <c r="C31" s="1">
        <v>539</v>
      </c>
      <c r="D31" s="1">
        <v>721</v>
      </c>
      <c r="E31">
        <f t="shared" si="4"/>
        <v>130</v>
      </c>
      <c r="F31">
        <v>59</v>
      </c>
      <c r="H31" s="2">
        <f t="shared" si="5"/>
        <v>0.453846153846154</v>
      </c>
      <c r="I31" s="2">
        <f t="shared" si="3"/>
        <v>0.907692307692308</v>
      </c>
      <c r="K31" s="2">
        <v>0.0034</v>
      </c>
      <c r="L31" s="2">
        <f t="shared" si="2"/>
        <v>0.109461966604824</v>
      </c>
    </row>
    <row r="32" spans="1:12">
      <c r="A32" t="s">
        <v>32</v>
      </c>
      <c r="B32" s="1">
        <v>611</v>
      </c>
      <c r="C32" s="1">
        <v>718</v>
      </c>
      <c r="D32" s="1">
        <v>1110</v>
      </c>
      <c r="E32">
        <f t="shared" si="4"/>
        <v>1222</v>
      </c>
      <c r="F32">
        <v>51</v>
      </c>
      <c r="H32" s="2">
        <f t="shared" si="5"/>
        <v>0.0417348608837971</v>
      </c>
      <c r="I32" s="2">
        <f t="shared" si="3"/>
        <v>0.0834697217675941</v>
      </c>
      <c r="K32" s="2">
        <v>0.0045</v>
      </c>
      <c r="L32" s="2">
        <f t="shared" si="2"/>
        <v>0.0710306406685237</v>
      </c>
    </row>
    <row r="33" spans="1:12">
      <c r="A33" t="s">
        <v>33</v>
      </c>
      <c r="B33" s="1">
        <v>7492</v>
      </c>
      <c r="C33" s="1">
        <v>11441</v>
      </c>
      <c r="D33" s="1">
        <v>15570</v>
      </c>
      <c r="E33">
        <f t="shared" si="4"/>
        <v>14984</v>
      </c>
      <c r="F33">
        <v>52</v>
      </c>
      <c r="H33" s="2">
        <f t="shared" si="5"/>
        <v>0.00347036839295248</v>
      </c>
      <c r="I33" s="2">
        <f t="shared" si="3"/>
        <v>0.00694073678590497</v>
      </c>
      <c r="K33" s="2">
        <v>0.0712</v>
      </c>
      <c r="L33" s="2">
        <f t="shared" si="2"/>
        <v>0.00454505725024036</v>
      </c>
    </row>
    <row r="34" spans="1:12">
      <c r="A34" t="s">
        <v>34</v>
      </c>
      <c r="B34" s="1">
        <v>1192</v>
      </c>
      <c r="C34" s="1">
        <v>528</v>
      </c>
      <c r="D34" s="1">
        <v>732</v>
      </c>
      <c r="E34">
        <f t="shared" si="4"/>
        <v>2384</v>
      </c>
      <c r="F34">
        <v>48</v>
      </c>
      <c r="H34" s="2">
        <f t="shared" si="5"/>
        <v>0.0201342281879195</v>
      </c>
      <c r="I34" s="2">
        <f t="shared" si="3"/>
        <v>0.0402684563758389</v>
      </c>
      <c r="K34" s="2">
        <v>0.0033</v>
      </c>
      <c r="L34" s="2">
        <f t="shared" si="2"/>
        <v>0.0909090909090909</v>
      </c>
    </row>
    <row r="35" spans="1:12">
      <c r="A35" t="s">
        <v>35</v>
      </c>
      <c r="B35" s="1">
        <v>74</v>
      </c>
      <c r="C35" s="1">
        <v>127</v>
      </c>
      <c r="D35" s="1">
        <v>195</v>
      </c>
      <c r="E35">
        <f t="shared" si="4"/>
        <v>148</v>
      </c>
      <c r="F35">
        <v>49</v>
      </c>
      <c r="H35" s="2">
        <f t="shared" si="5"/>
        <v>0.331081081081081</v>
      </c>
      <c r="I35" s="2">
        <f t="shared" si="3"/>
        <v>0.662162162162162</v>
      </c>
      <c r="K35" s="2">
        <v>0.0008</v>
      </c>
      <c r="L35" s="2">
        <f t="shared" ref="L35:L66" si="6">F35/C35</f>
        <v>0.385826771653543</v>
      </c>
    </row>
    <row r="36" spans="1:12">
      <c r="A36" t="s">
        <v>36</v>
      </c>
      <c r="B36" s="1">
        <v>2554</v>
      </c>
      <c r="C36" s="1">
        <v>773</v>
      </c>
      <c r="D36" s="1">
        <v>1164</v>
      </c>
      <c r="E36">
        <f t="shared" si="4"/>
        <v>5108</v>
      </c>
      <c r="F36">
        <v>43</v>
      </c>
      <c r="H36" s="2">
        <f t="shared" si="5"/>
        <v>0.00841816758026625</v>
      </c>
      <c r="I36" s="2">
        <f t="shared" si="3"/>
        <v>0.0168363351605325</v>
      </c>
      <c r="K36" s="2">
        <v>0.0048</v>
      </c>
      <c r="L36" s="2">
        <f t="shared" si="6"/>
        <v>0.055627425614489</v>
      </c>
    </row>
    <row r="37" spans="1:12">
      <c r="A37" t="s">
        <v>37</v>
      </c>
      <c r="B37" s="1">
        <v>425</v>
      </c>
      <c r="C37" s="1">
        <v>815</v>
      </c>
      <c r="D37" s="1">
        <v>1151</v>
      </c>
      <c r="E37">
        <f t="shared" si="4"/>
        <v>850</v>
      </c>
      <c r="F37">
        <v>42</v>
      </c>
      <c r="H37" s="2">
        <f t="shared" si="5"/>
        <v>0.0494117647058823</v>
      </c>
      <c r="I37" s="2">
        <f t="shared" si="3"/>
        <v>0.0988235294117647</v>
      </c>
      <c r="K37" s="2">
        <v>0.0051</v>
      </c>
      <c r="L37" s="2">
        <f t="shared" si="6"/>
        <v>0.0515337423312883</v>
      </c>
    </row>
    <row r="38" spans="1:12">
      <c r="A38" t="s">
        <v>38</v>
      </c>
      <c r="B38" s="1">
        <v>650</v>
      </c>
      <c r="C38" s="1">
        <v>686</v>
      </c>
      <c r="D38" s="1">
        <v>943</v>
      </c>
      <c r="E38">
        <f t="shared" si="4"/>
        <v>1300</v>
      </c>
      <c r="F38">
        <v>35</v>
      </c>
      <c r="H38" s="2">
        <f t="shared" si="5"/>
        <v>0.0269230769230769</v>
      </c>
      <c r="I38" s="2">
        <f t="shared" si="3"/>
        <v>0.0538461538461538</v>
      </c>
      <c r="K38" s="2">
        <v>0.0043</v>
      </c>
      <c r="L38" s="2">
        <f t="shared" si="6"/>
        <v>0.0510204081632653</v>
      </c>
    </row>
    <row r="39" spans="1:12">
      <c r="A39" t="s">
        <v>32</v>
      </c>
      <c r="B39" s="1">
        <v>611</v>
      </c>
      <c r="C39" s="1">
        <v>673</v>
      </c>
      <c r="D39" s="1">
        <v>1031</v>
      </c>
      <c r="E39">
        <f t="shared" si="4"/>
        <v>1222</v>
      </c>
      <c r="F39">
        <v>35</v>
      </c>
      <c r="H39" s="2">
        <f t="shared" si="5"/>
        <v>0.0286415711947627</v>
      </c>
      <c r="I39" s="2">
        <f t="shared" si="3"/>
        <v>0.0572831423895254</v>
      </c>
      <c r="K39" s="2">
        <v>0.0042</v>
      </c>
      <c r="L39" s="2">
        <f t="shared" si="6"/>
        <v>0.0520059435364042</v>
      </c>
    </row>
    <row r="40" spans="1:12">
      <c r="A40" t="s">
        <v>16</v>
      </c>
      <c r="B40" s="1">
        <v>405</v>
      </c>
      <c r="C40" s="1">
        <v>744</v>
      </c>
      <c r="D40" s="1">
        <v>970</v>
      </c>
      <c r="E40">
        <f t="shared" si="4"/>
        <v>810</v>
      </c>
      <c r="F40">
        <v>34</v>
      </c>
      <c r="H40" s="2">
        <f t="shared" si="5"/>
        <v>0.0419753086419753</v>
      </c>
      <c r="I40" s="2">
        <f t="shared" si="3"/>
        <v>0.0839506172839506</v>
      </c>
      <c r="K40" s="2">
        <v>0.0046</v>
      </c>
      <c r="L40" s="2">
        <f t="shared" si="6"/>
        <v>0.0456989247311828</v>
      </c>
    </row>
    <row r="41" spans="1:12">
      <c r="A41" t="s">
        <v>39</v>
      </c>
      <c r="B41" s="1">
        <v>501</v>
      </c>
      <c r="C41" s="1">
        <v>2067</v>
      </c>
      <c r="D41" s="1">
        <v>2744</v>
      </c>
      <c r="E41">
        <f t="shared" si="4"/>
        <v>1002</v>
      </c>
      <c r="F41">
        <v>31</v>
      </c>
      <c r="H41" s="2">
        <f t="shared" si="5"/>
        <v>0.030938123752495</v>
      </c>
      <c r="I41" s="2">
        <f t="shared" si="3"/>
        <v>0.06187624750499</v>
      </c>
      <c r="K41" s="2">
        <v>0.0129</v>
      </c>
      <c r="L41" s="2">
        <f t="shared" si="6"/>
        <v>0.0149975810353169</v>
      </c>
    </row>
    <row r="42" spans="1:12">
      <c r="A42" t="s">
        <v>28</v>
      </c>
      <c r="B42" s="1">
        <v>1314</v>
      </c>
      <c r="C42" s="1">
        <v>2470</v>
      </c>
      <c r="D42" s="1">
        <v>3388</v>
      </c>
      <c r="E42">
        <f t="shared" si="4"/>
        <v>2628</v>
      </c>
      <c r="F42">
        <v>29</v>
      </c>
      <c r="H42" s="2">
        <f t="shared" si="5"/>
        <v>0.0110350076103501</v>
      </c>
      <c r="I42" s="2">
        <f t="shared" si="3"/>
        <v>0.0220700152207002</v>
      </c>
      <c r="K42" s="2">
        <v>0.0154</v>
      </c>
      <c r="L42" s="2">
        <f t="shared" si="6"/>
        <v>0.0117408906882591</v>
      </c>
    </row>
    <row r="43" spans="1:12">
      <c r="A43" t="s">
        <v>40</v>
      </c>
      <c r="B43" s="1">
        <v>128</v>
      </c>
      <c r="C43" s="1">
        <v>189</v>
      </c>
      <c r="D43" s="1">
        <v>301</v>
      </c>
      <c r="E43">
        <f t="shared" si="4"/>
        <v>256</v>
      </c>
      <c r="F43">
        <v>29</v>
      </c>
      <c r="H43" s="2">
        <f t="shared" ref="H43:H67" si="7">F43/E43</f>
        <v>0.11328125</v>
      </c>
      <c r="I43" s="2">
        <f t="shared" ref="I43:I67" si="8">F43/B43</f>
        <v>0.2265625</v>
      </c>
      <c r="K43" s="2">
        <v>0.0012</v>
      </c>
      <c r="L43" s="2">
        <f t="shared" si="6"/>
        <v>0.153439153439153</v>
      </c>
    </row>
    <row r="44" spans="1:12">
      <c r="A44" t="s">
        <v>41</v>
      </c>
      <c r="B44" s="1">
        <v>3662</v>
      </c>
      <c r="C44" s="1">
        <v>1990</v>
      </c>
      <c r="D44" s="1">
        <v>2930</v>
      </c>
      <c r="E44">
        <f t="shared" si="4"/>
        <v>7324</v>
      </c>
      <c r="F44">
        <v>27</v>
      </c>
      <c r="H44" s="2">
        <f t="shared" si="7"/>
        <v>0.00368651010376843</v>
      </c>
      <c r="I44" s="2">
        <f t="shared" si="8"/>
        <v>0.00737302020753687</v>
      </c>
      <c r="K44" s="2">
        <v>0.0124</v>
      </c>
      <c r="L44" s="2">
        <f t="shared" si="6"/>
        <v>0.0135678391959799</v>
      </c>
    </row>
    <row r="45" spans="1:12">
      <c r="A45" t="s">
        <v>42</v>
      </c>
      <c r="B45" s="1">
        <v>948</v>
      </c>
      <c r="C45" s="1">
        <v>1773</v>
      </c>
      <c r="D45" s="1">
        <v>2820</v>
      </c>
      <c r="E45">
        <f t="shared" ref="E45:E66" si="9">2*B45</f>
        <v>1896</v>
      </c>
      <c r="F45">
        <v>28</v>
      </c>
      <c r="H45" s="2">
        <f t="shared" si="7"/>
        <v>0.0147679324894515</v>
      </c>
      <c r="I45" s="2">
        <f t="shared" si="8"/>
        <v>0.029535864978903</v>
      </c>
      <c r="K45" s="2">
        <v>0.011</v>
      </c>
      <c r="L45" s="2">
        <f t="shared" si="6"/>
        <v>0.0157924421883813</v>
      </c>
    </row>
    <row r="46" spans="1:12">
      <c r="A46" t="s">
        <v>43</v>
      </c>
      <c r="B46" s="1">
        <v>132</v>
      </c>
      <c r="C46" s="1">
        <v>173</v>
      </c>
      <c r="D46" s="1">
        <v>318</v>
      </c>
      <c r="E46">
        <f t="shared" si="9"/>
        <v>264</v>
      </c>
      <c r="F46">
        <v>29</v>
      </c>
      <c r="H46" s="2">
        <f t="shared" si="7"/>
        <v>0.109848484848485</v>
      </c>
      <c r="I46" s="2">
        <f t="shared" si="8"/>
        <v>0.21969696969697</v>
      </c>
      <c r="K46" s="2">
        <v>0.0011</v>
      </c>
      <c r="L46" s="2">
        <f t="shared" si="6"/>
        <v>0.167630057803468</v>
      </c>
    </row>
    <row r="47" spans="1:12">
      <c r="A47" t="s">
        <v>44</v>
      </c>
      <c r="B47" s="1">
        <v>3916</v>
      </c>
      <c r="C47" s="1">
        <v>7544</v>
      </c>
      <c r="D47" s="1">
        <v>10399</v>
      </c>
      <c r="E47">
        <f t="shared" si="9"/>
        <v>7832</v>
      </c>
      <c r="F47">
        <v>22</v>
      </c>
      <c r="H47" s="2">
        <f t="shared" si="7"/>
        <v>0.00280898876404494</v>
      </c>
      <c r="I47" s="2">
        <f t="shared" si="8"/>
        <v>0.00561797752808989</v>
      </c>
      <c r="K47" s="2">
        <v>0.0469</v>
      </c>
      <c r="L47" s="2">
        <f t="shared" si="6"/>
        <v>0.00291622481442206</v>
      </c>
    </row>
    <row r="48" spans="1:12">
      <c r="A48" t="s">
        <v>45</v>
      </c>
      <c r="B48" s="1">
        <v>7814</v>
      </c>
      <c r="C48" s="1">
        <v>300</v>
      </c>
      <c r="D48" s="1">
        <v>453</v>
      </c>
      <c r="E48">
        <f t="shared" si="9"/>
        <v>15628</v>
      </c>
      <c r="F48">
        <v>18</v>
      </c>
      <c r="H48" s="2">
        <f t="shared" si="7"/>
        <v>0.00115177885845918</v>
      </c>
      <c r="I48" s="2">
        <f t="shared" si="8"/>
        <v>0.00230355771691835</v>
      </c>
      <c r="K48" s="2">
        <v>0.0019</v>
      </c>
      <c r="L48" s="2">
        <f t="shared" si="6"/>
        <v>0.06</v>
      </c>
    </row>
    <row r="49" spans="1:12">
      <c r="A49" t="s">
        <v>38</v>
      </c>
      <c r="B49" s="1">
        <v>650</v>
      </c>
      <c r="C49" s="1">
        <v>1360</v>
      </c>
      <c r="D49" s="1">
        <v>1772</v>
      </c>
      <c r="E49">
        <f t="shared" si="9"/>
        <v>1300</v>
      </c>
      <c r="F49">
        <v>14</v>
      </c>
      <c r="H49" s="2">
        <f t="shared" si="7"/>
        <v>0.0107692307692308</v>
      </c>
      <c r="I49" s="2">
        <f t="shared" si="8"/>
        <v>0.0215384615384615</v>
      </c>
      <c r="K49" s="2">
        <v>0.0085</v>
      </c>
      <c r="L49" s="2">
        <f t="shared" si="6"/>
        <v>0.0102941176470588</v>
      </c>
    </row>
    <row r="50" spans="1:12">
      <c r="A50" t="s">
        <v>46</v>
      </c>
      <c r="B50" s="1">
        <v>103</v>
      </c>
      <c r="C50" s="1">
        <v>762</v>
      </c>
      <c r="D50" s="1">
        <v>1422</v>
      </c>
      <c r="E50">
        <f t="shared" si="9"/>
        <v>206</v>
      </c>
      <c r="F50">
        <v>10</v>
      </c>
      <c r="H50" s="2">
        <f t="shared" si="7"/>
        <v>0.0485436893203883</v>
      </c>
      <c r="I50" s="2">
        <f t="shared" si="8"/>
        <v>0.0970873786407767</v>
      </c>
      <c r="K50" s="2">
        <v>0.0047</v>
      </c>
      <c r="L50" s="2">
        <f t="shared" si="6"/>
        <v>0.0131233595800525</v>
      </c>
    </row>
    <row r="51" spans="1:12">
      <c r="A51" t="s">
        <v>47</v>
      </c>
      <c r="B51" s="1">
        <v>36</v>
      </c>
      <c r="C51" s="1">
        <v>96</v>
      </c>
      <c r="D51" s="1">
        <v>129</v>
      </c>
      <c r="E51">
        <f t="shared" si="9"/>
        <v>72</v>
      </c>
      <c r="F51">
        <v>9</v>
      </c>
      <c r="H51" s="2">
        <f t="shared" si="7"/>
        <v>0.125</v>
      </c>
      <c r="I51" s="2">
        <f t="shared" si="8"/>
        <v>0.25</v>
      </c>
      <c r="K51" s="2">
        <v>0.0006</v>
      </c>
      <c r="L51" s="2">
        <f t="shared" si="6"/>
        <v>0.09375</v>
      </c>
    </row>
    <row r="52" spans="1:12">
      <c r="A52" t="s">
        <v>48</v>
      </c>
      <c r="B52" s="1">
        <v>26</v>
      </c>
      <c r="C52" s="1">
        <v>79</v>
      </c>
      <c r="D52" s="1">
        <v>103</v>
      </c>
      <c r="E52">
        <f t="shared" si="9"/>
        <v>52</v>
      </c>
      <c r="F52">
        <v>8</v>
      </c>
      <c r="H52" s="2">
        <f t="shared" si="7"/>
        <v>0.153846153846154</v>
      </c>
      <c r="I52" s="2">
        <f t="shared" si="8"/>
        <v>0.307692307692308</v>
      </c>
      <c r="K52" s="2">
        <v>0.0005</v>
      </c>
      <c r="L52" s="2">
        <f t="shared" si="6"/>
        <v>0.10126582278481</v>
      </c>
    </row>
    <row r="53" spans="1:12">
      <c r="A53" t="s">
        <v>49</v>
      </c>
      <c r="B53" s="1">
        <v>1451</v>
      </c>
      <c r="C53" s="1">
        <v>854</v>
      </c>
      <c r="D53" s="1">
        <v>1241</v>
      </c>
      <c r="E53">
        <f t="shared" si="9"/>
        <v>2902</v>
      </c>
      <c r="F53">
        <v>7</v>
      </c>
      <c r="H53" s="2">
        <f t="shared" si="7"/>
        <v>0.00241212956581668</v>
      </c>
      <c r="I53" s="2">
        <f t="shared" si="8"/>
        <v>0.00482425913163336</v>
      </c>
      <c r="K53" s="2">
        <v>0.0053</v>
      </c>
      <c r="L53" s="2">
        <f t="shared" si="6"/>
        <v>0.00819672131147541</v>
      </c>
    </row>
    <row r="54" spans="1:12">
      <c r="A54" t="s">
        <v>19</v>
      </c>
      <c r="B54" s="1">
        <v>306</v>
      </c>
      <c r="C54" s="1">
        <v>69</v>
      </c>
      <c r="D54" s="1">
        <v>123</v>
      </c>
      <c r="E54">
        <f t="shared" si="9"/>
        <v>612</v>
      </c>
      <c r="F54">
        <v>6</v>
      </c>
      <c r="H54" s="2">
        <f t="shared" si="7"/>
        <v>0.00980392156862745</v>
      </c>
      <c r="I54" s="2">
        <f t="shared" si="8"/>
        <v>0.0196078431372549</v>
      </c>
      <c r="K54" s="2">
        <v>0.0004</v>
      </c>
      <c r="L54" s="2">
        <f t="shared" si="6"/>
        <v>0.0869565217391304</v>
      </c>
    </row>
    <row r="55" spans="1:12">
      <c r="A55" t="s">
        <v>49</v>
      </c>
      <c r="B55" s="1">
        <v>1451</v>
      </c>
      <c r="C55" s="1">
        <v>11578</v>
      </c>
      <c r="D55" s="1">
        <v>15532</v>
      </c>
      <c r="E55">
        <f t="shared" si="9"/>
        <v>2902</v>
      </c>
      <c r="F55">
        <v>4</v>
      </c>
      <c r="H55" s="2">
        <f t="shared" si="7"/>
        <v>0.00137835975189524</v>
      </c>
      <c r="I55" s="2">
        <f t="shared" si="8"/>
        <v>0.00275671950379049</v>
      </c>
      <c r="K55" s="2">
        <v>0.072</v>
      </c>
      <c r="L55" s="2">
        <f t="shared" si="6"/>
        <v>0.000345482812230092</v>
      </c>
    </row>
    <row r="56" spans="1:12">
      <c r="A56" t="s">
        <v>38</v>
      </c>
      <c r="B56" s="1">
        <v>650</v>
      </c>
      <c r="C56" s="1">
        <v>105</v>
      </c>
      <c r="D56" s="1">
        <v>138</v>
      </c>
      <c r="E56">
        <f t="shared" si="9"/>
        <v>1300</v>
      </c>
      <c r="F56">
        <v>4</v>
      </c>
      <c r="H56" s="2">
        <f t="shared" si="7"/>
        <v>0.00307692307692308</v>
      </c>
      <c r="I56" s="2">
        <f t="shared" si="8"/>
        <v>0.00615384615384615</v>
      </c>
      <c r="K56" s="2">
        <v>0.0007</v>
      </c>
      <c r="L56" s="2">
        <f t="shared" si="6"/>
        <v>0.0380952380952381</v>
      </c>
    </row>
    <row r="57" spans="1:12">
      <c r="A57" t="s">
        <v>50</v>
      </c>
      <c r="B57" s="1">
        <v>127</v>
      </c>
      <c r="C57" s="1">
        <v>168</v>
      </c>
      <c r="D57" s="1">
        <v>212</v>
      </c>
      <c r="E57">
        <f t="shared" si="9"/>
        <v>254</v>
      </c>
      <c r="F57">
        <v>4</v>
      </c>
      <c r="H57" s="2">
        <f t="shared" si="7"/>
        <v>0.015748031496063</v>
      </c>
      <c r="I57" s="2">
        <f t="shared" si="8"/>
        <v>0.031496062992126</v>
      </c>
      <c r="K57" s="2">
        <v>0.001</v>
      </c>
      <c r="L57" s="2">
        <f t="shared" si="6"/>
        <v>0.0238095238095238</v>
      </c>
    </row>
    <row r="58" spans="1:12">
      <c r="A58" t="s">
        <v>20</v>
      </c>
      <c r="B58" s="1">
        <v>3822</v>
      </c>
      <c r="C58" s="1">
        <v>43</v>
      </c>
      <c r="D58" s="1">
        <v>83</v>
      </c>
      <c r="E58">
        <f t="shared" si="9"/>
        <v>7644</v>
      </c>
      <c r="F58">
        <v>3</v>
      </c>
      <c r="H58" s="2">
        <f t="shared" si="7"/>
        <v>0.000392464678178964</v>
      </c>
      <c r="I58" s="2">
        <f t="shared" si="8"/>
        <v>0.000784929356357928</v>
      </c>
      <c r="K58" s="2">
        <v>0.0003</v>
      </c>
      <c r="L58" s="2">
        <f t="shared" si="6"/>
        <v>0.0697674418604651</v>
      </c>
    </row>
    <row r="59" spans="1:12">
      <c r="A59" t="s">
        <v>21</v>
      </c>
      <c r="B59" s="1">
        <v>78195</v>
      </c>
      <c r="C59" s="1">
        <v>434</v>
      </c>
      <c r="D59" s="1">
        <v>651</v>
      </c>
      <c r="E59">
        <f t="shared" si="9"/>
        <v>156390</v>
      </c>
      <c r="F59">
        <v>2</v>
      </c>
      <c r="H59" s="2">
        <f t="shared" si="7"/>
        <v>1.27885414668457e-5</v>
      </c>
      <c r="I59" s="2">
        <f t="shared" si="8"/>
        <v>2.55770829336914e-5</v>
      </c>
      <c r="K59" s="2">
        <v>0.0027</v>
      </c>
      <c r="L59" s="2">
        <f t="shared" si="6"/>
        <v>0.00460829493087558</v>
      </c>
    </row>
    <row r="60" spans="1:12">
      <c r="A60" t="s">
        <v>28</v>
      </c>
      <c r="B60" s="1">
        <v>88</v>
      </c>
      <c r="C60" s="1">
        <v>15</v>
      </c>
      <c r="D60" s="1">
        <v>32</v>
      </c>
      <c r="E60">
        <f t="shared" si="9"/>
        <v>176</v>
      </c>
      <c r="F60">
        <v>2</v>
      </c>
      <c r="H60" s="2">
        <f t="shared" si="7"/>
        <v>0.0113636363636364</v>
      </c>
      <c r="I60" s="2">
        <f t="shared" si="8"/>
        <v>0.0227272727272727</v>
      </c>
      <c r="K60" s="2">
        <v>0.0001</v>
      </c>
      <c r="L60" s="2">
        <f t="shared" si="6"/>
        <v>0.133333333333333</v>
      </c>
    </row>
    <row r="61" spans="1:12">
      <c r="A61" t="s">
        <v>51</v>
      </c>
      <c r="B61" s="1">
        <v>88</v>
      </c>
      <c r="C61" s="1">
        <v>253</v>
      </c>
      <c r="D61" s="1">
        <v>309</v>
      </c>
      <c r="E61">
        <f t="shared" si="9"/>
        <v>176</v>
      </c>
      <c r="F61">
        <v>2</v>
      </c>
      <c r="H61" s="2">
        <f t="shared" si="7"/>
        <v>0.0113636363636364</v>
      </c>
      <c r="I61" s="2">
        <f t="shared" si="8"/>
        <v>0.0227272727272727</v>
      </c>
      <c r="K61" s="2">
        <v>0.0016</v>
      </c>
      <c r="L61" s="2">
        <f t="shared" si="6"/>
        <v>0.00790513833992095</v>
      </c>
    </row>
    <row r="62" spans="1:12">
      <c r="A62" t="s">
        <v>51</v>
      </c>
      <c r="B62" s="1">
        <v>88</v>
      </c>
      <c r="C62" s="1">
        <v>21</v>
      </c>
      <c r="D62" s="1">
        <v>23</v>
      </c>
      <c r="E62">
        <f t="shared" si="9"/>
        <v>176</v>
      </c>
      <c r="F62">
        <v>2</v>
      </c>
      <c r="H62" s="2">
        <f t="shared" si="7"/>
        <v>0.0113636363636364</v>
      </c>
      <c r="I62" s="2">
        <f t="shared" si="8"/>
        <v>0.0227272727272727</v>
      </c>
      <c r="K62" s="2">
        <v>0.0001</v>
      </c>
      <c r="L62" s="2">
        <f t="shared" si="6"/>
        <v>0.0952380952380952</v>
      </c>
    </row>
    <row r="63" spans="1:12">
      <c r="A63" t="s">
        <v>52</v>
      </c>
      <c r="B63" s="1">
        <v>9</v>
      </c>
      <c r="C63" s="1">
        <v>49</v>
      </c>
      <c r="D63" s="1">
        <v>87</v>
      </c>
      <c r="E63">
        <f t="shared" si="9"/>
        <v>18</v>
      </c>
      <c r="F63">
        <v>2</v>
      </c>
      <c r="H63" s="2">
        <f t="shared" si="7"/>
        <v>0.111111111111111</v>
      </c>
      <c r="I63" s="2">
        <f t="shared" si="8"/>
        <v>0.222222222222222</v>
      </c>
      <c r="K63" s="2">
        <v>0.0003</v>
      </c>
      <c r="L63" s="2">
        <f t="shared" si="6"/>
        <v>0.0408163265306122</v>
      </c>
    </row>
    <row r="64" spans="1:12">
      <c r="A64" t="s">
        <v>44</v>
      </c>
      <c r="B64" s="1">
        <v>3916</v>
      </c>
      <c r="C64" s="1">
        <v>359</v>
      </c>
      <c r="D64" s="1">
        <v>475</v>
      </c>
      <c r="E64">
        <f t="shared" si="9"/>
        <v>7832</v>
      </c>
      <c r="F64">
        <v>1</v>
      </c>
      <c r="H64" s="2">
        <f t="shared" si="7"/>
        <v>0.000127681307456588</v>
      </c>
      <c r="I64" s="2">
        <f t="shared" si="8"/>
        <v>0.000255362614913177</v>
      </c>
      <c r="K64" s="2">
        <v>0.0022</v>
      </c>
      <c r="L64" s="2">
        <f t="shared" si="6"/>
        <v>0.00278551532033426</v>
      </c>
    </row>
    <row r="65" spans="1:12">
      <c r="A65" t="s">
        <v>53</v>
      </c>
      <c r="B65" s="1">
        <v>16</v>
      </c>
      <c r="C65" s="1">
        <v>31</v>
      </c>
      <c r="D65" s="1">
        <v>40</v>
      </c>
      <c r="E65">
        <f t="shared" si="9"/>
        <v>32</v>
      </c>
      <c r="F65">
        <v>1</v>
      </c>
      <c r="H65" s="2">
        <f t="shared" si="7"/>
        <v>0.03125</v>
      </c>
      <c r="I65" s="2">
        <f t="shared" si="8"/>
        <v>0.0625</v>
      </c>
      <c r="K65" s="2">
        <v>0.0002</v>
      </c>
      <c r="L65" s="2">
        <f t="shared" si="6"/>
        <v>0.032258064516129</v>
      </c>
    </row>
    <row r="66" spans="1:12">
      <c r="A66" t="s">
        <v>50</v>
      </c>
      <c r="B66" s="1">
        <v>127</v>
      </c>
      <c r="C66" s="1">
        <v>4</v>
      </c>
      <c r="D66" s="1">
        <v>19</v>
      </c>
      <c r="E66">
        <f t="shared" si="9"/>
        <v>254</v>
      </c>
      <c r="F66">
        <v>2</v>
      </c>
      <c r="H66" s="2">
        <f t="shared" si="7"/>
        <v>0.0078740157480315</v>
      </c>
      <c r="I66" s="2">
        <f t="shared" si="8"/>
        <v>0.015748031496063</v>
      </c>
      <c r="K66" s="2">
        <v>0</v>
      </c>
      <c r="L66" s="2">
        <f t="shared" si="6"/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2026-06-20T09:26:58Z</dcterms:created>
  <dcterms:modified xsi:type="dcterms:W3CDTF">2026-06-20T10:29:56Z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19F70830E07A4E46B344790F27502582_11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