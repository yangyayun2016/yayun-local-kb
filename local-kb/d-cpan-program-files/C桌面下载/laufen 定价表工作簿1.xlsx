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1"/>
  </bookViews>
  <sheets>
    <sheet name="欧洲SC毛利测算" sheetId="3" r:id="rId1"/>
    <sheet name="欧洲VC毛利测算" sheetId="2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<sst xmlns="http://schemas.openxmlformats.org/spreadsheetml/2006/main" count="12407" uniqueCount="279">
  <si>
    <t>名称</t>
  </si>
  <si>
    <t>汇率</t>
  </si>
  <si>
    <t>国家</t>
  </si>
  <si>
    <t>国家代码</t>
  </si>
  <si>
    <t>有无VAT</t>
  </si>
  <si>
    <t>成本价(0边利)</t>
  </si>
  <si>
    <t>建议价(20%边利)</t>
  </si>
  <si>
    <t>实际定价</t>
  </si>
  <si>
    <t>采购价</t>
  </si>
  <si>
    <t>FBA Fee</t>
  </si>
  <si>
    <t>佣金比例</t>
  </si>
  <si>
    <t>VAT</t>
  </si>
  <si>
    <t>预估退货率</t>
  </si>
  <si>
    <t>广告费率</t>
  </si>
  <si>
    <t>FBA仓储费</t>
  </si>
  <si>
    <t>其他费用</t>
  </si>
  <si>
    <t>广告费用</t>
  </si>
  <si>
    <t>长</t>
  </si>
  <si>
    <t>宽</t>
  </si>
  <si>
    <t>高</t>
  </si>
  <si>
    <t>包装后实重</t>
  </si>
  <si>
    <t>体积重</t>
  </si>
  <si>
    <t>计费重</t>
  </si>
  <si>
    <t>运输方式</t>
  </si>
  <si>
    <t>运费单价</t>
  </si>
  <si>
    <t>运费</t>
  </si>
  <si>
    <t>利润/USD</t>
  </si>
  <si>
    <t>利润率/USD</t>
  </si>
  <si>
    <t>各费用占比分析</t>
  </si>
  <si>
    <t>FBA配送费占比</t>
  </si>
  <si>
    <t>采购成本占比</t>
  </si>
  <si>
    <t>头程费用占比</t>
  </si>
  <si>
    <t>佣金占比</t>
  </si>
  <si>
    <t>广告占比</t>
  </si>
  <si>
    <t>其他费用占比</t>
  </si>
  <si>
    <t>亚运XX（划线30%）</t>
  </si>
  <si>
    <t>德国</t>
  </si>
  <si>
    <t>DE</t>
  </si>
  <si>
    <t>有</t>
  </si>
  <si>
    <t>海运</t>
  </si>
  <si>
    <t>亚运XX（15%）coupon</t>
  </si>
  <si>
    <t>亚运XX（20%）PD</t>
  </si>
  <si>
    <t>法国</t>
  </si>
  <si>
    <t>FR</t>
  </si>
  <si>
    <t>意大利</t>
  </si>
  <si>
    <t>IT</t>
  </si>
  <si>
    <t>亚运XX企业购价85.11（20%）coupon</t>
  </si>
  <si>
    <t>西班牙</t>
  </si>
  <si>
    <t>ES</t>
  </si>
  <si>
    <t>英国</t>
  </si>
  <si>
    <t>UK</t>
  </si>
  <si>
    <t>VC025亚运XX   定59.99  17%划线价 49.99</t>
  </si>
  <si>
    <t>VC025亚运XX（10%）coupon</t>
  </si>
  <si>
    <t>VC025亚运XX（15%）coupon</t>
  </si>
  <si>
    <t>VC025亚运XX（20%）PD</t>
  </si>
  <si>
    <t>HPS39  定24.99  20%划线价19.99</t>
  </si>
  <si>
    <t>HPS39 （10%）coupon</t>
  </si>
  <si>
    <t>HPS39 （15%）coupon</t>
  </si>
  <si>
    <t>HPS39 （20%）PD</t>
  </si>
  <si>
    <t>HES62  定59.99  25%划线价 44.99</t>
  </si>
  <si>
    <t>HES62 （10%）coupon</t>
  </si>
  <si>
    <t>HES62 （15%）coupon</t>
  </si>
  <si>
    <t>HES62 （20%）PD</t>
  </si>
  <si>
    <t>T2225 气泵  定119.99  20%划线价 94.99</t>
  </si>
  <si>
    <t>T2225 气泵 （10%）coupon</t>
  </si>
  <si>
    <t>T2225 气泵 （15%）coupon</t>
  </si>
  <si>
    <t>T2225 气泵 （20%）PD</t>
  </si>
  <si>
    <t>T2225 气泵  定119.99  25%划线价 89.99</t>
  </si>
  <si>
    <t>RS1棘轮  定39.99  25%划线价 29.99</t>
  </si>
  <si>
    <t>RS1棘轮 （10%）coupon</t>
  </si>
  <si>
    <t>RS1棘轮 （15%）coupon</t>
  </si>
  <si>
    <t>RS1棘轮 （20%）PD</t>
  </si>
  <si>
    <t>杆式- 亚运XX德国日常价走海运</t>
  </si>
  <si>
    <t>杆式-亚运XX英国日常价走海运</t>
  </si>
  <si>
    <t>空净250德国日常价走海运129.99</t>
  </si>
  <si>
    <t>空净250英国日常价走海运119.99</t>
  </si>
  <si>
    <t>空净330德国日常价走海运129.99</t>
  </si>
  <si>
    <t>空净330英国日常价走海运119.99</t>
  </si>
  <si>
    <t>空净AP100A(划线价59.99）</t>
  </si>
  <si>
    <t>US</t>
  </si>
  <si>
    <t>无</t>
  </si>
  <si>
    <t>空净AP100A(coupon-10%）</t>
  </si>
  <si>
    <t>空净AP100A(coupon-20%）</t>
  </si>
  <si>
    <t>空净AP100A (划线价64.99）</t>
  </si>
  <si>
    <t>空净AP100A (划线价59.99）</t>
  </si>
  <si>
    <t>滤芯(划线价）</t>
  </si>
  <si>
    <t>美国</t>
  </si>
  <si>
    <t>滤芯(coupon-10%）</t>
  </si>
  <si>
    <t>滤芯(coupon-20%）</t>
  </si>
  <si>
    <t>测距仪  美国B07QXS15N1</t>
  </si>
  <si>
    <t>蒸汽熨斗-（划线30%）</t>
  </si>
  <si>
    <t>蒸汽熨斗-（15%）coupon</t>
  </si>
  <si>
    <t>蒸汽熨斗-（20%）PD</t>
  </si>
  <si>
    <t>蒸汽熨斗-企业购价85.11（20%）coupon</t>
  </si>
  <si>
    <t>亚运XX</t>
  </si>
  <si>
    <t>78-in-1-（64.99划线）</t>
  </si>
  <si>
    <t>78-in-1-（15%）coupon</t>
  </si>
  <si>
    <t>83-in-1手动-（划线30%）</t>
  </si>
  <si>
    <t>83-in-1手动-（15%）coupon</t>
  </si>
  <si>
    <t>83-in-1电动-（划线30%）</t>
  </si>
  <si>
    <t>83-in-1电动-（15%）coupon</t>
  </si>
  <si>
    <t>36-in-1螺丝批-（划线30%）</t>
  </si>
  <si>
    <t>36-in-1螺丝批-（15%）coupon</t>
  </si>
  <si>
    <t>暴力风扇-（划线30%）</t>
  </si>
  <si>
    <t>暴力风扇-（15%）coupon</t>
  </si>
  <si>
    <t>站点</t>
  </si>
  <si>
    <t>SKU</t>
  </si>
  <si>
    <t>ASIN</t>
  </si>
  <si>
    <t>产品名称</t>
  </si>
  <si>
    <t>PO售价
外币</t>
  </si>
  <si>
    <t>建议售价(含税)
亚马逊售价-外币</t>
  </si>
  <si>
    <t>成交价
(含税）</t>
  </si>
  <si>
    <t>成交价
(不含税）</t>
  </si>
  <si>
    <t>毛利
外币</t>
  </si>
  <si>
    <t>毛利率</t>
  </si>
  <si>
    <t>建议售价
不含税外币</t>
  </si>
  <si>
    <t>Profit Margin (%)</t>
  </si>
  <si>
    <t>亚马逊毛利
外币</t>
  </si>
  <si>
    <t>成本</t>
  </si>
  <si>
    <t>二程外币</t>
  </si>
  <si>
    <t>装箱数</t>
  </si>
  <si>
    <t>广告
占比</t>
  </si>
  <si>
    <t>前台广告
占比</t>
  </si>
  <si>
    <t>促销
占比</t>
  </si>
  <si>
    <t>其他
占比</t>
  </si>
  <si>
    <t>成本
占比</t>
  </si>
  <si>
    <t>尾程
占比</t>
  </si>
  <si>
    <t>佣金
占比</t>
  </si>
  <si>
    <t>广告
外币</t>
  </si>
  <si>
    <t>促销
外币</t>
  </si>
  <si>
    <t>其它
外币</t>
  </si>
  <si>
    <t>佣金
外币</t>
  </si>
  <si>
    <t>采购成本
 ¥含税</t>
  </si>
  <si>
    <t>采购成本
 ¥不含税</t>
  </si>
  <si>
    <t>头程
外币</t>
  </si>
  <si>
    <t>采购占比</t>
  </si>
  <si>
    <t>头程占比</t>
  </si>
  <si>
    <t>头程 
RMB</t>
  </si>
  <si>
    <t>NET PPM</t>
  </si>
  <si>
    <t>2025年
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</si>
  <si>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</si>
  <si>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</si>
  <si>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</si>
  <si>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</si>
  <si>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</si>
  <si>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</si>
  <si>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</si>
  <si>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</si>
  <si>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</si>
  <si>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24年
1月</t>
  </si>
  <si>
    <t>2月</t>
  </si>
  <si>
    <t>3月</t>
  </si>
  <si>
    <t>25年
1月</t>
  </si>
  <si>
    <t>PO价
监控</t>
  </si>
  <si>
    <t>运营</t>
  </si>
  <si>
    <t>亚运XX（coupon-0%）</t>
  </si>
  <si>
    <t>☆</t>
  </si>
  <si>
    <t>#VALUE!</t>
  </si>
  <si>
    <t>亚运XX（coupon-5%）</t>
  </si>
  <si>
    <t>亚运XX（coupon-10%）</t>
  </si>
  <si>
    <t>亚运XX（coupon-15%）</t>
  </si>
  <si>
    <t>NL</t>
  </si>
  <si>
    <t>亚运XX荷兰</t>
  </si>
  <si>
    <t>PL</t>
  </si>
  <si>
    <t>亚运XX波兰</t>
  </si>
  <si>
    <t>SE</t>
  </si>
  <si>
    <t>亚运XX瑞典</t>
  </si>
  <si>
    <t>BE</t>
  </si>
  <si>
    <t>亚运XX比利时</t>
  </si>
  <si>
    <t>空净AP100A（coupon-0%）</t>
  </si>
  <si>
    <t>空净AP100A（coupon-5%）</t>
  </si>
  <si>
    <t>空净AP100A（coupon-10%）</t>
  </si>
  <si>
    <t>空净AP100A（coupon-15%）</t>
  </si>
  <si>
    <t>空净AP100A</t>
  </si>
  <si>
    <t>RS1棘轮（coupon-0%）</t>
  </si>
  <si>
    <t>RS1棘轮（coupon-5%）</t>
  </si>
  <si>
    <t>RS1棘轮（coupon-10%）</t>
  </si>
  <si>
    <t>RS1棘轮（coupon-15%）</t>
  </si>
  <si>
    <t>RS1棘轮荷兰</t>
  </si>
  <si>
    <t>RS1棘轮波兰</t>
  </si>
  <si>
    <t>RS1棘轮瑞典</t>
  </si>
  <si>
    <t>RS1棘轮比利时</t>
  </si>
  <si>
    <t>手持吸尘器（coupon-0%）</t>
  </si>
  <si>
    <t>手持吸尘器（coupon-10%）</t>
  </si>
  <si>
    <t>手持吸尘器（coupon-15%）</t>
  </si>
  <si>
    <t>手持吸尘器荷兰</t>
  </si>
  <si>
    <t>手持吸尘器波兰</t>
  </si>
  <si>
    <t>手持吸尘器瑞典</t>
  </si>
  <si>
    <t>手持吸尘器比利时</t>
  </si>
  <si>
    <t>气泵（coupon-0%）</t>
  </si>
  <si>
    <t>气泵（coupon-10%）</t>
  </si>
  <si>
    <t>气泵（coupon-15%）</t>
  </si>
  <si>
    <t>气泵荷兰</t>
  </si>
  <si>
    <t>气泵波兰</t>
  </si>
  <si>
    <t>气泵瑞典</t>
  </si>
  <si>
    <t>气泵比利时</t>
  </si>
  <si>
    <t>HES62-电（coupon-0%）</t>
  </si>
  <si>
    <t>HES62-电（coupon-10%）</t>
  </si>
  <si>
    <t>HES62-电（coupon-15%）</t>
  </si>
  <si>
    <t>HES62-电荷兰</t>
  </si>
  <si>
    <t>HES62-电波兰</t>
  </si>
  <si>
    <t>HES62-电瑞典</t>
  </si>
  <si>
    <t>HES62-电比利时</t>
  </si>
  <si>
    <t>HPS39-手（coupon-0%）</t>
  </si>
  <si>
    <t>HPS39-手（coupon-10%）</t>
  </si>
  <si>
    <t>HPS39-手（coupon-15%）</t>
  </si>
  <si>
    <t>HPS39-手荷兰</t>
  </si>
  <si>
    <t>HPS39-手波兰</t>
  </si>
  <si>
    <t>HPS39-手瑞典</t>
  </si>
  <si>
    <t>HPS39-手比利时</t>
  </si>
  <si>
    <t>杆式吸尘器</t>
  </si>
  <si>
    <t>空净KJ-330</t>
  </si>
  <si>
    <t>B2-1(PRO)(coupon-0%)</t>
  </si>
  <si>
    <t>B2-1(PRO)(coupon-10%)</t>
  </si>
  <si>
    <t>B2-1(PRO)(coupon-15%)</t>
  </si>
  <si>
    <t>B2-1(PRO)荷兰</t>
  </si>
  <si>
    <t>B2-1(PRO)波兰</t>
  </si>
  <si>
    <t>B2-1(PRO)瑞典</t>
  </si>
  <si>
    <t>B2-1(PRO)比利时</t>
  </si>
  <si>
    <t>B3-1(MAX)(coupon-0%）</t>
  </si>
  <si>
    <t>B3-1(MAX)(coupon-10%）</t>
  </si>
  <si>
    <t>B3-1(MAX)(coupon-15%）</t>
  </si>
  <si>
    <t>B3-1(MAX)荷兰</t>
  </si>
  <si>
    <t>B3-1(MAX)波兰</t>
  </si>
  <si>
    <t>B3-1(MAX)瑞典</t>
  </si>
  <si>
    <t>B3-1(MAX)比利时</t>
  </si>
  <si>
    <t>GS-PS1(MAX)(coupon-0%)</t>
  </si>
  <si>
    <t>GS-PS1(MAX)(coupon-10%)</t>
  </si>
  <si>
    <t>GS-PS1(MAX)(coupon-15%)</t>
  </si>
  <si>
    <t>GS-PS1(MAX)荷兰</t>
  </si>
  <si>
    <t>GS-PS1(MAX)波兰</t>
  </si>
  <si>
    <t>GS-PS1(MAX)瑞典</t>
  </si>
  <si>
    <t>GS-PS1(MAX)比利时</t>
  </si>
  <si>
    <t>GS-CS04C(PRO)(coupon-0%）</t>
  </si>
  <si>
    <t>GS-CS04C(PRO)(coupon-10%）</t>
  </si>
  <si>
    <t>GS-CS04C(PRO)(coupon-15%）</t>
  </si>
  <si>
    <t>GS-CS04C(PRO)荷兰</t>
  </si>
  <si>
    <t>GS-CS04C(PRO)波兰</t>
  </si>
  <si>
    <t>GGS-CS04C(PRO)瑞典</t>
  </si>
  <si>
    <t>GS-CS04C(PRO)比利时</t>
  </si>
  <si>
    <t>GS-S1(PRO)(coupon-0%）</t>
  </si>
  <si>
    <t>GS-S1(PRO)(coupon-10%）</t>
  </si>
  <si>
    <t>GS-S1(PRO)(coupon-15%）</t>
  </si>
  <si>
    <t>GS-S1(PRO)荷兰</t>
  </si>
  <si>
    <t>GS-S1(PRO)波兰</t>
  </si>
  <si>
    <t>GS-S1(PRO)瑞典</t>
  </si>
  <si>
    <t>GS-S1(PRO)比利时</t>
  </si>
  <si>
    <t>CG01(PRO)胶枪(coupon-0%）</t>
  </si>
  <si>
    <t>CG01(PRO)胶枪(coupon-10%）</t>
  </si>
  <si>
    <t>CG01(PRO)胶枪(coupon-15%）</t>
  </si>
  <si>
    <t>CG01(PRO)胶枪荷兰</t>
  </si>
  <si>
    <t>CG01(PRO)胶枪波兰</t>
  </si>
  <si>
    <t>CG01(PRO)胶枪瑞典</t>
  </si>
  <si>
    <t>CG01(PRO)胶枪比利时</t>
  </si>
  <si>
    <t>无刷精密电磨(coupon-0%）</t>
  </si>
  <si>
    <t>无刷精密电磨(coupon-10%）</t>
  </si>
  <si>
    <t>无刷精密电磨(coupon-15%）</t>
  </si>
  <si>
    <t>无刷精密电磨荷兰</t>
  </si>
  <si>
    <t>无刷精密电磨波兰</t>
  </si>
  <si>
    <t>无刷精密电磨瑞典</t>
  </si>
  <si>
    <t>无刷精密电磨比利时</t>
  </si>
  <si>
    <t>电磨(coupon-0%）</t>
  </si>
  <si>
    <t>电磨(coupon-10%）</t>
  </si>
  <si>
    <t>电磨(coupon-15%）</t>
  </si>
  <si>
    <t>电磨荷兰</t>
  </si>
  <si>
    <t>电磨波兰</t>
  </si>
  <si>
    <t>电磨瑞典</t>
  </si>
  <si>
    <t>电磨比利时</t>
  </si>
  <si>
    <t>清洁刷(coupon-0%）</t>
  </si>
  <si>
    <t>清洁刷(coupon-10%）</t>
  </si>
  <si>
    <t>清洁刷(coupon-15%）</t>
  </si>
  <si>
    <t>清洁刷荷兰</t>
  </si>
  <si>
    <t>清洁刷波兰</t>
  </si>
  <si>
    <t>清洁刷瑞典</t>
  </si>
  <si>
    <t>清洁刷比利时</t>
  </si>
  <si>
    <t>空净AP300A（coupon-0%）</t>
  </si>
  <si>
    <t>空净AP300A（coupon-10%）</t>
  </si>
  <si>
    <t>空净AP300A（coupon-15%）</t>
  </si>
  <si>
    <t>空净AP300A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</si>
</sst>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  <numFmt numFmtId="177" formatCode="0.00_);[Red]\(0.00\)"/>
    <numFmt numFmtId="178" formatCode="0.0%"/>
    <numFmt numFmtId="179" formatCode="0.0_ ;[Red]\-0.0\ "/>
    <numFmt numFmtId="180" formatCode="0.0"/>
    <numFmt numFmtId="181" formatCode="0_);[Red]\(0\)"/>
  </numFmts>
  <fonts count="27">
    <font>
      <sz val="11"/>
      <color theme="1"/>
      <name val="宋体"/>
      <charset val="134"/>
      <scheme val="minor"/>
    </font>
    <font>
      <sz val="9"/>
      <name val="等线"/>
      <charset val="64"/>
    </font>
    <font>
      <b/>
      <sz val="10"/>
      <color rgb="FF0D0015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rgb="FF0D0015"/>
      <name val="微软雅黑"/>
      <charset val="134"/>
    </font>
    <font>
      <sz val="9"/>
      <name val="等线"/>
      <charset val="134"/>
    </font>
    <font>
      <b/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A3E0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7D9F0"/>
        <bgColor indexed="64"/>
      </patternFill>
    </fill>
    <fill>
      <patternFill patternType="solid">
        <fgColor rgb="FFFF7800"/>
        <bgColor indexed="64"/>
      </patternFill>
    </fill>
    <fill>
      <patternFill patternType="solid">
        <fgColor rgb="FF98FA1C"/>
        <bgColor indexed="64"/>
      </patternFill>
    </fill>
    <fill>
      <patternFill patternType="solid">
        <fgColor rgb="FFFFD900"/>
        <bgColor indexed="64"/>
      </patternFill>
    </fill>
    <fill>
      <patternFill patternType="solid">
        <fgColor rgb="FF956FE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79" fontId="2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wrapText="1"/>
    </xf>
    <xf numFmtId="2" fontId="4" fillId="0" borderId="2" xfId="0" applyNumberFormat="1" applyFont="1" applyFill="1" applyBorder="1" applyAlignment="1">
      <alignment horizontal="center"/>
    </xf>
    <xf numFmtId="0" fontId="4" fillId="0" borderId="2" xfId="0" applyNumberFormat="1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40" fontId="5" fillId="0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 wrapText="1"/>
    </xf>
    <xf numFmtId="0" fontId="4" fillId="0" borderId="1" xfId="0" applyNumberFormat="1" applyFont="1" applyFill="1" applyBorder="1" applyAlignment="1"/>
    <xf numFmtId="0" fontId="4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177" fontId="4" fillId="0" borderId="1" xfId="0" applyNumberFormat="1" applyFont="1" applyFill="1" applyBorder="1" applyAlignment="1">
      <alignment horizontal="center" vertical="center" wrapText="1"/>
    </xf>
    <xf numFmtId="181" fontId="4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77" fontId="4" fillId="6" borderId="1" xfId="0" applyNumberFormat="1" applyFont="1" applyFill="1" applyBorder="1" applyAlignment="1">
      <alignment horizontal="center" vertical="center"/>
    </xf>
    <xf numFmtId="177" fontId="4" fillId="6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176" fontId="4" fillId="7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2" fontId="4" fillId="7" borderId="3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2" xfId="0" applyNumberFormat="1" applyFont="1" applyFill="1" applyBorder="1" applyAlignment="1">
      <alignment horizontal="center"/>
    </xf>
    <xf numFmtId="2" fontId="4" fillId="0" borderId="3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horizontal="left" wrapText="1"/>
    </xf>
    <xf numFmtId="0" fontId="4" fillId="8" borderId="1" xfId="0" applyFont="1" applyFill="1" applyBorder="1" applyAlignment="1">
      <alignment horizontal="left" wrapText="1"/>
    </xf>
    <xf numFmtId="0" fontId="4" fillId="8" borderId="1" xfId="0" applyNumberFormat="1" applyFont="1" applyFill="1" applyBorder="1" applyAlignment="1">
      <alignment horizontal="left" wrapText="1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181" fontId="7" fillId="0" borderId="0" xfId="0" applyNumberFormat="1" applyFont="1" applyFill="1" applyAlignment="1">
      <alignment horizontal="center" vertical="center"/>
    </xf>
    <xf numFmtId="177" fontId="7" fillId="7" borderId="0" xfId="0" applyNumberFormat="1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178" fontId="7" fillId="0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2" fontId="6" fillId="9" borderId="0" xfId="0" applyNumberFormat="1" applyFont="1" applyFill="1" applyAlignment="1">
      <alignment horizontal="center" vertical="center"/>
    </xf>
    <xf numFmtId="9" fontId="6" fillId="0" borderId="0" xfId="0" applyNumberFormat="1" applyFont="1" applyFill="1" applyAlignment="1">
      <alignment horizontal="center" vertical="center"/>
    </xf>
    <xf numFmtId="10" fontId="6" fillId="0" borderId="0" xfId="0" applyNumberFormat="1" applyFont="1" applyFill="1" applyAlignment="1">
      <alignment horizontal="center" vertical="center"/>
    </xf>
    <xf numFmtId="181" fontId="6" fillId="0" borderId="0" xfId="0" applyNumberFormat="1" applyFont="1" applyFill="1" applyAlignment="1">
      <alignment horizontal="center" vertical="center"/>
    </xf>
    <xf numFmtId="177" fontId="6" fillId="7" borderId="0" xfId="0" applyNumberFormat="1" applyFont="1" applyFill="1" applyAlignment="1">
      <alignment horizontal="center" vertical="center"/>
    </xf>
    <xf numFmtId="178" fontId="6" fillId="0" borderId="0" xfId="0" applyNumberFormat="1" applyFont="1" applyFill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0" fontId="6" fillId="6" borderId="0" xfId="0" applyNumberFormat="1" applyFont="1" applyFill="1" applyAlignment="1">
      <alignment vertical="center"/>
    </xf>
    <xf numFmtId="0" fontId="6" fillId="7" borderId="0" xfId="0" applyFont="1" applyFill="1" applyAlignment="1">
      <alignment vertical="center"/>
    </xf>
    <xf numFmtId="2" fontId="6" fillId="6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vertical="center"/>
    </xf>
    <xf numFmtId="0" fontId="6" fillId="7" borderId="0" xfId="0" applyNumberFormat="1" applyFont="1" applyFill="1" applyAlignment="1">
      <alignment vertical="center"/>
    </xf>
    <xf numFmtId="9" fontId="6" fillId="9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0" fontId="6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vertical="center"/>
    </xf>
    <xf numFmtId="10" fontId="6" fillId="0" borderId="0" xfId="0" applyNumberFormat="1" applyFont="1" applyFill="1" applyAlignment="1">
      <alignment vertical="center"/>
    </xf>
    <xf numFmtId="181" fontId="6" fillId="0" borderId="0" xfId="0" applyNumberFormat="1" applyFont="1" applyFill="1" applyAlignment="1">
      <alignment vertical="center"/>
    </xf>
    <xf numFmtId="178" fontId="6" fillId="0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5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b val="0"/>
        <i val="0"/>
        <strike val="0"/>
        <u val="none"/>
        <color rgb="FFFE2C23"/>
      </font>
      <fill>
        <patternFill patternType="solid"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304"/>
  <sheetViews>
    <sheetView workbookViewId="0">
      <pane xSplit="2" ySplit="1" topLeftCell="C278" activePane="bottomRight" state="frozen"/>
      <selection/>
      <selection pane="topRight"/>
      <selection pane="bottomLeft"/>
      <selection pane="bottomRight" activeCell="A1" sqref="A$1:A$1048576"/>
    </sheetView>
  </sheetViews>
  <sheetFormatPr defaultColWidth="12.75" defaultRowHeight="12"/>
  <cols>
    <col min="1" max="1" width="26.45" style="1" customWidth="1"/>
    <col min="2" max="2" width="4.05833333333333" style="1" customWidth="1"/>
    <col min="3" max="3" width="3.53333333333333" style="1" customWidth="1"/>
    <col min="4" max="4" width="4.84166666666667" style="1" customWidth="1"/>
    <col min="5" max="5" width="6.15833333333333" style="1" customWidth="1"/>
    <col min="6" max="6" width="11.2666666666667" style="1" customWidth="1"/>
    <col min="7" max="7" width="12.4416666666667" style="1" customWidth="1"/>
    <col min="8" max="8" width="7.725" style="1" customWidth="1"/>
    <col min="9" max="9" width="8.775" style="1" customWidth="1"/>
    <col min="10" max="10" width="8.375" style="1" customWidth="1"/>
    <col min="11" max="11" width="6.80833333333333" style="1" customWidth="1"/>
    <col min="12" max="12" width="8.125" style="1" customWidth="1"/>
    <col min="13" max="13" width="8.775" style="1" customWidth="1"/>
    <col min="14" max="14" width="9.3" style="1" customWidth="1"/>
    <col min="15" max="15" width="9.95" style="1" customWidth="1"/>
    <col min="16" max="16" width="9.04166666666667" style="1" customWidth="1"/>
    <col min="17" max="17" width="9.3" style="1" customWidth="1"/>
    <col min="18" max="23" width="7.725" style="1" customWidth="1"/>
    <col min="24" max="24" width="8.9" style="1" customWidth="1"/>
    <col min="25" max="25" width="6.41666666666667" style="1" customWidth="1"/>
    <col min="26" max="27" width="7.33333333333333" style="1" customWidth="1"/>
    <col min="28" max="28" width="8.51666666666667" style="1" customWidth="1"/>
    <col min="29" max="29" width="26.5833333333333" style="1" customWidth="1"/>
    <col min="30" max="30" width="14.6666666666667" style="1" customWidth="1"/>
    <col min="31" max="31" width="9.16666666666667" style="1" customWidth="1"/>
    <col min="32" max="75" width="12.4416666666667" style="1" customWidth="1"/>
    <col min="76" max="16384" width="12.75" style="1"/>
  </cols>
  <sheetData>
    <row r="1" ht="12.75" spans="1:75">
      <c r="A1" s="61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3" t="s">
        <v>5</v>
      </c>
      <c r="G1" s="63" t="s">
        <v>6</v>
      </c>
      <c r="H1" s="62" t="s">
        <v>7</v>
      </c>
      <c r="I1" s="63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4" t="s">
        <v>14</v>
      </c>
      <c r="P1" s="62" t="s">
        <v>15</v>
      </c>
      <c r="Q1" s="65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3" t="s">
        <v>21</v>
      </c>
      <c r="W1" s="63" t="s">
        <v>22</v>
      </c>
      <c r="X1" s="62" t="s">
        <v>23</v>
      </c>
      <c r="Y1" s="66" t="s">
        <v>24</v>
      </c>
      <c r="Z1" s="67" t="s">
        <v>25</v>
      </c>
      <c r="AA1" s="63" t="s">
        <v>26</v>
      </c>
      <c r="AB1" s="64" t="s">
        <v>27</v>
      </c>
      <c r="AC1" s="68" t="s">
        <v>28</v>
      </c>
      <c r="AD1" s="69" t="s">
        <v>29</v>
      </c>
      <c r="AE1" s="62" t="s">
        <v>30</v>
      </c>
      <c r="AF1" s="62" t="s">
        <v>31</v>
      </c>
      <c r="AG1" s="62" t="s">
        <v>32</v>
      </c>
      <c r="AH1" s="62" t="s">
        <v>33</v>
      </c>
      <c r="AI1" s="62" t="s">
        <v>34</v>
      </c>
      <c r="AJ1" s="62" t="s">
        <v>12</v>
      </c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</row>
    <row r="2" spans="1:75">
      <c r="A2" s="70" t="s">
        <v>35</v>
      </c>
      <c r="B2" s="71">
        <v>8</v>
      </c>
      <c r="C2" s="71" t="s">
        <v>36</v>
      </c>
      <c r="D2" s="71" t="s">
        <v>37</v>
      </c>
      <c r="E2" s="71" t="s">
        <v>38</v>
      </c>
      <c r="F2" s="72">
        <f t="shared" ref="F2:F8" si="0">IF(E2="有",(I2/B2+J2+Z2/B2)/(0.99999-K2-L2-M2-N2),(I2/B2+J2+Z2/B2)/(0.99999-K2-M2-N2))</f>
        <v>46.4473385069794</v>
      </c>
      <c r="G2" s="72">
        <f t="shared" ref="G2:G8" si="1">IF(E2="有",(I2/B2+J2+Z2/B2)/(0.8-K2-L2-M2-N2-O2-P2),(I2/B2+J2+Z2/B2)/(0.8-K2-M2-N2-O2-P2))</f>
        <v>82.1949107124526</v>
      </c>
      <c r="H2" s="73">
        <v>84.99</v>
      </c>
      <c r="I2" s="72">
        <f t="shared" ref="I2:I8" si="2">138.5/1.13</f>
        <v>122.566371681416</v>
      </c>
      <c r="J2" s="71">
        <v>5.69</v>
      </c>
      <c r="K2" s="74">
        <v>0.15</v>
      </c>
      <c r="L2" s="74">
        <v>0.16</v>
      </c>
      <c r="M2" s="74">
        <v>0.05</v>
      </c>
      <c r="N2" s="74">
        <f t="shared" ref="N2:N8" si="3">Q2/H2</f>
        <v>0.117660901282504</v>
      </c>
      <c r="O2" s="75">
        <f t="shared" ref="O2:O8" si="4">0.61/H2</f>
        <v>0.00717731497823273</v>
      </c>
      <c r="P2" s="74">
        <v>0.02</v>
      </c>
      <c r="Q2" s="72">
        <v>10</v>
      </c>
      <c r="R2" s="49">
        <v>33.5</v>
      </c>
      <c r="S2" s="49">
        <v>26.5</v>
      </c>
      <c r="T2" s="49">
        <v>25</v>
      </c>
      <c r="U2" s="49">
        <v>2.3</v>
      </c>
      <c r="V2" s="72">
        <f t="shared" ref="V2:V8" si="5">R2*S2*T2/6000</f>
        <v>3.69895833333333</v>
      </c>
      <c r="W2" s="72">
        <f t="shared" ref="W2:W8" si="6">MAX(U2:V2)</f>
        <v>3.69895833333333</v>
      </c>
      <c r="X2" s="49" t="s">
        <v>39</v>
      </c>
      <c r="Y2" s="76">
        <v>5.55136</v>
      </c>
      <c r="Z2" s="77">
        <v>26</v>
      </c>
      <c r="AA2" s="72">
        <f t="shared" ref="AA2:AA8" si="7">H2-SUM(K2:P2)*H2-J2-I2/B2-Z2/B2</f>
        <v>17.823003539823</v>
      </c>
      <c r="AB2" s="75">
        <f t="shared" ref="AB2:AB8" si="8">AA2/H2</f>
        <v>0.209707066005683</v>
      </c>
      <c r="AC2" s="49"/>
      <c r="AD2" s="78">
        <f t="shared" ref="AD2:AD8" si="9">J2/H2</f>
        <v>0.0669490528297447</v>
      </c>
      <c r="AE2" s="74">
        <f t="shared" ref="AE2:AE8" si="10">I2/7.4/H2</f>
        <v>0.194882023769753</v>
      </c>
      <c r="AF2" s="74">
        <f t="shared" ref="AF2:AF8" si="11">Z2/7.4/H2</f>
        <v>0.0413403166668257</v>
      </c>
      <c r="AG2" s="74">
        <v>0.15</v>
      </c>
      <c r="AH2" s="74">
        <f t="shared" ref="AH2:AH8" si="12">N2</f>
        <v>0.117660901282504</v>
      </c>
      <c r="AI2" s="74">
        <v>0.02</v>
      </c>
      <c r="AJ2" s="74">
        <f t="shared" ref="AJ2:AJ8" si="13">M2</f>
        <v>0.05</v>
      </c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</row>
    <row r="3" spans="1:75">
      <c r="A3" s="70" t="s">
        <v>40</v>
      </c>
      <c r="B3" s="71">
        <v>8</v>
      </c>
      <c r="C3" s="71" t="s">
        <v>36</v>
      </c>
      <c r="D3" s="71" t="s">
        <v>37</v>
      </c>
      <c r="E3" s="71" t="s">
        <v>38</v>
      </c>
      <c r="F3" s="72">
        <f t="shared" si="0"/>
        <v>48.3701546480252</v>
      </c>
      <c r="G3" s="72">
        <f t="shared" si="1"/>
        <v>88.8245974811697</v>
      </c>
      <c r="H3" s="73">
        <f>H2*0.85</f>
        <v>72.2415</v>
      </c>
      <c r="I3" s="72">
        <f t="shared" si="2"/>
        <v>122.566371681416</v>
      </c>
      <c r="J3" s="71">
        <v>5.69</v>
      </c>
      <c r="K3" s="74">
        <v>0.15</v>
      </c>
      <c r="L3" s="74">
        <v>0.16</v>
      </c>
      <c r="M3" s="74">
        <v>0.05</v>
      </c>
      <c r="N3" s="74">
        <f t="shared" si="3"/>
        <v>0.138424589744122</v>
      </c>
      <c r="O3" s="75">
        <f t="shared" si="4"/>
        <v>0.00844389997439145</v>
      </c>
      <c r="P3" s="74">
        <v>0.02</v>
      </c>
      <c r="Q3" s="72">
        <v>10</v>
      </c>
      <c r="R3" s="49">
        <v>33.5</v>
      </c>
      <c r="S3" s="49">
        <v>26.5</v>
      </c>
      <c r="T3" s="49">
        <v>25</v>
      </c>
      <c r="U3" s="49">
        <v>2.3</v>
      </c>
      <c r="V3" s="72">
        <f t="shared" si="5"/>
        <v>3.69895833333333</v>
      </c>
      <c r="W3" s="72">
        <f t="shared" si="6"/>
        <v>3.69895833333333</v>
      </c>
      <c r="X3" s="71" t="s">
        <v>39</v>
      </c>
      <c r="Y3" s="76">
        <v>5.55136</v>
      </c>
      <c r="Z3" s="77">
        <v>26</v>
      </c>
      <c r="AA3" s="72">
        <f t="shared" si="7"/>
        <v>9.918933539823</v>
      </c>
      <c r="AB3" s="75">
        <f t="shared" si="8"/>
        <v>0.137302430594921</v>
      </c>
      <c r="AC3" s="49"/>
      <c r="AD3" s="78">
        <f t="shared" si="9"/>
        <v>0.0787635915644055</v>
      </c>
      <c r="AE3" s="74">
        <f>I3/B3/H3</f>
        <v>0.21207749645532</v>
      </c>
      <c r="AF3" s="74">
        <f>Z3/B3/H3</f>
        <v>0.0449879916668397</v>
      </c>
      <c r="AG3" s="74">
        <f>K3</f>
        <v>0.15</v>
      </c>
      <c r="AH3" s="74">
        <f t="shared" si="12"/>
        <v>0.138424589744122</v>
      </c>
      <c r="AI3" s="74">
        <v>0.02</v>
      </c>
      <c r="AJ3" s="74">
        <f t="shared" si="13"/>
        <v>0.05</v>
      </c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</row>
    <row r="4" spans="1:75">
      <c r="A4" s="70" t="s">
        <v>41</v>
      </c>
      <c r="B4" s="71">
        <v>8</v>
      </c>
      <c r="C4" s="71" t="s">
        <v>36</v>
      </c>
      <c r="D4" s="71" t="s">
        <v>37</v>
      </c>
      <c r="E4" s="71" t="s">
        <v>38</v>
      </c>
      <c r="F4" s="72">
        <f t="shared" si="0"/>
        <v>50.9068772580331</v>
      </c>
      <c r="G4" s="72">
        <f t="shared" si="1"/>
        <v>98.375748899761</v>
      </c>
      <c r="H4" s="73">
        <f>H2*0.72</f>
        <v>61.1928</v>
      </c>
      <c r="I4" s="72">
        <f t="shared" si="2"/>
        <v>122.566371681416</v>
      </c>
      <c r="J4" s="71">
        <v>5.69</v>
      </c>
      <c r="K4" s="74">
        <v>0.15</v>
      </c>
      <c r="L4" s="74">
        <v>0.16</v>
      </c>
      <c r="M4" s="74">
        <v>0.05</v>
      </c>
      <c r="N4" s="74">
        <f t="shared" si="3"/>
        <v>0.163417918447922</v>
      </c>
      <c r="O4" s="75">
        <f t="shared" si="4"/>
        <v>0.00996849302532324</v>
      </c>
      <c r="P4" s="74">
        <v>0.02</v>
      </c>
      <c r="Q4" s="72">
        <v>10</v>
      </c>
      <c r="R4" s="49">
        <v>33.5</v>
      </c>
      <c r="S4" s="49">
        <v>26.5</v>
      </c>
      <c r="T4" s="49">
        <v>25</v>
      </c>
      <c r="U4" s="49">
        <v>2.3</v>
      </c>
      <c r="V4" s="72">
        <f t="shared" si="5"/>
        <v>3.69895833333333</v>
      </c>
      <c r="W4" s="72">
        <f t="shared" si="6"/>
        <v>3.69895833333333</v>
      </c>
      <c r="X4" s="71" t="s">
        <v>39</v>
      </c>
      <c r="Y4" s="76">
        <v>5.55136</v>
      </c>
      <c r="Z4" s="77">
        <v>26</v>
      </c>
      <c r="AA4" s="72">
        <f t="shared" si="7"/>
        <v>3.068739539823</v>
      </c>
      <c r="AB4" s="75">
        <f t="shared" si="8"/>
        <v>0.0501487027856709</v>
      </c>
      <c r="AC4" s="49"/>
      <c r="AD4" s="78">
        <f t="shared" si="9"/>
        <v>0.0929847955968676</v>
      </c>
      <c r="AE4" s="74">
        <f t="shared" si="10"/>
        <v>0.270669477457991</v>
      </c>
      <c r="AF4" s="74">
        <f t="shared" si="11"/>
        <v>0.0574171064817023</v>
      </c>
      <c r="AG4" s="74">
        <v>0.15</v>
      </c>
      <c r="AH4" s="74">
        <f t="shared" si="12"/>
        <v>0.163417918447922</v>
      </c>
      <c r="AI4" s="74">
        <v>0.02</v>
      </c>
      <c r="AJ4" s="74">
        <f t="shared" si="13"/>
        <v>0.05</v>
      </c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</row>
    <row r="5" spans="1:75">
      <c r="B5" s="49"/>
      <c r="C5" s="49"/>
      <c r="D5" s="49"/>
      <c r="E5" s="49"/>
      <c r="F5" s="72"/>
      <c r="G5" s="72"/>
      <c r="H5" s="79"/>
      <c r="I5" s="72"/>
      <c r="J5" s="71"/>
      <c r="K5" s="74"/>
      <c r="L5" s="74"/>
      <c r="M5" s="74"/>
      <c r="N5" s="74"/>
      <c r="O5" s="75"/>
      <c r="P5" s="74"/>
      <c r="Q5" s="72"/>
      <c r="R5" s="49"/>
      <c r="S5" s="49"/>
      <c r="T5" s="49"/>
      <c r="U5" s="49"/>
      <c r="V5" s="72"/>
      <c r="W5" s="72"/>
      <c r="X5" s="71"/>
      <c r="Y5" s="76"/>
      <c r="Z5" s="77"/>
      <c r="AA5" s="72"/>
      <c r="AB5" s="75"/>
      <c r="AC5" s="49"/>
      <c r="AD5" s="78"/>
      <c r="AE5" s="74"/>
      <c r="AF5" s="74"/>
      <c r="AG5" s="74"/>
      <c r="AH5" s="74"/>
      <c r="AI5" s="74"/>
      <c r="AJ5" s="74"/>
    </row>
    <row r="6" spans="1:75">
      <c r="A6" s="80" t="s">
        <v>35</v>
      </c>
      <c r="B6" s="71">
        <v>8</v>
      </c>
      <c r="C6" s="49" t="s">
        <v>42</v>
      </c>
      <c r="D6" s="49" t="s">
        <v>43</v>
      </c>
      <c r="E6" s="71" t="s">
        <v>38</v>
      </c>
      <c r="F6" s="72">
        <f t="shared" si="0"/>
        <v>53.3987201421953</v>
      </c>
      <c r="G6" s="72">
        <f t="shared" si="1"/>
        <v>93.4822323952699</v>
      </c>
      <c r="H6" s="73">
        <v>89.99</v>
      </c>
      <c r="I6" s="72">
        <f t="shared" si="2"/>
        <v>122.566371681416</v>
      </c>
      <c r="J6" s="49">
        <v>9.67</v>
      </c>
      <c r="K6" s="74">
        <v>0.15</v>
      </c>
      <c r="L6" s="74">
        <v>0.16</v>
      </c>
      <c r="M6" s="74">
        <v>0.05</v>
      </c>
      <c r="N6" s="74">
        <f t="shared" si="3"/>
        <v>0.111123458162018</v>
      </c>
      <c r="O6" s="75">
        <f t="shared" si="4"/>
        <v>0.0067785309478831</v>
      </c>
      <c r="P6" s="74">
        <v>0.02</v>
      </c>
      <c r="Q6" s="72">
        <v>10</v>
      </c>
      <c r="R6" s="49">
        <v>33.5</v>
      </c>
      <c r="S6" s="49">
        <v>26.5</v>
      </c>
      <c r="T6" s="49">
        <v>25</v>
      </c>
      <c r="U6" s="49">
        <v>2.3</v>
      </c>
      <c r="V6" s="72">
        <f t="shared" si="5"/>
        <v>3.69895833333333</v>
      </c>
      <c r="W6" s="72">
        <f t="shared" si="6"/>
        <v>3.69895833333333</v>
      </c>
      <c r="X6" s="49" t="s">
        <v>39</v>
      </c>
      <c r="Y6" s="76">
        <v>5.55136</v>
      </c>
      <c r="Z6" s="77">
        <v>26</v>
      </c>
      <c r="AA6" s="72">
        <f t="shared" si="7"/>
        <v>16.943003539823</v>
      </c>
      <c r="AB6" s="75">
        <f t="shared" si="8"/>
        <v>0.188276514499644</v>
      </c>
      <c r="AC6" s="49"/>
      <c r="AD6" s="78">
        <f t="shared" si="9"/>
        <v>0.107456384042671</v>
      </c>
      <c r="AE6" s="74">
        <f t="shared" si="10"/>
        <v>0.1840540415623</v>
      </c>
      <c r="AF6" s="74">
        <f t="shared" si="11"/>
        <v>0.0390433771920604</v>
      </c>
      <c r="AG6" s="74">
        <v>0.15</v>
      </c>
      <c r="AH6" s="74">
        <f t="shared" si="12"/>
        <v>0.111123458162018</v>
      </c>
      <c r="AI6" s="74">
        <v>0.02</v>
      </c>
      <c r="AJ6" s="74">
        <f t="shared" si="13"/>
        <v>0.05</v>
      </c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</row>
    <row r="7" spans="1:75">
      <c r="A7" s="80" t="s">
        <v>40</v>
      </c>
      <c r="B7" s="71">
        <v>8</v>
      </c>
      <c r="C7" s="71" t="s">
        <v>42</v>
      </c>
      <c r="D7" s="71" t="s">
        <v>43</v>
      </c>
      <c r="E7" s="71" t="s">
        <v>38</v>
      </c>
      <c r="F7" s="72">
        <f t="shared" si="0"/>
        <v>55.4549531751645</v>
      </c>
      <c r="G7" s="72">
        <f t="shared" si="1"/>
        <v>100.396807576054</v>
      </c>
      <c r="H7" s="73">
        <f>H6*0.85</f>
        <v>76.4915</v>
      </c>
      <c r="I7" s="72">
        <f t="shared" si="2"/>
        <v>122.566371681416</v>
      </c>
      <c r="J7" s="71">
        <v>9.67</v>
      </c>
      <c r="K7" s="74">
        <v>0.15</v>
      </c>
      <c r="L7" s="74">
        <v>0.16</v>
      </c>
      <c r="M7" s="74">
        <v>0.05</v>
      </c>
      <c r="N7" s="74">
        <f t="shared" si="3"/>
        <v>0.130733480190609</v>
      </c>
      <c r="O7" s="75">
        <f t="shared" si="4"/>
        <v>0.00797474229162718</v>
      </c>
      <c r="P7" s="74">
        <v>0.02</v>
      </c>
      <c r="Q7" s="72">
        <v>10</v>
      </c>
      <c r="R7" s="49">
        <v>33.5</v>
      </c>
      <c r="S7" s="49">
        <v>26.5</v>
      </c>
      <c r="T7" s="49">
        <v>25</v>
      </c>
      <c r="U7" s="49">
        <v>2.3</v>
      </c>
      <c r="V7" s="72">
        <f t="shared" si="5"/>
        <v>3.69895833333333</v>
      </c>
      <c r="W7" s="72">
        <f t="shared" si="6"/>
        <v>3.69895833333333</v>
      </c>
      <c r="X7" s="71" t="s">
        <v>39</v>
      </c>
      <c r="Y7" s="76">
        <v>5.55136</v>
      </c>
      <c r="Z7" s="77">
        <v>26</v>
      </c>
      <c r="AA7" s="72">
        <f t="shared" si="7"/>
        <v>8.573933539823</v>
      </c>
      <c r="AB7" s="75">
        <f t="shared" si="8"/>
        <v>0.112090017058405</v>
      </c>
      <c r="AC7" s="49"/>
      <c r="AD7" s="78">
        <f t="shared" si="9"/>
        <v>0.126419275344319</v>
      </c>
      <c r="AE7" s="74">
        <f t="shared" si="10"/>
        <v>0.216534166543882</v>
      </c>
      <c r="AF7" s="74">
        <f t="shared" si="11"/>
        <v>0.0459333849318357</v>
      </c>
      <c r="AG7" s="74">
        <v>0.15</v>
      </c>
      <c r="AH7" s="74">
        <f t="shared" si="12"/>
        <v>0.130733480190609</v>
      </c>
      <c r="AI7" s="74">
        <v>0.02</v>
      </c>
      <c r="AJ7" s="74">
        <f t="shared" si="13"/>
        <v>0.05</v>
      </c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</row>
    <row r="8" spans="1:75">
      <c r="A8" s="80" t="s">
        <v>41</v>
      </c>
      <c r="B8" s="71">
        <v>8</v>
      </c>
      <c r="C8" s="71" t="s">
        <v>42</v>
      </c>
      <c r="D8" s="71" t="s">
        <v>43</v>
      </c>
      <c r="E8" s="71" t="s">
        <v>38</v>
      </c>
      <c r="F8" s="72">
        <f t="shared" si="0"/>
        <v>58.2083707798146</v>
      </c>
      <c r="G8" s="72">
        <f t="shared" si="1"/>
        <v>110.430750061318</v>
      </c>
      <c r="H8" s="73">
        <v>64.59</v>
      </c>
      <c r="I8" s="72">
        <f t="shared" si="2"/>
        <v>122.566371681416</v>
      </c>
      <c r="J8" s="71">
        <v>9.67</v>
      </c>
      <c r="K8" s="74">
        <v>0.15</v>
      </c>
      <c r="L8" s="74">
        <v>0.16</v>
      </c>
      <c r="M8" s="74">
        <v>0.05</v>
      </c>
      <c r="N8" s="74">
        <f t="shared" si="3"/>
        <v>0.154822727976467</v>
      </c>
      <c r="O8" s="75">
        <f t="shared" si="4"/>
        <v>0.00944418640656448</v>
      </c>
      <c r="P8" s="74">
        <v>0.02</v>
      </c>
      <c r="Q8" s="72">
        <v>10</v>
      </c>
      <c r="R8" s="49">
        <v>33.5</v>
      </c>
      <c r="S8" s="49">
        <v>26.5</v>
      </c>
      <c r="T8" s="49">
        <v>25</v>
      </c>
      <c r="U8" s="49">
        <v>2.3</v>
      </c>
      <c r="V8" s="72">
        <f t="shared" si="5"/>
        <v>3.69895833333333</v>
      </c>
      <c r="W8" s="72">
        <f t="shared" si="6"/>
        <v>3.69895833333333</v>
      </c>
      <c r="X8" s="71" t="s">
        <v>39</v>
      </c>
      <c r="Y8" s="76">
        <v>5.55136</v>
      </c>
      <c r="Z8" s="77">
        <v>26</v>
      </c>
      <c r="AA8" s="72">
        <f t="shared" si="7"/>
        <v>1.19500353982301</v>
      </c>
      <c r="AB8" s="75">
        <f t="shared" si="8"/>
        <v>0.0185013707976932</v>
      </c>
      <c r="AC8" s="49"/>
      <c r="AD8" s="78">
        <f t="shared" si="9"/>
        <v>0.149713577953244</v>
      </c>
      <c r="AE8" s="74">
        <f t="shared" si="10"/>
        <v>0.256433243539114</v>
      </c>
      <c r="AF8" s="74">
        <f t="shared" si="11"/>
        <v>0.0543971746944343</v>
      </c>
      <c r="AG8" s="74">
        <v>0.15</v>
      </c>
      <c r="AH8" s="74">
        <f t="shared" si="12"/>
        <v>0.154822727976467</v>
      </c>
      <c r="AI8" s="74">
        <v>0.02</v>
      </c>
      <c r="AJ8" s="74">
        <f t="shared" si="13"/>
        <v>0.05</v>
      </c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</row>
    <row r="9" spans="1:75">
      <c r="B9" s="49"/>
      <c r="C9" s="49"/>
      <c r="D9" s="49"/>
      <c r="E9" s="49"/>
      <c r="F9" s="72"/>
      <c r="G9" s="72"/>
      <c r="H9" s="79"/>
      <c r="I9" s="72"/>
      <c r="J9" s="71"/>
      <c r="K9" s="74"/>
      <c r="L9" s="74"/>
      <c r="M9" s="74"/>
      <c r="N9" s="74"/>
      <c r="O9" s="75"/>
      <c r="P9" s="74"/>
      <c r="Q9" s="74"/>
      <c r="R9" s="49"/>
      <c r="S9" s="49"/>
      <c r="T9" s="49"/>
      <c r="U9" s="49"/>
      <c r="V9" s="72"/>
      <c r="W9" s="72"/>
      <c r="X9" s="71"/>
      <c r="Y9" s="76"/>
      <c r="Z9" s="77"/>
      <c r="AA9" s="72"/>
      <c r="AB9" s="75"/>
      <c r="AC9" s="49"/>
      <c r="AD9" s="78"/>
      <c r="AE9" s="74"/>
      <c r="AF9" s="74"/>
      <c r="AG9" s="74"/>
      <c r="AH9" s="74"/>
      <c r="AI9" s="74"/>
      <c r="AJ9" s="74"/>
    </row>
    <row r="10" spans="1:75">
      <c r="A10" s="80" t="s">
        <v>35</v>
      </c>
      <c r="B10" s="71">
        <v>8</v>
      </c>
      <c r="C10" s="49" t="s">
        <v>44</v>
      </c>
      <c r="D10" s="49" t="s">
        <v>45</v>
      </c>
      <c r="E10" s="71" t="s">
        <v>38</v>
      </c>
      <c r="F10" s="72">
        <f t="shared" ref="F10:F13" si="14">IF(E10="有",(I10/B10+J10+Z10/B10)/(0.99999-K10-L10-M10-N10),(I10/B10+J10+Z10/B10)/(0.99999-K10-M10-N10))</f>
        <v>48.8228965486101</v>
      </c>
      <c r="G10" s="72">
        <f t="shared" ref="G10:G13" si="15">IF(E10="有",(I10/B10+J10+Z10/B10)/(0.8-K10-L10-M10-N10-O10-P10),(I10/B10+J10+Z10/B10)/(0.8-K10-M10-N10-O10-P10))</f>
        <v>85.4715871319339</v>
      </c>
      <c r="H10" s="73">
        <v>89.99</v>
      </c>
      <c r="I10" s="72">
        <f t="shared" ref="I10:I13" si="16">138.5/1.13</f>
        <v>122.566371681416</v>
      </c>
      <c r="J10" s="49">
        <v>7.25</v>
      </c>
      <c r="K10" s="74">
        <v>0.15</v>
      </c>
      <c r="L10" s="74">
        <v>0.16</v>
      </c>
      <c r="M10" s="74">
        <v>0.05</v>
      </c>
      <c r="N10" s="74">
        <f t="shared" ref="N10:N13" si="17">Q10/H10</f>
        <v>0.111123458162018</v>
      </c>
      <c r="O10" s="75">
        <f t="shared" ref="O10:O13" si="18">0.61/H10</f>
        <v>0.0067785309478831</v>
      </c>
      <c r="P10" s="74">
        <v>0.02</v>
      </c>
      <c r="Q10" s="72">
        <v>10</v>
      </c>
      <c r="R10" s="49">
        <v>33.5</v>
      </c>
      <c r="S10" s="49">
        <v>26.5</v>
      </c>
      <c r="T10" s="49">
        <v>25</v>
      </c>
      <c r="U10" s="49">
        <v>2.3</v>
      </c>
      <c r="V10" s="72">
        <f t="shared" ref="V10:V13" si="19">R10*S10*T10/6000</f>
        <v>3.69895833333333</v>
      </c>
      <c r="W10" s="72">
        <f t="shared" ref="W10:W13" si="20">MAX(U10:V10)</f>
        <v>3.69895833333333</v>
      </c>
      <c r="X10" s="49" t="s">
        <v>39</v>
      </c>
      <c r="Y10" s="76">
        <v>5.55136</v>
      </c>
      <c r="Z10" s="77">
        <v>26</v>
      </c>
      <c r="AA10" s="72">
        <f t="shared" ref="AA10:AA13" si="21">H10-SUM(K10:P10)*H10-J10-I10/B10-Z10/B10</f>
        <v>19.363003539823</v>
      </c>
      <c r="AB10" s="75">
        <f t="shared" ref="AB10:AB13" si="22">AA10/H10</f>
        <v>0.215168391374853</v>
      </c>
      <c r="AC10" s="49"/>
      <c r="AD10" s="78">
        <f t="shared" ref="AD10:AD13" si="23">J10/H10</f>
        <v>0.0805645071674631</v>
      </c>
      <c r="AE10" s="74">
        <f t="shared" ref="AE10:AE13" si="24">I10/7.4/H10</f>
        <v>0.1840540415623</v>
      </c>
      <c r="AF10" s="74">
        <f t="shared" ref="AF10:AF13" si="25">Z10/7.4/H10</f>
        <v>0.0390433771920604</v>
      </c>
      <c r="AG10" s="74">
        <v>0.15</v>
      </c>
      <c r="AH10" s="74">
        <f t="shared" ref="AH10:AH13" si="26">N10</f>
        <v>0.111123458162018</v>
      </c>
      <c r="AI10" s="74">
        <v>0.02</v>
      </c>
      <c r="AJ10" s="74">
        <f t="shared" ref="AJ10:AJ13" si="27">M10</f>
        <v>0.05</v>
      </c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</row>
    <row r="11" spans="1:75">
      <c r="A11" s="80" t="s">
        <v>40</v>
      </c>
      <c r="B11" s="71">
        <v>8</v>
      </c>
      <c r="C11" s="71" t="s">
        <v>44</v>
      </c>
      <c r="D11" s="71" t="s">
        <v>45</v>
      </c>
      <c r="E11" s="71" t="s">
        <v>38</v>
      </c>
      <c r="F11" s="72">
        <f t="shared" si="14"/>
        <v>50.7029276126724</v>
      </c>
      <c r="G11" s="72">
        <f t="shared" si="15"/>
        <v>91.7936410656242</v>
      </c>
      <c r="H11" s="73">
        <f>H10*0.85</f>
        <v>76.4915</v>
      </c>
      <c r="I11" s="72">
        <f t="shared" si="16"/>
        <v>122.566371681416</v>
      </c>
      <c r="J11" s="71">
        <v>7.25</v>
      </c>
      <c r="K11" s="74">
        <v>0.15</v>
      </c>
      <c r="L11" s="74">
        <v>0.16</v>
      </c>
      <c r="M11" s="74">
        <v>0.05</v>
      </c>
      <c r="N11" s="74">
        <f t="shared" si="17"/>
        <v>0.130733480190609</v>
      </c>
      <c r="O11" s="75">
        <f t="shared" si="18"/>
        <v>0.00797474229162718</v>
      </c>
      <c r="P11" s="74">
        <v>0.02</v>
      </c>
      <c r="Q11" s="72">
        <v>10</v>
      </c>
      <c r="R11" s="49">
        <v>33.5</v>
      </c>
      <c r="S11" s="49">
        <v>26.5</v>
      </c>
      <c r="T11" s="49">
        <v>25</v>
      </c>
      <c r="U11" s="49">
        <v>2.3</v>
      </c>
      <c r="V11" s="72">
        <f t="shared" si="19"/>
        <v>3.69895833333333</v>
      </c>
      <c r="W11" s="72">
        <f t="shared" si="20"/>
        <v>3.69895833333333</v>
      </c>
      <c r="X11" s="71" t="s">
        <v>39</v>
      </c>
      <c r="Y11" s="76">
        <v>5.55136</v>
      </c>
      <c r="Z11" s="77">
        <v>26</v>
      </c>
      <c r="AA11" s="72">
        <f t="shared" si="21"/>
        <v>10.993933539823</v>
      </c>
      <c r="AB11" s="75">
        <f t="shared" si="22"/>
        <v>0.143727519264533</v>
      </c>
      <c r="AC11" s="49"/>
      <c r="AD11" s="78">
        <f t="shared" si="23"/>
        <v>0.0947817731381918</v>
      </c>
      <c r="AE11" s="74">
        <f t="shared" si="24"/>
        <v>0.216534166543882</v>
      </c>
      <c r="AF11" s="74">
        <f t="shared" si="25"/>
        <v>0.0459333849318357</v>
      </c>
      <c r="AG11" s="74">
        <v>0.15</v>
      </c>
      <c r="AH11" s="74">
        <f t="shared" si="26"/>
        <v>0.130733480190609</v>
      </c>
      <c r="AI11" s="74">
        <v>0.02</v>
      </c>
      <c r="AJ11" s="74">
        <f t="shared" si="27"/>
        <v>0.05</v>
      </c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</row>
    <row r="12" spans="1:75">
      <c r="A12" s="80" t="s">
        <v>41</v>
      </c>
      <c r="B12" s="71">
        <v>8</v>
      </c>
      <c r="C12" s="71" t="s">
        <v>44</v>
      </c>
      <c r="D12" s="71" t="s">
        <v>45</v>
      </c>
      <c r="E12" s="71" t="s">
        <v>38</v>
      </c>
      <c r="F12" s="72">
        <f t="shared" si="14"/>
        <v>51.5297036615319</v>
      </c>
      <c r="G12" s="72">
        <f t="shared" si="15"/>
        <v>94.7126343969758</v>
      </c>
      <c r="H12" s="73">
        <f>H10*0.8</f>
        <v>71.992</v>
      </c>
      <c r="I12" s="72">
        <f t="shared" si="16"/>
        <v>122.566371681416</v>
      </c>
      <c r="J12" s="71">
        <v>7.25</v>
      </c>
      <c r="K12" s="74">
        <v>0.15</v>
      </c>
      <c r="L12" s="74">
        <v>0.16</v>
      </c>
      <c r="M12" s="74">
        <v>0.05</v>
      </c>
      <c r="N12" s="74">
        <f t="shared" si="17"/>
        <v>0.138904322702522</v>
      </c>
      <c r="O12" s="75">
        <f t="shared" si="18"/>
        <v>0.00847316368485387</v>
      </c>
      <c r="P12" s="74">
        <v>0.02</v>
      </c>
      <c r="Q12" s="72">
        <v>10</v>
      </c>
      <c r="R12" s="49">
        <v>33.5</v>
      </c>
      <c r="S12" s="49">
        <v>26.5</v>
      </c>
      <c r="T12" s="49">
        <v>25</v>
      </c>
      <c r="U12" s="49">
        <v>2.3</v>
      </c>
      <c r="V12" s="72">
        <f t="shared" si="19"/>
        <v>3.69895833333333</v>
      </c>
      <c r="W12" s="72">
        <f t="shared" si="20"/>
        <v>3.69895833333333</v>
      </c>
      <c r="X12" s="71" t="s">
        <v>39</v>
      </c>
      <c r="Y12" s="76">
        <v>5.55136</v>
      </c>
      <c r="Z12" s="77">
        <v>26</v>
      </c>
      <c r="AA12" s="72">
        <f t="shared" si="21"/>
        <v>8.20424353982301</v>
      </c>
      <c r="AB12" s="75">
        <f t="shared" si="22"/>
        <v>0.113960489218566</v>
      </c>
      <c r="AC12" s="49"/>
      <c r="AD12" s="78">
        <f t="shared" si="23"/>
        <v>0.100705633959329</v>
      </c>
      <c r="AE12" s="74">
        <f t="shared" si="24"/>
        <v>0.230067551952875</v>
      </c>
      <c r="AF12" s="74">
        <f t="shared" si="25"/>
        <v>0.0488042214900755</v>
      </c>
      <c r="AG12" s="74">
        <v>0.15</v>
      </c>
      <c r="AH12" s="74">
        <f t="shared" si="26"/>
        <v>0.138904322702522</v>
      </c>
      <c r="AI12" s="74">
        <v>0.02</v>
      </c>
      <c r="AJ12" s="74">
        <f t="shared" si="27"/>
        <v>0.05</v>
      </c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</row>
    <row r="13" spans="1:75">
      <c r="A13" s="70" t="s">
        <v>46</v>
      </c>
      <c r="B13" s="71">
        <v>8</v>
      </c>
      <c r="C13" s="71" t="s">
        <v>44</v>
      </c>
      <c r="D13" s="71" t="s">
        <v>45</v>
      </c>
      <c r="E13" s="71" t="s">
        <v>38</v>
      </c>
      <c r="F13" s="72">
        <f t="shared" si="14"/>
        <v>54.1206407513801</v>
      </c>
      <c r="G13" s="72">
        <f t="shared" si="15"/>
        <v>104.465505983357</v>
      </c>
      <c r="H13" s="73">
        <v>61.39</v>
      </c>
      <c r="I13" s="72">
        <f t="shared" si="16"/>
        <v>122.566371681416</v>
      </c>
      <c r="J13" s="71">
        <v>7.25</v>
      </c>
      <c r="K13" s="74">
        <v>0.15</v>
      </c>
      <c r="L13" s="74">
        <v>0.16</v>
      </c>
      <c r="M13" s="74">
        <v>0.05</v>
      </c>
      <c r="N13" s="74">
        <f t="shared" si="17"/>
        <v>0.162892979312592</v>
      </c>
      <c r="O13" s="75">
        <f t="shared" si="18"/>
        <v>0.00993647173806809</v>
      </c>
      <c r="P13" s="74">
        <v>0.02</v>
      </c>
      <c r="Q13" s="72">
        <v>10</v>
      </c>
      <c r="R13" s="49">
        <v>33.5</v>
      </c>
      <c r="S13" s="49">
        <v>26.5</v>
      </c>
      <c r="T13" s="49">
        <v>25</v>
      </c>
      <c r="U13" s="49">
        <v>2.3</v>
      </c>
      <c r="V13" s="72">
        <f t="shared" si="19"/>
        <v>3.69895833333333</v>
      </c>
      <c r="W13" s="72">
        <f t="shared" si="20"/>
        <v>3.69895833333333</v>
      </c>
      <c r="X13" s="71" t="s">
        <v>39</v>
      </c>
      <c r="Y13" s="76">
        <v>5.55136</v>
      </c>
      <c r="Z13" s="77">
        <v>26</v>
      </c>
      <c r="AA13" s="72">
        <f t="shared" si="21"/>
        <v>1.63100353982301</v>
      </c>
      <c r="AB13" s="75">
        <f t="shared" si="22"/>
        <v>0.0265679025871153</v>
      </c>
      <c r="AC13" s="49"/>
      <c r="AD13" s="78">
        <f t="shared" si="23"/>
        <v>0.118097410001629</v>
      </c>
      <c r="AE13" s="74">
        <f t="shared" si="24"/>
        <v>0.269800019550274</v>
      </c>
      <c r="AF13" s="74">
        <f t="shared" si="25"/>
        <v>0.0572326684071268</v>
      </c>
      <c r="AG13" s="74">
        <v>0.15</v>
      </c>
      <c r="AH13" s="74">
        <f t="shared" si="26"/>
        <v>0.162892979312592</v>
      </c>
      <c r="AI13" s="74">
        <v>0.02</v>
      </c>
      <c r="AJ13" s="74">
        <f t="shared" si="27"/>
        <v>0.05</v>
      </c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</row>
    <row r="14" spans="1:75">
      <c r="B14" s="49"/>
      <c r="C14" s="49"/>
      <c r="D14" s="49"/>
      <c r="E14" s="49"/>
      <c r="F14" s="72"/>
      <c r="G14" s="72"/>
      <c r="H14" s="79"/>
      <c r="I14" s="72"/>
      <c r="J14" s="71"/>
      <c r="K14" s="74"/>
      <c r="L14" s="74"/>
      <c r="M14" s="74"/>
      <c r="N14" s="74"/>
      <c r="O14" s="75"/>
      <c r="P14" s="74"/>
      <c r="Q14" s="74"/>
      <c r="R14" s="49"/>
      <c r="S14" s="49"/>
      <c r="T14" s="49"/>
      <c r="U14" s="49"/>
      <c r="V14" s="72"/>
      <c r="W14" s="72"/>
      <c r="X14" s="71"/>
      <c r="Y14" s="76"/>
      <c r="Z14" s="77"/>
      <c r="AA14" s="72"/>
      <c r="AB14" s="75"/>
      <c r="AC14" s="49"/>
      <c r="AD14" s="78"/>
      <c r="AE14" s="74"/>
      <c r="AF14" s="74"/>
      <c r="AG14" s="74"/>
      <c r="AH14" s="74"/>
      <c r="AI14" s="74"/>
      <c r="AJ14" s="74"/>
    </row>
    <row r="15" spans="1:75">
      <c r="A15" s="80" t="s">
        <v>35</v>
      </c>
      <c r="B15" s="71">
        <v>8</v>
      </c>
      <c r="C15" s="49" t="s">
        <v>47</v>
      </c>
      <c r="D15" s="49" t="s">
        <v>48</v>
      </c>
      <c r="E15" s="71" t="s">
        <v>38</v>
      </c>
      <c r="F15" s="72">
        <f t="shared" ref="F15:F17" si="28">IF(E15="有",(I15/B15+J15+Z15/B15)/(0.99999-K15-L15-M15-N15),(I15/B15+J15+Z15/B15)/(0.99999-K15-M15-N15))</f>
        <v>48.3880042236</v>
      </c>
      <c r="G15" s="72">
        <f t="shared" ref="G15:G17" si="29">IF(E15="有",(I15/B15+J15+Z15/B15)/(0.8-K15-L15-M15-N15-O15-P15),(I15/B15+J15+Z15/B15)/(0.8-K15-M15-N15-O15-P15))</f>
        <v>84.7102448135176</v>
      </c>
      <c r="H15" s="73">
        <v>89.99</v>
      </c>
      <c r="I15" s="72">
        <f t="shared" ref="I15:I17" si="30">138.5/1.13</f>
        <v>122.566371681416</v>
      </c>
      <c r="J15" s="49">
        <v>7.02</v>
      </c>
      <c r="K15" s="74">
        <v>0.15</v>
      </c>
      <c r="L15" s="74">
        <v>0.16</v>
      </c>
      <c r="M15" s="74">
        <v>0.05</v>
      </c>
      <c r="N15" s="74">
        <f t="shared" ref="N15:N17" si="31">Q15/H15</f>
        <v>0.111123458162018</v>
      </c>
      <c r="O15" s="75">
        <f t="shared" ref="O15:O17" si="32">0.61/H15</f>
        <v>0.0067785309478831</v>
      </c>
      <c r="P15" s="74">
        <v>0.02</v>
      </c>
      <c r="Q15" s="72">
        <v>10</v>
      </c>
      <c r="R15" s="49">
        <v>33.5</v>
      </c>
      <c r="S15" s="49">
        <v>26.5</v>
      </c>
      <c r="T15" s="49">
        <v>25</v>
      </c>
      <c r="U15" s="49">
        <v>2.3</v>
      </c>
      <c r="V15" s="72">
        <f t="shared" ref="V15:V17" si="33">R15*S15*T15/6000</f>
        <v>3.69895833333333</v>
      </c>
      <c r="W15" s="72">
        <f t="shared" ref="W15:W17" si="34">MAX(U15:V15)</f>
        <v>3.69895833333333</v>
      </c>
      <c r="X15" s="49" t="s">
        <v>39</v>
      </c>
      <c r="Y15" s="76">
        <v>5.55136</v>
      </c>
      <c r="Z15" s="77">
        <v>26</v>
      </c>
      <c r="AA15" s="72">
        <f t="shared" ref="AA15:AA17" si="35">H15-SUM(K15:P15)*H15-J15-I15/B15-Z15/B15</f>
        <v>19.593003539823</v>
      </c>
      <c r="AB15" s="75">
        <f t="shared" ref="AB15:AB17" si="36">AA15/H15</f>
        <v>0.217724230912579</v>
      </c>
      <c r="AC15" s="49"/>
      <c r="AD15" s="78">
        <f t="shared" ref="AD15:AD17" si="37">J15/H15</f>
        <v>0.0780086676297366</v>
      </c>
      <c r="AE15" s="74">
        <f t="shared" ref="AE15:AE17" si="38">I15/7.4/H15</f>
        <v>0.1840540415623</v>
      </c>
      <c r="AF15" s="74">
        <f t="shared" ref="AF15:AF17" si="39">Z15/7.4/H15</f>
        <v>0.0390433771920604</v>
      </c>
      <c r="AG15" s="74">
        <v>0.15</v>
      </c>
      <c r="AH15" s="74">
        <f t="shared" ref="AH15:AH17" si="40">N15</f>
        <v>0.111123458162018</v>
      </c>
      <c r="AI15" s="74">
        <v>0.02</v>
      </c>
      <c r="AJ15" s="74">
        <f t="shared" ref="AJ15:AJ17" si="41">M15</f>
        <v>0.05</v>
      </c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</row>
    <row r="16" spans="1:75">
      <c r="A16" s="80" t="s">
        <v>40</v>
      </c>
      <c r="B16" s="71">
        <v>8</v>
      </c>
      <c r="C16" s="71" t="s">
        <v>47</v>
      </c>
      <c r="D16" s="71" t="s">
        <v>48</v>
      </c>
      <c r="E16" s="71" t="s">
        <v>38</v>
      </c>
      <c r="F16" s="72">
        <f t="shared" si="28"/>
        <v>50.251288819543</v>
      </c>
      <c r="G16" s="72">
        <f t="shared" si="29"/>
        <v>90.975984744385</v>
      </c>
      <c r="H16" s="73">
        <f>H15*0.85</f>
        <v>76.4915</v>
      </c>
      <c r="I16" s="72">
        <f t="shared" si="30"/>
        <v>122.566371681416</v>
      </c>
      <c r="J16" s="71">
        <v>7.02</v>
      </c>
      <c r="K16" s="74">
        <v>0.15</v>
      </c>
      <c r="L16" s="74">
        <v>0.16</v>
      </c>
      <c r="M16" s="74">
        <v>0.05</v>
      </c>
      <c r="N16" s="74">
        <f t="shared" si="31"/>
        <v>0.130733480190609</v>
      </c>
      <c r="O16" s="75">
        <f t="shared" si="32"/>
        <v>0.00797474229162718</v>
      </c>
      <c r="P16" s="74">
        <v>0.02</v>
      </c>
      <c r="Q16" s="72">
        <v>10</v>
      </c>
      <c r="R16" s="49">
        <v>33.5</v>
      </c>
      <c r="S16" s="49">
        <v>26.5</v>
      </c>
      <c r="T16" s="49">
        <v>25</v>
      </c>
      <c r="U16" s="49">
        <v>2.3</v>
      </c>
      <c r="V16" s="72">
        <f t="shared" si="33"/>
        <v>3.69895833333333</v>
      </c>
      <c r="W16" s="72">
        <f t="shared" si="34"/>
        <v>3.69895833333333</v>
      </c>
      <c r="X16" s="71" t="s">
        <v>39</v>
      </c>
      <c r="Y16" s="76">
        <v>5.55136</v>
      </c>
      <c r="Z16" s="77">
        <v>26</v>
      </c>
      <c r="AA16" s="72">
        <f t="shared" si="35"/>
        <v>11.223933539823</v>
      </c>
      <c r="AB16" s="75">
        <f t="shared" si="36"/>
        <v>0.146734389308917</v>
      </c>
      <c r="AC16" s="49"/>
      <c r="AD16" s="78">
        <f t="shared" si="37"/>
        <v>0.0917749030938078</v>
      </c>
      <c r="AE16" s="74">
        <f t="shared" si="38"/>
        <v>0.216534166543882</v>
      </c>
      <c r="AF16" s="74">
        <f t="shared" si="39"/>
        <v>0.0459333849318357</v>
      </c>
      <c r="AG16" s="74">
        <v>0.15</v>
      </c>
      <c r="AH16" s="74">
        <f t="shared" si="40"/>
        <v>0.130733480190609</v>
      </c>
      <c r="AI16" s="74">
        <v>0.02</v>
      </c>
      <c r="AJ16" s="74">
        <f t="shared" si="41"/>
        <v>0.05</v>
      </c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</row>
    <row r="17" spans="1:75">
      <c r="A17" s="80" t="s">
        <v>41</v>
      </c>
      <c r="B17" s="49">
        <v>8</v>
      </c>
      <c r="C17" s="71" t="s">
        <v>47</v>
      </c>
      <c r="D17" s="71" t="s">
        <v>48</v>
      </c>
      <c r="E17" s="71" t="s">
        <v>38</v>
      </c>
      <c r="F17" s="72">
        <f t="shared" si="28"/>
        <v>53.6385585122821</v>
      </c>
      <c r="G17" s="72">
        <f t="shared" si="29"/>
        <v>103.534974409196</v>
      </c>
      <c r="H17" s="73">
        <v>61.39</v>
      </c>
      <c r="I17" s="72">
        <f t="shared" si="30"/>
        <v>122.566371681416</v>
      </c>
      <c r="J17" s="71">
        <v>7.02</v>
      </c>
      <c r="K17" s="74">
        <v>0.15</v>
      </c>
      <c r="L17" s="74">
        <v>0.16</v>
      </c>
      <c r="M17" s="74">
        <v>0.05</v>
      </c>
      <c r="N17" s="74">
        <f t="shared" si="31"/>
        <v>0.162892979312592</v>
      </c>
      <c r="O17" s="75">
        <f t="shared" si="32"/>
        <v>0.00993647173806809</v>
      </c>
      <c r="P17" s="74">
        <v>0.02</v>
      </c>
      <c r="Q17" s="72">
        <v>10</v>
      </c>
      <c r="R17" s="49">
        <v>33.5</v>
      </c>
      <c r="S17" s="49">
        <v>26.5</v>
      </c>
      <c r="T17" s="49">
        <v>25</v>
      </c>
      <c r="U17" s="49">
        <v>2.3</v>
      </c>
      <c r="V17" s="72">
        <f t="shared" si="33"/>
        <v>3.69895833333333</v>
      </c>
      <c r="W17" s="72">
        <f t="shared" si="34"/>
        <v>3.69895833333333</v>
      </c>
      <c r="X17" s="71" t="s">
        <v>39</v>
      </c>
      <c r="Y17" s="76">
        <v>5.55136</v>
      </c>
      <c r="Z17" s="77">
        <v>26</v>
      </c>
      <c r="AA17" s="72">
        <f t="shared" si="35"/>
        <v>1.86100353982301</v>
      </c>
      <c r="AB17" s="75">
        <f t="shared" si="36"/>
        <v>0.0303144411113049</v>
      </c>
      <c r="AC17" s="49"/>
      <c r="AD17" s="78">
        <f t="shared" si="37"/>
        <v>0.114350871477439</v>
      </c>
      <c r="AE17" s="74">
        <f t="shared" si="38"/>
        <v>0.269800019550274</v>
      </c>
      <c r="AF17" s="74">
        <f t="shared" si="39"/>
        <v>0.0572326684071268</v>
      </c>
      <c r="AG17" s="74">
        <v>0.15</v>
      </c>
      <c r="AH17" s="74">
        <f t="shared" si="40"/>
        <v>0.162892979312592</v>
      </c>
      <c r="AI17" s="74">
        <v>0.02</v>
      </c>
      <c r="AJ17" s="74">
        <f t="shared" si="41"/>
        <v>0.05</v>
      </c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</row>
    <row r="18" spans="1:75">
      <c r="A18" s="48"/>
      <c r="B18" s="71"/>
      <c r="C18" s="71"/>
      <c r="D18" s="71"/>
      <c r="E18" s="71"/>
      <c r="F18" s="72"/>
      <c r="G18" s="72"/>
      <c r="H18" s="79"/>
      <c r="I18" s="72"/>
      <c r="J18" s="71"/>
      <c r="K18" s="74"/>
      <c r="L18" s="74"/>
      <c r="M18" s="74"/>
      <c r="N18" s="74"/>
      <c r="O18" s="75"/>
      <c r="P18" s="74"/>
      <c r="Q18" s="74"/>
      <c r="R18" s="49"/>
      <c r="S18" s="49"/>
      <c r="T18" s="49"/>
      <c r="U18" s="49"/>
      <c r="V18" s="72"/>
      <c r="W18" s="72"/>
      <c r="X18" s="71"/>
      <c r="Y18" s="76"/>
      <c r="Z18" s="77"/>
      <c r="AA18" s="72"/>
      <c r="AB18" s="75"/>
      <c r="AC18" s="49"/>
      <c r="AD18" s="78"/>
      <c r="AE18" s="74"/>
      <c r="AF18" s="74"/>
      <c r="AG18" s="74"/>
      <c r="AH18" s="74"/>
      <c r="AI18" s="74"/>
      <c r="AJ18" s="74"/>
    </row>
    <row r="19" spans="1:75">
      <c r="A19" s="80" t="s">
        <v>35</v>
      </c>
      <c r="B19" s="49">
        <v>9</v>
      </c>
      <c r="C19" s="71" t="s">
        <v>49</v>
      </c>
      <c r="D19" s="71" t="s">
        <v>50</v>
      </c>
      <c r="E19" s="71" t="s">
        <v>38</v>
      </c>
      <c r="F19" s="72">
        <f t="shared" ref="F19:F21" si="42">IF(E19="有",(I19/B19+J19+Z19/B19)/(0.99999-K19-L19-M19-N19),(I19/B19+J19+Z19/B19)/(0.99999-K19-M19-N19))</f>
        <v>45.1890542588739</v>
      </c>
      <c r="G19" s="72">
        <f t="shared" ref="G19:G21" si="43">IF(E19="有",(I19/B19+J19+Z19/B19)/(0.8-K19-L19-M19-N19-O19-P19),(I19/B19+J19+Z19/B19)/(0.8-K19-M19-N19-O19-P19))</f>
        <v>83.6939736632179</v>
      </c>
      <c r="H19" s="73">
        <v>69.99</v>
      </c>
      <c r="I19" s="72">
        <f t="shared" ref="I19:I21" si="44">138.5/1.13</f>
        <v>122.566371681416</v>
      </c>
      <c r="J19" s="71">
        <v>5.19</v>
      </c>
      <c r="K19" s="74">
        <v>0.15</v>
      </c>
      <c r="L19" s="74">
        <v>0.16</v>
      </c>
      <c r="M19" s="74">
        <v>0.05</v>
      </c>
      <c r="N19" s="74">
        <f t="shared" ref="N19:N21" si="45">Q19/H19</f>
        <v>0.142877553936277</v>
      </c>
      <c r="O19" s="75">
        <f t="shared" ref="O19:O21" si="46">0.61/H19</f>
        <v>0.00871553079011287</v>
      </c>
      <c r="P19" s="74">
        <v>0.02</v>
      </c>
      <c r="Q19" s="72">
        <v>10</v>
      </c>
      <c r="R19" s="49">
        <v>33.5</v>
      </c>
      <c r="S19" s="49">
        <v>26.5</v>
      </c>
      <c r="T19" s="49">
        <v>25</v>
      </c>
      <c r="U19" s="49">
        <v>2.3</v>
      </c>
      <c r="V19" s="72">
        <f t="shared" ref="V19:V21" si="47">R19*S19*T19/6000</f>
        <v>3.69895833333333</v>
      </c>
      <c r="W19" s="72">
        <f t="shared" ref="W19:W21" si="48">MAX(U19:V19)</f>
        <v>3.69895833333333</v>
      </c>
      <c r="X19" s="71" t="s">
        <v>39</v>
      </c>
      <c r="Y19" s="76">
        <v>6.084</v>
      </c>
      <c r="Z19" s="77">
        <v>32.9</v>
      </c>
      <c r="AA19" s="72">
        <f t="shared" ref="AA19:AA21" si="49">H19-SUM(K19:P19)*H19-J19-I19/B19-Z19/B19</f>
        <v>10.3197587020649</v>
      </c>
      <c r="AB19" s="75">
        <f t="shared" ref="AB19:AB21" si="50">AA19/H19</f>
        <v>0.147446188056364</v>
      </c>
      <c r="AC19" s="49"/>
      <c r="AD19" s="78">
        <f t="shared" ref="AD19:AD21" si="51">J19/H19</f>
        <v>0.0741534504929276</v>
      </c>
      <c r="AE19" s="74">
        <f t="shared" ref="AE19:AE21" si="52">I19/7.4/H19</f>
        <v>0.236648424063314</v>
      </c>
      <c r="AF19" s="74">
        <f t="shared" ref="AF19:AF21" si="53">Z19/7.4/H19</f>
        <v>0.0635225881689662</v>
      </c>
      <c r="AG19" s="74">
        <v>0.15</v>
      </c>
      <c r="AH19" s="74">
        <f t="shared" ref="AH19:AH21" si="54">N19</f>
        <v>0.142877553936277</v>
      </c>
      <c r="AI19" s="74">
        <v>0.02</v>
      </c>
      <c r="AJ19" s="74">
        <f t="shared" ref="AJ19:AJ21" si="55">M19</f>
        <v>0.05</v>
      </c>
    </row>
    <row r="20" spans="1:75">
      <c r="A20" s="80" t="s">
        <v>40</v>
      </c>
      <c r="B20" s="49">
        <v>9</v>
      </c>
      <c r="C20" s="71" t="s">
        <v>49</v>
      </c>
      <c r="D20" s="71" t="s">
        <v>50</v>
      </c>
      <c r="E20" s="71" t="s">
        <v>38</v>
      </c>
      <c r="F20" s="72">
        <f t="shared" si="42"/>
        <v>47.6035183783198</v>
      </c>
      <c r="G20" s="72">
        <f t="shared" si="43"/>
        <v>92.9590665329366</v>
      </c>
      <c r="H20" s="73">
        <f>H19*0.85</f>
        <v>59.4915</v>
      </c>
      <c r="I20" s="72">
        <f t="shared" si="44"/>
        <v>122.566371681416</v>
      </c>
      <c r="J20" s="71">
        <v>5.19</v>
      </c>
      <c r="K20" s="74">
        <v>0.15</v>
      </c>
      <c r="L20" s="74">
        <v>0.16</v>
      </c>
      <c r="M20" s="74">
        <v>0.05</v>
      </c>
      <c r="N20" s="74">
        <f t="shared" si="45"/>
        <v>0.168091239925031</v>
      </c>
      <c r="O20" s="75">
        <f t="shared" si="46"/>
        <v>0.0102535656354269</v>
      </c>
      <c r="P20" s="74">
        <v>0.02</v>
      </c>
      <c r="Q20" s="72">
        <v>10</v>
      </c>
      <c r="R20" s="49">
        <v>33.5</v>
      </c>
      <c r="S20" s="49">
        <v>26.5</v>
      </c>
      <c r="T20" s="49">
        <v>25</v>
      </c>
      <c r="U20" s="49">
        <v>2.3</v>
      </c>
      <c r="V20" s="72">
        <f t="shared" si="47"/>
        <v>3.69895833333333</v>
      </c>
      <c r="W20" s="72">
        <f t="shared" si="48"/>
        <v>3.69895833333333</v>
      </c>
      <c r="X20" s="71" t="s">
        <v>39</v>
      </c>
      <c r="Y20" s="76">
        <v>6.084</v>
      </c>
      <c r="Z20" s="77">
        <v>32.9</v>
      </c>
      <c r="AA20" s="72">
        <f t="shared" si="49"/>
        <v>3.81068870206489</v>
      </c>
      <c r="AB20" s="75">
        <f t="shared" si="50"/>
        <v>0.0640543388898396</v>
      </c>
      <c r="AC20" s="49"/>
      <c r="AD20" s="78">
        <f t="shared" si="51"/>
        <v>0.0872393535210913</v>
      </c>
      <c r="AE20" s="74">
        <f t="shared" si="52"/>
        <v>0.278409910662722</v>
      </c>
      <c r="AF20" s="74">
        <f t="shared" si="53"/>
        <v>0.074732456669372</v>
      </c>
      <c r="AG20" s="74">
        <v>0.15</v>
      </c>
      <c r="AH20" s="74">
        <f t="shared" si="54"/>
        <v>0.168091239925031</v>
      </c>
      <c r="AI20" s="74">
        <v>0.02</v>
      </c>
      <c r="AJ20" s="74">
        <f t="shared" si="55"/>
        <v>0.05</v>
      </c>
    </row>
    <row r="21" spans="1:75">
      <c r="A21" s="80" t="s">
        <v>41</v>
      </c>
      <c r="B21" s="49">
        <v>9</v>
      </c>
      <c r="C21" s="71" t="s">
        <v>49</v>
      </c>
      <c r="D21" s="71" t="s">
        <v>50</v>
      </c>
      <c r="E21" s="71" t="s">
        <v>38</v>
      </c>
      <c r="F21" s="72">
        <f t="shared" si="42"/>
        <v>48.6874280592246</v>
      </c>
      <c r="G21" s="72">
        <f t="shared" si="43"/>
        <v>97.4542251394617</v>
      </c>
      <c r="H21" s="73">
        <f>H19*0.8</f>
        <v>55.992</v>
      </c>
      <c r="I21" s="72">
        <f t="shared" si="44"/>
        <v>122.566371681416</v>
      </c>
      <c r="J21" s="71">
        <v>5.19</v>
      </c>
      <c r="K21" s="74">
        <v>0.15</v>
      </c>
      <c r="L21" s="74">
        <v>0.16</v>
      </c>
      <c r="M21" s="74">
        <v>0.05</v>
      </c>
      <c r="N21" s="74">
        <f t="shared" si="45"/>
        <v>0.178596942420346</v>
      </c>
      <c r="O21" s="75">
        <f t="shared" si="46"/>
        <v>0.0108944134876411</v>
      </c>
      <c r="P21" s="74">
        <v>0.02</v>
      </c>
      <c r="Q21" s="72">
        <v>10</v>
      </c>
      <c r="R21" s="49">
        <v>33.5</v>
      </c>
      <c r="S21" s="49">
        <v>26.5</v>
      </c>
      <c r="T21" s="49">
        <v>25</v>
      </c>
      <c r="U21" s="49">
        <v>2.3</v>
      </c>
      <c r="V21" s="72">
        <f t="shared" si="47"/>
        <v>3.69895833333333</v>
      </c>
      <c r="W21" s="72">
        <f t="shared" si="48"/>
        <v>3.69895833333333</v>
      </c>
      <c r="X21" s="71" t="s">
        <v>39</v>
      </c>
      <c r="Y21" s="76">
        <v>6.084</v>
      </c>
      <c r="Z21" s="77">
        <v>32.9</v>
      </c>
      <c r="AA21" s="72">
        <f t="shared" si="49"/>
        <v>1.64099870206489</v>
      </c>
      <c r="AB21" s="75">
        <f t="shared" si="50"/>
        <v>0.0293077350704546</v>
      </c>
      <c r="AC21" s="49"/>
      <c r="AD21" s="78">
        <f t="shared" si="51"/>
        <v>0.0926918131161595</v>
      </c>
      <c r="AE21" s="74">
        <f t="shared" si="52"/>
        <v>0.295810530079142</v>
      </c>
      <c r="AF21" s="74">
        <f t="shared" si="53"/>
        <v>0.0794032352112078</v>
      </c>
      <c r="AG21" s="74">
        <v>0.15</v>
      </c>
      <c r="AH21" s="74">
        <f t="shared" si="54"/>
        <v>0.178596942420346</v>
      </c>
      <c r="AI21" s="74">
        <v>0.02</v>
      </c>
      <c r="AJ21" s="74">
        <f t="shared" si="55"/>
        <v>0.05</v>
      </c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</row>
    <row r="22" spans="1:75">
      <c r="B22" s="71"/>
      <c r="C22" s="71"/>
      <c r="D22" s="71"/>
      <c r="E22" s="71"/>
      <c r="F22" s="72"/>
      <c r="G22" s="72"/>
      <c r="H22" s="79"/>
      <c r="I22" s="72"/>
      <c r="J22" s="71"/>
      <c r="K22" s="74"/>
      <c r="L22" s="74"/>
      <c r="M22" s="74"/>
      <c r="N22" s="74"/>
      <c r="O22" s="75"/>
      <c r="P22" s="74"/>
      <c r="Q22" s="74"/>
      <c r="R22" s="49"/>
      <c r="S22" s="49"/>
      <c r="T22" s="49"/>
      <c r="U22" s="49"/>
      <c r="V22" s="72"/>
      <c r="W22" s="72"/>
      <c r="X22" s="71"/>
      <c r="Y22" s="76"/>
      <c r="Z22" s="72"/>
      <c r="AA22" s="72"/>
      <c r="AB22" s="75"/>
      <c r="AC22" s="49"/>
      <c r="AD22" s="78"/>
      <c r="AE22" s="74"/>
      <c r="AF22" s="74"/>
      <c r="AG22" s="74"/>
      <c r="AH22" s="74"/>
      <c r="AI22" s="74"/>
      <c r="AJ22" s="74"/>
    </row>
    <row r="23" spans="1:75">
      <c r="A23" s="81" t="s">
        <v>51</v>
      </c>
      <c r="B23" s="49">
        <v>8</v>
      </c>
      <c r="C23" s="71" t="s">
        <v>36</v>
      </c>
      <c r="D23" s="71" t="s">
        <v>37</v>
      </c>
      <c r="E23" s="71" t="s">
        <v>38</v>
      </c>
      <c r="F23" s="72">
        <f t="shared" ref="F23:F26" si="56">IF(E23="有",(I23/B23+J23+Z23/B23)/(0.99999-K23-L23-M23-N23),(I23/B23+J23+Z23/B23)/(0.99999-K23-M23-N23))</f>
        <v>27.8828506411451</v>
      </c>
      <c r="G23" s="72">
        <f t="shared" ref="G23:G26" si="57">IF(E23="有",(I23/B23+J23+Z23/B23)/(0.8-K23-L23-M23-N23-O23-P23),(I23/B23+J23+Z23/B23)/(0.8-K23-M23-N23-O23-P23))</f>
        <v>47.0265397542386</v>
      </c>
      <c r="H23" s="73">
        <v>39.99</v>
      </c>
      <c r="I23" s="72">
        <f t="shared" ref="I23:I26" si="58">100.1/1.13</f>
        <v>88.5840707964602</v>
      </c>
      <c r="J23" s="49">
        <v>3.68</v>
      </c>
      <c r="K23" s="74">
        <v>0.15</v>
      </c>
      <c r="L23" s="74">
        <v>0.16</v>
      </c>
      <c r="M23" s="74">
        <v>0.05</v>
      </c>
      <c r="N23" s="74">
        <f t="shared" ref="N23:N26" si="59">Q23/H23</f>
        <v>0.0750187546886722</v>
      </c>
      <c r="O23" s="75">
        <v>0.01</v>
      </c>
      <c r="P23" s="74">
        <v>0.02</v>
      </c>
      <c r="Q23" s="72">
        <v>3</v>
      </c>
      <c r="R23" s="49"/>
      <c r="S23" s="49"/>
      <c r="T23" s="49"/>
      <c r="U23" s="49"/>
      <c r="V23" s="72"/>
      <c r="W23" s="72"/>
      <c r="X23" s="49" t="s">
        <v>39</v>
      </c>
      <c r="Y23" s="76">
        <v>5.55136</v>
      </c>
      <c r="Z23" s="77">
        <v>8</v>
      </c>
      <c r="AA23" s="72">
        <f t="shared" ref="AA23:AA26" si="60">H23-SUM(K23:P23)*H23-J23-I23/B23-Z23/B23</f>
        <v>5.64089115044248</v>
      </c>
      <c r="AB23" s="75">
        <f t="shared" ref="AB23:AB26" si="61">AA23/H23</f>
        <v>0.141057543146849</v>
      </c>
      <c r="AC23" s="49"/>
      <c r="AD23" s="78">
        <f t="shared" ref="AD23:AD26" si="62">J23/H23</f>
        <v>0.0920230057514379</v>
      </c>
      <c r="AE23" s="74">
        <f t="shared" ref="AE23:AE28" si="63">I23/7.4/H23</f>
        <v>0.299345345783947</v>
      </c>
      <c r="AF23" s="74">
        <f t="shared" ref="AF23:AF28" si="64">Z23/7.4/H23</f>
        <v>0.0270337854733954</v>
      </c>
      <c r="AG23" s="74">
        <v>0.15</v>
      </c>
      <c r="AH23" s="74">
        <f t="shared" ref="AH23:AH26" si="65">N23</f>
        <v>0.0750187546886722</v>
      </c>
      <c r="AI23" s="74">
        <v>0.02</v>
      </c>
      <c r="AJ23" s="74">
        <f t="shared" ref="AJ23:AJ26" si="66">M23</f>
        <v>0.05</v>
      </c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</row>
    <row r="24" spans="1:75">
      <c r="A24" s="81" t="s">
        <v>52</v>
      </c>
      <c r="B24" s="71">
        <v>8</v>
      </c>
      <c r="C24" s="71" t="s">
        <v>36</v>
      </c>
      <c r="D24" s="71" t="s">
        <v>37</v>
      </c>
      <c r="E24" s="71" t="s">
        <v>38</v>
      </c>
      <c r="F24" s="72">
        <f t="shared" si="56"/>
        <v>28.3003860938266</v>
      </c>
      <c r="G24" s="72">
        <f t="shared" si="57"/>
        <v>48.2265729216416</v>
      </c>
      <c r="H24" s="73">
        <f>H23*0.9</f>
        <v>35.991</v>
      </c>
      <c r="I24" s="72">
        <f t="shared" si="58"/>
        <v>88.5840707964602</v>
      </c>
      <c r="J24" s="71">
        <v>3.68</v>
      </c>
      <c r="K24" s="74">
        <v>0.15</v>
      </c>
      <c r="L24" s="74">
        <v>0.16</v>
      </c>
      <c r="M24" s="74">
        <v>0.05</v>
      </c>
      <c r="N24" s="74">
        <f t="shared" si="59"/>
        <v>0.0833541718763024</v>
      </c>
      <c r="O24" s="75">
        <v>0.01</v>
      </c>
      <c r="P24" s="74">
        <v>0.02</v>
      </c>
      <c r="Q24" s="72">
        <v>3</v>
      </c>
      <c r="R24" s="49"/>
      <c r="S24" s="49"/>
      <c r="T24" s="49"/>
      <c r="U24" s="49"/>
      <c r="V24" s="72"/>
      <c r="W24" s="72"/>
      <c r="X24" s="71" t="s">
        <v>39</v>
      </c>
      <c r="Y24" s="76">
        <v>5.55136</v>
      </c>
      <c r="Z24" s="77">
        <v>8</v>
      </c>
      <c r="AA24" s="72">
        <f t="shared" si="60"/>
        <v>3.20150115044248</v>
      </c>
      <c r="AB24" s="75">
        <f t="shared" si="61"/>
        <v>0.0889528257187207</v>
      </c>
      <c r="AC24" s="49"/>
      <c r="AD24" s="78">
        <f t="shared" si="62"/>
        <v>0.102247784168264</v>
      </c>
      <c r="AE24" s="74">
        <f t="shared" ref="AE24:AE30" si="67">I24/B24/H24</f>
        <v>0.307660494277945</v>
      </c>
      <c r="AF24" s="74">
        <f t="shared" ref="AF24:AF30" si="68">Z24/B24/H24</f>
        <v>0.0277847239587675</v>
      </c>
      <c r="AG24" s="74">
        <f t="shared" ref="AG24:AG30" si="69">K24</f>
        <v>0.15</v>
      </c>
      <c r="AH24" s="74">
        <f t="shared" si="65"/>
        <v>0.0833541718763024</v>
      </c>
      <c r="AI24" s="74">
        <v>0.02</v>
      </c>
      <c r="AJ24" s="74">
        <f t="shared" si="66"/>
        <v>0.05</v>
      </c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</row>
    <row r="25" spans="1:75">
      <c r="A25" s="81" t="s">
        <v>53</v>
      </c>
      <c r="B25" s="71">
        <v>8</v>
      </c>
      <c r="C25" s="71" t="s">
        <v>36</v>
      </c>
      <c r="D25" s="71" t="s">
        <v>37</v>
      </c>
      <c r="E25" s="71" t="s">
        <v>38</v>
      </c>
      <c r="F25" s="72">
        <f t="shared" si="56"/>
        <v>24.6144609283856</v>
      </c>
      <c r="G25" s="72">
        <f t="shared" si="57"/>
        <v>38.4219728037988</v>
      </c>
      <c r="H25" s="82">
        <f>H23*0.85</f>
        <v>33.9915</v>
      </c>
      <c r="I25" s="72">
        <f t="shared" si="58"/>
        <v>88.5840707964602</v>
      </c>
      <c r="J25" s="71">
        <v>3.68</v>
      </c>
      <c r="K25" s="74">
        <v>0.15</v>
      </c>
      <c r="L25" s="74">
        <v>0.16</v>
      </c>
      <c r="M25" s="74">
        <v>0.05</v>
      </c>
      <c r="N25" s="74">
        <f t="shared" si="59"/>
        <v>0</v>
      </c>
      <c r="O25" s="75">
        <v>0.01</v>
      </c>
      <c r="P25" s="74">
        <v>0.02</v>
      </c>
      <c r="Q25" s="72">
        <v>0</v>
      </c>
      <c r="R25" s="49"/>
      <c r="S25" s="49"/>
      <c r="T25" s="49"/>
      <c r="U25" s="49"/>
      <c r="V25" s="72"/>
      <c r="W25" s="72"/>
      <c r="X25" s="71" t="s">
        <v>39</v>
      </c>
      <c r="Y25" s="76">
        <v>5.55136</v>
      </c>
      <c r="Z25" s="77">
        <v>8</v>
      </c>
      <c r="AA25" s="72">
        <f t="shared" si="60"/>
        <v>4.98180615044248</v>
      </c>
      <c r="AB25" s="75">
        <f t="shared" si="61"/>
        <v>0.14656035039473</v>
      </c>
      <c r="AC25" s="49"/>
      <c r="AD25" s="78">
        <f t="shared" si="62"/>
        <v>0.108262359707574</v>
      </c>
      <c r="AE25" s="74">
        <f t="shared" si="67"/>
        <v>0.325758170411942</v>
      </c>
      <c r="AF25" s="74">
        <f t="shared" si="68"/>
        <v>0.0294191194857538</v>
      </c>
      <c r="AG25" s="74">
        <f t="shared" si="69"/>
        <v>0.15</v>
      </c>
      <c r="AH25" s="74">
        <f t="shared" si="65"/>
        <v>0</v>
      </c>
      <c r="AI25" s="74">
        <v>0.02</v>
      </c>
      <c r="AJ25" s="74">
        <f t="shared" si="66"/>
        <v>0.05</v>
      </c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</row>
    <row r="26" spans="1:75">
      <c r="A26" s="81" t="s">
        <v>54</v>
      </c>
      <c r="B26" s="71">
        <v>8</v>
      </c>
      <c r="C26" s="71" t="s">
        <v>36</v>
      </c>
      <c r="D26" s="71" t="s">
        <v>37</v>
      </c>
      <c r="E26" s="71" t="s">
        <v>38</v>
      </c>
      <c r="F26" s="72">
        <f t="shared" si="56"/>
        <v>24.6144609283856</v>
      </c>
      <c r="G26" s="72">
        <f t="shared" si="57"/>
        <v>38.4219728037988</v>
      </c>
      <c r="H26" s="73">
        <v>29.99</v>
      </c>
      <c r="I26" s="72">
        <f t="shared" si="58"/>
        <v>88.5840707964602</v>
      </c>
      <c r="J26" s="71">
        <v>3.68</v>
      </c>
      <c r="K26" s="74">
        <v>0.15</v>
      </c>
      <c r="L26" s="74">
        <v>0.16</v>
      </c>
      <c r="M26" s="74">
        <v>0.05</v>
      </c>
      <c r="N26" s="74">
        <f t="shared" si="59"/>
        <v>0</v>
      </c>
      <c r="O26" s="75">
        <v>0.01</v>
      </c>
      <c r="P26" s="74">
        <v>0.02</v>
      </c>
      <c r="Q26" s="72">
        <v>0</v>
      </c>
      <c r="R26" s="49"/>
      <c r="S26" s="49"/>
      <c r="T26" s="49"/>
      <c r="U26" s="49"/>
      <c r="V26" s="72"/>
      <c r="W26" s="72"/>
      <c r="X26" s="71" t="s">
        <v>39</v>
      </c>
      <c r="Y26" s="76">
        <v>5.55136</v>
      </c>
      <c r="Z26" s="77">
        <v>8</v>
      </c>
      <c r="AA26" s="72">
        <f t="shared" si="60"/>
        <v>2.54089115044248</v>
      </c>
      <c r="AB26" s="75">
        <f t="shared" si="61"/>
        <v>0.0847246132191557</v>
      </c>
      <c r="AC26" s="49"/>
      <c r="AD26" s="78">
        <f t="shared" si="62"/>
        <v>0.12270756918973</v>
      </c>
      <c r="AE26" s="74">
        <f t="shared" si="63"/>
        <v>0.399160399396466</v>
      </c>
      <c r="AF26" s="74">
        <f t="shared" si="64"/>
        <v>0.0360480520533872</v>
      </c>
      <c r="AG26" s="74">
        <v>0.15</v>
      </c>
      <c r="AH26" s="74">
        <f t="shared" si="65"/>
        <v>0</v>
      </c>
      <c r="AI26" s="74">
        <v>0.02</v>
      </c>
      <c r="AJ26" s="74">
        <f t="shared" si="66"/>
        <v>0.05</v>
      </c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</row>
    <row r="27" ht="21" customHeight="1" spans="1:75">
      <c r="E27" s="71"/>
      <c r="F27" s="72"/>
      <c r="G27" s="72"/>
      <c r="H27" s="71"/>
      <c r="I27" s="72"/>
      <c r="J27" s="71"/>
      <c r="K27" s="74"/>
      <c r="L27" s="74"/>
      <c r="M27" s="74"/>
      <c r="N27" s="74"/>
      <c r="O27" s="75"/>
      <c r="P27" s="74"/>
      <c r="Q27" s="74"/>
      <c r="R27" s="49"/>
      <c r="S27" s="49"/>
      <c r="T27" s="49"/>
      <c r="U27" s="49"/>
      <c r="V27" s="72"/>
      <c r="W27" s="72"/>
      <c r="X27" s="71"/>
      <c r="Y27" s="76"/>
      <c r="Z27" s="72"/>
      <c r="AA27" s="72"/>
      <c r="AB27" s="75"/>
      <c r="AC27" s="49"/>
      <c r="AD27" s="78"/>
      <c r="AE27" s="74"/>
      <c r="AF27" s="74"/>
      <c r="AG27" s="74"/>
      <c r="AH27" s="74"/>
      <c r="AI27" s="74"/>
      <c r="AJ27" s="74"/>
    </row>
    <row r="28" spans="1:75">
      <c r="A28" s="81" t="s">
        <v>51</v>
      </c>
      <c r="B28" s="71">
        <v>8</v>
      </c>
      <c r="C28" s="49" t="s">
        <v>42</v>
      </c>
      <c r="D28" s="49" t="s">
        <v>43</v>
      </c>
      <c r="E28" s="71" t="s">
        <v>38</v>
      </c>
      <c r="F28" s="72">
        <f t="shared" ref="F28:F31" si="70">IF(E28="有",(I28/B28+J28+Z28/B28)/(0.99999-K28-L28-M28-N28),(I28/B28+J28+Z28/B28)/(0.99999-K28-M28-N28))</f>
        <v>31.794554145245</v>
      </c>
      <c r="G28" s="72">
        <f t="shared" ref="G28:G31" si="71">IF(E28="有",(I28/B28+J28+Z28/B28)/(0.8-K28-L28-M28-N28-O28-P28),(I28/B28+J28+Z28/B28)/(0.8-K28-M28-N28-O28-P28))</f>
        <v>53.6239240285315</v>
      </c>
      <c r="H28" s="73">
        <v>39.99</v>
      </c>
      <c r="I28" s="72">
        <f t="shared" ref="I28:I31" si="72">100.1/1.13</f>
        <v>88.5840707964602</v>
      </c>
      <c r="J28" s="49">
        <v>5.89</v>
      </c>
      <c r="K28" s="74">
        <v>0.15</v>
      </c>
      <c r="L28" s="74">
        <v>0.16</v>
      </c>
      <c r="M28" s="74">
        <v>0.05</v>
      </c>
      <c r="N28" s="74">
        <f t="shared" ref="N28:N31" si="73">Q28/H28</f>
        <v>0.0750187546886722</v>
      </c>
      <c r="O28" s="75">
        <v>0.01</v>
      </c>
      <c r="P28" s="74">
        <v>0.02</v>
      </c>
      <c r="Q28" s="72">
        <v>3</v>
      </c>
      <c r="R28" s="49"/>
      <c r="S28" s="49"/>
      <c r="T28" s="49"/>
      <c r="U28" s="49"/>
      <c r="V28" s="72"/>
      <c r="W28" s="72"/>
      <c r="X28" s="49" t="s">
        <v>39</v>
      </c>
      <c r="Y28" s="76">
        <v>5.55136</v>
      </c>
      <c r="Z28" s="77">
        <v>8</v>
      </c>
      <c r="AA28" s="72">
        <f t="shared" ref="AA28:AA31" si="74">H28-SUM(K28:P28)*H28-J28-I28/B28-Z28/B28</f>
        <v>3.43089115044248</v>
      </c>
      <c r="AB28" s="75">
        <f t="shared" ref="AB28:AB31" si="75">AA28/H28</f>
        <v>0.0857937271928602</v>
      </c>
      <c r="AC28" s="49"/>
      <c r="AD28" s="78">
        <f t="shared" ref="AD28:AD31" si="76">J28/H28</f>
        <v>0.147286821705426</v>
      </c>
      <c r="AE28" s="74">
        <f t="shared" si="63"/>
        <v>0.299345345783947</v>
      </c>
      <c r="AF28" s="74">
        <f t="shared" si="64"/>
        <v>0.0270337854733954</v>
      </c>
      <c r="AG28" s="74">
        <v>0.15</v>
      </c>
      <c r="AH28" s="74">
        <f t="shared" ref="AH28:AH31" si="77">N28</f>
        <v>0.0750187546886722</v>
      </c>
      <c r="AI28" s="74">
        <v>0.02</v>
      </c>
      <c r="AJ28" s="74">
        <f t="shared" ref="AJ28:AJ31" si="78">M28</f>
        <v>0.05</v>
      </c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</row>
    <row r="29" spans="1:75">
      <c r="A29" s="81" t="s">
        <v>52</v>
      </c>
      <c r="B29" s="71">
        <v>8</v>
      </c>
      <c r="C29" s="71" t="s">
        <v>42</v>
      </c>
      <c r="D29" s="71" t="s">
        <v>43</v>
      </c>
      <c r="E29" s="71" t="s">
        <v>38</v>
      </c>
      <c r="F29" s="72">
        <f t="shared" si="70"/>
        <v>32.2706659219315</v>
      </c>
      <c r="G29" s="72">
        <f t="shared" si="71"/>
        <v>54.9923106403646</v>
      </c>
      <c r="H29" s="73">
        <f>H28*0.9</f>
        <v>35.991</v>
      </c>
      <c r="I29" s="72">
        <f t="shared" si="72"/>
        <v>88.5840707964602</v>
      </c>
      <c r="J29" s="71">
        <v>5.89</v>
      </c>
      <c r="K29" s="74">
        <v>0.15</v>
      </c>
      <c r="L29" s="74">
        <v>0.16</v>
      </c>
      <c r="M29" s="74">
        <v>0.05</v>
      </c>
      <c r="N29" s="74">
        <f t="shared" si="73"/>
        <v>0.0833541718763024</v>
      </c>
      <c r="O29" s="75">
        <v>0.01</v>
      </c>
      <c r="P29" s="74">
        <v>0.02</v>
      </c>
      <c r="Q29" s="72">
        <v>3</v>
      </c>
      <c r="R29" s="49"/>
      <c r="S29" s="49"/>
      <c r="T29" s="49"/>
      <c r="U29" s="49"/>
      <c r="V29" s="72"/>
      <c r="W29" s="72"/>
      <c r="X29" s="71" t="s">
        <v>39</v>
      </c>
      <c r="Y29" s="76">
        <v>5.55136</v>
      </c>
      <c r="Z29" s="77">
        <v>8</v>
      </c>
      <c r="AA29" s="72">
        <f t="shared" si="74"/>
        <v>0.991501150442476</v>
      </c>
      <c r="AB29" s="75">
        <f t="shared" si="75"/>
        <v>0.0275485857698446</v>
      </c>
      <c r="AC29" s="49"/>
      <c r="AD29" s="78">
        <f t="shared" si="76"/>
        <v>0.16365202411714</v>
      </c>
      <c r="AE29" s="74">
        <f t="shared" si="67"/>
        <v>0.307660494277945</v>
      </c>
      <c r="AF29" s="74">
        <f t="shared" si="68"/>
        <v>0.0277847239587675</v>
      </c>
      <c r="AG29" s="74">
        <f t="shared" si="69"/>
        <v>0.15</v>
      </c>
      <c r="AH29" s="74">
        <f t="shared" si="77"/>
        <v>0.0833541718763024</v>
      </c>
      <c r="AI29" s="74">
        <v>0.02</v>
      </c>
      <c r="AJ29" s="74">
        <f t="shared" si="78"/>
        <v>0.05</v>
      </c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</row>
    <row r="30" spans="1:75">
      <c r="A30" s="81" t="s">
        <v>53</v>
      </c>
      <c r="B30" s="71">
        <v>8</v>
      </c>
      <c r="C30" s="71" t="s">
        <v>42</v>
      </c>
      <c r="D30" s="71" t="s">
        <v>43</v>
      </c>
      <c r="E30" s="71" t="s">
        <v>38</v>
      </c>
      <c r="F30" s="72">
        <f t="shared" si="70"/>
        <v>32.5574517384541</v>
      </c>
      <c r="G30" s="72">
        <f t="shared" si="71"/>
        <v>55.8303641799727</v>
      </c>
      <c r="H30" s="82">
        <f>H28*0.85</f>
        <v>33.9915</v>
      </c>
      <c r="I30" s="72">
        <f t="shared" si="72"/>
        <v>88.5840707964602</v>
      </c>
      <c r="J30" s="71">
        <v>5.89</v>
      </c>
      <c r="K30" s="74">
        <v>0.15</v>
      </c>
      <c r="L30" s="74">
        <v>0.16</v>
      </c>
      <c r="M30" s="74">
        <v>0.05</v>
      </c>
      <c r="N30" s="74">
        <f t="shared" si="73"/>
        <v>0.0882573584572614</v>
      </c>
      <c r="O30" s="75">
        <v>0.01</v>
      </c>
      <c r="P30" s="74">
        <v>0.02</v>
      </c>
      <c r="Q30" s="72">
        <v>3</v>
      </c>
      <c r="R30" s="49"/>
      <c r="S30" s="49"/>
      <c r="T30" s="49"/>
      <c r="U30" s="49"/>
      <c r="V30" s="72"/>
      <c r="W30" s="72"/>
      <c r="X30" s="71" t="s">
        <v>39</v>
      </c>
      <c r="Y30" s="76">
        <v>5.55136</v>
      </c>
      <c r="Z30" s="77">
        <v>8</v>
      </c>
      <c r="AA30" s="72">
        <f t="shared" si="74"/>
        <v>-0.228193849557522</v>
      </c>
      <c r="AB30" s="75">
        <f t="shared" si="75"/>
        <v>-0.00671326212604687</v>
      </c>
      <c r="AC30" s="49"/>
      <c r="AD30" s="78">
        <f t="shared" si="76"/>
        <v>0.17327861377109</v>
      </c>
      <c r="AE30" s="74">
        <f t="shared" si="67"/>
        <v>0.325758170411942</v>
      </c>
      <c r="AF30" s="74">
        <f t="shared" si="68"/>
        <v>0.0294191194857538</v>
      </c>
      <c r="AG30" s="74">
        <f t="shared" si="69"/>
        <v>0.15</v>
      </c>
      <c r="AH30" s="74">
        <f t="shared" si="77"/>
        <v>0.0882573584572614</v>
      </c>
      <c r="AI30" s="74">
        <v>0.02</v>
      </c>
      <c r="AJ30" s="74">
        <f t="shared" si="78"/>
        <v>0.05</v>
      </c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</row>
    <row r="31" spans="1:75">
      <c r="A31" s="81" t="s">
        <v>54</v>
      </c>
      <c r="B31" s="71">
        <v>8</v>
      </c>
      <c r="C31" s="71" t="s">
        <v>42</v>
      </c>
      <c r="D31" s="71" t="s">
        <v>43</v>
      </c>
      <c r="E31" s="71" t="s">
        <v>38</v>
      </c>
      <c r="F31" s="72">
        <f t="shared" si="70"/>
        <v>32.8862401390447</v>
      </c>
      <c r="G31" s="72">
        <f t="shared" si="71"/>
        <v>56.8042388358128</v>
      </c>
      <c r="H31" s="73">
        <f>H28*0.8</f>
        <v>31.992</v>
      </c>
      <c r="I31" s="72">
        <f t="shared" si="72"/>
        <v>88.5840707964602</v>
      </c>
      <c r="J31" s="71">
        <v>5.89</v>
      </c>
      <c r="K31" s="74">
        <v>0.15</v>
      </c>
      <c r="L31" s="74">
        <v>0.16</v>
      </c>
      <c r="M31" s="74">
        <v>0.05</v>
      </c>
      <c r="N31" s="74">
        <f t="shared" si="73"/>
        <v>0.0937734433608402</v>
      </c>
      <c r="O31" s="75">
        <v>0.01</v>
      </c>
      <c r="P31" s="74">
        <v>0.02</v>
      </c>
      <c r="Q31" s="72">
        <v>3</v>
      </c>
      <c r="R31" s="49"/>
      <c r="S31" s="49"/>
      <c r="T31" s="49"/>
      <c r="U31" s="49"/>
      <c r="V31" s="72"/>
      <c r="W31" s="72"/>
      <c r="X31" s="71" t="s">
        <v>39</v>
      </c>
      <c r="Y31" s="76">
        <v>5.55136</v>
      </c>
      <c r="Z31" s="77">
        <v>8</v>
      </c>
      <c r="AA31" s="72">
        <f t="shared" si="74"/>
        <v>-1.44788884955752</v>
      </c>
      <c r="AB31" s="75">
        <f t="shared" si="75"/>
        <v>-0.0452578410089247</v>
      </c>
      <c r="AC31" s="49"/>
      <c r="AD31" s="78">
        <f t="shared" si="76"/>
        <v>0.184108527131783</v>
      </c>
      <c r="AE31" s="74">
        <f t="shared" ref="AE31:AE36" si="79">I31/7.4/H31</f>
        <v>0.374181682229933</v>
      </c>
      <c r="AF31" s="74">
        <f t="shared" ref="AF31:AF36" si="80">Z31/7.4/H31</f>
        <v>0.0337922318417442</v>
      </c>
      <c r="AG31" s="74">
        <v>0.15</v>
      </c>
      <c r="AH31" s="74">
        <f t="shared" si="77"/>
        <v>0.0937734433608402</v>
      </c>
      <c r="AI31" s="74">
        <v>0.02</v>
      </c>
      <c r="AJ31" s="74">
        <f t="shared" si="78"/>
        <v>0.05</v>
      </c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</row>
    <row r="32" ht="21" customHeight="1" spans="1:75">
      <c r="E32" s="71"/>
      <c r="F32" s="72"/>
      <c r="G32" s="72"/>
      <c r="H32" s="71"/>
      <c r="I32" s="72"/>
      <c r="J32" s="71"/>
      <c r="K32" s="74"/>
      <c r="L32" s="74"/>
      <c r="M32" s="74"/>
      <c r="N32" s="74"/>
      <c r="O32" s="75"/>
      <c r="P32" s="74"/>
      <c r="Q32" s="74"/>
      <c r="R32" s="49"/>
      <c r="S32" s="49"/>
      <c r="T32" s="49"/>
      <c r="U32" s="49"/>
      <c r="V32" s="72"/>
      <c r="W32" s="72"/>
      <c r="X32" s="71"/>
      <c r="Y32" s="76"/>
      <c r="Z32" s="72"/>
      <c r="AA32" s="72"/>
      <c r="AB32" s="75"/>
      <c r="AC32" s="49"/>
      <c r="AD32" s="78"/>
      <c r="AE32" s="74"/>
      <c r="AF32" s="74"/>
      <c r="AG32" s="74"/>
      <c r="AH32" s="74"/>
      <c r="AI32" s="74"/>
      <c r="AJ32" s="74"/>
    </row>
    <row r="33" spans="1:75">
      <c r="A33" s="81" t="s">
        <v>51</v>
      </c>
      <c r="B33" s="71">
        <v>8</v>
      </c>
      <c r="C33" s="49" t="s">
        <v>44</v>
      </c>
      <c r="D33" s="49" t="s">
        <v>45</v>
      </c>
      <c r="E33" s="71" t="s">
        <v>38</v>
      </c>
      <c r="F33" s="72">
        <f t="shared" ref="F33:F36" si="81">IF(E33="有",(I33/B33+J33+Z33/B33)/(0.99999-K33-L33-M33-N33),(I33/B33+J33+Z33/B33)/(0.99999-K33-M33-N33))</f>
        <v>30.1307526548134</v>
      </c>
      <c r="G33" s="72">
        <f t="shared" ref="G33:G36" si="82">IF(E33="有",(I33/B33+J33+Z33/B33)/(0.8-K33-L33-M33-N33-O33-P33),(I33/B33+J33+Z33/B33)/(0.8-K33-M33-N33-O33-P33))</f>
        <v>50.8177967806422</v>
      </c>
      <c r="H33" s="73">
        <v>39.99</v>
      </c>
      <c r="I33" s="72">
        <f t="shared" ref="I33:I36" si="83">100.1/1.13</f>
        <v>88.5840707964602</v>
      </c>
      <c r="J33" s="49">
        <v>4.95</v>
      </c>
      <c r="K33" s="74">
        <v>0.15</v>
      </c>
      <c r="L33" s="74">
        <v>0.16</v>
      </c>
      <c r="M33" s="74">
        <v>0.05</v>
      </c>
      <c r="N33" s="74">
        <f t="shared" ref="N33:N36" si="84">Q33/H33</f>
        <v>0.0750187546886722</v>
      </c>
      <c r="O33" s="75">
        <v>0.01</v>
      </c>
      <c r="P33" s="74">
        <v>0.02</v>
      </c>
      <c r="Q33" s="72">
        <v>3</v>
      </c>
      <c r="R33" s="49"/>
      <c r="S33" s="49"/>
      <c r="T33" s="49"/>
      <c r="U33" s="49"/>
      <c r="V33" s="72"/>
      <c r="W33" s="72"/>
      <c r="X33" s="49" t="s">
        <v>39</v>
      </c>
      <c r="Y33" s="76">
        <v>5.55136</v>
      </c>
      <c r="Z33" s="77">
        <v>8</v>
      </c>
      <c r="AA33" s="72">
        <f t="shared" ref="AA33:AA36" si="85">H33-SUM(K33:P33)*H33-J33-I33/B33-Z33/B33</f>
        <v>4.37089115044248</v>
      </c>
      <c r="AB33" s="75">
        <f t="shared" ref="AB33:AB36" si="86">AA33/H33</f>
        <v>0.109299603661977</v>
      </c>
      <c r="AC33" s="49"/>
      <c r="AD33" s="78">
        <f t="shared" ref="AD33:AD36" si="87">J33/H33</f>
        <v>0.123780945236309</v>
      </c>
      <c r="AE33" s="74">
        <f t="shared" si="79"/>
        <v>0.299345345783947</v>
      </c>
      <c r="AF33" s="74">
        <f t="shared" si="80"/>
        <v>0.0270337854733954</v>
      </c>
      <c r="AG33" s="74">
        <v>0.15</v>
      </c>
      <c r="AH33" s="74">
        <f t="shared" ref="AH33:AH36" si="88">N33</f>
        <v>0.0750187546886722</v>
      </c>
      <c r="AI33" s="74">
        <v>0.02</v>
      </c>
      <c r="AJ33" s="74">
        <f t="shared" ref="AJ33:AJ36" si="89">M33</f>
        <v>0.05</v>
      </c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</row>
    <row r="34" spans="1:75">
      <c r="A34" s="81" t="s">
        <v>52</v>
      </c>
      <c r="B34" s="71">
        <v>8</v>
      </c>
      <c r="C34" s="71" t="s">
        <v>44</v>
      </c>
      <c r="D34" s="71" t="s">
        <v>45</v>
      </c>
      <c r="E34" s="71" t="s">
        <v>38</v>
      </c>
      <c r="F34" s="72">
        <f t="shared" si="81"/>
        <v>30.5819496149547</v>
      </c>
      <c r="G34" s="72">
        <f t="shared" si="82"/>
        <v>52.1145760450707</v>
      </c>
      <c r="H34" s="73">
        <f>H33*0.9</f>
        <v>35.991</v>
      </c>
      <c r="I34" s="72">
        <f t="shared" si="83"/>
        <v>88.5840707964602</v>
      </c>
      <c r="J34" s="71">
        <v>4.95</v>
      </c>
      <c r="K34" s="74">
        <v>0.15</v>
      </c>
      <c r="L34" s="74">
        <v>0.16</v>
      </c>
      <c r="M34" s="74">
        <v>0.05</v>
      </c>
      <c r="N34" s="74">
        <f t="shared" si="84"/>
        <v>0.0833541718763024</v>
      </c>
      <c r="O34" s="75">
        <v>0.01</v>
      </c>
      <c r="P34" s="74">
        <v>0.02</v>
      </c>
      <c r="Q34" s="72">
        <v>3</v>
      </c>
      <c r="R34" s="49"/>
      <c r="S34" s="49"/>
      <c r="T34" s="49"/>
      <c r="U34" s="49"/>
      <c r="V34" s="72"/>
      <c r="W34" s="72"/>
      <c r="X34" s="71" t="s">
        <v>39</v>
      </c>
      <c r="Y34" s="76">
        <v>5.55136</v>
      </c>
      <c r="Z34" s="77">
        <v>8</v>
      </c>
      <c r="AA34" s="72">
        <f t="shared" si="85"/>
        <v>1.93150115044248</v>
      </c>
      <c r="AB34" s="75">
        <f t="shared" si="86"/>
        <v>0.053666226291086</v>
      </c>
      <c r="AC34" s="49"/>
      <c r="AD34" s="78">
        <f t="shared" si="87"/>
        <v>0.137534383595899</v>
      </c>
      <c r="AE34" s="74">
        <f t="shared" ref="AE34:AE40" si="90">I34/B34/H34</f>
        <v>0.307660494277945</v>
      </c>
      <c r="AF34" s="74">
        <f t="shared" ref="AF34:AF40" si="91">Z34/B34/H34</f>
        <v>0.0277847239587675</v>
      </c>
      <c r="AG34" s="74">
        <f t="shared" ref="AG34:AG40" si="92">K34</f>
        <v>0.15</v>
      </c>
      <c r="AH34" s="74">
        <f t="shared" si="88"/>
        <v>0.0833541718763024</v>
      </c>
      <c r="AI34" s="74">
        <v>0.02</v>
      </c>
      <c r="AJ34" s="74">
        <f t="shared" si="89"/>
        <v>0.05</v>
      </c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</row>
    <row r="35" spans="1:75">
      <c r="A35" s="81" t="s">
        <v>53</v>
      </c>
      <c r="B35" s="71">
        <v>8</v>
      </c>
      <c r="C35" s="71" t="s">
        <v>44</v>
      </c>
      <c r="D35" s="71" t="s">
        <v>45</v>
      </c>
      <c r="E35" s="71" t="s">
        <v>38</v>
      </c>
      <c r="F35" s="72">
        <f t="shared" si="81"/>
        <v>30.853727997601</v>
      </c>
      <c r="G35" s="72">
        <f t="shared" si="82"/>
        <v>52.9087744413769</v>
      </c>
      <c r="H35" s="82">
        <f>H33*0.85</f>
        <v>33.9915</v>
      </c>
      <c r="I35" s="72">
        <f t="shared" si="83"/>
        <v>88.5840707964602</v>
      </c>
      <c r="J35" s="71">
        <v>4.95</v>
      </c>
      <c r="K35" s="74">
        <v>0.15</v>
      </c>
      <c r="L35" s="74">
        <v>0.16</v>
      </c>
      <c r="M35" s="74">
        <v>0.05</v>
      </c>
      <c r="N35" s="74">
        <f t="shared" si="84"/>
        <v>0.0882573584572614</v>
      </c>
      <c r="O35" s="75">
        <v>0.01</v>
      </c>
      <c r="P35" s="74">
        <v>0.02</v>
      </c>
      <c r="Q35" s="72">
        <v>3</v>
      </c>
      <c r="R35" s="49"/>
      <c r="S35" s="49"/>
      <c r="T35" s="49"/>
      <c r="U35" s="49"/>
      <c r="V35" s="72"/>
      <c r="W35" s="72"/>
      <c r="X35" s="71" t="s">
        <v>39</v>
      </c>
      <c r="Y35" s="76">
        <v>5.55136</v>
      </c>
      <c r="Z35" s="77">
        <v>8</v>
      </c>
      <c r="AA35" s="72">
        <f t="shared" si="85"/>
        <v>0.711806150442479</v>
      </c>
      <c r="AB35" s="75">
        <f t="shared" si="86"/>
        <v>0.0209407101905617</v>
      </c>
      <c r="AC35" s="49"/>
      <c r="AD35" s="78">
        <f t="shared" si="87"/>
        <v>0.145624641454481</v>
      </c>
      <c r="AE35" s="74">
        <f t="shared" si="90"/>
        <v>0.325758170411942</v>
      </c>
      <c r="AF35" s="74">
        <f t="shared" si="91"/>
        <v>0.0294191194857538</v>
      </c>
      <c r="AG35" s="74">
        <f t="shared" si="92"/>
        <v>0.15</v>
      </c>
      <c r="AH35" s="74">
        <f t="shared" si="88"/>
        <v>0.0882573584572614</v>
      </c>
      <c r="AI35" s="74">
        <v>0.02</v>
      </c>
      <c r="AJ35" s="74">
        <f t="shared" si="89"/>
        <v>0.05</v>
      </c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</row>
    <row r="36" spans="1:75">
      <c r="A36" s="81" t="s">
        <v>54</v>
      </c>
      <c r="B36" s="71">
        <v>8</v>
      </c>
      <c r="C36" s="71" t="s">
        <v>44</v>
      </c>
      <c r="D36" s="71" t="s">
        <v>45</v>
      </c>
      <c r="E36" s="71" t="s">
        <v>38</v>
      </c>
      <c r="F36" s="72">
        <f t="shared" si="81"/>
        <v>31.1653109790358</v>
      </c>
      <c r="G36" s="72">
        <f t="shared" si="82"/>
        <v>53.8316864670609</v>
      </c>
      <c r="H36" s="73">
        <f>H33*0.8</f>
        <v>31.992</v>
      </c>
      <c r="I36" s="72">
        <f t="shared" si="83"/>
        <v>88.5840707964602</v>
      </c>
      <c r="J36" s="71">
        <v>4.95</v>
      </c>
      <c r="K36" s="74">
        <v>0.15</v>
      </c>
      <c r="L36" s="74">
        <v>0.16</v>
      </c>
      <c r="M36" s="74">
        <v>0.05</v>
      </c>
      <c r="N36" s="74">
        <f t="shared" si="84"/>
        <v>0.0937734433608402</v>
      </c>
      <c r="O36" s="75">
        <v>0.01</v>
      </c>
      <c r="P36" s="74">
        <v>0.02</v>
      </c>
      <c r="Q36" s="72">
        <v>3</v>
      </c>
      <c r="R36" s="49"/>
      <c r="S36" s="49"/>
      <c r="T36" s="49"/>
      <c r="U36" s="49"/>
      <c r="V36" s="72"/>
      <c r="W36" s="72"/>
      <c r="X36" s="71" t="s">
        <v>39</v>
      </c>
      <c r="Y36" s="76">
        <v>5.55136</v>
      </c>
      <c r="Z36" s="77">
        <v>8</v>
      </c>
      <c r="AA36" s="72">
        <f t="shared" si="85"/>
        <v>-0.507888849557519</v>
      </c>
      <c r="AB36" s="75">
        <f t="shared" si="86"/>
        <v>-0.0158754954225281</v>
      </c>
      <c r="AC36" s="49"/>
      <c r="AD36" s="78">
        <f t="shared" si="87"/>
        <v>0.154726181545386</v>
      </c>
      <c r="AE36" s="74">
        <f t="shared" si="79"/>
        <v>0.374181682229933</v>
      </c>
      <c r="AF36" s="74">
        <f t="shared" si="80"/>
        <v>0.0337922318417442</v>
      </c>
      <c r="AG36" s="74">
        <v>0.15</v>
      </c>
      <c r="AH36" s="74">
        <f t="shared" si="88"/>
        <v>0.0937734433608402</v>
      </c>
      <c r="AI36" s="74">
        <v>0.02</v>
      </c>
      <c r="AJ36" s="74">
        <f t="shared" si="89"/>
        <v>0.05</v>
      </c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</row>
    <row r="37" ht="21" customHeight="1" spans="1:75">
      <c r="E37" s="71"/>
      <c r="F37" s="72"/>
      <c r="G37" s="72"/>
      <c r="H37" s="71"/>
      <c r="I37" s="72"/>
      <c r="J37" s="71"/>
      <c r="K37" s="74"/>
      <c r="L37" s="74"/>
      <c r="M37" s="74"/>
      <c r="N37" s="74"/>
      <c r="O37" s="75"/>
      <c r="P37" s="74"/>
      <c r="Q37" s="74"/>
      <c r="R37" s="49"/>
      <c r="S37" s="49"/>
      <c r="T37" s="49"/>
      <c r="U37" s="49"/>
      <c r="V37" s="72"/>
      <c r="W37" s="72"/>
      <c r="X37" s="71"/>
      <c r="Y37" s="76"/>
      <c r="Z37" s="72"/>
      <c r="AA37" s="72"/>
      <c r="AB37" s="75"/>
      <c r="AC37" s="49"/>
      <c r="AD37" s="78"/>
      <c r="AE37" s="74"/>
      <c r="AF37" s="74"/>
      <c r="AG37" s="74"/>
      <c r="AH37" s="74"/>
      <c r="AI37" s="74"/>
      <c r="AJ37" s="74"/>
    </row>
    <row r="38" spans="1:75">
      <c r="A38" s="81" t="s">
        <v>51</v>
      </c>
      <c r="B38" s="71">
        <v>8</v>
      </c>
      <c r="C38" s="49" t="s">
        <v>47</v>
      </c>
      <c r="D38" s="49" t="s">
        <v>48</v>
      </c>
      <c r="E38" s="71" t="s">
        <v>38</v>
      </c>
      <c r="F38" s="72">
        <f t="shared" ref="F38:F41" si="93">IF(E38="有",(I38/B38+J38+Z38/B38)/(0.99999-K38-L38-M38-N38),(I38/B38+J38+Z38/B38)/(0.99999-K38-M38-N38))</f>
        <v>28.3607510692478</v>
      </c>
      <c r="G38" s="72">
        <f t="shared" ref="G38:G41" si="94">IF(E38="有",(I38/B38+J38+Z38/B38)/(0.8-K38-L38-M38-N38-O38-P38),(I38/B38+J38+Z38/B38)/(0.8-K38-M38-N38-O38-P38))</f>
        <v>47.8325550275685</v>
      </c>
      <c r="H38" s="73">
        <v>39.99</v>
      </c>
      <c r="I38" s="72">
        <f t="shared" ref="I38:I41" si="95">100.1/1.13</f>
        <v>88.5840707964602</v>
      </c>
      <c r="J38" s="49">
        <v>3.95</v>
      </c>
      <c r="K38" s="74">
        <v>0.15</v>
      </c>
      <c r="L38" s="74">
        <v>0.16</v>
      </c>
      <c r="M38" s="74">
        <v>0.05</v>
      </c>
      <c r="N38" s="74">
        <f t="shared" ref="N38:N41" si="96">Q38/H38</f>
        <v>0.0750187546886722</v>
      </c>
      <c r="O38" s="75">
        <v>0.01</v>
      </c>
      <c r="P38" s="74">
        <v>0.02</v>
      </c>
      <c r="Q38" s="72">
        <v>3</v>
      </c>
      <c r="R38" s="49"/>
      <c r="S38" s="49"/>
      <c r="T38" s="49"/>
      <c r="U38" s="49"/>
      <c r="V38" s="72"/>
      <c r="W38" s="72"/>
      <c r="X38" s="49" t="s">
        <v>39</v>
      </c>
      <c r="Y38" s="76">
        <v>5.55136</v>
      </c>
      <c r="Z38" s="77">
        <v>8</v>
      </c>
      <c r="AA38" s="72">
        <f t="shared" ref="AA38:AA41" si="97">H38-SUM(K38:P38)*H38-J38-I38/B38-Z38/B38</f>
        <v>5.37089115044248</v>
      </c>
      <c r="AB38" s="75">
        <f t="shared" ref="AB38:AB41" si="98">AA38/H38</f>
        <v>0.134305855224868</v>
      </c>
      <c r="AC38" s="49"/>
      <c r="AD38" s="78">
        <f t="shared" ref="AD38:AD41" si="99">J38/H38</f>
        <v>0.0987746936734184</v>
      </c>
      <c r="AE38" s="74">
        <f t="shared" ref="AE38:AE43" si="100">I38/7.4/H38</f>
        <v>0.299345345783947</v>
      </c>
      <c r="AF38" s="74">
        <f t="shared" ref="AF38:AF43" si="101">Z38/7.4/H38</f>
        <v>0.0270337854733954</v>
      </c>
      <c r="AG38" s="74">
        <v>0.15</v>
      </c>
      <c r="AH38" s="74">
        <f t="shared" ref="AH38:AH41" si="102">N38</f>
        <v>0.0750187546886722</v>
      </c>
      <c r="AI38" s="74">
        <v>0.02</v>
      </c>
      <c r="AJ38" s="74">
        <f t="shared" ref="AJ38:AJ41" si="103">M38</f>
        <v>0.05</v>
      </c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</row>
    <row r="39" spans="1:75">
      <c r="A39" s="81" t="s">
        <v>52</v>
      </c>
      <c r="B39" s="71">
        <v>8</v>
      </c>
      <c r="C39" s="71" t="s">
        <v>47</v>
      </c>
      <c r="D39" s="71" t="s">
        <v>48</v>
      </c>
      <c r="E39" s="71" t="s">
        <v>38</v>
      </c>
      <c r="F39" s="72">
        <f t="shared" si="93"/>
        <v>28.785442905405</v>
      </c>
      <c r="G39" s="72">
        <f t="shared" si="94"/>
        <v>49.0531562628431</v>
      </c>
      <c r="H39" s="73">
        <f>H38*0.9</f>
        <v>35.991</v>
      </c>
      <c r="I39" s="72">
        <f t="shared" si="95"/>
        <v>88.5840707964602</v>
      </c>
      <c r="J39" s="71">
        <v>3.95</v>
      </c>
      <c r="K39" s="74">
        <v>0.15</v>
      </c>
      <c r="L39" s="74">
        <v>0.16</v>
      </c>
      <c r="M39" s="74">
        <v>0.05</v>
      </c>
      <c r="N39" s="74">
        <f t="shared" si="96"/>
        <v>0.0833541718763024</v>
      </c>
      <c r="O39" s="75">
        <v>0.01</v>
      </c>
      <c r="P39" s="74">
        <v>0.02</v>
      </c>
      <c r="Q39" s="72">
        <v>3</v>
      </c>
      <c r="R39" s="49"/>
      <c r="S39" s="49"/>
      <c r="T39" s="49"/>
      <c r="U39" s="49"/>
      <c r="V39" s="72"/>
      <c r="W39" s="72"/>
      <c r="X39" s="71" t="s">
        <v>39</v>
      </c>
      <c r="Y39" s="76">
        <v>5.55136</v>
      </c>
      <c r="Z39" s="77">
        <v>8</v>
      </c>
      <c r="AA39" s="72">
        <f t="shared" si="97"/>
        <v>2.93150115044248</v>
      </c>
      <c r="AB39" s="75">
        <f t="shared" si="98"/>
        <v>0.0814509502498535</v>
      </c>
      <c r="AC39" s="49"/>
      <c r="AD39" s="78">
        <f t="shared" si="99"/>
        <v>0.109749659637132</v>
      </c>
      <c r="AE39" s="74">
        <f t="shared" si="90"/>
        <v>0.307660494277945</v>
      </c>
      <c r="AF39" s="74">
        <f t="shared" si="91"/>
        <v>0.0277847239587675</v>
      </c>
      <c r="AG39" s="74">
        <f t="shared" si="92"/>
        <v>0.15</v>
      </c>
      <c r="AH39" s="74">
        <f t="shared" si="102"/>
        <v>0.0833541718763024</v>
      </c>
      <c r="AI39" s="74">
        <v>0.02</v>
      </c>
      <c r="AJ39" s="74">
        <f t="shared" si="103"/>
        <v>0.05</v>
      </c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</row>
    <row r="40" spans="1:75">
      <c r="A40" s="81" t="s">
        <v>53</v>
      </c>
      <c r="B40" s="71">
        <v>8</v>
      </c>
      <c r="C40" s="71" t="s">
        <v>47</v>
      </c>
      <c r="D40" s="71" t="s">
        <v>48</v>
      </c>
      <c r="E40" s="71" t="s">
        <v>38</v>
      </c>
      <c r="F40" s="72">
        <f t="shared" si="93"/>
        <v>29.0412559328635</v>
      </c>
      <c r="G40" s="72">
        <f t="shared" si="94"/>
        <v>49.8007002513812</v>
      </c>
      <c r="H40" s="82">
        <f>H38*0.85</f>
        <v>33.9915</v>
      </c>
      <c r="I40" s="72">
        <f t="shared" si="95"/>
        <v>88.5840707964602</v>
      </c>
      <c r="J40" s="71">
        <v>3.95</v>
      </c>
      <c r="K40" s="74">
        <v>0.15</v>
      </c>
      <c r="L40" s="74">
        <v>0.16</v>
      </c>
      <c r="M40" s="74">
        <v>0.05</v>
      </c>
      <c r="N40" s="74">
        <f t="shared" si="96"/>
        <v>0.0882573584572614</v>
      </c>
      <c r="O40" s="75">
        <v>0.01</v>
      </c>
      <c r="P40" s="74">
        <v>0.02</v>
      </c>
      <c r="Q40" s="72">
        <v>3</v>
      </c>
      <c r="R40" s="49"/>
      <c r="S40" s="49"/>
      <c r="T40" s="49"/>
      <c r="U40" s="49"/>
      <c r="V40" s="72"/>
      <c r="W40" s="72"/>
      <c r="X40" s="71" t="s">
        <v>39</v>
      </c>
      <c r="Y40" s="76">
        <v>5.55136</v>
      </c>
      <c r="Z40" s="77">
        <v>8</v>
      </c>
      <c r="AA40" s="72">
        <f t="shared" si="97"/>
        <v>1.71180615044248</v>
      </c>
      <c r="AB40" s="75">
        <f t="shared" si="98"/>
        <v>0.0503598296763155</v>
      </c>
      <c r="AC40" s="49"/>
      <c r="AD40" s="78">
        <f t="shared" si="99"/>
        <v>0.116205521968727</v>
      </c>
      <c r="AE40" s="74">
        <f t="shared" si="90"/>
        <v>0.325758170411942</v>
      </c>
      <c r="AF40" s="74">
        <f t="shared" si="91"/>
        <v>0.0294191194857538</v>
      </c>
      <c r="AG40" s="74">
        <f t="shared" si="92"/>
        <v>0.15</v>
      </c>
      <c r="AH40" s="74">
        <f t="shared" si="102"/>
        <v>0.0882573584572614</v>
      </c>
      <c r="AI40" s="74">
        <v>0.02</v>
      </c>
      <c r="AJ40" s="74">
        <f t="shared" si="103"/>
        <v>0.05</v>
      </c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</row>
    <row r="41" spans="1:75">
      <c r="A41" s="81" t="s">
        <v>54</v>
      </c>
      <c r="B41" s="71">
        <v>8</v>
      </c>
      <c r="C41" s="71" t="s">
        <v>47</v>
      </c>
      <c r="D41" s="71" t="s">
        <v>48</v>
      </c>
      <c r="E41" s="71" t="s">
        <v>38</v>
      </c>
      <c r="F41" s="72">
        <f t="shared" si="93"/>
        <v>29.3345352768986</v>
      </c>
      <c r="G41" s="72">
        <f t="shared" si="94"/>
        <v>50.6693967130695</v>
      </c>
      <c r="H41" s="73">
        <f>H38*0.8</f>
        <v>31.992</v>
      </c>
      <c r="I41" s="72">
        <f t="shared" si="95"/>
        <v>88.5840707964602</v>
      </c>
      <c r="J41" s="71">
        <v>3.95</v>
      </c>
      <c r="K41" s="74">
        <v>0.15</v>
      </c>
      <c r="L41" s="74">
        <v>0.16</v>
      </c>
      <c r="M41" s="74">
        <v>0.05</v>
      </c>
      <c r="N41" s="74">
        <f t="shared" si="96"/>
        <v>0.0937734433608402</v>
      </c>
      <c r="O41" s="75">
        <v>0.01</v>
      </c>
      <c r="P41" s="74">
        <v>0.02</v>
      </c>
      <c r="Q41" s="72">
        <v>3</v>
      </c>
      <c r="R41" s="49"/>
      <c r="S41" s="49"/>
      <c r="T41" s="49"/>
      <c r="U41" s="49"/>
      <c r="V41" s="72"/>
      <c r="W41" s="72"/>
      <c r="X41" s="71" t="s">
        <v>39</v>
      </c>
      <c r="Y41" s="76">
        <v>5.55136</v>
      </c>
      <c r="Z41" s="77">
        <v>8</v>
      </c>
      <c r="AA41" s="72">
        <f t="shared" si="97"/>
        <v>0.492111150442481</v>
      </c>
      <c r="AB41" s="75">
        <f t="shared" si="98"/>
        <v>0.0153823190310853</v>
      </c>
      <c r="AC41" s="49"/>
      <c r="AD41" s="78">
        <f t="shared" si="99"/>
        <v>0.123468367091773</v>
      </c>
      <c r="AE41" s="74">
        <f t="shared" si="100"/>
        <v>0.374181682229933</v>
      </c>
      <c r="AF41" s="74">
        <f t="shared" si="101"/>
        <v>0.0337922318417442</v>
      </c>
      <c r="AG41" s="74">
        <v>0.15</v>
      </c>
      <c r="AH41" s="74">
        <f t="shared" si="102"/>
        <v>0.0937734433608402</v>
      </c>
      <c r="AI41" s="74">
        <v>0.02</v>
      </c>
      <c r="AJ41" s="74">
        <f t="shared" si="103"/>
        <v>0.05</v>
      </c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</row>
    <row r="42" ht="21" customHeight="1" spans="1:75">
      <c r="E42" s="71"/>
      <c r="F42" s="72"/>
      <c r="G42" s="72"/>
      <c r="H42" s="71"/>
      <c r="I42" s="72"/>
      <c r="J42" s="71"/>
      <c r="K42" s="74"/>
      <c r="L42" s="74"/>
      <c r="M42" s="74"/>
      <c r="N42" s="74"/>
      <c r="O42" s="75"/>
      <c r="P42" s="74"/>
      <c r="Q42" s="74"/>
      <c r="R42" s="49"/>
      <c r="S42" s="49"/>
      <c r="T42" s="49"/>
      <c r="U42" s="49"/>
      <c r="V42" s="72"/>
      <c r="W42" s="72"/>
      <c r="X42" s="71"/>
      <c r="Y42" s="76"/>
      <c r="Z42" s="72"/>
      <c r="AA42" s="72"/>
      <c r="AB42" s="75"/>
      <c r="AC42" s="49"/>
      <c r="AD42" s="78"/>
      <c r="AE42" s="74"/>
      <c r="AF42" s="74"/>
      <c r="AG42" s="74"/>
      <c r="AH42" s="74"/>
      <c r="AI42" s="74"/>
      <c r="AJ42" s="74"/>
    </row>
    <row r="43" spans="1:75">
      <c r="A43" s="81" t="s">
        <v>51</v>
      </c>
      <c r="B43" s="49">
        <v>9</v>
      </c>
      <c r="C43" s="49" t="s">
        <v>47</v>
      </c>
      <c r="D43" s="49" t="s">
        <v>50</v>
      </c>
      <c r="E43" s="71" t="s">
        <v>38</v>
      </c>
      <c r="F43" s="72">
        <f t="shared" ref="F43:F45" si="104">IF(E43="有",(I43/B43+J43+Z43/B43)/(0.99999-K43-L43-M43-N43),(I43/B43+J43+Z43/B43)/(0.99999-K43-M43-N43))</f>
        <v>25.1623564637163</v>
      </c>
      <c r="G43" s="72">
        <f t="shared" ref="G43:G45" si="105">IF(E43="有",(I43/B43+J43+Z43/B43)/(0.8-K43-L43-M43-N43-O43-P43),(I43/B43+J43+Z43/B43)/(0.8-K43-M43-N43-O43-P43))</f>
        <v>42.4382202444234</v>
      </c>
      <c r="H43" s="73">
        <v>39.99</v>
      </c>
      <c r="I43" s="72">
        <f t="shared" ref="I43:I45" si="106">100.1/1.13</f>
        <v>88.5840707964602</v>
      </c>
      <c r="J43" s="49">
        <v>3.04</v>
      </c>
      <c r="K43" s="74">
        <v>0.15</v>
      </c>
      <c r="L43" s="74">
        <v>0.16</v>
      </c>
      <c r="M43" s="74">
        <v>0.05</v>
      </c>
      <c r="N43" s="74">
        <f t="shared" ref="N43:N45" si="107">Q43/H43</f>
        <v>0.0750187546886722</v>
      </c>
      <c r="O43" s="75">
        <v>0.01</v>
      </c>
      <c r="P43" s="74">
        <v>0.02</v>
      </c>
      <c r="Q43" s="72">
        <v>3</v>
      </c>
      <c r="R43" s="49"/>
      <c r="S43" s="49"/>
      <c r="T43" s="49"/>
      <c r="U43" s="49"/>
      <c r="V43" s="72"/>
      <c r="W43" s="72"/>
      <c r="X43" s="49" t="s">
        <v>39</v>
      </c>
      <c r="Y43" s="76">
        <v>5.55136</v>
      </c>
      <c r="Z43" s="77">
        <v>12</v>
      </c>
      <c r="AA43" s="72">
        <f t="shared" ref="AA43:AA45" si="108">H43-SUM(K43:P43)*H43-J43-I43/B43-Z43/B43</f>
        <v>7.17789213372665</v>
      </c>
      <c r="AB43" s="75">
        <f t="shared" ref="AB43:AB45" si="109">AA43/H43</f>
        <v>0.179492176387263</v>
      </c>
      <c r="AC43" s="49"/>
      <c r="AD43" s="78">
        <f t="shared" ref="AD43:AD45" si="110">J43/H43</f>
        <v>0.0760190047511878</v>
      </c>
      <c r="AE43" s="74">
        <f t="shared" si="100"/>
        <v>0.299345345783947</v>
      </c>
      <c r="AF43" s="74">
        <f t="shared" si="101"/>
        <v>0.0405506782100931</v>
      </c>
      <c r="AG43" s="74">
        <v>0.15</v>
      </c>
      <c r="AH43" s="74">
        <f t="shared" ref="AH43:AH45" si="111">N43</f>
        <v>0.0750187546886722</v>
      </c>
      <c r="AI43" s="74">
        <v>0.02</v>
      </c>
      <c r="AJ43" s="74">
        <f t="shared" ref="AJ43:AJ45" si="112">M43</f>
        <v>0.05</v>
      </c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</row>
    <row r="44" spans="1:75">
      <c r="A44" s="81" t="s">
        <v>52</v>
      </c>
      <c r="B44" s="49">
        <v>9</v>
      </c>
      <c r="C44" s="71" t="s">
        <v>47</v>
      </c>
      <c r="D44" s="71" t="s">
        <v>50</v>
      </c>
      <c r="E44" s="71" t="s">
        <v>38</v>
      </c>
      <c r="F44" s="72">
        <f t="shared" si="104"/>
        <v>25.539153514772</v>
      </c>
      <c r="G44" s="72">
        <f t="shared" si="105"/>
        <v>43.5211677061122</v>
      </c>
      <c r="H44" s="73">
        <f>H43*0.9</f>
        <v>35.991</v>
      </c>
      <c r="I44" s="72">
        <f t="shared" si="106"/>
        <v>88.5840707964602</v>
      </c>
      <c r="J44" s="71">
        <v>3.04</v>
      </c>
      <c r="K44" s="74">
        <v>0.15</v>
      </c>
      <c r="L44" s="74">
        <v>0.16</v>
      </c>
      <c r="M44" s="74">
        <v>0.05</v>
      </c>
      <c r="N44" s="74">
        <f t="shared" si="107"/>
        <v>0.0833541718763024</v>
      </c>
      <c r="O44" s="75">
        <v>0.01</v>
      </c>
      <c r="P44" s="74">
        <v>0.02</v>
      </c>
      <c r="Q44" s="72">
        <v>3</v>
      </c>
      <c r="R44" s="49"/>
      <c r="S44" s="49"/>
      <c r="T44" s="49"/>
      <c r="U44" s="49"/>
      <c r="V44" s="72"/>
      <c r="W44" s="72"/>
      <c r="X44" s="71" t="s">
        <v>39</v>
      </c>
      <c r="Y44" s="76">
        <v>5.55136</v>
      </c>
      <c r="Z44" s="77">
        <v>12</v>
      </c>
      <c r="AA44" s="72">
        <f t="shared" si="108"/>
        <v>4.73850213372665</v>
      </c>
      <c r="AB44" s="75">
        <f t="shared" si="109"/>
        <v>0.131657973763626</v>
      </c>
      <c r="AC44" s="49"/>
      <c r="AD44" s="78">
        <f t="shared" si="110"/>
        <v>0.0844655608346531</v>
      </c>
      <c r="AE44" s="74">
        <f t="shared" ref="AE44:AE49" si="113">I44/B44/H44</f>
        <v>0.273475994913729</v>
      </c>
      <c r="AF44" s="74">
        <f t="shared" ref="AF44:AF49" si="114">Z44/B44/H44</f>
        <v>0.03704629861169</v>
      </c>
      <c r="AG44" s="74">
        <f t="shared" ref="AG44:AG49" si="115">K44</f>
        <v>0.15</v>
      </c>
      <c r="AH44" s="74">
        <f t="shared" si="111"/>
        <v>0.0833541718763024</v>
      </c>
      <c r="AI44" s="74">
        <v>0.02</v>
      </c>
      <c r="AJ44" s="74">
        <f t="shared" si="112"/>
        <v>0.05</v>
      </c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</row>
    <row r="45" spans="1:75">
      <c r="A45" s="81" t="s">
        <v>53</v>
      </c>
      <c r="B45" s="49">
        <v>9</v>
      </c>
      <c r="C45" s="71" t="s">
        <v>47</v>
      </c>
      <c r="D45" s="71" t="s">
        <v>50</v>
      </c>
      <c r="E45" s="71" t="s">
        <v>38</v>
      </c>
      <c r="F45" s="72">
        <f t="shared" si="104"/>
        <v>25.7661171297079</v>
      </c>
      <c r="G45" s="72">
        <f t="shared" si="105"/>
        <v>44.184407133939</v>
      </c>
      <c r="H45" s="82">
        <f>H43*0.85</f>
        <v>33.9915</v>
      </c>
      <c r="I45" s="72">
        <f t="shared" si="106"/>
        <v>88.5840707964602</v>
      </c>
      <c r="J45" s="71">
        <v>3.04</v>
      </c>
      <c r="K45" s="74">
        <v>0.15</v>
      </c>
      <c r="L45" s="74">
        <v>0.16</v>
      </c>
      <c r="M45" s="74">
        <v>0.05</v>
      </c>
      <c r="N45" s="74">
        <f t="shared" si="107"/>
        <v>0.0882573584572614</v>
      </c>
      <c r="O45" s="75">
        <v>0.01</v>
      </c>
      <c r="P45" s="74">
        <v>0.02</v>
      </c>
      <c r="Q45" s="72">
        <v>3</v>
      </c>
      <c r="R45" s="49"/>
      <c r="S45" s="49"/>
      <c r="T45" s="49"/>
      <c r="U45" s="49"/>
      <c r="V45" s="72"/>
      <c r="W45" s="72"/>
      <c r="X45" s="71" t="s">
        <v>39</v>
      </c>
      <c r="Y45" s="76">
        <v>5.55136</v>
      </c>
      <c r="Z45" s="77">
        <v>12</v>
      </c>
      <c r="AA45" s="72">
        <f t="shared" si="108"/>
        <v>3.51880713372665</v>
      </c>
      <c r="AB45" s="75">
        <f t="shared" si="109"/>
        <v>0.103520207514427</v>
      </c>
      <c r="AC45" s="49"/>
      <c r="AD45" s="78">
        <f t="shared" si="110"/>
        <v>0.0894341232366915</v>
      </c>
      <c r="AE45" s="74">
        <f t="shared" si="113"/>
        <v>0.289562818143948</v>
      </c>
      <c r="AF45" s="74">
        <f t="shared" si="114"/>
        <v>0.0392254926476717</v>
      </c>
      <c r="AG45" s="74">
        <f t="shared" si="115"/>
        <v>0.15</v>
      </c>
      <c r="AH45" s="74">
        <f t="shared" si="111"/>
        <v>0.0882573584572614</v>
      </c>
      <c r="AI45" s="74">
        <v>0.02</v>
      </c>
      <c r="AJ45" s="74">
        <f t="shared" si="112"/>
        <v>0.05</v>
      </c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</row>
    <row r="46" ht="21" customHeight="1" spans="1:75">
      <c r="E46" s="71"/>
      <c r="F46" s="72"/>
      <c r="G46" s="72"/>
      <c r="H46" s="71"/>
      <c r="I46" s="72"/>
      <c r="J46" s="71"/>
      <c r="K46" s="74"/>
      <c r="L46" s="74"/>
      <c r="M46" s="74"/>
      <c r="N46" s="74"/>
      <c r="O46" s="75"/>
      <c r="P46" s="74"/>
      <c r="Q46" s="74"/>
      <c r="R46" s="49"/>
      <c r="S46" s="49"/>
      <c r="T46" s="49"/>
      <c r="U46" s="49"/>
      <c r="V46" s="72"/>
      <c r="W46" s="72"/>
      <c r="X46" s="71"/>
      <c r="Y46" s="76"/>
      <c r="Z46" s="72"/>
      <c r="AA46" s="72"/>
      <c r="AB46" s="75"/>
      <c r="AC46" s="49"/>
      <c r="AD46" s="78"/>
      <c r="AE46" s="74"/>
      <c r="AF46" s="74"/>
      <c r="AG46" s="74"/>
      <c r="AH46" s="74"/>
      <c r="AI46" s="74"/>
      <c r="AJ46" s="74"/>
    </row>
    <row r="47" spans="1:75">
      <c r="A47" s="70" t="s">
        <v>55</v>
      </c>
      <c r="B47" s="71">
        <v>8</v>
      </c>
      <c r="C47" s="71" t="s">
        <v>36</v>
      </c>
      <c r="D47" s="71" t="s">
        <v>37</v>
      </c>
      <c r="E47" s="71" t="s">
        <v>38</v>
      </c>
      <c r="F47" s="72">
        <f t="shared" ref="F47:F50" si="116">IF(E47="有",(I47/B47+J47+Z47/B47)/(0.99999-K47-L47-M47-N47),(I47/B47+J47+Z47/B47)/(0.99999-K47-M47-N47))</f>
        <v>12.3035987405923</v>
      </c>
      <c r="G47" s="72">
        <f t="shared" ref="G47:G50" si="117">IF(E47="有",(I47/B47+J47+Z47/B47)/(0.8-K47-L47-M47-N47-O47-P47),(I47/B47+J47+Z47/B47)/(0.8-K47-M47-N47-O47-P47))</f>
        <v>23.9378380418591</v>
      </c>
      <c r="H47" s="73">
        <v>14.99</v>
      </c>
      <c r="I47" s="72">
        <f t="shared" ref="I47:I50" si="118">29.4/1.13</f>
        <v>26.0176991150442</v>
      </c>
      <c r="J47" s="49">
        <v>2.07</v>
      </c>
      <c r="K47" s="74">
        <v>0.15</v>
      </c>
      <c r="L47" s="74">
        <v>0.16</v>
      </c>
      <c r="M47" s="74">
        <v>0.05</v>
      </c>
      <c r="N47" s="74">
        <f t="shared" ref="N47:N50" si="119">Q47/H47</f>
        <v>0.166777851901268</v>
      </c>
      <c r="O47" s="75">
        <v>0.01</v>
      </c>
      <c r="P47" s="74">
        <v>0.02</v>
      </c>
      <c r="Q47" s="72">
        <v>2.5</v>
      </c>
      <c r="R47" s="49"/>
      <c r="S47" s="49"/>
      <c r="T47" s="49"/>
      <c r="U47" s="49"/>
      <c r="V47" s="72"/>
      <c r="W47" s="72"/>
      <c r="X47" s="49" t="s">
        <v>39</v>
      </c>
      <c r="Y47" s="76">
        <v>5.55136</v>
      </c>
      <c r="Z47" s="77">
        <v>4</v>
      </c>
      <c r="AA47" s="72">
        <f t="shared" ref="AA47:AA50" si="120">H47-SUM(K47:P47)*H47-J47-I47/B47-Z47/B47</f>
        <v>0.821687610619469</v>
      </c>
      <c r="AB47" s="75">
        <f t="shared" ref="AB47:AB50" si="121">AA47/H47</f>
        <v>0.0548157178532001</v>
      </c>
      <c r="AC47" s="49"/>
      <c r="AD47" s="78">
        <f t="shared" ref="AD47:AD50" si="122">J47/H47</f>
        <v>0.138092061374249</v>
      </c>
      <c r="AE47" s="74">
        <f t="shared" ref="AE47:AE52" si="123">I47/7.4/H47</f>
        <v>0.234550052422734</v>
      </c>
      <c r="AF47" s="74">
        <f t="shared" ref="AF47:AF52" si="124">Z47/7.4/H47</f>
        <v>0.0360600760867605</v>
      </c>
      <c r="AG47" s="74">
        <v>0.15</v>
      </c>
      <c r="AH47" s="74">
        <f t="shared" ref="AH47:AH50" si="125">N47</f>
        <v>0.166777851901268</v>
      </c>
      <c r="AI47" s="74">
        <v>0.02</v>
      </c>
      <c r="AJ47" s="74">
        <f t="shared" ref="AJ47:AJ50" si="126">M47</f>
        <v>0.05</v>
      </c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</row>
    <row r="48" spans="1:75">
      <c r="A48" s="70" t="s">
        <v>56</v>
      </c>
      <c r="B48" s="71">
        <v>8</v>
      </c>
      <c r="C48" s="71" t="s">
        <v>36</v>
      </c>
      <c r="D48" s="71" t="s">
        <v>37</v>
      </c>
      <c r="E48" s="71" t="s">
        <v>38</v>
      </c>
      <c r="F48" s="72">
        <f t="shared" si="116"/>
        <v>12.8050410276119</v>
      </c>
      <c r="G48" s="72">
        <f t="shared" si="117"/>
        <v>25.9120536484664</v>
      </c>
      <c r="H48" s="73">
        <f>H47*0.9</f>
        <v>13.491</v>
      </c>
      <c r="I48" s="72">
        <f t="shared" si="118"/>
        <v>26.0176991150442</v>
      </c>
      <c r="J48" s="71">
        <v>2.07</v>
      </c>
      <c r="K48" s="74">
        <v>0.15</v>
      </c>
      <c r="L48" s="74">
        <v>0.16</v>
      </c>
      <c r="M48" s="74">
        <v>0.05</v>
      </c>
      <c r="N48" s="74">
        <f t="shared" si="119"/>
        <v>0.185308724334742</v>
      </c>
      <c r="O48" s="75">
        <v>0.01</v>
      </c>
      <c r="P48" s="74">
        <v>0.02</v>
      </c>
      <c r="Q48" s="72">
        <v>2.5</v>
      </c>
      <c r="R48" s="49"/>
      <c r="S48" s="49"/>
      <c r="T48" s="49"/>
      <c r="U48" s="49"/>
      <c r="V48" s="72"/>
      <c r="W48" s="72"/>
      <c r="X48" s="71" t="s">
        <v>39</v>
      </c>
      <c r="Y48" s="76">
        <v>5.55136</v>
      </c>
      <c r="Z48" s="77">
        <v>4</v>
      </c>
      <c r="AA48" s="72">
        <f t="shared" si="120"/>
        <v>-0.0927023893805305</v>
      </c>
      <c r="AB48" s="75">
        <f t="shared" si="121"/>
        <v>-0.00687142460755545</v>
      </c>
      <c r="AC48" s="49"/>
      <c r="AD48" s="78">
        <f t="shared" si="122"/>
        <v>0.153435623749166</v>
      </c>
      <c r="AE48" s="74">
        <f t="shared" si="113"/>
        <v>0.241065331656699</v>
      </c>
      <c r="AF48" s="74">
        <f t="shared" si="114"/>
        <v>0.0370617448669483</v>
      </c>
      <c r="AG48" s="74">
        <f t="shared" si="115"/>
        <v>0.15</v>
      </c>
      <c r="AH48" s="74">
        <f t="shared" si="125"/>
        <v>0.185308724334742</v>
      </c>
      <c r="AI48" s="74">
        <v>0.02</v>
      </c>
      <c r="AJ48" s="74">
        <f t="shared" si="126"/>
        <v>0.05</v>
      </c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</row>
    <row r="49" spans="1:75">
      <c r="A49" s="70" t="s">
        <v>57</v>
      </c>
      <c r="B49" s="71">
        <v>8</v>
      </c>
      <c r="C49" s="71" t="s">
        <v>36</v>
      </c>
      <c r="D49" s="71" t="s">
        <v>37</v>
      </c>
      <c r="E49" s="71" t="s">
        <v>38</v>
      </c>
      <c r="F49" s="72">
        <f t="shared" si="116"/>
        <v>13.1195691245989</v>
      </c>
      <c r="G49" s="72">
        <f t="shared" si="117"/>
        <v>27.2332271148624</v>
      </c>
      <c r="H49" s="82">
        <f>H47*0.85</f>
        <v>12.7415</v>
      </c>
      <c r="I49" s="72">
        <f t="shared" si="118"/>
        <v>26.0176991150442</v>
      </c>
      <c r="J49" s="71">
        <v>2.07</v>
      </c>
      <c r="K49" s="74">
        <v>0.15</v>
      </c>
      <c r="L49" s="74">
        <v>0.16</v>
      </c>
      <c r="M49" s="74">
        <v>0.05</v>
      </c>
      <c r="N49" s="74">
        <f t="shared" si="119"/>
        <v>0.196209237530903</v>
      </c>
      <c r="O49" s="75">
        <v>0.01</v>
      </c>
      <c r="P49" s="74">
        <v>0.02</v>
      </c>
      <c r="Q49" s="72">
        <v>2.5</v>
      </c>
      <c r="R49" s="49"/>
      <c r="S49" s="49"/>
      <c r="T49" s="49"/>
      <c r="U49" s="49"/>
      <c r="V49" s="72"/>
      <c r="W49" s="72"/>
      <c r="X49" s="71" t="s">
        <v>39</v>
      </c>
      <c r="Y49" s="76">
        <v>5.55136</v>
      </c>
      <c r="Z49" s="77">
        <v>4</v>
      </c>
      <c r="AA49" s="72">
        <f t="shared" si="120"/>
        <v>-0.54989738938053</v>
      </c>
      <c r="AB49" s="75">
        <f t="shared" si="121"/>
        <v>-0.0431579789962351</v>
      </c>
      <c r="AC49" s="49"/>
      <c r="AD49" s="78">
        <f t="shared" si="122"/>
        <v>0.162461248675588</v>
      </c>
      <c r="AE49" s="74">
        <f t="shared" si="113"/>
        <v>0.255245645283564</v>
      </c>
      <c r="AF49" s="74">
        <f t="shared" si="114"/>
        <v>0.0392418475061806</v>
      </c>
      <c r="AG49" s="74">
        <f t="shared" si="115"/>
        <v>0.15</v>
      </c>
      <c r="AH49" s="74">
        <f t="shared" si="125"/>
        <v>0.196209237530903</v>
      </c>
      <c r="AI49" s="74">
        <v>0.02</v>
      </c>
      <c r="AJ49" s="74">
        <f t="shared" si="126"/>
        <v>0.05</v>
      </c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</row>
    <row r="50" spans="1:75">
      <c r="A50" s="70" t="s">
        <v>58</v>
      </c>
      <c r="B50" s="71">
        <v>8</v>
      </c>
      <c r="C50" s="71" t="s">
        <v>36</v>
      </c>
      <c r="D50" s="71" t="s">
        <v>37</v>
      </c>
      <c r="E50" s="71" t="s">
        <v>38</v>
      </c>
      <c r="F50" s="72">
        <f t="shared" si="116"/>
        <v>13.4924073568743</v>
      </c>
      <c r="G50" s="72">
        <f t="shared" si="117"/>
        <v>28.890384890865</v>
      </c>
      <c r="H50" s="73">
        <f>H47*0.8</f>
        <v>11.992</v>
      </c>
      <c r="I50" s="72">
        <f t="shared" si="118"/>
        <v>26.0176991150442</v>
      </c>
      <c r="J50" s="71">
        <v>2.07</v>
      </c>
      <c r="K50" s="74">
        <v>0.15</v>
      </c>
      <c r="L50" s="74">
        <v>0.16</v>
      </c>
      <c r="M50" s="74">
        <v>0.05</v>
      </c>
      <c r="N50" s="74">
        <f t="shared" si="119"/>
        <v>0.208472314876584</v>
      </c>
      <c r="O50" s="75">
        <v>0.01</v>
      </c>
      <c r="P50" s="74">
        <v>0.02</v>
      </c>
      <c r="Q50" s="72">
        <v>2.5</v>
      </c>
      <c r="R50" s="49"/>
      <c r="S50" s="49"/>
      <c r="T50" s="49"/>
      <c r="U50" s="49"/>
      <c r="V50" s="72"/>
      <c r="W50" s="72"/>
      <c r="X50" s="71" t="s">
        <v>39</v>
      </c>
      <c r="Y50" s="76">
        <v>5.55136</v>
      </c>
      <c r="Z50" s="77">
        <v>4</v>
      </c>
      <c r="AA50" s="72">
        <f t="shared" si="120"/>
        <v>-1.00709238938053</v>
      </c>
      <c r="AB50" s="75">
        <f t="shared" si="121"/>
        <v>-0.0839803526834999</v>
      </c>
      <c r="AC50" s="49"/>
      <c r="AD50" s="78">
        <f t="shared" si="122"/>
        <v>0.172615076717812</v>
      </c>
      <c r="AE50" s="74">
        <f t="shared" si="123"/>
        <v>0.293187565528418</v>
      </c>
      <c r="AF50" s="74">
        <f t="shared" si="124"/>
        <v>0.0450750951084507</v>
      </c>
      <c r="AG50" s="74">
        <v>0.15</v>
      </c>
      <c r="AH50" s="74">
        <f t="shared" si="125"/>
        <v>0.208472314876584</v>
      </c>
      <c r="AI50" s="74">
        <v>0.02</v>
      </c>
      <c r="AJ50" s="74">
        <f t="shared" si="126"/>
        <v>0.05</v>
      </c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</row>
    <row r="51" ht="21" customHeight="1" spans="1:75">
      <c r="A51" s="48"/>
      <c r="B51" s="48"/>
      <c r="C51" s="48"/>
      <c r="D51" s="48"/>
      <c r="E51" s="71"/>
      <c r="F51" s="72"/>
      <c r="G51" s="72"/>
      <c r="H51" s="71"/>
      <c r="I51" s="72"/>
      <c r="J51" s="71"/>
      <c r="K51" s="74"/>
      <c r="L51" s="74"/>
      <c r="M51" s="74"/>
      <c r="N51" s="74"/>
      <c r="O51" s="75"/>
      <c r="P51" s="74"/>
      <c r="Q51" s="75"/>
      <c r="R51" s="49"/>
      <c r="S51" s="49"/>
      <c r="T51" s="49"/>
      <c r="U51" s="49"/>
      <c r="V51" s="72"/>
      <c r="W51" s="72"/>
      <c r="X51" s="71"/>
      <c r="Y51" s="76"/>
      <c r="Z51" s="72"/>
      <c r="AA51" s="72"/>
      <c r="AB51" s="75"/>
      <c r="AC51" s="49"/>
      <c r="AD51" s="78"/>
      <c r="AE51" s="74"/>
      <c r="AF51" s="74"/>
      <c r="AG51" s="74"/>
      <c r="AH51" s="74"/>
      <c r="AI51" s="74"/>
      <c r="AJ51" s="74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</row>
    <row r="52" spans="1:75">
      <c r="A52" s="80" t="s">
        <v>55</v>
      </c>
      <c r="B52" s="71">
        <v>8</v>
      </c>
      <c r="C52" s="49" t="s">
        <v>42</v>
      </c>
      <c r="D52" s="49" t="s">
        <v>43</v>
      </c>
      <c r="E52" s="71" t="s">
        <v>38</v>
      </c>
      <c r="F52" s="72">
        <f t="shared" ref="F52:F55" si="127">IF(E52="有",(I52/B52+J52+Z52/B52)/(0.99999-K52-L52-M52-N52),(I52/B52+J52+Z52/B52)/(0.99999-K52-M52-N52))</f>
        <v>12.6274335400328</v>
      </c>
      <c r="G52" s="72">
        <f t="shared" ref="G52:G55" si="128">IF(E52="有",(I52/B52+J52+Z52/B52)/(0.8-K52-L52-M52-N52-O52-P52),(I52/B52+J52+Z52/B52)/(0.8-K52-M52-N52-O52-P52))</f>
        <v>22.8197871563259</v>
      </c>
      <c r="H52" s="73">
        <v>19.99</v>
      </c>
      <c r="I52" s="72">
        <f t="shared" ref="I52:I55" si="129">29.4/1.13</f>
        <v>26.0176991150442</v>
      </c>
      <c r="J52" s="49">
        <v>2.75</v>
      </c>
      <c r="K52" s="74">
        <v>0.15</v>
      </c>
      <c r="L52" s="74">
        <v>0.16</v>
      </c>
      <c r="M52" s="74">
        <v>0.05</v>
      </c>
      <c r="N52" s="74">
        <f t="shared" ref="N52:N55" si="130">Q52/H52</f>
        <v>0.125062531265633</v>
      </c>
      <c r="O52" s="75">
        <v>0.01</v>
      </c>
      <c r="P52" s="74">
        <v>0.02</v>
      </c>
      <c r="Q52" s="72">
        <v>2.5</v>
      </c>
      <c r="R52" s="49"/>
      <c r="S52" s="49"/>
      <c r="T52" s="49"/>
      <c r="U52" s="49"/>
      <c r="V52" s="72"/>
      <c r="W52" s="72"/>
      <c r="X52" s="49" t="s">
        <v>39</v>
      </c>
      <c r="Y52" s="76">
        <v>5.55136</v>
      </c>
      <c r="Z52" s="77">
        <v>4</v>
      </c>
      <c r="AA52" s="72">
        <f t="shared" ref="AA52:AA55" si="131">H52-SUM(K52:P52)*H52-J52-I52/B52-Z52/B52</f>
        <v>3.19168761061947</v>
      </c>
      <c r="AB52" s="75">
        <f t="shared" ref="AB52:AB55" si="132">AA52/H52</f>
        <v>0.159664212637292</v>
      </c>
      <c r="AC52" s="49"/>
      <c r="AD52" s="78">
        <f t="shared" ref="AD52:AD55" si="133">J52/H52</f>
        <v>0.137568784392196</v>
      </c>
      <c r="AE52" s="74">
        <f t="shared" si="123"/>
        <v>0.175883205893786</v>
      </c>
      <c r="AF52" s="74">
        <f t="shared" si="124"/>
        <v>0.0270405473006774</v>
      </c>
      <c r="AG52" s="74">
        <v>0.15</v>
      </c>
      <c r="AH52" s="74">
        <f t="shared" ref="AH52:AH55" si="134">N52</f>
        <v>0.125062531265633</v>
      </c>
      <c r="AI52" s="74">
        <v>0.02</v>
      </c>
      <c r="AJ52" s="74">
        <f t="shared" ref="AJ52:AJ55" si="135">M52</f>
        <v>0.05</v>
      </c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</row>
    <row r="53" spans="1:75">
      <c r="A53" s="70" t="s">
        <v>56</v>
      </c>
      <c r="B53" s="71">
        <v>8</v>
      </c>
      <c r="C53" s="71" t="s">
        <v>42</v>
      </c>
      <c r="D53" s="71" t="s">
        <v>43</v>
      </c>
      <c r="E53" s="71" t="s">
        <v>38</v>
      </c>
      <c r="F53" s="72">
        <f t="shared" si="127"/>
        <v>12.9776484657698</v>
      </c>
      <c r="G53" s="72">
        <f t="shared" si="128"/>
        <v>23.9897182700331</v>
      </c>
      <c r="H53" s="73">
        <f>H52*0.9</f>
        <v>17.991</v>
      </c>
      <c r="I53" s="72">
        <f t="shared" si="129"/>
        <v>26.0176991150442</v>
      </c>
      <c r="J53" s="71">
        <v>2.75</v>
      </c>
      <c r="K53" s="74">
        <v>0.15</v>
      </c>
      <c r="L53" s="74">
        <v>0.16</v>
      </c>
      <c r="M53" s="74">
        <v>0.05</v>
      </c>
      <c r="N53" s="74">
        <f t="shared" si="130"/>
        <v>0.138958368072925</v>
      </c>
      <c r="O53" s="75">
        <v>0.01</v>
      </c>
      <c r="P53" s="74">
        <v>0.02</v>
      </c>
      <c r="Q53" s="72">
        <v>2.5</v>
      </c>
      <c r="R53" s="49"/>
      <c r="S53" s="49"/>
      <c r="T53" s="49"/>
      <c r="U53" s="49"/>
      <c r="V53" s="72"/>
      <c r="W53" s="72"/>
      <c r="X53" s="71" t="s">
        <v>39</v>
      </c>
      <c r="Y53" s="76">
        <v>5.55136</v>
      </c>
      <c r="Z53" s="77">
        <v>4</v>
      </c>
      <c r="AA53" s="72">
        <f t="shared" si="131"/>
        <v>1.97229761061947</v>
      </c>
      <c r="AB53" s="75">
        <f t="shared" si="132"/>
        <v>0.109626902930324</v>
      </c>
      <c r="AC53" s="49"/>
      <c r="AD53" s="78">
        <f t="shared" si="133"/>
        <v>0.152854204880218</v>
      </c>
      <c r="AE53" s="74">
        <f t="shared" ref="AE53:AE59" si="136">I53/B53/H53</f>
        <v>0.180768850501947</v>
      </c>
      <c r="AF53" s="74">
        <f t="shared" ref="AF53:AF59" si="137">Z53/B53/H53</f>
        <v>0.0277916736145851</v>
      </c>
      <c r="AG53" s="74">
        <f t="shared" ref="AG53:AG59" si="138">K53</f>
        <v>0.15</v>
      </c>
      <c r="AH53" s="74">
        <f t="shared" si="134"/>
        <v>0.138958368072925</v>
      </c>
      <c r="AI53" s="74">
        <v>0.02</v>
      </c>
      <c r="AJ53" s="74">
        <f t="shared" si="135"/>
        <v>0.05</v>
      </c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</row>
    <row r="54" spans="1:75">
      <c r="A54" s="70" t="s">
        <v>57</v>
      </c>
      <c r="B54" s="71">
        <v>8</v>
      </c>
      <c r="C54" s="71" t="s">
        <v>42</v>
      </c>
      <c r="D54" s="71" t="s">
        <v>43</v>
      </c>
      <c r="E54" s="71" t="s">
        <v>38</v>
      </c>
      <c r="F54" s="72">
        <f t="shared" si="127"/>
        <v>13.1928821911523</v>
      </c>
      <c r="G54" s="72">
        <f t="shared" si="128"/>
        <v>24.7356925509395</v>
      </c>
      <c r="H54" s="82">
        <f>H52*0.85</f>
        <v>16.9915</v>
      </c>
      <c r="I54" s="72">
        <f t="shared" si="129"/>
        <v>26.0176991150442</v>
      </c>
      <c r="J54" s="71">
        <v>2.75</v>
      </c>
      <c r="K54" s="74">
        <v>0.15</v>
      </c>
      <c r="L54" s="74">
        <v>0.16</v>
      </c>
      <c r="M54" s="74">
        <v>0.05</v>
      </c>
      <c r="N54" s="74">
        <f t="shared" si="130"/>
        <v>0.147132389724274</v>
      </c>
      <c r="O54" s="75">
        <v>0.01</v>
      </c>
      <c r="P54" s="74">
        <v>0.02</v>
      </c>
      <c r="Q54" s="72">
        <v>2.5</v>
      </c>
      <c r="R54" s="49"/>
      <c r="S54" s="49"/>
      <c r="T54" s="49"/>
      <c r="U54" s="49"/>
      <c r="V54" s="72"/>
      <c r="W54" s="72"/>
      <c r="X54" s="71" t="s">
        <v>39</v>
      </c>
      <c r="Y54" s="76">
        <v>5.55136</v>
      </c>
      <c r="Z54" s="77">
        <v>4</v>
      </c>
      <c r="AA54" s="72">
        <f t="shared" si="131"/>
        <v>1.36260261061947</v>
      </c>
      <c r="AB54" s="75">
        <f t="shared" si="132"/>
        <v>0.0801931913379906</v>
      </c>
      <c r="AC54" s="49"/>
      <c r="AD54" s="78">
        <f t="shared" si="133"/>
        <v>0.161845628696701</v>
      </c>
      <c r="AE54" s="74">
        <f t="shared" si="136"/>
        <v>0.191402312296179</v>
      </c>
      <c r="AF54" s="74">
        <f t="shared" si="137"/>
        <v>0.0294264779448548</v>
      </c>
      <c r="AG54" s="74">
        <f t="shared" si="138"/>
        <v>0.15</v>
      </c>
      <c r="AH54" s="74">
        <f t="shared" si="134"/>
        <v>0.147132389724274</v>
      </c>
      <c r="AI54" s="74">
        <v>0.02</v>
      </c>
      <c r="AJ54" s="74">
        <f t="shared" si="135"/>
        <v>0.05</v>
      </c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</row>
    <row r="55" spans="1:75">
      <c r="A55" s="70" t="s">
        <v>58</v>
      </c>
      <c r="B55" s="71">
        <v>8</v>
      </c>
      <c r="C55" s="71" t="s">
        <v>42</v>
      </c>
      <c r="D55" s="71" t="s">
        <v>43</v>
      </c>
      <c r="E55" s="71" t="s">
        <v>38</v>
      </c>
      <c r="F55" s="72">
        <f t="shared" si="127"/>
        <v>10.1598656063072</v>
      </c>
      <c r="G55" s="72">
        <f t="shared" si="128"/>
        <v>15.8590546082452</v>
      </c>
      <c r="H55" s="73">
        <v>12.99</v>
      </c>
      <c r="I55" s="72">
        <f t="shared" si="129"/>
        <v>26.0176991150442</v>
      </c>
      <c r="J55" s="71">
        <v>2.75</v>
      </c>
      <c r="K55" s="74">
        <v>0.15</v>
      </c>
      <c r="L55" s="74">
        <v>0.16</v>
      </c>
      <c r="M55" s="74">
        <v>0.05</v>
      </c>
      <c r="N55" s="74">
        <f t="shared" si="130"/>
        <v>0</v>
      </c>
      <c r="O55" s="75">
        <v>0.01</v>
      </c>
      <c r="P55" s="74">
        <v>0.02</v>
      </c>
      <c r="Q55" s="72">
        <v>0</v>
      </c>
      <c r="R55" s="49"/>
      <c r="S55" s="49"/>
      <c r="T55" s="49"/>
      <c r="U55" s="49"/>
      <c r="V55" s="72"/>
      <c r="W55" s="72"/>
      <c r="X55" s="71" t="s">
        <v>39</v>
      </c>
      <c r="Y55" s="76">
        <v>5.55136</v>
      </c>
      <c r="Z55" s="77">
        <v>4</v>
      </c>
      <c r="AA55" s="72">
        <f t="shared" si="131"/>
        <v>1.42168761061947</v>
      </c>
      <c r="AB55" s="75">
        <f t="shared" si="132"/>
        <v>0.109444773719744</v>
      </c>
      <c r="AC55" s="49"/>
      <c r="AD55" s="78">
        <f t="shared" si="133"/>
        <v>0.211701308698999</v>
      </c>
      <c r="AE55" s="74">
        <f t="shared" ref="AE55:AE60" si="139">I55/7.4/H55</f>
        <v>0.270662454643325</v>
      </c>
      <c r="AF55" s="74">
        <f t="shared" ref="AF55:AF60" si="140">Z55/7.4/H55</f>
        <v>0.0416120508499261</v>
      </c>
      <c r="AG55" s="74">
        <v>0.15</v>
      </c>
      <c r="AH55" s="74">
        <f t="shared" si="134"/>
        <v>0</v>
      </c>
      <c r="AI55" s="74">
        <v>0.02</v>
      </c>
      <c r="AJ55" s="74">
        <f t="shared" si="135"/>
        <v>0.05</v>
      </c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</row>
    <row r="56" ht="21" customHeight="1" spans="1:75">
      <c r="A56" s="48"/>
      <c r="B56" s="48"/>
      <c r="C56" s="48"/>
      <c r="D56" s="48"/>
      <c r="E56" s="71"/>
      <c r="F56" s="72"/>
      <c r="G56" s="72"/>
      <c r="H56" s="71"/>
      <c r="I56" s="72"/>
      <c r="J56" s="71"/>
      <c r="K56" s="74"/>
      <c r="L56" s="74"/>
      <c r="M56" s="74"/>
      <c r="N56" s="74"/>
      <c r="O56" s="75"/>
      <c r="P56" s="74"/>
      <c r="Q56" s="75"/>
      <c r="R56" s="49"/>
      <c r="S56" s="49"/>
      <c r="T56" s="49"/>
      <c r="U56" s="49"/>
      <c r="V56" s="72"/>
      <c r="W56" s="72"/>
      <c r="X56" s="71"/>
      <c r="Y56" s="76"/>
      <c r="Z56" s="72"/>
      <c r="AA56" s="72"/>
      <c r="AB56" s="75"/>
      <c r="AC56" s="49"/>
      <c r="AD56" s="78"/>
      <c r="AE56" s="74"/>
      <c r="AF56" s="74"/>
      <c r="AG56" s="74"/>
      <c r="AH56" s="74"/>
      <c r="AI56" s="74"/>
      <c r="AJ56" s="74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</row>
    <row r="57" spans="1:75">
      <c r="A57" s="80" t="s">
        <v>55</v>
      </c>
      <c r="B57" s="71">
        <v>8</v>
      </c>
      <c r="C57" s="49" t="s">
        <v>44</v>
      </c>
      <c r="D57" s="49" t="s">
        <v>45</v>
      </c>
      <c r="E57" s="71" t="s">
        <v>38</v>
      </c>
      <c r="F57" s="72">
        <f t="shared" ref="F57:F60" si="141">IF(E57="有",(I57/B57+J57+Z57/B57)/(0.99999-K57-L57-M57-N57),(I57/B57+J57+Z57/B57)/(0.99999-K57-M57-N57))</f>
        <v>13.5596036594086</v>
      </c>
      <c r="G57" s="72">
        <f t="shared" ref="G57:G60" si="142">IF(E57="有",(I57/B57+J57+Z57/B57)/(0.8-K57-L57-M57-N57-O57-P57),(I57/B57+J57+Z57/B57)/(0.8-K57-M57-N57-O57-P57))</f>
        <v>24.5043672929154</v>
      </c>
      <c r="H57" s="73">
        <v>19.99</v>
      </c>
      <c r="I57" s="72">
        <f t="shared" ref="I57:I60" si="143">29.4/1.13</f>
        <v>26.0176991150442</v>
      </c>
      <c r="J57" s="49">
        <v>3.23</v>
      </c>
      <c r="K57" s="74">
        <v>0.15</v>
      </c>
      <c r="L57" s="74">
        <v>0.16</v>
      </c>
      <c r="M57" s="74">
        <v>0.05</v>
      </c>
      <c r="N57" s="74">
        <f t="shared" ref="N57:N60" si="144">Q57/H57</f>
        <v>0.125062531265633</v>
      </c>
      <c r="O57" s="75">
        <v>0.01</v>
      </c>
      <c r="P57" s="74">
        <v>0.02</v>
      </c>
      <c r="Q57" s="72">
        <v>2.5</v>
      </c>
      <c r="R57" s="49"/>
      <c r="S57" s="49"/>
      <c r="T57" s="49"/>
      <c r="U57" s="49"/>
      <c r="V57" s="72"/>
      <c r="W57" s="72"/>
      <c r="X57" s="49" t="s">
        <v>39</v>
      </c>
      <c r="Y57" s="76">
        <v>5.55136</v>
      </c>
      <c r="Z57" s="77">
        <v>4</v>
      </c>
      <c r="AA57" s="72">
        <f t="shared" ref="AA57:AA60" si="145">H57-SUM(K57:P57)*H57-J57-I57/B57-Z57/B57</f>
        <v>2.71168761061947</v>
      </c>
      <c r="AB57" s="75">
        <f t="shared" ref="AB57:AB60" si="146">AA57/H57</f>
        <v>0.135652206634291</v>
      </c>
      <c r="AC57" s="49"/>
      <c r="AD57" s="78">
        <f t="shared" ref="AD57:AD60" si="147">J57/H57</f>
        <v>0.161580790395198</v>
      </c>
      <c r="AE57" s="74">
        <f t="shared" si="139"/>
        <v>0.175883205893786</v>
      </c>
      <c r="AF57" s="74">
        <f t="shared" si="140"/>
        <v>0.0270405473006774</v>
      </c>
      <c r="AG57" s="74">
        <v>0.15</v>
      </c>
      <c r="AH57" s="74">
        <f t="shared" ref="AH57:AH60" si="148">N57</f>
        <v>0.125062531265633</v>
      </c>
      <c r="AI57" s="74">
        <v>0.02</v>
      </c>
      <c r="AJ57" s="74">
        <f t="shared" ref="AJ57:AJ60" si="149">M57</f>
        <v>0.05</v>
      </c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</row>
    <row r="58" spans="1:75">
      <c r="A58" s="70" t="s">
        <v>56</v>
      </c>
      <c r="B58" s="71">
        <v>8</v>
      </c>
      <c r="C58" s="71" t="s">
        <v>44</v>
      </c>
      <c r="D58" s="71" t="s">
        <v>45</v>
      </c>
      <c r="E58" s="71" t="s">
        <v>38</v>
      </c>
      <c r="F58" s="72">
        <f t="shared" si="141"/>
        <v>13.9356718108305</v>
      </c>
      <c r="G58" s="72">
        <f t="shared" si="142"/>
        <v>25.7606639236113</v>
      </c>
      <c r="H58" s="73">
        <f>H57*0.9</f>
        <v>17.991</v>
      </c>
      <c r="I58" s="72">
        <f t="shared" si="143"/>
        <v>26.0176991150442</v>
      </c>
      <c r="J58" s="71">
        <v>3.23</v>
      </c>
      <c r="K58" s="74">
        <v>0.15</v>
      </c>
      <c r="L58" s="74">
        <v>0.16</v>
      </c>
      <c r="M58" s="74">
        <v>0.05</v>
      </c>
      <c r="N58" s="74">
        <f t="shared" si="144"/>
        <v>0.138958368072925</v>
      </c>
      <c r="O58" s="75">
        <v>0.01</v>
      </c>
      <c r="P58" s="74">
        <v>0.02</v>
      </c>
      <c r="Q58" s="72">
        <v>2.5</v>
      </c>
      <c r="R58" s="49"/>
      <c r="S58" s="49"/>
      <c r="T58" s="49"/>
      <c r="U58" s="49"/>
      <c r="V58" s="72"/>
      <c r="W58" s="72"/>
      <c r="X58" s="71" t="s">
        <v>39</v>
      </c>
      <c r="Y58" s="76">
        <v>5.55136</v>
      </c>
      <c r="Z58" s="77">
        <v>4</v>
      </c>
      <c r="AA58" s="72">
        <f t="shared" si="145"/>
        <v>1.49229761061947</v>
      </c>
      <c r="AB58" s="75">
        <f t="shared" si="146"/>
        <v>0.0829468962603228</v>
      </c>
      <c r="AC58" s="49"/>
      <c r="AD58" s="78">
        <f t="shared" si="147"/>
        <v>0.17953421155022</v>
      </c>
      <c r="AE58" s="74">
        <f t="shared" si="136"/>
        <v>0.180768850501947</v>
      </c>
      <c r="AF58" s="74">
        <f t="shared" si="137"/>
        <v>0.0277916736145851</v>
      </c>
      <c r="AG58" s="74">
        <f t="shared" si="138"/>
        <v>0.15</v>
      </c>
      <c r="AH58" s="74">
        <f t="shared" si="148"/>
        <v>0.138958368072925</v>
      </c>
      <c r="AI58" s="74">
        <v>0.02</v>
      </c>
      <c r="AJ58" s="74">
        <f t="shared" si="149"/>
        <v>0.05</v>
      </c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</row>
    <row r="59" spans="1:75">
      <c r="A59" s="70" t="s">
        <v>57</v>
      </c>
      <c r="B59" s="71">
        <v>8</v>
      </c>
      <c r="C59" s="71" t="s">
        <v>44</v>
      </c>
      <c r="D59" s="71" t="s">
        <v>45</v>
      </c>
      <c r="E59" s="71" t="s">
        <v>38</v>
      </c>
      <c r="F59" s="72">
        <f t="shared" si="141"/>
        <v>14.1667943109864</v>
      </c>
      <c r="G59" s="72">
        <f t="shared" si="142"/>
        <v>26.5617067924678</v>
      </c>
      <c r="H59" s="82">
        <f>H57*0.85</f>
        <v>16.9915</v>
      </c>
      <c r="I59" s="72">
        <f t="shared" si="143"/>
        <v>26.0176991150442</v>
      </c>
      <c r="J59" s="71">
        <v>3.23</v>
      </c>
      <c r="K59" s="74">
        <v>0.15</v>
      </c>
      <c r="L59" s="74">
        <v>0.16</v>
      </c>
      <c r="M59" s="74">
        <v>0.05</v>
      </c>
      <c r="N59" s="74">
        <f t="shared" si="144"/>
        <v>0.147132389724274</v>
      </c>
      <c r="O59" s="75">
        <v>0.01</v>
      </c>
      <c r="P59" s="74">
        <v>0.02</v>
      </c>
      <c r="Q59" s="72">
        <v>2.5</v>
      </c>
      <c r="R59" s="49"/>
      <c r="S59" s="49"/>
      <c r="T59" s="49"/>
      <c r="U59" s="49"/>
      <c r="V59" s="72"/>
      <c r="W59" s="72"/>
      <c r="X59" s="71" t="s">
        <v>39</v>
      </c>
      <c r="Y59" s="76">
        <v>5.55136</v>
      </c>
      <c r="Z59" s="77">
        <v>4</v>
      </c>
      <c r="AA59" s="72">
        <f t="shared" si="145"/>
        <v>0.882602610619467</v>
      </c>
      <c r="AB59" s="75">
        <f t="shared" si="146"/>
        <v>0.05194377251093</v>
      </c>
      <c r="AC59" s="49"/>
      <c r="AD59" s="78">
        <f t="shared" si="147"/>
        <v>0.190095047523762</v>
      </c>
      <c r="AE59" s="74">
        <f t="shared" si="136"/>
        <v>0.191402312296179</v>
      </c>
      <c r="AF59" s="74">
        <f t="shared" si="137"/>
        <v>0.0294264779448548</v>
      </c>
      <c r="AG59" s="74">
        <f t="shared" si="138"/>
        <v>0.15</v>
      </c>
      <c r="AH59" s="74">
        <f t="shared" si="148"/>
        <v>0.147132389724274</v>
      </c>
      <c r="AI59" s="74">
        <v>0.02</v>
      </c>
      <c r="AJ59" s="74">
        <f t="shared" si="149"/>
        <v>0.05</v>
      </c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</row>
    <row r="60" spans="1:75">
      <c r="A60" s="70" t="s">
        <v>58</v>
      </c>
      <c r="B60" s="71">
        <v>8</v>
      </c>
      <c r="C60" s="71" t="s">
        <v>44</v>
      </c>
      <c r="D60" s="71" t="s">
        <v>45</v>
      </c>
      <c r="E60" s="71" t="s">
        <v>38</v>
      </c>
      <c r="F60" s="72">
        <f t="shared" si="141"/>
        <v>14.4361449898745</v>
      </c>
      <c r="G60" s="72">
        <f t="shared" si="142"/>
        <v>27.5245864962269</v>
      </c>
      <c r="H60" s="73">
        <f>H57*0.8</f>
        <v>15.992</v>
      </c>
      <c r="I60" s="72">
        <f t="shared" si="143"/>
        <v>26.0176991150442</v>
      </c>
      <c r="J60" s="71">
        <v>3.23</v>
      </c>
      <c r="K60" s="74">
        <v>0.15</v>
      </c>
      <c r="L60" s="74">
        <v>0.16</v>
      </c>
      <c r="M60" s="74">
        <v>0.05</v>
      </c>
      <c r="N60" s="74">
        <f t="shared" si="144"/>
        <v>0.156328164082041</v>
      </c>
      <c r="O60" s="75">
        <v>0.01</v>
      </c>
      <c r="P60" s="74">
        <v>0.02</v>
      </c>
      <c r="Q60" s="72">
        <v>2.5</v>
      </c>
      <c r="R60" s="49"/>
      <c r="S60" s="49"/>
      <c r="T60" s="49"/>
      <c r="U60" s="49"/>
      <c r="V60" s="72"/>
      <c r="W60" s="72"/>
      <c r="X60" s="71" t="s">
        <v>39</v>
      </c>
      <c r="Y60" s="76">
        <v>5.55136</v>
      </c>
      <c r="Z60" s="77">
        <v>4</v>
      </c>
      <c r="AA60" s="72">
        <f t="shared" si="145"/>
        <v>0.272907610619468</v>
      </c>
      <c r="AB60" s="75">
        <f t="shared" si="146"/>
        <v>0.0170652582928632</v>
      </c>
      <c r="AC60" s="49"/>
      <c r="AD60" s="78">
        <f t="shared" si="147"/>
        <v>0.201975987993997</v>
      </c>
      <c r="AE60" s="74">
        <f t="shared" si="139"/>
        <v>0.219854007367233</v>
      </c>
      <c r="AF60" s="74">
        <f t="shared" si="140"/>
        <v>0.0338006841258467</v>
      </c>
      <c r="AG60" s="74">
        <v>0.15</v>
      </c>
      <c r="AH60" s="74">
        <f t="shared" si="148"/>
        <v>0.156328164082041</v>
      </c>
      <c r="AI60" s="74">
        <v>0.02</v>
      </c>
      <c r="AJ60" s="74">
        <f t="shared" si="149"/>
        <v>0.05</v>
      </c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</row>
    <row r="61" ht="21" customHeight="1" spans="1:75">
      <c r="A61" s="48"/>
      <c r="B61" s="48"/>
      <c r="C61" s="48"/>
      <c r="D61" s="48"/>
      <c r="E61" s="71"/>
      <c r="F61" s="72"/>
      <c r="G61" s="72"/>
      <c r="H61" s="71"/>
      <c r="I61" s="72"/>
      <c r="J61" s="71"/>
      <c r="K61" s="74"/>
      <c r="L61" s="74"/>
      <c r="M61" s="74"/>
      <c r="N61" s="74"/>
      <c r="O61" s="75"/>
      <c r="P61" s="74"/>
      <c r="Q61" s="75"/>
      <c r="R61" s="49"/>
      <c r="S61" s="49"/>
      <c r="T61" s="49"/>
      <c r="U61" s="49"/>
      <c r="V61" s="72"/>
      <c r="W61" s="72"/>
      <c r="X61" s="71"/>
      <c r="Y61" s="76"/>
      <c r="Z61" s="72"/>
      <c r="AA61" s="72"/>
      <c r="AB61" s="75"/>
      <c r="AC61" s="49"/>
      <c r="AD61" s="78"/>
      <c r="AE61" s="74"/>
      <c r="AF61" s="74"/>
      <c r="AG61" s="74"/>
      <c r="AH61" s="74"/>
      <c r="AI61" s="74"/>
      <c r="AJ61" s="74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</row>
    <row r="62" spans="1:75">
      <c r="A62" s="80" t="s">
        <v>55</v>
      </c>
      <c r="B62" s="71">
        <v>8</v>
      </c>
      <c r="C62" s="49" t="s">
        <v>47</v>
      </c>
      <c r="D62" s="49" t="s">
        <v>48</v>
      </c>
      <c r="E62" s="71" t="s">
        <v>38</v>
      </c>
      <c r="F62" s="72">
        <f t="shared" ref="F62:F65" si="150">IF(E62="有",(I62/B62+J62+Z62/B62)/(0.99999-K62-L62-M62-N62),(I62/B62+J62+Z62/B62)/(0.99999-K62-M62-N62))</f>
        <v>12.6662739616734</v>
      </c>
      <c r="G62" s="72">
        <f t="shared" ref="G62:G65" si="151">IF(E62="有",(I62/B62+J62+Z62/B62)/(0.8-K62-L62-M62-N62-O62-P62),(I62/B62+J62+Z62/B62)/(0.8-K62-M62-N62-O62-P62))</f>
        <v>22.8899779953505</v>
      </c>
      <c r="H62" s="73">
        <v>19.99</v>
      </c>
      <c r="I62" s="72">
        <f t="shared" ref="I62:I65" si="152">29.4/1.13</f>
        <v>26.0176991150442</v>
      </c>
      <c r="J62" s="49">
        <v>2.77</v>
      </c>
      <c r="K62" s="74">
        <v>0.15</v>
      </c>
      <c r="L62" s="74">
        <v>0.16</v>
      </c>
      <c r="M62" s="74">
        <v>0.05</v>
      </c>
      <c r="N62" s="74">
        <f t="shared" ref="N62:N65" si="153">Q62/H62</f>
        <v>0.125062531265633</v>
      </c>
      <c r="O62" s="75">
        <v>0.01</v>
      </c>
      <c r="P62" s="74">
        <v>0.02</v>
      </c>
      <c r="Q62" s="72">
        <v>2.5</v>
      </c>
      <c r="R62" s="49"/>
      <c r="S62" s="49"/>
      <c r="T62" s="49"/>
      <c r="U62" s="49"/>
      <c r="V62" s="72"/>
      <c r="W62" s="72"/>
      <c r="X62" s="49" t="s">
        <v>39</v>
      </c>
      <c r="Y62" s="76">
        <v>5.55136</v>
      </c>
      <c r="Z62" s="77">
        <v>4</v>
      </c>
      <c r="AA62" s="72">
        <f t="shared" ref="AA62:AA65" si="154">H62-SUM(K62:P62)*H62-J62-I62/B62-Z62/B62</f>
        <v>3.17168761061947</v>
      </c>
      <c r="AB62" s="75">
        <f t="shared" ref="AB62:AB65" si="155">AA62/H62</f>
        <v>0.158663712387167</v>
      </c>
      <c r="AC62" s="49"/>
      <c r="AD62" s="78">
        <f t="shared" ref="AD62:AD65" si="156">J62/H62</f>
        <v>0.138569284642321</v>
      </c>
      <c r="AE62" s="74">
        <f t="shared" ref="AE62:AE67" si="157">I62/7.4/H62</f>
        <v>0.175883205893786</v>
      </c>
      <c r="AF62" s="74">
        <f t="shared" ref="AF62:AF67" si="158">Z62/7.4/H62</f>
        <v>0.0270405473006774</v>
      </c>
      <c r="AG62" s="74">
        <v>0.15</v>
      </c>
      <c r="AH62" s="74">
        <f t="shared" ref="AH62:AH65" si="159">N62</f>
        <v>0.125062531265633</v>
      </c>
      <c r="AI62" s="74">
        <v>0.02</v>
      </c>
      <c r="AJ62" s="74">
        <f t="shared" ref="AJ62:AJ65" si="160">M62</f>
        <v>0.05</v>
      </c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</row>
    <row r="63" spans="1:75">
      <c r="A63" s="70" t="s">
        <v>56</v>
      </c>
      <c r="B63" s="71">
        <v>8</v>
      </c>
      <c r="C63" s="71" t="s">
        <v>47</v>
      </c>
      <c r="D63" s="71" t="s">
        <v>48</v>
      </c>
      <c r="E63" s="71" t="s">
        <v>38</v>
      </c>
      <c r="F63" s="72">
        <f t="shared" si="150"/>
        <v>13.0175661051473</v>
      </c>
      <c r="G63" s="72">
        <f t="shared" si="151"/>
        <v>24.0635076722655</v>
      </c>
      <c r="H63" s="73">
        <f>H62*0.9</f>
        <v>17.991</v>
      </c>
      <c r="I63" s="72">
        <f t="shared" si="152"/>
        <v>26.0176991150442</v>
      </c>
      <c r="J63" s="71">
        <v>2.77</v>
      </c>
      <c r="K63" s="74">
        <v>0.15</v>
      </c>
      <c r="L63" s="74">
        <v>0.16</v>
      </c>
      <c r="M63" s="74">
        <v>0.05</v>
      </c>
      <c r="N63" s="74">
        <f t="shared" si="153"/>
        <v>0.138958368072925</v>
      </c>
      <c r="O63" s="75">
        <v>0.01</v>
      </c>
      <c r="P63" s="74">
        <v>0.02</v>
      </c>
      <c r="Q63" s="72">
        <v>2.5</v>
      </c>
      <c r="R63" s="49"/>
      <c r="S63" s="49"/>
      <c r="T63" s="49"/>
      <c r="U63" s="49"/>
      <c r="V63" s="72"/>
      <c r="W63" s="72"/>
      <c r="X63" s="71" t="s">
        <v>39</v>
      </c>
      <c r="Y63" s="76">
        <v>5.55136</v>
      </c>
      <c r="Z63" s="77">
        <v>4</v>
      </c>
      <c r="AA63" s="72">
        <f t="shared" si="154"/>
        <v>1.95229761061947</v>
      </c>
      <c r="AB63" s="75">
        <f t="shared" si="155"/>
        <v>0.108515235985741</v>
      </c>
      <c r="AC63" s="49"/>
      <c r="AD63" s="78">
        <f t="shared" si="156"/>
        <v>0.153965871824801</v>
      </c>
      <c r="AE63" s="74">
        <f t="shared" ref="AE63:AE69" si="161">I63/B63/H63</f>
        <v>0.180768850501947</v>
      </c>
      <c r="AF63" s="74">
        <f t="shared" ref="AF63:AF69" si="162">Z63/B63/H63</f>
        <v>0.0277916736145851</v>
      </c>
      <c r="AG63" s="74">
        <f t="shared" ref="AG63:AG69" si="163">K63</f>
        <v>0.15</v>
      </c>
      <c r="AH63" s="74">
        <f t="shared" si="159"/>
        <v>0.138958368072925</v>
      </c>
      <c r="AI63" s="74">
        <v>0.02</v>
      </c>
      <c r="AJ63" s="74">
        <f t="shared" si="160"/>
        <v>0.05</v>
      </c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</row>
    <row r="64" spans="1:75">
      <c r="A64" s="70" t="s">
        <v>57</v>
      </c>
      <c r="B64" s="71">
        <v>8</v>
      </c>
      <c r="C64" s="71" t="s">
        <v>47</v>
      </c>
      <c r="D64" s="71" t="s">
        <v>48</v>
      </c>
      <c r="E64" s="71" t="s">
        <v>38</v>
      </c>
      <c r="F64" s="72">
        <f t="shared" si="150"/>
        <v>13.2334618628121</v>
      </c>
      <c r="G64" s="72">
        <f t="shared" si="151"/>
        <v>24.8117764776698</v>
      </c>
      <c r="H64" s="82">
        <f>H62*0.85</f>
        <v>16.9915</v>
      </c>
      <c r="I64" s="72">
        <f t="shared" si="152"/>
        <v>26.0176991150442</v>
      </c>
      <c r="J64" s="71">
        <v>2.77</v>
      </c>
      <c r="K64" s="74">
        <v>0.15</v>
      </c>
      <c r="L64" s="74">
        <v>0.16</v>
      </c>
      <c r="M64" s="74">
        <v>0.05</v>
      </c>
      <c r="N64" s="74">
        <f t="shared" si="153"/>
        <v>0.147132389724274</v>
      </c>
      <c r="O64" s="75">
        <v>0.01</v>
      </c>
      <c r="P64" s="74">
        <v>0.02</v>
      </c>
      <c r="Q64" s="72">
        <v>2.5</v>
      </c>
      <c r="R64" s="49"/>
      <c r="S64" s="49"/>
      <c r="T64" s="49"/>
      <c r="U64" s="49"/>
      <c r="V64" s="72"/>
      <c r="W64" s="72"/>
      <c r="X64" s="71" t="s">
        <v>39</v>
      </c>
      <c r="Y64" s="76">
        <v>5.55136</v>
      </c>
      <c r="Z64" s="77">
        <v>4</v>
      </c>
      <c r="AA64" s="72">
        <f t="shared" si="154"/>
        <v>1.34260261061947</v>
      </c>
      <c r="AB64" s="75">
        <f t="shared" si="155"/>
        <v>0.0790161322201964</v>
      </c>
      <c r="AC64" s="49"/>
      <c r="AD64" s="78">
        <f t="shared" si="156"/>
        <v>0.163022687814495</v>
      </c>
      <c r="AE64" s="74">
        <f t="shared" si="161"/>
        <v>0.191402312296179</v>
      </c>
      <c r="AF64" s="74">
        <f t="shared" si="162"/>
        <v>0.0294264779448548</v>
      </c>
      <c r="AG64" s="74">
        <f t="shared" si="163"/>
        <v>0.15</v>
      </c>
      <c r="AH64" s="74">
        <f t="shared" si="159"/>
        <v>0.147132389724274</v>
      </c>
      <c r="AI64" s="74">
        <v>0.02</v>
      </c>
      <c r="AJ64" s="74">
        <f t="shared" si="160"/>
        <v>0.05</v>
      </c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</row>
    <row r="65" spans="1:75">
      <c r="A65" s="70" t="s">
        <v>58</v>
      </c>
      <c r="B65" s="71">
        <v>8</v>
      </c>
      <c r="C65" s="71" t="s">
        <v>47</v>
      </c>
      <c r="D65" s="71" t="s">
        <v>48</v>
      </c>
      <c r="E65" s="71" t="s">
        <v>38</v>
      </c>
      <c r="F65" s="72">
        <f t="shared" si="150"/>
        <v>13.4850672619265</v>
      </c>
      <c r="G65" s="72">
        <f t="shared" si="151"/>
        <v>25.71122003268</v>
      </c>
      <c r="H65" s="73">
        <f>H62*0.8</f>
        <v>15.992</v>
      </c>
      <c r="I65" s="72">
        <f t="shared" si="152"/>
        <v>26.0176991150442</v>
      </c>
      <c r="J65" s="71">
        <v>2.77</v>
      </c>
      <c r="K65" s="74">
        <v>0.15</v>
      </c>
      <c r="L65" s="74">
        <v>0.16</v>
      </c>
      <c r="M65" s="74">
        <v>0.05</v>
      </c>
      <c r="N65" s="74">
        <f t="shared" si="153"/>
        <v>0.156328164082041</v>
      </c>
      <c r="O65" s="75">
        <v>0.01</v>
      </c>
      <c r="P65" s="74">
        <v>0.02</v>
      </c>
      <c r="Q65" s="72">
        <v>2.5</v>
      </c>
      <c r="R65" s="49"/>
      <c r="S65" s="49"/>
      <c r="T65" s="49"/>
      <c r="U65" s="49"/>
      <c r="V65" s="72"/>
      <c r="W65" s="72"/>
      <c r="X65" s="71" t="s">
        <v>39</v>
      </c>
      <c r="Y65" s="76">
        <v>5.55136</v>
      </c>
      <c r="Z65" s="77">
        <v>4</v>
      </c>
      <c r="AA65" s="72">
        <f t="shared" si="154"/>
        <v>0.732907610619469</v>
      </c>
      <c r="AB65" s="75">
        <f t="shared" si="155"/>
        <v>0.0458296404839588</v>
      </c>
      <c r="AC65" s="49"/>
      <c r="AD65" s="78">
        <f t="shared" si="156"/>
        <v>0.173211605802901</v>
      </c>
      <c r="AE65" s="74">
        <f t="shared" si="157"/>
        <v>0.219854007367233</v>
      </c>
      <c r="AF65" s="74">
        <f t="shared" si="158"/>
        <v>0.0338006841258467</v>
      </c>
      <c r="AG65" s="74">
        <v>0.15</v>
      </c>
      <c r="AH65" s="74">
        <f t="shared" si="159"/>
        <v>0.156328164082041</v>
      </c>
      <c r="AI65" s="74">
        <v>0.02</v>
      </c>
      <c r="AJ65" s="74">
        <f t="shared" si="160"/>
        <v>0.05</v>
      </c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</row>
    <row r="66" spans="1:75">
      <c r="A66" s="83"/>
      <c r="B66" s="71"/>
      <c r="C66" s="71"/>
      <c r="D66" s="71"/>
      <c r="E66" s="71"/>
      <c r="F66" s="72"/>
      <c r="G66" s="72"/>
      <c r="H66" s="79"/>
      <c r="I66" s="72"/>
      <c r="J66" s="49"/>
      <c r="K66" s="74"/>
      <c r="L66" s="74"/>
      <c r="M66" s="74"/>
      <c r="N66" s="74"/>
      <c r="O66" s="75"/>
      <c r="P66" s="74"/>
      <c r="Q66" s="72"/>
      <c r="R66" s="49"/>
      <c r="S66" s="49"/>
      <c r="T66" s="49"/>
      <c r="U66" s="49"/>
      <c r="V66" s="72"/>
      <c r="W66" s="72"/>
      <c r="X66" s="49"/>
      <c r="Y66" s="76"/>
      <c r="Z66" s="72"/>
      <c r="AA66" s="72"/>
      <c r="AB66" s="75"/>
      <c r="AC66" s="49"/>
      <c r="AD66" s="78"/>
      <c r="AE66" s="74"/>
      <c r="AF66" s="74"/>
      <c r="AG66" s="74"/>
      <c r="AH66" s="74"/>
      <c r="AI66" s="74"/>
      <c r="AJ66" s="74"/>
    </row>
    <row r="67" spans="1:75">
      <c r="A67" s="81" t="s">
        <v>59</v>
      </c>
      <c r="B67" s="71">
        <v>8</v>
      </c>
      <c r="C67" s="71" t="s">
        <v>36</v>
      </c>
      <c r="D67" s="71" t="s">
        <v>37</v>
      </c>
      <c r="E67" s="71" t="s">
        <v>38</v>
      </c>
      <c r="F67" s="72">
        <f t="shared" ref="F67:F70" si="164">IF(E67="有",(I67/B67+J67+Z67/B67)/(0.99999-K67-L67-M67-N67),(I67/B67+J67+Z67/B67)/(0.99999-K67-M67-N67))</f>
        <v>25.7864962931679</v>
      </c>
      <c r="G67" s="72">
        <f t="shared" ref="G67:G70" si="165">IF(E67="有",(I67/B67+J67+Z67/B67)/(0.8-K67-L67-M67-N67-O67-P67),(I67/B67+J67+Z67/B67)/(0.8-K67-M67-N67-O67-P67))</f>
        <v>44.919124415031</v>
      </c>
      <c r="H67" s="73">
        <v>39.99</v>
      </c>
      <c r="I67" s="72">
        <f t="shared" ref="I67:I70" si="166">80.4/1.13</f>
        <v>71.1504424778761</v>
      </c>
      <c r="J67" s="49">
        <v>4.03</v>
      </c>
      <c r="K67" s="74">
        <v>0.15</v>
      </c>
      <c r="L67" s="74">
        <v>0.16</v>
      </c>
      <c r="M67" s="74">
        <v>0.05</v>
      </c>
      <c r="N67" s="74">
        <f t="shared" ref="N67:N70" si="167">Q67/H67</f>
        <v>0.100025006251563</v>
      </c>
      <c r="O67" s="75">
        <v>0.01</v>
      </c>
      <c r="P67" s="74">
        <v>0.02</v>
      </c>
      <c r="Q67" s="72">
        <v>4</v>
      </c>
      <c r="R67" s="49"/>
      <c r="S67" s="49"/>
      <c r="T67" s="49"/>
      <c r="U67" s="49"/>
      <c r="V67" s="72"/>
      <c r="W67" s="72"/>
      <c r="X67" s="49" t="s">
        <v>39</v>
      </c>
      <c r="Y67" s="76">
        <v>5.55136</v>
      </c>
      <c r="Z67" s="77">
        <v>8</v>
      </c>
      <c r="AA67" s="72">
        <f t="shared" ref="AA67:AA70" si="168">H67-SUM(K67:P67)*H67-J67-I67/B67-Z67/B67</f>
        <v>6.47009469026549</v>
      </c>
      <c r="AB67" s="75">
        <f t="shared" ref="AB67:AB70" si="169">AA67/H67</f>
        <v>0.161792815460502</v>
      </c>
      <c r="AC67" s="49"/>
      <c r="AD67" s="78">
        <f t="shared" ref="AD67:AD70" si="170">J67/H67</f>
        <v>0.10077519379845</v>
      </c>
      <c r="AE67" s="74">
        <f t="shared" si="157"/>
        <v>0.240433224785508</v>
      </c>
      <c r="AF67" s="74">
        <f t="shared" si="158"/>
        <v>0.0270337854733954</v>
      </c>
      <c r="AG67" s="74">
        <v>0.15</v>
      </c>
      <c r="AH67" s="74">
        <f t="shared" ref="AH67:AH70" si="171">N67</f>
        <v>0.100025006251563</v>
      </c>
      <c r="AI67" s="74">
        <v>0.02</v>
      </c>
      <c r="AJ67" s="74">
        <f t="shared" ref="AJ67:AJ70" si="172">M67</f>
        <v>0.05</v>
      </c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</row>
    <row r="68" spans="1:75">
      <c r="A68" s="81" t="s">
        <v>60</v>
      </c>
      <c r="B68" s="71">
        <v>8</v>
      </c>
      <c r="C68" s="71" t="s">
        <v>36</v>
      </c>
      <c r="D68" s="71" t="s">
        <v>37</v>
      </c>
      <c r="E68" s="71" t="s">
        <v>38</v>
      </c>
      <c r="F68" s="72">
        <f t="shared" si="164"/>
        <v>26.3284035904975</v>
      </c>
      <c r="G68" s="72">
        <f t="shared" si="165"/>
        <v>46.589553192745</v>
      </c>
      <c r="H68" s="73">
        <f>H67*0.9</f>
        <v>35.991</v>
      </c>
      <c r="I68" s="72">
        <f t="shared" si="166"/>
        <v>71.1504424778761</v>
      </c>
      <c r="J68" s="71">
        <v>4.03</v>
      </c>
      <c r="K68" s="74">
        <v>0.15</v>
      </c>
      <c r="L68" s="74">
        <v>0.16</v>
      </c>
      <c r="M68" s="74">
        <v>0.05</v>
      </c>
      <c r="N68" s="74">
        <f t="shared" si="167"/>
        <v>0.11113889583507</v>
      </c>
      <c r="O68" s="75">
        <v>0.01</v>
      </c>
      <c r="P68" s="74">
        <v>0.02</v>
      </c>
      <c r="Q68" s="72">
        <v>4</v>
      </c>
      <c r="R68" s="49"/>
      <c r="S68" s="49"/>
      <c r="T68" s="49"/>
      <c r="U68" s="49"/>
      <c r="V68" s="72"/>
      <c r="W68" s="72"/>
      <c r="X68" s="71" t="s">
        <v>39</v>
      </c>
      <c r="Y68" s="76">
        <v>5.55136</v>
      </c>
      <c r="Z68" s="77">
        <v>8</v>
      </c>
      <c r="AA68" s="72">
        <f t="shared" si="168"/>
        <v>4.03070469026548</v>
      </c>
      <c r="AB68" s="75">
        <f t="shared" si="169"/>
        <v>0.111992017178336</v>
      </c>
      <c r="AC68" s="49"/>
      <c r="AD68" s="78">
        <f t="shared" si="170"/>
        <v>0.111972437553833</v>
      </c>
      <c r="AE68" s="74">
        <f t="shared" si="161"/>
        <v>0.247111925473994</v>
      </c>
      <c r="AF68" s="74">
        <f t="shared" si="162"/>
        <v>0.0277847239587675</v>
      </c>
      <c r="AG68" s="74">
        <f t="shared" si="163"/>
        <v>0.15</v>
      </c>
      <c r="AH68" s="74">
        <f t="shared" si="171"/>
        <v>0.11113889583507</v>
      </c>
      <c r="AI68" s="74">
        <v>0.02</v>
      </c>
      <c r="AJ68" s="74">
        <f t="shared" si="172"/>
        <v>0.05</v>
      </c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</row>
    <row r="69" spans="1:75">
      <c r="A69" s="81" t="s">
        <v>61</v>
      </c>
      <c r="B69" s="71">
        <v>8</v>
      </c>
      <c r="C69" s="71" t="s">
        <v>36</v>
      </c>
      <c r="D69" s="71" t="s">
        <v>37</v>
      </c>
      <c r="E69" s="71" t="s">
        <v>38</v>
      </c>
      <c r="F69" s="72">
        <f t="shared" si="164"/>
        <v>26.6579453177845</v>
      </c>
      <c r="G69" s="72">
        <f t="shared" si="165"/>
        <v>47.6314913413647</v>
      </c>
      <c r="H69" s="82">
        <f>H67*0.85</f>
        <v>33.9915</v>
      </c>
      <c r="I69" s="72">
        <f t="shared" si="166"/>
        <v>71.1504424778761</v>
      </c>
      <c r="J69" s="71">
        <v>4.03</v>
      </c>
      <c r="K69" s="74">
        <v>0.15</v>
      </c>
      <c r="L69" s="74">
        <v>0.16</v>
      </c>
      <c r="M69" s="74">
        <v>0.05</v>
      </c>
      <c r="N69" s="74">
        <f t="shared" si="167"/>
        <v>0.117676477943015</v>
      </c>
      <c r="O69" s="75">
        <v>0.01</v>
      </c>
      <c r="P69" s="74">
        <v>0.02</v>
      </c>
      <c r="Q69" s="72">
        <v>4</v>
      </c>
      <c r="R69" s="49"/>
      <c r="S69" s="49"/>
      <c r="T69" s="49"/>
      <c r="U69" s="49"/>
      <c r="V69" s="72"/>
      <c r="W69" s="72"/>
      <c r="X69" s="71" t="s">
        <v>39</v>
      </c>
      <c r="Y69" s="76">
        <v>5.55136</v>
      </c>
      <c r="Z69" s="77">
        <v>8</v>
      </c>
      <c r="AA69" s="72">
        <f t="shared" si="168"/>
        <v>2.81100969026549</v>
      </c>
      <c r="AB69" s="75">
        <f t="shared" si="169"/>
        <v>0.0826974299535321</v>
      </c>
      <c r="AC69" s="49"/>
      <c r="AD69" s="78">
        <f t="shared" si="170"/>
        <v>0.118559051527588</v>
      </c>
      <c r="AE69" s="74">
        <f t="shared" si="161"/>
        <v>0.261647921090111</v>
      </c>
      <c r="AF69" s="74">
        <f t="shared" si="162"/>
        <v>0.0294191194857538</v>
      </c>
      <c r="AG69" s="74">
        <f t="shared" si="163"/>
        <v>0.15</v>
      </c>
      <c r="AH69" s="74">
        <f t="shared" si="171"/>
        <v>0.117676477943015</v>
      </c>
      <c r="AI69" s="74">
        <v>0.02</v>
      </c>
      <c r="AJ69" s="74">
        <f t="shared" si="172"/>
        <v>0.05</v>
      </c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</row>
    <row r="70" spans="1:75">
      <c r="A70" s="81" t="s">
        <v>62</v>
      </c>
      <c r="B70" s="71">
        <v>8</v>
      </c>
      <c r="C70" s="71" t="s">
        <v>36</v>
      </c>
      <c r="D70" s="71" t="s">
        <v>37</v>
      </c>
      <c r="E70" s="71" t="s">
        <v>38</v>
      </c>
      <c r="F70" s="72">
        <f t="shared" si="164"/>
        <v>27.038681294428</v>
      </c>
      <c r="G70" s="72">
        <f t="shared" si="165"/>
        <v>48.8608161124864</v>
      </c>
      <c r="H70" s="73">
        <f>H67*0.8</f>
        <v>31.992</v>
      </c>
      <c r="I70" s="72">
        <f t="shared" si="166"/>
        <v>71.1504424778761</v>
      </c>
      <c r="J70" s="71">
        <v>4.03</v>
      </c>
      <c r="K70" s="74">
        <v>0.15</v>
      </c>
      <c r="L70" s="74">
        <v>0.16</v>
      </c>
      <c r="M70" s="74">
        <v>0.05</v>
      </c>
      <c r="N70" s="74">
        <f t="shared" si="167"/>
        <v>0.125031257814454</v>
      </c>
      <c r="O70" s="75">
        <v>0.01</v>
      </c>
      <c r="P70" s="74">
        <v>0.02</v>
      </c>
      <c r="Q70" s="72">
        <v>4</v>
      </c>
      <c r="R70" s="49"/>
      <c r="S70" s="49"/>
      <c r="T70" s="49"/>
      <c r="U70" s="49"/>
      <c r="V70" s="72"/>
      <c r="W70" s="72"/>
      <c r="X70" s="71" t="s">
        <v>39</v>
      </c>
      <c r="Y70" s="76">
        <v>5.55136</v>
      </c>
      <c r="Z70" s="77">
        <v>8</v>
      </c>
      <c r="AA70" s="72">
        <f t="shared" si="168"/>
        <v>1.59131469026549</v>
      </c>
      <c r="AB70" s="75">
        <f t="shared" si="169"/>
        <v>0.0497410193256279</v>
      </c>
      <c r="AC70" s="49"/>
      <c r="AD70" s="78">
        <f t="shared" si="170"/>
        <v>0.125968992248062</v>
      </c>
      <c r="AE70" s="74">
        <f t="shared" ref="AE70:AE75" si="173">I70/7.4/H70</f>
        <v>0.300541530981884</v>
      </c>
      <c r="AF70" s="74">
        <f t="shared" ref="AF70:AF75" si="174">Z70/7.4/H70</f>
        <v>0.0337922318417442</v>
      </c>
      <c r="AG70" s="74">
        <v>0.15</v>
      </c>
      <c r="AH70" s="74">
        <f t="shared" si="171"/>
        <v>0.125031257814454</v>
      </c>
      <c r="AI70" s="74">
        <v>0.02</v>
      </c>
      <c r="AJ70" s="74">
        <f t="shared" si="172"/>
        <v>0.05</v>
      </c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</row>
    <row r="71" ht="21" customHeight="1" spans="1:75">
      <c r="A71" s="48"/>
      <c r="B71" s="48"/>
      <c r="C71" s="48"/>
      <c r="D71" s="48"/>
      <c r="E71" s="71"/>
      <c r="F71" s="72"/>
      <c r="G71" s="72"/>
      <c r="H71" s="71"/>
      <c r="I71" s="72"/>
      <c r="J71" s="71"/>
      <c r="K71" s="74"/>
      <c r="L71" s="74"/>
      <c r="M71" s="74"/>
      <c r="N71" s="74"/>
      <c r="O71" s="75"/>
      <c r="P71" s="74"/>
      <c r="Q71" s="74"/>
      <c r="R71" s="49"/>
      <c r="S71" s="49"/>
      <c r="T71" s="49"/>
      <c r="U71" s="49"/>
      <c r="V71" s="72"/>
      <c r="W71" s="72"/>
      <c r="X71" s="71"/>
      <c r="Y71" s="76"/>
      <c r="Z71" s="72"/>
      <c r="AA71" s="72"/>
      <c r="AB71" s="75"/>
      <c r="AC71" s="49"/>
      <c r="AD71" s="78"/>
      <c r="AE71" s="74"/>
      <c r="AF71" s="74"/>
      <c r="AG71" s="74"/>
      <c r="AH71" s="74"/>
      <c r="AI71" s="74"/>
      <c r="AJ71" s="74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</row>
    <row r="72" spans="1:75">
      <c r="A72" s="84" t="s">
        <v>59</v>
      </c>
      <c r="B72" s="71">
        <v>8</v>
      </c>
      <c r="C72" s="49" t="s">
        <v>42</v>
      </c>
      <c r="D72" s="49" t="s">
        <v>43</v>
      </c>
      <c r="E72" s="71" t="s">
        <v>38</v>
      </c>
      <c r="F72" s="72">
        <f t="shared" ref="F72:F75" si="175">IF(E72="有",(I72/B72+J72+Z72/B72)/(0.99999-K72-L72-M72-N72),(I72/B72+J72+Z72/B72)/(0.99999-K72-M72-N72))</f>
        <v>29.1941246048233</v>
      </c>
      <c r="G72" s="72">
        <f t="shared" ref="G72:G75" si="176">IF(E72="有",(I72/B72+J72+Z72/B72)/(0.8-K72-L72-M72-N72-O72-P72),(I72/B72+J72+Z72/B72)/(0.8-K72-M72-N72-O72-P72))</f>
        <v>50.8550871123745</v>
      </c>
      <c r="H72" s="73">
        <v>39.99</v>
      </c>
      <c r="I72" s="72">
        <f t="shared" ref="I72:I75" si="177">80.4/1.13</f>
        <v>71.1504424778761</v>
      </c>
      <c r="J72" s="49">
        <v>5.87</v>
      </c>
      <c r="K72" s="74">
        <v>0.15</v>
      </c>
      <c r="L72" s="74">
        <v>0.16</v>
      </c>
      <c r="M72" s="74">
        <v>0.05</v>
      </c>
      <c r="N72" s="74">
        <f t="shared" ref="N72:N75" si="178">Q72/H72</f>
        <v>0.100025006251563</v>
      </c>
      <c r="O72" s="75">
        <v>0.01</v>
      </c>
      <c r="P72" s="74">
        <v>0.02</v>
      </c>
      <c r="Q72" s="72">
        <v>4</v>
      </c>
      <c r="R72" s="49"/>
      <c r="S72" s="49"/>
      <c r="T72" s="49"/>
      <c r="U72" s="49"/>
      <c r="V72" s="72"/>
      <c r="W72" s="72"/>
      <c r="X72" s="49" t="s">
        <v>39</v>
      </c>
      <c r="Y72" s="76">
        <v>5.55136</v>
      </c>
      <c r="Z72" s="77">
        <v>8</v>
      </c>
      <c r="AA72" s="72">
        <f t="shared" ref="AA72:AA75" si="179">H72-SUM(K72:P72)*H72-J72-I72/B72-Z72/B72</f>
        <v>4.63009469026549</v>
      </c>
      <c r="AB72" s="75">
        <f t="shared" ref="AB72:AB75" si="180">AA72/H72</f>
        <v>0.115781312584783</v>
      </c>
      <c r="AC72" s="49"/>
      <c r="AD72" s="78">
        <f t="shared" ref="AD72:AD75" si="181">J72/H72</f>
        <v>0.146786696674169</v>
      </c>
      <c r="AE72" s="74">
        <f t="shared" si="173"/>
        <v>0.240433224785508</v>
      </c>
      <c r="AF72" s="74">
        <f t="shared" si="174"/>
        <v>0.0270337854733954</v>
      </c>
      <c r="AG72" s="74">
        <v>0.15</v>
      </c>
      <c r="AH72" s="74">
        <f t="shared" ref="AH72:AH75" si="182">N72</f>
        <v>0.100025006251563</v>
      </c>
      <c r="AI72" s="74">
        <v>0.02</v>
      </c>
      <c r="AJ72" s="74">
        <f t="shared" ref="AJ72:AJ75" si="183">M72</f>
        <v>0.05</v>
      </c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</row>
    <row r="73" spans="1:75">
      <c r="A73" s="81" t="s">
        <v>60</v>
      </c>
      <c r="B73" s="71">
        <v>8</v>
      </c>
      <c r="C73" s="71" t="s">
        <v>42</v>
      </c>
      <c r="D73" s="71" t="s">
        <v>43</v>
      </c>
      <c r="E73" s="71" t="s">
        <v>38</v>
      </c>
      <c r="F73" s="72">
        <f t="shared" si="175"/>
        <v>29.8076437499851</v>
      </c>
      <c r="G73" s="72">
        <f t="shared" si="176"/>
        <v>52.7462593494102</v>
      </c>
      <c r="H73" s="73">
        <f>H72*0.9</f>
        <v>35.991</v>
      </c>
      <c r="I73" s="72">
        <f t="shared" si="177"/>
        <v>71.1504424778761</v>
      </c>
      <c r="J73" s="71">
        <v>5.87</v>
      </c>
      <c r="K73" s="74">
        <v>0.15</v>
      </c>
      <c r="L73" s="74">
        <v>0.16</v>
      </c>
      <c r="M73" s="74">
        <v>0.05</v>
      </c>
      <c r="N73" s="74">
        <f t="shared" si="178"/>
        <v>0.11113889583507</v>
      </c>
      <c r="O73" s="75">
        <v>0.01</v>
      </c>
      <c r="P73" s="74">
        <v>0.02</v>
      </c>
      <c r="Q73" s="72">
        <v>4</v>
      </c>
      <c r="R73" s="49"/>
      <c r="S73" s="49"/>
      <c r="T73" s="49"/>
      <c r="U73" s="49"/>
      <c r="V73" s="72"/>
      <c r="W73" s="72"/>
      <c r="X73" s="71" t="s">
        <v>39</v>
      </c>
      <c r="Y73" s="76">
        <v>5.55136</v>
      </c>
      <c r="Z73" s="77">
        <v>8</v>
      </c>
      <c r="AA73" s="72">
        <f t="shared" si="179"/>
        <v>2.19070469026548</v>
      </c>
      <c r="AB73" s="75">
        <f t="shared" si="180"/>
        <v>0.0608681250942037</v>
      </c>
      <c r="AC73" s="49"/>
      <c r="AD73" s="78">
        <f t="shared" si="181"/>
        <v>0.163096329637965</v>
      </c>
      <c r="AE73" s="74">
        <f t="shared" ref="AE73:AE79" si="184">I73/B73/H73</f>
        <v>0.247111925473994</v>
      </c>
      <c r="AF73" s="74">
        <f t="shared" ref="AF73:AF79" si="185">Z73/B73/H73</f>
        <v>0.0277847239587675</v>
      </c>
      <c r="AG73" s="74">
        <f t="shared" ref="AG73:AG79" si="186">K73</f>
        <v>0.15</v>
      </c>
      <c r="AH73" s="74">
        <f t="shared" si="182"/>
        <v>0.11113889583507</v>
      </c>
      <c r="AI73" s="74">
        <v>0.02</v>
      </c>
      <c r="AJ73" s="74">
        <f t="shared" si="183"/>
        <v>0.05</v>
      </c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</row>
    <row r="74" spans="1:75">
      <c r="A74" s="81" t="s">
        <v>61</v>
      </c>
      <c r="B74" s="71">
        <v>8</v>
      </c>
      <c r="C74" s="71" t="s">
        <v>42</v>
      </c>
      <c r="D74" s="71" t="s">
        <v>43</v>
      </c>
      <c r="E74" s="71" t="s">
        <v>38</v>
      </c>
      <c r="F74" s="72">
        <f t="shared" si="175"/>
        <v>30.1807336858774</v>
      </c>
      <c r="G74" s="72">
        <f t="shared" si="176"/>
        <v>53.9258873141983</v>
      </c>
      <c r="H74" s="82">
        <f>H72*0.85</f>
        <v>33.9915</v>
      </c>
      <c r="I74" s="72">
        <f t="shared" si="177"/>
        <v>71.1504424778761</v>
      </c>
      <c r="J74" s="71">
        <v>5.87</v>
      </c>
      <c r="K74" s="74">
        <v>0.15</v>
      </c>
      <c r="L74" s="74">
        <v>0.16</v>
      </c>
      <c r="M74" s="74">
        <v>0.05</v>
      </c>
      <c r="N74" s="74">
        <f t="shared" si="178"/>
        <v>0.117676477943015</v>
      </c>
      <c r="O74" s="75">
        <v>0.01</v>
      </c>
      <c r="P74" s="74">
        <v>0.02</v>
      </c>
      <c r="Q74" s="72">
        <v>4</v>
      </c>
      <c r="R74" s="49"/>
      <c r="S74" s="49"/>
      <c r="T74" s="49"/>
      <c r="U74" s="49"/>
      <c r="V74" s="72"/>
      <c r="W74" s="72"/>
      <c r="X74" s="71" t="s">
        <v>39</v>
      </c>
      <c r="Y74" s="76">
        <v>5.55136</v>
      </c>
      <c r="Z74" s="77">
        <v>8</v>
      </c>
      <c r="AA74" s="72">
        <f t="shared" si="179"/>
        <v>0.971009690265486</v>
      </c>
      <c r="AB74" s="75">
        <f t="shared" si="180"/>
        <v>0.0285662500997451</v>
      </c>
      <c r="AC74" s="49"/>
      <c r="AD74" s="78">
        <f t="shared" si="181"/>
        <v>0.172690231381375</v>
      </c>
      <c r="AE74" s="74">
        <f t="shared" si="184"/>
        <v>0.261647921090111</v>
      </c>
      <c r="AF74" s="74">
        <f t="shared" si="185"/>
        <v>0.0294191194857538</v>
      </c>
      <c r="AG74" s="74">
        <f t="shared" si="186"/>
        <v>0.15</v>
      </c>
      <c r="AH74" s="74">
        <f t="shared" si="182"/>
        <v>0.117676477943015</v>
      </c>
      <c r="AI74" s="74">
        <v>0.02</v>
      </c>
      <c r="AJ74" s="74">
        <f t="shared" si="183"/>
        <v>0.05</v>
      </c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</row>
    <row r="75" spans="1:75">
      <c r="A75" s="81" t="s">
        <v>62</v>
      </c>
      <c r="B75" s="71">
        <v>8</v>
      </c>
      <c r="C75" s="71" t="s">
        <v>42</v>
      </c>
      <c r="D75" s="71" t="s">
        <v>43</v>
      </c>
      <c r="E75" s="71" t="s">
        <v>38</v>
      </c>
      <c r="F75" s="72">
        <f t="shared" si="175"/>
        <v>30.6117830776715</v>
      </c>
      <c r="G75" s="72">
        <f t="shared" si="176"/>
        <v>55.3176646281806</v>
      </c>
      <c r="H75" s="73">
        <f>H72*0.8</f>
        <v>31.992</v>
      </c>
      <c r="I75" s="72">
        <f t="shared" si="177"/>
        <v>71.1504424778761</v>
      </c>
      <c r="J75" s="71">
        <v>5.87</v>
      </c>
      <c r="K75" s="74">
        <v>0.15</v>
      </c>
      <c r="L75" s="74">
        <v>0.16</v>
      </c>
      <c r="M75" s="74">
        <v>0.05</v>
      </c>
      <c r="N75" s="74">
        <f t="shared" si="178"/>
        <v>0.125031257814454</v>
      </c>
      <c r="O75" s="75">
        <v>0.01</v>
      </c>
      <c r="P75" s="74">
        <v>0.02</v>
      </c>
      <c r="Q75" s="72">
        <v>4</v>
      </c>
      <c r="R75" s="49"/>
      <c r="S75" s="49"/>
      <c r="T75" s="49"/>
      <c r="U75" s="49"/>
      <c r="V75" s="72"/>
      <c r="W75" s="72"/>
      <c r="X75" s="71" t="s">
        <v>39</v>
      </c>
      <c r="Y75" s="76">
        <v>5.55136</v>
      </c>
      <c r="Z75" s="77">
        <v>8</v>
      </c>
      <c r="AA75" s="72">
        <f t="shared" si="179"/>
        <v>-0.248685309734512</v>
      </c>
      <c r="AB75" s="75">
        <f t="shared" si="180"/>
        <v>-0.00777335926902075</v>
      </c>
      <c r="AC75" s="49"/>
      <c r="AD75" s="78">
        <f t="shared" si="181"/>
        <v>0.183483370842711</v>
      </c>
      <c r="AE75" s="74">
        <f t="shared" si="173"/>
        <v>0.300541530981884</v>
      </c>
      <c r="AF75" s="74">
        <f t="shared" si="174"/>
        <v>0.0337922318417442</v>
      </c>
      <c r="AG75" s="74">
        <v>0.15</v>
      </c>
      <c r="AH75" s="74">
        <f t="shared" si="182"/>
        <v>0.125031257814454</v>
      </c>
      <c r="AI75" s="74">
        <v>0.02</v>
      </c>
      <c r="AJ75" s="74">
        <f t="shared" si="183"/>
        <v>0.05</v>
      </c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</row>
    <row r="76" ht="21" customHeight="1" spans="1:75">
      <c r="A76" s="48"/>
      <c r="B76" s="48"/>
      <c r="C76" s="48"/>
      <c r="D76" s="48"/>
      <c r="E76" s="71"/>
      <c r="F76" s="72"/>
      <c r="G76" s="72"/>
      <c r="H76" s="71"/>
      <c r="I76" s="72"/>
      <c r="J76" s="71"/>
      <c r="K76" s="74"/>
      <c r="L76" s="74"/>
      <c r="M76" s="74"/>
      <c r="N76" s="74"/>
      <c r="O76" s="75"/>
      <c r="P76" s="74"/>
      <c r="Q76" s="74"/>
      <c r="R76" s="49"/>
      <c r="S76" s="49"/>
      <c r="T76" s="49"/>
      <c r="U76" s="49"/>
      <c r="V76" s="72"/>
      <c r="W76" s="72"/>
      <c r="X76" s="71"/>
      <c r="Y76" s="76"/>
      <c r="Z76" s="72"/>
      <c r="AA76" s="72"/>
      <c r="AB76" s="75"/>
      <c r="AC76" s="49"/>
      <c r="AD76" s="78"/>
      <c r="AE76" s="74"/>
      <c r="AF76" s="74"/>
      <c r="AG76" s="74"/>
      <c r="AH76" s="74"/>
      <c r="AI76" s="74"/>
      <c r="AJ76" s="74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</row>
    <row r="77" spans="1:75">
      <c r="A77" s="84" t="s">
        <v>59</v>
      </c>
      <c r="B77" s="71">
        <v>8</v>
      </c>
      <c r="C77" s="49" t="s">
        <v>44</v>
      </c>
      <c r="D77" s="49" t="s">
        <v>45</v>
      </c>
      <c r="E77" s="71" t="s">
        <v>38</v>
      </c>
      <c r="F77" s="72">
        <f t="shared" ref="F77:F80" si="187">IF(E77="有",(I77/B77+J77+Z77/B77)/(0.99999-K77-L77-M77-N77),(I77/B77+J77+Z77/B77)/(0.99999-K77-M77-N77))</f>
        <v>28.5274147177603</v>
      </c>
      <c r="G77" s="72">
        <f t="shared" ref="G77:G80" si="188">IF(E77="有",(I77/B77+J77+Z77/B77)/(0.8-K77-L77-M77-N77-O77-P77),(I77/B77+J77+Z77/B77)/(0.8-K77-M77-N77-O77-P77))</f>
        <v>49.6937031063725</v>
      </c>
      <c r="H77" s="73">
        <v>39.99</v>
      </c>
      <c r="I77" s="72">
        <f t="shared" ref="I77:I80" si="189">80.4/1.13</f>
        <v>71.1504424778761</v>
      </c>
      <c r="J77" s="49">
        <v>5.51</v>
      </c>
      <c r="K77" s="74">
        <v>0.15</v>
      </c>
      <c r="L77" s="74">
        <v>0.16</v>
      </c>
      <c r="M77" s="74">
        <v>0.05</v>
      </c>
      <c r="N77" s="74">
        <f t="shared" ref="N77:N80" si="190">Q77/H77</f>
        <v>0.100025006251563</v>
      </c>
      <c r="O77" s="75">
        <v>0.01</v>
      </c>
      <c r="P77" s="74">
        <v>0.02</v>
      </c>
      <c r="Q77" s="72">
        <v>4</v>
      </c>
      <c r="R77" s="49"/>
      <c r="S77" s="49"/>
      <c r="T77" s="49"/>
      <c r="U77" s="49"/>
      <c r="V77" s="72"/>
      <c r="W77" s="72"/>
      <c r="X77" s="49" t="s">
        <v>39</v>
      </c>
      <c r="Y77" s="76">
        <v>5.55136</v>
      </c>
      <c r="Z77" s="77">
        <v>8</v>
      </c>
      <c r="AA77" s="72">
        <f t="shared" ref="AA77:AA80" si="191">H77-SUM(K77:P77)*H77-J77-I77/B77-Z77/B77</f>
        <v>4.99009469026549</v>
      </c>
      <c r="AB77" s="75">
        <f t="shared" ref="AB77:AB80" si="192">AA77/H77</f>
        <v>0.124783563147424</v>
      </c>
      <c r="AC77" s="49"/>
      <c r="AD77" s="78">
        <f t="shared" ref="AD77:AD80" si="193">J77/H77</f>
        <v>0.137784446111528</v>
      </c>
      <c r="AE77" s="74">
        <f t="shared" ref="AE77:AE82" si="194">I77/7.4/H77</f>
        <v>0.240433224785508</v>
      </c>
      <c r="AF77" s="74">
        <f t="shared" ref="AF77:AF82" si="195">Z77/7.4/H77</f>
        <v>0.0270337854733954</v>
      </c>
      <c r="AG77" s="74">
        <v>0.15</v>
      </c>
      <c r="AH77" s="74">
        <f t="shared" ref="AH77:AH80" si="196">N77</f>
        <v>0.100025006251563</v>
      </c>
      <c r="AI77" s="74">
        <v>0.02</v>
      </c>
      <c r="AJ77" s="74">
        <f t="shared" ref="AJ77:AJ80" si="197">M77</f>
        <v>0.05</v>
      </c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</row>
    <row r="78" spans="1:75">
      <c r="A78" s="81" t="s">
        <v>60</v>
      </c>
      <c r="B78" s="71">
        <v>8</v>
      </c>
      <c r="C78" s="71" t="s">
        <v>44</v>
      </c>
      <c r="D78" s="71" t="s">
        <v>45</v>
      </c>
      <c r="E78" s="71" t="s">
        <v>38</v>
      </c>
      <c r="F78" s="72">
        <f t="shared" si="187"/>
        <v>29.1269228492158</v>
      </c>
      <c r="G78" s="72">
        <f t="shared" si="188"/>
        <v>51.5416864057149</v>
      </c>
      <c r="H78" s="73">
        <f>H77*0.9</f>
        <v>35.991</v>
      </c>
      <c r="I78" s="72">
        <f t="shared" si="189"/>
        <v>71.1504424778761</v>
      </c>
      <c r="J78" s="71">
        <v>5.51</v>
      </c>
      <c r="K78" s="74">
        <v>0.15</v>
      </c>
      <c r="L78" s="74">
        <v>0.16</v>
      </c>
      <c r="M78" s="74">
        <v>0.05</v>
      </c>
      <c r="N78" s="74">
        <f t="shared" si="190"/>
        <v>0.11113889583507</v>
      </c>
      <c r="O78" s="75">
        <v>0.01</v>
      </c>
      <c r="P78" s="74">
        <v>0.02</v>
      </c>
      <c r="Q78" s="72">
        <v>4</v>
      </c>
      <c r="R78" s="49"/>
      <c r="S78" s="49"/>
      <c r="T78" s="49"/>
      <c r="U78" s="49"/>
      <c r="V78" s="72"/>
      <c r="W78" s="72"/>
      <c r="X78" s="71" t="s">
        <v>39</v>
      </c>
      <c r="Y78" s="76">
        <v>5.55136</v>
      </c>
      <c r="Z78" s="77">
        <v>8</v>
      </c>
      <c r="AA78" s="72">
        <f t="shared" si="191"/>
        <v>2.55070469026549</v>
      </c>
      <c r="AB78" s="75">
        <f t="shared" si="192"/>
        <v>0.07087062571936</v>
      </c>
      <c r="AC78" s="49"/>
      <c r="AD78" s="78">
        <f t="shared" si="193"/>
        <v>0.153093829012809</v>
      </c>
      <c r="AE78" s="74">
        <f t="shared" si="184"/>
        <v>0.247111925473994</v>
      </c>
      <c r="AF78" s="74">
        <f t="shared" si="185"/>
        <v>0.0277847239587675</v>
      </c>
      <c r="AG78" s="74">
        <f t="shared" si="186"/>
        <v>0.15</v>
      </c>
      <c r="AH78" s="74">
        <f t="shared" si="196"/>
        <v>0.11113889583507</v>
      </c>
      <c r="AI78" s="74">
        <v>0.02</v>
      </c>
      <c r="AJ78" s="74">
        <f t="shared" si="197"/>
        <v>0.05</v>
      </c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</row>
    <row r="79" spans="1:75">
      <c r="A79" s="81" t="s">
        <v>61</v>
      </c>
      <c r="B79" s="71">
        <v>8</v>
      </c>
      <c r="C79" s="71" t="s">
        <v>44</v>
      </c>
      <c r="D79" s="71" t="s">
        <v>45</v>
      </c>
      <c r="E79" s="71" t="s">
        <v>38</v>
      </c>
      <c r="F79" s="72">
        <f t="shared" si="187"/>
        <v>29.4914924834244</v>
      </c>
      <c r="G79" s="72">
        <f t="shared" si="188"/>
        <v>52.6943750586439</v>
      </c>
      <c r="H79" s="82">
        <f>H77*0.85</f>
        <v>33.9915</v>
      </c>
      <c r="I79" s="72">
        <f t="shared" si="189"/>
        <v>71.1504424778761</v>
      </c>
      <c r="J79" s="71">
        <v>5.51</v>
      </c>
      <c r="K79" s="74">
        <v>0.15</v>
      </c>
      <c r="L79" s="74">
        <v>0.16</v>
      </c>
      <c r="M79" s="74">
        <v>0.05</v>
      </c>
      <c r="N79" s="74">
        <f t="shared" si="190"/>
        <v>0.117676477943015</v>
      </c>
      <c r="O79" s="75">
        <v>0.01</v>
      </c>
      <c r="P79" s="74">
        <v>0.02</v>
      </c>
      <c r="Q79" s="72">
        <v>4</v>
      </c>
      <c r="R79" s="49"/>
      <c r="S79" s="49"/>
      <c r="T79" s="49"/>
      <c r="U79" s="49"/>
      <c r="V79" s="72"/>
      <c r="W79" s="72"/>
      <c r="X79" s="71" t="s">
        <v>39</v>
      </c>
      <c r="Y79" s="76">
        <v>5.55136</v>
      </c>
      <c r="Z79" s="77">
        <v>8</v>
      </c>
      <c r="AA79" s="72">
        <f t="shared" si="191"/>
        <v>1.33100969026549</v>
      </c>
      <c r="AB79" s="75">
        <f t="shared" si="192"/>
        <v>0.0391571331146165</v>
      </c>
      <c r="AC79" s="49"/>
      <c r="AD79" s="78">
        <f t="shared" si="193"/>
        <v>0.162099348366503</v>
      </c>
      <c r="AE79" s="74">
        <f t="shared" si="184"/>
        <v>0.261647921090111</v>
      </c>
      <c r="AF79" s="74">
        <f t="shared" si="185"/>
        <v>0.0294191194857538</v>
      </c>
      <c r="AG79" s="74">
        <f t="shared" si="186"/>
        <v>0.15</v>
      </c>
      <c r="AH79" s="74">
        <f t="shared" si="196"/>
        <v>0.117676477943015</v>
      </c>
      <c r="AI79" s="74">
        <v>0.02</v>
      </c>
      <c r="AJ79" s="74">
        <f t="shared" si="197"/>
        <v>0.05</v>
      </c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</row>
    <row r="80" spans="1:75">
      <c r="A80" s="81" t="s">
        <v>62</v>
      </c>
      <c r="B80" s="71">
        <v>8</v>
      </c>
      <c r="C80" s="71" t="s">
        <v>44</v>
      </c>
      <c r="D80" s="71" t="s">
        <v>45</v>
      </c>
      <c r="E80" s="71" t="s">
        <v>38</v>
      </c>
      <c r="F80" s="72">
        <f t="shared" si="187"/>
        <v>29.9126979461673</v>
      </c>
      <c r="G80" s="72">
        <f t="shared" si="188"/>
        <v>54.0543681794578</v>
      </c>
      <c r="H80" s="73">
        <f>H77*0.8</f>
        <v>31.992</v>
      </c>
      <c r="I80" s="72">
        <f t="shared" si="189"/>
        <v>71.1504424778761</v>
      </c>
      <c r="J80" s="71">
        <v>5.51</v>
      </c>
      <c r="K80" s="74">
        <v>0.15</v>
      </c>
      <c r="L80" s="74">
        <v>0.16</v>
      </c>
      <c r="M80" s="74">
        <v>0.05</v>
      </c>
      <c r="N80" s="74">
        <f t="shared" si="190"/>
        <v>0.125031257814454</v>
      </c>
      <c r="O80" s="75">
        <v>0.01</v>
      </c>
      <c r="P80" s="74">
        <v>0.02</v>
      </c>
      <c r="Q80" s="72">
        <v>4</v>
      </c>
      <c r="R80" s="49"/>
      <c r="S80" s="49"/>
      <c r="T80" s="49"/>
      <c r="U80" s="49"/>
      <c r="V80" s="72"/>
      <c r="W80" s="72"/>
      <c r="X80" s="71" t="s">
        <v>39</v>
      </c>
      <c r="Y80" s="76">
        <v>5.55136</v>
      </c>
      <c r="Z80" s="77">
        <v>8</v>
      </c>
      <c r="AA80" s="72">
        <f t="shared" si="191"/>
        <v>0.111314690265489</v>
      </c>
      <c r="AB80" s="75">
        <f t="shared" si="192"/>
        <v>0.00347945393428011</v>
      </c>
      <c r="AC80" s="49"/>
      <c r="AD80" s="78">
        <f t="shared" si="193"/>
        <v>0.17223055763941</v>
      </c>
      <c r="AE80" s="74">
        <f t="shared" si="194"/>
        <v>0.300541530981884</v>
      </c>
      <c r="AF80" s="74">
        <f t="shared" si="195"/>
        <v>0.0337922318417442</v>
      </c>
      <c r="AG80" s="74">
        <v>0.15</v>
      </c>
      <c r="AH80" s="74">
        <f t="shared" si="196"/>
        <v>0.125031257814454</v>
      </c>
      <c r="AI80" s="74">
        <v>0.02</v>
      </c>
      <c r="AJ80" s="74">
        <f t="shared" si="197"/>
        <v>0.05</v>
      </c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</row>
    <row r="81" ht="21" customHeight="1" spans="1:75">
      <c r="A81" s="48"/>
      <c r="B81" s="48"/>
      <c r="C81" s="48"/>
      <c r="D81" s="48"/>
      <c r="E81" s="71"/>
      <c r="F81" s="72"/>
      <c r="G81" s="72"/>
      <c r="H81" s="71"/>
      <c r="I81" s="72"/>
      <c r="J81" s="71"/>
      <c r="K81" s="74"/>
      <c r="L81" s="74"/>
      <c r="M81" s="74"/>
      <c r="N81" s="74"/>
      <c r="O81" s="75"/>
      <c r="P81" s="74"/>
      <c r="Q81" s="74"/>
      <c r="R81" s="49"/>
      <c r="S81" s="49"/>
      <c r="T81" s="49"/>
      <c r="U81" s="49"/>
      <c r="V81" s="72"/>
      <c r="W81" s="72"/>
      <c r="X81" s="71"/>
      <c r="Y81" s="76"/>
      <c r="Z81" s="72"/>
      <c r="AA81" s="72"/>
      <c r="AB81" s="75"/>
      <c r="AC81" s="49"/>
      <c r="AD81" s="78"/>
      <c r="AE81" s="74"/>
      <c r="AF81" s="74"/>
      <c r="AG81" s="74"/>
      <c r="AH81" s="74"/>
      <c r="AI81" s="74"/>
      <c r="AJ81" s="74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</row>
    <row r="82" spans="1:75">
      <c r="A82" s="84" t="s">
        <v>59</v>
      </c>
      <c r="B82" s="71">
        <v>8</v>
      </c>
      <c r="C82" s="49" t="s">
        <v>47</v>
      </c>
      <c r="D82" s="49" t="s">
        <v>48</v>
      </c>
      <c r="E82" s="71" t="s">
        <v>38</v>
      </c>
      <c r="F82" s="72">
        <f t="shared" ref="F82:F85" si="198">IF(E82="有",(I82/B82+J82+Z82/B82)/(0.99999-K82-L82-M82-N82),(I82/B82+J82+Z82/B82)/(0.99999-K82-M82-N82))</f>
        <v>26.1198512366994</v>
      </c>
      <c r="G82" s="72">
        <f t="shared" ref="G82:G85" si="199">IF(E82="有",(I82/B82+J82+Z82/B82)/(0.8-K82-L82-M82-N82-O82-P82),(I82/B82+J82+Z82/B82)/(0.8-K82-M82-N82-O82-P82))</f>
        <v>45.499816418032</v>
      </c>
      <c r="H82" s="73">
        <v>39.99</v>
      </c>
      <c r="I82" s="72">
        <f t="shared" ref="I82:I85" si="200">80.4/1.13</f>
        <v>71.1504424778761</v>
      </c>
      <c r="J82" s="49">
        <v>4.21</v>
      </c>
      <c r="K82" s="74">
        <v>0.15</v>
      </c>
      <c r="L82" s="74">
        <v>0.16</v>
      </c>
      <c r="M82" s="74">
        <v>0.05</v>
      </c>
      <c r="N82" s="74">
        <f t="shared" ref="N82:N85" si="201">Q82/H82</f>
        <v>0.100025006251563</v>
      </c>
      <c r="O82" s="75">
        <v>0.01</v>
      </c>
      <c r="P82" s="74">
        <v>0.02</v>
      </c>
      <c r="Q82" s="72">
        <v>4</v>
      </c>
      <c r="R82" s="49"/>
      <c r="S82" s="49"/>
      <c r="T82" s="49"/>
      <c r="U82" s="49"/>
      <c r="V82" s="72"/>
      <c r="W82" s="72"/>
      <c r="X82" s="49" t="s">
        <v>39</v>
      </c>
      <c r="Y82" s="76">
        <v>5.55136</v>
      </c>
      <c r="Z82" s="77">
        <v>8</v>
      </c>
      <c r="AA82" s="72">
        <f t="shared" ref="AA82:AA85" si="202">H82-SUM(K82:P82)*H82-J82-I82/B82-Z82/B82</f>
        <v>6.29009469026549</v>
      </c>
      <c r="AB82" s="75">
        <f t="shared" ref="AB82:AB85" si="203">AA82/H82</f>
        <v>0.157291690179182</v>
      </c>
      <c r="AC82" s="49"/>
      <c r="AD82" s="78">
        <f t="shared" ref="AD82:AD85" si="204">J82/H82</f>
        <v>0.10527631907977</v>
      </c>
      <c r="AE82" s="74">
        <f t="shared" si="194"/>
        <v>0.240433224785508</v>
      </c>
      <c r="AF82" s="74">
        <f t="shared" si="195"/>
        <v>0.0270337854733954</v>
      </c>
      <c r="AG82" s="74">
        <v>0.15</v>
      </c>
      <c r="AH82" s="74">
        <f t="shared" ref="AH82:AH85" si="205">N82</f>
        <v>0.100025006251563</v>
      </c>
      <c r="AI82" s="74">
        <v>0.02</v>
      </c>
      <c r="AJ82" s="74">
        <f t="shared" ref="AJ82:AJ85" si="206">M82</f>
        <v>0.05</v>
      </c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</row>
    <row r="83" spans="1:75">
      <c r="A83" s="81" t="s">
        <v>60</v>
      </c>
      <c r="B83" s="71">
        <v>8</v>
      </c>
      <c r="C83" s="71" t="s">
        <v>47</v>
      </c>
      <c r="D83" s="71" t="s">
        <v>48</v>
      </c>
      <c r="E83" s="71" t="s">
        <v>38</v>
      </c>
      <c r="F83" s="72">
        <f t="shared" si="198"/>
        <v>26.1771322792154</v>
      </c>
      <c r="G83" s="72">
        <f t="shared" si="199"/>
        <v>46.3218703163682</v>
      </c>
      <c r="H83" s="73">
        <f>H82*0.9</f>
        <v>35.991</v>
      </c>
      <c r="I83" s="72">
        <f t="shared" si="200"/>
        <v>71.1504424778761</v>
      </c>
      <c r="J83" s="71">
        <v>3.95</v>
      </c>
      <c r="K83" s="74">
        <v>0.15</v>
      </c>
      <c r="L83" s="74">
        <v>0.16</v>
      </c>
      <c r="M83" s="74">
        <v>0.05</v>
      </c>
      <c r="N83" s="74">
        <f t="shared" si="201"/>
        <v>0.11113889583507</v>
      </c>
      <c r="O83" s="75">
        <v>0.01</v>
      </c>
      <c r="P83" s="74">
        <v>0.02</v>
      </c>
      <c r="Q83" s="72">
        <v>4</v>
      </c>
      <c r="R83" s="49"/>
      <c r="S83" s="49"/>
      <c r="T83" s="49"/>
      <c r="U83" s="49"/>
      <c r="V83" s="72"/>
      <c r="W83" s="72"/>
      <c r="X83" s="71" t="s">
        <v>39</v>
      </c>
      <c r="Y83" s="76">
        <v>5.55136</v>
      </c>
      <c r="Z83" s="77">
        <v>8</v>
      </c>
      <c r="AA83" s="72">
        <f t="shared" si="202"/>
        <v>4.11070469026549</v>
      </c>
      <c r="AB83" s="75">
        <f t="shared" si="203"/>
        <v>0.114214795095037</v>
      </c>
      <c r="AC83" s="49"/>
      <c r="AD83" s="78">
        <f t="shared" si="204"/>
        <v>0.109749659637132</v>
      </c>
      <c r="AE83" s="74">
        <f t="shared" ref="AE83:AE89" si="207">I83/B83/H83</f>
        <v>0.247111925473994</v>
      </c>
      <c r="AF83" s="74">
        <f t="shared" ref="AF83:AF89" si="208">Z83/B83/H83</f>
        <v>0.0277847239587675</v>
      </c>
      <c r="AG83" s="74">
        <f t="shared" ref="AG83:AG89" si="209">K83</f>
        <v>0.15</v>
      </c>
      <c r="AH83" s="74">
        <f t="shared" si="205"/>
        <v>0.11113889583507</v>
      </c>
      <c r="AI83" s="74">
        <v>0.02</v>
      </c>
      <c r="AJ83" s="74">
        <f t="shared" si="206"/>
        <v>0.05</v>
      </c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</row>
    <row r="84" spans="1:75">
      <c r="A84" s="81" t="s">
        <v>61</v>
      </c>
      <c r="B84" s="71">
        <v>8</v>
      </c>
      <c r="C84" s="71" t="s">
        <v>47</v>
      </c>
      <c r="D84" s="71" t="s">
        <v>48</v>
      </c>
      <c r="E84" s="71" t="s">
        <v>38</v>
      </c>
      <c r="F84" s="72">
        <f t="shared" si="198"/>
        <v>26.5047806061283</v>
      </c>
      <c r="G84" s="72">
        <f t="shared" si="199"/>
        <v>47.3578219512415</v>
      </c>
      <c r="H84" s="82">
        <f>H82*0.85</f>
        <v>33.9915</v>
      </c>
      <c r="I84" s="72">
        <f t="shared" si="200"/>
        <v>71.1504424778761</v>
      </c>
      <c r="J84" s="71">
        <v>3.95</v>
      </c>
      <c r="K84" s="74">
        <v>0.15</v>
      </c>
      <c r="L84" s="74">
        <v>0.16</v>
      </c>
      <c r="M84" s="74">
        <v>0.05</v>
      </c>
      <c r="N84" s="74">
        <f t="shared" si="201"/>
        <v>0.117676477943015</v>
      </c>
      <c r="O84" s="75">
        <v>0.01</v>
      </c>
      <c r="P84" s="74">
        <v>0.02</v>
      </c>
      <c r="Q84" s="72">
        <v>4</v>
      </c>
      <c r="R84" s="49"/>
      <c r="S84" s="49"/>
      <c r="T84" s="49"/>
      <c r="U84" s="49"/>
      <c r="V84" s="72"/>
      <c r="W84" s="72"/>
      <c r="X84" s="71" t="s">
        <v>39</v>
      </c>
      <c r="Y84" s="76">
        <v>5.55136</v>
      </c>
      <c r="Z84" s="77">
        <v>8</v>
      </c>
      <c r="AA84" s="72">
        <f t="shared" si="202"/>
        <v>2.89100969026549</v>
      </c>
      <c r="AB84" s="75">
        <f t="shared" si="203"/>
        <v>0.0850509595123924</v>
      </c>
      <c r="AC84" s="49"/>
      <c r="AD84" s="78">
        <f t="shared" si="204"/>
        <v>0.116205521968727</v>
      </c>
      <c r="AE84" s="74">
        <f t="shared" si="207"/>
        <v>0.261647921090111</v>
      </c>
      <c r="AF84" s="74">
        <f t="shared" si="208"/>
        <v>0.0294191194857538</v>
      </c>
      <c r="AG84" s="74">
        <f t="shared" si="209"/>
        <v>0.15</v>
      </c>
      <c r="AH84" s="74">
        <f t="shared" si="205"/>
        <v>0.117676477943015</v>
      </c>
      <c r="AI84" s="74">
        <v>0.02</v>
      </c>
      <c r="AJ84" s="74">
        <f t="shared" si="206"/>
        <v>0.05</v>
      </c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</row>
    <row r="85" spans="1:75">
      <c r="A85" s="81" t="s">
        <v>62</v>
      </c>
      <c r="B85" s="71">
        <v>8</v>
      </c>
      <c r="C85" s="71" t="s">
        <v>47</v>
      </c>
      <c r="D85" s="71" t="s">
        <v>48</v>
      </c>
      <c r="E85" s="71" t="s">
        <v>38</v>
      </c>
      <c r="F85" s="72">
        <f t="shared" si="198"/>
        <v>26.8833290429826</v>
      </c>
      <c r="G85" s="72">
        <f t="shared" si="199"/>
        <v>48.5800835683257</v>
      </c>
      <c r="H85" s="73">
        <f>H82*0.8</f>
        <v>31.992</v>
      </c>
      <c r="I85" s="72">
        <f t="shared" si="200"/>
        <v>71.1504424778761</v>
      </c>
      <c r="J85" s="71">
        <v>3.95</v>
      </c>
      <c r="K85" s="74">
        <v>0.15</v>
      </c>
      <c r="L85" s="74">
        <v>0.16</v>
      </c>
      <c r="M85" s="74">
        <v>0.05</v>
      </c>
      <c r="N85" s="74">
        <f t="shared" si="201"/>
        <v>0.125031257814454</v>
      </c>
      <c r="O85" s="75">
        <v>0.01</v>
      </c>
      <c r="P85" s="74">
        <v>0.02</v>
      </c>
      <c r="Q85" s="72">
        <v>4</v>
      </c>
      <c r="R85" s="49"/>
      <c r="S85" s="49"/>
      <c r="T85" s="49"/>
      <c r="U85" s="49"/>
      <c r="V85" s="72"/>
      <c r="W85" s="72"/>
      <c r="X85" s="71" t="s">
        <v>39</v>
      </c>
      <c r="Y85" s="76">
        <v>5.55136</v>
      </c>
      <c r="Z85" s="77">
        <v>8</v>
      </c>
      <c r="AA85" s="72">
        <f t="shared" si="202"/>
        <v>1.67131469026549</v>
      </c>
      <c r="AB85" s="75">
        <f t="shared" si="203"/>
        <v>0.052241644481917</v>
      </c>
      <c r="AC85" s="49"/>
      <c r="AD85" s="78">
        <f t="shared" si="204"/>
        <v>0.123468367091773</v>
      </c>
      <c r="AE85" s="74">
        <f t="shared" ref="AE85:AE90" si="210">I85/7.4/H85</f>
        <v>0.300541530981884</v>
      </c>
      <c r="AF85" s="74">
        <f t="shared" ref="AF85:AF90" si="211">Z85/7.4/H85</f>
        <v>0.0337922318417442</v>
      </c>
      <c r="AG85" s="74">
        <v>0.15</v>
      </c>
      <c r="AH85" s="74">
        <f t="shared" si="205"/>
        <v>0.125031257814454</v>
      </c>
      <c r="AI85" s="74">
        <v>0.02</v>
      </c>
      <c r="AJ85" s="74">
        <f t="shared" si="206"/>
        <v>0.05</v>
      </c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</row>
    <row r="86" ht="21" customHeight="1" spans="1:75">
      <c r="E86" s="71"/>
      <c r="F86" s="72"/>
      <c r="G86" s="72"/>
      <c r="H86" s="71"/>
      <c r="I86" s="72"/>
      <c r="J86" s="71"/>
      <c r="K86" s="74"/>
      <c r="L86" s="74"/>
      <c r="M86" s="74"/>
      <c r="N86" s="74"/>
      <c r="O86" s="75"/>
      <c r="P86" s="74"/>
      <c r="Q86" s="74"/>
      <c r="R86" s="49"/>
      <c r="S86" s="49"/>
      <c r="T86" s="49"/>
      <c r="U86" s="49"/>
      <c r="V86" s="72"/>
      <c r="W86" s="72"/>
      <c r="X86" s="71"/>
      <c r="Y86" s="76"/>
      <c r="Z86" s="72"/>
      <c r="AA86" s="72"/>
      <c r="AB86" s="75"/>
      <c r="AC86" s="49"/>
      <c r="AD86" s="78"/>
      <c r="AE86" s="74"/>
      <c r="AF86" s="74"/>
      <c r="AG86" s="74"/>
      <c r="AH86" s="74"/>
      <c r="AI86" s="74"/>
      <c r="AJ86" s="74"/>
    </row>
    <row r="87" spans="1:75">
      <c r="A87" s="70" t="s">
        <v>63</v>
      </c>
      <c r="B87" s="71">
        <v>8</v>
      </c>
      <c r="C87" s="71" t="s">
        <v>36</v>
      </c>
      <c r="D87" s="71" t="s">
        <v>37</v>
      </c>
      <c r="E87" s="71" t="s">
        <v>38</v>
      </c>
      <c r="F87" s="72">
        <f t="shared" ref="F87:F90" si="212">IF(E87="有",(I87/B87+J87+Z87/B87)/(0.99999-K87-L87-M87-N87),(I87/B87+J87+Z87/B87)/(0.99999-K87-M87-N87))</f>
        <v>54.8769915899805</v>
      </c>
      <c r="G87" s="72">
        <f t="shared" ref="G87:G90" si="213">IF(E87="有",(I87/B87+J87+Z87/B87)/(0.8-K87-L87-M87-N87-O87-P87),(I87/B87+J87+Z87/B87)/(0.8-K87-M87-N87-O87-P87))</f>
        <v>98.0500031753249</v>
      </c>
      <c r="H87" s="73">
        <v>84.99</v>
      </c>
      <c r="I87" s="72">
        <f t="shared" ref="I87:I90" si="214">208/1.13</f>
        <v>184.070796460177</v>
      </c>
      <c r="J87" s="49">
        <v>4.03</v>
      </c>
      <c r="K87" s="74">
        <v>0.15</v>
      </c>
      <c r="L87" s="74">
        <v>0.16</v>
      </c>
      <c r="M87" s="74">
        <v>0.05</v>
      </c>
      <c r="N87" s="74">
        <f t="shared" ref="N87:N90" si="215">Q87/H87</f>
        <v>0.117660901282504</v>
      </c>
      <c r="O87" s="75">
        <v>0.01</v>
      </c>
      <c r="P87" s="74">
        <v>0.02</v>
      </c>
      <c r="Q87" s="72">
        <v>10</v>
      </c>
      <c r="R87" s="49"/>
      <c r="S87" s="49"/>
      <c r="T87" s="49"/>
      <c r="U87" s="49"/>
      <c r="V87" s="72"/>
      <c r="W87" s="72"/>
      <c r="X87" s="49" t="s">
        <v>39</v>
      </c>
      <c r="Y87" s="76">
        <v>5.55136</v>
      </c>
      <c r="Z87" s="77">
        <v>13</v>
      </c>
      <c r="AA87" s="72">
        <f t="shared" ref="AA87:AA90" si="216">H87-SUM(K87:P87)*H87-J87-I87/B87-Z87/B87</f>
        <v>13.1800504424779</v>
      </c>
      <c r="AB87" s="75">
        <f t="shared" ref="AB87:AB90" si="217">AA87/H87</f>
        <v>0.155077661401081</v>
      </c>
      <c r="AC87" s="49"/>
      <c r="AD87" s="78">
        <f t="shared" ref="AD87:AD90" si="218">J87/H87</f>
        <v>0.047417343216849</v>
      </c>
      <c r="AE87" s="74">
        <f t="shared" si="210"/>
        <v>0.292674808260713</v>
      </c>
      <c r="AF87" s="74">
        <f t="shared" si="211"/>
        <v>0.0206701583334128</v>
      </c>
      <c r="AG87" s="74">
        <v>0.15</v>
      </c>
      <c r="AH87" s="74">
        <f t="shared" ref="AH87:AH90" si="219">N87</f>
        <v>0.117660901282504</v>
      </c>
      <c r="AI87" s="74">
        <v>0.02</v>
      </c>
      <c r="AJ87" s="74">
        <f t="shared" ref="AJ87:AJ90" si="220">M87</f>
        <v>0.05</v>
      </c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</row>
    <row r="88" spans="1:75">
      <c r="A88" s="70" t="s">
        <v>64</v>
      </c>
      <c r="B88" s="71">
        <v>8</v>
      </c>
      <c r="C88" s="71" t="s">
        <v>36</v>
      </c>
      <c r="D88" s="71" t="s">
        <v>37</v>
      </c>
      <c r="E88" s="71" t="s">
        <v>38</v>
      </c>
      <c r="F88" s="72">
        <f t="shared" si="212"/>
        <v>56.2857745410058</v>
      </c>
      <c r="G88" s="72">
        <f t="shared" si="213"/>
        <v>102.640077621851</v>
      </c>
      <c r="H88" s="73">
        <f>H87*0.9</f>
        <v>76.491</v>
      </c>
      <c r="I88" s="72">
        <f t="shared" si="214"/>
        <v>184.070796460177</v>
      </c>
      <c r="J88" s="71">
        <v>4.03</v>
      </c>
      <c r="K88" s="74">
        <v>0.15</v>
      </c>
      <c r="L88" s="74">
        <v>0.16</v>
      </c>
      <c r="M88" s="74">
        <v>0.05</v>
      </c>
      <c r="N88" s="74">
        <f t="shared" si="215"/>
        <v>0.130734334758338</v>
      </c>
      <c r="O88" s="75">
        <v>0.01</v>
      </c>
      <c r="P88" s="74">
        <v>0.02</v>
      </c>
      <c r="Q88" s="72">
        <v>10</v>
      </c>
      <c r="R88" s="49"/>
      <c r="S88" s="49"/>
      <c r="T88" s="49"/>
      <c r="U88" s="49"/>
      <c r="V88" s="72"/>
      <c r="W88" s="72"/>
      <c r="X88" s="71" t="s">
        <v>39</v>
      </c>
      <c r="Y88" s="76">
        <v>5.55136</v>
      </c>
      <c r="Z88" s="77">
        <v>13</v>
      </c>
      <c r="AA88" s="72">
        <f t="shared" si="216"/>
        <v>7.99566044247787</v>
      </c>
      <c r="AB88" s="75">
        <f t="shared" si="217"/>
        <v>0.10453073489009</v>
      </c>
      <c r="AC88" s="49"/>
      <c r="AD88" s="78">
        <f t="shared" si="218"/>
        <v>0.0526859369076101</v>
      </c>
      <c r="AE88" s="74">
        <f t="shared" si="207"/>
        <v>0.300804664045733</v>
      </c>
      <c r="AF88" s="74">
        <f t="shared" si="208"/>
        <v>0.0212443293982299</v>
      </c>
      <c r="AG88" s="74">
        <f t="shared" si="209"/>
        <v>0.15</v>
      </c>
      <c r="AH88" s="74">
        <f t="shared" si="219"/>
        <v>0.130734334758338</v>
      </c>
      <c r="AI88" s="74">
        <v>0.02</v>
      </c>
      <c r="AJ88" s="74">
        <f t="shared" si="220"/>
        <v>0.05</v>
      </c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</row>
    <row r="89" spans="1:75">
      <c r="A89" s="70" t="s">
        <v>65</v>
      </c>
      <c r="B89" s="71">
        <v>8</v>
      </c>
      <c r="C89" s="71" t="s">
        <v>36</v>
      </c>
      <c r="D89" s="71" t="s">
        <v>37</v>
      </c>
      <c r="E89" s="71" t="s">
        <v>38</v>
      </c>
      <c r="F89" s="72">
        <f t="shared" si="212"/>
        <v>57.1487765531898</v>
      </c>
      <c r="G89" s="72">
        <f t="shared" si="213"/>
        <v>105.546557144165</v>
      </c>
      <c r="H89" s="82">
        <f>H87*0.85</f>
        <v>72.2415</v>
      </c>
      <c r="I89" s="72">
        <f t="shared" si="214"/>
        <v>184.070796460177</v>
      </c>
      <c r="J89" s="71">
        <v>4.03</v>
      </c>
      <c r="K89" s="74">
        <v>0.15</v>
      </c>
      <c r="L89" s="74">
        <v>0.16</v>
      </c>
      <c r="M89" s="74">
        <v>0.05</v>
      </c>
      <c r="N89" s="74">
        <f t="shared" si="215"/>
        <v>0.138424589744122</v>
      </c>
      <c r="O89" s="75">
        <v>0.01</v>
      </c>
      <c r="P89" s="74">
        <v>0.02</v>
      </c>
      <c r="Q89" s="72">
        <v>10</v>
      </c>
      <c r="R89" s="49"/>
      <c r="S89" s="49"/>
      <c r="T89" s="49"/>
      <c r="U89" s="49"/>
      <c r="V89" s="72"/>
      <c r="W89" s="72"/>
      <c r="X89" s="71" t="s">
        <v>39</v>
      </c>
      <c r="Y89" s="76">
        <v>5.55136</v>
      </c>
      <c r="Z89" s="77">
        <v>13</v>
      </c>
      <c r="AA89" s="72">
        <f t="shared" si="216"/>
        <v>5.40346544247786</v>
      </c>
      <c r="AB89" s="75">
        <f t="shared" si="217"/>
        <v>0.0747972487071539</v>
      </c>
      <c r="AC89" s="49"/>
      <c r="AD89" s="78">
        <f t="shared" si="218"/>
        <v>0.0557851096668812</v>
      </c>
      <c r="AE89" s="74">
        <f t="shared" si="207"/>
        <v>0.318499056048423</v>
      </c>
      <c r="AF89" s="74">
        <f t="shared" si="208"/>
        <v>0.0224939958334199</v>
      </c>
      <c r="AG89" s="74">
        <f t="shared" si="209"/>
        <v>0.15</v>
      </c>
      <c r="AH89" s="74">
        <f t="shared" si="219"/>
        <v>0.138424589744122</v>
      </c>
      <c r="AI89" s="74">
        <v>0.02</v>
      </c>
      <c r="AJ89" s="74">
        <f t="shared" si="220"/>
        <v>0.05</v>
      </c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</row>
    <row r="90" spans="1:75">
      <c r="A90" s="70" t="s">
        <v>66</v>
      </c>
      <c r="B90" s="71">
        <v>8</v>
      </c>
      <c r="C90" s="71" t="s">
        <v>36</v>
      </c>
      <c r="D90" s="71" t="s">
        <v>37</v>
      </c>
      <c r="E90" s="71" t="s">
        <v>38</v>
      </c>
      <c r="F90" s="72">
        <f t="shared" si="212"/>
        <v>44.7879647455775</v>
      </c>
      <c r="G90" s="72">
        <f t="shared" si="213"/>
        <v>69.9118281890784</v>
      </c>
      <c r="H90" s="73">
        <v>59.99</v>
      </c>
      <c r="I90" s="72">
        <f t="shared" si="214"/>
        <v>184.070796460177</v>
      </c>
      <c r="J90" s="71">
        <v>4.03</v>
      </c>
      <c r="K90" s="74">
        <v>0.15</v>
      </c>
      <c r="L90" s="74">
        <v>0.16</v>
      </c>
      <c r="M90" s="74">
        <v>0.05</v>
      </c>
      <c r="N90" s="74">
        <f t="shared" si="215"/>
        <v>0</v>
      </c>
      <c r="O90" s="75">
        <v>0.01</v>
      </c>
      <c r="P90" s="74">
        <v>0.02</v>
      </c>
      <c r="Q90" s="72">
        <v>0</v>
      </c>
      <c r="R90" s="49"/>
      <c r="S90" s="49"/>
      <c r="T90" s="49"/>
      <c r="U90" s="49"/>
      <c r="V90" s="72"/>
      <c r="W90" s="72"/>
      <c r="X90" s="71" t="s">
        <v>39</v>
      </c>
      <c r="Y90" s="76">
        <v>5.55136</v>
      </c>
      <c r="Z90" s="77">
        <v>13</v>
      </c>
      <c r="AA90" s="72">
        <f t="shared" si="216"/>
        <v>7.93005044247788</v>
      </c>
      <c r="AB90" s="75">
        <f t="shared" si="217"/>
        <v>0.132189538964459</v>
      </c>
      <c r="AC90" s="49"/>
      <c r="AD90" s="78">
        <f t="shared" si="218"/>
        <v>0.0671778629771629</v>
      </c>
      <c r="AE90" s="74">
        <f t="shared" si="210"/>
        <v>0.414642973063477</v>
      </c>
      <c r="AF90" s="74">
        <f t="shared" si="211"/>
        <v>0.029284159972608</v>
      </c>
      <c r="AG90" s="74">
        <v>0.15</v>
      </c>
      <c r="AH90" s="74">
        <f t="shared" si="219"/>
        <v>0</v>
      </c>
      <c r="AI90" s="74">
        <v>0.02</v>
      </c>
      <c r="AJ90" s="74">
        <f t="shared" si="220"/>
        <v>0.05</v>
      </c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</row>
    <row r="91" ht="21" customHeight="1" spans="1:75">
      <c r="A91" s="48"/>
      <c r="B91" s="48"/>
      <c r="C91" s="48"/>
      <c r="D91" s="48"/>
      <c r="E91" s="71"/>
      <c r="F91" s="72"/>
      <c r="G91" s="72"/>
      <c r="H91" s="71"/>
      <c r="I91" s="72"/>
      <c r="J91" s="71"/>
      <c r="K91" s="74"/>
      <c r="L91" s="74"/>
      <c r="M91" s="74"/>
      <c r="N91" s="74"/>
      <c r="O91" s="75"/>
      <c r="P91" s="74"/>
      <c r="Q91" s="74"/>
      <c r="R91" s="49"/>
      <c r="S91" s="49"/>
      <c r="T91" s="49"/>
      <c r="U91" s="49"/>
      <c r="V91" s="72"/>
      <c r="W91" s="72"/>
      <c r="X91" s="71"/>
      <c r="Y91" s="76"/>
      <c r="Z91" s="72"/>
      <c r="AA91" s="72"/>
      <c r="AB91" s="75"/>
      <c r="AC91" s="49"/>
      <c r="AD91" s="78"/>
      <c r="AE91" s="74"/>
      <c r="AF91" s="74"/>
      <c r="AG91" s="74"/>
      <c r="AH91" s="74"/>
      <c r="AI91" s="74"/>
      <c r="AJ91" s="74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</row>
    <row r="92" spans="1:75">
      <c r="A92" s="80" t="s">
        <v>63</v>
      </c>
      <c r="B92" s="71">
        <v>8</v>
      </c>
      <c r="C92" s="49" t="s">
        <v>42</v>
      </c>
      <c r="D92" s="49" t="s">
        <v>43</v>
      </c>
      <c r="E92" s="71" t="s">
        <v>38</v>
      </c>
      <c r="F92" s="72">
        <f t="shared" ref="F92:F95" si="221">IF(E92="有",(I92/B92+J92+Z92/B92)/(0.99999-K92-L92-M92-N92),(I92/B92+J92+Z92/B92)/(0.99999-K92-M92-N92))</f>
        <v>58.399674903083</v>
      </c>
      <c r="G92" s="72">
        <f t="shared" ref="G92:G95" si="222">IF(E92="有",(I92/B92+J92+Z92/B92)/(0.8-K92-L92-M92-N92-O92-P92),(I92/B92+J92+Z92/B92)/(0.8-K92-M92-N92-O92-P92))</f>
        <v>104.344063764798</v>
      </c>
      <c r="H92" s="73">
        <v>84.99</v>
      </c>
      <c r="I92" s="72">
        <f t="shared" ref="I92:I95" si="223">208/1.13</f>
        <v>184.070796460177</v>
      </c>
      <c r="J92" s="49">
        <v>5.87</v>
      </c>
      <c r="K92" s="74">
        <v>0.15</v>
      </c>
      <c r="L92" s="74">
        <v>0.16</v>
      </c>
      <c r="M92" s="74">
        <v>0.05</v>
      </c>
      <c r="N92" s="74">
        <f t="shared" ref="N92:N95" si="224">Q92/H92</f>
        <v>0.117660901282504</v>
      </c>
      <c r="O92" s="75">
        <v>0.01</v>
      </c>
      <c r="P92" s="74">
        <v>0.02</v>
      </c>
      <c r="Q92" s="72">
        <v>10</v>
      </c>
      <c r="R92" s="49"/>
      <c r="S92" s="49"/>
      <c r="T92" s="49"/>
      <c r="U92" s="49"/>
      <c r="V92" s="72"/>
      <c r="W92" s="72"/>
      <c r="X92" s="49" t="s">
        <v>39</v>
      </c>
      <c r="Y92" s="76">
        <v>5.55136</v>
      </c>
      <c r="Z92" s="77">
        <v>13</v>
      </c>
      <c r="AA92" s="72">
        <f t="shared" ref="AA92:AA95" si="225">H92-SUM(K92:P92)*H92-J92-I92/B92-Z92/B92</f>
        <v>11.3400504424779</v>
      </c>
      <c r="AB92" s="75">
        <f t="shared" ref="AB92:AB95" si="226">AA92/H92</f>
        <v>0.1334280555651</v>
      </c>
      <c r="AC92" s="49"/>
      <c r="AD92" s="78">
        <f t="shared" ref="AD92:AD95" si="227">J92/H92</f>
        <v>0.0690669490528298</v>
      </c>
      <c r="AE92" s="74">
        <f t="shared" ref="AE92:AE97" si="228">I92/7.4/H92</f>
        <v>0.292674808260713</v>
      </c>
      <c r="AF92" s="74">
        <f t="shared" ref="AF92:AF97" si="229">Z92/7.4/H92</f>
        <v>0.0206701583334128</v>
      </c>
      <c r="AG92" s="74">
        <v>0.15</v>
      </c>
      <c r="AH92" s="74">
        <f t="shared" ref="AH92:AH95" si="230">N92</f>
        <v>0.117660901282504</v>
      </c>
      <c r="AI92" s="74">
        <v>0.02</v>
      </c>
      <c r="AJ92" s="74">
        <f t="shared" ref="AJ92:AJ95" si="231">M92</f>
        <v>0.05</v>
      </c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</row>
    <row r="93" spans="1:75">
      <c r="A93" s="70" t="s">
        <v>64</v>
      </c>
      <c r="B93" s="71">
        <v>8</v>
      </c>
      <c r="C93" s="71" t="s">
        <v>42</v>
      </c>
      <c r="D93" s="71" t="s">
        <v>43</v>
      </c>
      <c r="E93" s="71" t="s">
        <v>38</v>
      </c>
      <c r="F93" s="72">
        <f t="shared" si="221"/>
        <v>59.8988909491008</v>
      </c>
      <c r="G93" s="72">
        <f t="shared" si="222"/>
        <v>109.228785898638</v>
      </c>
      <c r="H93" s="73">
        <f>H92*0.9</f>
        <v>76.491</v>
      </c>
      <c r="I93" s="72">
        <f t="shared" si="223"/>
        <v>184.070796460177</v>
      </c>
      <c r="J93" s="71">
        <v>5.87</v>
      </c>
      <c r="K93" s="74">
        <v>0.15</v>
      </c>
      <c r="L93" s="74">
        <v>0.16</v>
      </c>
      <c r="M93" s="74">
        <v>0.05</v>
      </c>
      <c r="N93" s="74">
        <f t="shared" si="224"/>
        <v>0.130734334758338</v>
      </c>
      <c r="O93" s="75">
        <v>0.01</v>
      </c>
      <c r="P93" s="74">
        <v>0.02</v>
      </c>
      <c r="Q93" s="72">
        <v>10</v>
      </c>
      <c r="R93" s="49"/>
      <c r="S93" s="49"/>
      <c r="T93" s="49"/>
      <c r="U93" s="49"/>
      <c r="V93" s="72"/>
      <c r="W93" s="72"/>
      <c r="X93" s="71" t="s">
        <v>39</v>
      </c>
      <c r="Y93" s="76">
        <v>5.55136</v>
      </c>
      <c r="Z93" s="77">
        <v>13</v>
      </c>
      <c r="AA93" s="72">
        <f t="shared" si="225"/>
        <v>6.15566044247787</v>
      </c>
      <c r="AB93" s="75">
        <f t="shared" si="226"/>
        <v>0.0804756172945558</v>
      </c>
      <c r="AC93" s="49"/>
      <c r="AD93" s="78">
        <f t="shared" si="227"/>
        <v>0.0767410545031442</v>
      </c>
      <c r="AE93" s="74">
        <f t="shared" ref="AE93:AE99" si="232">I93/B93/H93</f>
        <v>0.300804664045733</v>
      </c>
      <c r="AF93" s="74">
        <f t="shared" ref="AF93:AF99" si="233">Z93/B93/H93</f>
        <v>0.0212443293982299</v>
      </c>
      <c r="AG93" s="74">
        <f t="shared" ref="AG93:AG99" si="234">K93</f>
        <v>0.15</v>
      </c>
      <c r="AH93" s="74">
        <f t="shared" si="230"/>
        <v>0.130734334758338</v>
      </c>
      <c r="AI93" s="74">
        <v>0.02</v>
      </c>
      <c r="AJ93" s="74">
        <f t="shared" si="231"/>
        <v>0.05</v>
      </c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</row>
    <row r="94" spans="1:75">
      <c r="A94" s="70" t="s">
        <v>65</v>
      </c>
      <c r="B94" s="71">
        <v>8</v>
      </c>
      <c r="C94" s="71" t="s">
        <v>42</v>
      </c>
      <c r="D94" s="71" t="s">
        <v>43</v>
      </c>
      <c r="E94" s="71" t="s">
        <v>38</v>
      </c>
      <c r="F94" s="72">
        <f t="shared" si="221"/>
        <v>60.8172910926221</v>
      </c>
      <c r="G94" s="72">
        <f t="shared" si="222"/>
        <v>112.321839185593</v>
      </c>
      <c r="H94" s="82">
        <f>H92*0.85</f>
        <v>72.2415</v>
      </c>
      <c r="I94" s="72">
        <f t="shared" si="223"/>
        <v>184.070796460177</v>
      </c>
      <c r="J94" s="71">
        <v>5.87</v>
      </c>
      <c r="K94" s="74">
        <v>0.15</v>
      </c>
      <c r="L94" s="74">
        <v>0.16</v>
      </c>
      <c r="M94" s="74">
        <v>0.05</v>
      </c>
      <c r="N94" s="74">
        <f t="shared" si="224"/>
        <v>0.138424589744122</v>
      </c>
      <c r="O94" s="75">
        <v>0.01</v>
      </c>
      <c r="P94" s="74">
        <v>0.02</v>
      </c>
      <c r="Q94" s="72">
        <v>10</v>
      </c>
      <c r="R94" s="49"/>
      <c r="S94" s="49"/>
      <c r="T94" s="49"/>
      <c r="U94" s="49"/>
      <c r="V94" s="72"/>
      <c r="W94" s="72"/>
      <c r="X94" s="71" t="s">
        <v>39</v>
      </c>
      <c r="Y94" s="76">
        <v>5.55136</v>
      </c>
      <c r="Z94" s="77">
        <v>13</v>
      </c>
      <c r="AA94" s="72">
        <f t="shared" si="225"/>
        <v>3.56346544247786</v>
      </c>
      <c r="AB94" s="75">
        <f t="shared" si="226"/>
        <v>0.0493271241942354</v>
      </c>
      <c r="AC94" s="49"/>
      <c r="AD94" s="78">
        <f t="shared" si="227"/>
        <v>0.0812552341797997</v>
      </c>
      <c r="AE94" s="74">
        <f t="shared" si="232"/>
        <v>0.318499056048423</v>
      </c>
      <c r="AF94" s="74">
        <f t="shared" si="233"/>
        <v>0.0224939958334199</v>
      </c>
      <c r="AG94" s="74">
        <f t="shared" si="234"/>
        <v>0.15</v>
      </c>
      <c r="AH94" s="74">
        <f t="shared" si="230"/>
        <v>0.138424589744122</v>
      </c>
      <c r="AI94" s="74">
        <v>0.02</v>
      </c>
      <c r="AJ94" s="74">
        <f t="shared" si="231"/>
        <v>0.05</v>
      </c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</row>
    <row r="95" spans="1:75">
      <c r="A95" s="70" t="s">
        <v>66</v>
      </c>
      <c r="B95" s="71">
        <v>8</v>
      </c>
      <c r="C95" s="71" t="s">
        <v>42</v>
      </c>
      <c r="D95" s="71" t="s">
        <v>43</v>
      </c>
      <c r="E95" s="71" t="s">
        <v>38</v>
      </c>
      <c r="F95" s="72">
        <f t="shared" si="221"/>
        <v>61.884745396407</v>
      </c>
      <c r="G95" s="72">
        <f t="shared" si="222"/>
        <v>116.017800755119</v>
      </c>
      <c r="H95" s="73">
        <f>H92*0.8</f>
        <v>67.992</v>
      </c>
      <c r="I95" s="72">
        <f t="shared" si="223"/>
        <v>184.070796460177</v>
      </c>
      <c r="J95" s="71">
        <v>5.87</v>
      </c>
      <c r="K95" s="74">
        <v>0.15</v>
      </c>
      <c r="L95" s="74">
        <v>0.16</v>
      </c>
      <c r="M95" s="74">
        <v>0.05</v>
      </c>
      <c r="N95" s="74">
        <f t="shared" si="224"/>
        <v>0.14707612660313</v>
      </c>
      <c r="O95" s="75">
        <v>0.01</v>
      </c>
      <c r="P95" s="74">
        <v>0.02</v>
      </c>
      <c r="Q95" s="72">
        <v>10</v>
      </c>
      <c r="R95" s="49"/>
      <c r="S95" s="49"/>
      <c r="T95" s="49"/>
      <c r="U95" s="49"/>
      <c r="V95" s="72"/>
      <c r="W95" s="72"/>
      <c r="X95" s="71" t="s">
        <v>39</v>
      </c>
      <c r="Y95" s="76">
        <v>5.55136</v>
      </c>
      <c r="Z95" s="77">
        <v>13</v>
      </c>
      <c r="AA95" s="72">
        <f t="shared" si="225"/>
        <v>0.971270442477877</v>
      </c>
      <c r="AB95" s="75">
        <f t="shared" si="226"/>
        <v>0.0142850694563754</v>
      </c>
      <c r="AC95" s="49"/>
      <c r="AD95" s="78">
        <f t="shared" si="227"/>
        <v>0.0863336863160372</v>
      </c>
      <c r="AE95" s="74">
        <f t="shared" si="228"/>
        <v>0.365843510325891</v>
      </c>
      <c r="AF95" s="74">
        <f t="shared" si="229"/>
        <v>0.025837697916766</v>
      </c>
      <c r="AG95" s="74">
        <v>0.15</v>
      </c>
      <c r="AH95" s="74">
        <f t="shared" si="230"/>
        <v>0.14707612660313</v>
      </c>
      <c r="AI95" s="74">
        <v>0.02</v>
      </c>
      <c r="AJ95" s="74">
        <f t="shared" si="231"/>
        <v>0.05</v>
      </c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</row>
    <row r="96" ht="21" customHeight="1" spans="1:75">
      <c r="A96" s="48"/>
      <c r="B96" s="48"/>
      <c r="C96" s="48"/>
      <c r="D96" s="48"/>
      <c r="E96" s="71"/>
      <c r="F96" s="72"/>
      <c r="G96" s="72"/>
      <c r="H96" s="71"/>
      <c r="I96" s="72"/>
      <c r="J96" s="71"/>
      <c r="K96" s="74"/>
      <c r="L96" s="74"/>
      <c r="M96" s="74"/>
      <c r="N96" s="74"/>
      <c r="O96" s="75"/>
      <c r="P96" s="74"/>
      <c r="Q96" s="74"/>
      <c r="R96" s="49"/>
      <c r="S96" s="49"/>
      <c r="T96" s="49"/>
      <c r="U96" s="49"/>
      <c r="V96" s="72"/>
      <c r="W96" s="72"/>
      <c r="X96" s="71"/>
      <c r="Y96" s="76"/>
      <c r="Z96" s="72"/>
      <c r="AA96" s="72"/>
      <c r="AB96" s="75"/>
      <c r="AC96" s="49"/>
      <c r="AD96" s="78"/>
      <c r="AE96" s="74"/>
      <c r="AF96" s="74"/>
      <c r="AG96" s="74"/>
      <c r="AH96" s="74"/>
      <c r="AI96" s="74"/>
      <c r="AJ96" s="74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</row>
    <row r="97" spans="1:75">
      <c r="A97" s="80" t="s">
        <v>63</v>
      </c>
      <c r="B97" s="71">
        <v>8</v>
      </c>
      <c r="C97" s="49" t="s">
        <v>44</v>
      </c>
      <c r="D97" s="49" t="s">
        <v>45</v>
      </c>
      <c r="E97" s="71" t="s">
        <v>38</v>
      </c>
      <c r="F97" s="72">
        <f t="shared" ref="F97:F100" si="235">IF(E97="有",(I97/B97+J97+Z97/B97)/(0.99999-K97-L97-M97-N97),(I97/B97+J97+Z97/B97)/(0.99999-K97-M97-N97))</f>
        <v>57.7104542548673</v>
      </c>
      <c r="G97" s="72">
        <f t="shared" ref="G97:G100" si="236">IF(E97="有",(I97/B97+J97+Z97/B97)/(0.8-K97-L97-M97-N97-O97-P97),(I97/B97+J97+Z97/B97)/(0.8-K97-M97-N97-O97-P97))</f>
        <v>103.112617127728</v>
      </c>
      <c r="H97" s="73">
        <v>84.99</v>
      </c>
      <c r="I97" s="72">
        <f t="shared" ref="I97:I100" si="237">208/1.13</f>
        <v>184.070796460177</v>
      </c>
      <c r="J97" s="49">
        <v>5.51</v>
      </c>
      <c r="K97" s="74">
        <v>0.15</v>
      </c>
      <c r="L97" s="74">
        <v>0.16</v>
      </c>
      <c r="M97" s="74">
        <v>0.05</v>
      </c>
      <c r="N97" s="74">
        <f t="shared" ref="N97:N100" si="238">Q97/H97</f>
        <v>0.117660901282504</v>
      </c>
      <c r="O97" s="75">
        <v>0.01</v>
      </c>
      <c r="P97" s="74">
        <v>0.02</v>
      </c>
      <c r="Q97" s="72">
        <v>10</v>
      </c>
      <c r="R97" s="49"/>
      <c r="S97" s="49"/>
      <c r="T97" s="49"/>
      <c r="U97" s="49"/>
      <c r="V97" s="72"/>
      <c r="W97" s="72"/>
      <c r="X97" s="49" t="s">
        <v>39</v>
      </c>
      <c r="Y97" s="76">
        <v>5.55136</v>
      </c>
      <c r="Z97" s="77">
        <v>13</v>
      </c>
      <c r="AA97" s="72">
        <f t="shared" ref="AA97:AA100" si="239">H97-SUM(K97:P97)*H97-J97-I97/B97-Z97/B97</f>
        <v>11.7000504424779</v>
      </c>
      <c r="AB97" s="75">
        <f t="shared" ref="AB97:AB100" si="240">AA97/H97</f>
        <v>0.13766384801127</v>
      </c>
      <c r="AC97" s="49"/>
      <c r="AD97" s="78">
        <f t="shared" ref="AD97:AD100" si="241">J97/H97</f>
        <v>0.0648311566066596</v>
      </c>
      <c r="AE97" s="74">
        <f t="shared" si="228"/>
        <v>0.292674808260713</v>
      </c>
      <c r="AF97" s="74">
        <f t="shared" si="229"/>
        <v>0.0206701583334128</v>
      </c>
      <c r="AG97" s="74">
        <v>0.15</v>
      </c>
      <c r="AH97" s="74">
        <f t="shared" ref="AH97:AH100" si="242">N97</f>
        <v>0.117660901282504</v>
      </c>
      <c r="AI97" s="74">
        <v>0.02</v>
      </c>
      <c r="AJ97" s="74">
        <f t="shared" ref="AJ97:AJ100" si="243">M97</f>
        <v>0.05</v>
      </c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</row>
    <row r="98" spans="1:75">
      <c r="A98" s="70" t="s">
        <v>64</v>
      </c>
      <c r="B98" s="71">
        <v>8</v>
      </c>
      <c r="C98" s="71" t="s">
        <v>44</v>
      </c>
      <c r="D98" s="71" t="s">
        <v>45</v>
      </c>
      <c r="E98" s="71" t="s">
        <v>38</v>
      </c>
      <c r="F98" s="72">
        <f t="shared" si="235"/>
        <v>59.1919768692561</v>
      </c>
      <c r="G98" s="72">
        <f t="shared" si="236"/>
        <v>107.939690801005</v>
      </c>
      <c r="H98" s="73">
        <f>H97*0.9</f>
        <v>76.491</v>
      </c>
      <c r="I98" s="72">
        <f t="shared" si="237"/>
        <v>184.070796460177</v>
      </c>
      <c r="J98" s="71">
        <v>5.51</v>
      </c>
      <c r="K98" s="74">
        <v>0.15</v>
      </c>
      <c r="L98" s="74">
        <v>0.16</v>
      </c>
      <c r="M98" s="74">
        <v>0.05</v>
      </c>
      <c r="N98" s="74">
        <f t="shared" si="238"/>
        <v>0.130734334758338</v>
      </c>
      <c r="O98" s="75">
        <v>0.01</v>
      </c>
      <c r="P98" s="74">
        <v>0.02</v>
      </c>
      <c r="Q98" s="72">
        <v>10</v>
      </c>
      <c r="R98" s="49"/>
      <c r="S98" s="49"/>
      <c r="T98" s="49"/>
      <c r="U98" s="49"/>
      <c r="V98" s="72"/>
      <c r="W98" s="72"/>
      <c r="X98" s="71" t="s">
        <v>39</v>
      </c>
      <c r="Y98" s="76">
        <v>5.55136</v>
      </c>
      <c r="Z98" s="77">
        <v>13</v>
      </c>
      <c r="AA98" s="72">
        <f t="shared" si="239"/>
        <v>6.51566044247787</v>
      </c>
      <c r="AB98" s="75">
        <f t="shared" si="240"/>
        <v>0.085182053345856</v>
      </c>
      <c r="AC98" s="49"/>
      <c r="AD98" s="78">
        <f t="shared" si="241"/>
        <v>0.072034618451844</v>
      </c>
      <c r="AE98" s="74">
        <f t="shared" si="232"/>
        <v>0.300804664045733</v>
      </c>
      <c r="AF98" s="74">
        <f t="shared" si="233"/>
        <v>0.0212443293982299</v>
      </c>
      <c r="AG98" s="74">
        <f t="shared" si="234"/>
        <v>0.15</v>
      </c>
      <c r="AH98" s="74">
        <f t="shared" si="242"/>
        <v>0.130734334758338</v>
      </c>
      <c r="AI98" s="74">
        <v>0.02</v>
      </c>
      <c r="AJ98" s="74">
        <f t="shared" si="243"/>
        <v>0.05</v>
      </c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</row>
    <row r="99" spans="1:75">
      <c r="A99" s="70" t="s">
        <v>65</v>
      </c>
      <c r="B99" s="71">
        <v>8</v>
      </c>
      <c r="C99" s="71" t="s">
        <v>44</v>
      </c>
      <c r="D99" s="71" t="s">
        <v>45</v>
      </c>
      <c r="E99" s="71" t="s">
        <v>38</v>
      </c>
      <c r="F99" s="72">
        <f t="shared" si="235"/>
        <v>60.0995382479505</v>
      </c>
      <c r="G99" s="72">
        <f t="shared" si="236"/>
        <v>110.996240525314</v>
      </c>
      <c r="H99" s="82">
        <f>H97*0.85</f>
        <v>72.2415</v>
      </c>
      <c r="I99" s="72">
        <f t="shared" si="237"/>
        <v>184.070796460177</v>
      </c>
      <c r="J99" s="71">
        <v>5.51</v>
      </c>
      <c r="K99" s="74">
        <v>0.15</v>
      </c>
      <c r="L99" s="74">
        <v>0.16</v>
      </c>
      <c r="M99" s="74">
        <v>0.05</v>
      </c>
      <c r="N99" s="74">
        <f t="shared" si="238"/>
        <v>0.138424589744122</v>
      </c>
      <c r="O99" s="75">
        <v>0.01</v>
      </c>
      <c r="P99" s="74">
        <v>0.02</v>
      </c>
      <c r="Q99" s="72">
        <v>10</v>
      </c>
      <c r="R99" s="49"/>
      <c r="S99" s="49"/>
      <c r="T99" s="49"/>
      <c r="U99" s="49"/>
      <c r="V99" s="72"/>
      <c r="W99" s="72"/>
      <c r="X99" s="71" t="s">
        <v>39</v>
      </c>
      <c r="Y99" s="76">
        <v>5.55136</v>
      </c>
      <c r="Z99" s="77">
        <v>13</v>
      </c>
      <c r="AA99" s="72">
        <f t="shared" si="239"/>
        <v>3.92346544247786</v>
      </c>
      <c r="AB99" s="75">
        <f t="shared" si="240"/>
        <v>0.0543104094250239</v>
      </c>
      <c r="AC99" s="49"/>
      <c r="AD99" s="78">
        <f t="shared" si="241"/>
        <v>0.0762719489490113</v>
      </c>
      <c r="AE99" s="74">
        <f t="shared" si="232"/>
        <v>0.318499056048423</v>
      </c>
      <c r="AF99" s="74">
        <f t="shared" si="233"/>
        <v>0.0224939958334199</v>
      </c>
      <c r="AG99" s="74">
        <f t="shared" si="234"/>
        <v>0.15</v>
      </c>
      <c r="AH99" s="74">
        <f t="shared" si="242"/>
        <v>0.138424589744122</v>
      </c>
      <c r="AI99" s="74">
        <v>0.02</v>
      </c>
      <c r="AJ99" s="74">
        <f t="shared" si="243"/>
        <v>0.05</v>
      </c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</row>
    <row r="100" spans="1:75">
      <c r="A100" s="70" t="s">
        <v>66</v>
      </c>
      <c r="B100" s="71">
        <v>8</v>
      </c>
      <c r="C100" s="71" t="s">
        <v>44</v>
      </c>
      <c r="D100" s="71" t="s">
        <v>45</v>
      </c>
      <c r="E100" s="71" t="s">
        <v>38</v>
      </c>
      <c r="F100" s="72">
        <f t="shared" si="235"/>
        <v>61.1543946811409</v>
      </c>
      <c r="G100" s="72">
        <f t="shared" si="236"/>
        <v>114.648583135779</v>
      </c>
      <c r="H100" s="73">
        <f>H97*0.8</f>
        <v>67.992</v>
      </c>
      <c r="I100" s="72">
        <f t="shared" si="237"/>
        <v>184.070796460177</v>
      </c>
      <c r="J100" s="71">
        <v>5.51</v>
      </c>
      <c r="K100" s="74">
        <v>0.15</v>
      </c>
      <c r="L100" s="74">
        <v>0.16</v>
      </c>
      <c r="M100" s="74">
        <v>0.05</v>
      </c>
      <c r="N100" s="74">
        <f t="shared" si="238"/>
        <v>0.14707612660313</v>
      </c>
      <c r="O100" s="75">
        <v>0.01</v>
      </c>
      <c r="P100" s="74">
        <v>0.02</v>
      </c>
      <c r="Q100" s="72">
        <v>10</v>
      </c>
      <c r="R100" s="49"/>
      <c r="S100" s="49"/>
      <c r="T100" s="49"/>
      <c r="U100" s="49"/>
      <c r="V100" s="72"/>
      <c r="W100" s="72"/>
      <c r="X100" s="71" t="s">
        <v>39</v>
      </c>
      <c r="Y100" s="76">
        <v>5.55136</v>
      </c>
      <c r="Z100" s="77">
        <v>13</v>
      </c>
      <c r="AA100" s="72">
        <f t="shared" si="239"/>
        <v>1.33127044247788</v>
      </c>
      <c r="AB100" s="75">
        <f t="shared" si="240"/>
        <v>0.0195798100140881</v>
      </c>
      <c r="AC100" s="49"/>
      <c r="AD100" s="78">
        <f t="shared" si="241"/>
        <v>0.0810389457583245</v>
      </c>
      <c r="AE100" s="74">
        <f t="shared" ref="AE100:AE105" si="244">I100/7.4/H100</f>
        <v>0.365843510325891</v>
      </c>
      <c r="AF100" s="74">
        <f t="shared" ref="AF100:AF105" si="245">Z100/7.4/H100</f>
        <v>0.025837697916766</v>
      </c>
      <c r="AG100" s="74">
        <v>0.15</v>
      </c>
      <c r="AH100" s="74">
        <f t="shared" si="242"/>
        <v>0.14707612660313</v>
      </c>
      <c r="AI100" s="74">
        <v>0.02</v>
      </c>
      <c r="AJ100" s="74">
        <f t="shared" si="243"/>
        <v>0.05</v>
      </c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</row>
    <row r="101" ht="21" customHeight="1" spans="1:75">
      <c r="A101" s="48"/>
      <c r="B101" s="48"/>
      <c r="C101" s="48"/>
      <c r="D101" s="48"/>
      <c r="E101" s="71"/>
      <c r="F101" s="72"/>
      <c r="G101" s="72"/>
      <c r="H101" s="71"/>
      <c r="I101" s="72"/>
      <c r="J101" s="71"/>
      <c r="K101" s="74"/>
      <c r="L101" s="74"/>
      <c r="M101" s="74"/>
      <c r="N101" s="74"/>
      <c r="O101" s="75"/>
      <c r="P101" s="74"/>
      <c r="Q101" s="74"/>
      <c r="R101" s="49"/>
      <c r="S101" s="49"/>
      <c r="T101" s="49"/>
      <c r="U101" s="49"/>
      <c r="V101" s="72"/>
      <c r="W101" s="72"/>
      <c r="X101" s="71"/>
      <c r="Y101" s="76"/>
      <c r="Z101" s="72"/>
      <c r="AA101" s="72"/>
      <c r="AB101" s="75"/>
      <c r="AC101" s="49"/>
      <c r="AD101" s="78"/>
      <c r="AE101" s="74"/>
      <c r="AF101" s="74"/>
      <c r="AG101" s="74"/>
      <c r="AH101" s="74"/>
      <c r="AI101" s="74"/>
      <c r="AJ101" s="74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</row>
    <row r="102" spans="1:75">
      <c r="A102" s="80" t="s">
        <v>63</v>
      </c>
      <c r="B102" s="71">
        <v>8</v>
      </c>
      <c r="C102" s="49" t="s">
        <v>47</v>
      </c>
      <c r="D102" s="49" t="s">
        <v>48</v>
      </c>
      <c r="E102" s="71" t="s">
        <v>38</v>
      </c>
      <c r="F102" s="72">
        <f t="shared" ref="F102:F105" si="246">IF(E102="有",(I102/B102+J102+Z102/B102)/(0.99999-K102-L102-M102-N102),(I102/B102+J102+Z102/B102)/(0.99999-K102-M102-N102))</f>
        <v>55.2216019140884</v>
      </c>
      <c r="G102" s="72">
        <f t="shared" ref="G102:G105" si="247">IF(E102="有",(I102/B102+J102+Z102/B102)/(0.8-K102-L102-M102-N102-O102-P102),(I102/B102+J102+Z102/B102)/(0.8-K102-M102-N102-O102-P102))</f>
        <v>98.6657264938604</v>
      </c>
      <c r="H102" s="73">
        <v>84.99</v>
      </c>
      <c r="I102" s="72">
        <f t="shared" ref="I102:I105" si="248">208/1.13</f>
        <v>184.070796460177</v>
      </c>
      <c r="J102" s="49">
        <v>4.21</v>
      </c>
      <c r="K102" s="74">
        <v>0.15</v>
      </c>
      <c r="L102" s="74">
        <v>0.16</v>
      </c>
      <c r="M102" s="74">
        <v>0.05</v>
      </c>
      <c r="N102" s="74">
        <f t="shared" ref="N102:N105" si="249">Q102/H102</f>
        <v>0.117660901282504</v>
      </c>
      <c r="O102" s="75">
        <v>0.01</v>
      </c>
      <c r="P102" s="74">
        <v>0.02</v>
      </c>
      <c r="Q102" s="72">
        <v>10</v>
      </c>
      <c r="R102" s="49"/>
      <c r="S102" s="49"/>
      <c r="T102" s="49"/>
      <c r="U102" s="49"/>
      <c r="V102" s="72"/>
      <c r="W102" s="72"/>
      <c r="X102" s="49" t="s">
        <v>39</v>
      </c>
      <c r="Y102" s="76">
        <v>5.55136</v>
      </c>
      <c r="Z102" s="77">
        <v>13</v>
      </c>
      <c r="AA102" s="72">
        <f t="shared" ref="AA102:AA105" si="250">H102-SUM(K102:P102)*H102-J102-I102/B102-Z102/B102</f>
        <v>13.0000504424779</v>
      </c>
      <c r="AB102" s="75">
        <f t="shared" ref="AB102:AB105" si="251">AA102/H102</f>
        <v>0.152959765177996</v>
      </c>
      <c r="AC102" s="49"/>
      <c r="AD102" s="78">
        <f t="shared" ref="AD102:AD105" si="252">J102/H102</f>
        <v>0.0495352394399341</v>
      </c>
      <c r="AE102" s="74">
        <f t="shared" si="244"/>
        <v>0.292674808260713</v>
      </c>
      <c r="AF102" s="74">
        <f t="shared" si="245"/>
        <v>0.0206701583334128</v>
      </c>
      <c r="AG102" s="74">
        <v>0.15</v>
      </c>
      <c r="AH102" s="74">
        <f t="shared" ref="AH102:AH105" si="253">N102</f>
        <v>0.117660901282504</v>
      </c>
      <c r="AI102" s="74">
        <v>0.02</v>
      </c>
      <c r="AJ102" s="74">
        <f t="shared" ref="AJ102:AJ105" si="254">M102</f>
        <v>0.05</v>
      </c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</row>
    <row r="103" spans="1:75">
      <c r="A103" s="70" t="s">
        <v>64</v>
      </c>
      <c r="B103" s="71">
        <v>8</v>
      </c>
      <c r="C103" s="71" t="s">
        <v>47</v>
      </c>
      <c r="D103" s="71" t="s">
        <v>48</v>
      </c>
      <c r="E103" s="71" t="s">
        <v>38</v>
      </c>
      <c r="F103" s="72">
        <f t="shared" si="246"/>
        <v>56.6392315809281</v>
      </c>
      <c r="G103" s="72">
        <f t="shared" si="247"/>
        <v>103.284625170667</v>
      </c>
      <c r="H103" s="73">
        <f>H102*0.9</f>
        <v>76.491</v>
      </c>
      <c r="I103" s="72">
        <f t="shared" si="248"/>
        <v>184.070796460177</v>
      </c>
      <c r="J103" s="49">
        <v>4.21</v>
      </c>
      <c r="K103" s="74">
        <v>0.15</v>
      </c>
      <c r="L103" s="74">
        <v>0.16</v>
      </c>
      <c r="M103" s="74">
        <v>0.05</v>
      </c>
      <c r="N103" s="74">
        <f t="shared" si="249"/>
        <v>0.130734334758338</v>
      </c>
      <c r="O103" s="75">
        <v>0.01</v>
      </c>
      <c r="P103" s="74">
        <v>0.02</v>
      </c>
      <c r="Q103" s="72">
        <v>10</v>
      </c>
      <c r="R103" s="49"/>
      <c r="S103" s="49"/>
      <c r="T103" s="49"/>
      <c r="U103" s="49"/>
      <c r="V103" s="72"/>
      <c r="W103" s="72"/>
      <c r="X103" s="71" t="s">
        <v>39</v>
      </c>
      <c r="Y103" s="76">
        <v>5.55136</v>
      </c>
      <c r="Z103" s="77">
        <v>13</v>
      </c>
      <c r="AA103" s="72">
        <f t="shared" si="250"/>
        <v>7.81566044247787</v>
      </c>
      <c r="AB103" s="75">
        <f t="shared" si="251"/>
        <v>0.10217751686444</v>
      </c>
      <c r="AC103" s="49"/>
      <c r="AD103" s="78">
        <f t="shared" si="252"/>
        <v>0.0550391549332601</v>
      </c>
      <c r="AE103" s="74">
        <f>I103/B103/H103</f>
        <v>0.300804664045733</v>
      </c>
      <c r="AF103" s="74">
        <f>Z103/B103/H103</f>
        <v>0.0212443293982299</v>
      </c>
      <c r="AG103" s="74">
        <f>K103</f>
        <v>0.15</v>
      </c>
      <c r="AH103" s="74">
        <f t="shared" si="253"/>
        <v>0.130734334758338</v>
      </c>
      <c r="AI103" s="74">
        <v>0.02</v>
      </c>
      <c r="AJ103" s="74">
        <f t="shared" si="254"/>
        <v>0.05</v>
      </c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</row>
    <row r="104" spans="1:75">
      <c r="A104" s="70" t="s">
        <v>65</v>
      </c>
      <c r="B104" s="71">
        <v>8</v>
      </c>
      <c r="C104" s="71" t="s">
        <v>47</v>
      </c>
      <c r="D104" s="71" t="s">
        <v>48</v>
      </c>
      <c r="E104" s="71" t="s">
        <v>38</v>
      </c>
      <c r="F104" s="72">
        <f t="shared" si="246"/>
        <v>57.5076529755256</v>
      </c>
      <c r="G104" s="72">
        <f t="shared" si="247"/>
        <v>106.209356474305</v>
      </c>
      <c r="H104" s="82">
        <f>H102*0.85</f>
        <v>72.2415</v>
      </c>
      <c r="I104" s="72">
        <f t="shared" si="248"/>
        <v>184.070796460177</v>
      </c>
      <c r="J104" s="49">
        <v>4.21</v>
      </c>
      <c r="K104" s="74">
        <v>0.15</v>
      </c>
      <c r="L104" s="74">
        <v>0.16</v>
      </c>
      <c r="M104" s="74">
        <v>0.05</v>
      </c>
      <c r="N104" s="74">
        <f t="shared" si="249"/>
        <v>0.138424589744122</v>
      </c>
      <c r="O104" s="75">
        <v>0.01</v>
      </c>
      <c r="P104" s="74">
        <v>0.02</v>
      </c>
      <c r="Q104" s="72">
        <v>10</v>
      </c>
      <c r="R104" s="49"/>
      <c r="S104" s="49"/>
      <c r="T104" s="49"/>
      <c r="U104" s="49"/>
      <c r="V104" s="72"/>
      <c r="W104" s="72"/>
      <c r="X104" s="71" t="s">
        <v>39</v>
      </c>
      <c r="Y104" s="76">
        <v>5.55136</v>
      </c>
      <c r="Z104" s="77">
        <v>13</v>
      </c>
      <c r="AA104" s="72">
        <f t="shared" si="250"/>
        <v>5.22346544247786</v>
      </c>
      <c r="AB104" s="75">
        <f t="shared" si="251"/>
        <v>0.0723056060917597</v>
      </c>
      <c r="AC104" s="49"/>
      <c r="AD104" s="78">
        <f t="shared" si="252"/>
        <v>0.0582767522822754</v>
      </c>
      <c r="AE104" s="74">
        <f>I104/B104/H104</f>
        <v>0.318499056048423</v>
      </c>
      <c r="AF104" s="74">
        <f>Z104/B104/H104</f>
        <v>0.0224939958334199</v>
      </c>
      <c r="AG104" s="74">
        <f>K104</f>
        <v>0.15</v>
      </c>
      <c r="AH104" s="74">
        <f t="shared" si="253"/>
        <v>0.138424589744122</v>
      </c>
      <c r="AI104" s="74">
        <v>0.02</v>
      </c>
      <c r="AJ104" s="74">
        <f t="shared" si="254"/>
        <v>0.05</v>
      </c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</row>
    <row r="105" spans="1:75">
      <c r="A105" s="70" t="s">
        <v>66</v>
      </c>
      <c r="B105" s="71">
        <v>8</v>
      </c>
      <c r="C105" s="71" t="s">
        <v>47</v>
      </c>
      <c r="D105" s="71" t="s">
        <v>48</v>
      </c>
      <c r="E105" s="71" t="s">
        <v>38</v>
      </c>
      <c r="F105" s="72">
        <f t="shared" si="246"/>
        <v>58.5170170982355</v>
      </c>
      <c r="G105" s="72">
        <f t="shared" si="247"/>
        <v>109.704186177053</v>
      </c>
      <c r="H105" s="73">
        <f>H102*0.8</f>
        <v>67.992</v>
      </c>
      <c r="I105" s="72">
        <f t="shared" si="248"/>
        <v>184.070796460177</v>
      </c>
      <c r="J105" s="49">
        <v>4.21</v>
      </c>
      <c r="K105" s="74">
        <v>0.15</v>
      </c>
      <c r="L105" s="74">
        <v>0.16</v>
      </c>
      <c r="M105" s="74">
        <v>0.05</v>
      </c>
      <c r="N105" s="74">
        <f t="shared" si="249"/>
        <v>0.14707612660313</v>
      </c>
      <c r="O105" s="75">
        <v>0.01</v>
      </c>
      <c r="P105" s="74">
        <v>0.02</v>
      </c>
      <c r="Q105" s="72">
        <v>10</v>
      </c>
      <c r="R105" s="49"/>
      <c r="S105" s="49"/>
      <c r="T105" s="49"/>
      <c r="U105" s="49"/>
      <c r="V105" s="72"/>
      <c r="W105" s="72"/>
      <c r="X105" s="71" t="s">
        <v>39</v>
      </c>
      <c r="Y105" s="76">
        <v>5.55136</v>
      </c>
      <c r="Z105" s="77">
        <v>13</v>
      </c>
      <c r="AA105" s="72">
        <f t="shared" si="250"/>
        <v>2.63127044247788</v>
      </c>
      <c r="AB105" s="75">
        <f t="shared" si="251"/>
        <v>0.038699706472495</v>
      </c>
      <c r="AC105" s="49"/>
      <c r="AD105" s="78">
        <f t="shared" si="252"/>
        <v>0.0619190492999176</v>
      </c>
      <c r="AE105" s="74">
        <f t="shared" si="244"/>
        <v>0.365843510325891</v>
      </c>
      <c r="AF105" s="74">
        <f t="shared" si="245"/>
        <v>0.025837697916766</v>
      </c>
      <c r="AG105" s="74">
        <v>0.15</v>
      </c>
      <c r="AH105" s="74">
        <f t="shared" si="253"/>
        <v>0.14707612660313</v>
      </c>
      <c r="AI105" s="74">
        <v>0.02</v>
      </c>
      <c r="AJ105" s="74">
        <f t="shared" si="254"/>
        <v>0.05</v>
      </c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</row>
    <row r="106" ht="21" customHeight="1" spans="1:75">
      <c r="E106" s="71"/>
      <c r="F106" s="72"/>
      <c r="G106" s="72"/>
      <c r="H106" s="71"/>
      <c r="I106" s="72"/>
      <c r="J106" s="71"/>
      <c r="K106" s="74"/>
      <c r="L106" s="74"/>
      <c r="M106" s="74"/>
      <c r="N106" s="74"/>
      <c r="O106" s="75"/>
      <c r="P106" s="74"/>
      <c r="Q106" s="74"/>
      <c r="R106" s="49"/>
      <c r="S106" s="49"/>
      <c r="T106" s="49"/>
      <c r="U106" s="49"/>
      <c r="V106" s="72"/>
      <c r="W106" s="72"/>
      <c r="X106" s="71"/>
      <c r="Y106" s="76"/>
      <c r="Z106" s="72"/>
      <c r="AA106" s="72"/>
      <c r="AB106" s="75"/>
      <c r="AC106" s="49"/>
      <c r="AD106" s="78"/>
      <c r="AE106" s="74"/>
      <c r="AF106" s="74"/>
      <c r="AG106" s="74"/>
      <c r="AH106" s="74"/>
      <c r="AI106" s="74"/>
      <c r="AJ106" s="74"/>
    </row>
    <row r="107" spans="1:75">
      <c r="A107" s="70" t="s">
        <v>67</v>
      </c>
      <c r="B107" s="49">
        <v>9</v>
      </c>
      <c r="C107" s="71" t="s">
        <v>49</v>
      </c>
      <c r="D107" s="71" t="s">
        <v>50</v>
      </c>
      <c r="E107" s="71" t="s">
        <v>38</v>
      </c>
      <c r="F107" s="72">
        <f t="shared" ref="F107:F109" si="255">IF(E107="有",(I107/B107+J107+Z107/B107)/(0.99999-K107-L107-M107-N107),(I107/B107+J107+Z107/B107)/(0.99999-K107-M107-N107))</f>
        <v>50.3362678949856</v>
      </c>
      <c r="G107" s="72">
        <f t="shared" ref="G107:G109" si="256">IF(E107="有",(I107/B107+J107+Z107/B107)/(0.8-K107-L107-M107-N107-O107-P107),(I107/B107+J107+Z107/B107)/(0.8-K107-M107-N107-O107-P107))</f>
        <v>91.5654789726815</v>
      </c>
      <c r="H107" s="73">
        <v>74.99</v>
      </c>
      <c r="I107" s="72">
        <f t="shared" ref="I107:I109" si="257">208/1.13</f>
        <v>184.070796460177</v>
      </c>
      <c r="J107" s="49">
        <v>3.05</v>
      </c>
      <c r="K107" s="74">
        <v>0.15</v>
      </c>
      <c r="L107" s="74">
        <v>0.16</v>
      </c>
      <c r="M107" s="74">
        <v>0.05</v>
      </c>
      <c r="N107" s="74">
        <f t="shared" ref="N107:N109" si="258">Q107/H107</f>
        <v>0.133351113481798</v>
      </c>
      <c r="O107" s="75">
        <f t="shared" ref="O107:O109" si="259">0.61/H107</f>
        <v>0.00813441792238965</v>
      </c>
      <c r="P107" s="74">
        <v>0.02</v>
      </c>
      <c r="Q107" s="72">
        <v>10</v>
      </c>
      <c r="R107" s="49">
        <v>33.5</v>
      </c>
      <c r="S107" s="49">
        <v>26.5</v>
      </c>
      <c r="T107" s="49">
        <v>25</v>
      </c>
      <c r="U107" s="49">
        <v>2.3</v>
      </c>
      <c r="V107" s="72">
        <f t="shared" ref="V107:V109" si="260">R107*S107*T107/6000</f>
        <v>3.69895833333333</v>
      </c>
      <c r="W107" s="72">
        <f t="shared" ref="W107:W109" si="261">MAX(U107:V107)</f>
        <v>3.69895833333333</v>
      </c>
      <c r="X107" s="71" t="s">
        <v>39</v>
      </c>
      <c r="Y107" s="76">
        <v>6.084</v>
      </c>
      <c r="Z107" s="77">
        <v>18</v>
      </c>
      <c r="AA107" s="72">
        <f t="shared" ref="AA107:AA109" si="262">H107-SUM(K107:P107)*H107-J107-I107/B107-Z107/B107</f>
        <v>10.3814892822026</v>
      </c>
      <c r="AB107" s="75">
        <f t="shared" ref="AB107:AB109" si="263">AA107/H107</f>
        <v>0.138438315538106</v>
      </c>
      <c r="AC107" s="49"/>
      <c r="AD107" s="78">
        <f t="shared" ref="AD107:AD109" si="264">J107/H107</f>
        <v>0.0406720896119483</v>
      </c>
      <c r="AE107" s="74">
        <f t="shared" ref="AE107:AE109" si="265">I107/7.4/H107</f>
        <v>0.33170331983035</v>
      </c>
      <c r="AF107" s="74">
        <f t="shared" ref="AF107:AF109" si="266">Z107/7.4/H107</f>
        <v>0.0324367573334102</v>
      </c>
      <c r="AG107" s="74">
        <v>0.15</v>
      </c>
      <c r="AH107" s="74">
        <f t="shared" ref="AH107:AH109" si="267">N107</f>
        <v>0.133351113481798</v>
      </c>
      <c r="AI107" s="74">
        <v>0.02</v>
      </c>
      <c r="AJ107" s="74">
        <f t="shared" ref="AJ107:AJ109" si="268">M107</f>
        <v>0.05</v>
      </c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</row>
    <row r="108" spans="1:75">
      <c r="A108" s="70" t="s">
        <v>64</v>
      </c>
      <c r="B108" s="49">
        <v>9</v>
      </c>
      <c r="C108" s="71" t="s">
        <v>49</v>
      </c>
      <c r="D108" s="71" t="s">
        <v>50</v>
      </c>
      <c r="E108" s="71" t="s">
        <v>38</v>
      </c>
      <c r="F108" s="72">
        <f t="shared" si="255"/>
        <v>51.8527144640271</v>
      </c>
      <c r="G108" s="72">
        <f t="shared" si="256"/>
        <v>97.0430256647058</v>
      </c>
      <c r="H108" s="73">
        <f>H107*0.9</f>
        <v>67.491</v>
      </c>
      <c r="I108" s="72">
        <f t="shared" si="257"/>
        <v>184.070796460177</v>
      </c>
      <c r="J108" s="71">
        <v>3.05</v>
      </c>
      <c r="K108" s="74">
        <v>0.15</v>
      </c>
      <c r="L108" s="74">
        <v>0.16</v>
      </c>
      <c r="M108" s="74">
        <v>0.05</v>
      </c>
      <c r="N108" s="74">
        <f t="shared" si="258"/>
        <v>0.148167903868664</v>
      </c>
      <c r="O108" s="75">
        <f t="shared" si="259"/>
        <v>0.0090382421359885</v>
      </c>
      <c r="P108" s="74">
        <v>0.02</v>
      </c>
      <c r="Q108" s="72">
        <v>10</v>
      </c>
      <c r="R108" s="49">
        <v>33.5</v>
      </c>
      <c r="S108" s="49">
        <v>26.5</v>
      </c>
      <c r="T108" s="49">
        <v>25</v>
      </c>
      <c r="U108" s="49">
        <v>2.3</v>
      </c>
      <c r="V108" s="72">
        <f t="shared" si="260"/>
        <v>3.69895833333333</v>
      </c>
      <c r="W108" s="72">
        <f t="shared" si="261"/>
        <v>3.69895833333333</v>
      </c>
      <c r="X108" s="71" t="s">
        <v>39</v>
      </c>
      <c r="Y108" s="76">
        <v>6.084</v>
      </c>
      <c r="Z108" s="77">
        <v>18</v>
      </c>
      <c r="AA108" s="72">
        <f t="shared" si="262"/>
        <v>5.73210928220255</v>
      </c>
      <c r="AB108" s="75">
        <f t="shared" si="263"/>
        <v>0.0849314617090065</v>
      </c>
      <c r="AC108" s="49"/>
      <c r="AD108" s="78">
        <f t="shared" si="264"/>
        <v>0.0451912106799425</v>
      </c>
      <c r="AE108" s="74">
        <f t="shared" si="265"/>
        <v>0.368559244255945</v>
      </c>
      <c r="AF108" s="74">
        <f t="shared" si="266"/>
        <v>0.0360408414815669</v>
      </c>
      <c r="AG108" s="74">
        <v>0.15</v>
      </c>
      <c r="AH108" s="74">
        <f t="shared" si="267"/>
        <v>0.148167903868664</v>
      </c>
      <c r="AI108" s="74">
        <v>0.02</v>
      </c>
      <c r="AJ108" s="74">
        <f t="shared" si="268"/>
        <v>0.05</v>
      </c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</row>
    <row r="109" spans="1:75">
      <c r="A109" s="70" t="s">
        <v>65</v>
      </c>
      <c r="B109" s="49">
        <v>9</v>
      </c>
      <c r="C109" s="71" t="s">
        <v>49</v>
      </c>
      <c r="D109" s="71" t="s">
        <v>50</v>
      </c>
      <c r="E109" s="71" t="s">
        <v>38</v>
      </c>
      <c r="F109" s="72">
        <f t="shared" si="255"/>
        <v>52.7881933239096</v>
      </c>
      <c r="G109" s="72">
        <f t="shared" si="256"/>
        <v>100.582407535626</v>
      </c>
      <c r="H109" s="82">
        <f>H107*0.85</f>
        <v>63.7415</v>
      </c>
      <c r="I109" s="72">
        <f t="shared" si="257"/>
        <v>184.070796460177</v>
      </c>
      <c r="J109" s="71">
        <v>3.05</v>
      </c>
      <c r="K109" s="74">
        <v>0.15</v>
      </c>
      <c r="L109" s="74">
        <v>0.16</v>
      </c>
      <c r="M109" s="74">
        <v>0.05</v>
      </c>
      <c r="N109" s="74">
        <f t="shared" si="258"/>
        <v>0.156883662919762</v>
      </c>
      <c r="O109" s="75">
        <f t="shared" si="259"/>
        <v>0.00956990343810547</v>
      </c>
      <c r="P109" s="74">
        <v>0.02</v>
      </c>
      <c r="Q109" s="72">
        <v>10</v>
      </c>
      <c r="R109" s="49">
        <v>33.5</v>
      </c>
      <c r="S109" s="49">
        <v>26.5</v>
      </c>
      <c r="T109" s="49">
        <v>25</v>
      </c>
      <c r="U109" s="49">
        <v>2.3</v>
      </c>
      <c r="V109" s="72">
        <f t="shared" si="260"/>
        <v>3.69895833333333</v>
      </c>
      <c r="W109" s="72">
        <f t="shared" si="261"/>
        <v>3.69895833333333</v>
      </c>
      <c r="X109" s="71" t="s">
        <v>39</v>
      </c>
      <c r="Y109" s="76">
        <v>6.084</v>
      </c>
      <c r="Z109" s="77">
        <v>18</v>
      </c>
      <c r="AA109" s="72">
        <f t="shared" si="262"/>
        <v>3.40741928220255</v>
      </c>
      <c r="AB109" s="75">
        <f t="shared" si="263"/>
        <v>0.0534568418095362</v>
      </c>
      <c r="AC109" s="49"/>
      <c r="AD109" s="78">
        <f t="shared" si="264"/>
        <v>0.0478495171905274</v>
      </c>
      <c r="AE109" s="74">
        <f t="shared" si="265"/>
        <v>0.390239199800412</v>
      </c>
      <c r="AF109" s="74">
        <f t="shared" si="266"/>
        <v>0.0381608909804826</v>
      </c>
      <c r="AG109" s="74">
        <v>0.15</v>
      </c>
      <c r="AH109" s="74">
        <f t="shared" si="267"/>
        <v>0.156883662919762</v>
      </c>
      <c r="AI109" s="74">
        <v>0.02</v>
      </c>
      <c r="AJ109" s="74">
        <f t="shared" si="268"/>
        <v>0.05</v>
      </c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</row>
    <row r="110" ht="21" customHeight="1" spans="1:75">
      <c r="E110" s="71"/>
      <c r="F110" s="72"/>
      <c r="G110" s="72"/>
      <c r="H110" s="71"/>
      <c r="I110" s="72"/>
      <c r="J110" s="71"/>
      <c r="K110" s="74"/>
      <c r="L110" s="74"/>
      <c r="M110" s="74"/>
      <c r="N110" s="74"/>
      <c r="O110" s="75"/>
      <c r="P110" s="74"/>
      <c r="Q110" s="74"/>
      <c r="R110" s="49"/>
      <c r="S110" s="49"/>
      <c r="T110" s="49"/>
      <c r="U110" s="49"/>
      <c r="V110" s="72"/>
      <c r="W110" s="72"/>
      <c r="X110" s="71"/>
      <c r="Y110" s="76"/>
      <c r="Z110" s="72"/>
      <c r="AA110" s="72"/>
      <c r="AB110" s="75"/>
      <c r="AC110" s="49"/>
      <c r="AD110" s="78"/>
      <c r="AE110" s="74"/>
      <c r="AF110" s="74"/>
      <c r="AG110" s="74"/>
      <c r="AH110" s="74"/>
      <c r="AI110" s="74"/>
      <c r="AJ110" s="74"/>
    </row>
    <row r="111" spans="1:75">
      <c r="A111" s="81" t="s">
        <v>68</v>
      </c>
      <c r="B111" s="71">
        <v>8</v>
      </c>
      <c r="C111" s="71" t="s">
        <v>36</v>
      </c>
      <c r="D111" s="71" t="s">
        <v>37</v>
      </c>
      <c r="E111" s="71" t="s">
        <v>38</v>
      </c>
      <c r="F111" s="72">
        <f t="shared" ref="F111:F114" si="269">IF(E111="有",(I111/B111+J111+Z111/B111)/(0.99999-K111-L111-M111-N111),(I111/B111+J111+Z111/B111)/(0.99999-K111-M111-N111))</f>
        <v>15.8237606489378</v>
      </c>
      <c r="G111" s="72">
        <f t="shared" ref="G111:G114" si="270">IF(E111="有",(I111/B111+J111+Z111/B111)/(0.8-K111-L111-M111-N111-O111-P111),(I111/B111+J111+Z111/B111)/(0.8-K111-M111-N111-O111-P111))</f>
        <v>25.933844992852</v>
      </c>
      <c r="H111" s="73">
        <v>24.99</v>
      </c>
      <c r="I111" s="72">
        <f t="shared" ref="I111:I114" si="271">49/1.13</f>
        <v>43.3628318584071</v>
      </c>
      <c r="J111" s="49">
        <v>3.04</v>
      </c>
      <c r="K111" s="74">
        <v>0.15</v>
      </c>
      <c r="L111" s="74">
        <v>0.16</v>
      </c>
      <c r="M111" s="74">
        <v>0.02</v>
      </c>
      <c r="N111" s="74">
        <f t="shared" ref="N111:N114" si="272">Q111/H111</f>
        <v>0.0800320128051221</v>
      </c>
      <c r="O111" s="75">
        <v>0.01</v>
      </c>
      <c r="P111" s="74">
        <v>0.02</v>
      </c>
      <c r="Q111" s="72">
        <v>2</v>
      </c>
      <c r="R111" s="49"/>
      <c r="S111" s="49"/>
      <c r="T111" s="49"/>
      <c r="U111" s="49"/>
      <c r="V111" s="72"/>
      <c r="W111" s="72"/>
      <c r="X111" s="49" t="s">
        <v>39</v>
      </c>
      <c r="Y111" s="76">
        <v>5.55136</v>
      </c>
      <c r="Z111" s="77">
        <v>7</v>
      </c>
      <c r="AA111" s="72">
        <f t="shared" ref="AA111:AA114" si="273">H111-SUM(K111:P111)*H111-J111-I111/B111-Z111/B111</f>
        <v>4.65824601769911</v>
      </c>
      <c r="AB111" s="75">
        <f t="shared" ref="AB111:AB114" si="274">AA111/H111</f>
        <v>0.186404402468952</v>
      </c>
      <c r="AC111" s="49"/>
      <c r="AD111" s="78">
        <f t="shared" ref="AD111:AD114" si="275">J111/H111</f>
        <v>0.121648659463786</v>
      </c>
      <c r="AE111" s="74">
        <f t="shared" ref="AE111:AE116" si="276">I111/7.4/H111</f>
        <v>0.234487480713405</v>
      </c>
      <c r="AF111" s="74">
        <f t="shared" ref="AF111:AF116" si="277">Z111/7.4/H111</f>
        <v>0.0378529790294496</v>
      </c>
      <c r="AG111" s="74">
        <v>0.15</v>
      </c>
      <c r="AH111" s="74">
        <f t="shared" ref="AH111:AH114" si="278">N111</f>
        <v>0.0800320128051221</v>
      </c>
      <c r="AI111" s="74">
        <v>0.02</v>
      </c>
      <c r="AJ111" s="74">
        <f t="shared" ref="AJ111:AJ114" si="279">M111</f>
        <v>0.02</v>
      </c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</row>
    <row r="112" spans="1:75">
      <c r="A112" s="81" t="s">
        <v>69</v>
      </c>
      <c r="B112" s="71">
        <v>8</v>
      </c>
      <c r="C112" s="71" t="s">
        <v>36</v>
      </c>
      <c r="D112" s="71" t="s">
        <v>37</v>
      </c>
      <c r="E112" s="71" t="s">
        <v>38</v>
      </c>
      <c r="F112" s="72">
        <f t="shared" si="269"/>
        <v>16.0659225480332</v>
      </c>
      <c r="G112" s="72">
        <f t="shared" si="270"/>
        <v>26.5907273032975</v>
      </c>
      <c r="H112" s="73">
        <f>H111*0.9</f>
        <v>22.491</v>
      </c>
      <c r="I112" s="72">
        <f t="shared" si="271"/>
        <v>43.3628318584071</v>
      </c>
      <c r="J112" s="71">
        <v>3.04</v>
      </c>
      <c r="K112" s="74">
        <v>0.15</v>
      </c>
      <c r="L112" s="74">
        <v>0.16</v>
      </c>
      <c r="M112" s="74">
        <v>0.02</v>
      </c>
      <c r="N112" s="74">
        <f t="shared" si="272"/>
        <v>0.0889244586723578</v>
      </c>
      <c r="O112" s="75">
        <v>0.01</v>
      </c>
      <c r="P112" s="74">
        <v>0.02</v>
      </c>
      <c r="Q112" s="72">
        <v>2</v>
      </c>
      <c r="R112" s="49"/>
      <c r="S112" s="49"/>
      <c r="T112" s="49"/>
      <c r="U112" s="49"/>
      <c r="V112" s="72"/>
      <c r="W112" s="72"/>
      <c r="X112" s="71" t="s">
        <v>39</v>
      </c>
      <c r="Y112" s="76">
        <v>5.55136</v>
      </c>
      <c r="Z112" s="77">
        <v>7</v>
      </c>
      <c r="AA112" s="72">
        <f t="shared" si="273"/>
        <v>3.05888601769912</v>
      </c>
      <c r="AB112" s="75">
        <f t="shared" si="274"/>
        <v>0.136004891632169</v>
      </c>
      <c r="AC112" s="49"/>
      <c r="AD112" s="78">
        <f t="shared" si="275"/>
        <v>0.135165177181984</v>
      </c>
      <c r="AE112" s="74">
        <f t="shared" ref="AE112:AE118" si="280">I112/B112/H112</f>
        <v>0.241001021844333</v>
      </c>
      <c r="AF112" s="74">
        <f t="shared" ref="AF112:AF118" si="281">Z112/B112/H112</f>
        <v>0.0389044506691565</v>
      </c>
      <c r="AG112" s="74">
        <f t="shared" ref="AG112:AG118" si="282">K112</f>
        <v>0.15</v>
      </c>
      <c r="AH112" s="74">
        <f t="shared" si="278"/>
        <v>0.0889244586723578</v>
      </c>
      <c r="AI112" s="74">
        <v>0.02</v>
      </c>
      <c r="AJ112" s="74">
        <f t="shared" si="279"/>
        <v>0.02</v>
      </c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</row>
    <row r="113" spans="1:75">
      <c r="A113" s="81" t="s">
        <v>70</v>
      </c>
      <c r="B113" s="71">
        <v>8</v>
      </c>
      <c r="C113" s="71" t="s">
        <v>36</v>
      </c>
      <c r="D113" s="71" t="s">
        <v>37</v>
      </c>
      <c r="E113" s="71" t="s">
        <v>38</v>
      </c>
      <c r="F113" s="72">
        <f t="shared" si="269"/>
        <v>16.2118645006393</v>
      </c>
      <c r="G113" s="72">
        <f t="shared" si="270"/>
        <v>26.9929081757308</v>
      </c>
      <c r="H113" s="82">
        <f>H111*0.85</f>
        <v>21.2415</v>
      </c>
      <c r="I113" s="72">
        <f t="shared" si="271"/>
        <v>43.3628318584071</v>
      </c>
      <c r="J113" s="71">
        <v>3.04</v>
      </c>
      <c r="K113" s="74">
        <v>0.15</v>
      </c>
      <c r="L113" s="74">
        <v>0.16</v>
      </c>
      <c r="M113" s="74">
        <v>0.02</v>
      </c>
      <c r="N113" s="74">
        <f t="shared" si="272"/>
        <v>0.0941553091824965</v>
      </c>
      <c r="O113" s="75">
        <v>0.01</v>
      </c>
      <c r="P113" s="74">
        <v>0.02</v>
      </c>
      <c r="Q113" s="72">
        <v>2</v>
      </c>
      <c r="R113" s="49"/>
      <c r="S113" s="49"/>
      <c r="T113" s="49"/>
      <c r="U113" s="49"/>
      <c r="V113" s="72"/>
      <c r="W113" s="72"/>
      <c r="X113" s="71" t="s">
        <v>39</v>
      </c>
      <c r="Y113" s="76">
        <v>5.55136</v>
      </c>
      <c r="Z113" s="77">
        <v>7</v>
      </c>
      <c r="AA113" s="72">
        <f t="shared" si="273"/>
        <v>2.25920601769911</v>
      </c>
      <c r="AB113" s="75">
        <f t="shared" si="274"/>
        <v>0.106358120551708</v>
      </c>
      <c r="AC113" s="49"/>
      <c r="AD113" s="78">
        <f t="shared" si="275"/>
        <v>0.143116069957395</v>
      </c>
      <c r="AE113" s="74">
        <f t="shared" si="280"/>
        <v>0.255177552541058</v>
      </c>
      <c r="AF113" s="74">
        <f t="shared" si="281"/>
        <v>0.0411929477673422</v>
      </c>
      <c r="AG113" s="74">
        <f t="shared" si="282"/>
        <v>0.15</v>
      </c>
      <c r="AH113" s="74">
        <f t="shared" si="278"/>
        <v>0.0941553091824965</v>
      </c>
      <c r="AI113" s="74">
        <v>0.02</v>
      </c>
      <c r="AJ113" s="74">
        <f t="shared" si="279"/>
        <v>0.02</v>
      </c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</row>
    <row r="114" spans="1:75">
      <c r="A114" s="81" t="s">
        <v>71</v>
      </c>
      <c r="B114" s="71">
        <v>8</v>
      </c>
      <c r="C114" s="71" t="s">
        <v>36</v>
      </c>
      <c r="D114" s="71" t="s">
        <v>37</v>
      </c>
      <c r="E114" s="71" t="s">
        <v>38</v>
      </c>
      <c r="F114" s="72">
        <f t="shared" si="269"/>
        <v>16.3792512404137</v>
      </c>
      <c r="G114" s="72">
        <f t="shared" si="270"/>
        <v>27.4601553766302</v>
      </c>
      <c r="H114" s="73">
        <f>H111*0.8</f>
        <v>19.992</v>
      </c>
      <c r="I114" s="72">
        <f t="shared" si="271"/>
        <v>43.3628318584071</v>
      </c>
      <c r="J114" s="71">
        <v>3.04</v>
      </c>
      <c r="K114" s="74">
        <v>0.15</v>
      </c>
      <c r="L114" s="74">
        <v>0.16</v>
      </c>
      <c r="M114" s="74">
        <v>0.02</v>
      </c>
      <c r="N114" s="74">
        <f t="shared" si="272"/>
        <v>0.100040016006403</v>
      </c>
      <c r="O114" s="75">
        <v>0.01</v>
      </c>
      <c r="P114" s="74">
        <v>0.02</v>
      </c>
      <c r="Q114" s="72">
        <v>2</v>
      </c>
      <c r="R114" s="49"/>
      <c r="S114" s="49"/>
      <c r="T114" s="49"/>
      <c r="U114" s="49"/>
      <c r="V114" s="72"/>
      <c r="W114" s="72"/>
      <c r="X114" s="71" t="s">
        <v>39</v>
      </c>
      <c r="Y114" s="76">
        <v>5.55136</v>
      </c>
      <c r="Z114" s="77">
        <v>7</v>
      </c>
      <c r="AA114" s="72">
        <f t="shared" si="273"/>
        <v>1.45952601769911</v>
      </c>
      <c r="AB114" s="75">
        <f t="shared" si="274"/>
        <v>0.0730055030861902</v>
      </c>
      <c r="AC114" s="49"/>
      <c r="AD114" s="78">
        <f t="shared" si="275"/>
        <v>0.152060824329732</v>
      </c>
      <c r="AE114" s="74">
        <f t="shared" si="276"/>
        <v>0.293109350891756</v>
      </c>
      <c r="AF114" s="74">
        <f t="shared" si="277"/>
        <v>0.047316223786812</v>
      </c>
      <c r="AG114" s="74">
        <v>0.15</v>
      </c>
      <c r="AH114" s="74">
        <f t="shared" si="278"/>
        <v>0.100040016006403</v>
      </c>
      <c r="AI114" s="74">
        <v>0.02</v>
      </c>
      <c r="AJ114" s="74">
        <f t="shared" si="279"/>
        <v>0.02</v>
      </c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</row>
    <row r="115" ht="21" customHeight="1" spans="1:75">
      <c r="A115" s="48"/>
      <c r="B115" s="48"/>
      <c r="C115" s="48"/>
      <c r="D115" s="48"/>
      <c r="E115" s="71"/>
      <c r="F115" s="72"/>
      <c r="G115" s="72"/>
      <c r="H115" s="71"/>
      <c r="I115" s="72"/>
      <c r="J115" s="71"/>
      <c r="K115" s="74"/>
      <c r="L115" s="74"/>
      <c r="M115" s="74"/>
      <c r="N115" s="74"/>
      <c r="O115" s="75"/>
      <c r="P115" s="74"/>
      <c r="Q115" s="74"/>
      <c r="R115" s="49"/>
      <c r="S115" s="49"/>
      <c r="T115" s="49"/>
      <c r="U115" s="49"/>
      <c r="V115" s="72"/>
      <c r="W115" s="72"/>
      <c r="X115" s="71"/>
      <c r="Y115" s="76"/>
      <c r="Z115" s="72"/>
      <c r="AA115" s="72"/>
      <c r="AB115" s="75"/>
      <c r="AC115" s="49"/>
      <c r="AD115" s="78"/>
      <c r="AE115" s="74"/>
      <c r="AF115" s="74"/>
      <c r="AG115" s="74"/>
      <c r="AH115" s="74"/>
      <c r="AI115" s="74"/>
      <c r="AJ115" s="74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</row>
    <row r="116" spans="1:75">
      <c r="A116" s="81" t="s">
        <v>68</v>
      </c>
      <c r="B116" s="71">
        <v>8</v>
      </c>
      <c r="C116" s="49" t="s">
        <v>42</v>
      </c>
      <c r="D116" s="49" t="s">
        <v>43</v>
      </c>
      <c r="E116" s="71" t="s">
        <v>38</v>
      </c>
      <c r="F116" s="72">
        <f t="shared" ref="F116:F119" si="283">IF(E116="有",(I116/B116+J116+Z116/B116)/(0.99999-K116-L116-M116-N116),(I116/B116+J116+Z116/B116)/(0.99999-K116-M116-N116))</f>
        <v>18.5527685358472</v>
      </c>
      <c r="G116" s="72">
        <f t="shared" ref="G116:G119" si="284">IF(E116="有",(I116/B116+J116+Z116/B116)/(0.8-K116-L116-M116-N116-O116-P116),(I116/B116+J116+Z116/B116)/(0.8-K116-M116-N116-O116-P116))</f>
        <v>30.4064649403819</v>
      </c>
      <c r="H116" s="73">
        <v>24.99</v>
      </c>
      <c r="I116" s="72">
        <f t="shared" ref="I116:I119" si="285">49/1.13</f>
        <v>43.3628318584071</v>
      </c>
      <c r="J116" s="49">
        <v>4.65</v>
      </c>
      <c r="K116" s="74">
        <v>0.15</v>
      </c>
      <c r="L116" s="74">
        <v>0.16</v>
      </c>
      <c r="M116" s="74">
        <v>0.02</v>
      </c>
      <c r="N116" s="74">
        <f t="shared" ref="N116:N119" si="286">Q116/H116</f>
        <v>0.0800320128051221</v>
      </c>
      <c r="O116" s="75">
        <v>0.01</v>
      </c>
      <c r="P116" s="74">
        <v>0.02</v>
      </c>
      <c r="Q116" s="72">
        <v>2</v>
      </c>
      <c r="R116" s="49"/>
      <c r="S116" s="49"/>
      <c r="T116" s="49"/>
      <c r="U116" s="49"/>
      <c r="V116" s="72"/>
      <c r="W116" s="72"/>
      <c r="X116" s="49" t="s">
        <v>39</v>
      </c>
      <c r="Y116" s="76">
        <v>5.55136</v>
      </c>
      <c r="Z116" s="77">
        <v>7</v>
      </c>
      <c r="AA116" s="72">
        <f t="shared" ref="AA116:AA119" si="287">H116-SUM(K116:P116)*H116-J116-I116/B116-Z116/B116</f>
        <v>3.04824601769911</v>
      </c>
      <c r="AB116" s="75">
        <f t="shared" ref="AB116:AB119" si="288">AA116/H116</f>
        <v>0.121978632160829</v>
      </c>
      <c r="AC116" s="49"/>
      <c r="AD116" s="78">
        <f t="shared" ref="AD116:AD119" si="289">J116/H116</f>
        <v>0.186074429771909</v>
      </c>
      <c r="AE116" s="74">
        <f t="shared" si="276"/>
        <v>0.234487480713405</v>
      </c>
      <c r="AF116" s="74">
        <f t="shared" si="277"/>
        <v>0.0378529790294496</v>
      </c>
      <c r="AG116" s="74">
        <v>0.15</v>
      </c>
      <c r="AH116" s="74">
        <f t="shared" ref="AH116:AH119" si="290">N116</f>
        <v>0.0800320128051221</v>
      </c>
      <c r="AI116" s="74">
        <v>0.02</v>
      </c>
      <c r="AJ116" s="74">
        <f t="shared" ref="AJ116:AJ119" si="291">M116</f>
        <v>0.02</v>
      </c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</row>
    <row r="117" spans="1:75">
      <c r="A117" s="81" t="s">
        <v>69</v>
      </c>
      <c r="B117" s="71">
        <v>8</v>
      </c>
      <c r="C117" s="71" t="s">
        <v>42</v>
      </c>
      <c r="D117" s="71" t="s">
        <v>43</v>
      </c>
      <c r="E117" s="71" t="s">
        <v>38</v>
      </c>
      <c r="F117" s="72">
        <f t="shared" si="283"/>
        <v>18.8366943207345</v>
      </c>
      <c r="G117" s="72">
        <f t="shared" si="284"/>
        <v>31.1766349228131</v>
      </c>
      <c r="H117" s="73">
        <f>H116*0.9</f>
        <v>22.491</v>
      </c>
      <c r="I117" s="72">
        <f t="shared" si="285"/>
        <v>43.3628318584071</v>
      </c>
      <c r="J117" s="71">
        <v>4.65</v>
      </c>
      <c r="K117" s="74">
        <v>0.15</v>
      </c>
      <c r="L117" s="74">
        <v>0.16</v>
      </c>
      <c r="M117" s="74">
        <v>0.02</v>
      </c>
      <c r="N117" s="74">
        <f t="shared" si="286"/>
        <v>0.0889244586723578</v>
      </c>
      <c r="O117" s="75">
        <v>0.01</v>
      </c>
      <c r="P117" s="74">
        <v>0.02</v>
      </c>
      <c r="Q117" s="72">
        <v>2</v>
      </c>
      <c r="R117" s="49"/>
      <c r="S117" s="49"/>
      <c r="T117" s="49"/>
      <c r="U117" s="49"/>
      <c r="V117" s="72"/>
      <c r="W117" s="72"/>
      <c r="X117" s="71" t="s">
        <v>39</v>
      </c>
      <c r="Y117" s="76">
        <v>5.55136</v>
      </c>
      <c r="Z117" s="77">
        <v>7</v>
      </c>
      <c r="AA117" s="72">
        <f t="shared" si="287"/>
        <v>1.44888601769911</v>
      </c>
      <c r="AB117" s="75">
        <f t="shared" si="288"/>
        <v>0.064420702400921</v>
      </c>
      <c r="AC117" s="49"/>
      <c r="AD117" s="78">
        <f t="shared" si="289"/>
        <v>0.206749366413232</v>
      </c>
      <c r="AE117" s="74">
        <f t="shared" si="280"/>
        <v>0.241001021844333</v>
      </c>
      <c r="AF117" s="74">
        <f t="shared" si="281"/>
        <v>0.0389044506691565</v>
      </c>
      <c r="AG117" s="74">
        <f t="shared" si="282"/>
        <v>0.15</v>
      </c>
      <c r="AH117" s="74">
        <f t="shared" si="290"/>
        <v>0.0889244586723578</v>
      </c>
      <c r="AI117" s="74">
        <v>0.02</v>
      </c>
      <c r="AJ117" s="74">
        <f t="shared" si="291"/>
        <v>0.02</v>
      </c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</row>
    <row r="118" spans="1:75">
      <c r="A118" s="81" t="s">
        <v>70</v>
      </c>
      <c r="B118" s="71">
        <v>8</v>
      </c>
      <c r="C118" s="71" t="s">
        <v>42</v>
      </c>
      <c r="D118" s="71" t="s">
        <v>43</v>
      </c>
      <c r="E118" s="71" t="s">
        <v>38</v>
      </c>
      <c r="F118" s="72">
        <f t="shared" si="283"/>
        <v>19.0078058110079</v>
      </c>
      <c r="G118" s="72">
        <f t="shared" si="284"/>
        <v>31.6481769791764</v>
      </c>
      <c r="H118" s="82">
        <f>H116*0.85</f>
        <v>21.2415</v>
      </c>
      <c r="I118" s="72">
        <f t="shared" si="285"/>
        <v>43.3628318584071</v>
      </c>
      <c r="J118" s="71">
        <v>4.65</v>
      </c>
      <c r="K118" s="74">
        <v>0.15</v>
      </c>
      <c r="L118" s="74">
        <v>0.16</v>
      </c>
      <c r="M118" s="74">
        <v>0.02</v>
      </c>
      <c r="N118" s="74">
        <f t="shared" si="286"/>
        <v>0.0941553091824965</v>
      </c>
      <c r="O118" s="75">
        <v>0.01</v>
      </c>
      <c r="P118" s="74">
        <v>0.02</v>
      </c>
      <c r="Q118" s="72">
        <v>2</v>
      </c>
      <c r="R118" s="49"/>
      <c r="S118" s="49"/>
      <c r="T118" s="49"/>
      <c r="U118" s="49"/>
      <c r="V118" s="72"/>
      <c r="W118" s="72"/>
      <c r="X118" s="71" t="s">
        <v>39</v>
      </c>
      <c r="Y118" s="76">
        <v>5.55136</v>
      </c>
      <c r="Z118" s="77">
        <v>7</v>
      </c>
      <c r="AA118" s="72">
        <f t="shared" si="287"/>
        <v>0.649206017699112</v>
      </c>
      <c r="AB118" s="75">
        <f t="shared" si="288"/>
        <v>0.0305630966597986</v>
      </c>
      <c r="AC118" s="49"/>
      <c r="AD118" s="78">
        <f t="shared" si="289"/>
        <v>0.218911093849304</v>
      </c>
      <c r="AE118" s="74">
        <f t="shared" si="280"/>
        <v>0.255177552541058</v>
      </c>
      <c r="AF118" s="74">
        <f t="shared" si="281"/>
        <v>0.0411929477673422</v>
      </c>
      <c r="AG118" s="74">
        <f t="shared" si="282"/>
        <v>0.15</v>
      </c>
      <c r="AH118" s="74">
        <f t="shared" si="290"/>
        <v>0.0941553091824965</v>
      </c>
      <c r="AI118" s="74">
        <v>0.02</v>
      </c>
      <c r="AJ118" s="74">
        <f t="shared" si="291"/>
        <v>0.02</v>
      </c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</row>
    <row r="119" spans="1:75">
      <c r="A119" s="81" t="s">
        <v>71</v>
      </c>
      <c r="B119" s="71">
        <v>8</v>
      </c>
      <c r="C119" s="71" t="s">
        <v>42</v>
      </c>
      <c r="D119" s="71" t="s">
        <v>43</v>
      </c>
      <c r="E119" s="71" t="s">
        <v>38</v>
      </c>
      <c r="F119" s="72">
        <f t="shared" si="283"/>
        <v>19.2040605135342</v>
      </c>
      <c r="G119" s="72">
        <f t="shared" si="284"/>
        <v>32.19600687623</v>
      </c>
      <c r="H119" s="73">
        <f>H116*0.8</f>
        <v>19.992</v>
      </c>
      <c r="I119" s="72">
        <f t="shared" si="285"/>
        <v>43.3628318584071</v>
      </c>
      <c r="J119" s="71">
        <v>4.65</v>
      </c>
      <c r="K119" s="74">
        <v>0.15</v>
      </c>
      <c r="L119" s="74">
        <v>0.16</v>
      </c>
      <c r="M119" s="74">
        <v>0.02</v>
      </c>
      <c r="N119" s="74">
        <f t="shared" si="286"/>
        <v>0.100040016006403</v>
      </c>
      <c r="O119" s="75">
        <v>0.01</v>
      </c>
      <c r="P119" s="74">
        <v>0.02</v>
      </c>
      <c r="Q119" s="72">
        <v>2</v>
      </c>
      <c r="R119" s="49"/>
      <c r="S119" s="49"/>
      <c r="T119" s="49"/>
      <c r="U119" s="49"/>
      <c r="V119" s="72"/>
      <c r="W119" s="72"/>
      <c r="X119" s="71" t="s">
        <v>39</v>
      </c>
      <c r="Y119" s="76">
        <v>5.55136</v>
      </c>
      <c r="Z119" s="77">
        <v>7</v>
      </c>
      <c r="AA119" s="72">
        <f t="shared" si="287"/>
        <v>-0.150473982300887</v>
      </c>
      <c r="AB119" s="75">
        <f t="shared" si="288"/>
        <v>-0.00752670979896392</v>
      </c>
      <c r="AC119" s="49"/>
      <c r="AD119" s="78">
        <f t="shared" si="289"/>
        <v>0.232593037214886</v>
      </c>
      <c r="AE119" s="74">
        <f t="shared" ref="AE119:AE124" si="292">I119/7.4/H119</f>
        <v>0.293109350891756</v>
      </c>
      <c r="AF119" s="74">
        <f t="shared" ref="AF119:AF124" si="293">Z119/7.4/H119</f>
        <v>0.047316223786812</v>
      </c>
      <c r="AG119" s="74">
        <v>0.15</v>
      </c>
      <c r="AH119" s="74">
        <f t="shared" si="290"/>
        <v>0.100040016006403</v>
      </c>
      <c r="AI119" s="74">
        <v>0.02</v>
      </c>
      <c r="AJ119" s="74">
        <f t="shared" si="291"/>
        <v>0.02</v>
      </c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</row>
    <row r="120" ht="21" customHeight="1" spans="1:75">
      <c r="A120" s="48"/>
      <c r="B120" s="48"/>
      <c r="C120" s="48"/>
      <c r="D120" s="48"/>
      <c r="E120" s="71"/>
      <c r="F120" s="72"/>
      <c r="G120" s="72"/>
      <c r="H120" s="71"/>
      <c r="I120" s="72"/>
      <c r="J120" s="71"/>
      <c r="K120" s="74"/>
      <c r="L120" s="74"/>
      <c r="M120" s="74"/>
      <c r="N120" s="74"/>
      <c r="O120" s="75"/>
      <c r="P120" s="74"/>
      <c r="Q120" s="74"/>
      <c r="R120" s="49"/>
      <c r="S120" s="49"/>
      <c r="T120" s="49"/>
      <c r="U120" s="49"/>
      <c r="V120" s="72"/>
      <c r="W120" s="72"/>
      <c r="X120" s="71"/>
      <c r="Y120" s="76"/>
      <c r="Z120" s="72"/>
      <c r="AA120" s="72"/>
      <c r="AB120" s="75"/>
      <c r="AC120" s="49"/>
      <c r="AD120" s="78"/>
      <c r="AE120" s="74"/>
      <c r="AF120" s="74"/>
      <c r="AG120" s="74"/>
      <c r="AH120" s="74"/>
      <c r="AI120" s="74"/>
      <c r="AJ120" s="74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</row>
    <row r="121" spans="1:75">
      <c r="A121" s="81" t="s">
        <v>68</v>
      </c>
      <c r="B121" s="71">
        <v>8</v>
      </c>
      <c r="C121" s="49" t="s">
        <v>44</v>
      </c>
      <c r="D121" s="49" t="s">
        <v>45</v>
      </c>
      <c r="E121" s="71" t="s">
        <v>38</v>
      </c>
      <c r="F121" s="72">
        <f t="shared" ref="F121:F124" si="294">IF(E121="有",(I121/B121+J121+Z121/B121)/(0.99999-K121-L121-M121-N121),(I121/B121+J121+Z121/B121)/(0.99999-K121-M121-N121))</f>
        <v>17.6713498394541</v>
      </c>
      <c r="G121" s="72">
        <f t="shared" ref="G121:G124" si="295">IF(E121="有",(I121/B121+J121+Z121/B121)/(0.8-K121-L121-M121-N121-O121-P121),(I121/B121+J121+Z121/B121)/(0.8-K121-M121-N121-O121-P121))</f>
        <v>28.9618920380741</v>
      </c>
      <c r="H121" s="73">
        <v>24.99</v>
      </c>
      <c r="I121" s="72">
        <f t="shared" ref="I121:I124" si="296">49/1.13</f>
        <v>43.3628318584071</v>
      </c>
      <c r="J121" s="49">
        <v>4.13</v>
      </c>
      <c r="K121" s="74">
        <v>0.15</v>
      </c>
      <c r="L121" s="74">
        <v>0.16</v>
      </c>
      <c r="M121" s="74">
        <v>0.02</v>
      </c>
      <c r="N121" s="74">
        <f t="shared" ref="N121:N124" si="297">Q121/H121</f>
        <v>0.0800320128051221</v>
      </c>
      <c r="O121" s="75">
        <v>0.01</v>
      </c>
      <c r="P121" s="74">
        <v>0.02</v>
      </c>
      <c r="Q121" s="72">
        <v>2</v>
      </c>
      <c r="R121" s="49"/>
      <c r="S121" s="49"/>
      <c r="T121" s="49"/>
      <c r="U121" s="49"/>
      <c r="V121" s="72"/>
      <c r="W121" s="72"/>
      <c r="X121" s="49" t="s">
        <v>39</v>
      </c>
      <c r="Y121" s="76">
        <v>5.55136</v>
      </c>
      <c r="Z121" s="77">
        <v>7</v>
      </c>
      <c r="AA121" s="72">
        <f t="shared" ref="AA121:AA124" si="298">H121-SUM(K121:P121)*H121-J121-I121/B121-Z121/B121</f>
        <v>3.56824601769911</v>
      </c>
      <c r="AB121" s="75">
        <f t="shared" ref="AB121:AB124" si="299">AA121/H121</f>
        <v>0.142786955490161</v>
      </c>
      <c r="AC121" s="49"/>
      <c r="AD121" s="78">
        <f t="shared" ref="AD121:AD124" si="300">J121/H121</f>
        <v>0.165266106442577</v>
      </c>
      <c r="AE121" s="74">
        <f t="shared" si="292"/>
        <v>0.234487480713405</v>
      </c>
      <c r="AF121" s="74">
        <f t="shared" si="293"/>
        <v>0.0378529790294496</v>
      </c>
      <c r="AG121" s="74">
        <v>0.15</v>
      </c>
      <c r="AH121" s="74">
        <f t="shared" ref="AH121:AH124" si="301">N121</f>
        <v>0.0800320128051221</v>
      </c>
      <c r="AI121" s="74">
        <v>0.02</v>
      </c>
      <c r="AJ121" s="74">
        <f t="shared" ref="AJ121:AJ124" si="302">M121</f>
        <v>0.02</v>
      </c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</row>
    <row r="122" spans="1:75">
      <c r="A122" s="81" t="s">
        <v>69</v>
      </c>
      <c r="B122" s="71">
        <v>8</v>
      </c>
      <c r="C122" s="71" t="s">
        <v>44</v>
      </c>
      <c r="D122" s="71" t="s">
        <v>45</v>
      </c>
      <c r="E122" s="71" t="s">
        <v>38</v>
      </c>
      <c r="F122" s="72">
        <f t="shared" si="294"/>
        <v>17.9417866674396</v>
      </c>
      <c r="G122" s="72">
        <f t="shared" si="295"/>
        <v>29.6954722134043</v>
      </c>
      <c r="H122" s="73">
        <f>H121*0.9</f>
        <v>22.491</v>
      </c>
      <c r="I122" s="72">
        <f t="shared" si="296"/>
        <v>43.3628318584071</v>
      </c>
      <c r="J122" s="71">
        <v>4.13</v>
      </c>
      <c r="K122" s="74">
        <v>0.15</v>
      </c>
      <c r="L122" s="74">
        <v>0.16</v>
      </c>
      <c r="M122" s="74">
        <v>0.02</v>
      </c>
      <c r="N122" s="74">
        <f t="shared" si="297"/>
        <v>0.0889244586723578</v>
      </c>
      <c r="O122" s="75">
        <v>0.01</v>
      </c>
      <c r="P122" s="74">
        <v>0.02</v>
      </c>
      <c r="Q122" s="72">
        <v>2</v>
      </c>
      <c r="R122" s="49"/>
      <c r="S122" s="49"/>
      <c r="T122" s="49"/>
      <c r="U122" s="49"/>
      <c r="V122" s="72"/>
      <c r="W122" s="72"/>
      <c r="X122" s="71" t="s">
        <v>39</v>
      </c>
      <c r="Y122" s="76">
        <v>5.55136</v>
      </c>
      <c r="Z122" s="77">
        <v>7</v>
      </c>
      <c r="AA122" s="72">
        <f t="shared" si="298"/>
        <v>1.96888601769912</v>
      </c>
      <c r="AB122" s="75">
        <f t="shared" si="299"/>
        <v>0.0875410616557341</v>
      </c>
      <c r="AC122" s="49"/>
      <c r="AD122" s="78">
        <f t="shared" si="300"/>
        <v>0.183629007158419</v>
      </c>
      <c r="AE122" s="74">
        <f t="shared" ref="AE122:AE128" si="303">I122/B122/H122</f>
        <v>0.241001021844333</v>
      </c>
      <c r="AF122" s="74">
        <f t="shared" ref="AF122:AF128" si="304">Z122/B122/H122</f>
        <v>0.0389044506691565</v>
      </c>
      <c r="AG122" s="74">
        <f t="shared" ref="AG122:AG128" si="305">K122</f>
        <v>0.15</v>
      </c>
      <c r="AH122" s="74">
        <f t="shared" si="301"/>
        <v>0.0889244586723578</v>
      </c>
      <c r="AI122" s="74">
        <v>0.02</v>
      </c>
      <c r="AJ122" s="74">
        <f t="shared" si="302"/>
        <v>0.02</v>
      </c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</row>
    <row r="123" spans="1:75">
      <c r="A123" s="81" t="s">
        <v>70</v>
      </c>
      <c r="B123" s="71">
        <v>8</v>
      </c>
      <c r="C123" s="71" t="s">
        <v>44</v>
      </c>
      <c r="D123" s="71" t="s">
        <v>45</v>
      </c>
      <c r="E123" s="71" t="s">
        <v>38</v>
      </c>
      <c r="F123" s="72">
        <f t="shared" si="294"/>
        <v>18.1047688660441</v>
      </c>
      <c r="G123" s="72">
        <f t="shared" si="295"/>
        <v>30.1446118998027</v>
      </c>
      <c r="H123" s="82">
        <f>H121*0.85</f>
        <v>21.2415</v>
      </c>
      <c r="I123" s="72">
        <f t="shared" si="296"/>
        <v>43.3628318584071</v>
      </c>
      <c r="J123" s="71">
        <v>4.13</v>
      </c>
      <c r="K123" s="74">
        <v>0.15</v>
      </c>
      <c r="L123" s="74">
        <v>0.16</v>
      </c>
      <c r="M123" s="74">
        <v>0.02</v>
      </c>
      <c r="N123" s="74">
        <f t="shared" si="297"/>
        <v>0.0941553091824965</v>
      </c>
      <c r="O123" s="75">
        <v>0.01</v>
      </c>
      <c r="P123" s="74">
        <v>0.02</v>
      </c>
      <c r="Q123" s="72">
        <v>2</v>
      </c>
      <c r="R123" s="49"/>
      <c r="S123" s="49"/>
      <c r="T123" s="49"/>
      <c r="U123" s="49"/>
      <c r="V123" s="72"/>
      <c r="W123" s="72"/>
      <c r="X123" s="71" t="s">
        <v>39</v>
      </c>
      <c r="Y123" s="76">
        <v>5.55136</v>
      </c>
      <c r="Z123" s="77">
        <v>7</v>
      </c>
      <c r="AA123" s="72">
        <f t="shared" si="298"/>
        <v>1.16920601769911</v>
      </c>
      <c r="AB123" s="75">
        <f t="shared" si="299"/>
        <v>0.0550434770472477</v>
      </c>
      <c r="AC123" s="49"/>
      <c r="AD123" s="78">
        <f t="shared" si="300"/>
        <v>0.194430713461855</v>
      </c>
      <c r="AE123" s="74">
        <f t="shared" si="303"/>
        <v>0.255177552541058</v>
      </c>
      <c r="AF123" s="74">
        <f t="shared" si="304"/>
        <v>0.0411929477673422</v>
      </c>
      <c r="AG123" s="74">
        <f t="shared" si="305"/>
        <v>0.15</v>
      </c>
      <c r="AH123" s="74">
        <f t="shared" si="301"/>
        <v>0.0941553091824965</v>
      </c>
      <c r="AI123" s="74">
        <v>0.02</v>
      </c>
      <c r="AJ123" s="74">
        <f t="shared" si="302"/>
        <v>0.02</v>
      </c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</row>
    <row r="124" spans="1:75">
      <c r="A124" s="81" t="s">
        <v>71</v>
      </c>
      <c r="B124" s="71">
        <v>8</v>
      </c>
      <c r="C124" s="71" t="s">
        <v>44</v>
      </c>
      <c r="D124" s="71" t="s">
        <v>45</v>
      </c>
      <c r="E124" s="71" t="s">
        <v>38</v>
      </c>
      <c r="F124" s="72">
        <f t="shared" si="294"/>
        <v>18.2916997545139</v>
      </c>
      <c r="G124" s="72">
        <f t="shared" si="295"/>
        <v>30.6664150875393</v>
      </c>
      <c r="H124" s="73">
        <f>H121*0.8</f>
        <v>19.992</v>
      </c>
      <c r="I124" s="72">
        <f t="shared" si="296"/>
        <v>43.3628318584071</v>
      </c>
      <c r="J124" s="71">
        <v>4.13</v>
      </c>
      <c r="K124" s="74">
        <v>0.15</v>
      </c>
      <c r="L124" s="74">
        <v>0.16</v>
      </c>
      <c r="M124" s="74">
        <v>0.02</v>
      </c>
      <c r="N124" s="74">
        <f t="shared" si="297"/>
        <v>0.100040016006403</v>
      </c>
      <c r="O124" s="75">
        <v>0.01</v>
      </c>
      <c r="P124" s="74">
        <v>0.02</v>
      </c>
      <c r="Q124" s="72">
        <v>2</v>
      </c>
      <c r="R124" s="49"/>
      <c r="S124" s="49"/>
      <c r="T124" s="49"/>
      <c r="U124" s="49"/>
      <c r="V124" s="72"/>
      <c r="W124" s="72"/>
      <c r="X124" s="71" t="s">
        <v>39</v>
      </c>
      <c r="Y124" s="76">
        <v>5.55136</v>
      </c>
      <c r="Z124" s="77">
        <v>7</v>
      </c>
      <c r="AA124" s="72">
        <f t="shared" si="298"/>
        <v>0.369526017699114</v>
      </c>
      <c r="AB124" s="75">
        <f t="shared" si="299"/>
        <v>0.0184836943627008</v>
      </c>
      <c r="AC124" s="49"/>
      <c r="AD124" s="78">
        <f t="shared" si="300"/>
        <v>0.206582633053221</v>
      </c>
      <c r="AE124" s="74">
        <f t="shared" si="292"/>
        <v>0.293109350891756</v>
      </c>
      <c r="AF124" s="74">
        <f t="shared" si="293"/>
        <v>0.047316223786812</v>
      </c>
      <c r="AG124" s="74">
        <v>0.15</v>
      </c>
      <c r="AH124" s="74">
        <f t="shared" si="301"/>
        <v>0.100040016006403</v>
      </c>
      <c r="AI124" s="74">
        <v>0.02</v>
      </c>
      <c r="AJ124" s="74">
        <f t="shared" si="302"/>
        <v>0.02</v>
      </c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</row>
    <row r="125" ht="21" customHeight="1" spans="1:75">
      <c r="A125" s="48"/>
      <c r="B125" s="48"/>
      <c r="C125" s="48"/>
      <c r="D125" s="48"/>
      <c r="E125" s="71"/>
      <c r="F125" s="72"/>
      <c r="G125" s="72"/>
      <c r="H125" s="71"/>
      <c r="I125" s="72"/>
      <c r="J125" s="71"/>
      <c r="K125" s="74"/>
      <c r="L125" s="74"/>
      <c r="M125" s="74"/>
      <c r="N125" s="74"/>
      <c r="O125" s="75"/>
      <c r="P125" s="74"/>
      <c r="Q125" s="74"/>
      <c r="R125" s="49"/>
      <c r="S125" s="49"/>
      <c r="T125" s="49"/>
      <c r="U125" s="49"/>
      <c r="V125" s="72"/>
      <c r="W125" s="72"/>
      <c r="X125" s="71"/>
      <c r="Y125" s="76"/>
      <c r="Z125" s="72"/>
      <c r="AA125" s="72"/>
      <c r="AB125" s="75"/>
      <c r="AC125" s="49"/>
      <c r="AD125" s="78"/>
      <c r="AE125" s="74"/>
      <c r="AF125" s="74"/>
      <c r="AG125" s="74"/>
      <c r="AH125" s="74"/>
      <c r="AI125" s="74"/>
      <c r="AJ125" s="74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</row>
    <row r="126" spans="1:75">
      <c r="A126" s="81" t="s">
        <v>68</v>
      </c>
      <c r="B126" s="71">
        <v>8</v>
      </c>
      <c r="C126" s="49" t="s">
        <v>47</v>
      </c>
      <c r="D126" s="49" t="s">
        <v>48</v>
      </c>
      <c r="E126" s="71" t="s">
        <v>38</v>
      </c>
      <c r="F126" s="72">
        <f t="shared" ref="F126:F129" si="306">IF(E126="有",(I126/B126+J126+Z126/B126)/(0.99999-K126-L126-M126-N126),(I126/B126+J126+Z126/B126)/(0.99999-K126-M126-N126))</f>
        <v>17.1119879744354</v>
      </c>
      <c r="G126" s="72">
        <f t="shared" ref="G126:G129" si="307">IF(E126="有",(I126/B126+J126+Z126/B126)/(0.8-K126-L126-M126-N126-O126-P126),(I126/B126+J126+Z126/B126)/(0.8-K126-M126-N126-O126-P126))</f>
        <v>28.0451438500711</v>
      </c>
      <c r="H126" s="73">
        <v>24.99</v>
      </c>
      <c r="I126" s="72">
        <f t="shared" ref="I126:I129" si="308">49/1.13</f>
        <v>43.3628318584071</v>
      </c>
      <c r="J126" s="49">
        <v>3.8</v>
      </c>
      <c r="K126" s="74">
        <v>0.15</v>
      </c>
      <c r="L126" s="74">
        <v>0.16</v>
      </c>
      <c r="M126" s="74">
        <v>0.02</v>
      </c>
      <c r="N126" s="74">
        <f t="shared" ref="N126:N129" si="309">Q126/H126</f>
        <v>0.0800320128051221</v>
      </c>
      <c r="O126" s="75">
        <v>0.01</v>
      </c>
      <c r="P126" s="74">
        <v>0.02</v>
      </c>
      <c r="Q126" s="72">
        <v>2</v>
      </c>
      <c r="R126" s="49"/>
      <c r="S126" s="49"/>
      <c r="T126" s="49"/>
      <c r="U126" s="49"/>
      <c r="V126" s="72"/>
      <c r="W126" s="72"/>
      <c r="X126" s="49" t="s">
        <v>39</v>
      </c>
      <c r="Y126" s="76">
        <v>5.55136</v>
      </c>
      <c r="Z126" s="77">
        <v>7</v>
      </c>
      <c r="AA126" s="72">
        <f t="shared" ref="AA126:AA129" si="310">H126-SUM(K126:P126)*H126-J126-I126/B126-Z126/B126</f>
        <v>3.89824601769911</v>
      </c>
      <c r="AB126" s="75">
        <f t="shared" ref="AB126:AB129" si="311">AA126/H126</f>
        <v>0.155992237603006</v>
      </c>
      <c r="AC126" s="49"/>
      <c r="AD126" s="78">
        <f t="shared" ref="AD126:AD129" si="312">J126/H126</f>
        <v>0.152060824329732</v>
      </c>
      <c r="AE126" s="74">
        <f t="shared" ref="AE126:AE134" si="313">I126/7.4/H126</f>
        <v>0.234487480713405</v>
      </c>
      <c r="AF126" s="74">
        <f t="shared" ref="AF126:AF134" si="314">Z126/7.4/H126</f>
        <v>0.0378529790294496</v>
      </c>
      <c r="AG126" s="74">
        <v>0.15</v>
      </c>
      <c r="AH126" s="74">
        <f t="shared" ref="AH126:AH129" si="315">N126</f>
        <v>0.0800320128051221</v>
      </c>
      <c r="AI126" s="74">
        <v>0.02</v>
      </c>
      <c r="AJ126" s="74">
        <f t="shared" ref="AJ126:AJ129" si="316">M126</f>
        <v>0.02</v>
      </c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</row>
    <row r="127" spans="1:75">
      <c r="A127" s="81" t="s">
        <v>69</v>
      </c>
      <c r="B127" s="71">
        <v>8</v>
      </c>
      <c r="C127" s="71" t="s">
        <v>47</v>
      </c>
      <c r="D127" s="71" t="s">
        <v>48</v>
      </c>
      <c r="E127" s="71" t="s">
        <v>38</v>
      </c>
      <c r="F127" s="72">
        <f t="shared" si="306"/>
        <v>17.3738645028487</v>
      </c>
      <c r="G127" s="72">
        <f t="shared" si="307"/>
        <v>28.7555035708949</v>
      </c>
      <c r="H127" s="73">
        <f>H126*0.9</f>
        <v>22.491</v>
      </c>
      <c r="I127" s="72">
        <f t="shared" si="308"/>
        <v>43.3628318584071</v>
      </c>
      <c r="J127" s="71">
        <v>3.8</v>
      </c>
      <c r="K127" s="74">
        <v>0.15</v>
      </c>
      <c r="L127" s="74">
        <v>0.16</v>
      </c>
      <c r="M127" s="74">
        <v>0.02</v>
      </c>
      <c r="N127" s="74">
        <f t="shared" si="309"/>
        <v>0.0889244586723578</v>
      </c>
      <c r="O127" s="75">
        <v>0.01</v>
      </c>
      <c r="P127" s="74">
        <v>0.02</v>
      </c>
      <c r="Q127" s="72">
        <v>2</v>
      </c>
      <c r="R127" s="49"/>
      <c r="S127" s="49"/>
      <c r="T127" s="49"/>
      <c r="U127" s="49"/>
      <c r="V127" s="72"/>
      <c r="W127" s="72"/>
      <c r="X127" s="71" t="s">
        <v>39</v>
      </c>
      <c r="Y127" s="76">
        <v>5.55136</v>
      </c>
      <c r="Z127" s="77">
        <v>7</v>
      </c>
      <c r="AA127" s="72">
        <f t="shared" si="310"/>
        <v>2.29888601769911</v>
      </c>
      <c r="AB127" s="75">
        <f t="shared" si="311"/>
        <v>0.102213597336673</v>
      </c>
      <c r="AC127" s="49"/>
      <c r="AD127" s="78">
        <f t="shared" si="312"/>
        <v>0.16895647147748</v>
      </c>
      <c r="AE127" s="74">
        <f t="shared" si="303"/>
        <v>0.241001021844333</v>
      </c>
      <c r="AF127" s="74">
        <f t="shared" si="304"/>
        <v>0.0389044506691565</v>
      </c>
      <c r="AG127" s="74">
        <f t="shared" si="305"/>
        <v>0.15</v>
      </c>
      <c r="AH127" s="74">
        <f t="shared" si="315"/>
        <v>0.0889244586723578</v>
      </c>
      <c r="AI127" s="74">
        <v>0.02</v>
      </c>
      <c r="AJ127" s="74">
        <f t="shared" si="316"/>
        <v>0.02</v>
      </c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</row>
    <row r="128" spans="1:75">
      <c r="A128" s="81" t="s">
        <v>70</v>
      </c>
      <c r="B128" s="71">
        <v>8</v>
      </c>
      <c r="C128" s="71" t="s">
        <v>47</v>
      </c>
      <c r="D128" s="71" t="s">
        <v>48</v>
      </c>
      <c r="E128" s="71" t="s">
        <v>38</v>
      </c>
      <c r="F128" s="72">
        <f t="shared" si="306"/>
        <v>17.531687727894</v>
      </c>
      <c r="G128" s="72">
        <f t="shared" si="307"/>
        <v>29.1904263686616</v>
      </c>
      <c r="H128" s="82">
        <f>H126*0.85</f>
        <v>21.2415</v>
      </c>
      <c r="I128" s="72">
        <f t="shared" si="308"/>
        <v>43.3628318584071</v>
      </c>
      <c r="J128" s="71">
        <v>3.8</v>
      </c>
      <c r="K128" s="74">
        <v>0.15</v>
      </c>
      <c r="L128" s="74">
        <v>0.16</v>
      </c>
      <c r="M128" s="74">
        <v>0.02</v>
      </c>
      <c r="N128" s="74">
        <f t="shared" si="309"/>
        <v>0.0941553091824965</v>
      </c>
      <c r="O128" s="75">
        <v>0.01</v>
      </c>
      <c r="P128" s="74">
        <v>0.02</v>
      </c>
      <c r="Q128" s="72">
        <v>2</v>
      </c>
      <c r="R128" s="49"/>
      <c r="S128" s="49"/>
      <c r="T128" s="49"/>
      <c r="U128" s="49"/>
      <c r="V128" s="72"/>
      <c r="W128" s="72"/>
      <c r="X128" s="71" t="s">
        <v>39</v>
      </c>
      <c r="Y128" s="76">
        <v>5.55136</v>
      </c>
      <c r="Z128" s="77">
        <v>7</v>
      </c>
      <c r="AA128" s="72">
        <f t="shared" si="310"/>
        <v>1.49920601769911</v>
      </c>
      <c r="AB128" s="75">
        <f t="shared" si="311"/>
        <v>0.0705791030623596</v>
      </c>
      <c r="AC128" s="49"/>
      <c r="AD128" s="78">
        <f t="shared" si="312"/>
        <v>0.178895087446743</v>
      </c>
      <c r="AE128" s="74">
        <f t="shared" si="303"/>
        <v>0.255177552541058</v>
      </c>
      <c r="AF128" s="74">
        <f t="shared" si="304"/>
        <v>0.0411929477673422</v>
      </c>
      <c r="AG128" s="74">
        <f t="shared" si="305"/>
        <v>0.15</v>
      </c>
      <c r="AH128" s="74">
        <f t="shared" si="315"/>
        <v>0.0941553091824965</v>
      </c>
      <c r="AI128" s="74">
        <v>0.02</v>
      </c>
      <c r="AJ128" s="74">
        <f t="shared" si="316"/>
        <v>0.02</v>
      </c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</row>
    <row r="129" spans="1:75">
      <c r="A129" s="81" t="s">
        <v>71</v>
      </c>
      <c r="B129" s="71">
        <v>8</v>
      </c>
      <c r="C129" s="71" t="s">
        <v>47</v>
      </c>
      <c r="D129" s="71" t="s">
        <v>48</v>
      </c>
      <c r="E129" s="71" t="s">
        <v>38</v>
      </c>
      <c r="F129" s="72">
        <f t="shared" si="306"/>
        <v>17.7127015805203</v>
      </c>
      <c r="G129" s="72">
        <f t="shared" si="307"/>
        <v>29.6957126062549</v>
      </c>
      <c r="H129" s="73">
        <f>H126*0.8</f>
        <v>19.992</v>
      </c>
      <c r="I129" s="72">
        <f t="shared" si="308"/>
        <v>43.3628318584071</v>
      </c>
      <c r="J129" s="71">
        <v>3.8</v>
      </c>
      <c r="K129" s="74">
        <v>0.15</v>
      </c>
      <c r="L129" s="74">
        <v>0.16</v>
      </c>
      <c r="M129" s="74">
        <v>0.02</v>
      </c>
      <c r="N129" s="74">
        <f t="shared" si="309"/>
        <v>0.100040016006403</v>
      </c>
      <c r="O129" s="75">
        <v>0.01</v>
      </c>
      <c r="P129" s="74">
        <v>0.02</v>
      </c>
      <c r="Q129" s="72">
        <v>2</v>
      </c>
      <c r="R129" s="49"/>
      <c r="S129" s="49"/>
      <c r="T129" s="49"/>
      <c r="U129" s="49"/>
      <c r="V129" s="72"/>
      <c r="W129" s="72"/>
      <c r="X129" s="71" t="s">
        <v>39</v>
      </c>
      <c r="Y129" s="76">
        <v>5.55136</v>
      </c>
      <c r="Z129" s="77">
        <v>7</v>
      </c>
      <c r="AA129" s="72">
        <f t="shared" si="310"/>
        <v>0.699526017699114</v>
      </c>
      <c r="AB129" s="75">
        <f t="shared" si="311"/>
        <v>0.0349902970037572</v>
      </c>
      <c r="AC129" s="49"/>
      <c r="AD129" s="78">
        <f t="shared" si="312"/>
        <v>0.190076030412165</v>
      </c>
      <c r="AE129" s="74">
        <f t="shared" si="313"/>
        <v>0.293109350891756</v>
      </c>
      <c r="AF129" s="74">
        <f t="shared" si="314"/>
        <v>0.047316223786812</v>
      </c>
      <c r="AG129" s="74">
        <v>0.15</v>
      </c>
      <c r="AH129" s="74">
        <f t="shared" si="315"/>
        <v>0.100040016006403</v>
      </c>
      <c r="AI129" s="74">
        <v>0.02</v>
      </c>
      <c r="AJ129" s="74">
        <f t="shared" si="316"/>
        <v>0.02</v>
      </c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</row>
    <row r="130" spans="1:75">
      <c r="A130" s="48"/>
      <c r="B130" s="49"/>
      <c r="C130" s="71"/>
      <c r="D130" s="71"/>
      <c r="E130" s="71"/>
      <c r="F130" s="72"/>
      <c r="G130" s="72"/>
      <c r="H130" s="49"/>
      <c r="I130" s="72"/>
      <c r="J130" s="71"/>
      <c r="K130" s="74"/>
      <c r="L130" s="74"/>
      <c r="M130" s="74"/>
      <c r="N130" s="74"/>
      <c r="O130" s="75"/>
      <c r="P130" s="74"/>
      <c r="Q130" s="74"/>
      <c r="R130" s="49"/>
      <c r="S130" s="49"/>
      <c r="T130" s="49"/>
      <c r="U130" s="49"/>
      <c r="V130" s="72"/>
      <c r="W130" s="72"/>
      <c r="X130" s="49"/>
      <c r="Y130" s="76"/>
      <c r="Z130" s="72"/>
      <c r="AA130" s="72"/>
      <c r="AB130" s="75"/>
      <c r="AC130" s="49"/>
      <c r="AD130" s="78"/>
      <c r="AE130" s="74"/>
      <c r="AF130" s="74"/>
      <c r="AG130" s="74"/>
      <c r="AH130" s="74"/>
      <c r="AI130" s="74"/>
      <c r="AJ130" s="74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</row>
    <row r="131" spans="1:75">
      <c r="A131" s="81" t="s">
        <v>68</v>
      </c>
      <c r="B131" s="49">
        <v>9</v>
      </c>
      <c r="C131" s="71" t="s">
        <v>49</v>
      </c>
      <c r="D131" s="71" t="s">
        <v>50</v>
      </c>
      <c r="E131" s="71" t="s">
        <v>38</v>
      </c>
      <c r="F131" s="72">
        <f t="shared" ref="F131:F134" si="317">IF(E131="有",(I131/B131+J131+Z131/B131)/(0.99999-K131-L131-M131-N131),(I131/B131+J131+Z131/B131)/(0.99999-K131-M131-N131))</f>
        <v>15.3008798617447</v>
      </c>
      <c r="G131" s="72">
        <f t="shared" ref="G131:G134" si="318">IF(E131="有",(I131/B131+J131+Z131/B131)/(0.8-K131-L131-M131-N131-O131-P131),(I131/B131+J131+Z131/B131)/(0.8-K131-M131-N131-O131-P131))</f>
        <v>28.1760404599997</v>
      </c>
      <c r="H131" s="73">
        <v>15.99</v>
      </c>
      <c r="I131" s="72">
        <f t="shared" ref="I131:I134" si="319">49/1.13</f>
        <v>43.3628318584071</v>
      </c>
      <c r="J131" s="49">
        <v>2.77</v>
      </c>
      <c r="K131" s="74">
        <v>0.15</v>
      </c>
      <c r="L131" s="74">
        <v>0.16</v>
      </c>
      <c r="M131" s="85">
        <v>0</v>
      </c>
      <c r="N131" s="74">
        <f t="shared" ref="N131:N134" si="320">Q131/H131</f>
        <v>0.125078173858662</v>
      </c>
      <c r="O131" s="75">
        <f t="shared" ref="O131:O134" si="321">0.61/H131</f>
        <v>0.0381488430268918</v>
      </c>
      <c r="P131" s="74">
        <v>0.02</v>
      </c>
      <c r="Q131" s="72">
        <v>2</v>
      </c>
      <c r="R131" s="49">
        <v>33.5</v>
      </c>
      <c r="S131" s="49">
        <v>26.5</v>
      </c>
      <c r="T131" s="49">
        <v>25</v>
      </c>
      <c r="U131" s="49">
        <v>2.3</v>
      </c>
      <c r="V131" s="72">
        <f t="shared" ref="V131:V134" si="322">R131*S131*T131/6000</f>
        <v>3.69895833333333</v>
      </c>
      <c r="W131" s="72">
        <f t="shared" ref="W131:W134" si="323">MAX(U131:V131)</f>
        <v>3.69895833333333</v>
      </c>
      <c r="X131" s="71" t="s">
        <v>39</v>
      </c>
      <c r="Y131" s="76">
        <v>6.084</v>
      </c>
      <c r="Z131" s="77">
        <v>9.5</v>
      </c>
      <c r="AA131" s="72">
        <f t="shared" ref="AA131:AA134" si="324">H131-SUM(K131:P131)*H131-J131-I131/B131-Z131/B131</f>
        <v>-0.540347984267452</v>
      </c>
      <c r="AB131" s="75">
        <f t="shared" ref="AB131:AB134" si="325">AA131/H131</f>
        <v>-0.0337928695601909</v>
      </c>
      <c r="AC131" s="49"/>
      <c r="AD131" s="78">
        <f t="shared" ref="AD131:AD134" si="326">J131/H131</f>
        <v>0.173233270794246</v>
      </c>
      <c r="AE131" s="74">
        <f t="shared" si="313"/>
        <v>0.366469177174983</v>
      </c>
      <c r="AF131" s="74">
        <f t="shared" si="314"/>
        <v>0.0802866656525193</v>
      </c>
      <c r="AG131" s="74">
        <v>0.15</v>
      </c>
      <c r="AH131" s="74">
        <f t="shared" ref="AH131:AH134" si="327">N131</f>
        <v>0.125078173858662</v>
      </c>
      <c r="AI131" s="74">
        <v>0.02</v>
      </c>
      <c r="AJ131" s="74">
        <f t="shared" ref="AJ131:AJ134" si="328">M131</f>
        <v>0</v>
      </c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</row>
    <row r="132" spans="1:75">
      <c r="A132" s="81" t="s">
        <v>69</v>
      </c>
      <c r="B132" s="49">
        <v>9</v>
      </c>
      <c r="C132" s="71" t="s">
        <v>49</v>
      </c>
      <c r="D132" s="71" t="s">
        <v>50</v>
      </c>
      <c r="E132" s="71" t="s">
        <v>38</v>
      </c>
      <c r="F132" s="72">
        <f t="shared" si="317"/>
        <v>16.2776195998976</v>
      </c>
      <c r="G132" s="72">
        <f t="shared" si="318"/>
        <v>32.1759821367563</v>
      </c>
      <c r="H132" s="73">
        <f>H131*0.9</f>
        <v>14.391</v>
      </c>
      <c r="I132" s="72">
        <f t="shared" si="319"/>
        <v>43.3628318584071</v>
      </c>
      <c r="J132" s="71">
        <v>2.77</v>
      </c>
      <c r="K132" s="74">
        <v>0.15</v>
      </c>
      <c r="L132" s="74">
        <v>0.16</v>
      </c>
      <c r="M132" s="74">
        <v>0.02</v>
      </c>
      <c r="N132" s="74">
        <f t="shared" si="320"/>
        <v>0.138975748731846</v>
      </c>
      <c r="O132" s="75">
        <f t="shared" si="321"/>
        <v>0.0423876033632131</v>
      </c>
      <c r="P132" s="74">
        <v>0.02</v>
      </c>
      <c r="Q132" s="72">
        <v>2</v>
      </c>
      <c r="R132" s="49">
        <v>33.5</v>
      </c>
      <c r="S132" s="49">
        <v>26.5</v>
      </c>
      <c r="T132" s="49">
        <v>25</v>
      </c>
      <c r="U132" s="49">
        <v>2.3</v>
      </c>
      <c r="V132" s="72">
        <f t="shared" si="322"/>
        <v>3.69895833333333</v>
      </c>
      <c r="W132" s="72">
        <f t="shared" si="323"/>
        <v>3.69895833333333</v>
      </c>
      <c r="X132" s="71" t="s">
        <v>39</v>
      </c>
      <c r="Y132" s="76">
        <v>6.084</v>
      </c>
      <c r="Z132" s="77">
        <v>9.5</v>
      </c>
      <c r="AA132" s="72">
        <f t="shared" si="324"/>
        <v>-1.89949798426745</v>
      </c>
      <c r="AB132" s="75">
        <f t="shared" si="325"/>
        <v>-0.131992077289101</v>
      </c>
      <c r="AC132" s="49"/>
      <c r="AD132" s="78">
        <f t="shared" si="326"/>
        <v>0.192481411993607</v>
      </c>
      <c r="AE132" s="74">
        <f t="shared" si="313"/>
        <v>0.40718797463887</v>
      </c>
      <c r="AF132" s="74">
        <f t="shared" si="314"/>
        <v>0.089207406280577</v>
      </c>
      <c r="AG132" s="74">
        <v>0.15</v>
      </c>
      <c r="AH132" s="74">
        <f t="shared" si="327"/>
        <v>0.138975748731846</v>
      </c>
      <c r="AI132" s="74">
        <v>0.02</v>
      </c>
      <c r="AJ132" s="74">
        <f t="shared" si="328"/>
        <v>0.02</v>
      </c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</row>
    <row r="133" spans="1:75">
      <c r="A133" s="81" t="s">
        <v>70</v>
      </c>
      <c r="B133" s="49">
        <v>9</v>
      </c>
      <c r="C133" s="71" t="s">
        <v>49</v>
      </c>
      <c r="D133" s="71" t="s">
        <v>50</v>
      </c>
      <c r="E133" s="71" t="s">
        <v>38</v>
      </c>
      <c r="F133" s="72">
        <f t="shared" si="317"/>
        <v>16.5321342868344</v>
      </c>
      <c r="G133" s="72">
        <f t="shared" si="318"/>
        <v>33.5066394513027</v>
      </c>
      <c r="H133" s="82">
        <f>H131*0.85</f>
        <v>13.5915</v>
      </c>
      <c r="I133" s="72">
        <f t="shared" si="319"/>
        <v>43.3628318584071</v>
      </c>
      <c r="J133" s="71">
        <v>2.77</v>
      </c>
      <c r="K133" s="74">
        <v>0.15</v>
      </c>
      <c r="L133" s="74">
        <v>0.16</v>
      </c>
      <c r="M133" s="74">
        <v>0.02</v>
      </c>
      <c r="N133" s="74">
        <f t="shared" si="320"/>
        <v>0.147150792774896</v>
      </c>
      <c r="O133" s="75">
        <f t="shared" si="321"/>
        <v>0.0448809917963433</v>
      </c>
      <c r="P133" s="74">
        <v>0.02</v>
      </c>
      <c r="Q133" s="72">
        <v>2</v>
      </c>
      <c r="R133" s="49">
        <v>33.5</v>
      </c>
      <c r="S133" s="49">
        <v>26.5</v>
      </c>
      <c r="T133" s="49">
        <v>25</v>
      </c>
      <c r="U133" s="49">
        <v>2.3</v>
      </c>
      <c r="V133" s="72">
        <f t="shared" si="322"/>
        <v>3.69895833333333</v>
      </c>
      <c r="W133" s="72">
        <f t="shared" si="323"/>
        <v>3.69895833333333</v>
      </c>
      <c r="X133" s="71" t="s">
        <v>39</v>
      </c>
      <c r="Y133" s="76">
        <v>6.084</v>
      </c>
      <c r="Z133" s="77">
        <v>9.5</v>
      </c>
      <c r="AA133" s="72">
        <f t="shared" si="324"/>
        <v>-2.41917298426745</v>
      </c>
      <c r="AB133" s="75">
        <f t="shared" si="325"/>
        <v>-0.177991611247284</v>
      </c>
      <c r="AC133" s="49"/>
      <c r="AD133" s="78">
        <f t="shared" si="326"/>
        <v>0.203803847993231</v>
      </c>
      <c r="AE133" s="74">
        <f t="shared" si="313"/>
        <v>0.431140208441157</v>
      </c>
      <c r="AF133" s="74">
        <f t="shared" si="314"/>
        <v>0.0944549007676698</v>
      </c>
      <c r="AG133" s="74">
        <v>0.15</v>
      </c>
      <c r="AH133" s="74">
        <f t="shared" si="327"/>
        <v>0.147150792774896</v>
      </c>
      <c r="AI133" s="74">
        <v>0.02</v>
      </c>
      <c r="AJ133" s="74">
        <f t="shared" si="328"/>
        <v>0.02</v>
      </c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</row>
    <row r="134" spans="1:75">
      <c r="A134" s="81" t="s">
        <v>71</v>
      </c>
      <c r="B134" s="49">
        <v>9</v>
      </c>
      <c r="C134" s="71" t="s">
        <v>49</v>
      </c>
      <c r="D134" s="71" t="s">
        <v>50</v>
      </c>
      <c r="E134" s="71" t="s">
        <v>38</v>
      </c>
      <c r="F134" s="72">
        <f t="shared" si="317"/>
        <v>16.8281472841839</v>
      </c>
      <c r="G134" s="72">
        <f t="shared" si="318"/>
        <v>35.1416046957632</v>
      </c>
      <c r="H134" s="73">
        <f>H131*0.8</f>
        <v>12.792</v>
      </c>
      <c r="I134" s="72">
        <f t="shared" si="319"/>
        <v>43.3628318584071</v>
      </c>
      <c r="J134" s="71">
        <v>2.77</v>
      </c>
      <c r="K134" s="74">
        <v>0.15</v>
      </c>
      <c r="L134" s="74">
        <v>0.16</v>
      </c>
      <c r="M134" s="74">
        <v>0.02</v>
      </c>
      <c r="N134" s="74">
        <f t="shared" si="320"/>
        <v>0.156347717323327</v>
      </c>
      <c r="O134" s="75">
        <f t="shared" si="321"/>
        <v>0.0476860537836148</v>
      </c>
      <c r="P134" s="74">
        <v>0.02</v>
      </c>
      <c r="Q134" s="72">
        <v>2</v>
      </c>
      <c r="R134" s="49">
        <v>33.5</v>
      </c>
      <c r="S134" s="49">
        <v>26.5</v>
      </c>
      <c r="T134" s="49">
        <v>25</v>
      </c>
      <c r="U134" s="49">
        <v>2.3</v>
      </c>
      <c r="V134" s="72">
        <f t="shared" si="322"/>
        <v>3.69895833333333</v>
      </c>
      <c r="W134" s="72">
        <f t="shared" si="323"/>
        <v>3.69895833333333</v>
      </c>
      <c r="X134" s="71" t="s">
        <v>39</v>
      </c>
      <c r="Y134" s="76">
        <v>6.084</v>
      </c>
      <c r="Z134" s="77">
        <v>9.5</v>
      </c>
      <c r="AA134" s="72">
        <f t="shared" si="324"/>
        <v>-2.93884798426745</v>
      </c>
      <c r="AB134" s="75">
        <f t="shared" si="325"/>
        <v>-0.229741086950239</v>
      </c>
      <c r="AC134" s="49"/>
      <c r="AD134" s="78">
        <f t="shared" si="326"/>
        <v>0.216541588492808</v>
      </c>
      <c r="AE134" s="74">
        <f t="shared" si="313"/>
        <v>0.458086471468729</v>
      </c>
      <c r="AF134" s="74">
        <f t="shared" si="314"/>
        <v>0.100358332065649</v>
      </c>
      <c r="AG134" s="74">
        <v>0.15</v>
      </c>
      <c r="AH134" s="74">
        <f t="shared" si="327"/>
        <v>0.156347717323327</v>
      </c>
      <c r="AI134" s="74">
        <v>0.02</v>
      </c>
      <c r="AJ134" s="74">
        <f t="shared" si="328"/>
        <v>0.02</v>
      </c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</row>
    <row r="135" spans="1:75">
      <c r="A135" s="48"/>
      <c r="B135" s="49"/>
      <c r="C135" s="71"/>
      <c r="D135" s="71"/>
      <c r="E135" s="71"/>
      <c r="F135" s="72"/>
      <c r="G135" s="72"/>
      <c r="H135" s="49"/>
      <c r="I135" s="72"/>
      <c r="J135" s="71"/>
      <c r="K135" s="74"/>
      <c r="L135" s="74"/>
      <c r="M135" s="74"/>
      <c r="N135" s="74"/>
      <c r="O135" s="75"/>
      <c r="P135" s="74"/>
      <c r="Q135" s="72">
        <v>2</v>
      </c>
      <c r="R135" s="49"/>
      <c r="S135" s="49"/>
      <c r="T135" s="49"/>
      <c r="U135" s="49"/>
      <c r="V135" s="72"/>
      <c r="W135" s="72"/>
      <c r="X135" s="49"/>
      <c r="Y135" s="76"/>
      <c r="Z135" s="72"/>
      <c r="AA135" s="72"/>
      <c r="AB135" s="75"/>
      <c r="AC135" s="49"/>
      <c r="AD135" s="78"/>
      <c r="AE135" s="74"/>
      <c r="AF135" s="74"/>
      <c r="AG135" s="74"/>
      <c r="AH135" s="74"/>
      <c r="AI135" s="74"/>
      <c r="AJ135" s="74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</row>
    <row r="136" spans="1:75">
      <c r="A136" s="48" t="s">
        <v>72</v>
      </c>
      <c r="B136" s="49">
        <v>7.5</v>
      </c>
      <c r="C136" s="71" t="s">
        <v>36</v>
      </c>
      <c r="D136" s="71" t="s">
        <v>37</v>
      </c>
      <c r="E136" s="71" t="s">
        <v>38</v>
      </c>
      <c r="F136" s="72">
        <f t="shared" ref="F136:F141" si="329">IF(E136="有",(I136/B136+J136+Z136/B136)/(0.99999-K136-L136-M136-N136),(I136/B136+J136+Z136/B136)/(0.99999-K136-M136-N136))</f>
        <v>119.785424993728</v>
      </c>
      <c r="G136" s="72">
        <f t="shared" ref="G136:G141" si="330">IF(E136="有",(I136/B136+J136+Z136/B136)/(0.8-K136-L136-M136-N136-O136-P136),(I136/B136+J136+Z136/B136)/(0.8-K136-M136-N136-O136-P136))</f>
        <v>238.308041694678</v>
      </c>
      <c r="H136" s="86">
        <v>159.99</v>
      </c>
      <c r="I136" s="72">
        <f>380/1.13</f>
        <v>336.283185840708</v>
      </c>
      <c r="J136" s="71">
        <v>5.69</v>
      </c>
      <c r="K136" s="74">
        <v>0.15</v>
      </c>
      <c r="L136" s="74">
        <v>0.16</v>
      </c>
      <c r="M136" s="74">
        <v>0.09</v>
      </c>
      <c r="N136" s="74">
        <v>0.15</v>
      </c>
      <c r="O136" s="75">
        <f t="shared" ref="O136:O141" si="331">0.61/H136</f>
        <v>0.00381273829614351</v>
      </c>
      <c r="P136" s="74">
        <v>0.02</v>
      </c>
      <c r="Q136" s="72">
        <v>2</v>
      </c>
      <c r="R136" s="49">
        <v>38.5</v>
      </c>
      <c r="S136" s="49">
        <v>32.5</v>
      </c>
      <c r="T136" s="49">
        <v>18.3</v>
      </c>
      <c r="U136" s="49">
        <v>2.3</v>
      </c>
      <c r="V136" s="72">
        <f>R136*S136*T136/6000</f>
        <v>3.8163125</v>
      </c>
      <c r="W136" s="72">
        <f t="shared" ref="W136:W141" si="332">MAX(U136:V136)</f>
        <v>3.8163125</v>
      </c>
      <c r="X136" s="49" t="s">
        <v>39</v>
      </c>
      <c r="Y136" s="76">
        <v>6.6317</v>
      </c>
      <c r="Z136" s="72">
        <f>W136*Y136</f>
        <v>25.30863960625</v>
      </c>
      <c r="AA136" s="72">
        <f t="shared" ref="AA136:AA141" si="333">H136-SUM(K136:P136)*H136-J136-I136/B136-Z136/B136</f>
        <v>14.2834566070723</v>
      </c>
      <c r="AB136" s="75">
        <f t="shared" ref="AB136:AB141" si="334">AA136/H136</f>
        <v>0.0892771836181778</v>
      </c>
      <c r="AC136" s="49"/>
      <c r="AD136" s="78">
        <f t="shared" ref="AD136:AD141" si="335">J136/H136</f>
        <v>0.0355647227951747</v>
      </c>
      <c r="AE136" s="74">
        <f t="shared" ref="AE136:AE141" si="336">I136/7.4/H136</f>
        <v>0.284040713558709</v>
      </c>
      <c r="AF136" s="74">
        <f t="shared" ref="AF136:AF141" si="337">Z136/7.4/H136</f>
        <v>0.0213768762627478</v>
      </c>
      <c r="AG136" s="74">
        <v>0.15</v>
      </c>
      <c r="AH136" s="74">
        <f t="shared" ref="AH136:AH141" si="338">N136</f>
        <v>0.15</v>
      </c>
      <c r="AI136" s="74">
        <v>0.02</v>
      </c>
      <c r="AJ136" s="74">
        <f t="shared" ref="AJ136:AJ141" si="339">M136</f>
        <v>0.09</v>
      </c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</row>
    <row r="137" spans="1:75">
      <c r="A137" s="48" t="s">
        <v>73</v>
      </c>
      <c r="B137" s="49">
        <v>9</v>
      </c>
      <c r="C137" s="71" t="s">
        <v>49</v>
      </c>
      <c r="D137" s="71" t="s">
        <v>50</v>
      </c>
      <c r="E137" s="71" t="s">
        <v>38</v>
      </c>
      <c r="F137" s="72">
        <f t="shared" si="329"/>
        <v>100.817505931479</v>
      </c>
      <c r="G137" s="72">
        <f t="shared" si="330"/>
        <v>200.797833887252</v>
      </c>
      <c r="H137" s="49">
        <v>149.99</v>
      </c>
      <c r="I137" s="72">
        <f>380/1.13</f>
        <v>336.283185840708</v>
      </c>
      <c r="J137" s="71">
        <v>5.19</v>
      </c>
      <c r="K137" s="74">
        <v>0.15</v>
      </c>
      <c r="L137" s="74">
        <v>0.16</v>
      </c>
      <c r="M137" s="74">
        <v>0.09</v>
      </c>
      <c r="N137" s="74">
        <v>0.15</v>
      </c>
      <c r="O137" s="75">
        <f t="shared" si="331"/>
        <v>0.00406693779585306</v>
      </c>
      <c r="P137" s="74">
        <v>0.02</v>
      </c>
      <c r="Q137" s="72">
        <v>2</v>
      </c>
      <c r="R137" s="71">
        <v>38.5</v>
      </c>
      <c r="S137" s="71">
        <v>32.5</v>
      </c>
      <c r="T137" s="71">
        <v>18.3</v>
      </c>
      <c r="U137" s="49">
        <v>2.3</v>
      </c>
      <c r="V137" s="72">
        <f>R137*S137*T137/6000</f>
        <v>3.8163125</v>
      </c>
      <c r="W137" s="72">
        <f t="shared" si="332"/>
        <v>3.8163125</v>
      </c>
      <c r="X137" s="71" t="s">
        <v>39</v>
      </c>
      <c r="Y137" s="76">
        <v>6.6317</v>
      </c>
      <c r="Z137" s="72">
        <f>W137*Y137</f>
        <v>25.30863960625</v>
      </c>
      <c r="AA137" s="72">
        <f t="shared" si="333"/>
        <v>18.5188305058935</v>
      </c>
      <c r="AB137" s="75">
        <f t="shared" si="334"/>
        <v>0.123467101179369</v>
      </c>
      <c r="AC137" s="49"/>
      <c r="AD137" s="78">
        <f t="shared" si="335"/>
        <v>0.0346023068204547</v>
      </c>
      <c r="AE137" s="74">
        <f t="shared" si="336"/>
        <v>0.302978023616627</v>
      </c>
      <c r="AF137" s="74">
        <f t="shared" si="337"/>
        <v>0.0228020963616043</v>
      </c>
      <c r="AG137" s="74">
        <v>0.15</v>
      </c>
      <c r="AH137" s="74">
        <f t="shared" si="338"/>
        <v>0.15</v>
      </c>
      <c r="AI137" s="74">
        <v>0.02</v>
      </c>
      <c r="AJ137" s="74">
        <f t="shared" si="339"/>
        <v>0.09</v>
      </c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</row>
    <row r="138" spans="1:75">
      <c r="A138" s="48"/>
      <c r="B138" s="71"/>
      <c r="C138" s="71"/>
      <c r="D138" s="71"/>
      <c r="E138" s="71"/>
      <c r="F138" s="72"/>
      <c r="G138" s="72"/>
      <c r="H138" s="72"/>
      <c r="I138" s="72"/>
      <c r="J138" s="72"/>
      <c r="K138" s="74"/>
      <c r="L138" s="74"/>
      <c r="M138" s="74"/>
      <c r="N138" s="74"/>
      <c r="O138" s="75"/>
      <c r="P138" s="74"/>
      <c r="Q138" s="74"/>
      <c r="R138" s="49"/>
      <c r="S138" s="49"/>
      <c r="T138" s="49"/>
      <c r="U138" s="49"/>
      <c r="V138" s="72"/>
      <c r="W138" s="72"/>
      <c r="X138" s="49"/>
      <c r="Y138" s="76"/>
      <c r="Z138" s="72"/>
      <c r="AA138" s="72"/>
      <c r="AB138" s="75"/>
      <c r="AC138" s="49"/>
      <c r="AD138" s="78"/>
      <c r="AE138" s="74"/>
      <c r="AF138" s="74"/>
      <c r="AG138" s="74"/>
      <c r="AH138" s="74"/>
      <c r="AI138" s="74"/>
      <c r="AJ138" s="74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</row>
    <row r="139" spans="1:75">
      <c r="A139" s="48"/>
      <c r="B139" s="71"/>
      <c r="C139" s="71"/>
      <c r="D139" s="71"/>
      <c r="E139" s="71"/>
      <c r="F139" s="72"/>
      <c r="G139" s="72"/>
      <c r="H139" s="72"/>
      <c r="I139" s="72"/>
      <c r="J139" s="72"/>
      <c r="K139" s="74"/>
      <c r="L139" s="74"/>
      <c r="M139" s="74"/>
      <c r="N139" s="74"/>
      <c r="O139" s="75"/>
      <c r="P139" s="74"/>
      <c r="Q139" s="74"/>
      <c r="R139" s="49"/>
      <c r="S139" s="49"/>
      <c r="T139" s="49"/>
      <c r="U139" s="49"/>
      <c r="V139" s="72"/>
      <c r="W139" s="72"/>
      <c r="X139" s="49"/>
      <c r="Y139" s="76"/>
      <c r="Z139" s="72"/>
      <c r="AA139" s="72"/>
      <c r="AB139" s="75"/>
      <c r="AC139" s="49"/>
      <c r="AD139" s="78"/>
      <c r="AE139" s="74"/>
      <c r="AF139" s="74"/>
      <c r="AG139" s="74"/>
      <c r="AH139" s="74"/>
      <c r="AI139" s="74"/>
      <c r="AJ139" s="74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</row>
    <row r="140" spans="1:75">
      <c r="A140" s="48" t="s">
        <v>74</v>
      </c>
      <c r="B140" s="71">
        <v>7.4</v>
      </c>
      <c r="C140" s="71" t="s">
        <v>36</v>
      </c>
      <c r="D140" s="71" t="s">
        <v>37</v>
      </c>
      <c r="E140" s="71" t="s">
        <v>38</v>
      </c>
      <c r="F140" s="72">
        <f t="shared" si="329"/>
        <v>78.0059656983213</v>
      </c>
      <c r="G140" s="72">
        <f t="shared" si="330"/>
        <v>140.620192185669</v>
      </c>
      <c r="H140" s="86">
        <v>129.99</v>
      </c>
      <c r="I140" s="72">
        <f>240/1.13</f>
        <v>212.389380530973</v>
      </c>
      <c r="J140" s="49">
        <v>6.89</v>
      </c>
      <c r="K140" s="74">
        <v>0.15</v>
      </c>
      <c r="L140" s="74">
        <v>0.16</v>
      </c>
      <c r="M140" s="74">
        <v>0.07</v>
      </c>
      <c r="N140" s="74">
        <f>Q140/H140</f>
        <v>0.115393491807062</v>
      </c>
      <c r="O140" s="75">
        <f t="shared" si="331"/>
        <v>0.00469266866682052</v>
      </c>
      <c r="P140" s="74">
        <v>0.02</v>
      </c>
      <c r="Q140" s="72">
        <v>15</v>
      </c>
      <c r="R140" s="49">
        <v>43.5</v>
      </c>
      <c r="S140" s="49">
        <v>34</v>
      </c>
      <c r="T140" s="49">
        <v>19</v>
      </c>
      <c r="U140" s="49">
        <v>4</v>
      </c>
      <c r="V140" s="72">
        <f t="shared" ref="V140:V144" si="340">R140*S140*T140/5000</f>
        <v>5.6202</v>
      </c>
      <c r="W140" s="72">
        <f t="shared" si="332"/>
        <v>5.6202</v>
      </c>
      <c r="X140" s="49" t="s">
        <v>39</v>
      </c>
      <c r="Y140" s="76">
        <v>6.6317</v>
      </c>
      <c r="Z140" s="72">
        <v>27.9</v>
      </c>
      <c r="AA140" s="72">
        <f t="shared" si="333"/>
        <v>23.022462090409</v>
      </c>
      <c r="AB140" s="75">
        <f t="shared" si="334"/>
        <v>0.177109486040534</v>
      </c>
      <c r="AC140" s="49"/>
      <c r="AD140" s="78">
        <f t="shared" si="335"/>
        <v>0.0530040772367105</v>
      </c>
      <c r="AE140" s="74">
        <f t="shared" si="336"/>
        <v>0.220795966146017</v>
      </c>
      <c r="AF140" s="74">
        <f t="shared" si="337"/>
        <v>0.0290043101028561</v>
      </c>
      <c r="AG140" s="74">
        <v>0.15</v>
      </c>
      <c r="AH140" s="74">
        <f t="shared" si="338"/>
        <v>0.115393491807062</v>
      </c>
      <c r="AI140" s="74">
        <v>0.02</v>
      </c>
      <c r="AJ140" s="74">
        <f t="shared" si="339"/>
        <v>0.07</v>
      </c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</row>
    <row r="141" spans="1:75">
      <c r="A141" s="48" t="s">
        <v>75</v>
      </c>
      <c r="B141" s="49">
        <v>9</v>
      </c>
      <c r="C141" s="71" t="s">
        <v>49</v>
      </c>
      <c r="D141" s="71" t="s">
        <v>50</v>
      </c>
      <c r="E141" s="71" t="s">
        <v>38</v>
      </c>
      <c r="F141" s="72">
        <f t="shared" si="329"/>
        <v>65.2235956583123</v>
      </c>
      <c r="G141" s="72">
        <f t="shared" si="330"/>
        <v>115.86114215798</v>
      </c>
      <c r="H141" s="86">
        <v>119.99</v>
      </c>
      <c r="I141" s="72">
        <f>240/1.13</f>
        <v>212.389380530973</v>
      </c>
      <c r="J141" s="49">
        <v>6.89</v>
      </c>
      <c r="K141" s="74">
        <v>0.15</v>
      </c>
      <c r="L141" s="74">
        <v>0.16</v>
      </c>
      <c r="M141" s="74">
        <v>0.05</v>
      </c>
      <c r="N141" s="74">
        <f>Q141/H141</f>
        <v>0.125010417534795</v>
      </c>
      <c r="O141" s="75">
        <f t="shared" si="331"/>
        <v>0.00508375697974831</v>
      </c>
      <c r="P141" s="74">
        <v>0.02</v>
      </c>
      <c r="Q141" s="72">
        <v>15</v>
      </c>
      <c r="R141" s="49">
        <v>43.5</v>
      </c>
      <c r="S141" s="49">
        <v>34</v>
      </c>
      <c r="T141" s="49">
        <v>19</v>
      </c>
      <c r="U141" s="49">
        <v>4</v>
      </c>
      <c r="V141" s="72">
        <f t="shared" si="340"/>
        <v>5.6202</v>
      </c>
      <c r="W141" s="72">
        <f t="shared" si="332"/>
        <v>5.6202</v>
      </c>
      <c r="X141" s="49" t="s">
        <v>39</v>
      </c>
      <c r="Y141" s="76">
        <v>6.6317</v>
      </c>
      <c r="Z141" s="72">
        <v>27.9</v>
      </c>
      <c r="AA141" s="72">
        <f t="shared" si="333"/>
        <v>25.1949799410029</v>
      </c>
      <c r="AB141" s="75">
        <f t="shared" si="334"/>
        <v>0.209975664147037</v>
      </c>
      <c r="AC141" s="49"/>
      <c r="AD141" s="78">
        <f t="shared" si="335"/>
        <v>0.057421451787649</v>
      </c>
      <c r="AE141" s="74">
        <f t="shared" si="336"/>
        <v>0.239197163424625</v>
      </c>
      <c r="AF141" s="74">
        <f t="shared" si="337"/>
        <v>0.0314215373803673</v>
      </c>
      <c r="AG141" s="74">
        <v>0.15</v>
      </c>
      <c r="AH141" s="74">
        <f t="shared" si="338"/>
        <v>0.125010417534795</v>
      </c>
      <c r="AI141" s="74">
        <v>0.02</v>
      </c>
      <c r="AJ141" s="74">
        <f t="shared" si="339"/>
        <v>0.05</v>
      </c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</row>
    <row r="142" spans="1:75">
      <c r="A142" s="48"/>
      <c r="B142" s="71"/>
      <c r="C142" s="71"/>
      <c r="D142" s="71"/>
      <c r="E142" s="71"/>
      <c r="F142" s="72"/>
      <c r="G142" s="72"/>
      <c r="H142" s="72"/>
      <c r="I142" s="72"/>
      <c r="J142" s="49"/>
      <c r="K142" s="74"/>
      <c r="L142" s="74"/>
      <c r="M142" s="74"/>
      <c r="N142" s="74"/>
      <c r="O142" s="75"/>
      <c r="P142" s="74"/>
      <c r="Q142" s="74"/>
      <c r="R142" s="71"/>
      <c r="S142" s="71"/>
      <c r="T142" s="71"/>
      <c r="U142" s="71"/>
      <c r="V142" s="72"/>
      <c r="W142" s="72"/>
      <c r="X142" s="71"/>
      <c r="Y142" s="76"/>
      <c r="Z142" s="72"/>
      <c r="AA142" s="72"/>
      <c r="AB142" s="75"/>
      <c r="AC142" s="49"/>
      <c r="AD142" s="78"/>
      <c r="AE142" s="74"/>
      <c r="AF142" s="74"/>
      <c r="AG142" s="74"/>
      <c r="AH142" s="74"/>
      <c r="AI142" s="74"/>
      <c r="AJ142" s="74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</row>
    <row r="143" spans="1:75">
      <c r="A143" s="48" t="s">
        <v>76</v>
      </c>
      <c r="B143" s="71">
        <v>7.4</v>
      </c>
      <c r="C143" s="71" t="s">
        <v>36</v>
      </c>
      <c r="D143" s="71" t="s">
        <v>37</v>
      </c>
      <c r="E143" s="71" t="s">
        <v>38</v>
      </c>
      <c r="F143" s="72">
        <f t="shared" ref="F143:F148" si="341">IF(E143="有",(I143/B143+J143+Z143/B143)/(0.99999-K143-L143-M143-N143),(I143/B143+J143+Z143/B143)/(0.99999-K143-M143-N143))</f>
        <v>88.8299673705953</v>
      </c>
      <c r="G143" s="72">
        <f t="shared" ref="G143:G148" si="342">IF(E143="有",(I143/B143+J143+Z143/B143)/(0.8-K143-L143-M143-N143-O143-P143),(I143/B143+J143+Z143/B143)/(0.8-K143-M143-N143-O143-P143))</f>
        <v>170.888074798777</v>
      </c>
      <c r="H143" s="86">
        <v>129.99</v>
      </c>
      <c r="I143" s="72">
        <f>270/1.13</f>
        <v>238.938053097345</v>
      </c>
      <c r="J143" s="49">
        <v>5.69</v>
      </c>
      <c r="K143" s="74">
        <v>0.15</v>
      </c>
      <c r="L143" s="74">
        <v>0.16</v>
      </c>
      <c r="M143" s="74">
        <v>0.07</v>
      </c>
      <c r="N143" s="74">
        <v>0.15</v>
      </c>
      <c r="O143" s="75">
        <f>0.74/H143</f>
        <v>0.00569274559581506</v>
      </c>
      <c r="P143" s="74">
        <v>0.02</v>
      </c>
      <c r="Q143" s="74">
        <v>0.02</v>
      </c>
      <c r="R143" s="49">
        <v>43.5</v>
      </c>
      <c r="S143" s="49">
        <v>32.3</v>
      </c>
      <c r="T143" s="49">
        <v>19</v>
      </c>
      <c r="U143" s="49">
        <v>3.05</v>
      </c>
      <c r="V143" s="72">
        <f t="shared" si="340"/>
        <v>5.33919</v>
      </c>
      <c r="W143" s="72">
        <f t="shared" ref="W143:W148" si="343">MAX(U143:V143)</f>
        <v>5.33919</v>
      </c>
      <c r="X143" s="71" t="s">
        <v>39</v>
      </c>
      <c r="Y143" s="76">
        <v>6.6317</v>
      </c>
      <c r="Z143" s="72">
        <v>27.9</v>
      </c>
      <c r="AA143" s="72">
        <f t="shared" ref="AA143:AA148" si="344">H143-SUM(K143:P143)*H143-J143-I143/B143-Z143/B143</f>
        <v>16.0063036354939</v>
      </c>
      <c r="AB143" s="75">
        <f t="shared" ref="AB143:AB148" si="345">AA143/H143</f>
        <v>0.123134884494914</v>
      </c>
      <c r="AC143" s="49"/>
      <c r="AD143" s="78">
        <f t="shared" ref="AD143:AD148" si="346">J143/H143</f>
        <v>0.0437725978921455</v>
      </c>
      <c r="AE143" s="74">
        <f t="shared" ref="AE143:AE148" si="347">I143/7.4/H143</f>
        <v>0.248395461914269</v>
      </c>
      <c r="AF143" s="74">
        <f t="shared" ref="AF143:AF148" si="348">Z143/7.4/H143</f>
        <v>0.0290043101028561</v>
      </c>
      <c r="AG143" s="74">
        <v>0.15</v>
      </c>
      <c r="AH143" s="74">
        <f t="shared" ref="AH143:AH148" si="349">N143</f>
        <v>0.15</v>
      </c>
      <c r="AI143" s="74">
        <v>0.02</v>
      </c>
      <c r="AJ143" s="74">
        <f t="shared" ref="AJ143:AJ148" si="350">M143</f>
        <v>0.07</v>
      </c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</row>
    <row r="144" spans="1:75">
      <c r="A144" s="48" t="s">
        <v>77</v>
      </c>
      <c r="B144" s="49">
        <v>9</v>
      </c>
      <c r="C144" s="71" t="s">
        <v>49</v>
      </c>
      <c r="D144" s="71" t="s">
        <v>50</v>
      </c>
      <c r="E144" s="71" t="s">
        <v>38</v>
      </c>
      <c r="F144" s="72">
        <f t="shared" si="341"/>
        <v>71.1007828044893</v>
      </c>
      <c r="G144" s="72">
        <f t="shared" si="342"/>
        <v>131.964918766402</v>
      </c>
      <c r="H144" s="86">
        <v>119.99</v>
      </c>
      <c r="I144" s="72">
        <f>270/1.13</f>
        <v>238.938053097345</v>
      </c>
      <c r="J144" s="49">
        <v>5.19</v>
      </c>
      <c r="K144" s="74">
        <v>0.15</v>
      </c>
      <c r="L144" s="74">
        <v>0.16</v>
      </c>
      <c r="M144" s="74">
        <v>0.05</v>
      </c>
      <c r="N144" s="74">
        <v>0.15</v>
      </c>
      <c r="O144" s="75">
        <f>0.72/H144</f>
        <v>0.00600050004167014</v>
      </c>
      <c r="P144" s="74">
        <v>0.02</v>
      </c>
      <c r="Q144" s="74">
        <v>0.02</v>
      </c>
      <c r="R144" s="49">
        <v>43.5</v>
      </c>
      <c r="S144" s="49">
        <v>32.3</v>
      </c>
      <c r="T144" s="49">
        <v>19</v>
      </c>
      <c r="U144" s="49">
        <v>3.05</v>
      </c>
      <c r="V144" s="72">
        <f t="shared" si="340"/>
        <v>5.33919</v>
      </c>
      <c r="W144" s="72">
        <f t="shared" si="343"/>
        <v>5.33919</v>
      </c>
      <c r="X144" s="71" t="s">
        <v>39</v>
      </c>
      <c r="Y144" s="76">
        <v>6.6317</v>
      </c>
      <c r="Z144" s="72">
        <v>27.9</v>
      </c>
      <c r="AA144" s="72">
        <f t="shared" si="344"/>
        <v>20.8366274336283</v>
      </c>
      <c r="AB144" s="75">
        <f t="shared" si="345"/>
        <v>0.173653033032989</v>
      </c>
      <c r="AC144" s="49"/>
      <c r="AD144" s="78">
        <f t="shared" si="346"/>
        <v>0.0432536044670389</v>
      </c>
      <c r="AE144" s="74">
        <f t="shared" si="347"/>
        <v>0.269096808852703</v>
      </c>
      <c r="AF144" s="74">
        <f t="shared" si="348"/>
        <v>0.0314215373803673</v>
      </c>
      <c r="AG144" s="74">
        <v>0.15</v>
      </c>
      <c r="AH144" s="74">
        <f t="shared" si="349"/>
        <v>0.15</v>
      </c>
      <c r="AI144" s="74">
        <v>0.02</v>
      </c>
      <c r="AJ144" s="74">
        <f t="shared" si="350"/>
        <v>0.05</v>
      </c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</row>
    <row r="145" spans="1:75">
      <c r="A145" s="83"/>
      <c r="B145" s="71"/>
      <c r="C145" s="71"/>
      <c r="D145" s="71"/>
      <c r="E145" s="71"/>
      <c r="F145" s="72"/>
      <c r="G145" s="72"/>
      <c r="H145" s="72"/>
      <c r="I145" s="72"/>
      <c r="J145" s="49"/>
      <c r="K145" s="74"/>
      <c r="L145" s="74"/>
      <c r="M145" s="74"/>
      <c r="N145" s="74"/>
      <c r="O145" s="75"/>
      <c r="P145" s="74"/>
      <c r="Q145" s="74">
        <v>0.02</v>
      </c>
      <c r="R145" s="71"/>
      <c r="S145" s="71"/>
      <c r="T145" s="71"/>
      <c r="U145" s="71"/>
      <c r="V145" s="72"/>
      <c r="W145" s="72"/>
      <c r="X145" s="71"/>
      <c r="Y145" s="76"/>
      <c r="Z145" s="72"/>
      <c r="AA145" s="72"/>
      <c r="AB145" s="75"/>
      <c r="AC145" s="49"/>
      <c r="AD145" s="78"/>
      <c r="AE145" s="74"/>
      <c r="AF145" s="74"/>
      <c r="AG145" s="74"/>
      <c r="AH145" s="74"/>
      <c r="AI145" s="74"/>
      <c r="AJ145" s="74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</row>
    <row r="146" spans="1:75">
      <c r="A146" s="70" t="s">
        <v>78</v>
      </c>
      <c r="B146" s="49">
        <v>7</v>
      </c>
      <c r="C146" s="71" t="s">
        <v>36</v>
      </c>
      <c r="D146" s="49" t="s">
        <v>79</v>
      </c>
      <c r="E146" s="49" t="s">
        <v>80</v>
      </c>
      <c r="F146" s="72">
        <f t="shared" si="341"/>
        <v>31.1727286030341</v>
      </c>
      <c r="G146" s="72">
        <f t="shared" si="342"/>
        <v>45.9601122491</v>
      </c>
      <c r="H146" s="79">
        <v>49.99</v>
      </c>
      <c r="I146" s="72">
        <f t="shared" ref="I146:I148" si="351">94.4/1.13</f>
        <v>83.5398230088496</v>
      </c>
      <c r="J146" s="87">
        <v>7.6</v>
      </c>
      <c r="K146" s="74">
        <v>0.15</v>
      </c>
      <c r="L146" s="74">
        <v>0</v>
      </c>
      <c r="M146" s="74">
        <v>0.05</v>
      </c>
      <c r="N146" s="74">
        <f t="shared" ref="N146:N148" si="352">Q146/H146</f>
        <v>0.1000200040008</v>
      </c>
      <c r="O146" s="75">
        <f t="shared" ref="O146:O148" si="353">0.261/H146</f>
        <v>0.00522104420884177</v>
      </c>
      <c r="P146" s="74">
        <v>0.02</v>
      </c>
      <c r="Q146" s="72">
        <v>5</v>
      </c>
      <c r="R146" s="71">
        <v>32</v>
      </c>
      <c r="S146" s="71">
        <v>17.3</v>
      </c>
      <c r="T146" s="71">
        <v>17.3</v>
      </c>
      <c r="U146" s="71">
        <v>1.6</v>
      </c>
      <c r="V146" s="72">
        <f t="shared" ref="V146:V148" si="354">R146*S146*T146/5000</f>
        <v>1.915456</v>
      </c>
      <c r="W146" s="72">
        <f t="shared" si="343"/>
        <v>1.915456</v>
      </c>
      <c r="X146" s="71" t="s">
        <v>39</v>
      </c>
      <c r="Y146" s="76">
        <v>6.6317</v>
      </c>
      <c r="Z146" s="72">
        <v>16</v>
      </c>
      <c r="AA146" s="72">
        <f t="shared" si="344"/>
        <v>11.9112252844501</v>
      </c>
      <c r="AB146" s="75">
        <f t="shared" si="345"/>
        <v>0.238272160121025</v>
      </c>
      <c r="AC146" s="49"/>
      <c r="AD146" s="78">
        <f t="shared" si="346"/>
        <v>0.152030406081216</v>
      </c>
      <c r="AE146" s="74">
        <f t="shared" si="347"/>
        <v>0.225828471123548</v>
      </c>
      <c r="AF146" s="74">
        <f t="shared" si="348"/>
        <v>0.0432518936219676</v>
      </c>
      <c r="AG146" s="74">
        <v>0.15</v>
      </c>
      <c r="AH146" s="74">
        <f t="shared" si="349"/>
        <v>0.1000200040008</v>
      </c>
      <c r="AI146" s="74">
        <v>0.02</v>
      </c>
      <c r="AJ146" s="74">
        <f t="shared" si="350"/>
        <v>0.05</v>
      </c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</row>
    <row r="147" spans="1:75">
      <c r="A147" s="70" t="s">
        <v>81</v>
      </c>
      <c r="B147" s="49">
        <v>7</v>
      </c>
      <c r="C147" s="71" t="s">
        <v>36</v>
      </c>
      <c r="D147" s="71" t="s">
        <v>79</v>
      </c>
      <c r="E147" s="71" t="s">
        <v>80</v>
      </c>
      <c r="F147" s="72">
        <f t="shared" si="341"/>
        <v>31.6756386520061</v>
      </c>
      <c r="G147" s="72">
        <f t="shared" si="342"/>
        <v>47.1207088885122</v>
      </c>
      <c r="H147" s="79">
        <f>H146*0.9</f>
        <v>44.991</v>
      </c>
      <c r="I147" s="72">
        <f t="shared" si="351"/>
        <v>83.5398230088496</v>
      </c>
      <c r="J147" s="87">
        <v>7.6</v>
      </c>
      <c r="K147" s="74">
        <v>0.15</v>
      </c>
      <c r="L147" s="74">
        <v>0</v>
      </c>
      <c r="M147" s="74">
        <v>0.05</v>
      </c>
      <c r="N147" s="74">
        <f t="shared" si="352"/>
        <v>0.111133337778667</v>
      </c>
      <c r="O147" s="75">
        <f t="shared" si="353"/>
        <v>0.00580116023204641</v>
      </c>
      <c r="P147" s="74">
        <v>0.02</v>
      </c>
      <c r="Q147" s="72">
        <v>5</v>
      </c>
      <c r="R147" s="71">
        <v>32</v>
      </c>
      <c r="S147" s="71">
        <v>17.3</v>
      </c>
      <c r="T147" s="71">
        <v>17.3</v>
      </c>
      <c r="U147" s="71">
        <v>1.6</v>
      </c>
      <c r="V147" s="72">
        <f t="shared" si="354"/>
        <v>1.915456</v>
      </c>
      <c r="W147" s="72">
        <f t="shared" si="343"/>
        <v>1.915456</v>
      </c>
      <c r="X147" s="71" t="s">
        <v>39</v>
      </c>
      <c r="Y147" s="76">
        <v>6.6317</v>
      </c>
      <c r="Z147" s="72">
        <v>16</v>
      </c>
      <c r="AA147" s="72">
        <f t="shared" si="344"/>
        <v>8.01200528445006</v>
      </c>
      <c r="AB147" s="75">
        <f t="shared" si="345"/>
        <v>0.178080177912251</v>
      </c>
      <c r="AC147" s="49"/>
      <c r="AD147" s="78">
        <f t="shared" si="346"/>
        <v>0.168922673423574</v>
      </c>
      <c r="AE147" s="74">
        <f t="shared" si="347"/>
        <v>0.250920523470609</v>
      </c>
      <c r="AF147" s="74">
        <f t="shared" si="348"/>
        <v>0.048057659579964</v>
      </c>
      <c r="AG147" s="74">
        <v>0.15</v>
      </c>
      <c r="AH147" s="74">
        <f t="shared" si="349"/>
        <v>0.111133337778667</v>
      </c>
      <c r="AI147" s="74">
        <v>0.02</v>
      </c>
      <c r="AJ147" s="74">
        <f t="shared" si="350"/>
        <v>0.05</v>
      </c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</row>
    <row r="148" spans="1:75">
      <c r="A148" s="70" t="s">
        <v>82</v>
      </c>
      <c r="B148" s="49">
        <v>7</v>
      </c>
      <c r="C148" s="71" t="s">
        <v>36</v>
      </c>
      <c r="D148" s="71" t="s">
        <v>79</v>
      </c>
      <c r="E148" s="71" t="s">
        <v>80</v>
      </c>
      <c r="F148" s="72">
        <f t="shared" si="341"/>
        <v>32.3275649511013</v>
      </c>
      <c r="G148" s="72">
        <f t="shared" si="342"/>
        <v>48.6565692237846</v>
      </c>
      <c r="H148" s="79">
        <f>H146*0.8</f>
        <v>39.992</v>
      </c>
      <c r="I148" s="72">
        <f t="shared" si="351"/>
        <v>83.5398230088496</v>
      </c>
      <c r="J148" s="87">
        <v>7.6</v>
      </c>
      <c r="K148" s="74">
        <v>0.15</v>
      </c>
      <c r="L148" s="74">
        <v>0</v>
      </c>
      <c r="M148" s="74">
        <v>0.05</v>
      </c>
      <c r="N148" s="74">
        <f t="shared" si="352"/>
        <v>0.125025005001</v>
      </c>
      <c r="O148" s="75">
        <f t="shared" si="353"/>
        <v>0.00652630526105221</v>
      </c>
      <c r="P148" s="74">
        <v>0.02</v>
      </c>
      <c r="Q148" s="72">
        <v>5</v>
      </c>
      <c r="R148" s="71">
        <v>32</v>
      </c>
      <c r="S148" s="71">
        <v>17.3</v>
      </c>
      <c r="T148" s="71">
        <v>17.3</v>
      </c>
      <c r="U148" s="71">
        <v>1.6</v>
      </c>
      <c r="V148" s="72">
        <f t="shared" si="354"/>
        <v>1.915456</v>
      </c>
      <c r="W148" s="72">
        <f t="shared" si="343"/>
        <v>1.915456</v>
      </c>
      <c r="X148" s="71" t="s">
        <v>39</v>
      </c>
      <c r="Y148" s="76">
        <v>6.6317</v>
      </c>
      <c r="Z148" s="72">
        <v>16</v>
      </c>
      <c r="AA148" s="72">
        <f t="shared" si="344"/>
        <v>4.11278528445006</v>
      </c>
      <c r="AB148" s="75">
        <f t="shared" si="345"/>
        <v>0.102840200151282</v>
      </c>
      <c r="AC148" s="49"/>
      <c r="AD148" s="78">
        <f t="shared" si="346"/>
        <v>0.19003800760152</v>
      </c>
      <c r="AE148" s="74">
        <f t="shared" si="347"/>
        <v>0.282285588904435</v>
      </c>
      <c r="AF148" s="74">
        <f t="shared" si="348"/>
        <v>0.0540648670274595</v>
      </c>
      <c r="AG148" s="74">
        <v>0.15</v>
      </c>
      <c r="AH148" s="74">
        <f t="shared" si="349"/>
        <v>0.125025005001</v>
      </c>
      <c r="AI148" s="74">
        <v>0.02</v>
      </c>
      <c r="AJ148" s="74">
        <f t="shared" si="350"/>
        <v>0.05</v>
      </c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</row>
    <row r="149" spans="1:75">
      <c r="A149" s="48"/>
      <c r="B149" s="49"/>
      <c r="C149" s="71"/>
      <c r="D149" s="71"/>
      <c r="E149" s="71"/>
      <c r="F149" s="72"/>
      <c r="G149" s="72"/>
      <c r="H149" s="79"/>
      <c r="I149" s="72"/>
      <c r="J149" s="87"/>
      <c r="K149" s="74"/>
      <c r="L149" s="74"/>
      <c r="M149" s="74"/>
      <c r="N149" s="74"/>
      <c r="O149" s="75"/>
      <c r="P149" s="74"/>
      <c r="Q149" s="72"/>
      <c r="R149" s="71"/>
      <c r="S149" s="71"/>
      <c r="T149" s="71"/>
      <c r="U149" s="71"/>
      <c r="V149" s="72"/>
      <c r="W149" s="72"/>
      <c r="X149" s="71"/>
      <c r="Y149" s="76"/>
      <c r="Z149" s="72"/>
      <c r="AA149" s="72"/>
      <c r="AB149" s="75"/>
      <c r="AC149" s="49"/>
      <c r="AD149" s="78"/>
      <c r="AE149" s="74"/>
      <c r="AF149" s="74"/>
      <c r="AG149" s="74"/>
      <c r="AH149" s="74"/>
      <c r="AI149" s="74"/>
      <c r="AJ149" s="74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</row>
    <row r="150" spans="1:75">
      <c r="A150" s="70" t="s">
        <v>83</v>
      </c>
      <c r="B150" s="49">
        <v>8</v>
      </c>
      <c r="C150" s="71" t="s">
        <v>36</v>
      </c>
      <c r="D150" s="71" t="s">
        <v>37</v>
      </c>
      <c r="E150" s="71" t="s">
        <v>38</v>
      </c>
      <c r="F150" s="72">
        <f t="shared" ref="F150:F152" si="355">IF(E150="有",(I150/B150+J150+Z150/B150)/(0.99999-K150-L150-M150-N150),(I150/B150+J150+Z150/B150)/(0.99999-K150-M150-N150))</f>
        <v>33.4303474650317</v>
      </c>
      <c r="G150" s="72">
        <f t="shared" ref="G150:G152" si="356">IF(E150="有",(I150/B150+J150+Z150/B150)/(0.8-K150-L150-M150-N150-O150-P150),(I150/B150+J150+Z150/B150)/(0.8-K150-M150-N150-O150-P150))</f>
        <v>57.9712148886283</v>
      </c>
      <c r="H150" s="79">
        <v>54.99</v>
      </c>
      <c r="I150" s="72">
        <f t="shared" ref="I150:I152" si="357">94.4/1.13</f>
        <v>83.5398230088496</v>
      </c>
      <c r="J150" s="87">
        <v>5.18</v>
      </c>
      <c r="K150" s="74">
        <v>0.15</v>
      </c>
      <c r="L150" s="74">
        <v>0.16</v>
      </c>
      <c r="M150" s="74">
        <v>0.05</v>
      </c>
      <c r="N150" s="74">
        <f t="shared" ref="N150:N152" si="358">Q150/H150</f>
        <v>0.10911074740862</v>
      </c>
      <c r="O150" s="75">
        <f t="shared" ref="O150:O152" si="359">0.261/H150</f>
        <v>0.00474631751227496</v>
      </c>
      <c r="P150" s="74">
        <v>0.02</v>
      </c>
      <c r="Q150" s="72">
        <v>6</v>
      </c>
      <c r="R150" s="71">
        <v>32</v>
      </c>
      <c r="S150" s="71">
        <v>17.3</v>
      </c>
      <c r="T150" s="71">
        <v>17.3</v>
      </c>
      <c r="U150" s="71">
        <v>1.6</v>
      </c>
      <c r="V150" s="72">
        <f t="shared" ref="V150:V152" si="360">R150*S150*T150/5000</f>
        <v>1.915456</v>
      </c>
      <c r="W150" s="72">
        <f t="shared" ref="W150:W152" si="361">MAX(U150:V150)</f>
        <v>1.915456</v>
      </c>
      <c r="X150" s="71" t="s">
        <v>39</v>
      </c>
      <c r="Y150" s="76">
        <v>6.6317</v>
      </c>
      <c r="Z150" s="72">
        <v>17</v>
      </c>
      <c r="AA150" s="72">
        <f t="shared" ref="AA150:AA152" si="362">H150-SUM(K150:P150)*H150-J150-I150/B150-Z150/B150</f>
        <v>10.0853221238938</v>
      </c>
      <c r="AB150" s="75">
        <f t="shared" ref="AB150:AB152" si="363">AA150/H150</f>
        <v>0.183402839132457</v>
      </c>
      <c r="AC150" s="49"/>
      <c r="AD150" s="78">
        <f t="shared" ref="AD150:AD152" si="364">J150/H150</f>
        <v>0.094198945262775</v>
      </c>
      <c r="AE150" s="74">
        <f t="shared" ref="AE150:AE152" si="365">I150/7.4/H150</f>
        <v>0.205294876731518</v>
      </c>
      <c r="AF150" s="74">
        <f t="shared" ref="AF150:AF152" si="366">Z150/7.4/H150</f>
        <v>0.0417766375213184</v>
      </c>
      <c r="AG150" s="74">
        <v>0.15</v>
      </c>
      <c r="AH150" s="74">
        <f t="shared" ref="AH150:AH152" si="367">N150</f>
        <v>0.10911074740862</v>
      </c>
      <c r="AI150" s="74">
        <v>0.02</v>
      </c>
      <c r="AJ150" s="74">
        <f t="shared" ref="AJ150:AJ152" si="368">M150</f>
        <v>0.05</v>
      </c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</row>
    <row r="151" spans="1:75">
      <c r="A151" s="70" t="s">
        <v>81</v>
      </c>
      <c r="B151" s="71">
        <v>8</v>
      </c>
      <c r="C151" s="71" t="s">
        <v>36</v>
      </c>
      <c r="D151" s="71" t="s">
        <v>37</v>
      </c>
      <c r="E151" s="71" t="s">
        <v>38</v>
      </c>
      <c r="F151" s="72">
        <f t="shared" si="355"/>
        <v>34.211620645423</v>
      </c>
      <c r="G151" s="72">
        <f t="shared" si="356"/>
        <v>60.4700257597731</v>
      </c>
      <c r="H151" s="79">
        <f>H150*0.9</f>
        <v>49.491</v>
      </c>
      <c r="I151" s="72">
        <f t="shared" si="357"/>
        <v>83.5398230088496</v>
      </c>
      <c r="J151" s="87">
        <v>5.18</v>
      </c>
      <c r="K151" s="74">
        <v>0.15</v>
      </c>
      <c r="L151" s="74">
        <v>0.16</v>
      </c>
      <c r="M151" s="74">
        <v>0.05</v>
      </c>
      <c r="N151" s="74">
        <f t="shared" si="358"/>
        <v>0.121234163787355</v>
      </c>
      <c r="O151" s="75">
        <f t="shared" si="359"/>
        <v>0.00527368612474995</v>
      </c>
      <c r="P151" s="74">
        <v>0.02</v>
      </c>
      <c r="Q151" s="72">
        <v>6</v>
      </c>
      <c r="R151" s="71">
        <v>32</v>
      </c>
      <c r="S151" s="71">
        <v>17.3</v>
      </c>
      <c r="T151" s="71">
        <v>17.3</v>
      </c>
      <c r="U151" s="71">
        <v>1.6</v>
      </c>
      <c r="V151" s="72">
        <f t="shared" si="360"/>
        <v>1.915456</v>
      </c>
      <c r="W151" s="72">
        <f t="shared" si="361"/>
        <v>1.915456</v>
      </c>
      <c r="X151" s="71" t="s">
        <v>39</v>
      </c>
      <c r="Y151" s="76">
        <v>6.6317</v>
      </c>
      <c r="Z151" s="72">
        <v>17</v>
      </c>
      <c r="AA151" s="72">
        <f t="shared" si="362"/>
        <v>6.67594212389381</v>
      </c>
      <c r="AB151" s="75">
        <f t="shared" si="363"/>
        <v>0.134892043480508</v>
      </c>
      <c r="AC151" s="49"/>
      <c r="AD151" s="78">
        <f t="shared" si="364"/>
        <v>0.104665494736417</v>
      </c>
      <c r="AE151" s="74">
        <f t="shared" si="365"/>
        <v>0.228105418590575</v>
      </c>
      <c r="AF151" s="74">
        <f t="shared" si="366"/>
        <v>0.0464184861347982</v>
      </c>
      <c r="AG151" s="74">
        <v>0.15</v>
      </c>
      <c r="AH151" s="74">
        <f t="shared" si="367"/>
        <v>0.121234163787355</v>
      </c>
      <c r="AI151" s="74">
        <v>0.02</v>
      </c>
      <c r="AJ151" s="74">
        <f t="shared" si="368"/>
        <v>0.05</v>
      </c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</row>
    <row r="152" spans="1:75">
      <c r="A152" s="70" t="s">
        <v>82</v>
      </c>
      <c r="B152" s="71">
        <v>8</v>
      </c>
      <c r="C152" s="71" t="s">
        <v>36</v>
      </c>
      <c r="D152" s="71" t="s">
        <v>37</v>
      </c>
      <c r="E152" s="71" t="s">
        <v>38</v>
      </c>
      <c r="F152" s="72">
        <f t="shared" si="355"/>
        <v>35.2411094077023</v>
      </c>
      <c r="G152" s="72">
        <f t="shared" si="356"/>
        <v>63.9137242686968</v>
      </c>
      <c r="H152" s="79">
        <f>H150*0.8</f>
        <v>43.992</v>
      </c>
      <c r="I152" s="72">
        <f t="shared" si="357"/>
        <v>83.5398230088496</v>
      </c>
      <c r="J152" s="87">
        <v>5.18</v>
      </c>
      <c r="K152" s="74">
        <v>0.15</v>
      </c>
      <c r="L152" s="74">
        <v>0.16</v>
      </c>
      <c r="M152" s="74">
        <v>0.05</v>
      </c>
      <c r="N152" s="74">
        <f t="shared" si="358"/>
        <v>0.136388434260775</v>
      </c>
      <c r="O152" s="75">
        <f t="shared" si="359"/>
        <v>0.0059328968903437</v>
      </c>
      <c r="P152" s="74">
        <v>0.02</v>
      </c>
      <c r="Q152" s="72">
        <v>6</v>
      </c>
      <c r="R152" s="71">
        <v>32</v>
      </c>
      <c r="S152" s="71">
        <v>17.3</v>
      </c>
      <c r="T152" s="71">
        <v>17.3</v>
      </c>
      <c r="U152" s="71">
        <v>1.6</v>
      </c>
      <c r="V152" s="72">
        <f t="shared" si="360"/>
        <v>1.915456</v>
      </c>
      <c r="W152" s="72">
        <f t="shared" si="361"/>
        <v>1.915456</v>
      </c>
      <c r="X152" s="71" t="s">
        <v>39</v>
      </c>
      <c r="Y152" s="76">
        <v>6.6317</v>
      </c>
      <c r="Z152" s="72">
        <v>17</v>
      </c>
      <c r="AA152" s="72">
        <f t="shared" si="362"/>
        <v>3.26656212389381</v>
      </c>
      <c r="AB152" s="75">
        <f t="shared" si="363"/>
        <v>0.0742535489155712</v>
      </c>
      <c r="AC152" s="49"/>
      <c r="AD152" s="78">
        <f t="shared" si="364"/>
        <v>0.117748681578469</v>
      </c>
      <c r="AE152" s="74">
        <f t="shared" si="365"/>
        <v>0.256618595914397</v>
      </c>
      <c r="AF152" s="74">
        <f t="shared" si="366"/>
        <v>0.052220796901648</v>
      </c>
      <c r="AG152" s="74">
        <v>0.15</v>
      </c>
      <c r="AH152" s="74">
        <f t="shared" si="367"/>
        <v>0.136388434260775</v>
      </c>
      <c r="AI152" s="74">
        <v>0.02</v>
      </c>
      <c r="AJ152" s="74">
        <f t="shared" si="368"/>
        <v>0.05</v>
      </c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</row>
    <row r="153" spans="1:75">
      <c r="B153" s="49"/>
      <c r="C153" s="71"/>
      <c r="D153" s="71"/>
      <c r="E153" s="71"/>
      <c r="F153" s="72"/>
      <c r="G153" s="72"/>
      <c r="H153" s="72"/>
      <c r="I153" s="72"/>
      <c r="J153" s="87"/>
      <c r="K153" s="74"/>
      <c r="L153" s="74"/>
      <c r="M153" s="74"/>
      <c r="N153" s="74"/>
      <c r="O153" s="75"/>
      <c r="P153" s="74"/>
      <c r="Q153" s="74"/>
      <c r="R153" s="71"/>
      <c r="S153" s="71"/>
      <c r="T153" s="71"/>
      <c r="U153" s="71"/>
      <c r="V153" s="72"/>
      <c r="W153" s="72"/>
      <c r="X153" s="71"/>
      <c r="Y153" s="76"/>
      <c r="Z153" s="72"/>
      <c r="AA153" s="72"/>
      <c r="AB153" s="75"/>
      <c r="AC153" s="49"/>
      <c r="AD153" s="78"/>
      <c r="AE153" s="74"/>
      <c r="AF153" s="74"/>
      <c r="AG153" s="74"/>
      <c r="AH153" s="74"/>
      <c r="AI153" s="74"/>
      <c r="AJ153" s="74"/>
    </row>
    <row r="154" spans="1:75">
      <c r="A154" s="70" t="s">
        <v>83</v>
      </c>
      <c r="B154" s="49">
        <v>8</v>
      </c>
      <c r="C154" s="71" t="s">
        <v>36</v>
      </c>
      <c r="D154" s="49" t="s">
        <v>43</v>
      </c>
      <c r="E154" s="71" t="s">
        <v>38</v>
      </c>
      <c r="F154" s="72">
        <f t="shared" ref="F154:F156" si="369">IF(E154="有",(I154/B154+J154+Z154/B154)/(0.99999-K154-L154-M154-N154),(I154/B154+J154+Z154/B154)/(0.99999-K154-M154-N154))</f>
        <v>36.3860153165502</v>
      </c>
      <c r="G154" s="72">
        <f t="shared" ref="G154:G156" si="370">IF(E154="有",(I154/B154+J154+Z154/B154)/(0.8-K154-L154-M154-N154-O154-P154),(I154/B154+J154+Z154/B154)/(0.8-K154-M154-N154-O154-P154))</f>
        <v>62.2479349022757</v>
      </c>
      <c r="H154" s="79">
        <v>59.99</v>
      </c>
      <c r="I154" s="72">
        <f t="shared" ref="I154:I156" si="371">94.4/1.13</f>
        <v>83.5398230088496</v>
      </c>
      <c r="J154" s="87">
        <v>7.08</v>
      </c>
      <c r="K154" s="74">
        <v>0.15</v>
      </c>
      <c r="L154" s="74">
        <v>0.16</v>
      </c>
      <c r="M154" s="74">
        <v>0.05</v>
      </c>
      <c r="N154" s="74">
        <f t="shared" ref="N154:N156" si="372">Q154/H154</f>
        <v>0.100016669444907</v>
      </c>
      <c r="O154" s="75">
        <f t="shared" ref="O154:O156" si="373">0.261/H154</f>
        <v>0.00435072512085348</v>
      </c>
      <c r="P154" s="74">
        <v>0.02</v>
      </c>
      <c r="Q154" s="72">
        <v>6</v>
      </c>
      <c r="R154" s="71">
        <v>32</v>
      </c>
      <c r="S154" s="71">
        <v>17.3</v>
      </c>
      <c r="T154" s="71">
        <v>17.3</v>
      </c>
      <c r="U154" s="71">
        <v>1.6</v>
      </c>
      <c r="V154" s="72">
        <f t="shared" ref="V154:V156" si="374">R154*S154*T154/5000</f>
        <v>1.915456</v>
      </c>
      <c r="W154" s="72">
        <f t="shared" ref="W154:W156" si="375">MAX(U154:V154)</f>
        <v>1.915456</v>
      </c>
      <c r="X154" s="71" t="s">
        <v>39</v>
      </c>
      <c r="Y154" s="76">
        <v>6.6317</v>
      </c>
      <c r="Z154" s="72">
        <v>17</v>
      </c>
      <c r="AA154" s="72">
        <f t="shared" ref="AA154:AA156" si="376">H154-SUM(K154:P154)*H154-J154-I154/B154-Z154/B154</f>
        <v>11.2853221238938</v>
      </c>
      <c r="AB154" s="75">
        <f t="shared" ref="AB154:AB156" si="377">AA154/H154</f>
        <v>0.188120055407465</v>
      </c>
      <c r="AC154" s="49"/>
      <c r="AD154" s="78">
        <f t="shared" ref="AD154:AD156" si="378">J154/H154</f>
        <v>0.118019669944991</v>
      </c>
      <c r="AE154" s="74">
        <f t="shared" ref="AE154:AE156" si="379">I154/7.4/H154</f>
        <v>0.188184118544193</v>
      </c>
      <c r="AF154" s="74">
        <f t="shared" ref="AF154:AF156" si="380">Z154/7.4/H154</f>
        <v>0.0382946707334105</v>
      </c>
      <c r="AG154" s="74">
        <v>0.15</v>
      </c>
      <c r="AH154" s="74">
        <f t="shared" ref="AH154:AH156" si="381">N154</f>
        <v>0.100016669444907</v>
      </c>
      <c r="AI154" s="74">
        <v>0.02</v>
      </c>
      <c r="AJ154" s="74">
        <f t="shared" ref="AJ154:AJ156" si="382">M154</f>
        <v>0.05</v>
      </c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</row>
    <row r="155" spans="1:75">
      <c r="A155" s="70" t="s">
        <v>81</v>
      </c>
      <c r="B155" s="71">
        <v>8</v>
      </c>
      <c r="C155" s="71" t="s">
        <v>36</v>
      </c>
      <c r="D155" s="71" t="s">
        <v>43</v>
      </c>
      <c r="E155" s="71" t="s">
        <v>38</v>
      </c>
      <c r="F155" s="72">
        <f t="shared" si="369"/>
        <v>37.1505960581394</v>
      </c>
      <c r="G155" s="72">
        <f t="shared" si="370"/>
        <v>64.6221602883696</v>
      </c>
      <c r="H155" s="79">
        <f>H154*0.9</f>
        <v>53.991</v>
      </c>
      <c r="I155" s="72">
        <f t="shared" si="371"/>
        <v>83.5398230088496</v>
      </c>
      <c r="J155" s="87">
        <v>7.08</v>
      </c>
      <c r="K155" s="74">
        <v>0.15</v>
      </c>
      <c r="L155" s="74">
        <v>0.16</v>
      </c>
      <c r="M155" s="74">
        <v>0.05</v>
      </c>
      <c r="N155" s="74">
        <f t="shared" si="372"/>
        <v>0.111129632716564</v>
      </c>
      <c r="O155" s="75">
        <f t="shared" si="373"/>
        <v>0.00483413902317053</v>
      </c>
      <c r="P155" s="74">
        <v>0.02</v>
      </c>
      <c r="Q155" s="72">
        <v>6</v>
      </c>
      <c r="R155" s="71">
        <v>32</v>
      </c>
      <c r="S155" s="71">
        <v>17.3</v>
      </c>
      <c r="T155" s="71">
        <v>17.3</v>
      </c>
      <c r="U155" s="71">
        <v>1.6</v>
      </c>
      <c r="V155" s="72">
        <f t="shared" si="374"/>
        <v>1.915456</v>
      </c>
      <c r="W155" s="72">
        <f t="shared" si="375"/>
        <v>1.915456</v>
      </c>
      <c r="X155" s="71" t="s">
        <v>39</v>
      </c>
      <c r="Y155" s="76">
        <v>6.6317</v>
      </c>
      <c r="Z155" s="72">
        <v>17</v>
      </c>
      <c r="AA155" s="72">
        <f t="shared" si="376"/>
        <v>7.56594212389381</v>
      </c>
      <c r="AB155" s="75">
        <f t="shared" si="377"/>
        <v>0.140133394897183</v>
      </c>
      <c r="AC155" s="49"/>
      <c r="AD155" s="78">
        <f t="shared" si="378"/>
        <v>0.131132966605545</v>
      </c>
      <c r="AE155" s="74">
        <f t="shared" si="379"/>
        <v>0.209093465049104</v>
      </c>
      <c r="AF155" s="74">
        <f t="shared" si="380"/>
        <v>0.0425496341482339</v>
      </c>
      <c r="AG155" s="74">
        <v>0.15</v>
      </c>
      <c r="AH155" s="74">
        <f t="shared" si="381"/>
        <v>0.111129632716564</v>
      </c>
      <c r="AI155" s="74">
        <v>0.02</v>
      </c>
      <c r="AJ155" s="74">
        <f t="shared" si="382"/>
        <v>0.05</v>
      </c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</row>
    <row r="156" spans="1:75">
      <c r="A156" s="70" t="s">
        <v>82</v>
      </c>
      <c r="B156" s="71">
        <v>8</v>
      </c>
      <c r="C156" s="71" t="s">
        <v>36</v>
      </c>
      <c r="D156" s="71" t="s">
        <v>43</v>
      </c>
      <c r="E156" s="71" t="s">
        <v>38</v>
      </c>
      <c r="F156" s="72">
        <f t="shared" si="369"/>
        <v>38.1527269599048</v>
      </c>
      <c r="G156" s="72">
        <f t="shared" si="370"/>
        <v>67.8573824760924</v>
      </c>
      <c r="H156" s="79">
        <f>H154*0.8</f>
        <v>47.992</v>
      </c>
      <c r="I156" s="72">
        <f t="shared" si="371"/>
        <v>83.5398230088496</v>
      </c>
      <c r="J156" s="87">
        <v>7.08</v>
      </c>
      <c r="K156" s="74">
        <v>0.15</v>
      </c>
      <c r="L156" s="74">
        <v>0.16</v>
      </c>
      <c r="M156" s="74">
        <v>0.05</v>
      </c>
      <c r="N156" s="74">
        <f t="shared" si="372"/>
        <v>0.125020836806134</v>
      </c>
      <c r="O156" s="75">
        <f t="shared" si="373"/>
        <v>0.00543840640106684</v>
      </c>
      <c r="P156" s="74">
        <v>0.02</v>
      </c>
      <c r="Q156" s="72">
        <v>6</v>
      </c>
      <c r="R156" s="71">
        <v>32</v>
      </c>
      <c r="S156" s="71">
        <v>17.3</v>
      </c>
      <c r="T156" s="71">
        <v>17.3</v>
      </c>
      <c r="U156" s="71">
        <v>1.6</v>
      </c>
      <c r="V156" s="72">
        <f t="shared" si="374"/>
        <v>1.915456</v>
      </c>
      <c r="W156" s="72">
        <f t="shared" si="375"/>
        <v>1.915456</v>
      </c>
      <c r="X156" s="71" t="s">
        <v>39</v>
      </c>
      <c r="Y156" s="76">
        <v>6.6317</v>
      </c>
      <c r="Z156" s="72">
        <v>17</v>
      </c>
      <c r="AA156" s="72">
        <f t="shared" si="376"/>
        <v>3.84656212389381</v>
      </c>
      <c r="AB156" s="75">
        <f t="shared" si="377"/>
        <v>0.0801500692593309</v>
      </c>
      <c r="AC156" s="49"/>
      <c r="AD156" s="78">
        <f t="shared" si="378"/>
        <v>0.147524587431239</v>
      </c>
      <c r="AE156" s="74">
        <f t="shared" si="379"/>
        <v>0.235230148180242</v>
      </c>
      <c r="AF156" s="74">
        <f t="shared" si="380"/>
        <v>0.0478683384167631</v>
      </c>
      <c r="AG156" s="74">
        <v>0.15</v>
      </c>
      <c r="AH156" s="74">
        <f t="shared" si="381"/>
        <v>0.125020836806134</v>
      </c>
      <c r="AI156" s="74">
        <v>0.02</v>
      </c>
      <c r="AJ156" s="74">
        <f t="shared" si="382"/>
        <v>0.05</v>
      </c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</row>
    <row r="157" spans="1:75">
      <c r="B157" s="49"/>
      <c r="C157" s="71"/>
      <c r="D157" s="71"/>
      <c r="E157" s="71"/>
      <c r="F157" s="72"/>
      <c r="G157" s="72"/>
      <c r="H157" s="72"/>
      <c r="I157" s="72"/>
      <c r="J157" s="87"/>
      <c r="K157" s="74"/>
      <c r="L157" s="74"/>
      <c r="M157" s="74"/>
      <c r="N157" s="74"/>
      <c r="O157" s="75"/>
      <c r="P157" s="74"/>
      <c r="Q157" s="74"/>
      <c r="R157" s="71"/>
      <c r="S157" s="71"/>
      <c r="T157" s="71"/>
      <c r="U157" s="71"/>
      <c r="V157" s="72"/>
      <c r="W157" s="72"/>
      <c r="X157" s="71"/>
      <c r="Y157" s="76"/>
      <c r="Z157" s="72"/>
      <c r="AA157" s="72"/>
      <c r="AB157" s="75"/>
      <c r="AC157" s="49"/>
      <c r="AD157" s="78"/>
      <c r="AE157" s="74"/>
      <c r="AF157" s="74"/>
      <c r="AG157" s="74"/>
      <c r="AH157" s="74"/>
      <c r="AI157" s="74"/>
      <c r="AJ157" s="74"/>
    </row>
    <row r="158" spans="1:75">
      <c r="A158" s="70" t="s">
        <v>83</v>
      </c>
      <c r="B158" s="49">
        <v>8</v>
      </c>
      <c r="C158" s="71" t="s">
        <v>36</v>
      </c>
      <c r="D158" s="49" t="s">
        <v>45</v>
      </c>
      <c r="E158" s="71" t="s">
        <v>38</v>
      </c>
      <c r="F158" s="72">
        <f t="shared" ref="F158:F160" si="383">IF(E158="有",(I158/B158+J158+Z158/B158)/(0.99999-K158-L158-M158-N158),(I158/B158+J158+Z158/B158)/(0.99999-K158-M158-N158))</f>
        <v>33.656387566268</v>
      </c>
      <c r="G158" s="72">
        <f t="shared" ref="G158:G160" si="384">IF(E158="有",(I158/B158+J158+Z158/B158)/(0.8-K158-L158-M158-N158-O158-P158),(I158/B158+J158+Z158/B158)/(0.8-K158-M158-N158-O158-P158))</f>
        <v>58.3631886572504</v>
      </c>
      <c r="H158" s="79">
        <v>54.99</v>
      </c>
      <c r="I158" s="72">
        <f t="shared" ref="I158:I160" si="385">94.4/1.13</f>
        <v>83.5398230088496</v>
      </c>
      <c r="J158" s="87">
        <v>5.3</v>
      </c>
      <c r="K158" s="74">
        <v>0.15</v>
      </c>
      <c r="L158" s="74">
        <v>0.16</v>
      </c>
      <c r="M158" s="74">
        <v>0.05</v>
      </c>
      <c r="N158" s="74">
        <f t="shared" ref="N158:N160" si="386">Q158/H158</f>
        <v>0.10911074740862</v>
      </c>
      <c r="O158" s="75">
        <f t="shared" ref="O158:O160" si="387">0.261/H158</f>
        <v>0.00474631751227496</v>
      </c>
      <c r="P158" s="74">
        <v>0.02</v>
      </c>
      <c r="Q158" s="72">
        <v>6</v>
      </c>
      <c r="R158" s="71">
        <v>32</v>
      </c>
      <c r="S158" s="71">
        <v>17.3</v>
      </c>
      <c r="T158" s="71">
        <v>17.3</v>
      </c>
      <c r="U158" s="71">
        <v>1.6</v>
      </c>
      <c r="V158" s="72">
        <f t="shared" ref="V158:V160" si="388">R158*S158*T158/5000</f>
        <v>1.915456</v>
      </c>
      <c r="W158" s="72">
        <f t="shared" ref="W158:W160" si="389">MAX(U158:V158)</f>
        <v>1.915456</v>
      </c>
      <c r="X158" s="71" t="s">
        <v>39</v>
      </c>
      <c r="Y158" s="76">
        <v>6.6317</v>
      </c>
      <c r="Z158" s="72">
        <v>17</v>
      </c>
      <c r="AA158" s="72">
        <f t="shared" ref="AA158:AA160" si="390">H158-SUM(K158:P158)*H158-J158-I158/B158-Z158/B158</f>
        <v>9.96532212389381</v>
      </c>
      <c r="AB158" s="75">
        <f t="shared" ref="AB158:AB160" si="391">AA158/H158</f>
        <v>0.181220624184285</v>
      </c>
      <c r="AC158" s="49"/>
      <c r="AD158" s="78">
        <f t="shared" ref="AD158:AD160" si="392">J158/H158</f>
        <v>0.0963811602109474</v>
      </c>
      <c r="AE158" s="74">
        <f t="shared" ref="AE158:AE160" si="393">I158/7.4/H158</f>
        <v>0.205294876731518</v>
      </c>
      <c r="AF158" s="74">
        <f t="shared" ref="AF158:AF160" si="394">Z158/7.4/H158</f>
        <v>0.0417766375213184</v>
      </c>
      <c r="AG158" s="74">
        <v>0.15</v>
      </c>
      <c r="AH158" s="74">
        <f t="shared" ref="AH158:AH160" si="395">N158</f>
        <v>0.10911074740862</v>
      </c>
      <c r="AI158" s="74">
        <v>0.02</v>
      </c>
      <c r="AJ158" s="74">
        <f t="shared" ref="AJ158:AJ160" si="396">M158</f>
        <v>0.05</v>
      </c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</row>
    <row r="159" spans="1:75">
      <c r="A159" s="70" t="s">
        <v>81</v>
      </c>
      <c r="B159" s="71">
        <v>8</v>
      </c>
      <c r="C159" s="71" t="s">
        <v>36</v>
      </c>
      <c r="D159" s="71" t="s">
        <v>45</v>
      </c>
      <c r="E159" s="71" t="s">
        <v>38</v>
      </c>
      <c r="F159" s="72">
        <f t="shared" si="383"/>
        <v>34.4429433441248</v>
      </c>
      <c r="G159" s="72">
        <f t="shared" si="384"/>
        <v>60.8788952984101</v>
      </c>
      <c r="H159" s="79">
        <f>H158*0.9</f>
        <v>49.491</v>
      </c>
      <c r="I159" s="72">
        <f t="shared" si="385"/>
        <v>83.5398230088496</v>
      </c>
      <c r="J159" s="87">
        <v>5.3</v>
      </c>
      <c r="K159" s="74">
        <v>0.15</v>
      </c>
      <c r="L159" s="74">
        <v>0.16</v>
      </c>
      <c r="M159" s="74">
        <v>0.05</v>
      </c>
      <c r="N159" s="74">
        <f t="shared" si="386"/>
        <v>0.121234163787355</v>
      </c>
      <c r="O159" s="75">
        <f t="shared" si="387"/>
        <v>0.00527368612474995</v>
      </c>
      <c r="P159" s="74">
        <v>0.02</v>
      </c>
      <c r="Q159" s="72">
        <v>6</v>
      </c>
      <c r="R159" s="71">
        <v>32</v>
      </c>
      <c r="S159" s="71">
        <v>17.3</v>
      </c>
      <c r="T159" s="71">
        <v>17.3</v>
      </c>
      <c r="U159" s="71">
        <v>1.6</v>
      </c>
      <c r="V159" s="72">
        <f t="shared" si="388"/>
        <v>1.915456</v>
      </c>
      <c r="W159" s="72">
        <f t="shared" si="389"/>
        <v>1.915456</v>
      </c>
      <c r="X159" s="71" t="s">
        <v>39</v>
      </c>
      <c r="Y159" s="76">
        <v>6.6317</v>
      </c>
      <c r="Z159" s="72">
        <v>17</v>
      </c>
      <c r="AA159" s="72">
        <f t="shared" si="390"/>
        <v>6.55594212389381</v>
      </c>
      <c r="AB159" s="75">
        <f t="shared" si="391"/>
        <v>0.132467360204761</v>
      </c>
      <c r="AC159" s="49"/>
      <c r="AD159" s="78">
        <f t="shared" si="392"/>
        <v>0.107090178012164</v>
      </c>
      <c r="AE159" s="74">
        <f t="shared" si="393"/>
        <v>0.228105418590575</v>
      </c>
      <c r="AF159" s="74">
        <f t="shared" si="394"/>
        <v>0.0464184861347982</v>
      </c>
      <c r="AG159" s="74">
        <v>0.15</v>
      </c>
      <c r="AH159" s="74">
        <f t="shared" si="395"/>
        <v>0.121234163787355</v>
      </c>
      <c r="AI159" s="74">
        <v>0.02</v>
      </c>
      <c r="AJ159" s="74">
        <f t="shared" si="396"/>
        <v>0.05</v>
      </c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</row>
    <row r="160" spans="1:75">
      <c r="A160" s="70" t="s">
        <v>82</v>
      </c>
      <c r="B160" s="71">
        <v>8</v>
      </c>
      <c r="C160" s="71" t="s">
        <v>36</v>
      </c>
      <c r="D160" s="71" t="s">
        <v>45</v>
      </c>
      <c r="E160" s="71" t="s">
        <v>38</v>
      </c>
      <c r="F160" s="72">
        <f t="shared" si="383"/>
        <v>35.4793930195172</v>
      </c>
      <c r="G160" s="72">
        <f t="shared" si="384"/>
        <v>64.3458784579166</v>
      </c>
      <c r="H160" s="79">
        <f>H158*0.8</f>
        <v>43.992</v>
      </c>
      <c r="I160" s="72">
        <f t="shared" si="385"/>
        <v>83.5398230088496</v>
      </c>
      <c r="J160" s="87">
        <v>5.3</v>
      </c>
      <c r="K160" s="74">
        <v>0.15</v>
      </c>
      <c r="L160" s="74">
        <v>0.16</v>
      </c>
      <c r="M160" s="74">
        <v>0.05</v>
      </c>
      <c r="N160" s="74">
        <f t="shared" si="386"/>
        <v>0.136388434260775</v>
      </c>
      <c r="O160" s="75">
        <f t="shared" si="387"/>
        <v>0.0059328968903437</v>
      </c>
      <c r="P160" s="74">
        <v>0.02</v>
      </c>
      <c r="Q160" s="72">
        <v>6</v>
      </c>
      <c r="R160" s="71">
        <v>32</v>
      </c>
      <c r="S160" s="71">
        <v>17.3</v>
      </c>
      <c r="T160" s="71">
        <v>17.3</v>
      </c>
      <c r="U160" s="71">
        <v>1.6</v>
      </c>
      <c r="V160" s="72">
        <f t="shared" si="388"/>
        <v>1.915456</v>
      </c>
      <c r="W160" s="72">
        <f t="shared" si="389"/>
        <v>1.915456</v>
      </c>
      <c r="X160" s="71" t="s">
        <v>39</v>
      </c>
      <c r="Y160" s="76">
        <v>6.6317</v>
      </c>
      <c r="Z160" s="72">
        <v>17</v>
      </c>
      <c r="AA160" s="72">
        <f t="shared" si="390"/>
        <v>3.14656212389381</v>
      </c>
      <c r="AB160" s="75">
        <f t="shared" si="391"/>
        <v>0.0715257802303557</v>
      </c>
      <c r="AC160" s="49"/>
      <c r="AD160" s="78">
        <f t="shared" si="392"/>
        <v>0.120476450263684</v>
      </c>
      <c r="AE160" s="74">
        <f t="shared" si="393"/>
        <v>0.256618595914397</v>
      </c>
      <c r="AF160" s="74">
        <f t="shared" si="394"/>
        <v>0.052220796901648</v>
      </c>
      <c r="AG160" s="74">
        <v>0.15</v>
      </c>
      <c r="AH160" s="74">
        <f t="shared" si="395"/>
        <v>0.136388434260775</v>
      </c>
      <c r="AI160" s="74">
        <v>0.02</v>
      </c>
      <c r="AJ160" s="74">
        <f t="shared" si="396"/>
        <v>0.05</v>
      </c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</row>
    <row r="161" spans="1:75">
      <c r="B161" s="49"/>
      <c r="C161" s="71"/>
      <c r="D161" s="71"/>
      <c r="E161" s="71"/>
      <c r="F161" s="72"/>
      <c r="G161" s="72"/>
      <c r="H161" s="72"/>
      <c r="I161" s="72"/>
      <c r="J161" s="87"/>
      <c r="K161" s="74"/>
      <c r="L161" s="74"/>
      <c r="M161" s="74"/>
      <c r="N161" s="74"/>
      <c r="O161" s="75"/>
      <c r="P161" s="74"/>
      <c r="Q161" s="74"/>
      <c r="R161" s="71"/>
      <c r="S161" s="71"/>
      <c r="T161" s="71"/>
      <c r="U161" s="71"/>
      <c r="V161" s="72"/>
      <c r="W161" s="72"/>
      <c r="X161" s="71"/>
      <c r="Y161" s="76"/>
      <c r="Z161" s="72"/>
      <c r="AA161" s="72"/>
      <c r="AB161" s="75"/>
      <c r="AC161" s="49"/>
      <c r="AD161" s="78"/>
      <c r="AE161" s="74"/>
      <c r="AF161" s="74"/>
      <c r="AG161" s="74"/>
      <c r="AH161" s="74"/>
      <c r="AI161" s="74"/>
      <c r="AJ161" s="74"/>
    </row>
    <row r="162" spans="1:75">
      <c r="A162" s="70" t="s">
        <v>83</v>
      </c>
      <c r="B162" s="49">
        <v>8</v>
      </c>
      <c r="C162" s="71" t="s">
        <v>36</v>
      </c>
      <c r="D162" s="49" t="s">
        <v>48</v>
      </c>
      <c r="E162" s="71" t="s">
        <v>38</v>
      </c>
      <c r="F162" s="72">
        <f t="shared" ref="F162:F164" si="397">IF(E162="有",(I162/B162+J162+Z162/B162)/(0.99999-K162-L162-M162-N162),(I162/B162+J162+Z162/B162)/(0.99999-K162-M162-N162))</f>
        <v>33.0536139629713</v>
      </c>
      <c r="G162" s="72">
        <f t="shared" ref="G162:G164" si="398">IF(E162="有",(I162/B162+J162+Z162/B162)/(0.8-K162-L162-M162-N162-O162-P162),(I162/B162+J162+Z162/B162)/(0.8-K162-M162-N162-O162-P162))</f>
        <v>57.3179252742581</v>
      </c>
      <c r="H162" s="79">
        <v>54.99</v>
      </c>
      <c r="I162" s="72">
        <f t="shared" ref="I162:I164" si="399">94.4/1.13</f>
        <v>83.5398230088496</v>
      </c>
      <c r="J162" s="87">
        <v>4.98</v>
      </c>
      <c r="K162" s="74">
        <v>0.15</v>
      </c>
      <c r="L162" s="74">
        <v>0.16</v>
      </c>
      <c r="M162" s="74">
        <v>0.05</v>
      </c>
      <c r="N162" s="74">
        <f t="shared" ref="N162:N164" si="400">Q162/H162</f>
        <v>0.10911074740862</v>
      </c>
      <c r="O162" s="75">
        <f t="shared" ref="O162:O164" si="401">0.261/H162</f>
        <v>0.00474631751227496</v>
      </c>
      <c r="P162" s="74">
        <v>0.02</v>
      </c>
      <c r="Q162" s="72">
        <v>6</v>
      </c>
      <c r="R162" s="71">
        <v>32</v>
      </c>
      <c r="S162" s="71">
        <v>17.3</v>
      </c>
      <c r="T162" s="71">
        <v>17.3</v>
      </c>
      <c r="U162" s="71">
        <v>1.6</v>
      </c>
      <c r="V162" s="72">
        <f t="shared" ref="V162:V164" si="402">R162*S162*T162/5000</f>
        <v>1.915456</v>
      </c>
      <c r="W162" s="72">
        <f t="shared" ref="W162:W164" si="403">MAX(U162:V162)</f>
        <v>1.915456</v>
      </c>
      <c r="X162" s="71" t="s">
        <v>39</v>
      </c>
      <c r="Y162" s="76">
        <v>6.6317</v>
      </c>
      <c r="Z162" s="72">
        <v>17</v>
      </c>
      <c r="AA162" s="72">
        <f t="shared" ref="AA162:AA164" si="404">H162-SUM(K162:P162)*H162-J162-I162/B162-Z162/B162</f>
        <v>10.2853221238938</v>
      </c>
      <c r="AB162" s="75">
        <f t="shared" ref="AB162:AB164" si="405">AA162/H162</f>
        <v>0.187039864046078</v>
      </c>
      <c r="AC162" s="49"/>
      <c r="AD162" s="78">
        <f t="shared" ref="AD162:AD164" si="406">J162/H162</f>
        <v>0.0905619203491544</v>
      </c>
      <c r="AE162" s="74">
        <f t="shared" ref="AE162:AE164" si="407">I162/7.4/H162</f>
        <v>0.205294876731518</v>
      </c>
      <c r="AF162" s="74">
        <f t="shared" ref="AF162:AF164" si="408">Z162/7.4/H162</f>
        <v>0.0417766375213184</v>
      </c>
      <c r="AG162" s="74">
        <v>0.15</v>
      </c>
      <c r="AH162" s="74">
        <f t="shared" ref="AH162:AH164" si="409">N162</f>
        <v>0.10911074740862</v>
      </c>
      <c r="AI162" s="74">
        <v>0.02</v>
      </c>
      <c r="AJ162" s="74">
        <f t="shared" ref="AJ162:AJ164" si="410">M162</f>
        <v>0.05</v>
      </c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</row>
    <row r="163" spans="1:75">
      <c r="A163" s="70" t="s">
        <v>81</v>
      </c>
      <c r="B163" s="71">
        <v>8</v>
      </c>
      <c r="C163" s="71" t="s">
        <v>36</v>
      </c>
      <c r="D163" s="71" t="s">
        <v>48</v>
      </c>
      <c r="E163" s="71" t="s">
        <v>38</v>
      </c>
      <c r="F163" s="72">
        <f t="shared" si="397"/>
        <v>33.8260828142534</v>
      </c>
      <c r="G163" s="72">
        <f t="shared" si="398"/>
        <v>59.7885765287116</v>
      </c>
      <c r="H163" s="79">
        <f>H162*0.9</f>
        <v>49.491</v>
      </c>
      <c r="I163" s="72">
        <f t="shared" si="399"/>
        <v>83.5398230088496</v>
      </c>
      <c r="J163" s="87">
        <v>4.98</v>
      </c>
      <c r="K163" s="74">
        <v>0.15</v>
      </c>
      <c r="L163" s="74">
        <v>0.16</v>
      </c>
      <c r="M163" s="74">
        <v>0.05</v>
      </c>
      <c r="N163" s="74">
        <f t="shared" si="400"/>
        <v>0.121234163787355</v>
      </c>
      <c r="O163" s="75">
        <f t="shared" si="401"/>
        <v>0.00527368612474995</v>
      </c>
      <c r="P163" s="74">
        <v>0.02</v>
      </c>
      <c r="Q163" s="72">
        <v>6</v>
      </c>
      <c r="R163" s="71">
        <v>32</v>
      </c>
      <c r="S163" s="71">
        <v>17.3</v>
      </c>
      <c r="T163" s="71">
        <v>17.3</v>
      </c>
      <c r="U163" s="71">
        <v>1.6</v>
      </c>
      <c r="V163" s="72">
        <f t="shared" si="402"/>
        <v>1.915456</v>
      </c>
      <c r="W163" s="72">
        <f t="shared" si="403"/>
        <v>1.915456</v>
      </c>
      <c r="X163" s="71" t="s">
        <v>39</v>
      </c>
      <c r="Y163" s="76">
        <v>6.6317</v>
      </c>
      <c r="Z163" s="72">
        <v>17</v>
      </c>
      <c r="AA163" s="72">
        <f t="shared" si="404"/>
        <v>6.87594212389381</v>
      </c>
      <c r="AB163" s="75">
        <f t="shared" si="405"/>
        <v>0.13893318227342</v>
      </c>
      <c r="AC163" s="49"/>
      <c r="AD163" s="78">
        <f t="shared" si="406"/>
        <v>0.100624355943505</v>
      </c>
      <c r="AE163" s="74">
        <f t="shared" si="407"/>
        <v>0.228105418590575</v>
      </c>
      <c r="AF163" s="74">
        <f t="shared" si="408"/>
        <v>0.0464184861347982</v>
      </c>
      <c r="AG163" s="74">
        <v>0.15</v>
      </c>
      <c r="AH163" s="74">
        <f t="shared" si="409"/>
        <v>0.121234163787355</v>
      </c>
      <c r="AI163" s="74">
        <v>0.02</v>
      </c>
      <c r="AJ163" s="74">
        <f t="shared" si="410"/>
        <v>0.05</v>
      </c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</row>
    <row r="164" spans="1:75">
      <c r="A164" s="70" t="s">
        <v>82</v>
      </c>
      <c r="B164" s="71">
        <v>8</v>
      </c>
      <c r="C164" s="71" t="s">
        <v>36</v>
      </c>
      <c r="D164" s="71" t="s">
        <v>48</v>
      </c>
      <c r="E164" s="71" t="s">
        <v>38</v>
      </c>
      <c r="F164" s="72">
        <f t="shared" si="397"/>
        <v>34.8439700546774</v>
      </c>
      <c r="G164" s="72">
        <f t="shared" si="398"/>
        <v>63.193467286664</v>
      </c>
      <c r="H164" s="79">
        <f>H162*0.8</f>
        <v>43.992</v>
      </c>
      <c r="I164" s="72">
        <f t="shared" si="399"/>
        <v>83.5398230088496</v>
      </c>
      <c r="J164" s="87">
        <v>4.98</v>
      </c>
      <c r="K164" s="74">
        <v>0.15</v>
      </c>
      <c r="L164" s="74">
        <v>0.16</v>
      </c>
      <c r="M164" s="74">
        <v>0.05</v>
      </c>
      <c r="N164" s="74">
        <f t="shared" si="400"/>
        <v>0.136388434260775</v>
      </c>
      <c r="O164" s="75">
        <f t="shared" si="401"/>
        <v>0.0059328968903437</v>
      </c>
      <c r="P164" s="74">
        <v>0.02</v>
      </c>
      <c r="Q164" s="72">
        <v>6</v>
      </c>
      <c r="R164" s="71">
        <v>32</v>
      </c>
      <c r="S164" s="71">
        <v>17.3</v>
      </c>
      <c r="T164" s="71">
        <v>17.3</v>
      </c>
      <c r="U164" s="71">
        <v>1.6</v>
      </c>
      <c r="V164" s="72">
        <f t="shared" si="402"/>
        <v>1.915456</v>
      </c>
      <c r="W164" s="72">
        <f t="shared" si="403"/>
        <v>1.915456</v>
      </c>
      <c r="X164" s="71" t="s">
        <v>39</v>
      </c>
      <c r="Y164" s="76">
        <v>6.6317</v>
      </c>
      <c r="Z164" s="72">
        <v>17</v>
      </c>
      <c r="AA164" s="72">
        <f t="shared" si="404"/>
        <v>3.46656212389381</v>
      </c>
      <c r="AB164" s="75">
        <f t="shared" si="405"/>
        <v>0.078799830057597</v>
      </c>
      <c r="AC164" s="49"/>
      <c r="AD164" s="78">
        <f t="shared" si="406"/>
        <v>0.113202400436443</v>
      </c>
      <c r="AE164" s="74">
        <f t="shared" si="407"/>
        <v>0.256618595914397</v>
      </c>
      <c r="AF164" s="74">
        <f t="shared" si="408"/>
        <v>0.052220796901648</v>
      </c>
      <c r="AG164" s="74">
        <v>0.15</v>
      </c>
      <c r="AH164" s="74">
        <f t="shared" si="409"/>
        <v>0.136388434260775</v>
      </c>
      <c r="AI164" s="74">
        <v>0.02</v>
      </c>
      <c r="AJ164" s="74">
        <f t="shared" si="410"/>
        <v>0.05</v>
      </c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</row>
    <row r="165" spans="1:75">
      <c r="B165" s="49"/>
      <c r="C165" s="71"/>
      <c r="D165" s="71"/>
      <c r="E165" s="71"/>
      <c r="F165" s="72"/>
      <c r="G165" s="72"/>
      <c r="H165" s="72"/>
      <c r="I165" s="72"/>
      <c r="J165" s="87"/>
      <c r="K165" s="74"/>
      <c r="L165" s="74"/>
      <c r="M165" s="74"/>
      <c r="N165" s="74"/>
      <c r="O165" s="75"/>
      <c r="P165" s="74"/>
      <c r="Q165" s="74"/>
      <c r="R165" s="71"/>
      <c r="S165" s="71"/>
      <c r="T165" s="71"/>
      <c r="U165" s="71"/>
      <c r="V165" s="72"/>
      <c r="W165" s="72"/>
      <c r="X165" s="71"/>
      <c r="Y165" s="76"/>
      <c r="Z165" s="72"/>
      <c r="AA165" s="72"/>
      <c r="AB165" s="75"/>
      <c r="AC165" s="49"/>
      <c r="AD165" s="78"/>
      <c r="AE165" s="74"/>
      <c r="AF165" s="74"/>
      <c r="AG165" s="74"/>
      <c r="AH165" s="74"/>
      <c r="AI165" s="74"/>
      <c r="AJ165" s="74"/>
    </row>
    <row r="166" spans="1:75">
      <c r="A166" s="70" t="s">
        <v>84</v>
      </c>
      <c r="B166" s="49">
        <v>9</v>
      </c>
      <c r="C166" s="71" t="s">
        <v>49</v>
      </c>
      <c r="D166" s="71" t="s">
        <v>50</v>
      </c>
      <c r="E166" s="71" t="s">
        <v>38</v>
      </c>
      <c r="F166" s="72">
        <f t="shared" ref="F166:F168" si="411">IF(E166="有",(I166/B166+J166+Z166/B166)/(0.99999-K166-L166-M166-N166),(I166/B166+J166+Z166/B166)/(0.99999-K166-M166-N166))</f>
        <v>30.6365810099153</v>
      </c>
      <c r="G166" s="72">
        <f t="shared" ref="G166:G168" si="412">IF(E166="有",(I166/B166+J166+Z166/B166)/(0.8-K166-L166-M166-N166-O166-P166),(I166/B166+J166+Z166/B166)/(0.8-K166-M166-N166-O166-P166))</f>
        <v>54.044827002232</v>
      </c>
      <c r="H166" s="49">
        <v>49.99</v>
      </c>
      <c r="I166" s="72">
        <f t="shared" ref="I166:I168" si="413">94.4/1.13</f>
        <v>83.5398230088496</v>
      </c>
      <c r="J166" s="87">
        <v>4.87</v>
      </c>
      <c r="K166" s="74">
        <v>0.15</v>
      </c>
      <c r="L166" s="74">
        <v>0.16</v>
      </c>
      <c r="M166" s="74">
        <v>0.05</v>
      </c>
      <c r="N166" s="74">
        <f t="shared" ref="N166:N168" si="414">Q166/H166</f>
        <v>0.12002400480096</v>
      </c>
      <c r="O166" s="75">
        <f t="shared" ref="O166:O168" si="415">0.261/H166</f>
        <v>0.00522104420884177</v>
      </c>
      <c r="P166" s="74">
        <v>0.02</v>
      </c>
      <c r="Q166" s="72">
        <v>6</v>
      </c>
      <c r="R166" s="71">
        <v>32</v>
      </c>
      <c r="S166" s="71">
        <v>17.3</v>
      </c>
      <c r="T166" s="71">
        <v>17.3</v>
      </c>
      <c r="U166" s="71">
        <v>1.6</v>
      </c>
      <c r="V166" s="72">
        <f t="shared" ref="V166:V168" si="416">R166*S166*T166/6000</f>
        <v>1.59621333333333</v>
      </c>
      <c r="W166" s="72">
        <f t="shared" ref="W166:W168" si="417">MAX(U166:V166)</f>
        <v>1.6</v>
      </c>
      <c r="X166" s="71" t="s">
        <v>39</v>
      </c>
      <c r="Y166" s="76">
        <v>6.6317</v>
      </c>
      <c r="Z166" s="72">
        <v>16</v>
      </c>
      <c r="AA166" s="72">
        <f t="shared" ref="AA166:AA168" si="418">H166-SUM(K166:P166)*H166-J166-I166/B166-Z166/B166</f>
        <v>8.80281966568338</v>
      </c>
      <c r="AB166" s="75">
        <f t="shared" ref="AB166:AB168" si="419">AA166/H166</f>
        <v>0.176091611635995</v>
      </c>
      <c r="AC166" s="49"/>
      <c r="AD166" s="78">
        <f t="shared" ref="AD166:AD168" si="420">J166/H166</f>
        <v>0.0974194838967794</v>
      </c>
      <c r="AE166" s="74">
        <f t="shared" ref="AE166:AE168" si="421">I166/7.4/H166</f>
        <v>0.225828471123548</v>
      </c>
      <c r="AF166" s="74">
        <f t="shared" ref="AF166:AF168" si="422">Z166/7.4/H166</f>
        <v>0.0432518936219676</v>
      </c>
      <c r="AG166" s="74">
        <v>0.15</v>
      </c>
      <c r="AH166" s="74">
        <f t="shared" ref="AH166:AH168" si="423">N166</f>
        <v>0.12002400480096</v>
      </c>
      <c r="AI166" s="74">
        <v>0.02</v>
      </c>
      <c r="AJ166" s="74">
        <f t="shared" ref="AJ166:AJ168" si="424">M166</f>
        <v>0.05</v>
      </c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</row>
    <row r="167" spans="1:75">
      <c r="A167" s="70" t="s">
        <v>81</v>
      </c>
      <c r="B167" s="49">
        <v>9</v>
      </c>
      <c r="C167" s="71" t="s">
        <v>49</v>
      </c>
      <c r="D167" s="71" t="s">
        <v>50</v>
      </c>
      <c r="E167" s="71" t="s">
        <v>38</v>
      </c>
      <c r="F167" s="72">
        <f t="shared" si="411"/>
        <v>31.4430264730598</v>
      </c>
      <c r="G167" s="72">
        <f t="shared" si="412"/>
        <v>56.7228544672146</v>
      </c>
      <c r="H167" s="79">
        <f>H166*0.9</f>
        <v>44.991</v>
      </c>
      <c r="I167" s="72">
        <f t="shared" si="413"/>
        <v>83.5398230088496</v>
      </c>
      <c r="J167" s="87">
        <v>4.87</v>
      </c>
      <c r="K167" s="74">
        <v>0.15</v>
      </c>
      <c r="L167" s="74">
        <v>0.16</v>
      </c>
      <c r="M167" s="74">
        <v>0.05</v>
      </c>
      <c r="N167" s="74">
        <f t="shared" si="414"/>
        <v>0.1333600053344</v>
      </c>
      <c r="O167" s="75">
        <f t="shared" si="415"/>
        <v>0.00580116023204641</v>
      </c>
      <c r="P167" s="74">
        <v>0.02</v>
      </c>
      <c r="Q167" s="72">
        <v>6</v>
      </c>
      <c r="R167" s="71">
        <v>32</v>
      </c>
      <c r="S167" s="71">
        <v>17.3</v>
      </c>
      <c r="T167" s="71">
        <v>17.3</v>
      </c>
      <c r="U167" s="71">
        <v>1.6</v>
      </c>
      <c r="V167" s="72">
        <f t="shared" si="416"/>
        <v>1.59621333333333</v>
      </c>
      <c r="W167" s="72">
        <f t="shared" si="417"/>
        <v>1.6</v>
      </c>
      <c r="X167" s="71" t="s">
        <v>39</v>
      </c>
      <c r="Y167" s="76">
        <v>6.6317</v>
      </c>
      <c r="Z167" s="72">
        <v>16</v>
      </c>
      <c r="AA167" s="72">
        <f t="shared" si="418"/>
        <v>5.70343966568338</v>
      </c>
      <c r="AB167" s="75">
        <f t="shared" si="419"/>
        <v>0.126768457373328</v>
      </c>
      <c r="AC167" s="49"/>
      <c r="AD167" s="78">
        <f t="shared" si="420"/>
        <v>0.108243870996422</v>
      </c>
      <c r="AE167" s="74">
        <f t="shared" si="421"/>
        <v>0.250920523470609</v>
      </c>
      <c r="AF167" s="74">
        <f t="shared" si="422"/>
        <v>0.048057659579964</v>
      </c>
      <c r="AG167" s="74">
        <v>0.15</v>
      </c>
      <c r="AH167" s="74">
        <f t="shared" si="423"/>
        <v>0.1333600053344</v>
      </c>
      <c r="AI167" s="74">
        <v>0.02</v>
      </c>
      <c r="AJ167" s="74">
        <f t="shared" si="424"/>
        <v>0.05</v>
      </c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</row>
    <row r="168" spans="1:75">
      <c r="A168" s="70" t="s">
        <v>82</v>
      </c>
      <c r="B168" s="49">
        <v>9</v>
      </c>
      <c r="C168" s="71" t="s">
        <v>49</v>
      </c>
      <c r="D168" s="71" t="s">
        <v>50</v>
      </c>
      <c r="E168" s="71" t="s">
        <v>38</v>
      </c>
      <c r="F168" s="72">
        <f t="shared" si="411"/>
        <v>32.5128184534096</v>
      </c>
      <c r="G168" s="72">
        <f t="shared" si="412"/>
        <v>60.4682557044461</v>
      </c>
      <c r="H168" s="79">
        <f>H166*0.8</f>
        <v>39.992</v>
      </c>
      <c r="I168" s="72">
        <f t="shared" si="413"/>
        <v>83.5398230088496</v>
      </c>
      <c r="J168" s="87">
        <v>4.87</v>
      </c>
      <c r="K168" s="74">
        <v>0.15</v>
      </c>
      <c r="L168" s="74">
        <v>0.16</v>
      </c>
      <c r="M168" s="74">
        <v>0.05</v>
      </c>
      <c r="N168" s="74">
        <f t="shared" si="414"/>
        <v>0.1500300060012</v>
      </c>
      <c r="O168" s="75">
        <f t="shared" si="415"/>
        <v>0.00652630526105221</v>
      </c>
      <c r="P168" s="74">
        <v>0.02</v>
      </c>
      <c r="Q168" s="72">
        <v>6</v>
      </c>
      <c r="R168" s="71">
        <v>32</v>
      </c>
      <c r="S168" s="71">
        <v>17.3</v>
      </c>
      <c r="T168" s="71">
        <v>17.3</v>
      </c>
      <c r="U168" s="71">
        <v>1.6</v>
      </c>
      <c r="V168" s="72">
        <f t="shared" si="416"/>
        <v>1.59621333333333</v>
      </c>
      <c r="W168" s="72">
        <f t="shared" si="417"/>
        <v>1.6</v>
      </c>
      <c r="X168" s="71" t="s">
        <v>39</v>
      </c>
      <c r="Y168" s="76">
        <v>6.6317</v>
      </c>
      <c r="Z168" s="72">
        <v>16</v>
      </c>
      <c r="AA168" s="72">
        <f t="shared" si="418"/>
        <v>2.60405966568338</v>
      </c>
      <c r="AB168" s="75">
        <f t="shared" si="419"/>
        <v>0.0651145145449935</v>
      </c>
      <c r="AC168" s="49"/>
      <c r="AD168" s="78">
        <f t="shared" si="420"/>
        <v>0.121774354870974</v>
      </c>
      <c r="AE168" s="74">
        <f t="shared" si="421"/>
        <v>0.282285588904435</v>
      </c>
      <c r="AF168" s="74">
        <f t="shared" si="422"/>
        <v>0.0540648670274595</v>
      </c>
      <c r="AG168" s="74">
        <v>0.15</v>
      </c>
      <c r="AH168" s="74">
        <f t="shared" si="423"/>
        <v>0.1500300060012</v>
      </c>
      <c r="AI168" s="74">
        <v>0.02</v>
      </c>
      <c r="AJ168" s="74">
        <f t="shared" si="424"/>
        <v>0.05</v>
      </c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</row>
    <row r="169" spans="1:75">
      <c r="B169" s="49"/>
      <c r="C169" s="71"/>
      <c r="D169" s="71"/>
      <c r="E169" s="71"/>
      <c r="F169" s="72"/>
      <c r="G169" s="72"/>
      <c r="H169" s="72"/>
      <c r="I169" s="72"/>
      <c r="J169" s="87"/>
      <c r="K169" s="74"/>
      <c r="L169" s="74"/>
      <c r="M169" s="74"/>
      <c r="N169" s="74"/>
      <c r="O169" s="75"/>
      <c r="P169" s="74"/>
      <c r="Q169" s="72"/>
      <c r="R169" s="71"/>
      <c r="S169" s="71"/>
      <c r="T169" s="71"/>
      <c r="U169" s="71"/>
      <c r="V169" s="72"/>
      <c r="W169" s="72"/>
      <c r="X169" s="71"/>
      <c r="Y169" s="76"/>
      <c r="Z169" s="72"/>
      <c r="AA169" s="72"/>
      <c r="AB169" s="75"/>
      <c r="AC169" s="49"/>
      <c r="AD169" s="78"/>
      <c r="AE169" s="74"/>
      <c r="AF169" s="74"/>
      <c r="AG169" s="74"/>
      <c r="AH169" s="74"/>
      <c r="AI169" s="74"/>
      <c r="AJ169" s="74"/>
    </row>
    <row r="170" spans="1:75">
      <c r="A170" s="80" t="s">
        <v>85</v>
      </c>
      <c r="B170" s="49">
        <v>7</v>
      </c>
      <c r="C170" s="49" t="s">
        <v>86</v>
      </c>
      <c r="D170" s="49" t="s">
        <v>79</v>
      </c>
      <c r="E170" s="71" t="s">
        <v>80</v>
      </c>
      <c r="F170" s="72">
        <f t="shared" ref="F170:F172" si="425">IF(E170="有",(I170/B170+J170+Z170/B170)/(0.99999-K170-L170-M170-N170),(I170/B170+J170+Z170/B170)/(0.99999-K170-M170-N170))</f>
        <v>12.0815353428327</v>
      </c>
      <c r="G170" s="72">
        <f t="shared" ref="G170:G172" si="426">IF(E170="有",(I170/B170+J170+Z170/B170)/(0.8-K170-L170-M170-N170-O170-P170),(I170/B170+J170+Z170/B170)/(0.8-K170-M170-N170-O170-P170))</f>
        <v>17.1797136091996</v>
      </c>
      <c r="H170" s="79">
        <v>14.99</v>
      </c>
      <c r="I170" s="72">
        <f t="shared" ref="I170:I172" si="427">16.9/1.13</f>
        <v>14.9557522123894</v>
      </c>
      <c r="J170" s="87">
        <v>6.1</v>
      </c>
      <c r="K170" s="74">
        <v>0.15</v>
      </c>
      <c r="L170" s="74">
        <v>0</v>
      </c>
      <c r="M170" s="74">
        <v>0.05</v>
      </c>
      <c r="N170" s="74">
        <f t="shared" ref="N170:N172" si="428">Q170/H170</f>
        <v>0</v>
      </c>
      <c r="O170" s="75">
        <f t="shared" ref="O170:O172" si="429">0.261/H170</f>
        <v>0.0174116077384923</v>
      </c>
      <c r="P170" s="74">
        <v>0.02</v>
      </c>
      <c r="Q170" s="72">
        <v>0</v>
      </c>
      <c r="R170" s="71">
        <v>32</v>
      </c>
      <c r="S170" s="71">
        <v>17.3</v>
      </c>
      <c r="T170" s="71">
        <v>17.3</v>
      </c>
      <c r="U170" s="71">
        <v>1.6</v>
      </c>
      <c r="V170" s="72">
        <f t="shared" ref="V170:V172" si="430">R170*S170*T170/5000</f>
        <v>1.915456</v>
      </c>
      <c r="W170" s="72">
        <f t="shared" ref="W170:W172" si="431">MAX(U170:V170)</f>
        <v>1.915456</v>
      </c>
      <c r="X170" s="71" t="s">
        <v>39</v>
      </c>
      <c r="Y170" s="76">
        <v>6.6317</v>
      </c>
      <c r="Z170" s="72">
        <v>10</v>
      </c>
      <c r="AA170" s="72">
        <f t="shared" ref="AA170:AA172" si="432">H170-SUM(K170:P170)*H170-J170-I170/B170-Z170/B170</f>
        <v>1.76609254108723</v>
      </c>
      <c r="AB170" s="75">
        <f t="shared" ref="AB170:AB172" si="433">AA170/H170</f>
        <v>0.117818048104552</v>
      </c>
      <c r="AC170" s="49"/>
      <c r="AD170" s="78">
        <f t="shared" ref="AD170:AD172" si="434">J170/H170</f>
        <v>0.406937958639093</v>
      </c>
      <c r="AE170" s="74">
        <f t="shared" ref="AE170:AE172" si="435">I170/7.4/H170</f>
        <v>0.134826390678375</v>
      </c>
      <c r="AF170" s="74">
        <f t="shared" ref="AF170:AF172" si="436">Z170/7.4/H170</f>
        <v>0.0901501902169013</v>
      </c>
      <c r="AG170" s="74">
        <v>0.15</v>
      </c>
      <c r="AH170" s="74">
        <f t="shared" ref="AH170:AH172" si="437">N170</f>
        <v>0</v>
      </c>
      <c r="AI170" s="74">
        <v>0.02</v>
      </c>
      <c r="AJ170" s="74">
        <f t="shared" ref="AJ170:AJ172" si="438">M170</f>
        <v>0.05</v>
      </c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</row>
    <row r="171" spans="1:75">
      <c r="A171" s="70" t="s">
        <v>87</v>
      </c>
      <c r="B171" s="49">
        <v>7</v>
      </c>
      <c r="C171" s="71" t="s">
        <v>86</v>
      </c>
      <c r="D171" s="71" t="s">
        <v>79</v>
      </c>
      <c r="E171" s="71" t="s">
        <v>80</v>
      </c>
      <c r="F171" s="72">
        <f t="shared" si="425"/>
        <v>12.0815353428327</v>
      </c>
      <c r="G171" s="72">
        <f t="shared" si="426"/>
        <v>17.2389948845937</v>
      </c>
      <c r="H171" s="79">
        <f>H170*0.9</f>
        <v>13.491</v>
      </c>
      <c r="I171" s="72">
        <f t="shared" si="427"/>
        <v>14.9557522123894</v>
      </c>
      <c r="J171" s="87">
        <v>6.1</v>
      </c>
      <c r="K171" s="74">
        <v>0.15</v>
      </c>
      <c r="L171" s="74">
        <v>0</v>
      </c>
      <c r="M171" s="74">
        <v>0.05</v>
      </c>
      <c r="N171" s="74">
        <f t="shared" si="428"/>
        <v>0</v>
      </c>
      <c r="O171" s="75">
        <f t="shared" si="429"/>
        <v>0.019346230820547</v>
      </c>
      <c r="P171" s="74">
        <v>0.02</v>
      </c>
      <c r="Q171" s="72">
        <v>0</v>
      </c>
      <c r="R171" s="71">
        <v>32</v>
      </c>
      <c r="S171" s="71">
        <v>17.3</v>
      </c>
      <c r="T171" s="71">
        <v>17.3</v>
      </c>
      <c r="U171" s="71">
        <v>1.6</v>
      </c>
      <c r="V171" s="72">
        <f t="shared" si="430"/>
        <v>1.915456</v>
      </c>
      <c r="W171" s="72">
        <f t="shared" si="431"/>
        <v>1.915456</v>
      </c>
      <c r="X171" s="71" t="s">
        <v>39</v>
      </c>
      <c r="Y171" s="76">
        <v>6.6317</v>
      </c>
      <c r="Z171" s="72">
        <v>10</v>
      </c>
      <c r="AA171" s="72">
        <f t="shared" si="432"/>
        <v>0.596872541087231</v>
      </c>
      <c r="AB171" s="75">
        <f t="shared" si="433"/>
        <v>0.0442422756717242</v>
      </c>
      <c r="AC171" s="49"/>
      <c r="AD171" s="78">
        <f t="shared" si="434"/>
        <v>0.45215328737677</v>
      </c>
      <c r="AE171" s="74">
        <f t="shared" si="435"/>
        <v>0.14980710075375</v>
      </c>
      <c r="AF171" s="74">
        <f t="shared" si="436"/>
        <v>0.100166878018779</v>
      </c>
      <c r="AG171" s="74">
        <v>0.15</v>
      </c>
      <c r="AH171" s="74">
        <f t="shared" si="437"/>
        <v>0</v>
      </c>
      <c r="AI171" s="74">
        <v>0.02</v>
      </c>
      <c r="AJ171" s="74">
        <f t="shared" si="438"/>
        <v>0.05</v>
      </c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</row>
    <row r="172" spans="1:75">
      <c r="A172" s="70" t="s">
        <v>88</v>
      </c>
      <c r="B172" s="49">
        <v>7</v>
      </c>
      <c r="C172" s="71" t="s">
        <v>86</v>
      </c>
      <c r="D172" s="71" t="s">
        <v>79</v>
      </c>
      <c r="E172" s="71" t="s">
        <v>80</v>
      </c>
      <c r="F172" s="72">
        <f t="shared" si="425"/>
        <v>12.0815353428327</v>
      </c>
      <c r="G172" s="72">
        <f t="shared" si="426"/>
        <v>17.3136742940747</v>
      </c>
      <c r="H172" s="79">
        <f>H170*0.8</f>
        <v>11.992</v>
      </c>
      <c r="I172" s="72">
        <f t="shared" si="427"/>
        <v>14.9557522123894</v>
      </c>
      <c r="J172" s="87">
        <v>6.1</v>
      </c>
      <c r="K172" s="74">
        <v>0.15</v>
      </c>
      <c r="L172" s="74">
        <v>0</v>
      </c>
      <c r="M172" s="74">
        <v>0.05</v>
      </c>
      <c r="N172" s="74">
        <f t="shared" si="428"/>
        <v>0</v>
      </c>
      <c r="O172" s="75">
        <f t="shared" si="429"/>
        <v>0.0217645096731154</v>
      </c>
      <c r="P172" s="74">
        <v>0.02</v>
      </c>
      <c r="Q172" s="72">
        <v>0</v>
      </c>
      <c r="R172" s="71">
        <v>32</v>
      </c>
      <c r="S172" s="71">
        <v>17.3</v>
      </c>
      <c r="T172" s="71">
        <v>17.3</v>
      </c>
      <c r="U172" s="71">
        <v>1.6</v>
      </c>
      <c r="V172" s="72">
        <f t="shared" si="430"/>
        <v>1.915456</v>
      </c>
      <c r="W172" s="72">
        <f t="shared" si="431"/>
        <v>1.915456</v>
      </c>
      <c r="X172" s="71" t="s">
        <v>39</v>
      </c>
      <c r="Y172" s="76">
        <v>6.6317</v>
      </c>
      <c r="Z172" s="72">
        <v>10</v>
      </c>
      <c r="AA172" s="72">
        <f t="shared" si="432"/>
        <v>-0.572347458912768</v>
      </c>
      <c r="AB172" s="75">
        <f t="shared" si="433"/>
        <v>-0.0477274398693102</v>
      </c>
      <c r="AC172" s="49"/>
      <c r="AD172" s="78">
        <f t="shared" si="434"/>
        <v>0.508672448298866</v>
      </c>
      <c r="AE172" s="74">
        <f t="shared" si="435"/>
        <v>0.168532988347968</v>
      </c>
      <c r="AF172" s="74">
        <f t="shared" si="436"/>
        <v>0.112687737771127</v>
      </c>
      <c r="AG172" s="74">
        <v>0.15</v>
      </c>
      <c r="AH172" s="74">
        <f t="shared" si="437"/>
        <v>0</v>
      </c>
      <c r="AI172" s="74">
        <v>0.02</v>
      </c>
      <c r="AJ172" s="74">
        <f t="shared" si="438"/>
        <v>0.05</v>
      </c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</row>
    <row r="173" spans="1:75">
      <c r="A173" s="83"/>
      <c r="B173" s="49"/>
      <c r="C173" s="71"/>
      <c r="D173" s="71"/>
      <c r="E173" s="71"/>
      <c r="F173" s="72"/>
      <c r="G173" s="72"/>
      <c r="H173" s="79"/>
      <c r="I173" s="72"/>
      <c r="J173" s="87"/>
      <c r="K173" s="74"/>
      <c r="L173" s="74"/>
      <c r="M173" s="74"/>
      <c r="N173" s="74"/>
      <c r="O173" s="75"/>
      <c r="P173" s="74"/>
      <c r="Q173" s="72"/>
      <c r="R173" s="71"/>
      <c r="S173" s="71"/>
      <c r="T173" s="71"/>
      <c r="U173" s="71"/>
      <c r="V173" s="72"/>
      <c r="W173" s="72"/>
      <c r="X173" s="71"/>
      <c r="Y173" s="76"/>
      <c r="Z173" s="72"/>
      <c r="AA173" s="72"/>
      <c r="AB173" s="75"/>
      <c r="AC173" s="49"/>
      <c r="AD173" s="78"/>
      <c r="AE173" s="74"/>
      <c r="AF173" s="74"/>
      <c r="AG173" s="74"/>
      <c r="AH173" s="74"/>
      <c r="AI173" s="74"/>
      <c r="AJ173" s="74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</row>
    <row r="174" spans="1:75">
      <c r="A174" s="80" t="s">
        <v>85</v>
      </c>
      <c r="B174" s="49">
        <v>8</v>
      </c>
      <c r="C174" s="71" t="s">
        <v>36</v>
      </c>
      <c r="D174" s="71" t="s">
        <v>37</v>
      </c>
      <c r="E174" s="71" t="s">
        <v>38</v>
      </c>
      <c r="F174" s="72">
        <f t="shared" ref="F174:F176" si="439">IF(E174="有",(I174/B174+J174+Z174/B174)/(0.99999-K174-L174-M174-N174),(I174/B174+J174+Z174/B174)/(0.99999-K174-M174-N174))</f>
        <v>12.686868586304</v>
      </c>
      <c r="G174" s="72">
        <f t="shared" ref="G174:G176" si="440">IF(E174="有",(I174/B174+J174+Z174/B174)/(0.8-K174-L174-M174-N174-O174-P174),(I174/B174+J174+Z174/B174)/(0.8-K174-M174-N174-O174-P174))</f>
        <v>20.1681647623723</v>
      </c>
      <c r="H174" s="79">
        <v>14.99</v>
      </c>
      <c r="I174" s="72">
        <f t="shared" ref="I174:I176" si="441">16.9/1.13</f>
        <v>14.9557522123894</v>
      </c>
      <c r="J174" s="87">
        <v>5</v>
      </c>
      <c r="K174" s="74">
        <v>0.15</v>
      </c>
      <c r="L174" s="74">
        <v>0.16</v>
      </c>
      <c r="M174" s="74">
        <v>0.05</v>
      </c>
      <c r="N174" s="74">
        <f t="shared" ref="N174:N176" si="442">Q174/H174</f>
        <v>0</v>
      </c>
      <c r="O174" s="75">
        <f t="shared" ref="O174:O176" si="443">0.261/H174</f>
        <v>0.0174116077384923</v>
      </c>
      <c r="P174" s="74">
        <v>0.02</v>
      </c>
      <c r="Q174" s="72">
        <v>0</v>
      </c>
      <c r="R174" s="71">
        <v>32</v>
      </c>
      <c r="S174" s="71">
        <v>17.3</v>
      </c>
      <c r="T174" s="71">
        <v>17.3</v>
      </c>
      <c r="U174" s="71">
        <v>1.6</v>
      </c>
      <c r="V174" s="72">
        <f t="shared" ref="V174:V176" si="444">R174*S174*T174/5000</f>
        <v>1.915456</v>
      </c>
      <c r="W174" s="72">
        <f t="shared" ref="W174:W176" si="445">MAX(U174:V174)</f>
        <v>1.915456</v>
      </c>
      <c r="X174" s="71" t="s">
        <v>39</v>
      </c>
      <c r="Y174" s="76">
        <v>6.6317</v>
      </c>
      <c r="Z174" s="72">
        <v>10</v>
      </c>
      <c r="AA174" s="72">
        <f t="shared" ref="AA174:AA176" si="446">H174-SUM(K174:P174)*H174-J174-I174/B174-Z174/B174</f>
        <v>0.913330973451327</v>
      </c>
      <c r="AB174" s="75">
        <f t="shared" ref="AB174:AB176" si="447">AA174/H174</f>
        <v>0.0609293511308424</v>
      </c>
      <c r="AC174" s="49"/>
      <c r="AD174" s="78">
        <f t="shared" ref="AD174:AD176" si="448">J174/H174</f>
        <v>0.333555703802535</v>
      </c>
      <c r="AE174" s="74">
        <f t="shared" ref="AE174:AE176" si="449">I174/7.4/H174</f>
        <v>0.134826390678375</v>
      </c>
      <c r="AF174" s="74">
        <f t="shared" ref="AF174:AF176" si="450">Z174/7.4/H174</f>
        <v>0.0901501902169013</v>
      </c>
      <c r="AG174" s="74">
        <v>0.15</v>
      </c>
      <c r="AH174" s="74">
        <f t="shared" ref="AH174:AH176" si="451">N174</f>
        <v>0</v>
      </c>
      <c r="AI174" s="74">
        <v>0.02</v>
      </c>
      <c r="AJ174" s="74">
        <f t="shared" ref="AJ174:AJ176" si="452">M174</f>
        <v>0.05</v>
      </c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</row>
    <row r="175" spans="1:75">
      <c r="A175" s="80" t="s">
        <v>87</v>
      </c>
      <c r="B175" s="71">
        <v>8</v>
      </c>
      <c r="C175" s="71" t="s">
        <v>36</v>
      </c>
      <c r="D175" s="71" t="s">
        <v>37</v>
      </c>
      <c r="E175" s="71" t="s">
        <v>38</v>
      </c>
      <c r="F175" s="72">
        <f t="shared" si="439"/>
        <v>12.686868586304</v>
      </c>
      <c r="G175" s="72">
        <f t="shared" si="440"/>
        <v>20.2655500862441</v>
      </c>
      <c r="H175" s="79">
        <f>H174*0.9</f>
        <v>13.491</v>
      </c>
      <c r="I175" s="72">
        <f t="shared" si="441"/>
        <v>14.9557522123894</v>
      </c>
      <c r="J175" s="87">
        <v>5</v>
      </c>
      <c r="K175" s="74">
        <v>0.15</v>
      </c>
      <c r="L175" s="74">
        <v>0.16</v>
      </c>
      <c r="M175" s="74">
        <v>0.05</v>
      </c>
      <c r="N175" s="74">
        <f t="shared" si="442"/>
        <v>0</v>
      </c>
      <c r="O175" s="75">
        <f t="shared" si="443"/>
        <v>0.019346230820547</v>
      </c>
      <c r="P175" s="74">
        <v>0.02</v>
      </c>
      <c r="Q175" s="72">
        <v>0</v>
      </c>
      <c r="R175" s="71">
        <v>32</v>
      </c>
      <c r="S175" s="71">
        <v>17.3</v>
      </c>
      <c r="T175" s="71">
        <v>17.3</v>
      </c>
      <c r="U175" s="71">
        <v>1.6</v>
      </c>
      <c r="V175" s="72">
        <f t="shared" si="444"/>
        <v>1.915456</v>
      </c>
      <c r="W175" s="72">
        <f t="shared" si="445"/>
        <v>1.915456</v>
      </c>
      <c r="X175" s="71" t="s">
        <v>39</v>
      </c>
      <c r="Y175" s="76">
        <v>6.6317</v>
      </c>
      <c r="Z175" s="72">
        <v>10</v>
      </c>
      <c r="AA175" s="72">
        <f t="shared" si="446"/>
        <v>-0.0160490265486728</v>
      </c>
      <c r="AB175" s="75">
        <f t="shared" si="447"/>
        <v>-0.00118960985461958</v>
      </c>
      <c r="AC175" s="49"/>
      <c r="AD175" s="78">
        <f t="shared" si="448"/>
        <v>0.370617448669483</v>
      </c>
      <c r="AE175" s="74">
        <f t="shared" si="449"/>
        <v>0.14980710075375</v>
      </c>
      <c r="AF175" s="74">
        <f t="shared" si="450"/>
        <v>0.100166878018779</v>
      </c>
      <c r="AG175" s="74">
        <v>0.15</v>
      </c>
      <c r="AH175" s="74">
        <f t="shared" si="451"/>
        <v>0</v>
      </c>
      <c r="AI175" s="74">
        <v>0.02</v>
      </c>
      <c r="AJ175" s="74">
        <f t="shared" si="452"/>
        <v>0.05</v>
      </c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</row>
    <row r="176" spans="1:75">
      <c r="A176" s="80" t="s">
        <v>88</v>
      </c>
      <c r="B176" s="71">
        <v>8</v>
      </c>
      <c r="C176" s="71" t="s">
        <v>36</v>
      </c>
      <c r="D176" s="71" t="s">
        <v>37</v>
      </c>
      <c r="E176" s="71" t="s">
        <v>38</v>
      </c>
      <c r="F176" s="72">
        <f t="shared" si="439"/>
        <v>12.686868586304</v>
      </c>
      <c r="G176" s="72">
        <f t="shared" si="440"/>
        <v>20.3886123255462</v>
      </c>
      <c r="H176" s="79">
        <f>H174*0.8</f>
        <v>11.992</v>
      </c>
      <c r="I176" s="72">
        <f t="shared" si="441"/>
        <v>14.9557522123894</v>
      </c>
      <c r="J176" s="87">
        <v>5</v>
      </c>
      <c r="K176" s="74">
        <v>0.15</v>
      </c>
      <c r="L176" s="74">
        <v>0.16</v>
      </c>
      <c r="M176" s="74">
        <v>0.05</v>
      </c>
      <c r="N176" s="74">
        <f t="shared" si="442"/>
        <v>0</v>
      </c>
      <c r="O176" s="75">
        <f t="shared" si="443"/>
        <v>0.0217645096731154</v>
      </c>
      <c r="P176" s="74">
        <v>0.02</v>
      </c>
      <c r="Q176" s="72">
        <v>0</v>
      </c>
      <c r="R176" s="71">
        <v>32</v>
      </c>
      <c r="S176" s="71">
        <v>17.3</v>
      </c>
      <c r="T176" s="71">
        <v>17.3</v>
      </c>
      <c r="U176" s="71">
        <v>1.6</v>
      </c>
      <c r="V176" s="72">
        <f t="shared" si="444"/>
        <v>1.915456</v>
      </c>
      <c r="W176" s="72">
        <f t="shared" si="445"/>
        <v>1.915456</v>
      </c>
      <c r="X176" s="71" t="s">
        <v>39</v>
      </c>
      <c r="Y176" s="76">
        <v>6.6317</v>
      </c>
      <c r="Z176" s="72">
        <v>10</v>
      </c>
      <c r="AA176" s="72">
        <f t="shared" si="446"/>
        <v>-0.945429026548672</v>
      </c>
      <c r="AB176" s="75">
        <f t="shared" si="447"/>
        <v>-0.078838311086447</v>
      </c>
      <c r="AC176" s="49"/>
      <c r="AD176" s="78">
        <f t="shared" si="448"/>
        <v>0.416944629753169</v>
      </c>
      <c r="AE176" s="74">
        <f t="shared" si="449"/>
        <v>0.168532988347968</v>
      </c>
      <c r="AF176" s="74">
        <f t="shared" si="450"/>
        <v>0.112687737771127</v>
      </c>
      <c r="AG176" s="74">
        <v>0.15</v>
      </c>
      <c r="AH176" s="74">
        <f t="shared" si="451"/>
        <v>0</v>
      </c>
      <c r="AI176" s="74">
        <v>0.02</v>
      </c>
      <c r="AJ176" s="74">
        <f t="shared" si="452"/>
        <v>0.05</v>
      </c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</row>
    <row r="177" spans="1:75">
      <c r="B177" s="49"/>
      <c r="C177" s="71"/>
      <c r="D177" s="71"/>
      <c r="E177" s="71"/>
      <c r="F177" s="72"/>
      <c r="G177" s="72"/>
      <c r="H177" s="72"/>
      <c r="I177" s="72"/>
      <c r="J177" s="87"/>
      <c r="K177" s="74"/>
      <c r="L177" s="74"/>
      <c r="M177" s="74"/>
      <c r="N177" s="74"/>
      <c r="O177" s="75"/>
      <c r="P177" s="74"/>
      <c r="Q177" s="72"/>
      <c r="R177" s="71"/>
      <c r="S177" s="71"/>
      <c r="T177" s="71"/>
      <c r="U177" s="71"/>
      <c r="V177" s="72"/>
      <c r="W177" s="72"/>
      <c r="X177" s="71"/>
      <c r="Y177" s="76"/>
      <c r="Z177" s="72"/>
      <c r="AA177" s="72"/>
      <c r="AB177" s="75"/>
      <c r="AC177" s="49"/>
      <c r="AD177" s="78"/>
      <c r="AE177" s="74"/>
      <c r="AF177" s="74"/>
      <c r="AG177" s="74"/>
      <c r="AH177" s="74"/>
      <c r="AI177" s="74"/>
      <c r="AJ177" s="74"/>
    </row>
    <row r="178" spans="1:75">
      <c r="A178" s="80" t="s">
        <v>85</v>
      </c>
      <c r="B178" s="49">
        <v>9</v>
      </c>
      <c r="C178" s="71" t="s">
        <v>49</v>
      </c>
      <c r="D178" s="71" t="s">
        <v>50</v>
      </c>
      <c r="E178" s="71" t="s">
        <v>38</v>
      </c>
      <c r="F178" s="72">
        <f t="shared" ref="F178:F180" si="453">IF(E178="有",(I178/B178+J178+Z178/B178)/(0.99999-K178-L178-M178-N178),(I178/B178+J178+Z178/B178)/(0.99999-K178-M178-N178))</f>
        <v>9.25461547357326</v>
      </c>
      <c r="G178" s="72">
        <f t="shared" ref="G178:G180" si="454">IF(E178="有",(I178/B178+J178+Z178/B178)/(0.8-K178-L178-M178-N178-O178-P178),(I178/B178+J178+Z178/B178)/(0.8-K178-M178-N178-O178-P178))</f>
        <v>14.7575746925057</v>
      </c>
      <c r="H178" s="79">
        <v>13.99</v>
      </c>
      <c r="I178" s="72">
        <f t="shared" ref="I178:I180" si="455">16.9/1.13</f>
        <v>14.9557522123894</v>
      </c>
      <c r="J178" s="87">
        <v>3.15</v>
      </c>
      <c r="K178" s="74">
        <v>0.15</v>
      </c>
      <c r="L178" s="74">
        <v>0.16</v>
      </c>
      <c r="M178" s="74">
        <v>0.05</v>
      </c>
      <c r="N178" s="74">
        <f t="shared" ref="N178:N180" si="456">Q178/H178</f>
        <v>0</v>
      </c>
      <c r="O178" s="75">
        <f t="shared" ref="O178:O180" si="457">0.261/H178</f>
        <v>0.0186561829878485</v>
      </c>
      <c r="P178" s="74">
        <v>0.02</v>
      </c>
      <c r="Q178" s="72">
        <v>0</v>
      </c>
      <c r="R178" s="71">
        <v>32</v>
      </c>
      <c r="S178" s="71">
        <v>17.3</v>
      </c>
      <c r="T178" s="71">
        <v>17.3</v>
      </c>
      <c r="U178" s="71">
        <v>1.6</v>
      </c>
      <c r="V178" s="72">
        <f t="shared" ref="V178:V180" si="458">R178*S178*T178/6000</f>
        <v>1.59621333333333</v>
      </c>
      <c r="W178" s="72">
        <f t="shared" ref="W178:W180" si="459">MAX(U178:V178)</f>
        <v>1.6</v>
      </c>
      <c r="X178" s="71" t="s">
        <v>39</v>
      </c>
      <c r="Y178" s="76">
        <v>6.6317</v>
      </c>
      <c r="Z178" s="72">
        <v>10</v>
      </c>
      <c r="AA178" s="72">
        <f t="shared" ref="AA178:AA180" si="460">H178-SUM(K178:P178)*H178-J178-I178/B178-Z178/B178</f>
        <v>2.48993864306785</v>
      </c>
      <c r="AB178" s="75">
        <f t="shared" ref="AB178:AB180" si="461">AA178/H178</f>
        <v>0.177979888711068</v>
      </c>
      <c r="AC178" s="49"/>
      <c r="AD178" s="78">
        <f t="shared" ref="AD178:AD180" si="462">J178/H178</f>
        <v>0.225160829163688</v>
      </c>
      <c r="AE178" s="74">
        <f t="shared" ref="AE178:AE180" si="463">I178/7.4/H178</f>
        <v>0.144463730969895</v>
      </c>
      <c r="AF178" s="74">
        <f t="shared" ref="AF178:AF180" si="464">Z178/7.4/H178</f>
        <v>0.0965940923053146</v>
      </c>
      <c r="AG178" s="74">
        <v>0.15</v>
      </c>
      <c r="AH178" s="74">
        <f t="shared" ref="AH178:AH180" si="465">N178</f>
        <v>0</v>
      </c>
      <c r="AI178" s="74">
        <v>0.02</v>
      </c>
      <c r="AJ178" s="74">
        <f t="shared" ref="AJ178:AJ180" si="466">M178</f>
        <v>0.05</v>
      </c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</row>
    <row r="179" spans="1:75">
      <c r="A179" s="80" t="s">
        <v>87</v>
      </c>
      <c r="B179" s="49">
        <v>9</v>
      </c>
      <c r="C179" s="71" t="s">
        <v>49</v>
      </c>
      <c r="D179" s="71" t="s">
        <v>50</v>
      </c>
      <c r="E179" s="71" t="s">
        <v>38</v>
      </c>
      <c r="F179" s="72">
        <f t="shared" si="453"/>
        <v>9.25461547357326</v>
      </c>
      <c r="G179" s="72">
        <f t="shared" si="454"/>
        <v>14.8341921270867</v>
      </c>
      <c r="H179" s="79">
        <f>H178*0.9</f>
        <v>12.591</v>
      </c>
      <c r="I179" s="72">
        <f t="shared" si="455"/>
        <v>14.9557522123894</v>
      </c>
      <c r="J179" s="87">
        <v>3.15</v>
      </c>
      <c r="K179" s="74">
        <v>0.15</v>
      </c>
      <c r="L179" s="74">
        <v>0.16</v>
      </c>
      <c r="M179" s="74">
        <v>0.05</v>
      </c>
      <c r="N179" s="74">
        <f t="shared" si="456"/>
        <v>0</v>
      </c>
      <c r="O179" s="75">
        <f t="shared" si="457"/>
        <v>0.0207290922087205</v>
      </c>
      <c r="P179" s="74">
        <v>0.02</v>
      </c>
      <c r="Q179" s="72">
        <v>0</v>
      </c>
      <c r="R179" s="71">
        <v>32</v>
      </c>
      <c r="S179" s="71">
        <v>17.3</v>
      </c>
      <c r="T179" s="71">
        <v>17.3</v>
      </c>
      <c r="U179" s="71">
        <v>1.6</v>
      </c>
      <c r="V179" s="72">
        <f t="shared" si="458"/>
        <v>1.59621333333333</v>
      </c>
      <c r="W179" s="72">
        <f t="shared" si="459"/>
        <v>1.6</v>
      </c>
      <c r="X179" s="71" t="s">
        <v>39</v>
      </c>
      <c r="Y179" s="76">
        <v>6.6317</v>
      </c>
      <c r="Z179" s="72">
        <v>10</v>
      </c>
      <c r="AA179" s="72">
        <f t="shared" si="460"/>
        <v>1.62255864306785</v>
      </c>
      <c r="AB179" s="75">
        <f t="shared" si="461"/>
        <v>0.128866543012298</v>
      </c>
      <c r="AC179" s="49"/>
      <c r="AD179" s="78">
        <f t="shared" si="462"/>
        <v>0.250178699070765</v>
      </c>
      <c r="AE179" s="74">
        <f t="shared" si="463"/>
        <v>0.160515256633217</v>
      </c>
      <c r="AF179" s="74">
        <f t="shared" si="464"/>
        <v>0.107326769228127</v>
      </c>
      <c r="AG179" s="74">
        <v>0.15</v>
      </c>
      <c r="AH179" s="74">
        <f t="shared" si="465"/>
        <v>0</v>
      </c>
      <c r="AI179" s="74">
        <v>0.02</v>
      </c>
      <c r="AJ179" s="74">
        <f t="shared" si="466"/>
        <v>0.05</v>
      </c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</row>
    <row r="180" spans="1:75">
      <c r="A180" s="80" t="s">
        <v>88</v>
      </c>
      <c r="B180" s="49">
        <v>9</v>
      </c>
      <c r="C180" s="71" t="s">
        <v>49</v>
      </c>
      <c r="D180" s="71" t="s">
        <v>50</v>
      </c>
      <c r="E180" s="71" t="s">
        <v>38</v>
      </c>
      <c r="F180" s="72">
        <f t="shared" si="453"/>
        <v>9.25461547357326</v>
      </c>
      <c r="G180" s="72">
        <f t="shared" si="454"/>
        <v>14.931089977292</v>
      </c>
      <c r="H180" s="79">
        <f>H178*0.8</f>
        <v>11.192</v>
      </c>
      <c r="I180" s="72">
        <f t="shared" si="455"/>
        <v>14.9557522123894</v>
      </c>
      <c r="J180" s="87">
        <v>3.15</v>
      </c>
      <c r="K180" s="74">
        <v>0.15</v>
      </c>
      <c r="L180" s="74">
        <v>0.16</v>
      </c>
      <c r="M180" s="74">
        <v>0.05</v>
      </c>
      <c r="N180" s="74">
        <f t="shared" si="456"/>
        <v>0</v>
      </c>
      <c r="O180" s="75">
        <f t="shared" si="457"/>
        <v>0.0233202287348106</v>
      </c>
      <c r="P180" s="74">
        <v>0.02</v>
      </c>
      <c r="Q180" s="72">
        <v>0</v>
      </c>
      <c r="R180" s="71">
        <v>32</v>
      </c>
      <c r="S180" s="71">
        <v>17.3</v>
      </c>
      <c r="T180" s="71">
        <v>17.3</v>
      </c>
      <c r="U180" s="71">
        <v>1.6</v>
      </c>
      <c r="V180" s="72">
        <f t="shared" si="458"/>
        <v>1.59621333333333</v>
      </c>
      <c r="W180" s="72">
        <f t="shared" si="459"/>
        <v>1.6</v>
      </c>
      <c r="X180" s="71" t="s">
        <v>39</v>
      </c>
      <c r="Y180" s="76">
        <v>6.6317</v>
      </c>
      <c r="Z180" s="72">
        <v>10</v>
      </c>
      <c r="AA180" s="72">
        <f t="shared" si="460"/>
        <v>0.755178643067847</v>
      </c>
      <c r="AB180" s="75">
        <f t="shared" si="461"/>
        <v>0.0674748608888355</v>
      </c>
      <c r="AC180" s="49"/>
      <c r="AD180" s="78">
        <f t="shared" si="462"/>
        <v>0.28145103645461</v>
      </c>
      <c r="AE180" s="74">
        <f t="shared" si="463"/>
        <v>0.180579663712369</v>
      </c>
      <c r="AF180" s="74">
        <f t="shared" si="464"/>
        <v>0.120742615381643</v>
      </c>
      <c r="AG180" s="74">
        <v>0.15</v>
      </c>
      <c r="AH180" s="74">
        <f t="shared" si="465"/>
        <v>0</v>
      </c>
      <c r="AI180" s="74">
        <v>0.02</v>
      </c>
      <c r="AJ180" s="74">
        <f t="shared" si="466"/>
        <v>0.05</v>
      </c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</row>
    <row r="181" spans="1:75">
      <c r="F181" s="88"/>
      <c r="G181" s="88"/>
      <c r="I181" s="88"/>
      <c r="O181" s="89"/>
      <c r="Q181" s="48"/>
      <c r="V181" s="88"/>
      <c r="W181" s="88"/>
      <c r="Y181" s="90"/>
      <c r="Z181" s="88"/>
      <c r="AA181" s="88"/>
      <c r="AB181" s="89"/>
      <c r="AD181" s="91"/>
      <c r="AE181" s="48"/>
      <c r="AF181" s="48"/>
      <c r="AH181" s="74"/>
    </row>
    <row r="182" spans="1:75">
      <c r="A182" s="48" t="s">
        <v>89</v>
      </c>
      <c r="B182" s="48">
        <v>7.3</v>
      </c>
      <c r="C182" s="48" t="s">
        <v>86</v>
      </c>
      <c r="D182" s="49" t="s">
        <v>79</v>
      </c>
      <c r="E182" s="49" t="s">
        <v>80</v>
      </c>
      <c r="F182" s="72">
        <f t="shared" ref="F182:F185" si="467">IF(E182="有",(I182/B182+J182+Z182/B182)/(0.99999-K182-L182-M182-N182),(I182/B182+J182+Z182/B182)/(0.99999-K182-M182-N182))</f>
        <v>31.3893687879915</v>
      </c>
      <c r="G182" s="72">
        <f t="shared" ref="G182:G185" si="468">IF(E182="有",(I182/B182+J182+Z182/B182)/(0.8-K182-L182-M182-N182-O182-P182),(I182/B182+J182+Z182/B182)/(0.8-K182-M182-N182-O182-P182))</f>
        <v>46.1969634620362</v>
      </c>
      <c r="H182" s="49">
        <v>39.99</v>
      </c>
      <c r="I182" s="72">
        <f t="shared" ref="I182:I185" si="469">134/1.13</f>
        <v>118.58407079646</v>
      </c>
      <c r="J182" s="49">
        <v>4.55</v>
      </c>
      <c r="K182" s="74">
        <v>0.15</v>
      </c>
      <c r="L182" s="74">
        <v>0</v>
      </c>
      <c r="M182" s="75">
        <v>0.0043</v>
      </c>
      <c r="N182" s="74">
        <v>0.15</v>
      </c>
      <c r="O182" s="75">
        <f t="shared" ref="O182:O185" si="470">0.12/H182</f>
        <v>0.00300075018754689</v>
      </c>
      <c r="P182" s="74">
        <v>0.02</v>
      </c>
      <c r="Q182" s="74"/>
      <c r="R182" s="49">
        <v>19.3</v>
      </c>
      <c r="S182" s="49">
        <v>13.21</v>
      </c>
      <c r="T182" s="49">
        <v>5.08</v>
      </c>
      <c r="U182" s="49">
        <v>0.331</v>
      </c>
      <c r="V182" s="72">
        <f t="shared" ref="V182:V185" si="471">R182*S182*T182/6000</f>
        <v>0.215860206666667</v>
      </c>
      <c r="W182" s="72">
        <f t="shared" ref="W182:W185" si="472">MAX(U182:V182)</f>
        <v>0.331</v>
      </c>
      <c r="X182" s="49" t="s">
        <v>39</v>
      </c>
      <c r="Y182" s="76">
        <v>23</v>
      </c>
      <c r="Z182" s="72">
        <f t="shared" ref="Z182:Z185" si="473">W182*Y182</f>
        <v>7.613</v>
      </c>
      <c r="AA182" s="72">
        <f t="shared" ref="AA182:AA185" si="474">H182-SUM(K182:P182)*H182-J182-I182/B182-Z182/B182</f>
        <v>5.06397302788217</v>
      </c>
      <c r="AB182" s="75">
        <f t="shared" ref="AB182:AB185" si="475">AA182/H182</f>
        <v>0.126630983442915</v>
      </c>
      <c r="AC182" s="49"/>
      <c r="AD182" s="78">
        <f t="shared" ref="AD182:AD185" si="476">J182/H182</f>
        <v>0.113778444611153</v>
      </c>
      <c r="AE182" s="74">
        <f t="shared" ref="AE182:AE185" si="477">I182/7.4/H182</f>
        <v>0.400722041309179</v>
      </c>
      <c r="AF182" s="74">
        <f t="shared" ref="AF182:AF185" si="478">Z182/7.4/H182</f>
        <v>0.0257260261011199</v>
      </c>
      <c r="AG182" s="74">
        <v>0.15</v>
      </c>
      <c r="AH182" s="74">
        <f t="shared" ref="AH182:AH185" si="479">N182</f>
        <v>0.15</v>
      </c>
      <c r="AI182" s="74">
        <v>0.02</v>
      </c>
      <c r="AJ182" s="74">
        <f t="shared" ref="AJ182:AJ185" si="480">M182</f>
        <v>0.0043</v>
      </c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</row>
    <row r="183" spans="1:75">
      <c r="A183" s="83" t="s">
        <v>89</v>
      </c>
      <c r="B183" s="48">
        <v>7.3</v>
      </c>
      <c r="C183" s="48" t="s">
        <v>86</v>
      </c>
      <c r="D183" s="49" t="s">
        <v>79</v>
      </c>
      <c r="E183" s="49" t="s">
        <v>80</v>
      </c>
      <c r="F183" s="72">
        <f t="shared" si="467"/>
        <v>31.3893687879915</v>
      </c>
      <c r="G183" s="72">
        <f t="shared" si="468"/>
        <v>46.2295803877888</v>
      </c>
      <c r="H183" s="49">
        <v>35.99</v>
      </c>
      <c r="I183" s="72">
        <f t="shared" si="469"/>
        <v>118.58407079646</v>
      </c>
      <c r="J183" s="71">
        <v>4.55</v>
      </c>
      <c r="K183" s="74">
        <v>0.15</v>
      </c>
      <c r="L183" s="74">
        <v>0</v>
      </c>
      <c r="M183" s="75">
        <v>0.0043</v>
      </c>
      <c r="N183" s="74">
        <v>0.15</v>
      </c>
      <c r="O183" s="75">
        <f t="shared" si="470"/>
        <v>0.00333425951653237</v>
      </c>
      <c r="P183" s="74">
        <v>0.02</v>
      </c>
      <c r="Q183" s="74"/>
      <c r="R183" s="49">
        <v>19.3</v>
      </c>
      <c r="S183" s="49">
        <v>13.21</v>
      </c>
      <c r="T183" s="49">
        <v>5.08</v>
      </c>
      <c r="U183" s="49">
        <v>0.331</v>
      </c>
      <c r="V183" s="72">
        <f t="shared" si="471"/>
        <v>0.215860206666667</v>
      </c>
      <c r="W183" s="72">
        <f t="shared" si="472"/>
        <v>0.331</v>
      </c>
      <c r="X183" s="49" t="s">
        <v>39</v>
      </c>
      <c r="Y183" s="76">
        <v>23</v>
      </c>
      <c r="Z183" s="72">
        <f t="shared" si="473"/>
        <v>7.613</v>
      </c>
      <c r="AA183" s="72">
        <f t="shared" si="474"/>
        <v>2.36117302788216</v>
      </c>
      <c r="AB183" s="75">
        <f t="shared" si="475"/>
        <v>0.0656063636532971</v>
      </c>
      <c r="AC183" s="49"/>
      <c r="AD183" s="78">
        <f t="shared" si="476"/>
        <v>0.126424006668519</v>
      </c>
      <c r="AE183" s="74">
        <f t="shared" si="477"/>
        <v>0.445259083966493</v>
      </c>
      <c r="AF183" s="74">
        <f t="shared" si="478"/>
        <v>0.0285852676794605</v>
      </c>
      <c r="AG183" s="74">
        <v>0.15</v>
      </c>
      <c r="AH183" s="74">
        <f t="shared" si="479"/>
        <v>0.15</v>
      </c>
      <c r="AI183" s="74">
        <v>0.02</v>
      </c>
      <c r="AJ183" s="74">
        <f t="shared" si="480"/>
        <v>0.0043</v>
      </c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</row>
    <row r="184" spans="1:75">
      <c r="A184" s="83" t="s">
        <v>89</v>
      </c>
      <c r="B184" s="48">
        <v>7.3</v>
      </c>
      <c r="C184" s="48" t="s">
        <v>86</v>
      </c>
      <c r="D184" s="49" t="s">
        <v>79</v>
      </c>
      <c r="E184" s="49" t="s">
        <v>80</v>
      </c>
      <c r="F184" s="72">
        <f t="shared" si="467"/>
        <v>31.3893687879915</v>
      </c>
      <c r="G184" s="72">
        <f t="shared" si="468"/>
        <v>46.2592737076533</v>
      </c>
      <c r="H184" s="49">
        <v>32.99</v>
      </c>
      <c r="I184" s="72">
        <f t="shared" si="469"/>
        <v>118.58407079646</v>
      </c>
      <c r="J184" s="71">
        <v>4.55</v>
      </c>
      <c r="K184" s="74">
        <v>0.15</v>
      </c>
      <c r="L184" s="74">
        <v>0</v>
      </c>
      <c r="M184" s="75">
        <v>0.0043</v>
      </c>
      <c r="N184" s="74">
        <v>0.15</v>
      </c>
      <c r="O184" s="75">
        <f t="shared" si="470"/>
        <v>0.0036374658987572</v>
      </c>
      <c r="P184" s="74">
        <v>0.02</v>
      </c>
      <c r="Q184" s="74"/>
      <c r="R184" s="49">
        <v>19.3</v>
      </c>
      <c r="S184" s="49">
        <v>13.21</v>
      </c>
      <c r="T184" s="49">
        <v>5.08</v>
      </c>
      <c r="U184" s="49">
        <v>0.331</v>
      </c>
      <c r="V184" s="72">
        <f t="shared" si="471"/>
        <v>0.215860206666667</v>
      </c>
      <c r="W184" s="72">
        <f t="shared" si="472"/>
        <v>0.331</v>
      </c>
      <c r="X184" s="49" t="s">
        <v>39</v>
      </c>
      <c r="Y184" s="76">
        <v>23</v>
      </c>
      <c r="Z184" s="72">
        <f t="shared" si="473"/>
        <v>7.613</v>
      </c>
      <c r="AA184" s="72">
        <f t="shared" si="474"/>
        <v>0.334073027882165</v>
      </c>
      <c r="AB184" s="75">
        <f t="shared" si="475"/>
        <v>0.0101264937217995</v>
      </c>
      <c r="AC184" s="49"/>
      <c r="AD184" s="78">
        <f t="shared" si="476"/>
        <v>0.137920581994544</v>
      </c>
      <c r="AE184" s="74">
        <f t="shared" si="477"/>
        <v>0.485749452317493</v>
      </c>
      <c r="AF184" s="74">
        <f t="shared" si="478"/>
        <v>0.0311847160892326</v>
      </c>
      <c r="AG184" s="74">
        <v>0.15</v>
      </c>
      <c r="AH184" s="74">
        <f t="shared" si="479"/>
        <v>0.15</v>
      </c>
      <c r="AI184" s="74">
        <v>0.02</v>
      </c>
      <c r="AJ184" s="74">
        <f t="shared" si="480"/>
        <v>0.0043</v>
      </c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</row>
    <row r="185" spans="1:75">
      <c r="A185" s="83" t="s">
        <v>89</v>
      </c>
      <c r="B185" s="48">
        <v>7.3</v>
      </c>
      <c r="C185" s="48" t="s">
        <v>86</v>
      </c>
      <c r="D185" s="49" t="s">
        <v>79</v>
      </c>
      <c r="E185" s="49" t="s">
        <v>80</v>
      </c>
      <c r="F185" s="72">
        <f t="shared" si="467"/>
        <v>31.3893687879915</v>
      </c>
      <c r="G185" s="72">
        <f t="shared" si="468"/>
        <v>46.294958065107</v>
      </c>
      <c r="H185" s="49">
        <v>29.99</v>
      </c>
      <c r="I185" s="72">
        <f t="shared" si="469"/>
        <v>118.58407079646</v>
      </c>
      <c r="J185" s="71">
        <v>4.55</v>
      </c>
      <c r="K185" s="74">
        <v>0.15</v>
      </c>
      <c r="L185" s="74">
        <v>0</v>
      </c>
      <c r="M185" s="75">
        <v>0.0043</v>
      </c>
      <c r="N185" s="74">
        <v>0.15</v>
      </c>
      <c r="O185" s="75">
        <f t="shared" si="470"/>
        <v>0.00400133377792598</v>
      </c>
      <c r="P185" s="74">
        <v>0.02</v>
      </c>
      <c r="Q185" s="74"/>
      <c r="R185" s="49">
        <v>19.3</v>
      </c>
      <c r="S185" s="49">
        <v>13.21</v>
      </c>
      <c r="T185" s="49">
        <v>5.08</v>
      </c>
      <c r="U185" s="49">
        <v>0.331</v>
      </c>
      <c r="V185" s="72">
        <f t="shared" si="471"/>
        <v>0.215860206666667</v>
      </c>
      <c r="W185" s="72">
        <f t="shared" si="472"/>
        <v>0.331</v>
      </c>
      <c r="X185" s="49" t="s">
        <v>39</v>
      </c>
      <c r="Y185" s="76">
        <v>23</v>
      </c>
      <c r="Z185" s="72">
        <f t="shared" si="473"/>
        <v>7.613</v>
      </c>
      <c r="AA185" s="72">
        <f t="shared" si="474"/>
        <v>-1.69302697211784</v>
      </c>
      <c r="AB185" s="75">
        <f t="shared" si="475"/>
        <v>-0.0564530500872904</v>
      </c>
      <c r="AC185" s="49"/>
      <c r="AD185" s="78">
        <f t="shared" si="476"/>
        <v>0.151717239079693</v>
      </c>
      <c r="AE185" s="74">
        <f t="shared" si="477"/>
        <v>0.534340594596668</v>
      </c>
      <c r="AF185" s="74">
        <f t="shared" si="478"/>
        <v>0.0343042275353046</v>
      </c>
      <c r="AG185" s="74">
        <v>0.15</v>
      </c>
      <c r="AH185" s="74">
        <f t="shared" si="479"/>
        <v>0.15</v>
      </c>
      <c r="AI185" s="74">
        <v>0.02</v>
      </c>
      <c r="AJ185" s="74">
        <f t="shared" si="480"/>
        <v>0.0043</v>
      </c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</row>
    <row r="186" spans="1:75">
      <c r="F186" s="88"/>
      <c r="G186" s="88"/>
      <c r="I186" s="88"/>
      <c r="O186" s="89"/>
      <c r="V186" s="88"/>
      <c r="W186" s="88"/>
      <c r="Y186" s="90"/>
      <c r="Z186" s="88"/>
      <c r="AA186" s="88"/>
      <c r="AB186" s="89"/>
      <c r="AD186" s="91"/>
      <c r="AE186" s="48"/>
      <c r="AF186" s="48"/>
      <c r="AH186" s="74"/>
    </row>
    <row r="187" spans="1:75">
      <c r="F187" s="88"/>
      <c r="G187" s="88"/>
      <c r="I187" s="88"/>
      <c r="O187" s="89"/>
      <c r="V187" s="88"/>
      <c r="W187" s="88"/>
      <c r="Y187" s="90"/>
      <c r="Z187" s="88"/>
      <c r="AA187" s="88"/>
      <c r="AB187" s="89"/>
      <c r="AD187" s="91"/>
      <c r="AE187" s="48"/>
      <c r="AF187" s="48"/>
      <c r="AH187" s="74"/>
    </row>
    <row r="188" spans="1:75">
      <c r="A188" s="83" t="s">
        <v>90</v>
      </c>
      <c r="B188" s="49">
        <v>7</v>
      </c>
      <c r="C188" s="71" t="s">
        <v>36</v>
      </c>
      <c r="D188" s="49" t="s">
        <v>79</v>
      </c>
      <c r="E188" s="71" t="s">
        <v>38</v>
      </c>
      <c r="F188" s="72">
        <f t="shared" ref="F188:F190" si="481">IF(E188="有",(I188/B188+J188+Z188/B188)/(0.99999-K188-L188-M188-N188),(I188/B188+J188+Z188/B188)/(0.99999-K188-M188-N188))</f>
        <v>28.6916790615529</v>
      </c>
      <c r="G188" s="72">
        <f t="shared" ref="G188:G190" si="482">IF(E188="有",(I188/B188+J188+Z188/B188)/(0.8-K188-L188-M188-N188-O188-P188),(I188/B188+J188+Z188/B188)/(0.8-K188-M188-N188-O188-P188))</f>
        <v>45.7243558577919</v>
      </c>
      <c r="H188" s="73">
        <v>69.99</v>
      </c>
      <c r="I188" s="72">
        <f t="shared" ref="I188:I190" si="483">80/1.13</f>
        <v>70.7964601769912</v>
      </c>
      <c r="J188" s="49">
        <v>6.62</v>
      </c>
      <c r="K188" s="74">
        <v>0.15</v>
      </c>
      <c r="L188" s="74">
        <v>0</v>
      </c>
      <c r="M188" s="74">
        <v>0.05</v>
      </c>
      <c r="N188" s="74">
        <f t="shared" ref="N188:N190" si="484">Q188/H188</f>
        <v>0.171453064723532</v>
      </c>
      <c r="O188" s="75">
        <f t="shared" ref="O188:O190" si="485">0.99/H188</f>
        <v>0.0141448778396914</v>
      </c>
      <c r="P188" s="74">
        <v>0.02</v>
      </c>
      <c r="Q188" s="72">
        <v>12</v>
      </c>
      <c r="R188" s="49">
        <v>33.5</v>
      </c>
      <c r="S188" s="49">
        <v>26.5</v>
      </c>
      <c r="T188" s="49">
        <v>25</v>
      </c>
      <c r="U188" s="49">
        <v>2.3</v>
      </c>
      <c r="V188" s="72">
        <f t="shared" ref="V188:V190" si="486">R188*S188*T188/6000</f>
        <v>3.69895833333333</v>
      </c>
      <c r="W188" s="72">
        <f t="shared" ref="W188:W190" si="487">MAX(U188:V188)</f>
        <v>3.69895833333333</v>
      </c>
      <c r="X188" s="49" t="s">
        <v>39</v>
      </c>
      <c r="Y188" s="76">
        <v>5.55136</v>
      </c>
      <c r="Z188" s="77">
        <v>9.1</v>
      </c>
      <c r="AA188" s="72">
        <f t="shared" ref="AA188:AA190" si="488">H188-SUM(K188:P188)*H188-J188-I188/B188-Z188/B188</f>
        <v>23.5684199747155</v>
      </c>
      <c r="AB188" s="75">
        <f t="shared" ref="AB188:AB190" si="489">AA188/H188</f>
        <v>0.336739819613024</v>
      </c>
      <c r="AC188" s="49"/>
      <c r="AD188" s="78">
        <f t="shared" ref="AD188:AD190" si="490">J188/H188</f>
        <v>0.0945849407058151</v>
      </c>
      <c r="AE188" s="74">
        <f t="shared" ref="AE188:AE192" si="491">I188/7.4/H188</f>
        <v>0.136692230505885</v>
      </c>
      <c r="AF188" s="74">
        <f t="shared" ref="AF188:AF192" si="492">Z188/7.4/H188</f>
        <v>0.0175700775786502</v>
      </c>
      <c r="AG188" s="74">
        <v>0.15</v>
      </c>
      <c r="AH188" s="74">
        <f t="shared" ref="AH188:AH190" si="493">N188</f>
        <v>0.171453064723532</v>
      </c>
      <c r="AI188" s="74">
        <v>0.02</v>
      </c>
      <c r="AJ188" s="74">
        <f t="shared" ref="AJ188:AJ190" si="494">M188</f>
        <v>0.05</v>
      </c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</row>
    <row r="189" spans="1:75">
      <c r="A189" s="83" t="s">
        <v>91</v>
      </c>
      <c r="B189" s="71">
        <v>7</v>
      </c>
      <c r="C189" s="71" t="s">
        <v>36</v>
      </c>
      <c r="D189" s="71" t="s">
        <v>79</v>
      </c>
      <c r="E189" s="71" t="s">
        <v>38</v>
      </c>
      <c r="F189" s="72">
        <f t="shared" si="481"/>
        <v>28.5390337261382</v>
      </c>
      <c r="G189" s="72">
        <f t="shared" si="482"/>
        <v>45.6242156359394</v>
      </c>
      <c r="H189" s="73">
        <f>H188*0.85</f>
        <v>59.4915</v>
      </c>
      <c r="I189" s="72">
        <f t="shared" si="483"/>
        <v>70.7964601769912</v>
      </c>
      <c r="J189" s="71">
        <v>6.62</v>
      </c>
      <c r="K189" s="74">
        <v>0.15</v>
      </c>
      <c r="L189" s="74">
        <v>0</v>
      </c>
      <c r="M189" s="74">
        <v>0.05</v>
      </c>
      <c r="N189" s="74">
        <f t="shared" si="484"/>
        <v>0.168091239925031</v>
      </c>
      <c r="O189" s="75">
        <f t="shared" si="485"/>
        <v>0.0166410327525781</v>
      </c>
      <c r="P189" s="74">
        <v>0.02</v>
      </c>
      <c r="Q189" s="72">
        <v>10</v>
      </c>
      <c r="R189" s="49">
        <v>33.5</v>
      </c>
      <c r="S189" s="49">
        <v>26.5</v>
      </c>
      <c r="T189" s="49">
        <v>25</v>
      </c>
      <c r="U189" s="49">
        <v>2.3</v>
      </c>
      <c r="V189" s="72">
        <f t="shared" si="486"/>
        <v>3.69895833333333</v>
      </c>
      <c r="W189" s="72">
        <f t="shared" si="487"/>
        <v>3.69895833333333</v>
      </c>
      <c r="X189" s="71" t="s">
        <v>39</v>
      </c>
      <c r="Y189" s="76">
        <v>5.55136</v>
      </c>
      <c r="Z189" s="77">
        <v>9.1</v>
      </c>
      <c r="AA189" s="72">
        <f t="shared" si="488"/>
        <v>17.3795899747155</v>
      </c>
      <c r="AB189" s="75">
        <f t="shared" si="489"/>
        <v>0.292135682823858</v>
      </c>
      <c r="AC189" s="49"/>
      <c r="AD189" s="78">
        <f t="shared" si="490"/>
        <v>0.111276400830371</v>
      </c>
      <c r="AE189" s="74">
        <f>I189/B189/H189</f>
        <v>0.170003782477908</v>
      </c>
      <c r="AF189" s="74">
        <f>Z189/B189/H189</f>
        <v>0.0218518611902541</v>
      </c>
      <c r="AG189" s="74">
        <f>K189</f>
        <v>0.15</v>
      </c>
      <c r="AH189" s="74">
        <f t="shared" si="493"/>
        <v>0.168091239925031</v>
      </c>
      <c r="AI189" s="74">
        <v>0.02</v>
      </c>
      <c r="AJ189" s="74">
        <f t="shared" si="494"/>
        <v>0.05</v>
      </c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</row>
    <row r="190" spans="1:75">
      <c r="A190" s="83" t="s">
        <v>92</v>
      </c>
      <c r="B190" s="71">
        <v>7</v>
      </c>
      <c r="C190" s="71" t="s">
        <v>36</v>
      </c>
      <c r="D190" s="71" t="s">
        <v>79</v>
      </c>
      <c r="E190" s="71" t="s">
        <v>38</v>
      </c>
      <c r="F190" s="72">
        <f t="shared" si="481"/>
        <v>27.4439787791443</v>
      </c>
      <c r="G190" s="72">
        <f t="shared" si="482"/>
        <v>42.9947597641989</v>
      </c>
      <c r="H190" s="73">
        <f>H188*0.8</f>
        <v>55.992</v>
      </c>
      <c r="I190" s="72">
        <f t="shared" si="483"/>
        <v>70.7964601769912</v>
      </c>
      <c r="J190" s="71">
        <v>6.62</v>
      </c>
      <c r="K190" s="74">
        <v>0.15</v>
      </c>
      <c r="L190" s="74">
        <v>0</v>
      </c>
      <c r="M190" s="74">
        <v>0.05</v>
      </c>
      <c r="N190" s="74">
        <f t="shared" si="484"/>
        <v>0.142877553936277</v>
      </c>
      <c r="O190" s="75">
        <f t="shared" si="485"/>
        <v>0.0176810972996142</v>
      </c>
      <c r="P190" s="74">
        <v>0.02</v>
      </c>
      <c r="Q190" s="72">
        <v>8</v>
      </c>
      <c r="R190" s="49">
        <v>33.5</v>
      </c>
      <c r="S190" s="49">
        <v>26.5</v>
      </c>
      <c r="T190" s="49">
        <v>25</v>
      </c>
      <c r="U190" s="49">
        <v>2.3</v>
      </c>
      <c r="V190" s="72">
        <f t="shared" si="486"/>
        <v>3.69895833333333</v>
      </c>
      <c r="W190" s="72">
        <f t="shared" si="487"/>
        <v>3.69895833333333</v>
      </c>
      <c r="X190" s="71" t="s">
        <v>39</v>
      </c>
      <c r="Y190" s="76">
        <v>5.55136</v>
      </c>
      <c r="Z190" s="77">
        <v>9.1</v>
      </c>
      <c r="AA190" s="72">
        <f t="shared" si="488"/>
        <v>16.6499799747155</v>
      </c>
      <c r="AB190" s="75">
        <f t="shared" si="489"/>
        <v>0.297363551484418</v>
      </c>
      <c r="AC190" s="49"/>
      <c r="AD190" s="78">
        <f t="shared" si="490"/>
        <v>0.118231175882269</v>
      </c>
      <c r="AE190" s="74">
        <f t="shared" si="491"/>
        <v>0.170865288132357</v>
      </c>
      <c r="AF190" s="74">
        <f t="shared" si="492"/>
        <v>0.0219625969733128</v>
      </c>
      <c r="AG190" s="74">
        <v>0.15</v>
      </c>
      <c r="AH190" s="74">
        <f t="shared" si="493"/>
        <v>0.142877553936277</v>
      </c>
      <c r="AI190" s="74">
        <v>0.02</v>
      </c>
      <c r="AJ190" s="74">
        <f t="shared" si="494"/>
        <v>0.05</v>
      </c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</row>
    <row r="191" spans="1:75">
      <c r="A191" s="48"/>
      <c r="B191" s="49"/>
      <c r="C191" s="49"/>
      <c r="D191" s="49"/>
      <c r="E191" s="49"/>
      <c r="F191" s="72"/>
      <c r="G191" s="72"/>
      <c r="H191" s="79"/>
      <c r="I191" s="72"/>
      <c r="J191" s="71"/>
      <c r="K191" s="74"/>
      <c r="L191" s="74"/>
      <c r="M191" s="74"/>
      <c r="N191" s="74"/>
      <c r="O191" s="75"/>
      <c r="P191" s="74"/>
      <c r="Q191" s="72"/>
      <c r="R191" s="49"/>
      <c r="S191" s="49"/>
      <c r="T191" s="49"/>
      <c r="U191" s="49"/>
      <c r="V191" s="72"/>
      <c r="W191" s="72"/>
      <c r="X191" s="71"/>
      <c r="Y191" s="76"/>
      <c r="Z191" s="71"/>
      <c r="AA191" s="72"/>
      <c r="AB191" s="75"/>
      <c r="AC191" s="49"/>
      <c r="AD191" s="78"/>
      <c r="AE191" s="74"/>
      <c r="AF191" s="74"/>
      <c r="AG191" s="74"/>
      <c r="AH191" s="74"/>
      <c r="AI191" s="74"/>
      <c r="AJ191" s="74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</row>
    <row r="192" spans="1:75">
      <c r="A192" s="48" t="s">
        <v>90</v>
      </c>
      <c r="B192" s="71">
        <v>8</v>
      </c>
      <c r="C192" s="71" t="s">
        <v>36</v>
      </c>
      <c r="D192" s="71" t="s">
        <v>37</v>
      </c>
      <c r="E192" s="71" t="s">
        <v>38</v>
      </c>
      <c r="F192" s="72">
        <f t="shared" ref="F192:F194" si="495">IF(E192="有",(I192/B192+J192+Z192/B192)/(0.99999-K192-L192-M192-N192),(I192/B192+J192+Z192/B192)/(0.99999-K192-M192-N192))</f>
        <v>29.4574024515364</v>
      </c>
      <c r="G192" s="72">
        <f t="shared" ref="G192:G194" si="496">IF(E192="有",(I192/B192+J192+Z192/B192)/(0.8-K192-L192-M192-N192-O192-P192),(I192/B192+J192+Z192/B192)/(0.8-K192-M192-N192-O192-P192))</f>
        <v>57.3423487743019</v>
      </c>
      <c r="H192" s="73">
        <v>59.99</v>
      </c>
      <c r="I192" s="72">
        <f t="shared" ref="I192:I194" si="497">80/1.13</f>
        <v>70.7964601769912</v>
      </c>
      <c r="J192" s="49">
        <v>4.28</v>
      </c>
      <c r="K192" s="74">
        <v>0.15</v>
      </c>
      <c r="L192" s="74">
        <v>0.16</v>
      </c>
      <c r="M192" s="74">
        <v>0.05</v>
      </c>
      <c r="N192" s="74">
        <f t="shared" ref="N192:N194" si="498">Q192/H192</f>
        <v>0.166694449074846</v>
      </c>
      <c r="O192" s="75">
        <f t="shared" ref="O192:O194" si="499">0.61/H192</f>
        <v>0.0101683613935656</v>
      </c>
      <c r="P192" s="74">
        <v>0.02</v>
      </c>
      <c r="Q192" s="72">
        <v>10</v>
      </c>
      <c r="R192" s="49">
        <v>33.5</v>
      </c>
      <c r="S192" s="49">
        <v>26.5</v>
      </c>
      <c r="T192" s="49">
        <v>25</v>
      </c>
      <c r="U192" s="49">
        <v>2.3</v>
      </c>
      <c r="V192" s="72">
        <f t="shared" ref="V192:V194" si="500">R192*S192*T192/6000</f>
        <v>3.69895833333333</v>
      </c>
      <c r="W192" s="72">
        <f t="shared" ref="W192:W194" si="501">MAX(U192:V192)</f>
        <v>3.69895833333333</v>
      </c>
      <c r="X192" s="49" t="s">
        <v>39</v>
      </c>
      <c r="Y192" s="76">
        <v>5.55136</v>
      </c>
      <c r="Z192" s="77">
        <v>6.5</v>
      </c>
      <c r="AA192" s="72">
        <f t="shared" ref="AA192:AA194" si="502">H192-SUM(K192:P192)*H192-J192-I192/B192-Z192/B192</f>
        <v>12.6417424778761</v>
      </c>
      <c r="AB192" s="75">
        <f t="shared" ref="AB192:AB194" si="503">AA192/H192</f>
        <v>0.210730829769563</v>
      </c>
      <c r="AC192" s="49"/>
      <c r="AD192" s="78">
        <f t="shared" ref="AD192:AD194" si="504">J192/H192</f>
        <v>0.071345224204034</v>
      </c>
      <c r="AE192" s="74">
        <f t="shared" si="491"/>
        <v>0.159478066562876</v>
      </c>
      <c r="AF192" s="74">
        <f t="shared" si="492"/>
        <v>0.014642079986304</v>
      </c>
      <c r="AG192" s="74">
        <v>0.15</v>
      </c>
      <c r="AH192" s="74">
        <f t="shared" ref="AH192:AH194" si="505">N192</f>
        <v>0.166694449074846</v>
      </c>
      <c r="AI192" s="74">
        <v>0.02</v>
      </c>
      <c r="AJ192" s="74">
        <f t="shared" ref="AJ192:AJ194" si="506">M192</f>
        <v>0.05</v>
      </c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</row>
    <row r="193" spans="1:75">
      <c r="A193" s="48" t="s">
        <v>91</v>
      </c>
      <c r="B193" s="71">
        <v>8</v>
      </c>
      <c r="C193" s="71" t="s">
        <v>36</v>
      </c>
      <c r="D193" s="71" t="s">
        <v>37</v>
      </c>
      <c r="E193" s="71" t="s">
        <v>38</v>
      </c>
      <c r="F193" s="72">
        <f t="shared" si="495"/>
        <v>30.0806008103787</v>
      </c>
      <c r="G193" s="72">
        <f t="shared" si="496"/>
        <v>60.2151900396124</v>
      </c>
      <c r="H193" s="73">
        <f>H192*0.85</f>
        <v>50.9915</v>
      </c>
      <c r="I193" s="72">
        <f t="shared" si="497"/>
        <v>70.7964601769912</v>
      </c>
      <c r="J193" s="71">
        <v>4.28</v>
      </c>
      <c r="K193" s="74">
        <v>0.15</v>
      </c>
      <c r="L193" s="74">
        <v>0.16</v>
      </c>
      <c r="M193" s="74">
        <v>0.05</v>
      </c>
      <c r="N193" s="74">
        <f t="shared" si="498"/>
        <v>0.176500004902778</v>
      </c>
      <c r="O193" s="75">
        <f t="shared" si="499"/>
        <v>0.0119627781100772</v>
      </c>
      <c r="P193" s="74">
        <v>0.02</v>
      </c>
      <c r="Q193" s="72">
        <v>9</v>
      </c>
      <c r="R193" s="49">
        <v>33.5</v>
      </c>
      <c r="S193" s="49">
        <v>26.5</v>
      </c>
      <c r="T193" s="49">
        <v>25</v>
      </c>
      <c r="U193" s="49">
        <v>2.3</v>
      </c>
      <c r="V193" s="72">
        <f t="shared" si="500"/>
        <v>3.69895833333333</v>
      </c>
      <c r="W193" s="72">
        <f t="shared" si="501"/>
        <v>3.69895833333333</v>
      </c>
      <c r="X193" s="71" t="s">
        <v>39</v>
      </c>
      <c r="Y193" s="76">
        <v>5.55136</v>
      </c>
      <c r="Z193" s="77">
        <v>6.5</v>
      </c>
      <c r="AA193" s="72">
        <f t="shared" si="502"/>
        <v>8.0626724778761</v>
      </c>
      <c r="AB193" s="75">
        <f t="shared" si="503"/>
        <v>0.158117970208292</v>
      </c>
      <c r="AC193" s="49"/>
      <c r="AD193" s="78">
        <f t="shared" si="504"/>
        <v>0.0839355578870988</v>
      </c>
      <c r="AE193" s="74">
        <f>I193/B193/H193</f>
        <v>0.173549660671365</v>
      </c>
      <c r="AF193" s="74">
        <f>Z193/B193/H193</f>
        <v>0.0159340282203897</v>
      </c>
      <c r="AG193" s="74">
        <f>K193</f>
        <v>0.15</v>
      </c>
      <c r="AH193" s="74">
        <f t="shared" si="505"/>
        <v>0.176500004902778</v>
      </c>
      <c r="AI193" s="74">
        <v>0.02</v>
      </c>
      <c r="AJ193" s="74">
        <f t="shared" si="506"/>
        <v>0.05</v>
      </c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</row>
    <row r="194" spans="1:75">
      <c r="A194" s="48" t="s">
        <v>92</v>
      </c>
      <c r="B194" s="71">
        <v>8</v>
      </c>
      <c r="C194" s="71" t="s">
        <v>36</v>
      </c>
      <c r="D194" s="71" t="s">
        <v>37</v>
      </c>
      <c r="E194" s="71" t="s">
        <v>38</v>
      </c>
      <c r="F194" s="72">
        <f t="shared" si="495"/>
        <v>29.4574024515364</v>
      </c>
      <c r="G194" s="72">
        <f t="shared" si="496"/>
        <v>57.9482191011212</v>
      </c>
      <c r="H194" s="73">
        <f>H192*0.8</f>
        <v>47.992</v>
      </c>
      <c r="I194" s="72">
        <f t="shared" si="497"/>
        <v>70.7964601769912</v>
      </c>
      <c r="J194" s="71">
        <v>4.28</v>
      </c>
      <c r="K194" s="74">
        <v>0.15</v>
      </c>
      <c r="L194" s="74">
        <v>0.16</v>
      </c>
      <c r="M194" s="74">
        <v>0.05</v>
      </c>
      <c r="N194" s="74">
        <f t="shared" si="498"/>
        <v>0.166694449074846</v>
      </c>
      <c r="O194" s="75">
        <f t="shared" si="499"/>
        <v>0.012710451741957</v>
      </c>
      <c r="P194" s="74">
        <v>0.02</v>
      </c>
      <c r="Q194" s="72">
        <v>8</v>
      </c>
      <c r="R194" s="49">
        <v>33.5</v>
      </c>
      <c r="S194" s="49">
        <v>26.5</v>
      </c>
      <c r="T194" s="49">
        <v>25</v>
      </c>
      <c r="U194" s="49">
        <v>2.3</v>
      </c>
      <c r="V194" s="72">
        <f t="shared" si="500"/>
        <v>3.69895833333333</v>
      </c>
      <c r="W194" s="72">
        <f t="shared" si="501"/>
        <v>3.69895833333333</v>
      </c>
      <c r="X194" s="71" t="s">
        <v>39</v>
      </c>
      <c r="Y194" s="76">
        <v>5.55136</v>
      </c>
      <c r="Z194" s="77">
        <v>6.5</v>
      </c>
      <c r="AA194" s="72">
        <f t="shared" si="502"/>
        <v>7.20298247787611</v>
      </c>
      <c r="AB194" s="75">
        <f t="shared" si="503"/>
        <v>0.150087149480666</v>
      </c>
      <c r="AC194" s="49"/>
      <c r="AD194" s="78">
        <f t="shared" si="504"/>
        <v>0.0891815302550425</v>
      </c>
      <c r="AE194" s="74">
        <f t="shared" ref="AE194:AE198" si="507">I194/7.4/H194</f>
        <v>0.199347583203595</v>
      </c>
      <c r="AF194" s="74">
        <f t="shared" ref="AF194:AF198" si="508">Z194/7.4/H194</f>
        <v>0.01830259998288</v>
      </c>
      <c r="AG194" s="74">
        <v>0.15</v>
      </c>
      <c r="AH194" s="74">
        <f t="shared" si="505"/>
        <v>0.166694449074846</v>
      </c>
      <c r="AI194" s="74">
        <v>0.02</v>
      </c>
      <c r="AJ194" s="74">
        <f t="shared" si="506"/>
        <v>0.05</v>
      </c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</row>
    <row r="195" spans="1:75">
      <c r="A195" s="48"/>
      <c r="B195" s="49"/>
      <c r="C195" s="49"/>
      <c r="D195" s="49"/>
      <c r="E195" s="49"/>
      <c r="F195" s="72"/>
      <c r="G195" s="72"/>
      <c r="H195" s="79"/>
      <c r="I195" s="72"/>
      <c r="J195" s="71"/>
      <c r="K195" s="74"/>
      <c r="L195" s="74"/>
      <c r="M195" s="74"/>
      <c r="N195" s="74"/>
      <c r="O195" s="75"/>
      <c r="P195" s="74"/>
      <c r="Q195" s="72"/>
      <c r="R195" s="49"/>
      <c r="S195" s="49"/>
      <c r="T195" s="49"/>
      <c r="U195" s="49"/>
      <c r="V195" s="72"/>
      <c r="W195" s="72"/>
      <c r="X195" s="71"/>
      <c r="Y195" s="76"/>
      <c r="Z195" s="71"/>
      <c r="AA195" s="72"/>
      <c r="AB195" s="75"/>
      <c r="AC195" s="49"/>
      <c r="AD195" s="78"/>
      <c r="AE195" s="74"/>
      <c r="AF195" s="74"/>
      <c r="AG195" s="74"/>
      <c r="AH195" s="74"/>
      <c r="AI195" s="74"/>
      <c r="AJ195" s="74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</row>
    <row r="196" spans="1:75">
      <c r="A196" s="48" t="s">
        <v>90</v>
      </c>
      <c r="B196" s="71">
        <v>8</v>
      </c>
      <c r="C196" s="49" t="s">
        <v>42</v>
      </c>
      <c r="D196" s="49" t="s">
        <v>43</v>
      </c>
      <c r="E196" s="71" t="s">
        <v>38</v>
      </c>
      <c r="F196" s="72">
        <f t="shared" ref="F196:F198" si="509">IF(E196="有",(I196/B196+J196+Z196/B196)/(0.99999-K196-L196-M196-N196),(I196/B196+J196+Z196/B196)/(0.99999-K196-M196-N196))</f>
        <v>33.9577616791616</v>
      </c>
      <c r="G196" s="72">
        <f t="shared" ref="G196:G198" si="510">IF(E196="有",(I196/B196+J196+Z196/B196)/(0.8-K196-L196-M196-N196-O196-P196),(I196/B196+J196+Z196/B196)/(0.8-K196-M196-N196-O196-P196))</f>
        <v>66.1028350006316</v>
      </c>
      <c r="H196" s="73">
        <v>59.99</v>
      </c>
      <c r="I196" s="72">
        <f t="shared" ref="I196:I198" si="511">80/1.13</f>
        <v>70.7964601769912</v>
      </c>
      <c r="J196" s="49">
        <v>6.41</v>
      </c>
      <c r="K196" s="74">
        <v>0.15</v>
      </c>
      <c r="L196" s="74">
        <v>0.16</v>
      </c>
      <c r="M196" s="74">
        <v>0.05</v>
      </c>
      <c r="N196" s="74">
        <f t="shared" ref="N196:N198" si="512">Q196/H196</f>
        <v>0.166694449074846</v>
      </c>
      <c r="O196" s="75">
        <f t="shared" ref="O196:O198" si="513">0.61/H196</f>
        <v>0.0101683613935656</v>
      </c>
      <c r="P196" s="74">
        <v>0.02</v>
      </c>
      <c r="Q196" s="72">
        <v>10</v>
      </c>
      <c r="R196" s="49">
        <v>33.5</v>
      </c>
      <c r="S196" s="49">
        <v>26.5</v>
      </c>
      <c r="T196" s="49">
        <v>25</v>
      </c>
      <c r="U196" s="49">
        <v>2.3</v>
      </c>
      <c r="V196" s="72">
        <f t="shared" ref="V196:V198" si="514">R196*S196*T196/6000</f>
        <v>3.69895833333333</v>
      </c>
      <c r="W196" s="72">
        <f t="shared" ref="W196:W198" si="515">MAX(U196:V196)</f>
        <v>3.69895833333333</v>
      </c>
      <c r="X196" s="49" t="s">
        <v>39</v>
      </c>
      <c r="Y196" s="76">
        <v>5.55136</v>
      </c>
      <c r="Z196" s="77">
        <v>6.5</v>
      </c>
      <c r="AA196" s="72">
        <f t="shared" ref="AA196:AA198" si="516">H196-SUM(K196:P196)*H196-J196-I196/B196-Z196/B196</f>
        <v>10.5117424778761</v>
      </c>
      <c r="AB196" s="75">
        <f t="shared" ref="AB196:AB198" si="517">AA196/H196</f>
        <v>0.175224912116621</v>
      </c>
      <c r="AC196" s="49"/>
      <c r="AD196" s="78">
        <f t="shared" ref="AD196:AD198" si="518">J196/H196</f>
        <v>0.106851141856976</v>
      </c>
      <c r="AE196" s="74">
        <f t="shared" si="507"/>
        <v>0.159478066562876</v>
      </c>
      <c r="AF196" s="74">
        <f t="shared" si="508"/>
        <v>0.014642079986304</v>
      </c>
      <c r="AG196" s="74">
        <v>0.15</v>
      </c>
      <c r="AH196" s="74">
        <f t="shared" ref="AH196:AH198" si="519">N196</f>
        <v>0.166694449074846</v>
      </c>
      <c r="AI196" s="74">
        <v>0.02</v>
      </c>
      <c r="AJ196" s="74">
        <f t="shared" ref="AJ196:AJ198" si="520">M196</f>
        <v>0.05</v>
      </c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</row>
    <row r="197" spans="1:75">
      <c r="A197" s="48" t="s">
        <v>91</v>
      </c>
      <c r="B197" s="71">
        <v>8</v>
      </c>
      <c r="C197" s="71" t="s">
        <v>42</v>
      </c>
      <c r="D197" s="71" t="s">
        <v>43</v>
      </c>
      <c r="E197" s="71" t="s">
        <v>38</v>
      </c>
      <c r="F197" s="72">
        <f t="shared" si="509"/>
        <v>34.6761692639182</v>
      </c>
      <c r="G197" s="72">
        <f t="shared" si="510"/>
        <v>69.4145750357543</v>
      </c>
      <c r="H197" s="73">
        <f>H196*0.85</f>
        <v>50.9915</v>
      </c>
      <c r="I197" s="72">
        <f t="shared" si="511"/>
        <v>70.7964601769912</v>
      </c>
      <c r="J197" s="71">
        <v>6.41</v>
      </c>
      <c r="K197" s="74">
        <v>0.15</v>
      </c>
      <c r="L197" s="74">
        <v>0.16</v>
      </c>
      <c r="M197" s="74">
        <v>0.05</v>
      </c>
      <c r="N197" s="74">
        <f t="shared" si="512"/>
        <v>0.176500004902778</v>
      </c>
      <c r="O197" s="75">
        <f t="shared" si="513"/>
        <v>0.0119627781100772</v>
      </c>
      <c r="P197" s="74">
        <v>0.02</v>
      </c>
      <c r="Q197" s="72">
        <v>9</v>
      </c>
      <c r="R197" s="49">
        <v>33.5</v>
      </c>
      <c r="S197" s="49">
        <v>26.5</v>
      </c>
      <c r="T197" s="49">
        <v>25</v>
      </c>
      <c r="U197" s="49">
        <v>2.3</v>
      </c>
      <c r="V197" s="72">
        <f t="shared" si="514"/>
        <v>3.69895833333333</v>
      </c>
      <c r="W197" s="72">
        <f t="shared" si="515"/>
        <v>3.69895833333333</v>
      </c>
      <c r="X197" s="71" t="s">
        <v>39</v>
      </c>
      <c r="Y197" s="76">
        <v>5.55136</v>
      </c>
      <c r="Z197" s="77">
        <v>6.5</v>
      </c>
      <c r="AA197" s="72">
        <f t="shared" si="516"/>
        <v>5.9326724778761</v>
      </c>
      <c r="AB197" s="75">
        <f t="shared" si="517"/>
        <v>0.116346302381301</v>
      </c>
      <c r="AC197" s="49"/>
      <c r="AD197" s="78">
        <f t="shared" si="518"/>
        <v>0.12570722571409</v>
      </c>
      <c r="AE197" s="74">
        <f t="shared" si="507"/>
        <v>0.187621254779854</v>
      </c>
      <c r="AF197" s="74">
        <f t="shared" si="508"/>
        <v>0.0172259764544753</v>
      </c>
      <c r="AG197" s="74">
        <v>0.15</v>
      </c>
      <c r="AH197" s="74">
        <f t="shared" si="519"/>
        <v>0.176500004902778</v>
      </c>
      <c r="AI197" s="74">
        <v>0.02</v>
      </c>
      <c r="AJ197" s="74">
        <f t="shared" si="520"/>
        <v>0.05</v>
      </c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</row>
    <row r="198" spans="1:75">
      <c r="A198" s="48" t="s">
        <v>92</v>
      </c>
      <c r="B198" s="71">
        <v>8</v>
      </c>
      <c r="C198" s="71" t="s">
        <v>42</v>
      </c>
      <c r="D198" s="71" t="s">
        <v>43</v>
      </c>
      <c r="E198" s="71" t="s">
        <v>38</v>
      </c>
      <c r="F198" s="72">
        <f t="shared" si="509"/>
        <v>34.2672205875679</v>
      </c>
      <c r="G198" s="72">
        <f t="shared" si="510"/>
        <v>68.1033891625586</v>
      </c>
      <c r="H198" s="73">
        <f>H196*0.78</f>
        <v>46.7922</v>
      </c>
      <c r="I198" s="72">
        <f t="shared" si="511"/>
        <v>70.7964601769912</v>
      </c>
      <c r="J198" s="71">
        <v>6.41</v>
      </c>
      <c r="K198" s="74">
        <v>0.15</v>
      </c>
      <c r="L198" s="74">
        <v>0.16</v>
      </c>
      <c r="M198" s="74">
        <v>0.05</v>
      </c>
      <c r="N198" s="74">
        <f t="shared" si="512"/>
        <v>0.170968665717791</v>
      </c>
      <c r="O198" s="75">
        <f t="shared" si="513"/>
        <v>0.0130363607609815</v>
      </c>
      <c r="P198" s="74">
        <v>0.02</v>
      </c>
      <c r="Q198" s="72">
        <v>8</v>
      </c>
      <c r="R198" s="49">
        <v>33.5</v>
      </c>
      <c r="S198" s="49">
        <v>26.5</v>
      </c>
      <c r="T198" s="49">
        <v>25</v>
      </c>
      <c r="U198" s="49">
        <v>2.3</v>
      </c>
      <c r="V198" s="72">
        <f t="shared" si="514"/>
        <v>3.69895833333333</v>
      </c>
      <c r="W198" s="72">
        <f t="shared" si="515"/>
        <v>3.69895833333333</v>
      </c>
      <c r="X198" s="71" t="s">
        <v>39</v>
      </c>
      <c r="Y198" s="76">
        <v>5.55136</v>
      </c>
      <c r="Z198" s="77">
        <v>6.5</v>
      </c>
      <c r="AA198" s="72">
        <f t="shared" si="516"/>
        <v>4.3291064778761</v>
      </c>
      <c r="AB198" s="75">
        <f t="shared" si="517"/>
        <v>0.0925176947840901</v>
      </c>
      <c r="AC198" s="49"/>
      <c r="AD198" s="78">
        <f t="shared" si="518"/>
        <v>0.13698864340638</v>
      </c>
      <c r="AE198" s="74">
        <f t="shared" si="507"/>
        <v>0.204459059695994</v>
      </c>
      <c r="AF198" s="74">
        <f t="shared" si="508"/>
        <v>0.0187718974183385</v>
      </c>
      <c r="AG198" s="74">
        <v>0.15</v>
      </c>
      <c r="AH198" s="74">
        <f t="shared" si="519"/>
        <v>0.170968665717791</v>
      </c>
      <c r="AI198" s="74">
        <v>0.02</v>
      </c>
      <c r="AJ198" s="74">
        <f t="shared" si="520"/>
        <v>0.05</v>
      </c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</row>
    <row r="199" spans="1:75">
      <c r="A199" s="48"/>
      <c r="B199" s="49"/>
      <c r="C199" s="49"/>
      <c r="D199" s="49"/>
      <c r="E199" s="49"/>
      <c r="F199" s="72"/>
      <c r="G199" s="72"/>
      <c r="H199" s="79"/>
      <c r="I199" s="72"/>
      <c r="J199" s="71"/>
      <c r="K199" s="74"/>
      <c r="L199" s="74"/>
      <c r="M199" s="74"/>
      <c r="N199" s="74"/>
      <c r="O199" s="75"/>
      <c r="P199" s="74"/>
      <c r="Q199" s="74"/>
      <c r="R199" s="49"/>
      <c r="S199" s="49"/>
      <c r="T199" s="49"/>
      <c r="U199" s="49"/>
      <c r="V199" s="72"/>
      <c r="W199" s="72"/>
      <c r="X199" s="71"/>
      <c r="Y199" s="76"/>
      <c r="Z199" s="71"/>
      <c r="AA199" s="72"/>
      <c r="AB199" s="75"/>
      <c r="AC199" s="49"/>
      <c r="AD199" s="78"/>
      <c r="AE199" s="74"/>
      <c r="AF199" s="74"/>
      <c r="AG199" s="74"/>
      <c r="AH199" s="74"/>
      <c r="AI199" s="74"/>
      <c r="AJ199" s="74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  <c r="BM199" s="48"/>
      <c r="BN199" s="48"/>
      <c r="BO199" s="48"/>
      <c r="BP199" s="48"/>
      <c r="BQ199" s="48"/>
      <c r="BR199" s="48"/>
      <c r="BS199" s="48"/>
      <c r="BT199" s="48"/>
      <c r="BU199" s="48"/>
      <c r="BV199" s="48"/>
      <c r="BW199" s="48"/>
    </row>
    <row r="200" spans="1:75">
      <c r="A200" s="48" t="s">
        <v>90</v>
      </c>
      <c r="B200" s="71">
        <v>8</v>
      </c>
      <c r="C200" s="49" t="s">
        <v>44</v>
      </c>
      <c r="D200" s="49" t="s">
        <v>45</v>
      </c>
      <c r="E200" s="71" t="s">
        <v>38</v>
      </c>
      <c r="F200" s="72">
        <f t="shared" ref="F200:F203" si="521">IF(E200="有",(I200/B200+J200+Z200/B200)/(0.99999-K200-L200-M200-N200),(I200/B200+J200+Z200/B200)/(0.99999-K200-M200-N200))</f>
        <v>32.6900548544785</v>
      </c>
      <c r="G200" s="72">
        <f t="shared" ref="G200:G203" si="522">IF(E200="有",(I200/B200+J200+Z200/B200)/(0.8-K200-L200-M200-N200-O200-P200),(I200/B200+J200+Z200/B200)/(0.8-K200-M200-N200-O200-P200))</f>
        <v>63.6350924016655</v>
      </c>
      <c r="H200" s="73">
        <v>59.99</v>
      </c>
      <c r="I200" s="72">
        <f t="shared" ref="I200:I203" si="523">80/1.13</f>
        <v>70.7964601769912</v>
      </c>
      <c r="J200" s="49">
        <v>5.81</v>
      </c>
      <c r="K200" s="74">
        <v>0.15</v>
      </c>
      <c r="L200" s="74">
        <v>0.16</v>
      </c>
      <c r="M200" s="74">
        <v>0.05</v>
      </c>
      <c r="N200" s="74">
        <f t="shared" ref="N200:N203" si="524">Q200/H200</f>
        <v>0.166694449074846</v>
      </c>
      <c r="O200" s="75">
        <f t="shared" ref="O200:O203" si="525">0.61/H200</f>
        <v>0.0101683613935656</v>
      </c>
      <c r="P200" s="74">
        <v>0.02</v>
      </c>
      <c r="Q200" s="72">
        <v>10</v>
      </c>
      <c r="R200" s="49">
        <v>33.5</v>
      </c>
      <c r="S200" s="49">
        <v>26.5</v>
      </c>
      <c r="T200" s="49">
        <v>25</v>
      </c>
      <c r="U200" s="49">
        <v>2.3</v>
      </c>
      <c r="V200" s="72">
        <f t="shared" ref="V200:V203" si="526">R200*S200*T200/6000</f>
        <v>3.69895833333333</v>
      </c>
      <c r="W200" s="72">
        <f t="shared" ref="W200:W203" si="527">MAX(U200:V200)</f>
        <v>3.69895833333333</v>
      </c>
      <c r="X200" s="49" t="s">
        <v>39</v>
      </c>
      <c r="Y200" s="76">
        <v>5.55136</v>
      </c>
      <c r="Z200" s="77">
        <v>6.5</v>
      </c>
      <c r="AA200" s="72">
        <f t="shared" ref="AA200:AA203" si="528">H200-SUM(K200:P200)*H200-J200-I200/B200-Z200/B200</f>
        <v>11.1117424778761</v>
      </c>
      <c r="AB200" s="75">
        <f t="shared" ref="AB200:AB203" si="529">AA200/H200</f>
        <v>0.185226579061112</v>
      </c>
      <c r="AC200" s="49"/>
      <c r="AD200" s="78">
        <f t="shared" ref="AD200:AD203" si="530">J200/H200</f>
        <v>0.0968494749124854</v>
      </c>
      <c r="AE200" s="74">
        <f t="shared" ref="AE200:AE203" si="531">I200/7.4/H200</f>
        <v>0.159478066562876</v>
      </c>
      <c r="AF200" s="74">
        <f t="shared" ref="AF200:AF203" si="532">Z200/7.4/H200</f>
        <v>0.014642079986304</v>
      </c>
      <c r="AG200" s="74">
        <v>0.15</v>
      </c>
      <c r="AH200" s="74">
        <f t="shared" ref="AH200:AH203" si="533">N200</f>
        <v>0.166694449074846</v>
      </c>
      <c r="AI200" s="74">
        <v>0.02</v>
      </c>
      <c r="AJ200" s="74">
        <f t="shared" ref="AJ200:AJ203" si="534">M200</f>
        <v>0.05</v>
      </c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</row>
    <row r="201" spans="1:75">
      <c r="A201" s="48" t="s">
        <v>91</v>
      </c>
      <c r="B201" s="71">
        <v>8</v>
      </c>
      <c r="C201" s="71" t="s">
        <v>44</v>
      </c>
      <c r="D201" s="71" t="s">
        <v>45</v>
      </c>
      <c r="E201" s="71" t="s">
        <v>38</v>
      </c>
      <c r="F201" s="72">
        <f t="shared" si="521"/>
        <v>33.3816429389775</v>
      </c>
      <c r="G201" s="72">
        <f t="shared" si="522"/>
        <v>66.823198980503</v>
      </c>
      <c r="H201" s="73">
        <f>H200*0.85</f>
        <v>50.9915</v>
      </c>
      <c r="I201" s="72">
        <f t="shared" si="523"/>
        <v>70.7964601769912</v>
      </c>
      <c r="J201" s="71">
        <v>5.81</v>
      </c>
      <c r="K201" s="74">
        <v>0.15</v>
      </c>
      <c r="L201" s="74">
        <v>0.16</v>
      </c>
      <c r="M201" s="74">
        <v>0.05</v>
      </c>
      <c r="N201" s="74">
        <f t="shared" si="524"/>
        <v>0.176500004902778</v>
      </c>
      <c r="O201" s="75">
        <f t="shared" si="525"/>
        <v>0.0119627781100772</v>
      </c>
      <c r="P201" s="74">
        <v>0.02</v>
      </c>
      <c r="Q201" s="72">
        <v>9</v>
      </c>
      <c r="R201" s="49">
        <v>33.5</v>
      </c>
      <c r="S201" s="49">
        <v>26.5</v>
      </c>
      <c r="T201" s="49">
        <v>25</v>
      </c>
      <c r="U201" s="49">
        <v>2.3</v>
      </c>
      <c r="V201" s="72">
        <f t="shared" si="526"/>
        <v>3.69895833333333</v>
      </c>
      <c r="W201" s="72">
        <f t="shared" si="527"/>
        <v>3.69895833333333</v>
      </c>
      <c r="X201" s="71" t="s">
        <v>39</v>
      </c>
      <c r="Y201" s="76">
        <v>5.55136</v>
      </c>
      <c r="Z201" s="77">
        <v>6.5</v>
      </c>
      <c r="AA201" s="72">
        <f t="shared" si="528"/>
        <v>6.5326724778761</v>
      </c>
      <c r="AB201" s="75">
        <f t="shared" si="529"/>
        <v>0.128112969374819</v>
      </c>
      <c r="AC201" s="49"/>
      <c r="AD201" s="78">
        <f t="shared" si="530"/>
        <v>0.113940558720571</v>
      </c>
      <c r="AE201" s="74">
        <f t="shared" si="531"/>
        <v>0.187621254779854</v>
      </c>
      <c r="AF201" s="74">
        <f t="shared" si="532"/>
        <v>0.0172259764544753</v>
      </c>
      <c r="AG201" s="74">
        <v>0.15</v>
      </c>
      <c r="AH201" s="74">
        <f t="shared" si="533"/>
        <v>0.176500004902778</v>
      </c>
      <c r="AI201" s="74">
        <v>0.02</v>
      </c>
      <c r="AJ201" s="74">
        <f t="shared" si="534"/>
        <v>0.05</v>
      </c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</row>
    <row r="202" spans="1:75">
      <c r="A202" s="48" t="s">
        <v>92</v>
      </c>
      <c r="B202" s="71">
        <v>8</v>
      </c>
      <c r="C202" s="71" t="s">
        <v>44</v>
      </c>
      <c r="D202" s="71" t="s">
        <v>45</v>
      </c>
      <c r="E202" s="71" t="s">
        <v>38</v>
      </c>
      <c r="F202" s="72">
        <f t="shared" si="521"/>
        <v>32.6900548544785</v>
      </c>
      <c r="G202" s="72">
        <f t="shared" si="522"/>
        <v>64.307450877638</v>
      </c>
      <c r="H202" s="73">
        <f>H200*0.8</f>
        <v>47.992</v>
      </c>
      <c r="I202" s="72">
        <f t="shared" si="523"/>
        <v>70.7964601769912</v>
      </c>
      <c r="J202" s="71">
        <v>5.81</v>
      </c>
      <c r="K202" s="74">
        <v>0.15</v>
      </c>
      <c r="L202" s="74">
        <v>0.16</v>
      </c>
      <c r="M202" s="74">
        <v>0.05</v>
      </c>
      <c r="N202" s="74">
        <f t="shared" si="524"/>
        <v>0.166694449074846</v>
      </c>
      <c r="O202" s="75">
        <f t="shared" si="525"/>
        <v>0.012710451741957</v>
      </c>
      <c r="P202" s="74">
        <v>0.02</v>
      </c>
      <c r="Q202" s="72">
        <v>8</v>
      </c>
      <c r="R202" s="49">
        <v>33.5</v>
      </c>
      <c r="S202" s="49">
        <v>26.5</v>
      </c>
      <c r="T202" s="49">
        <v>25</v>
      </c>
      <c r="U202" s="49">
        <v>2.3</v>
      </c>
      <c r="V202" s="72">
        <f t="shared" si="526"/>
        <v>3.69895833333333</v>
      </c>
      <c r="W202" s="72">
        <f t="shared" si="527"/>
        <v>3.69895833333333</v>
      </c>
      <c r="X202" s="71" t="s">
        <v>39</v>
      </c>
      <c r="Y202" s="76">
        <v>5.55136</v>
      </c>
      <c r="Z202" s="77">
        <v>6.5</v>
      </c>
      <c r="AA202" s="72">
        <f t="shared" si="528"/>
        <v>5.67298247787611</v>
      </c>
      <c r="AB202" s="75">
        <f t="shared" si="529"/>
        <v>0.118206836095101</v>
      </c>
      <c r="AC202" s="49"/>
      <c r="AD202" s="78">
        <f t="shared" si="530"/>
        <v>0.121061843640607</v>
      </c>
      <c r="AE202" s="74">
        <f t="shared" si="531"/>
        <v>0.199347583203595</v>
      </c>
      <c r="AF202" s="74">
        <f t="shared" si="532"/>
        <v>0.01830259998288</v>
      </c>
      <c r="AG202" s="74">
        <v>0.15</v>
      </c>
      <c r="AH202" s="74">
        <f t="shared" si="533"/>
        <v>0.166694449074846</v>
      </c>
      <c r="AI202" s="74">
        <v>0.02</v>
      </c>
      <c r="AJ202" s="74">
        <f t="shared" si="534"/>
        <v>0.05</v>
      </c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</row>
    <row r="203" spans="1:75">
      <c r="A203" s="48" t="s">
        <v>93</v>
      </c>
      <c r="B203" s="71">
        <v>8</v>
      </c>
      <c r="C203" s="71" t="s">
        <v>44</v>
      </c>
      <c r="D203" s="71" t="s">
        <v>45</v>
      </c>
      <c r="E203" s="71" t="s">
        <v>38</v>
      </c>
      <c r="F203" s="72">
        <f t="shared" si="521"/>
        <v>35.1677640721043</v>
      </c>
      <c r="G203" s="72">
        <f t="shared" si="522"/>
        <v>74.4716974649015</v>
      </c>
      <c r="H203" s="73">
        <v>49.99</v>
      </c>
      <c r="I203" s="72">
        <f t="shared" si="523"/>
        <v>70.7964601769912</v>
      </c>
      <c r="J203" s="71">
        <v>5.81</v>
      </c>
      <c r="K203" s="74">
        <v>0.15</v>
      </c>
      <c r="L203" s="74">
        <v>0.16</v>
      </c>
      <c r="M203" s="74">
        <v>0.05</v>
      </c>
      <c r="N203" s="74">
        <f t="shared" si="524"/>
        <v>0.2000400080016</v>
      </c>
      <c r="O203" s="75">
        <f t="shared" si="525"/>
        <v>0.0122024404880976</v>
      </c>
      <c r="P203" s="74">
        <v>0.02</v>
      </c>
      <c r="Q203" s="72">
        <v>10</v>
      </c>
      <c r="R203" s="49">
        <v>33.5</v>
      </c>
      <c r="S203" s="49">
        <v>26.5</v>
      </c>
      <c r="T203" s="49">
        <v>25</v>
      </c>
      <c r="U203" s="49">
        <v>2.3</v>
      </c>
      <c r="V203" s="72">
        <f t="shared" si="526"/>
        <v>3.69895833333333</v>
      </c>
      <c r="W203" s="72">
        <f t="shared" si="527"/>
        <v>3.69895833333333</v>
      </c>
      <c r="X203" s="71" t="s">
        <v>39</v>
      </c>
      <c r="Y203" s="76">
        <v>5.55136</v>
      </c>
      <c r="Z203" s="77">
        <v>6.5</v>
      </c>
      <c r="AA203" s="72">
        <f t="shared" si="528"/>
        <v>4.9117424778761</v>
      </c>
      <c r="AB203" s="75">
        <f t="shared" si="529"/>
        <v>0.0982545004576136</v>
      </c>
      <c r="AC203" s="49"/>
      <c r="AD203" s="78">
        <f t="shared" si="530"/>
        <v>0.11622324464893</v>
      </c>
      <c r="AE203" s="74">
        <f t="shared" si="531"/>
        <v>0.191380060274193</v>
      </c>
      <c r="AF203" s="74">
        <f t="shared" si="532"/>
        <v>0.0175710817839244</v>
      </c>
      <c r="AG203" s="74">
        <v>0.15</v>
      </c>
      <c r="AH203" s="74">
        <f t="shared" si="533"/>
        <v>0.2000400080016</v>
      </c>
      <c r="AI203" s="74">
        <v>0.02</v>
      </c>
      <c r="AJ203" s="74">
        <f t="shared" si="534"/>
        <v>0.05</v>
      </c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48"/>
      <c r="BL203" s="48"/>
      <c r="BM203" s="48"/>
      <c r="BN203" s="48"/>
      <c r="BO203" s="48"/>
      <c r="BP203" s="48"/>
      <c r="BQ203" s="48"/>
      <c r="BR203" s="48"/>
      <c r="BS203" s="48"/>
      <c r="BT203" s="48"/>
      <c r="BU203" s="48"/>
      <c r="BV203" s="48"/>
      <c r="BW203" s="48"/>
    </row>
    <row r="204" spans="1:75">
      <c r="A204" s="48"/>
      <c r="B204" s="49"/>
      <c r="C204" s="49"/>
      <c r="D204" s="49"/>
      <c r="E204" s="49"/>
      <c r="F204" s="72"/>
      <c r="G204" s="72"/>
      <c r="H204" s="79"/>
      <c r="I204" s="72"/>
      <c r="J204" s="71"/>
      <c r="K204" s="74"/>
      <c r="L204" s="74"/>
      <c r="M204" s="74"/>
      <c r="N204" s="74"/>
      <c r="O204" s="75"/>
      <c r="P204" s="74"/>
      <c r="Q204" s="74"/>
      <c r="R204" s="49"/>
      <c r="S204" s="49"/>
      <c r="T204" s="49"/>
      <c r="U204" s="49"/>
      <c r="V204" s="72"/>
      <c r="W204" s="72"/>
      <c r="X204" s="71"/>
      <c r="Y204" s="76"/>
      <c r="Z204" s="71"/>
      <c r="AA204" s="72"/>
      <c r="AB204" s="75"/>
      <c r="AC204" s="49"/>
      <c r="AD204" s="78"/>
      <c r="AE204" s="74"/>
      <c r="AF204" s="74"/>
      <c r="AG204" s="74"/>
      <c r="AH204" s="74"/>
      <c r="AI204" s="74"/>
      <c r="AJ204" s="74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  <c r="BL204" s="48"/>
      <c r="BM204" s="48"/>
      <c r="BN204" s="48"/>
      <c r="BO204" s="48"/>
      <c r="BP204" s="48"/>
      <c r="BQ204" s="48"/>
      <c r="BR204" s="48"/>
      <c r="BS204" s="48"/>
      <c r="BT204" s="48"/>
      <c r="BU204" s="48"/>
      <c r="BV204" s="48"/>
      <c r="BW204" s="48"/>
    </row>
    <row r="205" spans="1:75">
      <c r="A205" s="48" t="s">
        <v>90</v>
      </c>
      <c r="B205" s="71">
        <v>8</v>
      </c>
      <c r="C205" s="49" t="s">
        <v>47</v>
      </c>
      <c r="D205" s="49" t="s">
        <v>48</v>
      </c>
      <c r="E205" s="71" t="s">
        <v>38</v>
      </c>
      <c r="F205" s="72">
        <f t="shared" ref="F205:F207" si="535">IF(E205="有",(I205/B205+J205+Z205/B205)/(0.99999-K205-L205-M205-N205),(I205/B205+J205+Z205/B205)/(0.99999-K205-M205-N205))</f>
        <v>30.6617239349854</v>
      </c>
      <c r="G205" s="72">
        <f t="shared" ref="G205:G207" si="536">IF(E205="有",(I205/B205+J205+Z205/B205)/(0.8-K205-L205-M205-N205-O205-P205),(I205/B205+J205+Z205/B205)/(0.8-K205-M205-N205-O205-P205))</f>
        <v>59.6867042433197</v>
      </c>
      <c r="H205" s="73">
        <v>59.99</v>
      </c>
      <c r="I205" s="72">
        <f t="shared" ref="I205:I207" si="537">80/1.13</f>
        <v>70.7964601769912</v>
      </c>
      <c r="J205" s="49">
        <v>4.85</v>
      </c>
      <c r="K205" s="74">
        <v>0.15</v>
      </c>
      <c r="L205" s="74">
        <v>0.16</v>
      </c>
      <c r="M205" s="74">
        <v>0.05</v>
      </c>
      <c r="N205" s="74">
        <f t="shared" ref="N205:N207" si="538">Q205/H205</f>
        <v>0.166694449074846</v>
      </c>
      <c r="O205" s="75">
        <f t="shared" ref="O205:O207" si="539">0.61/H205</f>
        <v>0.0101683613935656</v>
      </c>
      <c r="P205" s="74">
        <v>0.02</v>
      </c>
      <c r="Q205" s="72">
        <v>10</v>
      </c>
      <c r="R205" s="49">
        <v>33.5</v>
      </c>
      <c r="S205" s="49">
        <v>26.5</v>
      </c>
      <c r="T205" s="49">
        <v>25</v>
      </c>
      <c r="U205" s="49">
        <v>2.3</v>
      </c>
      <c r="V205" s="72">
        <f t="shared" ref="V205:V207" si="540">R205*S205*T205/6000</f>
        <v>3.69895833333333</v>
      </c>
      <c r="W205" s="72">
        <f t="shared" ref="W205:W207" si="541">MAX(U205:V205)</f>
        <v>3.69895833333333</v>
      </c>
      <c r="X205" s="49" t="s">
        <v>39</v>
      </c>
      <c r="Y205" s="76">
        <v>5.55136</v>
      </c>
      <c r="Z205" s="77">
        <v>6.5</v>
      </c>
      <c r="AA205" s="72">
        <f t="shared" ref="AA205:AA207" si="542">H205-SUM(K205:P205)*H205-J205-I205/B205-Z205/B205</f>
        <v>12.0717424778761</v>
      </c>
      <c r="AB205" s="75">
        <f t="shared" ref="AB205:AB207" si="543">AA205/H205</f>
        <v>0.201229246172297</v>
      </c>
      <c r="AC205" s="49"/>
      <c r="AD205" s="78">
        <f t="shared" ref="AD205:AD207" si="544">J205/H205</f>
        <v>0.0808468078013002</v>
      </c>
      <c r="AE205" s="74">
        <f t="shared" ref="AE205:AE207" si="545">I205/7.4/H205</f>
        <v>0.159478066562876</v>
      </c>
      <c r="AF205" s="74">
        <f t="shared" ref="AF205:AF207" si="546">Z205/7.4/H205</f>
        <v>0.014642079986304</v>
      </c>
      <c r="AG205" s="74">
        <v>0.15</v>
      </c>
      <c r="AH205" s="74">
        <f t="shared" ref="AH205:AH207" si="547">N205</f>
        <v>0.166694449074846</v>
      </c>
      <c r="AI205" s="74">
        <v>0.02</v>
      </c>
      <c r="AJ205" s="74">
        <f t="shared" ref="AJ205:AJ207" si="548">M205</f>
        <v>0.05</v>
      </c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  <c r="BL205" s="48"/>
      <c r="BM205" s="48"/>
      <c r="BN205" s="48"/>
      <c r="BO205" s="48"/>
      <c r="BP205" s="48"/>
      <c r="BQ205" s="48"/>
      <c r="BR205" s="48"/>
      <c r="BS205" s="48"/>
      <c r="BT205" s="48"/>
      <c r="BU205" s="48"/>
      <c r="BV205" s="48"/>
      <c r="BW205" s="48"/>
    </row>
    <row r="206" spans="1:75">
      <c r="A206" s="48" t="s">
        <v>91</v>
      </c>
      <c r="B206" s="71">
        <v>8</v>
      </c>
      <c r="C206" s="71" t="s">
        <v>47</v>
      </c>
      <c r="D206" s="71" t="s">
        <v>48</v>
      </c>
      <c r="E206" s="71" t="s">
        <v>38</v>
      </c>
      <c r="F206" s="72">
        <f t="shared" si="535"/>
        <v>31.3104008190723</v>
      </c>
      <c r="G206" s="72">
        <f t="shared" si="536"/>
        <v>62.676997292101</v>
      </c>
      <c r="H206" s="73">
        <f>H205*0.85</f>
        <v>50.9915</v>
      </c>
      <c r="I206" s="72">
        <f t="shared" si="537"/>
        <v>70.7964601769912</v>
      </c>
      <c r="J206" s="71">
        <v>4.85</v>
      </c>
      <c r="K206" s="74">
        <v>0.15</v>
      </c>
      <c r="L206" s="74">
        <v>0.16</v>
      </c>
      <c r="M206" s="74">
        <v>0.05</v>
      </c>
      <c r="N206" s="74">
        <f t="shared" si="538"/>
        <v>0.176500004902778</v>
      </c>
      <c r="O206" s="75">
        <f t="shared" si="539"/>
        <v>0.0119627781100772</v>
      </c>
      <c r="P206" s="74">
        <v>0.02</v>
      </c>
      <c r="Q206" s="72">
        <v>9</v>
      </c>
      <c r="R206" s="49">
        <v>33.5</v>
      </c>
      <c r="S206" s="49">
        <v>26.5</v>
      </c>
      <c r="T206" s="49">
        <v>25</v>
      </c>
      <c r="U206" s="49">
        <v>2.3</v>
      </c>
      <c r="V206" s="72">
        <f t="shared" si="540"/>
        <v>3.69895833333333</v>
      </c>
      <c r="W206" s="72">
        <f t="shared" si="541"/>
        <v>3.69895833333333</v>
      </c>
      <c r="X206" s="71" t="s">
        <v>39</v>
      </c>
      <c r="Y206" s="76">
        <v>5.55136</v>
      </c>
      <c r="Z206" s="77">
        <v>6.5</v>
      </c>
      <c r="AA206" s="72">
        <f t="shared" si="542"/>
        <v>7.49267247787611</v>
      </c>
      <c r="AB206" s="75">
        <f t="shared" si="543"/>
        <v>0.146939636564449</v>
      </c>
      <c r="AC206" s="49"/>
      <c r="AD206" s="78">
        <f t="shared" si="544"/>
        <v>0.0951138915309414</v>
      </c>
      <c r="AE206" s="74">
        <f t="shared" si="545"/>
        <v>0.187621254779854</v>
      </c>
      <c r="AF206" s="74">
        <f t="shared" si="546"/>
        <v>0.0172259764544753</v>
      </c>
      <c r="AG206" s="74">
        <v>0.15</v>
      </c>
      <c r="AH206" s="74">
        <f t="shared" si="547"/>
        <v>0.176500004902778</v>
      </c>
      <c r="AI206" s="74">
        <v>0.02</v>
      </c>
      <c r="AJ206" s="74">
        <f t="shared" si="548"/>
        <v>0.05</v>
      </c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</row>
    <row r="207" spans="1:75">
      <c r="A207" s="48" t="s">
        <v>92</v>
      </c>
      <c r="B207" s="49">
        <v>8</v>
      </c>
      <c r="C207" s="71" t="s">
        <v>47</v>
      </c>
      <c r="D207" s="71" t="s">
        <v>48</v>
      </c>
      <c r="E207" s="71" t="s">
        <v>38</v>
      </c>
      <c r="F207" s="72">
        <f t="shared" si="535"/>
        <v>30.6617239349854</v>
      </c>
      <c r="G207" s="72">
        <f t="shared" si="536"/>
        <v>60.3173446649216</v>
      </c>
      <c r="H207" s="73">
        <f>H205*0.8</f>
        <v>47.992</v>
      </c>
      <c r="I207" s="72">
        <f t="shared" si="537"/>
        <v>70.7964601769912</v>
      </c>
      <c r="J207" s="71">
        <v>4.85</v>
      </c>
      <c r="K207" s="74">
        <v>0.15</v>
      </c>
      <c r="L207" s="74">
        <v>0.16</v>
      </c>
      <c r="M207" s="74">
        <v>0.05</v>
      </c>
      <c r="N207" s="74">
        <f t="shared" si="538"/>
        <v>0.166694449074846</v>
      </c>
      <c r="O207" s="75">
        <f t="shared" si="539"/>
        <v>0.012710451741957</v>
      </c>
      <c r="P207" s="74">
        <v>0.02</v>
      </c>
      <c r="Q207" s="72">
        <v>8</v>
      </c>
      <c r="R207" s="49">
        <v>33.5</v>
      </c>
      <c r="S207" s="49">
        <v>26.5</v>
      </c>
      <c r="T207" s="49">
        <v>25</v>
      </c>
      <c r="U207" s="49">
        <v>2.3</v>
      </c>
      <c r="V207" s="72">
        <f t="shared" si="540"/>
        <v>3.69895833333333</v>
      </c>
      <c r="W207" s="72">
        <f t="shared" si="541"/>
        <v>3.69895833333333</v>
      </c>
      <c r="X207" s="71" t="s">
        <v>39</v>
      </c>
      <c r="Y207" s="76">
        <v>5.55136</v>
      </c>
      <c r="Z207" s="77">
        <v>6.5</v>
      </c>
      <c r="AA207" s="72">
        <f t="shared" si="542"/>
        <v>6.63298247787611</v>
      </c>
      <c r="AB207" s="75">
        <f t="shared" si="543"/>
        <v>0.138210169984083</v>
      </c>
      <c r="AC207" s="49"/>
      <c r="AD207" s="78">
        <f t="shared" si="544"/>
        <v>0.101058509751625</v>
      </c>
      <c r="AE207" s="74">
        <f t="shared" si="545"/>
        <v>0.199347583203595</v>
      </c>
      <c r="AF207" s="74">
        <f t="shared" si="546"/>
        <v>0.01830259998288</v>
      </c>
      <c r="AG207" s="74">
        <v>0.15</v>
      </c>
      <c r="AH207" s="74">
        <f t="shared" si="547"/>
        <v>0.166694449074846</v>
      </c>
      <c r="AI207" s="74">
        <v>0.02</v>
      </c>
      <c r="AJ207" s="74">
        <f t="shared" si="548"/>
        <v>0.05</v>
      </c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</row>
    <row r="208" spans="1:75">
      <c r="A208" s="48"/>
      <c r="B208" s="71"/>
      <c r="C208" s="71"/>
      <c r="D208" s="71"/>
      <c r="E208" s="71"/>
      <c r="F208" s="72"/>
      <c r="G208" s="72"/>
      <c r="H208" s="79"/>
      <c r="I208" s="72"/>
      <c r="J208" s="71"/>
      <c r="K208" s="74"/>
      <c r="L208" s="74"/>
      <c r="M208" s="74"/>
      <c r="N208" s="74"/>
      <c r="O208" s="75"/>
      <c r="P208" s="74"/>
      <c r="Q208" s="74"/>
      <c r="R208" s="49"/>
      <c r="S208" s="49"/>
      <c r="T208" s="49"/>
      <c r="U208" s="49"/>
      <c r="V208" s="72"/>
      <c r="W208" s="72"/>
      <c r="X208" s="71"/>
      <c r="Y208" s="76"/>
      <c r="Z208" s="71"/>
      <c r="AA208" s="72"/>
      <c r="AB208" s="75"/>
      <c r="AC208" s="49"/>
      <c r="AD208" s="78"/>
      <c r="AE208" s="74"/>
      <c r="AF208" s="74"/>
      <c r="AG208" s="74"/>
      <c r="AH208" s="74"/>
      <c r="AI208" s="74"/>
      <c r="AJ208" s="74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</row>
    <row r="209" spans="1:75">
      <c r="A209" s="48" t="s">
        <v>90</v>
      </c>
      <c r="B209" s="49">
        <v>9</v>
      </c>
      <c r="C209" s="71" t="s">
        <v>49</v>
      </c>
      <c r="D209" s="71" t="s">
        <v>50</v>
      </c>
      <c r="E209" s="71" t="s">
        <v>38</v>
      </c>
      <c r="F209" s="72">
        <f t="shared" ref="F209:F211" si="549">IF(E209="有",(I209/B209+J209+Z209/B209)/(0.99999-K209-L209-M209-N209),(I209/B209+J209+Z209/B209)/(0.99999-K209-M209-N209))</f>
        <v>25.0348621822618</v>
      </c>
      <c r="G209" s="72">
        <f t="shared" ref="G209:G211" si="550">IF(E209="有",(I209/B209+J209+Z209/B209)/(0.8-K209-L209-M209-N209-O209-P209),(I209/B209+J209+Z209/B209)/(0.8-K209-M209-N209-O209-P209))</f>
        <v>48.733346435879</v>
      </c>
      <c r="H209" s="73">
        <v>59.99</v>
      </c>
      <c r="I209" s="72">
        <v>70.8</v>
      </c>
      <c r="J209" s="49">
        <v>3.26</v>
      </c>
      <c r="K209" s="74">
        <v>0.15</v>
      </c>
      <c r="L209" s="74">
        <v>0.16</v>
      </c>
      <c r="M209" s="74">
        <v>0.05</v>
      </c>
      <c r="N209" s="74">
        <f t="shared" ref="N209:N211" si="551">Q209/H209</f>
        <v>0.166694449074846</v>
      </c>
      <c r="O209" s="75">
        <f t="shared" ref="O209:O211" si="552">0.61/H209</f>
        <v>0.0101683613935656</v>
      </c>
      <c r="P209" s="74">
        <v>0.02</v>
      </c>
      <c r="Q209" s="72">
        <v>10</v>
      </c>
      <c r="R209" s="49">
        <v>33.5</v>
      </c>
      <c r="S209" s="49">
        <v>26.5</v>
      </c>
      <c r="T209" s="49">
        <v>25</v>
      </c>
      <c r="U209" s="49">
        <v>2.3</v>
      </c>
      <c r="V209" s="72">
        <f t="shared" ref="V209:V211" si="553">R209*S209*T209/6000</f>
        <v>3.69895833333333</v>
      </c>
      <c r="W209" s="72">
        <f t="shared" ref="W209:W211" si="554">MAX(U209:V209)</f>
        <v>3.69895833333333</v>
      </c>
      <c r="X209" s="71" t="s">
        <v>39</v>
      </c>
      <c r="Y209" s="76">
        <v>6.084</v>
      </c>
      <c r="Z209" s="77">
        <v>6.5</v>
      </c>
      <c r="AA209" s="72">
        <f t="shared" ref="AA209:AA211" si="555">H209-SUM(K209:P209)*H209-J209-I209/B209-Z209/B209</f>
        <v>14.7349111111111</v>
      </c>
      <c r="AB209" s="75">
        <f t="shared" ref="AB209:AB211" si="556">AA209/H209</f>
        <v>0.245622788983349</v>
      </c>
      <c r="AC209" s="49"/>
      <c r="AD209" s="78">
        <f t="shared" ref="AD209:AD211" si="557">J209/H209</f>
        <v>0.0543423903983997</v>
      </c>
      <c r="AE209" s="74">
        <f t="shared" ref="AE209:AE211" si="558">I209/7.4/H209</f>
        <v>0.159486040466204</v>
      </c>
      <c r="AF209" s="74">
        <f t="shared" ref="AF209:AF211" si="559">Z209/7.4/H209</f>
        <v>0.014642079986304</v>
      </c>
      <c r="AG209" s="74">
        <v>0.15</v>
      </c>
      <c r="AH209" s="74">
        <f t="shared" ref="AH209:AH211" si="560">N209</f>
        <v>0.166694449074846</v>
      </c>
      <c r="AI209" s="74">
        <v>0.02</v>
      </c>
      <c r="AJ209" s="74">
        <f t="shared" ref="AJ209:AJ211" si="561">M209</f>
        <v>0.05</v>
      </c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</row>
    <row r="210" spans="1:75">
      <c r="A210" s="48" t="s">
        <v>91</v>
      </c>
      <c r="B210" s="49">
        <v>9</v>
      </c>
      <c r="C210" s="71" t="s">
        <v>49</v>
      </c>
      <c r="D210" s="71" t="s">
        <v>50</v>
      </c>
      <c r="E210" s="71" t="s">
        <v>38</v>
      </c>
      <c r="F210" s="72">
        <f t="shared" si="549"/>
        <v>25.5636490551126</v>
      </c>
      <c r="G210" s="72">
        <f t="shared" si="550"/>
        <v>51.1731795406311</v>
      </c>
      <c r="H210" s="73">
        <f>H209*0.85</f>
        <v>50.9915</v>
      </c>
      <c r="I210" s="72">
        <f>80/1.13</f>
        <v>70.7964601769912</v>
      </c>
      <c r="J210" s="71">
        <v>3.26</v>
      </c>
      <c r="K210" s="74">
        <v>0.15</v>
      </c>
      <c r="L210" s="74">
        <v>0.16</v>
      </c>
      <c r="M210" s="74">
        <v>0.05</v>
      </c>
      <c r="N210" s="74">
        <f t="shared" si="551"/>
        <v>0.176500004902778</v>
      </c>
      <c r="O210" s="75">
        <f t="shared" si="552"/>
        <v>0.0119627781100772</v>
      </c>
      <c r="P210" s="74">
        <v>0.02</v>
      </c>
      <c r="Q210" s="72">
        <v>9</v>
      </c>
      <c r="R210" s="49">
        <v>33.5</v>
      </c>
      <c r="S210" s="49">
        <v>26.5</v>
      </c>
      <c r="T210" s="49">
        <v>25</v>
      </c>
      <c r="U210" s="49">
        <v>2.3</v>
      </c>
      <c r="V210" s="72">
        <f t="shared" si="553"/>
        <v>3.69895833333333</v>
      </c>
      <c r="W210" s="72">
        <f t="shared" si="554"/>
        <v>3.69895833333333</v>
      </c>
      <c r="X210" s="71" t="s">
        <v>39</v>
      </c>
      <c r="Y210" s="76">
        <v>6.084</v>
      </c>
      <c r="Z210" s="77">
        <v>6.5</v>
      </c>
      <c r="AA210" s="72">
        <f t="shared" si="555"/>
        <v>10.1562344247788</v>
      </c>
      <c r="AB210" s="75">
        <f t="shared" si="556"/>
        <v>0.199175047307468</v>
      </c>
      <c r="AC210" s="49"/>
      <c r="AD210" s="78">
        <f t="shared" si="557"/>
        <v>0.0639322239981173</v>
      </c>
      <c r="AE210" s="74">
        <f t="shared" si="558"/>
        <v>0.187621254779854</v>
      </c>
      <c r="AF210" s="74">
        <f t="shared" si="559"/>
        <v>0.0172259764544753</v>
      </c>
      <c r="AG210" s="74">
        <v>0.15</v>
      </c>
      <c r="AH210" s="74">
        <f t="shared" si="560"/>
        <v>0.176500004902778</v>
      </c>
      <c r="AI210" s="74">
        <v>0.02</v>
      </c>
      <c r="AJ210" s="74">
        <f t="shared" si="561"/>
        <v>0.05</v>
      </c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</row>
    <row r="211" spans="1:75">
      <c r="A211" s="48" t="s">
        <v>92</v>
      </c>
      <c r="B211" s="49">
        <v>9</v>
      </c>
      <c r="C211" s="71" t="s">
        <v>49</v>
      </c>
      <c r="D211" s="71" t="s">
        <v>50</v>
      </c>
      <c r="E211" s="71" t="s">
        <v>38</v>
      </c>
      <c r="F211" s="72">
        <f t="shared" si="549"/>
        <v>25.0340311715606</v>
      </c>
      <c r="G211" s="72">
        <f t="shared" si="550"/>
        <v>49.2466206312847</v>
      </c>
      <c r="H211" s="73">
        <f>H209*0.8</f>
        <v>47.992</v>
      </c>
      <c r="I211" s="72">
        <f>80/1.13</f>
        <v>70.7964601769912</v>
      </c>
      <c r="J211" s="71">
        <v>3.26</v>
      </c>
      <c r="K211" s="74">
        <v>0.15</v>
      </c>
      <c r="L211" s="74">
        <v>0.16</v>
      </c>
      <c r="M211" s="74">
        <v>0.05</v>
      </c>
      <c r="N211" s="74">
        <f t="shared" si="551"/>
        <v>0.166694449074846</v>
      </c>
      <c r="O211" s="75">
        <f t="shared" si="552"/>
        <v>0.012710451741957</v>
      </c>
      <c r="P211" s="74">
        <v>0.02</v>
      </c>
      <c r="Q211" s="72">
        <v>8</v>
      </c>
      <c r="R211" s="49">
        <v>33.5</v>
      </c>
      <c r="S211" s="49">
        <v>26.5</v>
      </c>
      <c r="T211" s="49">
        <v>25</v>
      </c>
      <c r="U211" s="49">
        <v>2.3</v>
      </c>
      <c r="V211" s="72">
        <f t="shared" si="553"/>
        <v>3.69895833333333</v>
      </c>
      <c r="W211" s="72">
        <f t="shared" si="554"/>
        <v>3.69895833333333</v>
      </c>
      <c r="X211" s="71" t="s">
        <v>39</v>
      </c>
      <c r="Y211" s="76">
        <v>6.084</v>
      </c>
      <c r="Z211" s="77">
        <v>6.5</v>
      </c>
      <c r="AA211" s="72">
        <f t="shared" si="555"/>
        <v>9.29654442477876</v>
      </c>
      <c r="AB211" s="75">
        <f t="shared" si="556"/>
        <v>0.193710293898541</v>
      </c>
      <c r="AC211" s="49"/>
      <c r="AD211" s="78">
        <f t="shared" si="557"/>
        <v>0.0679279879979997</v>
      </c>
      <c r="AE211" s="74">
        <f t="shared" si="558"/>
        <v>0.199347583203595</v>
      </c>
      <c r="AF211" s="74">
        <f t="shared" si="559"/>
        <v>0.01830259998288</v>
      </c>
      <c r="AG211" s="74">
        <v>0.15</v>
      </c>
      <c r="AH211" s="74">
        <f t="shared" si="560"/>
        <v>0.166694449074846</v>
      </c>
      <c r="AI211" s="74">
        <v>0.02</v>
      </c>
      <c r="AJ211" s="74">
        <f t="shared" si="561"/>
        <v>0.05</v>
      </c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</row>
    <row r="212" spans="1:75">
      <c r="B212" s="71"/>
      <c r="C212" s="71"/>
      <c r="D212" s="71"/>
      <c r="E212" s="71"/>
      <c r="F212" s="72"/>
      <c r="G212" s="72"/>
      <c r="H212" s="79"/>
      <c r="I212" s="72"/>
      <c r="J212" s="71"/>
      <c r="K212" s="74"/>
      <c r="L212" s="74"/>
      <c r="M212" s="74"/>
      <c r="N212" s="74"/>
      <c r="O212" s="75"/>
      <c r="P212" s="74"/>
      <c r="Q212" s="74"/>
      <c r="R212" s="49"/>
      <c r="S212" s="49"/>
      <c r="T212" s="49"/>
      <c r="U212" s="49"/>
      <c r="V212" s="72"/>
      <c r="W212" s="72"/>
      <c r="X212" s="71"/>
      <c r="Y212" s="76"/>
      <c r="Z212" s="72"/>
      <c r="AA212" s="72"/>
      <c r="AB212" s="75"/>
      <c r="AC212" s="49"/>
      <c r="AD212" s="78"/>
      <c r="AE212" s="74"/>
      <c r="AF212" s="74"/>
      <c r="AG212" s="74"/>
      <c r="AH212" s="74"/>
      <c r="AI212" s="74"/>
      <c r="AJ212" s="74"/>
    </row>
    <row r="213" spans="1:75">
      <c r="A213" s="70" t="s">
        <v>94</v>
      </c>
      <c r="B213" s="71">
        <v>8</v>
      </c>
      <c r="C213" s="71" t="s">
        <v>36</v>
      </c>
      <c r="D213" s="49" t="s">
        <v>79</v>
      </c>
      <c r="E213" s="71" t="s">
        <v>38</v>
      </c>
      <c r="F213" s="72">
        <f t="shared" ref="F213:F217" si="562">IF(E213="有",(I213/B213+J213+Z213/B213)/(0.99999-K213-L213-M213-N213),(I213/B213+J213+Z213/B213)/(0.99999-K213-M213-N213))</f>
        <v>78.1030875548497</v>
      </c>
      <c r="G213" s="72">
        <f t="shared" ref="G213:G217" si="563">IF(E213="有",(I213/B213+J213+Z213/B213)/(0.8-K213-L213-M213-N213-O213-P213),(I213/B213+J213+Z213/B213)/(0.8-K213-M213-N213-O213-P213))</f>
        <v>131.119461541777</v>
      </c>
      <c r="H213" s="79">
        <v>119.99</v>
      </c>
      <c r="I213" s="72">
        <f t="shared" ref="I213:I217" si="564">260/1.13</f>
        <v>230.088495575221</v>
      </c>
      <c r="J213" s="49">
        <v>10.34</v>
      </c>
      <c r="K213" s="74">
        <v>0.15</v>
      </c>
      <c r="L213" s="74">
        <v>0.16</v>
      </c>
      <c r="M213" s="74">
        <v>0.05</v>
      </c>
      <c r="N213" s="74">
        <f t="shared" ref="N213:N217" si="565">Q213/H213</f>
        <v>0.0833402783565297</v>
      </c>
      <c r="O213" s="75">
        <f t="shared" ref="O213:O217" si="566">0.61/H213</f>
        <v>0.00508375697974831</v>
      </c>
      <c r="P213" s="74">
        <v>0.02</v>
      </c>
      <c r="Q213" s="72">
        <v>10</v>
      </c>
      <c r="R213" s="49">
        <v>33.5</v>
      </c>
      <c r="S213" s="49">
        <v>26.5</v>
      </c>
      <c r="T213" s="49">
        <v>25</v>
      </c>
      <c r="U213" s="49">
        <v>2.3</v>
      </c>
      <c r="V213" s="72">
        <f t="shared" ref="V213:V217" si="567">R213*S213*T213/6000</f>
        <v>3.69895833333333</v>
      </c>
      <c r="W213" s="72">
        <f t="shared" ref="W213:W217" si="568">MAX(U213:V213)</f>
        <v>3.69895833333333</v>
      </c>
      <c r="X213" s="49" t="s">
        <v>39</v>
      </c>
      <c r="Y213" s="76">
        <v>5.55136</v>
      </c>
      <c r="Z213" s="72">
        <v>35</v>
      </c>
      <c r="AA213" s="72">
        <f t="shared" ref="AA213:AA217" si="569">H213-SUM(K213:P213)*H213-J213-I213/B213-Z213/B213</f>
        <v>20.3077380530973</v>
      </c>
      <c r="AB213" s="75">
        <f t="shared" ref="AB213:AB217" si="570">AA213/H213</f>
        <v>0.169245254213662</v>
      </c>
      <c r="AC213" s="49"/>
      <c r="AD213" s="78">
        <f t="shared" ref="AD213:AD217" si="571">J213/H213</f>
        <v>0.0861738478206517</v>
      </c>
      <c r="AE213" s="74">
        <f>I213/7.4/H213</f>
        <v>0.259130260376677</v>
      </c>
      <c r="AF213" s="74">
        <f>Z213/7.4/H213</f>
        <v>0.039417699222683</v>
      </c>
      <c r="AG213" s="74">
        <v>0.15</v>
      </c>
      <c r="AH213" s="74">
        <f t="shared" ref="AH213:AH217" si="572">N213</f>
        <v>0.0833402783565297</v>
      </c>
      <c r="AI213" s="74">
        <v>0.02</v>
      </c>
      <c r="AJ213" s="74">
        <f t="shared" ref="AJ213:AJ217" si="573">M213</f>
        <v>0.05</v>
      </c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</row>
    <row r="214" spans="1:75">
      <c r="A214" s="70" t="s">
        <v>40</v>
      </c>
      <c r="B214" s="71">
        <v>8</v>
      </c>
      <c r="C214" s="71" t="s">
        <v>36</v>
      </c>
      <c r="D214" s="71" t="s">
        <v>79</v>
      </c>
      <c r="E214" s="71" t="s">
        <v>38</v>
      </c>
      <c r="F214" s="72">
        <f t="shared" si="562"/>
        <v>80.2226303080751</v>
      </c>
      <c r="G214" s="72">
        <f t="shared" si="563"/>
        <v>137.594787013564</v>
      </c>
      <c r="H214" s="79">
        <f>H213*0.85</f>
        <v>101.9915</v>
      </c>
      <c r="I214" s="72">
        <f t="shared" si="564"/>
        <v>230.088495575221</v>
      </c>
      <c r="J214" s="71">
        <v>10.34</v>
      </c>
      <c r="K214" s="74">
        <v>0.15</v>
      </c>
      <c r="L214" s="74">
        <v>0.16</v>
      </c>
      <c r="M214" s="74">
        <v>0.05</v>
      </c>
      <c r="N214" s="74">
        <f t="shared" si="565"/>
        <v>0.0980473863017997</v>
      </c>
      <c r="O214" s="75">
        <f t="shared" si="566"/>
        <v>0.00598089056440978</v>
      </c>
      <c r="P214" s="74">
        <v>0.02</v>
      </c>
      <c r="Q214" s="72">
        <v>10</v>
      </c>
      <c r="R214" s="49">
        <v>33.5</v>
      </c>
      <c r="S214" s="49">
        <v>26.5</v>
      </c>
      <c r="T214" s="49">
        <v>25</v>
      </c>
      <c r="U214" s="49">
        <v>2.3</v>
      </c>
      <c r="V214" s="72">
        <f t="shared" si="567"/>
        <v>3.69895833333333</v>
      </c>
      <c r="W214" s="72">
        <f t="shared" si="568"/>
        <v>3.69895833333333</v>
      </c>
      <c r="X214" s="71" t="s">
        <v>39</v>
      </c>
      <c r="Y214" s="76">
        <v>5.55136</v>
      </c>
      <c r="Z214" s="72">
        <v>35</v>
      </c>
      <c r="AA214" s="72">
        <f t="shared" si="569"/>
        <v>9.14866805309734</v>
      </c>
      <c r="AB214" s="75">
        <f t="shared" si="570"/>
        <v>0.0897002990748968</v>
      </c>
      <c r="AC214" s="49"/>
      <c r="AD214" s="78">
        <f t="shared" si="571"/>
        <v>0.101380997436061</v>
      </c>
      <c r="AE214" s="74">
        <f>I214/B214/H214</f>
        <v>0.281994695115796</v>
      </c>
      <c r="AF214" s="74">
        <f>Z214/B214/H214</f>
        <v>0.0428957315070374</v>
      </c>
      <c r="AG214" s="74">
        <f>K214</f>
        <v>0.15</v>
      </c>
      <c r="AH214" s="74">
        <f t="shared" si="572"/>
        <v>0.0980473863017997</v>
      </c>
      <c r="AI214" s="74">
        <v>0.02</v>
      </c>
      <c r="AJ214" s="74">
        <f t="shared" si="573"/>
        <v>0.05</v>
      </c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</row>
    <row r="215" spans="1:75">
      <c r="B215" s="71"/>
      <c r="C215" s="71"/>
      <c r="D215" s="71"/>
      <c r="E215" s="71"/>
      <c r="F215" s="72"/>
      <c r="G215" s="72"/>
      <c r="H215" s="79"/>
      <c r="I215" s="72"/>
      <c r="J215" s="49"/>
      <c r="K215" s="74"/>
      <c r="L215" s="74"/>
      <c r="M215" s="74"/>
      <c r="N215" s="74"/>
      <c r="O215" s="75"/>
      <c r="P215" s="74"/>
      <c r="Q215" s="72"/>
      <c r="R215" s="49"/>
      <c r="S215" s="49"/>
      <c r="T215" s="49"/>
      <c r="U215" s="49"/>
      <c r="V215" s="72"/>
      <c r="W215" s="72"/>
      <c r="X215" s="49"/>
      <c r="Y215" s="76"/>
      <c r="Z215" s="72"/>
      <c r="AA215" s="72"/>
      <c r="AB215" s="75"/>
      <c r="AC215" s="49"/>
      <c r="AD215" s="78"/>
      <c r="AE215" s="74"/>
      <c r="AF215" s="74"/>
      <c r="AG215" s="74"/>
      <c r="AH215" s="74"/>
      <c r="AI215" s="74"/>
      <c r="AJ215" s="74"/>
    </row>
    <row r="216" spans="1:75">
      <c r="A216" s="70" t="s">
        <v>94</v>
      </c>
      <c r="B216" s="71">
        <v>8</v>
      </c>
      <c r="C216" s="71" t="s">
        <v>36</v>
      </c>
      <c r="D216" s="71" t="s">
        <v>37</v>
      </c>
      <c r="E216" s="71" t="s">
        <v>38</v>
      </c>
      <c r="F216" s="72">
        <f t="shared" si="562"/>
        <v>68.4143501331604</v>
      </c>
      <c r="G216" s="72">
        <f t="shared" si="563"/>
        <v>113.932912351399</v>
      </c>
      <c r="H216" s="79">
        <v>129</v>
      </c>
      <c r="I216" s="72">
        <f t="shared" si="564"/>
        <v>230.088495575221</v>
      </c>
      <c r="J216" s="71">
        <v>5.97</v>
      </c>
      <c r="K216" s="74">
        <v>0.15</v>
      </c>
      <c r="L216" s="74">
        <v>0.16</v>
      </c>
      <c r="M216" s="74">
        <v>0.05</v>
      </c>
      <c r="N216" s="74">
        <f t="shared" si="565"/>
        <v>0.0775193798449612</v>
      </c>
      <c r="O216" s="75">
        <f t="shared" si="566"/>
        <v>0.00472868217054264</v>
      </c>
      <c r="P216" s="74">
        <v>0.02</v>
      </c>
      <c r="Q216" s="72">
        <v>10</v>
      </c>
      <c r="R216" s="49">
        <v>33.5</v>
      </c>
      <c r="S216" s="49">
        <v>26.5</v>
      </c>
      <c r="T216" s="49">
        <v>25</v>
      </c>
      <c r="U216" s="49">
        <v>2.3</v>
      </c>
      <c r="V216" s="72">
        <f t="shared" si="567"/>
        <v>3.69895833333333</v>
      </c>
      <c r="W216" s="72">
        <f t="shared" si="568"/>
        <v>3.69895833333333</v>
      </c>
      <c r="X216" s="49" t="s">
        <v>39</v>
      </c>
      <c r="Y216" s="76">
        <v>5.55136</v>
      </c>
      <c r="Z216" s="72">
        <v>30</v>
      </c>
      <c r="AA216" s="72">
        <f t="shared" si="569"/>
        <v>30.8889380530973</v>
      </c>
      <c r="AB216" s="75">
        <f t="shared" si="570"/>
        <v>0.239449132194553</v>
      </c>
      <c r="AC216" s="49"/>
      <c r="AD216" s="78">
        <f t="shared" si="571"/>
        <v>0.0462790697674419</v>
      </c>
      <c r="AE216" s="74">
        <f t="shared" ref="AE216:AE220" si="574">I216/7.4/H216</f>
        <v>0.241031317384476</v>
      </c>
      <c r="AF216" s="74">
        <f t="shared" ref="AF216:AF220" si="575">Z216/7.4/H216</f>
        <v>0.0314267756128221</v>
      </c>
      <c r="AG216" s="74">
        <v>0.15</v>
      </c>
      <c r="AH216" s="74">
        <f t="shared" si="572"/>
        <v>0.0775193798449612</v>
      </c>
      <c r="AI216" s="74">
        <v>0.02</v>
      </c>
      <c r="AJ216" s="74">
        <f t="shared" si="573"/>
        <v>0.05</v>
      </c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</row>
    <row r="217" spans="1:75">
      <c r="A217" s="70" t="s">
        <v>40</v>
      </c>
      <c r="B217" s="71">
        <v>8</v>
      </c>
      <c r="C217" s="71" t="s">
        <v>36</v>
      </c>
      <c r="D217" s="71" t="s">
        <v>37</v>
      </c>
      <c r="E217" s="71" t="s">
        <v>38</v>
      </c>
      <c r="F217" s="72">
        <f t="shared" si="562"/>
        <v>70.1197375825933</v>
      </c>
      <c r="G217" s="72">
        <f t="shared" si="563"/>
        <v>119.04885146511</v>
      </c>
      <c r="H217" s="79">
        <f>H216*0.85</f>
        <v>109.65</v>
      </c>
      <c r="I217" s="72">
        <f t="shared" si="564"/>
        <v>230.088495575221</v>
      </c>
      <c r="J217" s="71">
        <v>5.97</v>
      </c>
      <c r="K217" s="74">
        <v>0.15</v>
      </c>
      <c r="L217" s="74">
        <v>0.16</v>
      </c>
      <c r="M217" s="74">
        <v>0.05</v>
      </c>
      <c r="N217" s="74">
        <f t="shared" si="565"/>
        <v>0.0911992704058368</v>
      </c>
      <c r="O217" s="75">
        <f t="shared" si="566"/>
        <v>0.00556315549475604</v>
      </c>
      <c r="P217" s="74">
        <v>0.02</v>
      </c>
      <c r="Q217" s="72">
        <v>10</v>
      </c>
      <c r="R217" s="49">
        <v>33.5</v>
      </c>
      <c r="S217" s="49">
        <v>26.5</v>
      </c>
      <c r="T217" s="49">
        <v>25</v>
      </c>
      <c r="U217" s="49">
        <v>2.3</v>
      </c>
      <c r="V217" s="72">
        <f t="shared" si="567"/>
        <v>3.69895833333333</v>
      </c>
      <c r="W217" s="72">
        <f t="shared" si="568"/>
        <v>3.69895833333333</v>
      </c>
      <c r="X217" s="71" t="s">
        <v>39</v>
      </c>
      <c r="Y217" s="76">
        <v>5.55136</v>
      </c>
      <c r="Z217" s="72">
        <v>30</v>
      </c>
      <c r="AA217" s="72">
        <f t="shared" si="569"/>
        <v>18.8919380530973</v>
      </c>
      <c r="AB217" s="75">
        <f t="shared" si="570"/>
        <v>0.172293096699474</v>
      </c>
      <c r="AC217" s="49"/>
      <c r="AD217" s="78">
        <f t="shared" si="571"/>
        <v>0.0544459644322845</v>
      </c>
      <c r="AE217" s="74">
        <f>I217/B217/H217</f>
        <v>0.26229878656546</v>
      </c>
      <c r="AF217" s="74">
        <f>Z217/B217/H217</f>
        <v>0.0341997264021888</v>
      </c>
      <c r="AG217" s="74">
        <f>K217</f>
        <v>0.15</v>
      </c>
      <c r="AH217" s="74">
        <f t="shared" si="572"/>
        <v>0.0911992704058368</v>
      </c>
      <c r="AI217" s="74">
        <v>0.02</v>
      </c>
      <c r="AJ217" s="74">
        <f t="shared" si="573"/>
        <v>0.05</v>
      </c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</row>
    <row r="218" spans="1:75">
      <c r="A218" s="48"/>
      <c r="B218" s="49"/>
      <c r="C218" s="49"/>
      <c r="D218" s="49"/>
      <c r="E218" s="49"/>
      <c r="F218" s="72"/>
      <c r="G218" s="72"/>
      <c r="H218" s="79"/>
      <c r="I218" s="72"/>
      <c r="J218" s="71"/>
      <c r="K218" s="74"/>
      <c r="L218" s="74"/>
      <c r="M218" s="74"/>
      <c r="N218" s="74"/>
      <c r="O218" s="75"/>
      <c r="P218" s="74"/>
      <c r="Q218" s="72"/>
      <c r="R218" s="49"/>
      <c r="S218" s="49"/>
      <c r="T218" s="49"/>
      <c r="U218" s="49"/>
      <c r="V218" s="72"/>
      <c r="W218" s="72"/>
      <c r="X218" s="71"/>
      <c r="Y218" s="76"/>
      <c r="Z218" s="71"/>
      <c r="AA218" s="72"/>
      <c r="AB218" s="75"/>
      <c r="AC218" s="49"/>
      <c r="AD218" s="78"/>
      <c r="AE218" s="74"/>
      <c r="AF218" s="74"/>
      <c r="AG218" s="74"/>
      <c r="AH218" s="74"/>
      <c r="AI218" s="74"/>
      <c r="AJ218" s="74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</row>
    <row r="219" spans="1:75">
      <c r="A219" s="70" t="s">
        <v>94</v>
      </c>
      <c r="B219" s="71">
        <v>8</v>
      </c>
      <c r="C219" s="49" t="s">
        <v>42</v>
      </c>
      <c r="D219" s="49" t="s">
        <v>43</v>
      </c>
      <c r="E219" s="71" t="s">
        <v>38</v>
      </c>
      <c r="F219" s="72">
        <f t="shared" ref="F219:F223" si="576">IF(E219="有",(I219/B219+J219+Z219/B219)/(0.99999-K219-L219-M219-N219),(I219/B219+J219+Z219/B219)/(0.99999-K219-M219-N219))</f>
        <v>74.9924714917126</v>
      </c>
      <c r="G219" s="72">
        <f t="shared" ref="G219:G223" si="577">IF(E219="有",(I219/B219+J219+Z219/B219)/(0.8-K219-L219-M219-N219-O219-P219),(I219/B219+J219+Z219/B219)/(0.8-K219-M219-N219-O219-P219))</f>
        <v>124.887697754199</v>
      </c>
      <c r="H219" s="79">
        <v>129</v>
      </c>
      <c r="I219" s="72">
        <f t="shared" ref="I219:I223" si="578">260/1.13</f>
        <v>230.088495575221</v>
      </c>
      <c r="J219" s="71">
        <v>9.67</v>
      </c>
      <c r="K219" s="74">
        <v>0.15</v>
      </c>
      <c r="L219" s="74">
        <v>0.16</v>
      </c>
      <c r="M219" s="74">
        <v>0.05</v>
      </c>
      <c r="N219" s="74">
        <f t="shared" ref="N219:N223" si="579">Q219/H219</f>
        <v>0.0775193798449612</v>
      </c>
      <c r="O219" s="75">
        <f t="shared" ref="O219:O223" si="580">0.61/H219</f>
        <v>0.00472868217054264</v>
      </c>
      <c r="P219" s="74">
        <v>0.02</v>
      </c>
      <c r="Q219" s="72">
        <v>10</v>
      </c>
      <c r="R219" s="49">
        <v>33.5</v>
      </c>
      <c r="S219" s="49">
        <v>26.5</v>
      </c>
      <c r="T219" s="49">
        <v>25</v>
      </c>
      <c r="U219" s="49">
        <v>2.3</v>
      </c>
      <c r="V219" s="72">
        <f t="shared" ref="V219:V223" si="581">R219*S219*T219/6000</f>
        <v>3.69895833333333</v>
      </c>
      <c r="W219" s="72">
        <f t="shared" ref="W219:W223" si="582">MAX(U219:V219)</f>
        <v>3.69895833333333</v>
      </c>
      <c r="X219" s="49" t="s">
        <v>39</v>
      </c>
      <c r="Y219" s="76">
        <v>5.55136</v>
      </c>
      <c r="Z219" s="72">
        <v>30</v>
      </c>
      <c r="AA219" s="72">
        <f t="shared" ref="AA219:AA223" si="583">H219-SUM(K219:P219)*H219-J219-I219/B219-Z219/B219</f>
        <v>27.1889380530973</v>
      </c>
      <c r="AB219" s="75">
        <f t="shared" ref="AB219:AB223" si="584">AA219/H219</f>
        <v>0.210766961651917</v>
      </c>
      <c r="AC219" s="49"/>
      <c r="AD219" s="78">
        <f t="shared" ref="AD219:AD223" si="585">J219/H219</f>
        <v>0.0749612403100775</v>
      </c>
      <c r="AE219" s="74">
        <f t="shared" si="574"/>
        <v>0.241031317384476</v>
      </c>
      <c r="AF219" s="74">
        <f t="shared" si="575"/>
        <v>0.0314267756128221</v>
      </c>
      <c r="AG219" s="74">
        <v>0.15</v>
      </c>
      <c r="AH219" s="74">
        <f t="shared" ref="AH219:AH223" si="586">N219</f>
        <v>0.0775193798449612</v>
      </c>
      <c r="AI219" s="74">
        <v>0.02</v>
      </c>
      <c r="AJ219" s="74">
        <f t="shared" ref="AJ219:AJ223" si="587">M219</f>
        <v>0.05</v>
      </c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</row>
    <row r="220" spans="1:75">
      <c r="A220" s="70" t="s">
        <v>40</v>
      </c>
      <c r="B220" s="71">
        <v>8</v>
      </c>
      <c r="C220" s="71" t="s">
        <v>42</v>
      </c>
      <c r="D220" s="71" t="s">
        <v>43</v>
      </c>
      <c r="E220" s="71" t="s">
        <v>38</v>
      </c>
      <c r="F220" s="72">
        <f t="shared" si="576"/>
        <v>76.8618339783109</v>
      </c>
      <c r="G220" s="72">
        <f t="shared" si="577"/>
        <v>130.495540515134</v>
      </c>
      <c r="H220" s="79">
        <f>H219*0.85</f>
        <v>109.65</v>
      </c>
      <c r="I220" s="72">
        <f t="shared" si="578"/>
        <v>230.088495575221</v>
      </c>
      <c r="J220" s="71">
        <v>9.67</v>
      </c>
      <c r="K220" s="74">
        <v>0.15</v>
      </c>
      <c r="L220" s="74">
        <v>0.16</v>
      </c>
      <c r="M220" s="74">
        <v>0.05</v>
      </c>
      <c r="N220" s="74">
        <f t="shared" si="579"/>
        <v>0.0911992704058368</v>
      </c>
      <c r="O220" s="75">
        <f t="shared" si="580"/>
        <v>0.00556315549475604</v>
      </c>
      <c r="P220" s="74">
        <v>0.02</v>
      </c>
      <c r="Q220" s="72">
        <v>10</v>
      </c>
      <c r="R220" s="49">
        <v>33.5</v>
      </c>
      <c r="S220" s="49">
        <v>26.5</v>
      </c>
      <c r="T220" s="49">
        <v>25</v>
      </c>
      <c r="U220" s="49">
        <v>2.3</v>
      </c>
      <c r="V220" s="72">
        <f t="shared" si="581"/>
        <v>3.69895833333333</v>
      </c>
      <c r="W220" s="72">
        <f t="shared" si="582"/>
        <v>3.69895833333333</v>
      </c>
      <c r="X220" s="71" t="s">
        <v>39</v>
      </c>
      <c r="Y220" s="76">
        <v>5.55136</v>
      </c>
      <c r="Z220" s="72">
        <v>30</v>
      </c>
      <c r="AA220" s="72">
        <f t="shared" si="583"/>
        <v>15.1919380530973</v>
      </c>
      <c r="AB220" s="75">
        <f t="shared" si="584"/>
        <v>0.138549366649314</v>
      </c>
      <c r="AC220" s="49"/>
      <c r="AD220" s="78">
        <f t="shared" si="585"/>
        <v>0.0881896944824442</v>
      </c>
      <c r="AE220" s="74">
        <f t="shared" si="574"/>
        <v>0.283566255746443</v>
      </c>
      <c r="AF220" s="74">
        <f t="shared" si="575"/>
        <v>0.0369726771915554</v>
      </c>
      <c r="AG220" s="74">
        <v>0.15</v>
      </c>
      <c r="AH220" s="74">
        <f t="shared" si="586"/>
        <v>0.0911992704058368</v>
      </c>
      <c r="AI220" s="74">
        <v>0.02</v>
      </c>
      <c r="AJ220" s="74">
        <f t="shared" si="587"/>
        <v>0.05</v>
      </c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</row>
    <row r="221" spans="1:75">
      <c r="A221" s="48"/>
      <c r="B221" s="49"/>
      <c r="C221" s="49"/>
      <c r="D221" s="49"/>
      <c r="E221" s="49"/>
      <c r="F221" s="72"/>
      <c r="G221" s="72"/>
      <c r="H221" s="79"/>
      <c r="I221" s="72"/>
      <c r="J221" s="71"/>
      <c r="K221" s="74"/>
      <c r="L221" s="74"/>
      <c r="M221" s="74"/>
      <c r="N221" s="74"/>
      <c r="O221" s="75"/>
      <c r="P221" s="74"/>
      <c r="Q221" s="74"/>
      <c r="R221" s="49"/>
      <c r="S221" s="49"/>
      <c r="T221" s="49"/>
      <c r="U221" s="49"/>
      <c r="V221" s="72"/>
      <c r="W221" s="72"/>
      <c r="X221" s="71"/>
      <c r="Y221" s="76"/>
      <c r="Z221" s="71"/>
      <c r="AA221" s="72"/>
      <c r="AB221" s="75"/>
      <c r="AC221" s="49"/>
      <c r="AD221" s="78"/>
      <c r="AE221" s="74"/>
      <c r="AF221" s="74"/>
      <c r="AG221" s="74"/>
      <c r="AH221" s="74"/>
      <c r="AI221" s="74"/>
      <c r="AJ221" s="74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</row>
    <row r="222" spans="1:75">
      <c r="A222" s="70" t="s">
        <v>94</v>
      </c>
      <c r="B222" s="71">
        <v>8</v>
      </c>
      <c r="C222" s="49" t="s">
        <v>44</v>
      </c>
      <c r="D222" s="49" t="s">
        <v>45</v>
      </c>
      <c r="E222" s="71" t="s">
        <v>38</v>
      </c>
      <c r="F222" s="72">
        <f t="shared" si="576"/>
        <v>70.6900245490919</v>
      </c>
      <c r="G222" s="72">
        <f t="shared" si="577"/>
        <v>117.722675950205</v>
      </c>
      <c r="H222" s="79">
        <v>129</v>
      </c>
      <c r="I222" s="72">
        <f t="shared" si="578"/>
        <v>230.088495575221</v>
      </c>
      <c r="J222" s="49">
        <v>7.25</v>
      </c>
      <c r="K222" s="74">
        <v>0.15</v>
      </c>
      <c r="L222" s="74">
        <v>0.16</v>
      </c>
      <c r="M222" s="74">
        <v>0.05</v>
      </c>
      <c r="N222" s="74">
        <f t="shared" si="579"/>
        <v>0.0775193798449612</v>
      </c>
      <c r="O222" s="75">
        <f t="shared" si="580"/>
        <v>0.00472868217054264</v>
      </c>
      <c r="P222" s="74">
        <v>0.02</v>
      </c>
      <c r="Q222" s="72">
        <v>10</v>
      </c>
      <c r="R222" s="49">
        <v>33.5</v>
      </c>
      <c r="S222" s="49">
        <v>26.5</v>
      </c>
      <c r="T222" s="49">
        <v>25</v>
      </c>
      <c r="U222" s="49">
        <v>2.3</v>
      </c>
      <c r="V222" s="72">
        <f t="shared" si="581"/>
        <v>3.69895833333333</v>
      </c>
      <c r="W222" s="72">
        <f t="shared" si="582"/>
        <v>3.69895833333333</v>
      </c>
      <c r="X222" s="49" t="s">
        <v>39</v>
      </c>
      <c r="Y222" s="76">
        <v>5.55136</v>
      </c>
      <c r="Z222" s="72">
        <v>30</v>
      </c>
      <c r="AA222" s="72">
        <f t="shared" si="583"/>
        <v>29.6089380530973</v>
      </c>
      <c r="AB222" s="75">
        <f t="shared" si="584"/>
        <v>0.229526651574398</v>
      </c>
      <c r="AC222" s="49"/>
      <c r="AD222" s="78">
        <f t="shared" si="585"/>
        <v>0.0562015503875969</v>
      </c>
      <c r="AE222" s="74">
        <f t="shared" ref="AE222:AE226" si="588">I222/7.4/H222</f>
        <v>0.241031317384476</v>
      </c>
      <c r="AF222" s="74">
        <f t="shared" ref="AF222:AF226" si="589">Z222/7.4/H222</f>
        <v>0.0314267756128221</v>
      </c>
      <c r="AG222" s="74">
        <v>0.15</v>
      </c>
      <c r="AH222" s="74">
        <f t="shared" si="586"/>
        <v>0.0775193798449612</v>
      </c>
      <c r="AI222" s="74">
        <v>0.02</v>
      </c>
      <c r="AJ222" s="74">
        <f t="shared" si="587"/>
        <v>0.05</v>
      </c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</row>
    <row r="223" spans="1:75">
      <c r="A223" s="70" t="s">
        <v>40</v>
      </c>
      <c r="B223" s="71">
        <v>8</v>
      </c>
      <c r="C223" s="71" t="s">
        <v>44</v>
      </c>
      <c r="D223" s="71" t="s">
        <v>45</v>
      </c>
      <c r="E223" s="71" t="s">
        <v>38</v>
      </c>
      <c r="F223" s="72">
        <f t="shared" si="576"/>
        <v>72.4521384978686</v>
      </c>
      <c r="G223" s="72">
        <f t="shared" si="577"/>
        <v>123.008787136469</v>
      </c>
      <c r="H223" s="79">
        <f>H222*0.85</f>
        <v>109.65</v>
      </c>
      <c r="I223" s="72">
        <f t="shared" si="578"/>
        <v>230.088495575221</v>
      </c>
      <c r="J223" s="71">
        <v>7.25</v>
      </c>
      <c r="K223" s="74">
        <v>0.15</v>
      </c>
      <c r="L223" s="74">
        <v>0.16</v>
      </c>
      <c r="M223" s="74">
        <v>0.05</v>
      </c>
      <c r="N223" s="74">
        <f t="shared" si="579"/>
        <v>0.0911992704058368</v>
      </c>
      <c r="O223" s="75">
        <f t="shared" si="580"/>
        <v>0.00556315549475604</v>
      </c>
      <c r="P223" s="74">
        <v>0.02</v>
      </c>
      <c r="Q223" s="72">
        <v>10</v>
      </c>
      <c r="R223" s="49">
        <v>33.5</v>
      </c>
      <c r="S223" s="49">
        <v>26.5</v>
      </c>
      <c r="T223" s="49">
        <v>25</v>
      </c>
      <c r="U223" s="49">
        <v>2.3</v>
      </c>
      <c r="V223" s="72">
        <f t="shared" si="581"/>
        <v>3.69895833333333</v>
      </c>
      <c r="W223" s="72">
        <f t="shared" si="582"/>
        <v>3.69895833333333</v>
      </c>
      <c r="X223" s="71" t="s">
        <v>39</v>
      </c>
      <c r="Y223" s="76">
        <v>5.55136</v>
      </c>
      <c r="Z223" s="72">
        <v>30</v>
      </c>
      <c r="AA223" s="72">
        <f t="shared" si="583"/>
        <v>17.6119380530973</v>
      </c>
      <c r="AB223" s="75">
        <f t="shared" si="584"/>
        <v>0.160619590087527</v>
      </c>
      <c r="AC223" s="49"/>
      <c r="AD223" s="78">
        <f t="shared" si="585"/>
        <v>0.0661194710442316</v>
      </c>
      <c r="AE223" s="74">
        <f t="shared" si="588"/>
        <v>0.283566255746443</v>
      </c>
      <c r="AF223" s="74">
        <f t="shared" si="589"/>
        <v>0.0369726771915554</v>
      </c>
      <c r="AG223" s="74">
        <v>0.15</v>
      </c>
      <c r="AH223" s="74">
        <f t="shared" si="586"/>
        <v>0.0911992704058368</v>
      </c>
      <c r="AI223" s="74">
        <v>0.02</v>
      </c>
      <c r="AJ223" s="74">
        <f t="shared" si="587"/>
        <v>0.05</v>
      </c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</row>
    <row r="224" spans="1:75">
      <c r="A224" s="48"/>
      <c r="B224" s="49"/>
      <c r="C224" s="49"/>
      <c r="D224" s="49"/>
      <c r="E224" s="49"/>
      <c r="F224" s="72"/>
      <c r="G224" s="72"/>
      <c r="H224" s="79"/>
      <c r="I224" s="72"/>
      <c r="J224" s="71"/>
      <c r="K224" s="74"/>
      <c r="L224" s="74"/>
      <c r="M224" s="74"/>
      <c r="N224" s="74"/>
      <c r="O224" s="75"/>
      <c r="P224" s="74"/>
      <c r="Q224" s="74"/>
      <c r="R224" s="49"/>
      <c r="S224" s="49"/>
      <c r="T224" s="49"/>
      <c r="U224" s="49"/>
      <c r="V224" s="72"/>
      <c r="W224" s="72"/>
      <c r="X224" s="71"/>
      <c r="Y224" s="76"/>
      <c r="Z224" s="71"/>
      <c r="AA224" s="72"/>
      <c r="AB224" s="75"/>
      <c r="AC224" s="49"/>
      <c r="AD224" s="78"/>
      <c r="AE224" s="74"/>
      <c r="AF224" s="74"/>
      <c r="AG224" s="74"/>
      <c r="AH224" s="74"/>
      <c r="AI224" s="74"/>
      <c r="AJ224" s="74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</row>
    <row r="225" spans="1:75">
      <c r="A225" s="70" t="s">
        <v>94</v>
      </c>
      <c r="B225" s="71">
        <v>8</v>
      </c>
      <c r="C225" s="49" t="s">
        <v>47</v>
      </c>
      <c r="D225" s="49" t="s">
        <v>48</v>
      </c>
      <c r="E225" s="71" t="s">
        <v>38</v>
      </c>
      <c r="F225" s="72">
        <f t="shared" ref="F225:F229" si="590">IF(E225="有",(I225/B225+J225+Z225/B225)/(0.99999-K225-L225-M225-N225),(I225/B225+J225+Z225/B225)/(0.99999-K225-M225-N225))</f>
        <v>70.2811143024792</v>
      </c>
      <c r="G225" s="72">
        <f t="shared" ref="G225:G229" si="591">IF(E225="有",(I225/B225+J225+Z225/B225)/(0.8-K225-L225-M225-N225-O225-P225),(I225/B225+J225+Z225/B225)/(0.8-K225-M225-N225-O225-P225))</f>
        <v>117.041702803545</v>
      </c>
      <c r="H225" s="79">
        <v>129</v>
      </c>
      <c r="I225" s="72">
        <f t="shared" ref="I225:I229" si="592">260/1.13</f>
        <v>230.088495575221</v>
      </c>
      <c r="J225" s="49">
        <v>7.02</v>
      </c>
      <c r="K225" s="74">
        <v>0.15</v>
      </c>
      <c r="L225" s="74">
        <v>0.16</v>
      </c>
      <c r="M225" s="74">
        <v>0.05</v>
      </c>
      <c r="N225" s="74">
        <f t="shared" ref="N225:N229" si="593">Q225/H225</f>
        <v>0.0775193798449612</v>
      </c>
      <c r="O225" s="75">
        <f t="shared" ref="O225:O229" si="594">0.61/H225</f>
        <v>0.00472868217054264</v>
      </c>
      <c r="P225" s="74">
        <v>0.02</v>
      </c>
      <c r="Q225" s="72">
        <v>10</v>
      </c>
      <c r="R225" s="49">
        <v>33.5</v>
      </c>
      <c r="S225" s="49">
        <v>26.5</v>
      </c>
      <c r="T225" s="49">
        <v>25</v>
      </c>
      <c r="U225" s="49">
        <v>2.3</v>
      </c>
      <c r="V225" s="72">
        <f t="shared" ref="V225:V229" si="595">R225*S225*T225/6000</f>
        <v>3.69895833333333</v>
      </c>
      <c r="W225" s="72">
        <f t="shared" ref="W225:W229" si="596">MAX(U225:V225)</f>
        <v>3.69895833333333</v>
      </c>
      <c r="X225" s="49" t="s">
        <v>39</v>
      </c>
      <c r="Y225" s="76">
        <v>5.55136</v>
      </c>
      <c r="Z225" s="72">
        <v>30</v>
      </c>
      <c r="AA225" s="72">
        <f t="shared" ref="AA225:AA229" si="597">H225-SUM(K225:P225)*H225-J225-I225/B225-Z225/B225</f>
        <v>29.8389380530974</v>
      </c>
      <c r="AB225" s="75">
        <f t="shared" ref="AB225:AB229" si="598">AA225/H225</f>
        <v>0.231309597310832</v>
      </c>
      <c r="AC225" s="49"/>
      <c r="AD225" s="78">
        <f t="shared" ref="AD225:AD229" si="599">J225/H225</f>
        <v>0.0544186046511628</v>
      </c>
      <c r="AE225" s="74">
        <f t="shared" si="588"/>
        <v>0.241031317384476</v>
      </c>
      <c r="AF225" s="74">
        <f t="shared" si="589"/>
        <v>0.0314267756128221</v>
      </c>
      <c r="AG225" s="74">
        <v>0.15</v>
      </c>
      <c r="AH225" s="74">
        <f t="shared" ref="AH225:AH229" si="600">N225</f>
        <v>0.0775193798449612</v>
      </c>
      <c r="AI225" s="74">
        <v>0.02</v>
      </c>
      <c r="AJ225" s="74">
        <f t="shared" ref="AJ225:AJ229" si="601">M225</f>
        <v>0.05</v>
      </c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</row>
    <row r="226" spans="1:75">
      <c r="A226" s="70" t="s">
        <v>40</v>
      </c>
      <c r="B226" s="71">
        <v>8</v>
      </c>
      <c r="C226" s="71" t="s">
        <v>47</v>
      </c>
      <c r="D226" s="71" t="s">
        <v>48</v>
      </c>
      <c r="E226" s="71" t="s">
        <v>38</v>
      </c>
      <c r="F226" s="72">
        <f t="shared" si="590"/>
        <v>72.0330352084051</v>
      </c>
      <c r="G226" s="72">
        <f t="shared" si="591"/>
        <v>122.297236195522</v>
      </c>
      <c r="H226" s="79">
        <f>H225*0.85</f>
        <v>109.65</v>
      </c>
      <c r="I226" s="72">
        <f t="shared" si="592"/>
        <v>230.088495575221</v>
      </c>
      <c r="J226" s="71">
        <v>7.02</v>
      </c>
      <c r="K226" s="74">
        <v>0.15</v>
      </c>
      <c r="L226" s="74">
        <v>0.16</v>
      </c>
      <c r="M226" s="74">
        <v>0.05</v>
      </c>
      <c r="N226" s="74">
        <f t="shared" si="593"/>
        <v>0.0911992704058368</v>
      </c>
      <c r="O226" s="75">
        <f t="shared" si="594"/>
        <v>0.00556315549475604</v>
      </c>
      <c r="P226" s="74">
        <v>0.02</v>
      </c>
      <c r="Q226" s="72">
        <v>10</v>
      </c>
      <c r="R226" s="49">
        <v>33.5</v>
      </c>
      <c r="S226" s="49">
        <v>26.5</v>
      </c>
      <c r="T226" s="49">
        <v>25</v>
      </c>
      <c r="U226" s="49">
        <v>2.3</v>
      </c>
      <c r="V226" s="72">
        <f t="shared" si="595"/>
        <v>3.69895833333333</v>
      </c>
      <c r="W226" s="72">
        <f t="shared" si="596"/>
        <v>3.69895833333333</v>
      </c>
      <c r="X226" s="71" t="s">
        <v>39</v>
      </c>
      <c r="Y226" s="76">
        <v>5.55136</v>
      </c>
      <c r="Z226" s="72">
        <v>30</v>
      </c>
      <c r="AA226" s="72">
        <f t="shared" si="597"/>
        <v>17.8419380530973</v>
      </c>
      <c r="AB226" s="75">
        <f t="shared" si="598"/>
        <v>0.162717173306861</v>
      </c>
      <c r="AC226" s="49"/>
      <c r="AD226" s="78">
        <f t="shared" si="599"/>
        <v>0.0640218878248974</v>
      </c>
      <c r="AE226" s="74">
        <f t="shared" si="588"/>
        <v>0.283566255746443</v>
      </c>
      <c r="AF226" s="74">
        <f t="shared" si="589"/>
        <v>0.0369726771915554</v>
      </c>
      <c r="AG226" s="74">
        <v>0.15</v>
      </c>
      <c r="AH226" s="74">
        <f t="shared" si="600"/>
        <v>0.0911992704058368</v>
      </c>
      <c r="AI226" s="74">
        <v>0.02</v>
      </c>
      <c r="AJ226" s="74">
        <f t="shared" si="601"/>
        <v>0.05</v>
      </c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</row>
    <row r="227" spans="1:75">
      <c r="A227" s="48"/>
      <c r="B227" s="71"/>
      <c r="C227" s="71"/>
      <c r="D227" s="71"/>
      <c r="E227" s="71"/>
      <c r="F227" s="72"/>
      <c r="G227" s="72"/>
      <c r="H227" s="79"/>
      <c r="I227" s="72"/>
      <c r="J227" s="71"/>
      <c r="K227" s="74"/>
      <c r="L227" s="74"/>
      <c r="M227" s="74"/>
      <c r="N227" s="74"/>
      <c r="O227" s="75"/>
      <c r="P227" s="74"/>
      <c r="Q227" s="74"/>
      <c r="R227" s="49"/>
      <c r="S227" s="49"/>
      <c r="T227" s="49"/>
      <c r="U227" s="49"/>
      <c r="V227" s="72"/>
      <c r="W227" s="72"/>
      <c r="X227" s="71"/>
      <c r="Y227" s="76"/>
      <c r="Z227" s="71"/>
      <c r="AA227" s="72"/>
      <c r="AB227" s="75"/>
      <c r="AC227" s="49"/>
      <c r="AD227" s="78"/>
      <c r="AE227" s="74"/>
      <c r="AF227" s="74"/>
      <c r="AG227" s="74"/>
      <c r="AH227" s="74"/>
      <c r="AI227" s="74"/>
      <c r="AJ227" s="74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</row>
    <row r="228" spans="1:75">
      <c r="A228" s="70" t="s">
        <v>94</v>
      </c>
      <c r="B228" s="49">
        <v>9</v>
      </c>
      <c r="C228" s="71" t="s">
        <v>49</v>
      </c>
      <c r="D228" s="71" t="s">
        <v>50</v>
      </c>
      <c r="E228" s="71" t="s">
        <v>38</v>
      </c>
      <c r="F228" s="72">
        <f t="shared" si="590"/>
        <v>60.5105237016509</v>
      </c>
      <c r="G228" s="72">
        <f t="shared" si="591"/>
        <v>101.585065760678</v>
      </c>
      <c r="H228" s="79">
        <v>119.99</v>
      </c>
      <c r="I228" s="72">
        <f t="shared" si="592"/>
        <v>230.088495575221</v>
      </c>
      <c r="J228" s="49">
        <v>5.34</v>
      </c>
      <c r="K228" s="74">
        <v>0.15</v>
      </c>
      <c r="L228" s="74">
        <v>0.16</v>
      </c>
      <c r="M228" s="74">
        <v>0.05</v>
      </c>
      <c r="N228" s="74">
        <f t="shared" si="593"/>
        <v>0.0833402783565297</v>
      </c>
      <c r="O228" s="75">
        <f t="shared" si="594"/>
        <v>0.00508375697974831</v>
      </c>
      <c r="P228" s="74">
        <v>0.02</v>
      </c>
      <c r="Q228" s="72">
        <v>10</v>
      </c>
      <c r="R228" s="49">
        <v>33.5</v>
      </c>
      <c r="S228" s="49">
        <v>26.5</v>
      </c>
      <c r="T228" s="49">
        <v>25</v>
      </c>
      <c r="U228" s="49">
        <v>2.3</v>
      </c>
      <c r="V228" s="72">
        <f t="shared" si="595"/>
        <v>3.69895833333333</v>
      </c>
      <c r="W228" s="72">
        <f t="shared" si="596"/>
        <v>3.69895833333333</v>
      </c>
      <c r="X228" s="71" t="s">
        <v>39</v>
      </c>
      <c r="Y228" s="76">
        <v>6.084</v>
      </c>
      <c r="Z228" s="72">
        <v>25</v>
      </c>
      <c r="AA228" s="72">
        <f t="shared" si="597"/>
        <v>30.1006338249754</v>
      </c>
      <c r="AB228" s="75">
        <f t="shared" si="598"/>
        <v>0.250859520168142</v>
      </c>
      <c r="AC228" s="49"/>
      <c r="AD228" s="78">
        <f t="shared" si="599"/>
        <v>0.0445037086423869</v>
      </c>
      <c r="AE228" s="74">
        <f t="shared" ref="AE228:AE231" si="602">I228/7.4/H228</f>
        <v>0.259130260376677</v>
      </c>
      <c r="AF228" s="74">
        <f t="shared" ref="AF228:AF231" si="603">Z228/7.4/H228</f>
        <v>0.0281554994447735</v>
      </c>
      <c r="AG228" s="74">
        <v>0.15</v>
      </c>
      <c r="AH228" s="74">
        <f t="shared" si="600"/>
        <v>0.0833402783565297</v>
      </c>
      <c r="AI228" s="74">
        <v>0.02</v>
      </c>
      <c r="AJ228" s="74">
        <f t="shared" si="601"/>
        <v>0.05</v>
      </c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</row>
    <row r="229" spans="1:75">
      <c r="A229" s="70" t="s">
        <v>40</v>
      </c>
      <c r="B229" s="49">
        <v>9</v>
      </c>
      <c r="C229" s="71" t="s">
        <v>49</v>
      </c>
      <c r="D229" s="71" t="s">
        <v>50</v>
      </c>
      <c r="E229" s="71" t="s">
        <v>38</v>
      </c>
      <c r="F229" s="72">
        <f t="shared" si="590"/>
        <v>62.1526436999882</v>
      </c>
      <c r="G229" s="72">
        <f t="shared" si="591"/>
        <v>106.601837154783</v>
      </c>
      <c r="H229" s="79">
        <f>H228*0.85</f>
        <v>101.9915</v>
      </c>
      <c r="I229" s="72">
        <f t="shared" si="592"/>
        <v>230.088495575221</v>
      </c>
      <c r="J229" s="71">
        <v>5.34</v>
      </c>
      <c r="K229" s="74">
        <v>0.15</v>
      </c>
      <c r="L229" s="74">
        <v>0.16</v>
      </c>
      <c r="M229" s="74">
        <v>0.05</v>
      </c>
      <c r="N229" s="74">
        <f t="shared" si="593"/>
        <v>0.0980473863017997</v>
      </c>
      <c r="O229" s="75">
        <f t="shared" si="594"/>
        <v>0.00598089056440978</v>
      </c>
      <c r="P229" s="74">
        <v>0.02</v>
      </c>
      <c r="Q229" s="72">
        <v>10</v>
      </c>
      <c r="R229" s="49">
        <v>33.5</v>
      </c>
      <c r="S229" s="49">
        <v>26.5</v>
      </c>
      <c r="T229" s="49">
        <v>25</v>
      </c>
      <c r="U229" s="49">
        <v>2.3</v>
      </c>
      <c r="V229" s="72">
        <f t="shared" si="595"/>
        <v>3.69895833333333</v>
      </c>
      <c r="W229" s="72">
        <f t="shared" si="596"/>
        <v>3.69895833333333</v>
      </c>
      <c r="X229" s="71" t="s">
        <v>39</v>
      </c>
      <c r="Y229" s="76">
        <v>6.084</v>
      </c>
      <c r="Z229" s="72">
        <v>25</v>
      </c>
      <c r="AA229" s="72">
        <f t="shared" si="597"/>
        <v>18.9415638249754</v>
      </c>
      <c r="AB229" s="75">
        <f t="shared" si="598"/>
        <v>0.185717082550756</v>
      </c>
      <c r="AC229" s="49"/>
      <c r="AD229" s="78">
        <f t="shared" si="599"/>
        <v>0.052357304285161</v>
      </c>
      <c r="AE229" s="74">
        <f t="shared" si="602"/>
        <v>0.304859129854914</v>
      </c>
      <c r="AF229" s="74">
        <f t="shared" si="603"/>
        <v>0.0331241169938512</v>
      </c>
      <c r="AG229" s="74">
        <v>0.15</v>
      </c>
      <c r="AH229" s="74">
        <f t="shared" si="600"/>
        <v>0.0980473863017997</v>
      </c>
      <c r="AI229" s="74">
        <v>0.02</v>
      </c>
      <c r="AJ229" s="74">
        <f t="shared" si="601"/>
        <v>0.05</v>
      </c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</row>
    <row r="230" spans="1:75">
      <c r="A230" s="48"/>
      <c r="B230" s="71"/>
      <c r="C230" s="71"/>
      <c r="D230" s="71"/>
      <c r="E230" s="71"/>
      <c r="F230" s="72"/>
      <c r="G230" s="72"/>
      <c r="H230" s="79"/>
      <c r="I230" s="72"/>
      <c r="J230" s="71"/>
      <c r="K230" s="74"/>
      <c r="L230" s="74"/>
      <c r="M230" s="74"/>
      <c r="N230" s="74"/>
      <c r="O230" s="75"/>
      <c r="P230" s="74"/>
      <c r="Q230" s="74"/>
      <c r="R230" s="49"/>
      <c r="S230" s="49"/>
      <c r="T230" s="49"/>
      <c r="U230" s="49"/>
      <c r="V230" s="72"/>
      <c r="W230" s="72"/>
      <c r="X230" s="71"/>
      <c r="Y230" s="76"/>
      <c r="Z230" s="72"/>
      <c r="AA230" s="72"/>
      <c r="AB230" s="75"/>
      <c r="AC230" s="49"/>
      <c r="AD230" s="78"/>
      <c r="AE230" s="74"/>
      <c r="AF230" s="74"/>
      <c r="AG230" s="74"/>
      <c r="AH230" s="74"/>
      <c r="AI230" s="74"/>
      <c r="AJ230" s="74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</row>
    <row r="231" spans="1:75">
      <c r="A231" s="92" t="s">
        <v>95</v>
      </c>
      <c r="B231" s="71">
        <v>8</v>
      </c>
      <c r="C231" s="71" t="s">
        <v>36</v>
      </c>
      <c r="D231" s="71" t="s">
        <v>37</v>
      </c>
      <c r="E231" s="71" t="s">
        <v>38</v>
      </c>
      <c r="F231" s="72">
        <f t="shared" ref="F231:F235" si="604">IF(E231="有",(I231/B231+J231+Z231/B231)/(0.99999-K231-L231-M231-N231),(I231/B231+J231+Z231/B231)/(0.99999-K231-M231-N231))</f>
        <v>27.6282532800828</v>
      </c>
      <c r="G231" s="72">
        <f t="shared" ref="G231:G235" si="605">IF(E231="有",(I231/B231+J231+Z231/B231)/(0.8-K231-L231-M231-N231-O231-P231),(I231/B231+J231+Z231/B231)/(0.8-K231-M231-N231-O231-P231))</f>
        <v>49.9203348508491</v>
      </c>
      <c r="H231" s="79">
        <v>49.99</v>
      </c>
      <c r="I231" s="72">
        <f t="shared" ref="I231:I235" si="606">90/1.13</f>
        <v>79.646017699115</v>
      </c>
      <c r="J231" s="49">
        <v>3.16</v>
      </c>
      <c r="K231" s="74">
        <v>0.15</v>
      </c>
      <c r="L231" s="74">
        <v>0.16</v>
      </c>
      <c r="M231" s="74">
        <v>0.05</v>
      </c>
      <c r="N231" s="74">
        <f t="shared" ref="N231:N235" si="607">Q231/H231</f>
        <v>0.12002400480096</v>
      </c>
      <c r="O231" s="75">
        <f t="shared" ref="O231:O235" si="608">0.61/H231</f>
        <v>0.0122024404880976</v>
      </c>
      <c r="P231" s="74">
        <v>0.02</v>
      </c>
      <c r="Q231" s="72">
        <v>6</v>
      </c>
      <c r="R231" s="49">
        <v>33.5</v>
      </c>
      <c r="S231" s="49">
        <v>26.5</v>
      </c>
      <c r="T231" s="49">
        <v>25</v>
      </c>
      <c r="U231" s="49">
        <v>2.3</v>
      </c>
      <c r="V231" s="72">
        <f t="shared" ref="V231:V235" si="609">R231*S231*T231/6000</f>
        <v>3.69895833333333</v>
      </c>
      <c r="W231" s="72">
        <f t="shared" ref="W231:W235" si="610">MAX(U231:V231)</f>
        <v>3.69895833333333</v>
      </c>
      <c r="X231" s="49" t="s">
        <v>39</v>
      </c>
      <c r="Y231" s="76">
        <v>5.55136</v>
      </c>
      <c r="Z231" s="72">
        <v>10</v>
      </c>
      <c r="AA231" s="72">
        <f t="shared" ref="AA231:AA235" si="611">H231-SUM(K231:P231)*H231-J231-I231/B231-Z231/B231</f>
        <v>10.0180477876106</v>
      </c>
      <c r="AB231" s="75">
        <f t="shared" ref="AB231:AB235" si="612">AA231/H231</f>
        <v>0.200401035959404</v>
      </c>
      <c r="AC231" s="49"/>
      <c r="AD231" s="78">
        <f t="shared" ref="AD231:AD235" si="613">J231/H231</f>
        <v>0.0632126425285057</v>
      </c>
      <c r="AE231" s="74">
        <f t="shared" si="602"/>
        <v>0.215302567808467</v>
      </c>
      <c r="AF231" s="74">
        <f t="shared" si="603"/>
        <v>0.0270324335137298</v>
      </c>
      <c r="AG231" s="74">
        <v>0.15</v>
      </c>
      <c r="AH231" s="74">
        <f t="shared" ref="AH231:AH235" si="614">N231</f>
        <v>0.12002400480096</v>
      </c>
      <c r="AI231" s="74">
        <v>0.02</v>
      </c>
      <c r="AJ231" s="74">
        <f t="shared" ref="AJ231:AJ235" si="615">M231</f>
        <v>0.05</v>
      </c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</row>
    <row r="232" spans="1:75">
      <c r="A232" s="92" t="s">
        <v>96</v>
      </c>
      <c r="B232" s="71">
        <v>8</v>
      </c>
      <c r="C232" s="71" t="s">
        <v>36</v>
      </c>
      <c r="D232" s="71" t="s">
        <v>37</v>
      </c>
      <c r="E232" s="71" t="s">
        <v>38</v>
      </c>
      <c r="F232" s="72">
        <f t="shared" si="604"/>
        <v>28.8014753932924</v>
      </c>
      <c r="G232" s="72">
        <f t="shared" si="605"/>
        <v>54.3252937216486</v>
      </c>
      <c r="H232" s="79">
        <f>H231*0.85</f>
        <v>42.4915</v>
      </c>
      <c r="I232" s="72">
        <f t="shared" si="606"/>
        <v>79.646017699115</v>
      </c>
      <c r="J232" s="71">
        <v>3.16</v>
      </c>
      <c r="K232" s="74">
        <v>0.15</v>
      </c>
      <c r="L232" s="74">
        <v>0.16</v>
      </c>
      <c r="M232" s="74">
        <v>0.05</v>
      </c>
      <c r="N232" s="74">
        <f t="shared" si="607"/>
        <v>0.141204711530541</v>
      </c>
      <c r="O232" s="75">
        <f t="shared" si="608"/>
        <v>0.0143558123389384</v>
      </c>
      <c r="P232" s="74">
        <v>0.02</v>
      </c>
      <c r="Q232" s="72">
        <v>6</v>
      </c>
      <c r="R232" s="49">
        <v>33.5</v>
      </c>
      <c r="S232" s="49">
        <v>26.5</v>
      </c>
      <c r="T232" s="49">
        <v>25</v>
      </c>
      <c r="U232" s="49">
        <v>2.3</v>
      </c>
      <c r="V232" s="72">
        <f t="shared" si="609"/>
        <v>3.69895833333333</v>
      </c>
      <c r="W232" s="72">
        <f t="shared" si="610"/>
        <v>3.69895833333333</v>
      </c>
      <c r="X232" s="71" t="s">
        <v>39</v>
      </c>
      <c r="Y232" s="76">
        <v>5.55136</v>
      </c>
      <c r="Z232" s="72">
        <v>10</v>
      </c>
      <c r="AA232" s="72">
        <f t="shared" si="611"/>
        <v>5.36897778761062</v>
      </c>
      <c r="AB232" s="75">
        <f t="shared" si="612"/>
        <v>0.12635415995224</v>
      </c>
      <c r="AC232" s="49"/>
      <c r="AD232" s="78">
        <f t="shared" si="613"/>
        <v>0.0743678147394185</v>
      </c>
      <c r="AE232" s="74">
        <f>I232/B232/H232</f>
        <v>0.234299853203332</v>
      </c>
      <c r="AF232" s="74">
        <f>Z232/B232/H232</f>
        <v>0.0294176482355295</v>
      </c>
      <c r="AG232" s="74">
        <f>K232</f>
        <v>0.15</v>
      </c>
      <c r="AH232" s="74">
        <f t="shared" si="614"/>
        <v>0.141204711530541</v>
      </c>
      <c r="AI232" s="74">
        <v>0.02</v>
      </c>
      <c r="AJ232" s="74">
        <f t="shared" si="615"/>
        <v>0.05</v>
      </c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</row>
    <row r="233" spans="1:75">
      <c r="A233" s="48"/>
      <c r="B233" s="49"/>
      <c r="C233" s="49"/>
      <c r="D233" s="49"/>
      <c r="E233" s="49"/>
      <c r="F233" s="72"/>
      <c r="G233" s="72"/>
      <c r="H233" s="79"/>
      <c r="I233" s="72"/>
      <c r="J233" s="71"/>
      <c r="K233" s="74"/>
      <c r="L233" s="74"/>
      <c r="M233" s="74"/>
      <c r="N233" s="74"/>
      <c r="O233" s="75"/>
      <c r="P233" s="74"/>
      <c r="Q233" s="72"/>
      <c r="R233" s="49"/>
      <c r="S233" s="49"/>
      <c r="T233" s="49"/>
      <c r="U233" s="49"/>
      <c r="V233" s="72"/>
      <c r="W233" s="72"/>
      <c r="X233" s="71"/>
      <c r="Y233" s="76"/>
      <c r="Z233" s="71"/>
      <c r="AA233" s="72"/>
      <c r="AB233" s="75"/>
      <c r="AC233" s="49"/>
      <c r="AD233" s="78"/>
      <c r="AE233" s="74"/>
      <c r="AF233" s="74"/>
      <c r="AG233" s="74"/>
      <c r="AH233" s="74"/>
      <c r="AI233" s="74"/>
      <c r="AJ233" s="74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</row>
    <row r="234" spans="1:75">
      <c r="A234" s="93" t="s">
        <v>95</v>
      </c>
      <c r="B234" s="71">
        <v>8</v>
      </c>
      <c r="C234" s="49" t="s">
        <v>42</v>
      </c>
      <c r="D234" s="49" t="s">
        <v>43</v>
      </c>
      <c r="E234" s="71" t="s">
        <v>38</v>
      </c>
      <c r="F234" s="72">
        <f t="shared" si="604"/>
        <v>30.6284494744567</v>
      </c>
      <c r="G234" s="72">
        <f t="shared" si="605"/>
        <v>55.3412638224739</v>
      </c>
      <c r="H234" s="79">
        <v>49.99</v>
      </c>
      <c r="I234" s="72">
        <f t="shared" si="606"/>
        <v>79.646017699115</v>
      </c>
      <c r="J234" s="49">
        <v>4.72</v>
      </c>
      <c r="K234" s="74">
        <v>0.15</v>
      </c>
      <c r="L234" s="74">
        <v>0.16</v>
      </c>
      <c r="M234" s="74">
        <v>0.05</v>
      </c>
      <c r="N234" s="74">
        <f t="shared" si="607"/>
        <v>0.12002400480096</v>
      </c>
      <c r="O234" s="75">
        <f t="shared" si="608"/>
        <v>0.0122024404880976</v>
      </c>
      <c r="P234" s="74">
        <v>0.02</v>
      </c>
      <c r="Q234" s="72">
        <v>6</v>
      </c>
      <c r="R234" s="49">
        <v>33.5</v>
      </c>
      <c r="S234" s="49">
        <v>26.5</v>
      </c>
      <c r="T234" s="49">
        <v>25</v>
      </c>
      <c r="U234" s="49">
        <v>2.3</v>
      </c>
      <c r="V234" s="72">
        <f t="shared" si="609"/>
        <v>3.69895833333333</v>
      </c>
      <c r="W234" s="72">
        <f t="shared" si="610"/>
        <v>3.69895833333333</v>
      </c>
      <c r="X234" s="49" t="s">
        <v>39</v>
      </c>
      <c r="Y234" s="76">
        <v>5.55136</v>
      </c>
      <c r="Z234" s="72">
        <v>10</v>
      </c>
      <c r="AA234" s="72">
        <f t="shared" si="611"/>
        <v>8.45804778761062</v>
      </c>
      <c r="AB234" s="75">
        <f t="shared" si="612"/>
        <v>0.169194794711155</v>
      </c>
      <c r="AC234" s="49"/>
      <c r="AD234" s="78">
        <f t="shared" si="613"/>
        <v>0.0944188837767553</v>
      </c>
      <c r="AE234" s="74">
        <f t="shared" ref="AE234:AE238" si="616">I234/7.4/H234</f>
        <v>0.215302567808467</v>
      </c>
      <c r="AF234" s="74">
        <f t="shared" ref="AF234:AF238" si="617">Z234/7.4/H234</f>
        <v>0.0270324335137298</v>
      </c>
      <c r="AG234" s="74">
        <v>0.15</v>
      </c>
      <c r="AH234" s="74">
        <f t="shared" si="614"/>
        <v>0.12002400480096</v>
      </c>
      <c r="AI234" s="74">
        <v>0.02</v>
      </c>
      <c r="AJ234" s="74">
        <f t="shared" si="615"/>
        <v>0.05</v>
      </c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</row>
    <row r="235" spans="1:75">
      <c r="A235" s="93" t="s">
        <v>96</v>
      </c>
      <c r="B235" s="71">
        <v>8</v>
      </c>
      <c r="C235" s="71" t="s">
        <v>42</v>
      </c>
      <c r="D235" s="71" t="s">
        <v>43</v>
      </c>
      <c r="E235" s="71" t="s">
        <v>38</v>
      </c>
      <c r="F235" s="72">
        <f t="shared" si="604"/>
        <v>31.9290736526295</v>
      </c>
      <c r="G235" s="72">
        <f t="shared" si="605"/>
        <v>60.2245642194846</v>
      </c>
      <c r="H235" s="79">
        <f>H234*0.85</f>
        <v>42.4915</v>
      </c>
      <c r="I235" s="72">
        <f t="shared" si="606"/>
        <v>79.646017699115</v>
      </c>
      <c r="J235" s="71">
        <v>4.72</v>
      </c>
      <c r="K235" s="74">
        <v>0.15</v>
      </c>
      <c r="L235" s="74">
        <v>0.16</v>
      </c>
      <c r="M235" s="74">
        <v>0.05</v>
      </c>
      <c r="N235" s="74">
        <f t="shared" si="607"/>
        <v>0.141204711530541</v>
      </c>
      <c r="O235" s="75">
        <f t="shared" si="608"/>
        <v>0.0143558123389384</v>
      </c>
      <c r="P235" s="74">
        <v>0.02</v>
      </c>
      <c r="Q235" s="72">
        <v>6</v>
      </c>
      <c r="R235" s="49">
        <v>33.5</v>
      </c>
      <c r="S235" s="49">
        <v>26.5</v>
      </c>
      <c r="T235" s="49">
        <v>25</v>
      </c>
      <c r="U235" s="49">
        <v>2.3</v>
      </c>
      <c r="V235" s="72">
        <f t="shared" si="609"/>
        <v>3.69895833333333</v>
      </c>
      <c r="W235" s="72">
        <f t="shared" si="610"/>
        <v>3.69895833333333</v>
      </c>
      <c r="X235" s="71" t="s">
        <v>39</v>
      </c>
      <c r="Y235" s="76">
        <v>5.55136</v>
      </c>
      <c r="Z235" s="72">
        <v>10</v>
      </c>
      <c r="AA235" s="72">
        <f t="shared" si="611"/>
        <v>3.80897778761062</v>
      </c>
      <c r="AB235" s="75">
        <f t="shared" si="612"/>
        <v>0.0896409349542996</v>
      </c>
      <c r="AC235" s="49"/>
      <c r="AD235" s="78">
        <f t="shared" si="613"/>
        <v>0.111081039737359</v>
      </c>
      <c r="AE235" s="74">
        <f t="shared" si="616"/>
        <v>0.253297138598197</v>
      </c>
      <c r="AF235" s="74">
        <f t="shared" si="617"/>
        <v>0.0318028629573291</v>
      </c>
      <c r="AG235" s="74">
        <v>0.15</v>
      </c>
      <c r="AH235" s="74">
        <f t="shared" si="614"/>
        <v>0.141204711530541</v>
      </c>
      <c r="AI235" s="74">
        <v>0.02</v>
      </c>
      <c r="AJ235" s="74">
        <f t="shared" si="615"/>
        <v>0.05</v>
      </c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</row>
    <row r="236" spans="1:75">
      <c r="A236" s="48"/>
      <c r="B236" s="49"/>
      <c r="C236" s="49"/>
      <c r="D236" s="49"/>
      <c r="E236" s="49"/>
      <c r="F236" s="72"/>
      <c r="G236" s="72"/>
      <c r="H236" s="79"/>
      <c r="I236" s="72"/>
      <c r="J236" s="71"/>
      <c r="K236" s="74"/>
      <c r="L236" s="74"/>
      <c r="M236" s="74"/>
      <c r="N236" s="74"/>
      <c r="O236" s="75"/>
      <c r="P236" s="74"/>
      <c r="Q236" s="74"/>
      <c r="R236" s="49"/>
      <c r="S236" s="49"/>
      <c r="T236" s="49"/>
      <c r="U236" s="49"/>
      <c r="V236" s="72"/>
      <c r="W236" s="72"/>
      <c r="X236" s="71"/>
      <c r="Y236" s="76"/>
      <c r="Z236" s="71"/>
      <c r="AA236" s="72"/>
      <c r="AB236" s="75"/>
      <c r="AC236" s="49"/>
      <c r="AD236" s="78"/>
      <c r="AE236" s="74"/>
      <c r="AF236" s="74"/>
      <c r="AG236" s="74"/>
      <c r="AH236" s="74"/>
      <c r="AI236" s="74"/>
      <c r="AJ236" s="74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</row>
    <row r="237" spans="1:75">
      <c r="A237" s="93" t="s">
        <v>95</v>
      </c>
      <c r="B237" s="71">
        <v>8</v>
      </c>
      <c r="C237" s="49" t="s">
        <v>44</v>
      </c>
      <c r="D237" s="49" t="s">
        <v>45</v>
      </c>
      <c r="E237" s="71" t="s">
        <v>38</v>
      </c>
      <c r="F237" s="72">
        <f t="shared" ref="F237:F241" si="618">IF(E237="有",(I237/B237+J237+Z237/B237)/(0.99999-K237-L237-M237-N237),(I237/B237+J237+Z237/B237)/(0.99999-K237-M237-N237))</f>
        <v>29.570687995671</v>
      </c>
      <c r="G237" s="72">
        <f t="shared" ref="G237:G241" si="619">IF(E237="有",(I237/B237+J237+Z237/B237)/(0.8-K237-L237-M237-N237-O237-P237),(I237/B237+J237+Z237/B237)/(0.8-K237-M237-N237-O237-P237))</f>
        <v>53.4300388645293</v>
      </c>
      <c r="H237" s="79">
        <v>49.99</v>
      </c>
      <c r="I237" s="72">
        <f t="shared" ref="I237:I241" si="620">90/1.13</f>
        <v>79.646017699115</v>
      </c>
      <c r="J237" s="49">
        <v>4.17</v>
      </c>
      <c r="K237" s="74">
        <v>0.15</v>
      </c>
      <c r="L237" s="74">
        <v>0.16</v>
      </c>
      <c r="M237" s="74">
        <v>0.05</v>
      </c>
      <c r="N237" s="74">
        <f t="shared" ref="N237:N241" si="621">Q237/H237</f>
        <v>0.12002400480096</v>
      </c>
      <c r="O237" s="75">
        <f t="shared" ref="O237:O241" si="622">0.61/H237</f>
        <v>0.0122024404880976</v>
      </c>
      <c r="P237" s="74">
        <v>0.02</v>
      </c>
      <c r="Q237" s="72">
        <v>6</v>
      </c>
      <c r="R237" s="49">
        <v>33.5</v>
      </c>
      <c r="S237" s="49">
        <v>26.5</v>
      </c>
      <c r="T237" s="49">
        <v>25</v>
      </c>
      <c r="U237" s="49">
        <v>2.3</v>
      </c>
      <c r="V237" s="72">
        <f t="shared" ref="V237:V241" si="623">R237*S237*T237/6000</f>
        <v>3.69895833333333</v>
      </c>
      <c r="W237" s="72">
        <f t="shared" ref="W237:W241" si="624">MAX(U237:V237)</f>
        <v>3.69895833333333</v>
      </c>
      <c r="X237" s="49" t="s">
        <v>39</v>
      </c>
      <c r="Y237" s="76">
        <v>5.55136</v>
      </c>
      <c r="Z237" s="72">
        <v>10</v>
      </c>
      <c r="AA237" s="72">
        <f t="shared" ref="AA237:AA241" si="625">H237-SUM(K237:P237)*H237-J237-I237/B237-Z237/B237</f>
        <v>9.00804778761062</v>
      </c>
      <c r="AB237" s="75">
        <f t="shared" ref="AB237:AB241" si="626">AA237/H237</f>
        <v>0.180196995151243</v>
      </c>
      <c r="AC237" s="49"/>
      <c r="AD237" s="78">
        <f t="shared" ref="AD237:AD241" si="627">J237/H237</f>
        <v>0.0834166833366673</v>
      </c>
      <c r="AE237" s="74">
        <f t="shared" si="616"/>
        <v>0.215302567808467</v>
      </c>
      <c r="AF237" s="74">
        <f t="shared" si="617"/>
        <v>0.0270324335137298</v>
      </c>
      <c r="AG237" s="74">
        <v>0.15</v>
      </c>
      <c r="AH237" s="74">
        <f t="shared" ref="AH237:AH241" si="628">N237</f>
        <v>0.12002400480096</v>
      </c>
      <c r="AI237" s="74">
        <v>0.02</v>
      </c>
      <c r="AJ237" s="74">
        <f t="shared" ref="AJ237:AJ241" si="629">M237</f>
        <v>0.05</v>
      </c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</row>
    <row r="238" spans="1:75">
      <c r="A238" s="93" t="s">
        <v>96</v>
      </c>
      <c r="B238" s="71">
        <v>8</v>
      </c>
      <c r="C238" s="71" t="s">
        <v>44</v>
      </c>
      <c r="D238" s="71" t="s">
        <v>45</v>
      </c>
      <c r="E238" s="71" t="s">
        <v>38</v>
      </c>
      <c r="F238" s="72">
        <f t="shared" si="618"/>
        <v>30.8263947791453</v>
      </c>
      <c r="G238" s="72">
        <f t="shared" si="619"/>
        <v>58.1446932106322</v>
      </c>
      <c r="H238" s="79">
        <f>H237*0.85</f>
        <v>42.4915</v>
      </c>
      <c r="I238" s="72">
        <f t="shared" si="620"/>
        <v>79.646017699115</v>
      </c>
      <c r="J238" s="71">
        <v>4.17</v>
      </c>
      <c r="K238" s="74">
        <v>0.15</v>
      </c>
      <c r="L238" s="74">
        <v>0.16</v>
      </c>
      <c r="M238" s="74">
        <v>0.05</v>
      </c>
      <c r="N238" s="74">
        <f t="shared" si="621"/>
        <v>0.141204711530541</v>
      </c>
      <c r="O238" s="75">
        <f t="shared" si="622"/>
        <v>0.0143558123389384</v>
      </c>
      <c r="P238" s="74">
        <v>0.02</v>
      </c>
      <c r="Q238" s="72">
        <v>6</v>
      </c>
      <c r="R238" s="49">
        <v>33.5</v>
      </c>
      <c r="S238" s="49">
        <v>26.5</v>
      </c>
      <c r="T238" s="49">
        <v>25</v>
      </c>
      <c r="U238" s="49">
        <v>2.3</v>
      </c>
      <c r="V238" s="72">
        <f t="shared" si="623"/>
        <v>3.69895833333333</v>
      </c>
      <c r="W238" s="72">
        <f t="shared" si="624"/>
        <v>3.69895833333333</v>
      </c>
      <c r="X238" s="71" t="s">
        <v>39</v>
      </c>
      <c r="Y238" s="76">
        <v>5.55136</v>
      </c>
      <c r="Z238" s="72">
        <v>10</v>
      </c>
      <c r="AA238" s="72">
        <f t="shared" si="625"/>
        <v>4.35897778761062</v>
      </c>
      <c r="AB238" s="75">
        <f t="shared" si="626"/>
        <v>0.102584700177933</v>
      </c>
      <c r="AC238" s="49"/>
      <c r="AD238" s="78">
        <f t="shared" si="627"/>
        <v>0.0981372745137263</v>
      </c>
      <c r="AE238" s="74">
        <f t="shared" si="616"/>
        <v>0.253297138598197</v>
      </c>
      <c r="AF238" s="74">
        <f t="shared" si="617"/>
        <v>0.0318028629573291</v>
      </c>
      <c r="AG238" s="74">
        <v>0.15</v>
      </c>
      <c r="AH238" s="74">
        <f t="shared" si="628"/>
        <v>0.141204711530541</v>
      </c>
      <c r="AI238" s="74">
        <v>0.02</v>
      </c>
      <c r="AJ238" s="74">
        <f t="shared" si="629"/>
        <v>0.05</v>
      </c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</row>
    <row r="239" spans="1:75">
      <c r="A239" s="48"/>
      <c r="B239" s="49"/>
      <c r="C239" s="49"/>
      <c r="D239" s="49"/>
      <c r="E239" s="49"/>
      <c r="F239" s="72"/>
      <c r="G239" s="72"/>
      <c r="H239" s="79"/>
      <c r="I239" s="72"/>
      <c r="J239" s="71"/>
      <c r="K239" s="74"/>
      <c r="L239" s="74"/>
      <c r="M239" s="74"/>
      <c r="N239" s="74"/>
      <c r="O239" s="75"/>
      <c r="P239" s="74"/>
      <c r="Q239" s="74"/>
      <c r="R239" s="49"/>
      <c r="S239" s="49"/>
      <c r="T239" s="49"/>
      <c r="U239" s="49"/>
      <c r="V239" s="72"/>
      <c r="W239" s="72"/>
      <c r="X239" s="71"/>
      <c r="Y239" s="76"/>
      <c r="Z239" s="71"/>
      <c r="AA239" s="72"/>
      <c r="AB239" s="75"/>
      <c r="AC239" s="49"/>
      <c r="AD239" s="78"/>
      <c r="AE239" s="74"/>
      <c r="AF239" s="74"/>
      <c r="AG239" s="74"/>
      <c r="AH239" s="74"/>
      <c r="AI239" s="74"/>
      <c r="AJ239" s="74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</row>
    <row r="240" spans="1:75">
      <c r="A240" s="93" t="s">
        <v>95</v>
      </c>
      <c r="B240" s="71">
        <v>8</v>
      </c>
      <c r="C240" s="49" t="s">
        <v>47</v>
      </c>
      <c r="D240" s="49" t="s">
        <v>48</v>
      </c>
      <c r="E240" s="71" t="s">
        <v>38</v>
      </c>
      <c r="F240" s="72">
        <f t="shared" si="618"/>
        <v>28.9552631352866</v>
      </c>
      <c r="G240" s="72">
        <f t="shared" si="619"/>
        <v>52.3180534344524</v>
      </c>
      <c r="H240" s="79">
        <v>49.99</v>
      </c>
      <c r="I240" s="72">
        <f t="shared" si="620"/>
        <v>79.646017699115</v>
      </c>
      <c r="J240" s="49">
        <v>3.85</v>
      </c>
      <c r="K240" s="74">
        <v>0.15</v>
      </c>
      <c r="L240" s="74">
        <v>0.16</v>
      </c>
      <c r="M240" s="74">
        <v>0.05</v>
      </c>
      <c r="N240" s="74">
        <f t="shared" si="621"/>
        <v>0.12002400480096</v>
      </c>
      <c r="O240" s="75">
        <f t="shared" si="622"/>
        <v>0.0122024404880976</v>
      </c>
      <c r="P240" s="74">
        <v>0.02</v>
      </c>
      <c r="Q240" s="72">
        <v>6</v>
      </c>
      <c r="R240" s="49">
        <v>33.5</v>
      </c>
      <c r="S240" s="49">
        <v>26.5</v>
      </c>
      <c r="T240" s="49">
        <v>25</v>
      </c>
      <c r="U240" s="49">
        <v>2.3</v>
      </c>
      <c r="V240" s="72">
        <f t="shared" si="623"/>
        <v>3.69895833333333</v>
      </c>
      <c r="W240" s="72">
        <f t="shared" si="624"/>
        <v>3.69895833333333</v>
      </c>
      <c r="X240" s="49" t="s">
        <v>39</v>
      </c>
      <c r="Y240" s="76">
        <v>5.55136</v>
      </c>
      <c r="Z240" s="72">
        <v>10</v>
      </c>
      <c r="AA240" s="72">
        <f t="shared" si="625"/>
        <v>9.32804778761062</v>
      </c>
      <c r="AB240" s="75">
        <f t="shared" si="626"/>
        <v>0.186598275407294</v>
      </c>
      <c r="AC240" s="49"/>
      <c r="AD240" s="78">
        <f t="shared" si="627"/>
        <v>0.0770154030806161</v>
      </c>
      <c r="AE240" s="74">
        <f t="shared" ref="AE240:AE244" si="630">I240/7.4/H240</f>
        <v>0.215302567808467</v>
      </c>
      <c r="AF240" s="74">
        <f t="shared" ref="AF240:AF244" si="631">Z240/7.4/H240</f>
        <v>0.0270324335137298</v>
      </c>
      <c r="AG240" s="74">
        <v>0.15</v>
      </c>
      <c r="AH240" s="74">
        <f t="shared" si="628"/>
        <v>0.12002400480096</v>
      </c>
      <c r="AI240" s="74">
        <v>0.02</v>
      </c>
      <c r="AJ240" s="74">
        <f t="shared" si="629"/>
        <v>0.05</v>
      </c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</row>
    <row r="241" spans="1:75">
      <c r="A241" s="93" t="s">
        <v>96</v>
      </c>
      <c r="B241" s="71">
        <v>8</v>
      </c>
      <c r="C241" s="71" t="s">
        <v>47</v>
      </c>
      <c r="D241" s="71" t="s">
        <v>48</v>
      </c>
      <c r="E241" s="71" t="s">
        <v>38</v>
      </c>
      <c r="F241" s="72">
        <f t="shared" si="618"/>
        <v>30.1848361618454</v>
      </c>
      <c r="G241" s="72">
        <f t="shared" si="619"/>
        <v>56.9345864418453</v>
      </c>
      <c r="H241" s="79">
        <f>H240*0.85</f>
        <v>42.4915</v>
      </c>
      <c r="I241" s="72">
        <f t="shared" si="620"/>
        <v>79.646017699115</v>
      </c>
      <c r="J241" s="71">
        <v>3.85</v>
      </c>
      <c r="K241" s="74">
        <v>0.15</v>
      </c>
      <c r="L241" s="74">
        <v>0.16</v>
      </c>
      <c r="M241" s="74">
        <v>0.05</v>
      </c>
      <c r="N241" s="74">
        <f t="shared" si="621"/>
        <v>0.141204711530541</v>
      </c>
      <c r="O241" s="75">
        <f t="shared" si="622"/>
        <v>0.0143558123389384</v>
      </c>
      <c r="P241" s="74">
        <v>0.02</v>
      </c>
      <c r="Q241" s="72">
        <v>6</v>
      </c>
      <c r="R241" s="49">
        <v>33.5</v>
      </c>
      <c r="S241" s="49">
        <v>26.5</v>
      </c>
      <c r="T241" s="49">
        <v>25</v>
      </c>
      <c r="U241" s="49">
        <v>2.3</v>
      </c>
      <c r="V241" s="72">
        <f t="shared" si="623"/>
        <v>3.69895833333333</v>
      </c>
      <c r="W241" s="72">
        <f t="shared" si="624"/>
        <v>3.69895833333333</v>
      </c>
      <c r="X241" s="71" t="s">
        <v>39</v>
      </c>
      <c r="Y241" s="76">
        <v>5.55136</v>
      </c>
      <c r="Z241" s="72">
        <v>10</v>
      </c>
      <c r="AA241" s="72">
        <f t="shared" si="625"/>
        <v>4.67897778761062</v>
      </c>
      <c r="AB241" s="75">
        <f t="shared" si="626"/>
        <v>0.110115618126228</v>
      </c>
      <c r="AC241" s="49"/>
      <c r="AD241" s="78">
        <f t="shared" si="627"/>
        <v>0.0906063565654307</v>
      </c>
      <c r="AE241" s="74">
        <f t="shared" si="630"/>
        <v>0.253297138598197</v>
      </c>
      <c r="AF241" s="74">
        <f t="shared" si="631"/>
        <v>0.0318028629573291</v>
      </c>
      <c r="AG241" s="74">
        <v>0.15</v>
      </c>
      <c r="AH241" s="74">
        <f t="shared" si="628"/>
        <v>0.141204711530541</v>
      </c>
      <c r="AI241" s="74">
        <v>0.02</v>
      </c>
      <c r="AJ241" s="74">
        <f t="shared" si="629"/>
        <v>0.05</v>
      </c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48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</row>
    <row r="242" spans="1:75">
      <c r="A242" s="48"/>
      <c r="B242" s="71"/>
      <c r="C242" s="71"/>
      <c r="D242" s="71"/>
      <c r="E242" s="71"/>
      <c r="F242" s="72"/>
      <c r="G242" s="72"/>
      <c r="H242" s="79"/>
      <c r="I242" s="72"/>
      <c r="J242" s="71"/>
      <c r="K242" s="74"/>
      <c r="L242" s="74"/>
      <c r="M242" s="74"/>
      <c r="N242" s="74"/>
      <c r="O242" s="75"/>
      <c r="P242" s="74"/>
      <c r="Q242" s="74"/>
      <c r="R242" s="49"/>
      <c r="S242" s="49"/>
      <c r="T242" s="49"/>
      <c r="U242" s="49"/>
      <c r="V242" s="72"/>
      <c r="W242" s="72"/>
      <c r="X242" s="71"/>
      <c r="Y242" s="76"/>
      <c r="Z242" s="71"/>
      <c r="AA242" s="72"/>
      <c r="AB242" s="75"/>
      <c r="AC242" s="49"/>
      <c r="AD242" s="78"/>
      <c r="AE242" s="74"/>
      <c r="AF242" s="74"/>
      <c r="AG242" s="74"/>
      <c r="AH242" s="74"/>
      <c r="AI242" s="74"/>
      <c r="AJ242" s="74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</row>
    <row r="243" spans="1:75">
      <c r="A243" s="93" t="s">
        <v>95</v>
      </c>
      <c r="B243" s="49">
        <v>9</v>
      </c>
      <c r="C243" s="71" t="s">
        <v>49</v>
      </c>
      <c r="D243" s="71" t="s">
        <v>50</v>
      </c>
      <c r="E243" s="71" t="s">
        <v>38</v>
      </c>
      <c r="F243" s="72">
        <f t="shared" ref="F243:F247" si="632">IF(E243="有",(I243/B243+J243+Z243/B243)/(0.99999-K243-L243-M243-N243),(I243/B243+J243+Z243/B243)/(0.99999-K243-M243-N243))</f>
        <v>25.4638380067195</v>
      </c>
      <c r="G243" s="72">
        <f t="shared" ref="G243:G247" si="633">IF(E243="有",(I243/B243+J243+Z243/B243)/(0.8-K243-L243-M243-N243-O243-P243),(I243/B243+J243+Z243/B243)/(0.8-K243-M243-N243-O243-P243))</f>
        <v>47.2416189266668</v>
      </c>
      <c r="H243" s="79">
        <v>44.99</v>
      </c>
      <c r="I243" s="72">
        <f>90/1.13</f>
        <v>79.646017699115</v>
      </c>
      <c r="J243" s="49">
        <v>2.94</v>
      </c>
      <c r="K243" s="74">
        <v>0.15</v>
      </c>
      <c r="L243" s="74">
        <v>0.16</v>
      </c>
      <c r="M243" s="74">
        <v>0.05</v>
      </c>
      <c r="N243" s="74">
        <f t="shared" ref="N243:N247" si="634">Q243/H243</f>
        <v>0.133362969548789</v>
      </c>
      <c r="O243" s="75">
        <f t="shared" ref="O243:O247" si="635">0.61/H243</f>
        <v>0.0135585685707935</v>
      </c>
      <c r="P243" s="74">
        <v>0.02</v>
      </c>
      <c r="Q243" s="72">
        <v>6</v>
      </c>
      <c r="R243" s="49">
        <v>33.5</v>
      </c>
      <c r="S243" s="49">
        <v>26.5</v>
      </c>
      <c r="T243" s="49">
        <v>25</v>
      </c>
      <c r="U243" s="49">
        <v>2.3</v>
      </c>
      <c r="V243" s="72">
        <f t="shared" ref="V243:V247" si="636">R243*S243*T243/6000</f>
        <v>3.69895833333333</v>
      </c>
      <c r="W243" s="72">
        <f t="shared" ref="W243:W247" si="637">MAX(U243:V243)</f>
        <v>3.69895833333333</v>
      </c>
      <c r="X243" s="71" t="s">
        <v>39</v>
      </c>
      <c r="Y243" s="76">
        <v>6.084</v>
      </c>
      <c r="Z243" s="72">
        <v>10</v>
      </c>
      <c r="AA243" s="72">
        <f t="shared" ref="AA243:AA247" si="638">H243-SUM(K243:P243)*H243-J243-I243/B243-Z243/B243</f>
        <v>8.383131366765</v>
      </c>
      <c r="AB243" s="75">
        <f t="shared" ref="AB243:AB247" si="639">AA243/H243</f>
        <v>0.186333215531562</v>
      </c>
      <c r="AC243" s="49"/>
      <c r="AD243" s="78">
        <f t="shared" ref="AD243:AD247" si="640">J243/H243</f>
        <v>0.0653478550789064</v>
      </c>
      <c r="AE243" s="74">
        <f t="shared" si="630"/>
        <v>0.239230392637148</v>
      </c>
      <c r="AF243" s="74">
        <f t="shared" si="631"/>
        <v>0.0300367048533308</v>
      </c>
      <c r="AG243" s="74">
        <v>0.15</v>
      </c>
      <c r="AH243" s="74">
        <f t="shared" ref="AH243:AH247" si="641">N243</f>
        <v>0.133362969548789</v>
      </c>
      <c r="AI243" s="74">
        <v>0.02</v>
      </c>
      <c r="AJ243" s="74">
        <f t="shared" ref="AJ243:AJ247" si="642">M243</f>
        <v>0.05</v>
      </c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</row>
    <row r="244" spans="1:75">
      <c r="A244" s="93" t="s">
        <v>96</v>
      </c>
      <c r="B244" s="49">
        <v>9</v>
      </c>
      <c r="C244" s="71" t="s">
        <v>49</v>
      </c>
      <c r="D244" s="71" t="s">
        <v>50</v>
      </c>
      <c r="E244" s="71" t="s">
        <v>38</v>
      </c>
      <c r="F244" s="72">
        <f t="shared" si="632"/>
        <v>26.7043508306655</v>
      </c>
      <c r="G244" s="72">
        <f t="shared" si="633"/>
        <v>52.1974896431393</v>
      </c>
      <c r="H244" s="79">
        <f>H243*0.85</f>
        <v>38.2415</v>
      </c>
      <c r="I244" s="72">
        <f>90/1.13</f>
        <v>79.646017699115</v>
      </c>
      <c r="J244" s="71">
        <v>2.94</v>
      </c>
      <c r="K244" s="74">
        <v>0.15</v>
      </c>
      <c r="L244" s="74">
        <v>0.16</v>
      </c>
      <c r="M244" s="74">
        <v>0.05</v>
      </c>
      <c r="N244" s="74">
        <f t="shared" si="634"/>
        <v>0.156897611233869</v>
      </c>
      <c r="O244" s="75">
        <f t="shared" si="635"/>
        <v>0.01595125714211</v>
      </c>
      <c r="P244" s="74">
        <v>0.02</v>
      </c>
      <c r="Q244" s="72">
        <v>6</v>
      </c>
      <c r="R244" s="49">
        <v>33.5</v>
      </c>
      <c r="S244" s="49">
        <v>26.5</v>
      </c>
      <c r="T244" s="49">
        <v>25</v>
      </c>
      <c r="U244" s="49">
        <v>2.3</v>
      </c>
      <c r="V244" s="72">
        <f t="shared" si="636"/>
        <v>3.69895833333333</v>
      </c>
      <c r="W244" s="72">
        <f t="shared" si="637"/>
        <v>3.69895833333333</v>
      </c>
      <c r="X244" s="71" t="s">
        <v>39</v>
      </c>
      <c r="Y244" s="76">
        <v>6.084</v>
      </c>
      <c r="Z244" s="72">
        <v>10</v>
      </c>
      <c r="AA244" s="72">
        <f t="shared" si="638"/>
        <v>4.199061366765</v>
      </c>
      <c r="AB244" s="75">
        <f t="shared" si="639"/>
        <v>0.109803782978309</v>
      </c>
      <c r="AC244" s="49"/>
      <c r="AD244" s="78">
        <f t="shared" si="640"/>
        <v>0.0768798295045958</v>
      </c>
      <c r="AE244" s="74">
        <f t="shared" si="630"/>
        <v>0.281447520749586</v>
      </c>
      <c r="AF244" s="74">
        <f t="shared" si="631"/>
        <v>0.035337299827448</v>
      </c>
      <c r="AG244" s="74">
        <v>0.15</v>
      </c>
      <c r="AH244" s="74">
        <f t="shared" si="641"/>
        <v>0.156897611233869</v>
      </c>
      <c r="AI244" s="74">
        <v>0.02</v>
      </c>
      <c r="AJ244" s="74">
        <f t="shared" si="642"/>
        <v>0.05</v>
      </c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</row>
    <row r="245" spans="1:75">
      <c r="F245" s="88"/>
      <c r="G245" s="88"/>
      <c r="I245" s="88"/>
      <c r="O245" s="89"/>
      <c r="Q245" s="48"/>
      <c r="V245" s="88"/>
      <c r="W245" s="88"/>
      <c r="Y245" s="90"/>
      <c r="Z245" s="88"/>
      <c r="AA245" s="88"/>
      <c r="AB245" s="89"/>
      <c r="AD245" s="91"/>
      <c r="AE245" s="48"/>
      <c r="AF245" s="48"/>
    </row>
    <row r="246" spans="1:75">
      <c r="A246" s="92" t="s">
        <v>97</v>
      </c>
      <c r="B246" s="71">
        <v>8</v>
      </c>
      <c r="C246" s="71" t="s">
        <v>36</v>
      </c>
      <c r="D246" s="71" t="s">
        <v>37</v>
      </c>
      <c r="E246" s="71" t="s">
        <v>38</v>
      </c>
      <c r="F246" s="72">
        <f t="shared" si="632"/>
        <v>27.3700006769185</v>
      </c>
      <c r="G246" s="72">
        <f t="shared" si="633"/>
        <v>52.64838304306</v>
      </c>
      <c r="H246" s="79">
        <v>39.99</v>
      </c>
      <c r="I246" s="72">
        <v>67</v>
      </c>
      <c r="J246" s="71">
        <v>3.41</v>
      </c>
      <c r="K246" s="74">
        <v>0.15</v>
      </c>
      <c r="L246" s="74">
        <v>0.16</v>
      </c>
      <c r="M246" s="74">
        <v>0.05</v>
      </c>
      <c r="N246" s="74">
        <f t="shared" si="634"/>
        <v>0.150037509377344</v>
      </c>
      <c r="O246" s="75">
        <f t="shared" si="635"/>
        <v>0.0152538134533633</v>
      </c>
      <c r="P246" s="74">
        <v>0.02</v>
      </c>
      <c r="Q246" s="72">
        <v>6</v>
      </c>
      <c r="R246" s="49">
        <v>33.5</v>
      </c>
      <c r="S246" s="49">
        <v>26.5</v>
      </c>
      <c r="T246" s="49">
        <v>25</v>
      </c>
      <c r="U246" s="49">
        <v>2.3</v>
      </c>
      <c r="V246" s="72">
        <f t="shared" si="636"/>
        <v>3.69895833333333</v>
      </c>
      <c r="W246" s="72">
        <f t="shared" si="637"/>
        <v>3.69895833333333</v>
      </c>
      <c r="X246" s="49" t="s">
        <v>39</v>
      </c>
      <c r="Y246" s="76">
        <v>5.55136</v>
      </c>
      <c r="Z246" s="72">
        <v>13</v>
      </c>
      <c r="AA246" s="72">
        <f t="shared" si="638"/>
        <v>4.7738</v>
      </c>
      <c r="AB246" s="75">
        <f t="shared" si="639"/>
        <v>0.119374843710928</v>
      </c>
      <c r="AC246" s="49"/>
      <c r="AD246" s="78">
        <f t="shared" si="640"/>
        <v>0.0852713178294574</v>
      </c>
      <c r="AE246" s="74">
        <f t="shared" ref="AE246:AE250" si="643">I246/7.4/H246</f>
        <v>0.226407953339686</v>
      </c>
      <c r="AF246" s="74">
        <f t="shared" ref="AF246:AF250" si="644">Z246/7.4/H246</f>
        <v>0.0439299013942675</v>
      </c>
      <c r="AG246" s="74">
        <v>0.15</v>
      </c>
      <c r="AH246" s="74">
        <f t="shared" si="641"/>
        <v>0.150037509377344</v>
      </c>
      <c r="AI246" s="74">
        <v>0.02</v>
      </c>
      <c r="AJ246" s="74">
        <f t="shared" si="642"/>
        <v>0.05</v>
      </c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</row>
    <row r="247" spans="1:75">
      <c r="A247" s="92" t="s">
        <v>98</v>
      </c>
      <c r="B247" s="71">
        <v>8</v>
      </c>
      <c r="C247" s="71" t="s">
        <v>36</v>
      </c>
      <c r="D247" s="71" t="s">
        <v>37</v>
      </c>
      <c r="E247" s="71" t="s">
        <v>38</v>
      </c>
      <c r="F247" s="72">
        <f t="shared" si="632"/>
        <v>28.9335817667041</v>
      </c>
      <c r="G247" s="72">
        <f t="shared" si="633"/>
        <v>59.4574025980802</v>
      </c>
      <c r="H247" s="79">
        <f>H246*0.85</f>
        <v>33.9915</v>
      </c>
      <c r="I247" s="72">
        <v>67</v>
      </c>
      <c r="J247" s="71">
        <v>3.41</v>
      </c>
      <c r="K247" s="74">
        <v>0.15</v>
      </c>
      <c r="L247" s="74">
        <v>0.16</v>
      </c>
      <c r="M247" s="74">
        <v>0.05</v>
      </c>
      <c r="N247" s="74">
        <f t="shared" si="634"/>
        <v>0.176514716914523</v>
      </c>
      <c r="O247" s="75">
        <f t="shared" si="635"/>
        <v>0.0179456628863098</v>
      </c>
      <c r="P247" s="74">
        <v>0.02</v>
      </c>
      <c r="Q247" s="72">
        <v>6</v>
      </c>
      <c r="R247" s="49">
        <v>33.5</v>
      </c>
      <c r="S247" s="49">
        <v>26.5</v>
      </c>
      <c r="T247" s="49">
        <v>25</v>
      </c>
      <c r="U247" s="49">
        <v>2.3</v>
      </c>
      <c r="V247" s="72">
        <f t="shared" si="636"/>
        <v>3.69895833333333</v>
      </c>
      <c r="W247" s="72">
        <f t="shared" si="637"/>
        <v>3.69895833333333</v>
      </c>
      <c r="X247" s="71" t="s">
        <v>39</v>
      </c>
      <c r="Y247" s="76">
        <v>5.55136</v>
      </c>
      <c r="Z247" s="72">
        <v>13</v>
      </c>
      <c r="AA247" s="72">
        <f t="shared" si="638"/>
        <v>1.05473</v>
      </c>
      <c r="AB247" s="75">
        <f t="shared" si="639"/>
        <v>0.0310292278952091</v>
      </c>
      <c r="AC247" s="49"/>
      <c r="AD247" s="78">
        <f t="shared" si="640"/>
        <v>0.10031919744642</v>
      </c>
      <c r="AE247" s="74">
        <f>I247/B247/H247</f>
        <v>0.246385125693188</v>
      </c>
      <c r="AF247" s="74">
        <f>Z247/B247/H247</f>
        <v>0.0478060691643499</v>
      </c>
      <c r="AG247" s="74">
        <f>K247</f>
        <v>0.15</v>
      </c>
      <c r="AH247" s="74">
        <f t="shared" si="641"/>
        <v>0.176514716914523</v>
      </c>
      <c r="AI247" s="74">
        <v>0.02</v>
      </c>
      <c r="AJ247" s="74">
        <f t="shared" si="642"/>
        <v>0.05</v>
      </c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</row>
    <row r="248" spans="1:75">
      <c r="A248" s="92"/>
      <c r="B248" s="49"/>
      <c r="C248" s="49"/>
      <c r="D248" s="49"/>
      <c r="E248" s="49"/>
      <c r="F248" s="72"/>
      <c r="G248" s="72"/>
      <c r="H248" s="79"/>
      <c r="I248" s="72"/>
      <c r="J248" s="71"/>
      <c r="K248" s="74"/>
      <c r="L248" s="74"/>
      <c r="M248" s="74"/>
      <c r="N248" s="74"/>
      <c r="O248" s="75"/>
      <c r="P248" s="74"/>
      <c r="Q248" s="72"/>
      <c r="R248" s="49"/>
      <c r="S248" s="49"/>
      <c r="T248" s="49"/>
      <c r="U248" s="49"/>
      <c r="V248" s="72"/>
      <c r="W248" s="72"/>
      <c r="X248" s="71"/>
      <c r="Y248" s="76"/>
      <c r="Z248" s="71"/>
      <c r="AA248" s="72"/>
      <c r="AB248" s="75"/>
      <c r="AC248" s="49"/>
      <c r="AD248" s="78"/>
      <c r="AE248" s="74"/>
      <c r="AF248" s="74"/>
      <c r="AG248" s="74"/>
      <c r="AH248" s="74"/>
      <c r="AI248" s="74"/>
      <c r="AJ248" s="74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</row>
    <row r="249" spans="1:75">
      <c r="A249" s="92" t="s">
        <v>97</v>
      </c>
      <c r="B249" s="71">
        <v>8</v>
      </c>
      <c r="C249" s="49" t="s">
        <v>42</v>
      </c>
      <c r="D249" s="49" t="s">
        <v>43</v>
      </c>
      <c r="E249" s="71" t="s">
        <v>38</v>
      </c>
      <c r="F249" s="72">
        <f t="shared" ref="F249:F253" si="645">IF(E249="有",(I249/B249+J249+Z249/B249)/(0.99999-K249-L249-M249-N249),(I249/B249+J249+Z249/B249)/(0.99999-K249-M249-N249))</f>
        <v>32.2276145181613</v>
      </c>
      <c r="G249" s="72">
        <f t="shared" ref="G249:G253" si="646">IF(E249="有",(I249/B249+J249+Z249/B249)/(0.8-K249-L249-M249-N249-O249-P249),(I249/B249+J249+Z249/B249)/(0.8-K249-M249-N249-O249-P249))</f>
        <v>61.9923913683756</v>
      </c>
      <c r="H249" s="79">
        <v>39.99</v>
      </c>
      <c r="I249" s="72">
        <v>67</v>
      </c>
      <c r="J249" s="71">
        <v>5.79</v>
      </c>
      <c r="K249" s="74">
        <v>0.15</v>
      </c>
      <c r="L249" s="74">
        <v>0.16</v>
      </c>
      <c r="M249" s="74">
        <v>0.05</v>
      </c>
      <c r="N249" s="74">
        <f t="shared" ref="N249:N253" si="647">Q249/H249</f>
        <v>0.150037509377344</v>
      </c>
      <c r="O249" s="75">
        <f t="shared" ref="O249:O253" si="648">0.61/H249</f>
        <v>0.0152538134533633</v>
      </c>
      <c r="P249" s="74">
        <v>0.02</v>
      </c>
      <c r="Q249" s="72">
        <v>6</v>
      </c>
      <c r="R249" s="49">
        <v>33.5</v>
      </c>
      <c r="S249" s="49">
        <v>26.5</v>
      </c>
      <c r="T249" s="49">
        <v>25</v>
      </c>
      <c r="U249" s="49">
        <v>2.3</v>
      </c>
      <c r="V249" s="72">
        <f t="shared" ref="V249:V253" si="649">R249*S249*T249/6000</f>
        <v>3.69895833333333</v>
      </c>
      <c r="W249" s="72">
        <f t="shared" ref="W249:W253" si="650">MAX(U249:V249)</f>
        <v>3.69895833333333</v>
      </c>
      <c r="X249" s="49" t="s">
        <v>39</v>
      </c>
      <c r="Y249" s="76">
        <v>5.55136</v>
      </c>
      <c r="Z249" s="72">
        <v>13</v>
      </c>
      <c r="AA249" s="72">
        <f t="shared" ref="AA249:AA253" si="651">H249-SUM(K249:P249)*H249-J249-I249/B249-Z249/B249</f>
        <v>2.3938</v>
      </c>
      <c r="AB249" s="75">
        <f t="shared" ref="AB249:AB253" si="652">AA249/H249</f>
        <v>0.0598599649912479</v>
      </c>
      <c r="AC249" s="49"/>
      <c r="AD249" s="78">
        <f t="shared" ref="AD249:AD253" si="653">J249/H249</f>
        <v>0.144786196549137</v>
      </c>
      <c r="AE249" s="74">
        <f t="shared" si="643"/>
        <v>0.226407953339686</v>
      </c>
      <c r="AF249" s="74">
        <f t="shared" si="644"/>
        <v>0.0439299013942675</v>
      </c>
      <c r="AG249" s="74">
        <v>0.15</v>
      </c>
      <c r="AH249" s="74">
        <f t="shared" ref="AH249:AH253" si="654">N249</f>
        <v>0.150037509377344</v>
      </c>
      <c r="AI249" s="74">
        <v>0.02</v>
      </c>
      <c r="AJ249" s="74">
        <f t="shared" ref="AJ249:AJ253" si="655">M249</f>
        <v>0.05</v>
      </c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</row>
    <row r="250" spans="1:75">
      <c r="A250" s="92" t="s">
        <v>98</v>
      </c>
      <c r="B250" s="71">
        <v>8</v>
      </c>
      <c r="C250" s="71" t="s">
        <v>42</v>
      </c>
      <c r="D250" s="71" t="s">
        <v>43</v>
      </c>
      <c r="E250" s="71" t="s">
        <v>38</v>
      </c>
      <c r="F250" s="72">
        <f t="shared" si="645"/>
        <v>34.0686991868947</v>
      </c>
      <c r="G250" s="72">
        <f t="shared" si="646"/>
        <v>70.0098722612741</v>
      </c>
      <c r="H250" s="79">
        <f>H249*0.85</f>
        <v>33.9915</v>
      </c>
      <c r="I250" s="72">
        <v>67</v>
      </c>
      <c r="J250" s="71">
        <v>5.79</v>
      </c>
      <c r="K250" s="74">
        <v>0.15</v>
      </c>
      <c r="L250" s="74">
        <v>0.16</v>
      </c>
      <c r="M250" s="74">
        <v>0.05</v>
      </c>
      <c r="N250" s="74">
        <f t="shared" si="647"/>
        <v>0.176514716914523</v>
      </c>
      <c r="O250" s="75">
        <f t="shared" si="648"/>
        <v>0.0179456628863098</v>
      </c>
      <c r="P250" s="74">
        <v>0.02</v>
      </c>
      <c r="Q250" s="72">
        <v>6</v>
      </c>
      <c r="R250" s="49">
        <v>33.5</v>
      </c>
      <c r="S250" s="49">
        <v>26.5</v>
      </c>
      <c r="T250" s="49">
        <v>25</v>
      </c>
      <c r="U250" s="49">
        <v>2.3</v>
      </c>
      <c r="V250" s="72">
        <f t="shared" si="649"/>
        <v>3.69895833333333</v>
      </c>
      <c r="W250" s="72">
        <f t="shared" si="650"/>
        <v>3.69895833333333</v>
      </c>
      <c r="X250" s="71" t="s">
        <v>39</v>
      </c>
      <c r="Y250" s="76">
        <v>5.55136</v>
      </c>
      <c r="Z250" s="72">
        <v>13</v>
      </c>
      <c r="AA250" s="72">
        <f t="shared" si="651"/>
        <v>-1.32527</v>
      </c>
      <c r="AB250" s="75">
        <f t="shared" si="652"/>
        <v>-0.0389882764808849</v>
      </c>
      <c r="AC250" s="49"/>
      <c r="AD250" s="78">
        <f t="shared" si="653"/>
        <v>0.170336701822514</v>
      </c>
      <c r="AE250" s="74">
        <f t="shared" si="643"/>
        <v>0.26636229804669</v>
      </c>
      <c r="AF250" s="74">
        <f t="shared" si="644"/>
        <v>0.0516822369344323</v>
      </c>
      <c r="AG250" s="74">
        <v>0.15</v>
      </c>
      <c r="AH250" s="74">
        <f t="shared" si="654"/>
        <v>0.176514716914523</v>
      </c>
      <c r="AI250" s="74">
        <v>0.02</v>
      </c>
      <c r="AJ250" s="74">
        <f t="shared" si="655"/>
        <v>0.05</v>
      </c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</row>
    <row r="251" spans="1:75">
      <c r="A251" s="92"/>
      <c r="B251" s="49"/>
      <c r="C251" s="49"/>
      <c r="D251" s="49"/>
      <c r="E251" s="49"/>
      <c r="F251" s="72"/>
      <c r="G251" s="72"/>
      <c r="H251" s="79"/>
      <c r="I251" s="72"/>
      <c r="J251" s="71"/>
      <c r="K251" s="74"/>
      <c r="L251" s="74"/>
      <c r="M251" s="74"/>
      <c r="N251" s="74"/>
      <c r="O251" s="75"/>
      <c r="P251" s="74"/>
      <c r="Q251" s="74"/>
      <c r="R251" s="49"/>
      <c r="S251" s="49"/>
      <c r="T251" s="49"/>
      <c r="U251" s="49"/>
      <c r="V251" s="72"/>
      <c r="W251" s="72"/>
      <c r="X251" s="71"/>
      <c r="Y251" s="76"/>
      <c r="Z251" s="71"/>
      <c r="AA251" s="72"/>
      <c r="AB251" s="75"/>
      <c r="AC251" s="49"/>
      <c r="AD251" s="78"/>
      <c r="AE251" s="74"/>
      <c r="AF251" s="74"/>
      <c r="AG251" s="74"/>
      <c r="AH251" s="74"/>
      <c r="AI251" s="74"/>
      <c r="AJ251" s="74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</row>
    <row r="252" spans="1:75">
      <c r="A252" s="92" t="s">
        <v>97</v>
      </c>
      <c r="B252" s="71">
        <v>8</v>
      </c>
      <c r="C252" s="49" t="s">
        <v>44</v>
      </c>
      <c r="D252" s="49" t="s">
        <v>45</v>
      </c>
      <c r="E252" s="71" t="s">
        <v>38</v>
      </c>
      <c r="F252" s="72">
        <f t="shared" si="645"/>
        <v>30.5131625741933</v>
      </c>
      <c r="G252" s="72">
        <f t="shared" si="646"/>
        <v>58.6945060770877</v>
      </c>
      <c r="H252" s="79">
        <v>39.99</v>
      </c>
      <c r="I252" s="72">
        <v>67</v>
      </c>
      <c r="J252" s="71">
        <v>4.95</v>
      </c>
      <c r="K252" s="74">
        <v>0.15</v>
      </c>
      <c r="L252" s="74">
        <v>0.16</v>
      </c>
      <c r="M252" s="74">
        <v>0.05</v>
      </c>
      <c r="N252" s="74">
        <f t="shared" si="647"/>
        <v>0.150037509377344</v>
      </c>
      <c r="O252" s="75">
        <f t="shared" si="648"/>
        <v>0.0152538134533633</v>
      </c>
      <c r="P252" s="74">
        <v>0.02</v>
      </c>
      <c r="Q252" s="72">
        <v>6</v>
      </c>
      <c r="R252" s="49">
        <v>33.5</v>
      </c>
      <c r="S252" s="49">
        <v>26.5</v>
      </c>
      <c r="T252" s="49">
        <v>25</v>
      </c>
      <c r="U252" s="49">
        <v>2.3</v>
      </c>
      <c r="V252" s="72">
        <f t="shared" si="649"/>
        <v>3.69895833333333</v>
      </c>
      <c r="W252" s="72">
        <f t="shared" si="650"/>
        <v>3.69895833333333</v>
      </c>
      <c r="X252" s="49" t="s">
        <v>39</v>
      </c>
      <c r="Y252" s="76">
        <v>5.55136</v>
      </c>
      <c r="Z252" s="72">
        <v>13</v>
      </c>
      <c r="AA252" s="72">
        <f t="shared" si="651"/>
        <v>3.2338</v>
      </c>
      <c r="AB252" s="75">
        <f t="shared" si="652"/>
        <v>0.0808652163040761</v>
      </c>
      <c r="AC252" s="49"/>
      <c r="AD252" s="78">
        <f t="shared" si="653"/>
        <v>0.123780945236309</v>
      </c>
      <c r="AE252" s="74">
        <f t="shared" ref="AE252:AE256" si="656">I252/7.4/H252</f>
        <v>0.226407953339686</v>
      </c>
      <c r="AF252" s="74">
        <f t="shared" ref="AF252:AF256" si="657">Z252/7.4/H252</f>
        <v>0.0439299013942675</v>
      </c>
      <c r="AG252" s="74">
        <v>0.15</v>
      </c>
      <c r="AH252" s="74">
        <f t="shared" si="654"/>
        <v>0.150037509377344</v>
      </c>
      <c r="AI252" s="74">
        <v>0.02</v>
      </c>
      <c r="AJ252" s="74">
        <f t="shared" si="655"/>
        <v>0.05</v>
      </c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</row>
    <row r="253" spans="1:75">
      <c r="A253" s="92" t="s">
        <v>98</v>
      </c>
      <c r="B253" s="71">
        <v>8</v>
      </c>
      <c r="C253" s="71" t="s">
        <v>44</v>
      </c>
      <c r="D253" s="71" t="s">
        <v>45</v>
      </c>
      <c r="E253" s="71" t="s">
        <v>38</v>
      </c>
      <c r="F253" s="72">
        <f t="shared" si="645"/>
        <v>32.256304803298</v>
      </c>
      <c r="G253" s="72">
        <f t="shared" si="646"/>
        <v>66.2854712036763</v>
      </c>
      <c r="H253" s="79">
        <f>H252*0.85</f>
        <v>33.9915</v>
      </c>
      <c r="I253" s="72">
        <v>67</v>
      </c>
      <c r="J253" s="71">
        <v>4.95</v>
      </c>
      <c r="K253" s="74">
        <v>0.15</v>
      </c>
      <c r="L253" s="74">
        <v>0.16</v>
      </c>
      <c r="M253" s="74">
        <v>0.05</v>
      </c>
      <c r="N253" s="74">
        <f t="shared" si="647"/>
        <v>0.176514716914523</v>
      </c>
      <c r="O253" s="75">
        <f t="shared" si="648"/>
        <v>0.0179456628863098</v>
      </c>
      <c r="P253" s="74">
        <v>0.02</v>
      </c>
      <c r="Q253" s="72">
        <v>6</v>
      </c>
      <c r="R253" s="49">
        <v>33.5</v>
      </c>
      <c r="S253" s="49">
        <v>26.5</v>
      </c>
      <c r="T253" s="49">
        <v>25</v>
      </c>
      <c r="U253" s="49">
        <v>2.3</v>
      </c>
      <c r="V253" s="72">
        <f t="shared" si="649"/>
        <v>3.69895833333333</v>
      </c>
      <c r="W253" s="72">
        <f t="shared" si="650"/>
        <v>3.69895833333333</v>
      </c>
      <c r="X253" s="71" t="s">
        <v>39</v>
      </c>
      <c r="Y253" s="76">
        <v>5.55136</v>
      </c>
      <c r="Z253" s="72">
        <v>13</v>
      </c>
      <c r="AA253" s="72">
        <f t="shared" si="651"/>
        <v>-0.48527</v>
      </c>
      <c r="AB253" s="75">
        <f t="shared" si="652"/>
        <v>-0.0142762161128517</v>
      </c>
      <c r="AC253" s="49"/>
      <c r="AD253" s="78">
        <f t="shared" si="653"/>
        <v>0.145624641454481</v>
      </c>
      <c r="AE253" s="74">
        <f t="shared" si="656"/>
        <v>0.26636229804669</v>
      </c>
      <c r="AF253" s="74">
        <f t="shared" si="657"/>
        <v>0.0516822369344323</v>
      </c>
      <c r="AG253" s="74">
        <v>0.15</v>
      </c>
      <c r="AH253" s="74">
        <f t="shared" si="654"/>
        <v>0.176514716914523</v>
      </c>
      <c r="AI253" s="74">
        <v>0.02</v>
      </c>
      <c r="AJ253" s="74">
        <f t="shared" si="655"/>
        <v>0.05</v>
      </c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  <c r="BL253" s="48"/>
      <c r="BM253" s="48"/>
      <c r="BN253" s="48"/>
      <c r="BO253" s="48"/>
      <c r="BP253" s="48"/>
      <c r="BQ253" s="48"/>
      <c r="BR253" s="48"/>
      <c r="BS253" s="48"/>
      <c r="BT253" s="48"/>
      <c r="BU253" s="48"/>
      <c r="BV253" s="48"/>
      <c r="BW253" s="48"/>
    </row>
    <row r="254" spans="1:75">
      <c r="A254" s="92"/>
      <c r="B254" s="49"/>
      <c r="C254" s="49"/>
      <c r="D254" s="49"/>
      <c r="E254" s="49"/>
      <c r="F254" s="72"/>
      <c r="G254" s="72"/>
      <c r="H254" s="79"/>
      <c r="I254" s="72"/>
      <c r="J254" s="71"/>
      <c r="K254" s="74"/>
      <c r="L254" s="74"/>
      <c r="M254" s="74"/>
      <c r="N254" s="74"/>
      <c r="O254" s="75"/>
      <c r="P254" s="74"/>
      <c r="Q254" s="74"/>
      <c r="R254" s="49"/>
      <c r="S254" s="49"/>
      <c r="T254" s="49"/>
      <c r="U254" s="49"/>
      <c r="V254" s="72"/>
      <c r="W254" s="72"/>
      <c r="X254" s="71"/>
      <c r="Y254" s="76"/>
      <c r="Z254" s="71"/>
      <c r="AA254" s="72"/>
      <c r="AB254" s="75"/>
      <c r="AC254" s="49"/>
      <c r="AD254" s="78"/>
      <c r="AE254" s="74"/>
      <c r="AF254" s="74"/>
      <c r="AG254" s="74"/>
      <c r="AH254" s="74"/>
      <c r="AI254" s="74"/>
      <c r="AJ254" s="74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  <c r="BQ254" s="48"/>
      <c r="BR254" s="48"/>
      <c r="BS254" s="48"/>
      <c r="BT254" s="48"/>
      <c r="BU254" s="48"/>
      <c r="BV254" s="48"/>
      <c r="BW254" s="48"/>
    </row>
    <row r="255" spans="1:75">
      <c r="A255" s="92" t="s">
        <v>97</v>
      </c>
      <c r="B255" s="71">
        <v>8</v>
      </c>
      <c r="C255" s="49" t="s">
        <v>47</v>
      </c>
      <c r="D255" s="49" t="s">
        <v>48</v>
      </c>
      <c r="E255" s="71" t="s">
        <v>38</v>
      </c>
      <c r="F255" s="72">
        <f t="shared" ref="F255:F259" si="658">IF(E255="有",(I255/B255+J255+Z255/B255)/(0.99999-K255-L255-M255-N255),(I255/B255+J255+Z255/B255)/(0.99999-K255-M255-N255))</f>
        <v>28.4721483551837</v>
      </c>
      <c r="G255" s="72">
        <f t="shared" ref="G255:G259" si="659">IF(E255="有",(I255/B255+J255+Z255/B255)/(0.8-K255-L255-M255-N255-O255-P255),(I255/B255+J255+Z255/B255)/(0.8-K255-M255-N255-O255-P255))</f>
        <v>54.7684521588879</v>
      </c>
      <c r="H255" s="79">
        <v>39.99</v>
      </c>
      <c r="I255" s="72">
        <v>67</v>
      </c>
      <c r="J255" s="71">
        <v>3.95</v>
      </c>
      <c r="K255" s="74">
        <v>0.15</v>
      </c>
      <c r="L255" s="74">
        <v>0.16</v>
      </c>
      <c r="M255" s="74">
        <v>0.05</v>
      </c>
      <c r="N255" s="74">
        <f t="shared" ref="N255:N259" si="660">Q255/H255</f>
        <v>0.150037509377344</v>
      </c>
      <c r="O255" s="75">
        <f t="shared" ref="O255:O259" si="661">0.61/H255</f>
        <v>0.0152538134533633</v>
      </c>
      <c r="P255" s="74">
        <v>0.02</v>
      </c>
      <c r="Q255" s="72">
        <v>6</v>
      </c>
      <c r="R255" s="49">
        <v>33.5</v>
      </c>
      <c r="S255" s="49">
        <v>26.5</v>
      </c>
      <c r="T255" s="49">
        <v>25</v>
      </c>
      <c r="U255" s="49">
        <v>2.3</v>
      </c>
      <c r="V255" s="72">
        <f t="shared" ref="V255:V259" si="662">R255*S255*T255/6000</f>
        <v>3.69895833333333</v>
      </c>
      <c r="W255" s="72">
        <f t="shared" ref="W255:W259" si="663">MAX(U255:V255)</f>
        <v>3.69895833333333</v>
      </c>
      <c r="X255" s="49" t="s">
        <v>39</v>
      </c>
      <c r="Y255" s="76">
        <v>5.55136</v>
      </c>
      <c r="Z255" s="72">
        <v>13</v>
      </c>
      <c r="AA255" s="72">
        <f t="shared" ref="AA255:AA259" si="664">H255-SUM(K255:P255)*H255-J255-I255/B255-Z255/B255</f>
        <v>4.2338</v>
      </c>
      <c r="AB255" s="75">
        <f t="shared" ref="AB255:AB259" si="665">AA255/H255</f>
        <v>0.105871467866967</v>
      </c>
      <c r="AC255" s="49"/>
      <c r="AD255" s="78">
        <f t="shared" ref="AD255:AD259" si="666">J255/H255</f>
        <v>0.0987746936734184</v>
      </c>
      <c r="AE255" s="74">
        <f t="shared" si="656"/>
        <v>0.226407953339686</v>
      </c>
      <c r="AF255" s="74">
        <f t="shared" si="657"/>
        <v>0.0439299013942675</v>
      </c>
      <c r="AG255" s="74">
        <v>0.15</v>
      </c>
      <c r="AH255" s="74">
        <f t="shared" ref="AH255:AH259" si="667">N255</f>
        <v>0.150037509377344</v>
      </c>
      <c r="AI255" s="74">
        <v>0.02</v>
      </c>
      <c r="AJ255" s="74">
        <f t="shared" ref="AJ255:AJ259" si="668">M255</f>
        <v>0.05</v>
      </c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  <c r="BL255" s="48"/>
      <c r="BM255" s="48"/>
      <c r="BN255" s="48"/>
      <c r="BO255" s="48"/>
      <c r="BP255" s="48"/>
      <c r="BQ255" s="48"/>
      <c r="BR255" s="48"/>
      <c r="BS255" s="48"/>
      <c r="BT255" s="48"/>
      <c r="BU255" s="48"/>
      <c r="BV255" s="48"/>
      <c r="BW255" s="48"/>
    </row>
    <row r="256" spans="1:75">
      <c r="A256" s="92" t="s">
        <v>98</v>
      </c>
      <c r="B256" s="71">
        <v>8</v>
      </c>
      <c r="C256" s="71" t="s">
        <v>47</v>
      </c>
      <c r="D256" s="71" t="s">
        <v>48</v>
      </c>
      <c r="E256" s="71" t="s">
        <v>38</v>
      </c>
      <c r="F256" s="72">
        <f t="shared" si="658"/>
        <v>30.0986924418734</v>
      </c>
      <c r="G256" s="72">
        <f t="shared" si="659"/>
        <v>61.8516604208217</v>
      </c>
      <c r="H256" s="79">
        <f>H255*0.85</f>
        <v>33.9915</v>
      </c>
      <c r="I256" s="72">
        <v>67</v>
      </c>
      <c r="J256" s="71">
        <v>3.95</v>
      </c>
      <c r="K256" s="74">
        <v>0.15</v>
      </c>
      <c r="L256" s="74">
        <v>0.16</v>
      </c>
      <c r="M256" s="74">
        <v>0.05</v>
      </c>
      <c r="N256" s="74">
        <f t="shared" si="660"/>
        <v>0.176514716914523</v>
      </c>
      <c r="O256" s="75">
        <f t="shared" si="661"/>
        <v>0.0179456628863098</v>
      </c>
      <c r="P256" s="74">
        <v>0.02</v>
      </c>
      <c r="Q256" s="72">
        <v>6</v>
      </c>
      <c r="R256" s="49">
        <v>33.5</v>
      </c>
      <c r="S256" s="49">
        <v>26.5</v>
      </c>
      <c r="T256" s="49">
        <v>25</v>
      </c>
      <c r="U256" s="49">
        <v>2.3</v>
      </c>
      <c r="V256" s="72">
        <f t="shared" si="662"/>
        <v>3.69895833333333</v>
      </c>
      <c r="W256" s="72">
        <f t="shared" si="663"/>
        <v>3.69895833333333</v>
      </c>
      <c r="X256" s="71" t="s">
        <v>39</v>
      </c>
      <c r="Y256" s="76">
        <v>5.55136</v>
      </c>
      <c r="Z256" s="72">
        <v>13</v>
      </c>
      <c r="AA256" s="72">
        <f t="shared" si="664"/>
        <v>0.51473</v>
      </c>
      <c r="AB256" s="75">
        <f t="shared" si="665"/>
        <v>0.0151429033729021</v>
      </c>
      <c r="AC256" s="49"/>
      <c r="AD256" s="78">
        <f t="shared" si="666"/>
        <v>0.116205521968727</v>
      </c>
      <c r="AE256" s="74">
        <f t="shared" si="656"/>
        <v>0.26636229804669</v>
      </c>
      <c r="AF256" s="74">
        <f t="shared" si="657"/>
        <v>0.0516822369344323</v>
      </c>
      <c r="AG256" s="74">
        <v>0.15</v>
      </c>
      <c r="AH256" s="74">
        <f t="shared" si="667"/>
        <v>0.176514716914523</v>
      </c>
      <c r="AI256" s="74">
        <v>0.02</v>
      </c>
      <c r="AJ256" s="74">
        <f t="shared" si="668"/>
        <v>0.05</v>
      </c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  <c r="BU256" s="48"/>
      <c r="BV256" s="48"/>
      <c r="BW256" s="48"/>
    </row>
    <row r="257" spans="1:75">
      <c r="A257" s="92"/>
      <c r="B257" s="71"/>
      <c r="C257" s="71"/>
      <c r="D257" s="71"/>
      <c r="E257" s="71"/>
      <c r="F257" s="72"/>
      <c r="G257" s="72"/>
      <c r="H257" s="79"/>
      <c r="I257" s="72"/>
      <c r="J257" s="71"/>
      <c r="K257" s="74"/>
      <c r="L257" s="74"/>
      <c r="M257" s="74"/>
      <c r="N257" s="74"/>
      <c r="O257" s="75"/>
      <c r="P257" s="74"/>
      <c r="Q257" s="74"/>
      <c r="R257" s="49"/>
      <c r="S257" s="49"/>
      <c r="T257" s="49"/>
      <c r="U257" s="49"/>
      <c r="V257" s="72"/>
      <c r="W257" s="72"/>
      <c r="X257" s="71"/>
      <c r="Y257" s="76"/>
      <c r="Z257" s="71"/>
      <c r="AA257" s="72"/>
      <c r="AB257" s="75"/>
      <c r="AC257" s="49"/>
      <c r="AD257" s="78"/>
      <c r="AE257" s="74"/>
      <c r="AF257" s="74"/>
      <c r="AG257" s="74"/>
      <c r="AH257" s="74"/>
      <c r="AI257" s="74"/>
      <c r="AJ257" s="74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</row>
    <row r="258" spans="1:75">
      <c r="A258" s="92" t="s">
        <v>97</v>
      </c>
      <c r="B258" s="49">
        <v>9</v>
      </c>
      <c r="C258" s="71" t="s">
        <v>49</v>
      </c>
      <c r="D258" s="71" t="s">
        <v>50</v>
      </c>
      <c r="E258" s="71" t="s">
        <v>38</v>
      </c>
      <c r="F258" s="72">
        <f t="shared" si="658"/>
        <v>25.4612001693442</v>
      </c>
      <c r="G258" s="72">
        <f t="shared" si="659"/>
        <v>51.6203495290784</v>
      </c>
      <c r="H258" s="79">
        <v>34.99</v>
      </c>
      <c r="I258" s="72">
        <v>67</v>
      </c>
      <c r="J258" s="71">
        <v>3.04</v>
      </c>
      <c r="K258" s="74">
        <v>0.15</v>
      </c>
      <c r="L258" s="74">
        <v>0.16</v>
      </c>
      <c r="M258" s="74">
        <v>0.05</v>
      </c>
      <c r="N258" s="74">
        <f t="shared" si="660"/>
        <v>0.171477565018577</v>
      </c>
      <c r="O258" s="75">
        <f t="shared" si="661"/>
        <v>0.0174335524435553</v>
      </c>
      <c r="P258" s="74">
        <v>0.02</v>
      </c>
      <c r="Q258" s="72">
        <v>6</v>
      </c>
      <c r="R258" s="49">
        <v>33.5</v>
      </c>
      <c r="S258" s="49">
        <v>26.5</v>
      </c>
      <c r="T258" s="49">
        <v>25</v>
      </c>
      <c r="U258" s="49">
        <v>2.3</v>
      </c>
      <c r="V258" s="72">
        <f t="shared" si="662"/>
        <v>3.69895833333333</v>
      </c>
      <c r="W258" s="72">
        <f t="shared" si="663"/>
        <v>3.69895833333333</v>
      </c>
      <c r="X258" s="71" t="s">
        <v>39</v>
      </c>
      <c r="Y258" s="76">
        <v>6.084</v>
      </c>
      <c r="Z258" s="72">
        <v>13</v>
      </c>
      <c r="AA258" s="72">
        <f t="shared" si="664"/>
        <v>3.15491111111112</v>
      </c>
      <c r="AB258" s="75">
        <f t="shared" si="665"/>
        <v>0.0901660791972311</v>
      </c>
      <c r="AC258" s="49"/>
      <c r="AD258" s="78">
        <f t="shared" si="666"/>
        <v>0.0868819662760789</v>
      </c>
      <c r="AE258" s="74">
        <f t="shared" ref="AE258:AE261" si="669">I258/7.4/H258</f>
        <v>0.25876119045596</v>
      </c>
      <c r="AF258" s="74">
        <f t="shared" ref="AF258:AF261" si="670">Z258/7.4/H258</f>
        <v>0.0502073951630968</v>
      </c>
      <c r="AG258" s="74">
        <v>0.15</v>
      </c>
      <c r="AH258" s="74">
        <f t="shared" si="667"/>
        <v>0.171477565018577</v>
      </c>
      <c r="AI258" s="74">
        <v>0.02</v>
      </c>
      <c r="AJ258" s="74">
        <f t="shared" si="668"/>
        <v>0.05</v>
      </c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</row>
    <row r="259" spans="1:75">
      <c r="A259" s="92" t="s">
        <v>98</v>
      </c>
      <c r="B259" s="49">
        <v>9</v>
      </c>
      <c r="C259" s="71" t="s">
        <v>49</v>
      </c>
      <c r="D259" s="71" t="s">
        <v>50</v>
      </c>
      <c r="E259" s="71" t="s">
        <v>38</v>
      </c>
      <c r="F259" s="72">
        <f t="shared" si="658"/>
        <v>27.2192651157096</v>
      </c>
      <c r="G259" s="72">
        <f t="shared" si="659"/>
        <v>60.3225829243719</v>
      </c>
      <c r="H259" s="79">
        <f>H258*0.85</f>
        <v>29.7415</v>
      </c>
      <c r="I259" s="72">
        <v>67</v>
      </c>
      <c r="J259" s="71">
        <v>3.04</v>
      </c>
      <c r="K259" s="74">
        <v>0.15</v>
      </c>
      <c r="L259" s="74">
        <v>0.16</v>
      </c>
      <c r="M259" s="74">
        <v>0.05</v>
      </c>
      <c r="N259" s="74">
        <f t="shared" si="660"/>
        <v>0.201738311786561</v>
      </c>
      <c r="O259" s="75">
        <f t="shared" si="661"/>
        <v>0.0205100616983004</v>
      </c>
      <c r="P259" s="74">
        <v>0.02</v>
      </c>
      <c r="Q259" s="72">
        <v>6</v>
      </c>
      <c r="R259" s="49">
        <v>33.5</v>
      </c>
      <c r="S259" s="49">
        <v>26.5</v>
      </c>
      <c r="T259" s="49">
        <v>25</v>
      </c>
      <c r="U259" s="49">
        <v>2.3</v>
      </c>
      <c r="V259" s="72">
        <f t="shared" si="662"/>
        <v>3.69895833333333</v>
      </c>
      <c r="W259" s="72">
        <f t="shared" si="663"/>
        <v>3.69895833333333</v>
      </c>
      <c r="X259" s="71" t="s">
        <v>39</v>
      </c>
      <c r="Y259" s="76">
        <v>6.084</v>
      </c>
      <c r="Z259" s="72">
        <v>13</v>
      </c>
      <c r="AA259" s="72">
        <f t="shared" si="664"/>
        <v>-0.0991588888888904</v>
      </c>
      <c r="AB259" s="75">
        <f t="shared" si="665"/>
        <v>-0.00333402447384598</v>
      </c>
      <c r="AC259" s="49"/>
      <c r="AD259" s="78">
        <f t="shared" si="666"/>
        <v>0.102214077971857</v>
      </c>
      <c r="AE259" s="74">
        <f t="shared" si="669"/>
        <v>0.304424929948189</v>
      </c>
      <c r="AF259" s="74">
        <f t="shared" si="670"/>
        <v>0.0590675237212903</v>
      </c>
      <c r="AG259" s="74">
        <v>0.15</v>
      </c>
      <c r="AH259" s="74">
        <f t="shared" si="667"/>
        <v>0.201738311786561</v>
      </c>
      <c r="AI259" s="74">
        <v>0.02</v>
      </c>
      <c r="AJ259" s="74">
        <f t="shared" si="668"/>
        <v>0.05</v>
      </c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</row>
    <row r="260" spans="1:75">
      <c r="F260" s="88"/>
      <c r="G260" s="88"/>
      <c r="I260" s="88"/>
      <c r="O260" s="89"/>
      <c r="Q260" s="48"/>
      <c r="V260" s="88"/>
      <c r="W260" s="88"/>
      <c r="Y260" s="90"/>
      <c r="Z260" s="88"/>
      <c r="AA260" s="88"/>
      <c r="AB260" s="89"/>
      <c r="AD260" s="91"/>
      <c r="AE260" s="48"/>
      <c r="AF260" s="48"/>
    </row>
    <row r="261" spans="1:75">
      <c r="A261" s="92" t="s">
        <v>99</v>
      </c>
      <c r="B261" s="71">
        <v>8</v>
      </c>
      <c r="C261" s="71" t="s">
        <v>36</v>
      </c>
      <c r="D261" s="71" t="s">
        <v>37</v>
      </c>
      <c r="E261" s="71" t="s">
        <v>38</v>
      </c>
      <c r="F261" s="72">
        <f t="shared" ref="F261:F265" si="671">IF(E261="有",(I261/B261+J261+Z261/B261)/(0.99999-K261-L261-M261-N261),(I261/B261+J261+Z261/B261)/(0.99999-K261-M261-N261))</f>
        <v>39.6501063820884</v>
      </c>
      <c r="G261" s="72">
        <f t="shared" ref="G261:G265" si="672">IF(E261="有",(I261/B261+J261+Z261/B261)/(0.8-K261-L261-M261-N261-O261-P261),(I261/B261+J261+Z261/B261)/(0.8-K261-M261-N261-O261-P261))</f>
        <v>69.1057635399068</v>
      </c>
      <c r="H261" s="79">
        <v>59.99</v>
      </c>
      <c r="I261" s="72">
        <v>130</v>
      </c>
      <c r="J261" s="71">
        <v>3.41</v>
      </c>
      <c r="K261" s="74">
        <v>0.15</v>
      </c>
      <c r="L261" s="74">
        <v>0.16</v>
      </c>
      <c r="M261" s="74">
        <v>0.05</v>
      </c>
      <c r="N261" s="74">
        <f t="shared" ref="N261:N265" si="673">Q261/H261</f>
        <v>0.100016669444907</v>
      </c>
      <c r="O261" s="75">
        <f t="shared" ref="O261:O265" si="674">0.61/H261</f>
        <v>0.0101683613935656</v>
      </c>
      <c r="P261" s="74">
        <v>0.02</v>
      </c>
      <c r="Q261" s="72">
        <v>6</v>
      </c>
      <c r="R261" s="49">
        <v>33.5</v>
      </c>
      <c r="S261" s="49">
        <v>26.5</v>
      </c>
      <c r="T261" s="49">
        <v>25</v>
      </c>
      <c r="U261" s="49">
        <v>2.3</v>
      </c>
      <c r="V261" s="72">
        <f t="shared" ref="V261:V265" si="675">R261*S261*T261/6000</f>
        <v>3.69895833333333</v>
      </c>
      <c r="W261" s="72">
        <f t="shared" ref="W261:W265" si="676">MAX(U261:V261)</f>
        <v>3.69895833333333</v>
      </c>
      <c r="X261" s="49" t="s">
        <v>39</v>
      </c>
      <c r="Y261" s="76">
        <v>5.55136</v>
      </c>
      <c r="Z261" s="72">
        <v>14</v>
      </c>
      <c r="AA261" s="72">
        <f t="shared" ref="AA261:AA265" si="677">H261-SUM(K261:P261)*H261-J261-I261/B261-Z261/B261</f>
        <v>9.1738</v>
      </c>
      <c r="AB261" s="75">
        <f t="shared" ref="AB261:AB265" si="678">AA261/H261</f>
        <v>0.152922153692282</v>
      </c>
      <c r="AC261" s="49"/>
      <c r="AD261" s="78">
        <f t="shared" ref="AD261:AD265" si="679">J261/H261</f>
        <v>0.0568428071345224</v>
      </c>
      <c r="AE261" s="74">
        <f t="shared" si="669"/>
        <v>0.29284159972608</v>
      </c>
      <c r="AF261" s="74">
        <f t="shared" si="670"/>
        <v>0.0315367876628087</v>
      </c>
      <c r="AG261" s="74">
        <v>0.15</v>
      </c>
      <c r="AH261" s="74">
        <f t="shared" ref="AH261:AH265" si="680">N261</f>
        <v>0.100016669444907</v>
      </c>
      <c r="AI261" s="74">
        <v>0.02</v>
      </c>
      <c r="AJ261" s="74">
        <f t="shared" ref="AJ261:AJ265" si="681">M261</f>
        <v>0.05</v>
      </c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</row>
    <row r="262" spans="1:75">
      <c r="A262" s="92" t="s">
        <v>100</v>
      </c>
      <c r="B262" s="71">
        <v>8</v>
      </c>
      <c r="C262" s="71" t="s">
        <v>36</v>
      </c>
      <c r="D262" s="71" t="s">
        <v>37</v>
      </c>
      <c r="E262" s="71" t="s">
        <v>38</v>
      </c>
      <c r="F262" s="72">
        <f t="shared" si="671"/>
        <v>40.9899362476175</v>
      </c>
      <c r="G262" s="72">
        <f t="shared" si="672"/>
        <v>73.7333722578636</v>
      </c>
      <c r="H262" s="79">
        <f>H261*0.85</f>
        <v>50.9915</v>
      </c>
      <c r="I262" s="72">
        <v>130</v>
      </c>
      <c r="J262" s="71">
        <v>3.41</v>
      </c>
      <c r="K262" s="74">
        <v>0.15</v>
      </c>
      <c r="L262" s="74">
        <v>0.16</v>
      </c>
      <c r="M262" s="74">
        <v>0.05</v>
      </c>
      <c r="N262" s="74">
        <f t="shared" si="673"/>
        <v>0.117666669935185</v>
      </c>
      <c r="O262" s="75">
        <f t="shared" si="674"/>
        <v>0.0119627781100772</v>
      </c>
      <c r="P262" s="74">
        <v>0.02</v>
      </c>
      <c r="Q262" s="72">
        <v>6</v>
      </c>
      <c r="R262" s="49">
        <v>33.5</v>
      </c>
      <c r="S262" s="49">
        <v>26.5</v>
      </c>
      <c r="T262" s="49">
        <v>25</v>
      </c>
      <c r="U262" s="49">
        <v>2.3</v>
      </c>
      <c r="V262" s="72">
        <f t="shared" si="675"/>
        <v>3.69895833333333</v>
      </c>
      <c r="W262" s="72">
        <f t="shared" si="676"/>
        <v>3.69895833333333</v>
      </c>
      <c r="X262" s="71" t="s">
        <v>39</v>
      </c>
      <c r="Y262" s="76">
        <v>5.55136</v>
      </c>
      <c r="Z262" s="72">
        <v>14</v>
      </c>
      <c r="AA262" s="72">
        <f t="shared" si="677"/>
        <v>3.59473</v>
      </c>
      <c r="AB262" s="75">
        <f t="shared" si="678"/>
        <v>0.0704966514026848</v>
      </c>
      <c r="AC262" s="49"/>
      <c r="AD262" s="78">
        <f t="shared" si="679"/>
        <v>0.066873890746497</v>
      </c>
      <c r="AE262" s="74">
        <f>I262/B262/H262</f>
        <v>0.318680564407793</v>
      </c>
      <c r="AF262" s="74">
        <f>Z262/B262/H262</f>
        <v>0.0343194453977624</v>
      </c>
      <c r="AG262" s="74">
        <f>K262</f>
        <v>0.15</v>
      </c>
      <c r="AH262" s="74">
        <f t="shared" si="680"/>
        <v>0.117666669935185</v>
      </c>
      <c r="AI262" s="74">
        <v>0.02</v>
      </c>
      <c r="AJ262" s="74">
        <f t="shared" si="681"/>
        <v>0.05</v>
      </c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</row>
    <row r="263" spans="1:75">
      <c r="A263" s="92"/>
      <c r="B263" s="49"/>
      <c r="C263" s="49"/>
      <c r="D263" s="49"/>
      <c r="E263" s="49"/>
      <c r="F263" s="72"/>
      <c r="G263" s="72"/>
      <c r="H263" s="79"/>
      <c r="I263" s="72"/>
      <c r="J263" s="71"/>
      <c r="K263" s="74"/>
      <c r="L263" s="74"/>
      <c r="M263" s="74"/>
      <c r="N263" s="74"/>
      <c r="O263" s="75"/>
      <c r="P263" s="74"/>
      <c r="Q263" s="72"/>
      <c r="R263" s="49"/>
      <c r="S263" s="49"/>
      <c r="T263" s="49"/>
      <c r="U263" s="49"/>
      <c r="V263" s="72"/>
      <c r="W263" s="72"/>
      <c r="X263" s="71"/>
      <c r="Y263" s="76"/>
      <c r="Z263" s="71"/>
      <c r="AA263" s="72"/>
      <c r="AB263" s="75"/>
      <c r="AC263" s="49"/>
      <c r="AD263" s="78"/>
      <c r="AE263" s="74"/>
      <c r="AF263" s="74"/>
      <c r="AG263" s="74"/>
      <c r="AH263" s="74"/>
      <c r="AI263" s="74"/>
      <c r="AJ263" s="74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</row>
    <row r="264" spans="1:75">
      <c r="A264" s="92" t="s">
        <v>99</v>
      </c>
      <c r="B264" s="71">
        <v>8</v>
      </c>
      <c r="C264" s="49" t="s">
        <v>42</v>
      </c>
      <c r="D264" s="49" t="s">
        <v>43</v>
      </c>
      <c r="E264" s="71" t="s">
        <v>38</v>
      </c>
      <c r="F264" s="72">
        <f t="shared" si="671"/>
        <v>44.0577314726709</v>
      </c>
      <c r="G264" s="72">
        <f t="shared" si="672"/>
        <v>76.7877680810081</v>
      </c>
      <c r="H264" s="79">
        <v>59.99</v>
      </c>
      <c r="I264" s="72">
        <v>130</v>
      </c>
      <c r="J264" s="71">
        <v>5.79</v>
      </c>
      <c r="K264" s="74">
        <v>0.15</v>
      </c>
      <c r="L264" s="74">
        <v>0.16</v>
      </c>
      <c r="M264" s="74">
        <v>0.05</v>
      </c>
      <c r="N264" s="74">
        <f t="shared" si="673"/>
        <v>0.100016669444907</v>
      </c>
      <c r="O264" s="75">
        <f t="shared" si="674"/>
        <v>0.0101683613935656</v>
      </c>
      <c r="P264" s="74">
        <v>0.02</v>
      </c>
      <c r="Q264" s="72">
        <v>6</v>
      </c>
      <c r="R264" s="49">
        <v>33.5</v>
      </c>
      <c r="S264" s="49">
        <v>26.5</v>
      </c>
      <c r="T264" s="49">
        <v>25</v>
      </c>
      <c r="U264" s="49">
        <v>2.3</v>
      </c>
      <c r="V264" s="72">
        <f t="shared" si="675"/>
        <v>3.69895833333333</v>
      </c>
      <c r="W264" s="72">
        <f t="shared" si="676"/>
        <v>3.69895833333333</v>
      </c>
      <c r="X264" s="49" t="s">
        <v>39</v>
      </c>
      <c r="Y264" s="76">
        <v>5.55136</v>
      </c>
      <c r="Z264" s="72">
        <v>14</v>
      </c>
      <c r="AA264" s="72">
        <f t="shared" si="677"/>
        <v>6.7938</v>
      </c>
      <c r="AB264" s="75">
        <f t="shared" si="678"/>
        <v>0.113248874812469</v>
      </c>
      <c r="AC264" s="49"/>
      <c r="AD264" s="78">
        <f t="shared" si="679"/>
        <v>0.0965160860143357</v>
      </c>
      <c r="AE264" s="74">
        <f t="shared" ref="AE264:AE268" si="682">I264/7.4/H264</f>
        <v>0.29284159972608</v>
      </c>
      <c r="AF264" s="74">
        <f t="shared" ref="AF264:AF268" si="683">Z264/7.4/H264</f>
        <v>0.0315367876628087</v>
      </c>
      <c r="AG264" s="74">
        <v>0.15</v>
      </c>
      <c r="AH264" s="74">
        <f t="shared" si="680"/>
        <v>0.100016669444907</v>
      </c>
      <c r="AI264" s="74">
        <v>0.02</v>
      </c>
      <c r="AJ264" s="74">
        <f t="shared" si="681"/>
        <v>0.05</v>
      </c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</row>
    <row r="265" spans="1:75">
      <c r="A265" s="92" t="s">
        <v>100</v>
      </c>
      <c r="B265" s="71">
        <v>8</v>
      </c>
      <c r="C265" s="71" t="s">
        <v>42</v>
      </c>
      <c r="D265" s="71" t="s">
        <v>43</v>
      </c>
      <c r="E265" s="71" t="s">
        <v>38</v>
      </c>
      <c r="F265" s="72">
        <f t="shared" si="671"/>
        <v>45.5465008561802</v>
      </c>
      <c r="G265" s="72">
        <f t="shared" si="672"/>
        <v>81.9297957036234</v>
      </c>
      <c r="H265" s="79">
        <f>H264*0.85</f>
        <v>50.9915</v>
      </c>
      <c r="I265" s="72">
        <v>130</v>
      </c>
      <c r="J265" s="71">
        <v>5.79</v>
      </c>
      <c r="K265" s="74">
        <v>0.15</v>
      </c>
      <c r="L265" s="74">
        <v>0.16</v>
      </c>
      <c r="M265" s="74">
        <v>0.05</v>
      </c>
      <c r="N265" s="74">
        <f t="shared" si="673"/>
        <v>0.117666669935185</v>
      </c>
      <c r="O265" s="75">
        <f t="shared" si="674"/>
        <v>0.0119627781100772</v>
      </c>
      <c r="P265" s="74">
        <v>0.02</v>
      </c>
      <c r="Q265" s="72">
        <v>6</v>
      </c>
      <c r="R265" s="49">
        <v>33.5</v>
      </c>
      <c r="S265" s="49">
        <v>26.5</v>
      </c>
      <c r="T265" s="49">
        <v>25</v>
      </c>
      <c r="U265" s="49">
        <v>2.3</v>
      </c>
      <c r="V265" s="72">
        <f t="shared" si="675"/>
        <v>3.69895833333333</v>
      </c>
      <c r="W265" s="72">
        <f t="shared" si="676"/>
        <v>3.69895833333333</v>
      </c>
      <c r="X265" s="71" t="s">
        <v>39</v>
      </c>
      <c r="Y265" s="76">
        <v>5.55136</v>
      </c>
      <c r="Z265" s="72">
        <v>14</v>
      </c>
      <c r="AA265" s="72">
        <f t="shared" si="677"/>
        <v>1.21473</v>
      </c>
      <c r="AB265" s="75">
        <f t="shared" si="678"/>
        <v>0.023822205661728</v>
      </c>
      <c r="AC265" s="49"/>
      <c r="AD265" s="78">
        <f t="shared" si="679"/>
        <v>0.113548336487454</v>
      </c>
      <c r="AE265" s="74">
        <f t="shared" si="682"/>
        <v>0.344519529089506</v>
      </c>
      <c r="AF265" s="74">
        <f t="shared" si="683"/>
        <v>0.0371021031327161</v>
      </c>
      <c r="AG265" s="74">
        <v>0.15</v>
      </c>
      <c r="AH265" s="74">
        <f t="shared" si="680"/>
        <v>0.117666669935185</v>
      </c>
      <c r="AI265" s="74">
        <v>0.02</v>
      </c>
      <c r="AJ265" s="74">
        <f t="shared" si="681"/>
        <v>0.05</v>
      </c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</row>
    <row r="266" spans="1:75">
      <c r="A266" s="92"/>
      <c r="B266" s="49"/>
      <c r="C266" s="49"/>
      <c r="D266" s="49"/>
      <c r="E266" s="49"/>
      <c r="F266" s="72"/>
      <c r="G266" s="72"/>
      <c r="H266" s="79"/>
      <c r="I266" s="72"/>
      <c r="J266" s="71"/>
      <c r="K266" s="74"/>
      <c r="L266" s="74"/>
      <c r="M266" s="74"/>
      <c r="N266" s="74"/>
      <c r="O266" s="75"/>
      <c r="P266" s="74"/>
      <c r="Q266" s="74"/>
      <c r="R266" s="49"/>
      <c r="S266" s="49"/>
      <c r="T266" s="49"/>
      <c r="U266" s="49"/>
      <c r="V266" s="72"/>
      <c r="W266" s="72"/>
      <c r="X266" s="71"/>
      <c r="Y266" s="76"/>
      <c r="Z266" s="71"/>
      <c r="AA266" s="72"/>
      <c r="AB266" s="75"/>
      <c r="AC266" s="49"/>
      <c r="AD266" s="78"/>
      <c r="AE266" s="74"/>
      <c r="AF266" s="74"/>
      <c r="AG266" s="74"/>
      <c r="AH266" s="74"/>
      <c r="AI266" s="74"/>
      <c r="AJ266" s="74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  <c r="BU266" s="48"/>
      <c r="BV266" s="48"/>
      <c r="BW266" s="48"/>
    </row>
    <row r="267" spans="1:75">
      <c r="A267" s="92" t="s">
        <v>99</v>
      </c>
      <c r="B267" s="71">
        <v>8</v>
      </c>
      <c r="C267" s="49" t="s">
        <v>44</v>
      </c>
      <c r="D267" s="49" t="s">
        <v>45</v>
      </c>
      <c r="E267" s="71" t="s">
        <v>38</v>
      </c>
      <c r="F267" s="72">
        <f t="shared" ref="F267:F271" si="684">IF(E267="有",(I267/B267+J267+Z267/B267)/(0.99999-K267-L267-M267-N267),(I267/B267+J267+Z267/B267)/(0.99999-K267-M267-N267))</f>
        <v>42.5020990877594</v>
      </c>
      <c r="G267" s="72">
        <f t="shared" ref="G267:G271" si="685">IF(E267="有",(I267/B267+J267+Z267/B267)/(0.8-K267-L267-M267-N267-O267-P267),(I267/B267+J267+Z267/B267)/(0.8-K267-M267-N267-O267-P267))</f>
        <v>74.0764723606194</v>
      </c>
      <c r="H267" s="79">
        <v>59.99</v>
      </c>
      <c r="I267" s="72">
        <v>130</v>
      </c>
      <c r="J267" s="71">
        <v>4.95</v>
      </c>
      <c r="K267" s="74">
        <v>0.15</v>
      </c>
      <c r="L267" s="74">
        <v>0.16</v>
      </c>
      <c r="M267" s="74">
        <v>0.05</v>
      </c>
      <c r="N267" s="74">
        <f t="shared" ref="N267:N271" si="686">Q267/H267</f>
        <v>0.100016669444907</v>
      </c>
      <c r="O267" s="75">
        <f t="shared" ref="O267:O271" si="687">0.61/H267</f>
        <v>0.0101683613935656</v>
      </c>
      <c r="P267" s="74">
        <v>0.02</v>
      </c>
      <c r="Q267" s="72">
        <v>6</v>
      </c>
      <c r="R267" s="49">
        <v>33.5</v>
      </c>
      <c r="S267" s="49">
        <v>26.5</v>
      </c>
      <c r="T267" s="49">
        <v>25</v>
      </c>
      <c r="U267" s="49">
        <v>2.3</v>
      </c>
      <c r="V267" s="72">
        <f t="shared" ref="V267:V271" si="688">R267*S267*T267/6000</f>
        <v>3.69895833333333</v>
      </c>
      <c r="W267" s="72">
        <f t="shared" ref="W267:W271" si="689">MAX(U267:V267)</f>
        <v>3.69895833333333</v>
      </c>
      <c r="X267" s="49" t="s">
        <v>39</v>
      </c>
      <c r="Y267" s="76">
        <v>5.55136</v>
      </c>
      <c r="Z267" s="72">
        <v>14</v>
      </c>
      <c r="AA267" s="72">
        <f t="shared" ref="AA267:AA271" si="690">H267-SUM(K267:P267)*H267-J267-I267/B267-Z267/B267</f>
        <v>7.6338</v>
      </c>
      <c r="AB267" s="75">
        <f t="shared" ref="AB267:AB271" si="691">AA267/H267</f>
        <v>0.127251208534756</v>
      </c>
      <c r="AC267" s="49"/>
      <c r="AD267" s="78">
        <f t="shared" ref="AD267:AD271" si="692">J267/H267</f>
        <v>0.0825137522920487</v>
      </c>
      <c r="AE267" s="74">
        <f t="shared" si="682"/>
        <v>0.29284159972608</v>
      </c>
      <c r="AF267" s="74">
        <f t="shared" si="683"/>
        <v>0.0315367876628087</v>
      </c>
      <c r="AG267" s="74">
        <v>0.15</v>
      </c>
      <c r="AH267" s="74">
        <f t="shared" ref="AH267:AH271" si="693">N267</f>
        <v>0.100016669444907</v>
      </c>
      <c r="AI267" s="74">
        <v>0.02</v>
      </c>
      <c r="AJ267" s="74">
        <f t="shared" ref="AJ267:AJ271" si="694">M267</f>
        <v>0.05</v>
      </c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48"/>
      <c r="BL267" s="48"/>
      <c r="BM267" s="48"/>
      <c r="BN267" s="48"/>
      <c r="BO267" s="48"/>
      <c r="BP267" s="48"/>
      <c r="BQ267" s="48"/>
      <c r="BR267" s="48"/>
      <c r="BS267" s="48"/>
      <c r="BT267" s="48"/>
      <c r="BU267" s="48"/>
      <c r="BV267" s="48"/>
      <c r="BW267" s="48"/>
    </row>
    <row r="268" spans="1:75">
      <c r="A268" s="92" t="s">
        <v>100</v>
      </c>
      <c r="B268" s="71">
        <v>8</v>
      </c>
      <c r="C268" s="71" t="s">
        <v>44</v>
      </c>
      <c r="D268" s="71" t="s">
        <v>45</v>
      </c>
      <c r="E268" s="71" t="s">
        <v>38</v>
      </c>
      <c r="F268" s="72">
        <f t="shared" si="684"/>
        <v>43.9383015825698</v>
      </c>
      <c r="G268" s="72">
        <f t="shared" si="685"/>
        <v>79.0369403698258</v>
      </c>
      <c r="H268" s="79">
        <f>H267*0.85</f>
        <v>50.9915</v>
      </c>
      <c r="I268" s="72">
        <v>130</v>
      </c>
      <c r="J268" s="71">
        <v>4.95</v>
      </c>
      <c r="K268" s="74">
        <v>0.15</v>
      </c>
      <c r="L268" s="74">
        <v>0.16</v>
      </c>
      <c r="M268" s="74">
        <v>0.05</v>
      </c>
      <c r="N268" s="74">
        <f t="shared" si="686"/>
        <v>0.117666669935185</v>
      </c>
      <c r="O268" s="75">
        <f t="shared" si="687"/>
        <v>0.0119627781100772</v>
      </c>
      <c r="P268" s="74">
        <v>0.02</v>
      </c>
      <c r="Q268" s="72">
        <v>6</v>
      </c>
      <c r="R268" s="49">
        <v>33.5</v>
      </c>
      <c r="S268" s="49">
        <v>26.5</v>
      </c>
      <c r="T268" s="49">
        <v>25</v>
      </c>
      <c r="U268" s="49">
        <v>2.3</v>
      </c>
      <c r="V268" s="72">
        <f t="shared" si="688"/>
        <v>3.69895833333333</v>
      </c>
      <c r="W268" s="72">
        <f t="shared" si="689"/>
        <v>3.69895833333333</v>
      </c>
      <c r="X268" s="71" t="s">
        <v>39</v>
      </c>
      <c r="Y268" s="76">
        <v>5.55136</v>
      </c>
      <c r="Z268" s="72">
        <v>14</v>
      </c>
      <c r="AA268" s="72">
        <f t="shared" si="690"/>
        <v>2.05473</v>
      </c>
      <c r="AB268" s="75">
        <f t="shared" si="691"/>
        <v>0.0402955394526539</v>
      </c>
      <c r="AC268" s="49"/>
      <c r="AD268" s="78">
        <f t="shared" si="692"/>
        <v>0.0970750026965279</v>
      </c>
      <c r="AE268" s="74">
        <f t="shared" si="682"/>
        <v>0.344519529089506</v>
      </c>
      <c r="AF268" s="74">
        <f t="shared" si="683"/>
        <v>0.0371021031327161</v>
      </c>
      <c r="AG268" s="74">
        <v>0.15</v>
      </c>
      <c r="AH268" s="74">
        <f t="shared" si="693"/>
        <v>0.117666669935185</v>
      </c>
      <c r="AI268" s="74">
        <v>0.02</v>
      </c>
      <c r="AJ268" s="74">
        <f t="shared" si="694"/>
        <v>0.05</v>
      </c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  <c r="BU268" s="48"/>
      <c r="BV268" s="48"/>
      <c r="BW268" s="48"/>
    </row>
    <row r="269" spans="1:75">
      <c r="A269" s="92"/>
      <c r="B269" s="49"/>
      <c r="C269" s="49"/>
      <c r="D269" s="49"/>
      <c r="E269" s="49"/>
      <c r="F269" s="72"/>
      <c r="G269" s="72"/>
      <c r="H269" s="79"/>
      <c r="I269" s="72"/>
      <c r="J269" s="71"/>
      <c r="K269" s="74"/>
      <c r="L269" s="74"/>
      <c r="M269" s="74"/>
      <c r="N269" s="74"/>
      <c r="O269" s="75"/>
      <c r="P269" s="74"/>
      <c r="Q269" s="74"/>
      <c r="R269" s="49"/>
      <c r="S269" s="49"/>
      <c r="T269" s="49"/>
      <c r="U269" s="49"/>
      <c r="V269" s="72"/>
      <c r="W269" s="72"/>
      <c r="X269" s="71"/>
      <c r="Y269" s="76"/>
      <c r="Z269" s="71"/>
      <c r="AA269" s="72"/>
      <c r="AB269" s="75"/>
      <c r="AC269" s="49"/>
      <c r="AD269" s="78"/>
      <c r="AE269" s="74"/>
      <c r="AF269" s="74"/>
      <c r="AG269" s="74"/>
      <c r="AH269" s="74"/>
      <c r="AI269" s="74"/>
      <c r="AJ269" s="74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48"/>
      <c r="BL269" s="48"/>
      <c r="BM269" s="48"/>
      <c r="BN269" s="48"/>
      <c r="BO269" s="48"/>
      <c r="BP269" s="48"/>
      <c r="BQ269" s="48"/>
      <c r="BR269" s="48"/>
      <c r="BS269" s="48"/>
      <c r="BT269" s="48"/>
      <c r="BU269" s="48"/>
      <c r="BV269" s="48"/>
      <c r="BW269" s="48"/>
    </row>
    <row r="270" spans="1:75">
      <c r="A270" s="92" t="s">
        <v>99</v>
      </c>
      <c r="B270" s="71">
        <v>8</v>
      </c>
      <c r="C270" s="49" t="s">
        <v>47</v>
      </c>
      <c r="D270" s="49" t="s">
        <v>48</v>
      </c>
      <c r="E270" s="71" t="s">
        <v>38</v>
      </c>
      <c r="F270" s="72">
        <f t="shared" si="684"/>
        <v>40.6501557723886</v>
      </c>
      <c r="G270" s="72">
        <f t="shared" si="685"/>
        <v>70.8487393601567</v>
      </c>
      <c r="H270" s="79">
        <v>59.99</v>
      </c>
      <c r="I270" s="72">
        <v>130</v>
      </c>
      <c r="J270" s="71">
        <v>3.95</v>
      </c>
      <c r="K270" s="74">
        <v>0.15</v>
      </c>
      <c r="L270" s="74">
        <v>0.16</v>
      </c>
      <c r="M270" s="74">
        <v>0.05</v>
      </c>
      <c r="N270" s="74">
        <f t="shared" si="686"/>
        <v>0.100016669444907</v>
      </c>
      <c r="O270" s="75">
        <f t="shared" si="687"/>
        <v>0.0101683613935656</v>
      </c>
      <c r="P270" s="74">
        <v>0.02</v>
      </c>
      <c r="Q270" s="72">
        <v>6</v>
      </c>
      <c r="R270" s="49">
        <v>33.5</v>
      </c>
      <c r="S270" s="49">
        <v>26.5</v>
      </c>
      <c r="T270" s="49">
        <v>25</v>
      </c>
      <c r="U270" s="49">
        <v>2.3</v>
      </c>
      <c r="V270" s="72">
        <f t="shared" si="688"/>
        <v>3.69895833333333</v>
      </c>
      <c r="W270" s="72">
        <f t="shared" si="689"/>
        <v>3.69895833333333</v>
      </c>
      <c r="X270" s="49" t="s">
        <v>39</v>
      </c>
      <c r="Y270" s="76">
        <v>5.55136</v>
      </c>
      <c r="Z270" s="72">
        <v>14</v>
      </c>
      <c r="AA270" s="72">
        <f t="shared" si="690"/>
        <v>8.6338</v>
      </c>
      <c r="AB270" s="75">
        <f t="shared" si="691"/>
        <v>0.14392065344224</v>
      </c>
      <c r="AC270" s="49"/>
      <c r="AD270" s="78">
        <f t="shared" si="692"/>
        <v>0.0658443073845641</v>
      </c>
      <c r="AE270" s="74">
        <f t="shared" ref="AE270:AE274" si="695">I270/7.4/H270</f>
        <v>0.29284159972608</v>
      </c>
      <c r="AF270" s="74">
        <f t="shared" ref="AF270:AF274" si="696">Z270/7.4/H270</f>
        <v>0.0315367876628087</v>
      </c>
      <c r="AG270" s="74">
        <v>0.15</v>
      </c>
      <c r="AH270" s="74">
        <f t="shared" si="693"/>
        <v>0.100016669444907</v>
      </c>
      <c r="AI270" s="74">
        <v>0.02</v>
      </c>
      <c r="AJ270" s="74">
        <f t="shared" si="694"/>
        <v>0.05</v>
      </c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  <c r="BL270" s="48"/>
      <c r="BM270" s="48"/>
      <c r="BN270" s="48"/>
      <c r="BO270" s="48"/>
      <c r="BP270" s="48"/>
      <c r="BQ270" s="48"/>
      <c r="BR270" s="48"/>
      <c r="BS270" s="48"/>
      <c r="BT270" s="48"/>
      <c r="BU270" s="48"/>
      <c r="BV270" s="48"/>
      <c r="BW270" s="48"/>
    </row>
    <row r="271" spans="1:75">
      <c r="A271" s="92" t="s">
        <v>100</v>
      </c>
      <c r="B271" s="71">
        <v>8</v>
      </c>
      <c r="C271" s="71" t="s">
        <v>47</v>
      </c>
      <c r="D271" s="71" t="s">
        <v>48</v>
      </c>
      <c r="E271" s="71" t="s">
        <v>38</v>
      </c>
      <c r="F271" s="72">
        <f t="shared" si="684"/>
        <v>42.0237786377956</v>
      </c>
      <c r="G271" s="72">
        <f t="shared" si="685"/>
        <v>75.5930649724478</v>
      </c>
      <c r="H271" s="79">
        <f>H270*0.85</f>
        <v>50.9915</v>
      </c>
      <c r="I271" s="72">
        <v>130</v>
      </c>
      <c r="J271" s="71">
        <v>3.95</v>
      </c>
      <c r="K271" s="74">
        <v>0.15</v>
      </c>
      <c r="L271" s="74">
        <v>0.16</v>
      </c>
      <c r="M271" s="74">
        <v>0.05</v>
      </c>
      <c r="N271" s="74">
        <f t="shared" si="686"/>
        <v>0.117666669935185</v>
      </c>
      <c r="O271" s="75">
        <f t="shared" si="687"/>
        <v>0.0119627781100772</v>
      </c>
      <c r="P271" s="74">
        <v>0.02</v>
      </c>
      <c r="Q271" s="72">
        <v>6</v>
      </c>
      <c r="R271" s="49">
        <v>33.5</v>
      </c>
      <c r="S271" s="49">
        <v>26.5</v>
      </c>
      <c r="T271" s="49">
        <v>25</v>
      </c>
      <c r="U271" s="49">
        <v>2.3</v>
      </c>
      <c r="V271" s="72">
        <f t="shared" si="688"/>
        <v>3.69895833333333</v>
      </c>
      <c r="W271" s="72">
        <f t="shared" si="689"/>
        <v>3.69895833333333</v>
      </c>
      <c r="X271" s="71" t="s">
        <v>39</v>
      </c>
      <c r="Y271" s="76">
        <v>5.55136</v>
      </c>
      <c r="Z271" s="72">
        <v>14</v>
      </c>
      <c r="AA271" s="72">
        <f t="shared" si="690"/>
        <v>3.05473</v>
      </c>
      <c r="AB271" s="75">
        <f t="shared" si="691"/>
        <v>0.0599066511085181</v>
      </c>
      <c r="AC271" s="49"/>
      <c r="AD271" s="78">
        <f t="shared" si="692"/>
        <v>0.0774638910406636</v>
      </c>
      <c r="AE271" s="74">
        <f t="shared" si="695"/>
        <v>0.344519529089506</v>
      </c>
      <c r="AF271" s="74">
        <f t="shared" si="696"/>
        <v>0.0371021031327161</v>
      </c>
      <c r="AG271" s="74">
        <v>0.15</v>
      </c>
      <c r="AH271" s="74">
        <f t="shared" si="693"/>
        <v>0.117666669935185</v>
      </c>
      <c r="AI271" s="74">
        <v>0.02</v>
      </c>
      <c r="AJ271" s="74">
        <f t="shared" si="694"/>
        <v>0.05</v>
      </c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  <c r="BL271" s="48"/>
      <c r="BM271" s="48"/>
      <c r="BN271" s="48"/>
      <c r="BO271" s="48"/>
      <c r="BP271" s="48"/>
      <c r="BQ271" s="48"/>
      <c r="BR271" s="48"/>
      <c r="BS271" s="48"/>
      <c r="BT271" s="48"/>
      <c r="BU271" s="48"/>
      <c r="BV271" s="48"/>
      <c r="BW271" s="48"/>
    </row>
    <row r="272" spans="1:75">
      <c r="A272" s="92"/>
      <c r="B272" s="71"/>
      <c r="C272" s="71"/>
      <c r="D272" s="71"/>
      <c r="E272" s="71"/>
      <c r="F272" s="72"/>
      <c r="G272" s="72"/>
      <c r="H272" s="79"/>
      <c r="I272" s="72"/>
      <c r="J272" s="71"/>
      <c r="K272" s="74"/>
      <c r="L272" s="74"/>
      <c r="M272" s="74"/>
      <c r="N272" s="74"/>
      <c r="O272" s="75"/>
      <c r="P272" s="74"/>
      <c r="Q272" s="74"/>
      <c r="R272" s="49"/>
      <c r="S272" s="49"/>
      <c r="T272" s="49"/>
      <c r="U272" s="49"/>
      <c r="V272" s="72"/>
      <c r="W272" s="72"/>
      <c r="X272" s="71"/>
      <c r="Y272" s="76"/>
      <c r="Z272" s="71"/>
      <c r="AA272" s="72"/>
      <c r="AB272" s="75"/>
      <c r="AC272" s="49"/>
      <c r="AD272" s="78"/>
      <c r="AE272" s="74"/>
      <c r="AF272" s="74"/>
      <c r="AG272" s="74"/>
      <c r="AH272" s="74"/>
      <c r="AI272" s="74"/>
      <c r="AJ272" s="74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  <c r="BQ272" s="48"/>
      <c r="BR272" s="48"/>
      <c r="BS272" s="48"/>
      <c r="BT272" s="48"/>
      <c r="BU272" s="48"/>
      <c r="BV272" s="48"/>
      <c r="BW272" s="48"/>
    </row>
    <row r="273" spans="1:75">
      <c r="A273" s="92" t="s">
        <v>99</v>
      </c>
      <c r="B273" s="49">
        <v>9</v>
      </c>
      <c r="C273" s="71" t="s">
        <v>49</v>
      </c>
      <c r="D273" s="71" t="s">
        <v>50</v>
      </c>
      <c r="E273" s="71" t="s">
        <v>38</v>
      </c>
      <c r="F273" s="72">
        <f t="shared" ref="F273:F277" si="697">IF(E273="有",(I273/B273+J273+Z273/B273)/(0.99999-K273-L273-M273-N273),(I273/B273+J273+Z273/B273)/(0.99999-K273-M273-N273))</f>
        <v>35.2610007246597</v>
      </c>
      <c r="G273" s="72">
        <f t="shared" ref="G273:G277" si="698">IF(E273="有",(I273/B273+J273+Z273/B273)/(0.8-K273-L273-M273-N273-O273-P273),(I273/B273+J273+Z273/B273)/(0.8-K273-M273-N273-O273-P273))</f>
        <v>61.4560363288102</v>
      </c>
      <c r="H273" s="79">
        <v>59.99</v>
      </c>
      <c r="I273" s="72">
        <v>130</v>
      </c>
      <c r="J273" s="71">
        <v>3.04</v>
      </c>
      <c r="K273" s="74">
        <v>0.15</v>
      </c>
      <c r="L273" s="74">
        <v>0.16</v>
      </c>
      <c r="M273" s="74">
        <v>0.05</v>
      </c>
      <c r="N273" s="74">
        <f t="shared" ref="N273:N277" si="699">Q273/H273</f>
        <v>0.100016669444907</v>
      </c>
      <c r="O273" s="75">
        <f t="shared" ref="O273:O277" si="700">0.61/H273</f>
        <v>0.0101683613935656</v>
      </c>
      <c r="P273" s="74">
        <v>0.02</v>
      </c>
      <c r="Q273" s="72">
        <v>6</v>
      </c>
      <c r="R273" s="49">
        <v>33.5</v>
      </c>
      <c r="S273" s="49">
        <v>26.5</v>
      </c>
      <c r="T273" s="49">
        <v>25</v>
      </c>
      <c r="U273" s="49">
        <v>2.3</v>
      </c>
      <c r="V273" s="72">
        <f t="shared" ref="V273:V277" si="701">R273*S273*T273/6000</f>
        <v>3.69895833333333</v>
      </c>
      <c r="W273" s="72">
        <f t="shared" ref="W273:W277" si="702">MAX(U273:V273)</f>
        <v>3.69895833333333</v>
      </c>
      <c r="X273" s="71" t="s">
        <v>39</v>
      </c>
      <c r="Y273" s="76">
        <v>6.084</v>
      </c>
      <c r="Z273" s="72">
        <v>14</v>
      </c>
      <c r="AA273" s="72">
        <f t="shared" ref="AA273:AA277" si="703">H273-SUM(K273:P273)*H273-J273-I273/B273-Z273/B273</f>
        <v>11.5438</v>
      </c>
      <c r="AB273" s="75">
        <f t="shared" ref="AB273:AB277" si="704">AA273/H273</f>
        <v>0.192428738123021</v>
      </c>
      <c r="AC273" s="49"/>
      <c r="AD273" s="78">
        <f t="shared" ref="AD273:AD277" si="705">J273/H273</f>
        <v>0.0506751125187531</v>
      </c>
      <c r="AE273" s="74">
        <f t="shared" si="695"/>
        <v>0.29284159972608</v>
      </c>
      <c r="AF273" s="74">
        <f t="shared" si="696"/>
        <v>0.0315367876628087</v>
      </c>
      <c r="AG273" s="74">
        <v>0.15</v>
      </c>
      <c r="AH273" s="74">
        <f t="shared" ref="AH273:AH277" si="706">N273</f>
        <v>0.100016669444907</v>
      </c>
      <c r="AI273" s="74">
        <v>0.02</v>
      </c>
      <c r="AJ273" s="74">
        <f t="shared" ref="AJ273:AJ277" si="707">M273</f>
        <v>0.05</v>
      </c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</row>
    <row r="274" spans="1:75">
      <c r="A274" s="92" t="s">
        <v>100</v>
      </c>
      <c r="B274" s="49">
        <v>9</v>
      </c>
      <c r="C274" s="71" t="s">
        <v>49</v>
      </c>
      <c r="D274" s="71" t="s">
        <v>50</v>
      </c>
      <c r="E274" s="71" t="s">
        <v>38</v>
      </c>
      <c r="F274" s="72">
        <f t="shared" si="697"/>
        <v>36.4525168685024</v>
      </c>
      <c r="G274" s="72">
        <f t="shared" si="698"/>
        <v>65.5713875660777</v>
      </c>
      <c r="H274" s="79">
        <f>H273*0.85</f>
        <v>50.9915</v>
      </c>
      <c r="I274" s="72">
        <v>130</v>
      </c>
      <c r="J274" s="71">
        <v>3.04</v>
      </c>
      <c r="K274" s="74">
        <v>0.15</v>
      </c>
      <c r="L274" s="74">
        <v>0.16</v>
      </c>
      <c r="M274" s="74">
        <v>0.05</v>
      </c>
      <c r="N274" s="74">
        <f t="shared" si="699"/>
        <v>0.117666669935185</v>
      </c>
      <c r="O274" s="75">
        <f t="shared" si="700"/>
        <v>0.0119627781100772</v>
      </c>
      <c r="P274" s="74">
        <v>0.02</v>
      </c>
      <c r="Q274" s="72">
        <v>6</v>
      </c>
      <c r="R274" s="49">
        <v>33.5</v>
      </c>
      <c r="S274" s="49">
        <v>26.5</v>
      </c>
      <c r="T274" s="49">
        <v>25</v>
      </c>
      <c r="U274" s="49">
        <v>2.3</v>
      </c>
      <c r="V274" s="72">
        <f t="shared" si="701"/>
        <v>3.69895833333333</v>
      </c>
      <c r="W274" s="72">
        <f t="shared" si="702"/>
        <v>3.69895833333333</v>
      </c>
      <c r="X274" s="71" t="s">
        <v>39</v>
      </c>
      <c r="Y274" s="76">
        <v>6.084</v>
      </c>
      <c r="Z274" s="72">
        <v>14</v>
      </c>
      <c r="AA274" s="72">
        <f t="shared" si="703"/>
        <v>5.96473</v>
      </c>
      <c r="AB274" s="75">
        <f t="shared" si="704"/>
        <v>0.116974986027083</v>
      </c>
      <c r="AC274" s="49"/>
      <c r="AD274" s="78">
        <f t="shared" si="705"/>
        <v>0.0596177794338272</v>
      </c>
      <c r="AE274" s="74">
        <f t="shared" si="695"/>
        <v>0.344519529089506</v>
      </c>
      <c r="AF274" s="74">
        <f t="shared" si="696"/>
        <v>0.0371021031327161</v>
      </c>
      <c r="AG274" s="74">
        <v>0.15</v>
      </c>
      <c r="AH274" s="74">
        <f t="shared" si="706"/>
        <v>0.117666669935185</v>
      </c>
      <c r="AI274" s="74">
        <v>0.02</v>
      </c>
      <c r="AJ274" s="74">
        <f t="shared" si="707"/>
        <v>0.05</v>
      </c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</row>
    <row r="275" spans="1:75">
      <c r="F275" s="88"/>
      <c r="G275" s="88"/>
      <c r="I275" s="88"/>
      <c r="O275" s="89"/>
      <c r="Q275" s="48"/>
      <c r="V275" s="88"/>
      <c r="W275" s="88"/>
      <c r="Y275" s="90"/>
      <c r="Z275" s="88"/>
      <c r="AA275" s="88"/>
      <c r="AB275" s="89"/>
      <c r="AD275" s="91"/>
      <c r="AE275" s="48"/>
      <c r="AF275" s="48"/>
    </row>
    <row r="276" spans="1:75">
      <c r="A276" s="92" t="s">
        <v>101</v>
      </c>
      <c r="B276" s="71">
        <v>8</v>
      </c>
      <c r="C276" s="71" t="s">
        <v>36</v>
      </c>
      <c r="D276" s="71" t="s">
        <v>37</v>
      </c>
      <c r="E276" s="71" t="s">
        <v>38</v>
      </c>
      <c r="F276" s="72">
        <f t="shared" si="697"/>
        <v>33.5195353468268</v>
      </c>
      <c r="G276" s="72">
        <f t="shared" si="698"/>
        <v>62.186898732071</v>
      </c>
      <c r="H276" s="79">
        <v>44.99</v>
      </c>
      <c r="I276" s="72">
        <f t="shared" ref="I276:I280" si="708">108/1.13</f>
        <v>95.5752212389381</v>
      </c>
      <c r="J276" s="49">
        <v>3.41</v>
      </c>
      <c r="K276" s="74">
        <v>0.15</v>
      </c>
      <c r="L276" s="74">
        <v>0.16</v>
      </c>
      <c r="M276" s="74">
        <v>0.05</v>
      </c>
      <c r="N276" s="74">
        <f t="shared" si="699"/>
        <v>0.133362969548789</v>
      </c>
      <c r="O276" s="75">
        <f t="shared" si="700"/>
        <v>0.0135585685707935</v>
      </c>
      <c r="P276" s="74">
        <v>0.02</v>
      </c>
      <c r="Q276" s="72">
        <v>6</v>
      </c>
      <c r="R276" s="49">
        <v>33.5</v>
      </c>
      <c r="S276" s="49">
        <v>26.5</v>
      </c>
      <c r="T276" s="49">
        <v>25</v>
      </c>
      <c r="U276" s="49">
        <v>2.3</v>
      </c>
      <c r="V276" s="72">
        <f t="shared" si="701"/>
        <v>3.69895833333333</v>
      </c>
      <c r="W276" s="72">
        <f t="shared" si="702"/>
        <v>3.69895833333333</v>
      </c>
      <c r="X276" s="49" t="s">
        <v>39</v>
      </c>
      <c r="Y276" s="76">
        <v>5.55136</v>
      </c>
      <c r="Z276" s="72">
        <v>13</v>
      </c>
      <c r="AA276" s="72">
        <f t="shared" si="703"/>
        <v>4.30189734513275</v>
      </c>
      <c r="AB276" s="75">
        <f t="shared" si="704"/>
        <v>0.0956189674401588</v>
      </c>
      <c r="AC276" s="49"/>
      <c r="AD276" s="78">
        <f t="shared" si="705"/>
        <v>0.0757946210268949</v>
      </c>
      <c r="AE276" s="74">
        <f t="shared" ref="AE276:AE280" si="709">I276/7.4/H276</f>
        <v>0.287076471164577</v>
      </c>
      <c r="AF276" s="74">
        <f t="shared" ref="AF276:AF280" si="710">Z276/7.4/H276</f>
        <v>0.03904771630933</v>
      </c>
      <c r="AG276" s="74">
        <v>0.15</v>
      </c>
      <c r="AH276" s="74">
        <f t="shared" si="706"/>
        <v>0.133362969548789</v>
      </c>
      <c r="AI276" s="74">
        <v>0.02</v>
      </c>
      <c r="AJ276" s="74">
        <f t="shared" si="707"/>
        <v>0.05</v>
      </c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  <c r="BL276" s="48"/>
      <c r="BM276" s="48"/>
      <c r="BN276" s="48"/>
      <c r="BO276" s="48"/>
      <c r="BP276" s="48"/>
      <c r="BQ276" s="48"/>
      <c r="BR276" s="48"/>
      <c r="BS276" s="48"/>
      <c r="BT276" s="48"/>
      <c r="BU276" s="48"/>
      <c r="BV276" s="48"/>
      <c r="BW276" s="48"/>
    </row>
    <row r="277" spans="1:75">
      <c r="A277" s="92" t="s">
        <v>102</v>
      </c>
      <c r="B277" s="71">
        <v>8</v>
      </c>
      <c r="C277" s="71" t="s">
        <v>36</v>
      </c>
      <c r="D277" s="71" t="s">
        <v>37</v>
      </c>
      <c r="E277" s="71" t="s">
        <v>38</v>
      </c>
      <c r="F277" s="72">
        <f t="shared" si="697"/>
        <v>35.1524947396518</v>
      </c>
      <c r="G277" s="72">
        <f t="shared" si="698"/>
        <v>68.7106004462929</v>
      </c>
      <c r="H277" s="79">
        <f>H276*0.85</f>
        <v>38.2415</v>
      </c>
      <c r="I277" s="72">
        <f t="shared" si="708"/>
        <v>95.5752212389381</v>
      </c>
      <c r="J277" s="71">
        <v>3.41</v>
      </c>
      <c r="K277" s="74">
        <v>0.15</v>
      </c>
      <c r="L277" s="74">
        <v>0.16</v>
      </c>
      <c r="M277" s="74">
        <v>0.05</v>
      </c>
      <c r="N277" s="74">
        <f t="shared" si="699"/>
        <v>0.156897611233869</v>
      </c>
      <c r="O277" s="75">
        <f t="shared" si="700"/>
        <v>0.01595125714211</v>
      </c>
      <c r="P277" s="74">
        <v>0.02</v>
      </c>
      <c r="Q277" s="72">
        <v>6</v>
      </c>
      <c r="R277" s="49">
        <v>33.5</v>
      </c>
      <c r="S277" s="49">
        <v>26.5</v>
      </c>
      <c r="T277" s="49">
        <v>25</v>
      </c>
      <c r="U277" s="49">
        <v>2.3</v>
      </c>
      <c r="V277" s="72">
        <f t="shared" si="701"/>
        <v>3.69895833333333</v>
      </c>
      <c r="W277" s="72">
        <f t="shared" si="702"/>
        <v>3.69895833333333</v>
      </c>
      <c r="X277" s="71" t="s">
        <v>39</v>
      </c>
      <c r="Y277" s="76">
        <v>5.55136</v>
      </c>
      <c r="Z277" s="72">
        <v>13</v>
      </c>
      <c r="AA277" s="72">
        <f t="shared" si="703"/>
        <v>0.117827345132747</v>
      </c>
      <c r="AB277" s="75">
        <f t="shared" si="704"/>
        <v>0.00308113816489278</v>
      </c>
      <c r="AC277" s="49"/>
      <c r="AD277" s="78">
        <f t="shared" si="705"/>
        <v>0.0891701423845822</v>
      </c>
      <c r="AE277" s="74">
        <f>I277/B277/H277</f>
        <v>0.31240674803204</v>
      </c>
      <c r="AF277" s="74">
        <f>Z277/B277/H277</f>
        <v>0.0424931030425062</v>
      </c>
      <c r="AG277" s="74">
        <f>K277</f>
        <v>0.15</v>
      </c>
      <c r="AH277" s="74">
        <f t="shared" si="706"/>
        <v>0.156897611233869</v>
      </c>
      <c r="AI277" s="74">
        <v>0.02</v>
      </c>
      <c r="AJ277" s="74">
        <f t="shared" si="707"/>
        <v>0.05</v>
      </c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</row>
    <row r="278" spans="1:75">
      <c r="A278" s="92"/>
      <c r="B278" s="49"/>
      <c r="C278" s="49"/>
      <c r="D278" s="49"/>
      <c r="E278" s="49"/>
      <c r="F278" s="72"/>
      <c r="G278" s="72"/>
      <c r="H278" s="79"/>
      <c r="I278" s="72"/>
      <c r="J278" s="71"/>
      <c r="K278" s="74"/>
      <c r="L278" s="74"/>
      <c r="M278" s="74"/>
      <c r="N278" s="74"/>
      <c r="O278" s="75"/>
      <c r="P278" s="74"/>
      <c r="Q278" s="72"/>
      <c r="R278" s="49"/>
      <c r="S278" s="49"/>
      <c r="T278" s="49"/>
      <c r="U278" s="49"/>
      <c r="V278" s="72"/>
      <c r="W278" s="72"/>
      <c r="X278" s="71"/>
      <c r="Y278" s="76"/>
      <c r="Z278" s="71"/>
      <c r="AA278" s="72"/>
      <c r="AB278" s="75"/>
      <c r="AC278" s="49"/>
      <c r="AD278" s="78"/>
      <c r="AE278" s="74"/>
      <c r="AF278" s="74"/>
      <c r="AG278" s="74"/>
      <c r="AH278" s="74"/>
      <c r="AI278" s="74"/>
      <c r="AJ278" s="74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  <c r="BQ278" s="48"/>
      <c r="BR278" s="48"/>
      <c r="BS278" s="48"/>
      <c r="BT278" s="48"/>
      <c r="BU278" s="48"/>
      <c r="BV278" s="48"/>
      <c r="BW278" s="48"/>
    </row>
    <row r="279" spans="1:75">
      <c r="A279" s="92" t="s">
        <v>101</v>
      </c>
      <c r="B279" s="71">
        <v>8</v>
      </c>
      <c r="C279" s="49" t="s">
        <v>42</v>
      </c>
      <c r="D279" s="49" t="s">
        <v>43</v>
      </c>
      <c r="E279" s="71" t="s">
        <v>38</v>
      </c>
      <c r="F279" s="72">
        <f t="shared" ref="F279:F283" si="711">IF(E279="有",(I279/B279+J279+Z279/B279)/(0.99999-K279-L279-M279-N279),(I279/B279+J279+Z279/B279)/(0.99999-K279-M279-N279))</f>
        <v>38.2172712688133</v>
      </c>
      <c r="G279" s="72">
        <f t="shared" ref="G279:G283" si="712">IF(E279="有",(I279/B279+J279+Z279/B279)/(0.8-K279-L279-M279-N279-O279-P279),(I279/B279+J279+Z279/B279)/(0.8-K279-M279-N279-O279-P279))</f>
        <v>70.9023425778116</v>
      </c>
      <c r="H279" s="79">
        <v>44.99</v>
      </c>
      <c r="I279" s="72">
        <f t="shared" si="708"/>
        <v>95.5752212389381</v>
      </c>
      <c r="J279" s="49">
        <v>5.79</v>
      </c>
      <c r="K279" s="74">
        <v>0.15</v>
      </c>
      <c r="L279" s="74">
        <v>0.16</v>
      </c>
      <c r="M279" s="74">
        <v>0.05</v>
      </c>
      <c r="N279" s="74">
        <f t="shared" ref="N279:N283" si="713">Q279/H279</f>
        <v>0.133362969548789</v>
      </c>
      <c r="O279" s="75">
        <f t="shared" ref="O279:O283" si="714">0.61/H279</f>
        <v>0.0135585685707935</v>
      </c>
      <c r="P279" s="74">
        <v>0.02</v>
      </c>
      <c r="Q279" s="72">
        <v>6</v>
      </c>
      <c r="R279" s="49">
        <v>33.5</v>
      </c>
      <c r="S279" s="49">
        <v>26.5</v>
      </c>
      <c r="T279" s="49">
        <v>25</v>
      </c>
      <c r="U279" s="49">
        <v>2.3</v>
      </c>
      <c r="V279" s="72">
        <f t="shared" ref="V279:V283" si="715">R279*S279*T279/6000</f>
        <v>3.69895833333333</v>
      </c>
      <c r="W279" s="72">
        <f t="shared" ref="W279:W283" si="716">MAX(U279:V279)</f>
        <v>3.69895833333333</v>
      </c>
      <c r="X279" s="49" t="s">
        <v>39</v>
      </c>
      <c r="Y279" s="76">
        <v>5.55136</v>
      </c>
      <c r="Z279" s="72">
        <v>13</v>
      </c>
      <c r="AA279" s="72">
        <f t="shared" ref="AA279:AA283" si="717">H279-SUM(K279:P279)*H279-J279-I279/B279-Z279/B279</f>
        <v>1.92189734513275</v>
      </c>
      <c r="AB279" s="75">
        <f t="shared" ref="AB279:AB283" si="718">AA279/H279</f>
        <v>0.0427183228524727</v>
      </c>
      <c r="AC279" s="49"/>
      <c r="AD279" s="78">
        <f t="shared" ref="AD279:AD283" si="719">J279/H279</f>
        <v>0.128695265614581</v>
      </c>
      <c r="AE279" s="74">
        <f t="shared" si="709"/>
        <v>0.287076471164577</v>
      </c>
      <c r="AF279" s="74">
        <f t="shared" si="710"/>
        <v>0.03904771630933</v>
      </c>
      <c r="AG279" s="74">
        <v>0.15</v>
      </c>
      <c r="AH279" s="74">
        <f t="shared" ref="AH279:AH283" si="720">N279</f>
        <v>0.133362969548789</v>
      </c>
      <c r="AI279" s="74">
        <v>0.02</v>
      </c>
      <c r="AJ279" s="74">
        <f t="shared" ref="AJ279:AJ283" si="721">M279</f>
        <v>0.05</v>
      </c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48"/>
      <c r="BL279" s="48"/>
      <c r="BM279" s="48"/>
      <c r="BN279" s="48"/>
      <c r="BO279" s="48"/>
      <c r="BP279" s="48"/>
      <c r="BQ279" s="48"/>
      <c r="BR279" s="48"/>
      <c r="BS279" s="48"/>
      <c r="BT279" s="48"/>
      <c r="BU279" s="48"/>
      <c r="BV279" s="48"/>
      <c r="BW279" s="48"/>
    </row>
    <row r="280" spans="1:75">
      <c r="A280" s="92" t="s">
        <v>102</v>
      </c>
      <c r="B280" s="71">
        <v>8</v>
      </c>
      <c r="C280" s="71" t="s">
        <v>42</v>
      </c>
      <c r="D280" s="71" t="s">
        <v>43</v>
      </c>
      <c r="E280" s="71" t="s">
        <v>38</v>
      </c>
      <c r="F280" s="72">
        <f t="shared" si="711"/>
        <v>40.0790886072944</v>
      </c>
      <c r="G280" s="72">
        <f t="shared" si="712"/>
        <v>78.3403358408311</v>
      </c>
      <c r="H280" s="79">
        <f>H279*0.85</f>
        <v>38.2415</v>
      </c>
      <c r="I280" s="72">
        <f t="shared" si="708"/>
        <v>95.5752212389381</v>
      </c>
      <c r="J280" s="71">
        <v>5.79</v>
      </c>
      <c r="K280" s="74">
        <v>0.15</v>
      </c>
      <c r="L280" s="74">
        <v>0.16</v>
      </c>
      <c r="M280" s="74">
        <v>0.05</v>
      </c>
      <c r="N280" s="74">
        <f t="shared" si="713"/>
        <v>0.156897611233869</v>
      </c>
      <c r="O280" s="75">
        <f t="shared" si="714"/>
        <v>0.01595125714211</v>
      </c>
      <c r="P280" s="74">
        <v>0.02</v>
      </c>
      <c r="Q280" s="72">
        <v>6</v>
      </c>
      <c r="R280" s="49">
        <v>33.5</v>
      </c>
      <c r="S280" s="49">
        <v>26.5</v>
      </c>
      <c r="T280" s="49">
        <v>25</v>
      </c>
      <c r="U280" s="49">
        <v>2.3</v>
      </c>
      <c r="V280" s="72">
        <f t="shared" si="715"/>
        <v>3.69895833333333</v>
      </c>
      <c r="W280" s="72">
        <f t="shared" si="716"/>
        <v>3.69895833333333</v>
      </c>
      <c r="X280" s="71" t="s">
        <v>39</v>
      </c>
      <c r="Y280" s="76">
        <v>5.55136</v>
      </c>
      <c r="Z280" s="72">
        <v>13</v>
      </c>
      <c r="AA280" s="72">
        <f t="shared" si="717"/>
        <v>-2.26217265486725</v>
      </c>
      <c r="AB280" s="75">
        <f t="shared" si="718"/>
        <v>-0.0591549142912085</v>
      </c>
      <c r="AC280" s="49"/>
      <c r="AD280" s="78">
        <f t="shared" si="719"/>
        <v>0.151406194840684</v>
      </c>
      <c r="AE280" s="74">
        <f t="shared" si="709"/>
        <v>0.337737024899503</v>
      </c>
      <c r="AF280" s="74">
        <f t="shared" si="710"/>
        <v>0.0459384897756824</v>
      </c>
      <c r="AG280" s="74">
        <v>0.15</v>
      </c>
      <c r="AH280" s="74">
        <f t="shared" si="720"/>
        <v>0.156897611233869</v>
      </c>
      <c r="AI280" s="74">
        <v>0.02</v>
      </c>
      <c r="AJ280" s="74">
        <f t="shared" si="721"/>
        <v>0.05</v>
      </c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8"/>
      <c r="BN280" s="48"/>
      <c r="BO280" s="48"/>
      <c r="BP280" s="48"/>
      <c r="BQ280" s="48"/>
      <c r="BR280" s="48"/>
      <c r="BS280" s="48"/>
      <c r="BT280" s="48"/>
      <c r="BU280" s="48"/>
      <c r="BV280" s="48"/>
      <c r="BW280" s="48"/>
    </row>
    <row r="281" spans="1:75">
      <c r="A281" s="92"/>
      <c r="B281" s="49"/>
      <c r="C281" s="49"/>
      <c r="D281" s="49"/>
      <c r="E281" s="49"/>
      <c r="F281" s="72"/>
      <c r="G281" s="72"/>
      <c r="H281" s="79"/>
      <c r="I281" s="72"/>
      <c r="J281" s="71"/>
      <c r="K281" s="74"/>
      <c r="L281" s="74"/>
      <c r="M281" s="74"/>
      <c r="N281" s="74"/>
      <c r="O281" s="75"/>
      <c r="P281" s="74"/>
      <c r="Q281" s="74"/>
      <c r="R281" s="49"/>
      <c r="S281" s="49"/>
      <c r="T281" s="49"/>
      <c r="U281" s="49"/>
      <c r="V281" s="72"/>
      <c r="W281" s="72"/>
      <c r="X281" s="71"/>
      <c r="Y281" s="76"/>
      <c r="Z281" s="71"/>
      <c r="AA281" s="72"/>
      <c r="AB281" s="75"/>
      <c r="AC281" s="49"/>
      <c r="AD281" s="78"/>
      <c r="AE281" s="74"/>
      <c r="AF281" s="74"/>
      <c r="AG281" s="74"/>
      <c r="AH281" s="74"/>
      <c r="AI281" s="74"/>
      <c r="AJ281" s="74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48"/>
      <c r="BL281" s="48"/>
      <c r="BM281" s="48"/>
      <c r="BN281" s="48"/>
      <c r="BO281" s="48"/>
      <c r="BP281" s="48"/>
      <c r="BQ281" s="48"/>
      <c r="BR281" s="48"/>
      <c r="BS281" s="48"/>
      <c r="BT281" s="48"/>
      <c r="BU281" s="48"/>
      <c r="BV281" s="48"/>
      <c r="BW281" s="48"/>
    </row>
    <row r="282" spans="1:75">
      <c r="A282" s="93" t="s">
        <v>101</v>
      </c>
      <c r="B282" s="71">
        <v>8</v>
      </c>
      <c r="C282" s="49" t="s">
        <v>44</v>
      </c>
      <c r="D282" s="49" t="s">
        <v>45</v>
      </c>
      <c r="E282" s="71" t="s">
        <v>38</v>
      </c>
      <c r="F282" s="72">
        <f t="shared" si="711"/>
        <v>36.5592468257592</v>
      </c>
      <c r="G282" s="72">
        <f t="shared" si="712"/>
        <v>67.8263035734326</v>
      </c>
      <c r="H282" s="79">
        <v>44.99</v>
      </c>
      <c r="I282" s="72">
        <f t="shared" ref="I282:I286" si="722">108/1.13</f>
        <v>95.5752212389381</v>
      </c>
      <c r="J282" s="49">
        <v>4.95</v>
      </c>
      <c r="K282" s="74">
        <v>0.15</v>
      </c>
      <c r="L282" s="74">
        <v>0.16</v>
      </c>
      <c r="M282" s="74">
        <v>0.05</v>
      </c>
      <c r="N282" s="74">
        <f t="shared" si="713"/>
        <v>0.133362969548789</v>
      </c>
      <c r="O282" s="75">
        <f t="shared" si="714"/>
        <v>0.0135585685707935</v>
      </c>
      <c r="P282" s="74">
        <v>0.02</v>
      </c>
      <c r="Q282" s="72">
        <v>6</v>
      </c>
      <c r="R282" s="49">
        <v>33.5</v>
      </c>
      <c r="S282" s="49">
        <v>26.5</v>
      </c>
      <c r="T282" s="49">
        <v>25</v>
      </c>
      <c r="U282" s="49">
        <v>2.3</v>
      </c>
      <c r="V282" s="72">
        <f t="shared" si="715"/>
        <v>3.69895833333333</v>
      </c>
      <c r="W282" s="72">
        <f t="shared" si="716"/>
        <v>3.69895833333333</v>
      </c>
      <c r="X282" s="49" t="s">
        <v>39</v>
      </c>
      <c r="Y282" s="76">
        <v>5.55136</v>
      </c>
      <c r="Z282" s="72">
        <v>13</v>
      </c>
      <c r="AA282" s="72">
        <f t="shared" si="717"/>
        <v>2.76189734513275</v>
      </c>
      <c r="AB282" s="75">
        <f t="shared" si="718"/>
        <v>0.0613891385893031</v>
      </c>
      <c r="AC282" s="49"/>
      <c r="AD282" s="78">
        <f t="shared" si="719"/>
        <v>0.110024449877751</v>
      </c>
      <c r="AE282" s="74">
        <f t="shared" ref="AE282:AE286" si="723">I282/7.4/H282</f>
        <v>0.287076471164577</v>
      </c>
      <c r="AF282" s="74">
        <f t="shared" ref="AF282:AF286" si="724">Z282/7.4/H282</f>
        <v>0.03904771630933</v>
      </c>
      <c r="AG282" s="74">
        <v>0.15</v>
      </c>
      <c r="AH282" s="74">
        <f t="shared" si="720"/>
        <v>0.133362969548789</v>
      </c>
      <c r="AI282" s="74">
        <v>0.02</v>
      </c>
      <c r="AJ282" s="74">
        <f t="shared" si="721"/>
        <v>0.05</v>
      </c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  <c r="BQ282" s="48"/>
      <c r="BR282" s="48"/>
      <c r="BS282" s="48"/>
      <c r="BT282" s="48"/>
      <c r="BU282" s="48"/>
      <c r="BV282" s="48"/>
      <c r="BW282" s="48"/>
    </row>
    <row r="283" spans="1:75">
      <c r="A283" s="93" t="s">
        <v>102</v>
      </c>
      <c r="B283" s="71">
        <v>8</v>
      </c>
      <c r="C283" s="71" t="s">
        <v>44</v>
      </c>
      <c r="D283" s="71" t="s">
        <v>45</v>
      </c>
      <c r="E283" s="71" t="s">
        <v>38</v>
      </c>
      <c r="F283" s="72">
        <f t="shared" si="711"/>
        <v>38.3402907716558</v>
      </c>
      <c r="G283" s="72">
        <f t="shared" si="712"/>
        <v>74.9416057015823</v>
      </c>
      <c r="H283" s="79">
        <f>H282*0.85</f>
        <v>38.2415</v>
      </c>
      <c r="I283" s="72">
        <f t="shared" si="722"/>
        <v>95.5752212389381</v>
      </c>
      <c r="J283" s="71">
        <v>4.95</v>
      </c>
      <c r="K283" s="74">
        <v>0.15</v>
      </c>
      <c r="L283" s="74">
        <v>0.16</v>
      </c>
      <c r="M283" s="74">
        <v>0.05</v>
      </c>
      <c r="N283" s="74">
        <f t="shared" si="713"/>
        <v>0.156897611233869</v>
      </c>
      <c r="O283" s="75">
        <f t="shared" si="714"/>
        <v>0.01595125714211</v>
      </c>
      <c r="P283" s="74">
        <v>0.02</v>
      </c>
      <c r="Q283" s="72">
        <v>6</v>
      </c>
      <c r="R283" s="49">
        <v>33.5</v>
      </c>
      <c r="S283" s="49">
        <v>26.5</v>
      </c>
      <c r="T283" s="49">
        <v>25</v>
      </c>
      <c r="U283" s="49">
        <v>2.3</v>
      </c>
      <c r="V283" s="72">
        <f t="shared" si="715"/>
        <v>3.69895833333333</v>
      </c>
      <c r="W283" s="72">
        <f t="shared" si="716"/>
        <v>3.69895833333333</v>
      </c>
      <c r="X283" s="71" t="s">
        <v>39</v>
      </c>
      <c r="Y283" s="76">
        <v>5.55136</v>
      </c>
      <c r="Z283" s="72">
        <v>13</v>
      </c>
      <c r="AA283" s="72">
        <f t="shared" si="717"/>
        <v>-1.42217265486725</v>
      </c>
      <c r="AB283" s="75">
        <f t="shared" si="718"/>
        <v>-0.0371892487184669</v>
      </c>
      <c r="AC283" s="49"/>
      <c r="AD283" s="78">
        <f t="shared" si="719"/>
        <v>0.129440529267942</v>
      </c>
      <c r="AE283" s="74">
        <f t="shared" si="723"/>
        <v>0.337737024899503</v>
      </c>
      <c r="AF283" s="74">
        <f t="shared" si="724"/>
        <v>0.0459384897756824</v>
      </c>
      <c r="AG283" s="74">
        <v>0.15</v>
      </c>
      <c r="AH283" s="74">
        <f t="shared" si="720"/>
        <v>0.156897611233869</v>
      </c>
      <c r="AI283" s="74">
        <v>0.02</v>
      </c>
      <c r="AJ283" s="74">
        <f t="shared" si="721"/>
        <v>0.05</v>
      </c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</row>
    <row r="284" spans="1:75">
      <c r="A284" s="92"/>
      <c r="B284" s="49"/>
      <c r="C284" s="49"/>
      <c r="D284" s="49"/>
      <c r="E284" s="49"/>
      <c r="F284" s="72"/>
      <c r="G284" s="72"/>
      <c r="H284" s="79"/>
      <c r="I284" s="72"/>
      <c r="J284" s="71"/>
      <c r="K284" s="74"/>
      <c r="L284" s="74"/>
      <c r="M284" s="74"/>
      <c r="N284" s="74"/>
      <c r="O284" s="75"/>
      <c r="P284" s="74"/>
      <c r="Q284" s="74"/>
      <c r="R284" s="49"/>
      <c r="S284" s="49"/>
      <c r="T284" s="49"/>
      <c r="U284" s="49"/>
      <c r="V284" s="72"/>
      <c r="W284" s="72"/>
      <c r="X284" s="71"/>
      <c r="Y284" s="76"/>
      <c r="Z284" s="71"/>
      <c r="AA284" s="72"/>
      <c r="AB284" s="75"/>
      <c r="AC284" s="49"/>
      <c r="AD284" s="78"/>
      <c r="AE284" s="74"/>
      <c r="AF284" s="74"/>
      <c r="AG284" s="74"/>
      <c r="AH284" s="74"/>
      <c r="AI284" s="74"/>
      <c r="AJ284" s="74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  <c r="BQ284" s="48"/>
      <c r="BR284" s="48"/>
      <c r="BS284" s="48"/>
      <c r="BT284" s="48"/>
      <c r="BU284" s="48"/>
      <c r="BV284" s="48"/>
      <c r="BW284" s="48"/>
    </row>
    <row r="285" spans="1:75">
      <c r="A285" s="93" t="s">
        <v>101</v>
      </c>
      <c r="B285" s="71">
        <v>8</v>
      </c>
      <c r="C285" s="49" t="s">
        <v>47</v>
      </c>
      <c r="D285" s="49" t="s">
        <v>48</v>
      </c>
      <c r="E285" s="71" t="s">
        <v>38</v>
      </c>
      <c r="F285" s="72">
        <f t="shared" ref="F285:F289" si="725">IF(E285="有",(I285/B285+J285+Z285/B285)/(0.99999-K285-L285-M285-N285),(I285/B285+J285+Z285/B285)/(0.99999-K285-M285-N285))</f>
        <v>34.5854082030758</v>
      </c>
      <c r="G285" s="72">
        <f t="shared" ref="G285:G289" si="726">IF(E285="有",(I285/B285+J285+Z285/B285)/(0.8-K285-L285-M285-N285-O285-P285),(I285/B285+J285+Z285/B285)/(0.8-K285-M285-N285-O285-P285))</f>
        <v>64.1643523777433</v>
      </c>
      <c r="H285" s="79">
        <v>44.99</v>
      </c>
      <c r="I285" s="72">
        <f t="shared" si="722"/>
        <v>95.5752212389381</v>
      </c>
      <c r="J285" s="49">
        <v>3.95</v>
      </c>
      <c r="K285" s="74">
        <v>0.15</v>
      </c>
      <c r="L285" s="74">
        <v>0.16</v>
      </c>
      <c r="M285" s="74">
        <v>0.05</v>
      </c>
      <c r="N285" s="74">
        <f t="shared" ref="N285:N289" si="727">Q285/H285</f>
        <v>0.133362969548789</v>
      </c>
      <c r="O285" s="75">
        <f t="shared" ref="O285:O289" si="728">0.61/H285</f>
        <v>0.0135585685707935</v>
      </c>
      <c r="P285" s="74">
        <v>0.02</v>
      </c>
      <c r="Q285" s="72">
        <v>6</v>
      </c>
      <c r="R285" s="49">
        <v>33.5</v>
      </c>
      <c r="S285" s="49">
        <v>26.5</v>
      </c>
      <c r="T285" s="49">
        <v>25</v>
      </c>
      <c r="U285" s="49">
        <v>2.3</v>
      </c>
      <c r="V285" s="72">
        <f t="shared" ref="V285:V289" si="729">R285*S285*T285/6000</f>
        <v>3.69895833333333</v>
      </c>
      <c r="W285" s="72">
        <f t="shared" ref="W285:W289" si="730">MAX(U285:V285)</f>
        <v>3.69895833333333</v>
      </c>
      <c r="X285" s="49" t="s">
        <v>39</v>
      </c>
      <c r="Y285" s="76">
        <v>5.55136</v>
      </c>
      <c r="Z285" s="72">
        <v>13</v>
      </c>
      <c r="AA285" s="72">
        <f t="shared" ref="AA285:AA289" si="731">H285-SUM(K285:P285)*H285-J285-I285/B285-Z285/B285</f>
        <v>3.76189734513275</v>
      </c>
      <c r="AB285" s="75">
        <f t="shared" ref="AB285:AB289" si="732">AA285/H285</f>
        <v>0.0836163001807679</v>
      </c>
      <c r="AC285" s="49"/>
      <c r="AD285" s="78">
        <f t="shared" ref="AD285:AD289" si="733">J285/H285</f>
        <v>0.0877972882862858</v>
      </c>
      <c r="AE285" s="74">
        <f t="shared" si="723"/>
        <v>0.287076471164577</v>
      </c>
      <c r="AF285" s="74">
        <f t="shared" si="724"/>
        <v>0.03904771630933</v>
      </c>
      <c r="AG285" s="74">
        <v>0.15</v>
      </c>
      <c r="AH285" s="74">
        <f t="shared" ref="AH285:AH289" si="734">N285</f>
        <v>0.133362969548789</v>
      </c>
      <c r="AI285" s="74">
        <v>0.02</v>
      </c>
      <c r="AJ285" s="74">
        <f t="shared" ref="AJ285:AJ289" si="735">M285</f>
        <v>0.05</v>
      </c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48"/>
      <c r="BL285" s="48"/>
      <c r="BM285" s="48"/>
      <c r="BN285" s="48"/>
      <c r="BO285" s="48"/>
      <c r="BP285" s="48"/>
      <c r="BQ285" s="48"/>
      <c r="BR285" s="48"/>
      <c r="BS285" s="48"/>
      <c r="BT285" s="48"/>
      <c r="BU285" s="48"/>
      <c r="BV285" s="48"/>
      <c r="BW285" s="48"/>
    </row>
    <row r="286" spans="1:75">
      <c r="A286" s="93" t="s">
        <v>102</v>
      </c>
      <c r="B286" s="71">
        <v>8</v>
      </c>
      <c r="C286" s="71" t="s">
        <v>47</v>
      </c>
      <c r="D286" s="71" t="s">
        <v>48</v>
      </c>
      <c r="E286" s="71" t="s">
        <v>38</v>
      </c>
      <c r="F286" s="72">
        <f t="shared" si="725"/>
        <v>36.2702933482766</v>
      </c>
      <c r="G286" s="72">
        <f t="shared" si="726"/>
        <v>70.8954983929528</v>
      </c>
      <c r="H286" s="79">
        <f>H285*0.85</f>
        <v>38.2415</v>
      </c>
      <c r="I286" s="72">
        <f t="shared" si="722"/>
        <v>95.5752212389381</v>
      </c>
      <c r="J286" s="71">
        <v>3.95</v>
      </c>
      <c r="K286" s="74">
        <v>0.15</v>
      </c>
      <c r="L286" s="74">
        <v>0.16</v>
      </c>
      <c r="M286" s="74">
        <v>0.05</v>
      </c>
      <c r="N286" s="74">
        <f t="shared" si="727"/>
        <v>0.156897611233869</v>
      </c>
      <c r="O286" s="75">
        <f t="shared" si="728"/>
        <v>0.01595125714211</v>
      </c>
      <c r="P286" s="74">
        <v>0.02</v>
      </c>
      <c r="Q286" s="72">
        <v>6</v>
      </c>
      <c r="R286" s="49">
        <v>33.5</v>
      </c>
      <c r="S286" s="49">
        <v>26.5</v>
      </c>
      <c r="T286" s="49">
        <v>25</v>
      </c>
      <c r="U286" s="49">
        <v>2.3</v>
      </c>
      <c r="V286" s="72">
        <f t="shared" si="729"/>
        <v>3.69895833333333</v>
      </c>
      <c r="W286" s="72">
        <f t="shared" si="730"/>
        <v>3.69895833333333</v>
      </c>
      <c r="X286" s="71" t="s">
        <v>39</v>
      </c>
      <c r="Y286" s="76">
        <v>5.55136</v>
      </c>
      <c r="Z286" s="72">
        <v>13</v>
      </c>
      <c r="AA286" s="72">
        <f t="shared" si="731"/>
        <v>-0.422172654867252</v>
      </c>
      <c r="AB286" s="75">
        <f t="shared" si="732"/>
        <v>-0.0110396468461554</v>
      </c>
      <c r="AC286" s="49"/>
      <c r="AD286" s="78">
        <f t="shared" si="733"/>
        <v>0.10329092739563</v>
      </c>
      <c r="AE286" s="74">
        <f t="shared" si="723"/>
        <v>0.337737024899503</v>
      </c>
      <c r="AF286" s="74">
        <f t="shared" si="724"/>
        <v>0.0459384897756824</v>
      </c>
      <c r="AG286" s="74">
        <v>0.15</v>
      </c>
      <c r="AH286" s="74">
        <f t="shared" si="734"/>
        <v>0.156897611233869</v>
      </c>
      <c r="AI286" s="74">
        <v>0.02</v>
      </c>
      <c r="AJ286" s="74">
        <f t="shared" si="735"/>
        <v>0.05</v>
      </c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8"/>
      <c r="BN286" s="48"/>
      <c r="BO286" s="48"/>
      <c r="BP286" s="48"/>
      <c r="BQ286" s="48"/>
      <c r="BR286" s="48"/>
      <c r="BS286" s="48"/>
      <c r="BT286" s="48"/>
      <c r="BU286" s="48"/>
      <c r="BV286" s="48"/>
      <c r="BW286" s="48"/>
    </row>
    <row r="287" spans="1:75">
      <c r="A287" s="92"/>
      <c r="B287" s="71"/>
      <c r="C287" s="71"/>
      <c r="D287" s="71"/>
      <c r="E287" s="71"/>
      <c r="F287" s="72"/>
      <c r="G287" s="72"/>
      <c r="H287" s="79"/>
      <c r="I287" s="72"/>
      <c r="J287" s="71"/>
      <c r="K287" s="74"/>
      <c r="L287" s="74"/>
      <c r="M287" s="74"/>
      <c r="N287" s="74"/>
      <c r="O287" s="75"/>
      <c r="P287" s="74"/>
      <c r="Q287" s="74"/>
      <c r="R287" s="49"/>
      <c r="S287" s="49"/>
      <c r="T287" s="49"/>
      <c r="U287" s="49"/>
      <c r="V287" s="72"/>
      <c r="W287" s="72"/>
      <c r="X287" s="71"/>
      <c r="Y287" s="76"/>
      <c r="Z287" s="71"/>
      <c r="AA287" s="72"/>
      <c r="AB287" s="75"/>
      <c r="AC287" s="49"/>
      <c r="AD287" s="78"/>
      <c r="AE287" s="74"/>
      <c r="AF287" s="74"/>
      <c r="AG287" s="74"/>
      <c r="AH287" s="74"/>
      <c r="AI287" s="74"/>
      <c r="AJ287" s="74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48"/>
      <c r="BL287" s="48"/>
      <c r="BM287" s="48"/>
      <c r="BN287" s="48"/>
      <c r="BO287" s="48"/>
      <c r="BP287" s="48"/>
      <c r="BQ287" s="48"/>
      <c r="BR287" s="48"/>
      <c r="BS287" s="48"/>
      <c r="BT287" s="48"/>
      <c r="BU287" s="48"/>
      <c r="BV287" s="48"/>
      <c r="BW287" s="48"/>
    </row>
    <row r="288" spans="1:75">
      <c r="A288" s="93" t="s">
        <v>101</v>
      </c>
      <c r="B288" s="49">
        <v>9</v>
      </c>
      <c r="C288" s="71" t="s">
        <v>49</v>
      </c>
      <c r="D288" s="71" t="s">
        <v>50</v>
      </c>
      <c r="E288" s="71" t="s">
        <v>38</v>
      </c>
      <c r="F288" s="72">
        <f t="shared" si="725"/>
        <v>30.8273021569874</v>
      </c>
      <c r="G288" s="72">
        <f t="shared" si="726"/>
        <v>59.298778662944</v>
      </c>
      <c r="H288" s="79">
        <v>39.99</v>
      </c>
      <c r="I288" s="72">
        <f>108/1.13</f>
        <v>95.5752212389381</v>
      </c>
      <c r="J288" s="49">
        <v>3.04</v>
      </c>
      <c r="K288" s="74">
        <v>0.15</v>
      </c>
      <c r="L288" s="74">
        <v>0.16</v>
      </c>
      <c r="M288" s="74">
        <v>0.05</v>
      </c>
      <c r="N288" s="74">
        <f t="shared" si="727"/>
        <v>0.150037509377344</v>
      </c>
      <c r="O288" s="75">
        <f t="shared" si="728"/>
        <v>0.0152538134533633</v>
      </c>
      <c r="P288" s="74">
        <v>0.02</v>
      </c>
      <c r="Q288" s="72">
        <v>6</v>
      </c>
      <c r="R288" s="49">
        <v>33.5</v>
      </c>
      <c r="S288" s="49">
        <v>26.5</v>
      </c>
      <c r="T288" s="49">
        <v>25</v>
      </c>
      <c r="U288" s="49">
        <v>2.3</v>
      </c>
      <c r="V288" s="72">
        <f t="shared" si="729"/>
        <v>3.69895833333333</v>
      </c>
      <c r="W288" s="72">
        <f t="shared" si="730"/>
        <v>3.69895833333333</v>
      </c>
      <c r="X288" s="71" t="s">
        <v>39</v>
      </c>
      <c r="Y288" s="76">
        <v>6.084</v>
      </c>
      <c r="Z288" s="72">
        <v>13</v>
      </c>
      <c r="AA288" s="72">
        <f t="shared" si="731"/>
        <v>3.07988652900688</v>
      </c>
      <c r="AB288" s="75">
        <f t="shared" si="732"/>
        <v>0.0770164173295045</v>
      </c>
      <c r="AC288" s="49"/>
      <c r="AD288" s="78">
        <f t="shared" si="733"/>
        <v>0.0760190047511878</v>
      </c>
      <c r="AE288" s="74">
        <f t="shared" ref="AE288:AE291" si="736">I288/7.4/H288</f>
        <v>0.322970003443219</v>
      </c>
      <c r="AF288" s="74">
        <f t="shared" ref="AF288:AF291" si="737">Z288/7.4/H288</f>
        <v>0.0439299013942675</v>
      </c>
      <c r="AG288" s="74">
        <v>0.15</v>
      </c>
      <c r="AH288" s="74">
        <f t="shared" si="734"/>
        <v>0.150037509377344</v>
      </c>
      <c r="AI288" s="74">
        <v>0.02</v>
      </c>
      <c r="AJ288" s="74">
        <f t="shared" si="735"/>
        <v>0.05</v>
      </c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</row>
    <row r="289" spans="1:75">
      <c r="A289" s="93" t="s">
        <v>102</v>
      </c>
      <c r="B289" s="49">
        <v>9</v>
      </c>
      <c r="C289" s="71" t="s">
        <v>49</v>
      </c>
      <c r="D289" s="71" t="s">
        <v>50</v>
      </c>
      <c r="E289" s="71" t="s">
        <v>38</v>
      </c>
      <c r="F289" s="72">
        <f t="shared" si="725"/>
        <v>32.5883904109026</v>
      </c>
      <c r="G289" s="72">
        <f t="shared" si="726"/>
        <v>66.9678944109921</v>
      </c>
      <c r="H289" s="79">
        <f>H288*0.85</f>
        <v>33.9915</v>
      </c>
      <c r="I289" s="72">
        <f>108/1.13</f>
        <v>95.5752212389381</v>
      </c>
      <c r="J289" s="71">
        <v>3.04</v>
      </c>
      <c r="K289" s="74">
        <v>0.15</v>
      </c>
      <c r="L289" s="74">
        <v>0.16</v>
      </c>
      <c r="M289" s="74">
        <v>0.05</v>
      </c>
      <c r="N289" s="74">
        <f t="shared" si="727"/>
        <v>0.176514716914523</v>
      </c>
      <c r="O289" s="75">
        <f t="shared" si="728"/>
        <v>0.0179456628863098</v>
      </c>
      <c r="P289" s="74">
        <v>0.02</v>
      </c>
      <c r="Q289" s="72">
        <v>6</v>
      </c>
      <c r="R289" s="49">
        <v>33.5</v>
      </c>
      <c r="S289" s="49">
        <v>26.5</v>
      </c>
      <c r="T289" s="49">
        <v>25</v>
      </c>
      <c r="U289" s="49">
        <v>2.3</v>
      </c>
      <c r="V289" s="72">
        <f t="shared" si="729"/>
        <v>3.69895833333333</v>
      </c>
      <c r="W289" s="72">
        <f t="shared" si="730"/>
        <v>3.69895833333333</v>
      </c>
      <c r="X289" s="71" t="s">
        <v>39</v>
      </c>
      <c r="Y289" s="76">
        <v>6.084</v>
      </c>
      <c r="Z289" s="72">
        <v>13</v>
      </c>
      <c r="AA289" s="72">
        <f t="shared" si="731"/>
        <v>-0.639183470993117</v>
      </c>
      <c r="AB289" s="75">
        <f t="shared" si="732"/>
        <v>-0.0188042149064654</v>
      </c>
      <c r="AC289" s="49"/>
      <c r="AD289" s="78">
        <f t="shared" si="733"/>
        <v>0.0894341232366915</v>
      </c>
      <c r="AE289" s="74">
        <f t="shared" si="736"/>
        <v>0.379964709933199</v>
      </c>
      <c r="AF289" s="74">
        <f t="shared" si="737"/>
        <v>0.0516822369344323</v>
      </c>
      <c r="AG289" s="74">
        <v>0.15</v>
      </c>
      <c r="AH289" s="74">
        <f t="shared" si="734"/>
        <v>0.176514716914523</v>
      </c>
      <c r="AI289" s="74">
        <v>0.02</v>
      </c>
      <c r="AJ289" s="74">
        <f t="shared" si="735"/>
        <v>0.05</v>
      </c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  <c r="BL289" s="48"/>
      <c r="BM289" s="48"/>
      <c r="BN289" s="48"/>
      <c r="BO289" s="48"/>
      <c r="BP289" s="48"/>
      <c r="BQ289" s="48"/>
      <c r="BR289" s="48"/>
      <c r="BS289" s="48"/>
      <c r="BT289" s="48"/>
      <c r="BU289" s="48"/>
      <c r="BV289" s="48"/>
      <c r="BW289" s="48"/>
    </row>
    <row r="290" spans="1:75">
      <c r="F290" s="88"/>
      <c r="G290" s="88"/>
      <c r="I290" s="88"/>
      <c r="O290" s="89"/>
      <c r="Q290" s="48"/>
      <c r="V290" s="88"/>
      <c r="W290" s="88"/>
      <c r="Y290" s="90"/>
      <c r="Z290" s="88"/>
      <c r="AA290" s="88"/>
      <c r="AB290" s="89"/>
      <c r="AD290" s="91"/>
      <c r="AE290" s="48"/>
      <c r="AF290" s="48"/>
    </row>
    <row r="291" spans="1:75">
      <c r="A291" s="92" t="s">
        <v>103</v>
      </c>
      <c r="B291" s="71">
        <v>8</v>
      </c>
      <c r="C291" s="71" t="s">
        <v>36</v>
      </c>
      <c r="D291" s="71" t="s">
        <v>37</v>
      </c>
      <c r="E291" s="71" t="s">
        <v>38</v>
      </c>
      <c r="F291" s="72">
        <f t="shared" ref="F291:F295" si="738">IF(E291="有",(I291/B291+J291+Z291/B291)/(0.99999-K291-L291-M291-N291),(I291/B291+J291+Z291/B291)/(0.99999-K291-M291-N291))</f>
        <v>21.5737904917678</v>
      </c>
      <c r="G291" s="72">
        <f t="shared" ref="G291:G295" si="739">IF(E291="有",(I291/B291+J291+Z291/B291)/(0.8-K291-L291-M291-N291-O291-P291),(I291/B291+J291+Z291/B291)/(0.8-K291-M291-N291-O291-P291))</f>
        <v>41.2994269770762</v>
      </c>
      <c r="H291" s="79">
        <v>34.99</v>
      </c>
      <c r="I291" s="72">
        <f t="shared" ref="I291:I295" si="740">61.6/1.13</f>
        <v>54.5132743362832</v>
      </c>
      <c r="J291" s="71">
        <v>3.16</v>
      </c>
      <c r="K291" s="74">
        <v>0.15</v>
      </c>
      <c r="L291" s="74">
        <v>0.16</v>
      </c>
      <c r="M291" s="74">
        <v>0.05</v>
      </c>
      <c r="N291" s="74">
        <f t="shared" ref="N291:N295" si="741">Q291/H291</f>
        <v>0.142897970848814</v>
      </c>
      <c r="O291" s="75">
        <f t="shared" ref="O291:O295" si="742">0.61/H291</f>
        <v>0.0174335524435553</v>
      </c>
      <c r="P291" s="74">
        <v>0.02</v>
      </c>
      <c r="Q291" s="72">
        <v>5</v>
      </c>
      <c r="R291" s="49">
        <v>33.5</v>
      </c>
      <c r="S291" s="49">
        <v>26.5</v>
      </c>
      <c r="T291" s="49">
        <v>25</v>
      </c>
      <c r="U291" s="49">
        <v>2.3</v>
      </c>
      <c r="V291" s="72">
        <f t="shared" ref="V291:V295" si="743">R291*S291*T291/6000</f>
        <v>3.69895833333333</v>
      </c>
      <c r="W291" s="72">
        <f t="shared" ref="W291:W295" si="744">MAX(U291:V291)</f>
        <v>3.69895833333333</v>
      </c>
      <c r="X291" s="49" t="s">
        <v>39</v>
      </c>
      <c r="Y291" s="76">
        <v>5.55136</v>
      </c>
      <c r="Z291" s="72">
        <v>6</v>
      </c>
      <c r="AA291" s="72">
        <f t="shared" ref="AA291:AA295" si="745">H291-SUM(K291:P291)*H291-J291-I291/B291-Z291/B291</f>
        <v>5.3596407079646</v>
      </c>
      <c r="AB291" s="75">
        <f t="shared" ref="AB291:AB295" si="746">AA291/H291</f>
        <v>0.153176356329369</v>
      </c>
      <c r="AC291" s="49"/>
      <c r="AD291" s="78">
        <f t="shared" ref="AD291:AD295" si="747">J291/H291</f>
        <v>0.0903115175764504</v>
      </c>
      <c r="AE291" s="74">
        <f t="shared" si="736"/>
        <v>0.210536115864313</v>
      </c>
      <c r="AF291" s="74">
        <f t="shared" si="737"/>
        <v>0.0231726439214293</v>
      </c>
      <c r="AG291" s="74">
        <v>0.15</v>
      </c>
      <c r="AH291" s="74">
        <f t="shared" ref="AH291:AH295" si="748">N291</f>
        <v>0.142897970848814</v>
      </c>
      <c r="AI291" s="74">
        <v>0.02</v>
      </c>
      <c r="AJ291" s="74">
        <f t="shared" ref="AJ291:AJ295" si="749">M291</f>
        <v>0.05</v>
      </c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  <c r="BU291" s="48"/>
      <c r="BV291" s="48"/>
      <c r="BW291" s="48"/>
    </row>
    <row r="292" spans="1:75">
      <c r="A292" s="92" t="s">
        <v>104</v>
      </c>
      <c r="B292" s="71">
        <v>8</v>
      </c>
      <c r="C292" s="71" t="s">
        <v>36</v>
      </c>
      <c r="D292" s="71" t="s">
        <v>37</v>
      </c>
      <c r="E292" s="71" t="s">
        <v>38</v>
      </c>
      <c r="F292" s="72">
        <f t="shared" si="738"/>
        <v>22.7267077021183</v>
      </c>
      <c r="G292" s="72">
        <f t="shared" si="739"/>
        <v>46.349753406497</v>
      </c>
      <c r="H292" s="79">
        <f>H291*0.85</f>
        <v>29.7415</v>
      </c>
      <c r="I292" s="72">
        <f t="shared" si="740"/>
        <v>54.5132743362832</v>
      </c>
      <c r="J292" s="71">
        <v>3.16</v>
      </c>
      <c r="K292" s="74">
        <v>0.15</v>
      </c>
      <c r="L292" s="74">
        <v>0.16</v>
      </c>
      <c r="M292" s="74">
        <v>0.05</v>
      </c>
      <c r="N292" s="74">
        <f t="shared" si="741"/>
        <v>0.168115259822134</v>
      </c>
      <c r="O292" s="75">
        <f t="shared" si="742"/>
        <v>0.0205100616983004</v>
      </c>
      <c r="P292" s="74">
        <v>0.02</v>
      </c>
      <c r="Q292" s="72">
        <v>5</v>
      </c>
      <c r="R292" s="49">
        <v>33.5</v>
      </c>
      <c r="S292" s="49">
        <v>26.5</v>
      </c>
      <c r="T292" s="49">
        <v>25</v>
      </c>
      <c r="U292" s="49">
        <v>2.3</v>
      </c>
      <c r="V292" s="72">
        <f t="shared" si="743"/>
        <v>3.69895833333333</v>
      </c>
      <c r="W292" s="72">
        <f t="shared" si="744"/>
        <v>3.69895833333333</v>
      </c>
      <c r="X292" s="71" t="s">
        <v>39</v>
      </c>
      <c r="Y292" s="76">
        <v>5.55136</v>
      </c>
      <c r="Z292" s="72">
        <v>6</v>
      </c>
      <c r="AA292" s="72">
        <f t="shared" si="745"/>
        <v>2.1055707079646</v>
      </c>
      <c r="AB292" s="75">
        <f t="shared" si="746"/>
        <v>0.0707957133286688</v>
      </c>
      <c r="AC292" s="49"/>
      <c r="AD292" s="78">
        <f t="shared" si="747"/>
        <v>0.106248844207589</v>
      </c>
      <c r="AE292" s="74">
        <f>I292/B292/H292</f>
        <v>0.229112831969988</v>
      </c>
      <c r="AF292" s="74">
        <f>Z292/B292/H292</f>
        <v>0.0252172889733201</v>
      </c>
      <c r="AG292" s="74">
        <f>K292</f>
        <v>0.15</v>
      </c>
      <c r="AH292" s="74">
        <f t="shared" si="748"/>
        <v>0.168115259822134</v>
      </c>
      <c r="AI292" s="74">
        <v>0.02</v>
      </c>
      <c r="AJ292" s="74">
        <f t="shared" si="749"/>
        <v>0.05</v>
      </c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  <c r="BQ292" s="48"/>
      <c r="BR292" s="48"/>
      <c r="BS292" s="48"/>
      <c r="BT292" s="48"/>
      <c r="BU292" s="48"/>
      <c r="BV292" s="48"/>
      <c r="BW292" s="48"/>
    </row>
    <row r="293" spans="1:75">
      <c r="A293" s="92"/>
      <c r="B293" s="49"/>
      <c r="C293" s="49"/>
      <c r="D293" s="49"/>
      <c r="E293" s="49"/>
      <c r="F293" s="72"/>
      <c r="G293" s="72"/>
      <c r="H293" s="79"/>
      <c r="I293" s="72"/>
      <c r="J293" s="71"/>
      <c r="K293" s="74"/>
      <c r="L293" s="74"/>
      <c r="M293" s="74"/>
      <c r="N293" s="74"/>
      <c r="O293" s="75"/>
      <c r="P293" s="74"/>
      <c r="Q293" s="72"/>
      <c r="R293" s="49"/>
      <c r="S293" s="49"/>
      <c r="T293" s="49"/>
      <c r="U293" s="49"/>
      <c r="V293" s="72"/>
      <c r="W293" s="72"/>
      <c r="X293" s="71"/>
      <c r="Y293" s="76"/>
      <c r="Z293" s="71"/>
      <c r="AA293" s="72"/>
      <c r="AB293" s="75"/>
      <c r="AC293" s="49"/>
      <c r="AD293" s="78"/>
      <c r="AE293" s="74"/>
      <c r="AF293" s="74"/>
      <c r="AG293" s="74"/>
      <c r="AH293" s="74"/>
      <c r="AI293" s="74"/>
      <c r="AJ293" s="74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</row>
    <row r="294" spans="1:75">
      <c r="A294" s="93" t="s">
        <v>103</v>
      </c>
      <c r="B294" s="71">
        <v>8</v>
      </c>
      <c r="C294" s="49" t="s">
        <v>42</v>
      </c>
      <c r="D294" s="49" t="s">
        <v>43</v>
      </c>
      <c r="E294" s="71" t="s">
        <v>38</v>
      </c>
      <c r="F294" s="72">
        <f t="shared" si="738"/>
        <v>24.7120423817926</v>
      </c>
      <c r="G294" s="72">
        <f t="shared" si="739"/>
        <v>47.3070872821676</v>
      </c>
      <c r="H294" s="79">
        <v>34.99</v>
      </c>
      <c r="I294" s="72">
        <f t="shared" si="740"/>
        <v>54.5132743362832</v>
      </c>
      <c r="J294" s="71">
        <v>4.72</v>
      </c>
      <c r="K294" s="74">
        <v>0.15</v>
      </c>
      <c r="L294" s="74">
        <v>0.16</v>
      </c>
      <c r="M294" s="74">
        <v>0.05</v>
      </c>
      <c r="N294" s="74">
        <f t="shared" si="741"/>
        <v>0.142897970848814</v>
      </c>
      <c r="O294" s="75">
        <f t="shared" si="742"/>
        <v>0.0174335524435553</v>
      </c>
      <c r="P294" s="74">
        <v>0.02</v>
      </c>
      <c r="Q294" s="72">
        <v>5</v>
      </c>
      <c r="R294" s="49">
        <v>33.5</v>
      </c>
      <c r="S294" s="49">
        <v>26.5</v>
      </c>
      <c r="T294" s="49">
        <v>25</v>
      </c>
      <c r="U294" s="49">
        <v>2.3</v>
      </c>
      <c r="V294" s="72">
        <f t="shared" si="743"/>
        <v>3.69895833333333</v>
      </c>
      <c r="W294" s="72">
        <f t="shared" si="744"/>
        <v>3.69895833333333</v>
      </c>
      <c r="X294" s="49" t="s">
        <v>39</v>
      </c>
      <c r="Y294" s="76">
        <v>5.55136</v>
      </c>
      <c r="Z294" s="72">
        <v>6</v>
      </c>
      <c r="AA294" s="72">
        <f t="shared" si="745"/>
        <v>3.79964070796461</v>
      </c>
      <c r="AB294" s="75">
        <f t="shared" si="746"/>
        <v>0.108592189424539</v>
      </c>
      <c r="AC294" s="49"/>
      <c r="AD294" s="78">
        <f t="shared" si="747"/>
        <v>0.13489568448128</v>
      </c>
      <c r="AE294" s="74">
        <f t="shared" ref="AE294:AE298" si="750">I294/7.4/H294</f>
        <v>0.210536115864313</v>
      </c>
      <c r="AF294" s="74">
        <f t="shared" ref="AF294:AF298" si="751">Z294/7.4/H294</f>
        <v>0.0231726439214293</v>
      </c>
      <c r="AG294" s="74">
        <v>0.15</v>
      </c>
      <c r="AH294" s="74">
        <f t="shared" si="748"/>
        <v>0.142897970848814</v>
      </c>
      <c r="AI294" s="74">
        <v>0.02</v>
      </c>
      <c r="AJ294" s="74">
        <f t="shared" si="749"/>
        <v>0.05</v>
      </c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  <c r="BQ294" s="48"/>
      <c r="BR294" s="48"/>
      <c r="BS294" s="48"/>
      <c r="BT294" s="48"/>
      <c r="BU294" s="48"/>
      <c r="BV294" s="48"/>
      <c r="BW294" s="48"/>
    </row>
    <row r="295" spans="1:75">
      <c r="A295" s="93" t="s">
        <v>104</v>
      </c>
      <c r="B295" s="71">
        <v>8</v>
      </c>
      <c r="C295" s="71" t="s">
        <v>42</v>
      </c>
      <c r="D295" s="71" t="s">
        <v>43</v>
      </c>
      <c r="E295" s="71" t="s">
        <v>38</v>
      </c>
      <c r="F295" s="72">
        <f t="shared" si="738"/>
        <v>26.0326697873361</v>
      </c>
      <c r="G295" s="72">
        <f t="shared" si="739"/>
        <v>53.0920642343337</v>
      </c>
      <c r="H295" s="79">
        <f>H294*0.85</f>
        <v>29.7415</v>
      </c>
      <c r="I295" s="72">
        <f t="shared" si="740"/>
        <v>54.5132743362832</v>
      </c>
      <c r="J295" s="71">
        <v>4.72</v>
      </c>
      <c r="K295" s="74">
        <v>0.15</v>
      </c>
      <c r="L295" s="74">
        <v>0.16</v>
      </c>
      <c r="M295" s="74">
        <v>0.05</v>
      </c>
      <c r="N295" s="74">
        <f t="shared" si="741"/>
        <v>0.168115259822134</v>
      </c>
      <c r="O295" s="75">
        <f t="shared" si="742"/>
        <v>0.0205100616983004</v>
      </c>
      <c r="P295" s="74">
        <v>0.02</v>
      </c>
      <c r="Q295" s="72">
        <v>5</v>
      </c>
      <c r="R295" s="49">
        <v>33.5</v>
      </c>
      <c r="S295" s="49">
        <v>26.5</v>
      </c>
      <c r="T295" s="49">
        <v>25</v>
      </c>
      <c r="U295" s="49">
        <v>2.3</v>
      </c>
      <c r="V295" s="72">
        <f t="shared" si="743"/>
        <v>3.69895833333333</v>
      </c>
      <c r="W295" s="72">
        <f t="shared" si="744"/>
        <v>3.69895833333333</v>
      </c>
      <c r="X295" s="71" t="s">
        <v>39</v>
      </c>
      <c r="Y295" s="76">
        <v>5.55136</v>
      </c>
      <c r="Z295" s="72">
        <v>6</v>
      </c>
      <c r="AA295" s="72">
        <f t="shared" si="745"/>
        <v>0.545570707964604</v>
      </c>
      <c r="AB295" s="75">
        <f t="shared" si="746"/>
        <v>0.018343752264163</v>
      </c>
      <c r="AC295" s="49"/>
      <c r="AD295" s="78">
        <f t="shared" si="747"/>
        <v>0.158700805272095</v>
      </c>
      <c r="AE295" s="74">
        <f t="shared" si="750"/>
        <v>0.247689548075663</v>
      </c>
      <c r="AF295" s="74">
        <f t="shared" si="751"/>
        <v>0.0272619340252109</v>
      </c>
      <c r="AG295" s="74">
        <v>0.15</v>
      </c>
      <c r="AH295" s="74">
        <f t="shared" si="748"/>
        <v>0.168115259822134</v>
      </c>
      <c r="AI295" s="74">
        <v>0.02</v>
      </c>
      <c r="AJ295" s="74">
        <f t="shared" si="749"/>
        <v>0.05</v>
      </c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</row>
    <row r="296" spans="1:75">
      <c r="A296" s="92"/>
      <c r="B296" s="49"/>
      <c r="C296" s="49"/>
      <c r="D296" s="49"/>
      <c r="E296" s="49"/>
      <c r="F296" s="72"/>
      <c r="G296" s="72"/>
      <c r="H296" s="79"/>
      <c r="I296" s="72"/>
      <c r="J296" s="71"/>
      <c r="K296" s="74"/>
      <c r="L296" s="74"/>
      <c r="M296" s="74"/>
      <c r="N296" s="74"/>
      <c r="O296" s="75"/>
      <c r="P296" s="74"/>
      <c r="Q296" s="74"/>
      <c r="R296" s="49"/>
      <c r="S296" s="49"/>
      <c r="T296" s="49"/>
      <c r="U296" s="49"/>
      <c r="V296" s="72"/>
      <c r="W296" s="72"/>
      <c r="X296" s="71"/>
      <c r="Y296" s="76"/>
      <c r="Z296" s="71"/>
      <c r="AA296" s="72"/>
      <c r="AB296" s="75"/>
      <c r="AC296" s="49"/>
      <c r="AD296" s="78"/>
      <c r="AE296" s="74"/>
      <c r="AF296" s="74"/>
      <c r="AG296" s="74"/>
      <c r="AH296" s="74"/>
      <c r="AI296" s="74"/>
      <c r="AJ296" s="74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  <c r="BL296" s="48"/>
      <c r="BM296" s="48"/>
      <c r="BN296" s="48"/>
      <c r="BO296" s="48"/>
      <c r="BP296" s="48"/>
      <c r="BQ296" s="48"/>
      <c r="BR296" s="48"/>
      <c r="BS296" s="48"/>
      <c r="BT296" s="48"/>
      <c r="BU296" s="48"/>
      <c r="BV296" s="48"/>
      <c r="BW296" s="48"/>
    </row>
    <row r="297" spans="1:75">
      <c r="A297" s="93" t="s">
        <v>103</v>
      </c>
      <c r="B297" s="71">
        <v>8</v>
      </c>
      <c r="C297" s="49" t="s">
        <v>44</v>
      </c>
      <c r="D297" s="49" t="s">
        <v>45</v>
      </c>
      <c r="E297" s="71" t="s">
        <v>38</v>
      </c>
      <c r="F297" s="72">
        <f t="shared" ref="F297:F301" si="752">IF(E297="有",(I297/B297+J297+Z297/B297)/(0.99999-K297-L297-M297-N297),(I297/B297+J297+Z297/B297)/(0.99999-K297-M297-N297))</f>
        <v>23.6056074205659</v>
      </c>
      <c r="G297" s="72">
        <f t="shared" ref="G297:G301" si="753">IF(E297="有",(I297/B297+J297+Z297/B297)/(0.8-K297-L297-M297-N297-O297-P297),(I297/B297+J297+Z297/B297)/(0.8-K297-M297-N297-O297-P297))</f>
        <v>45.1890019181931</v>
      </c>
      <c r="H297" s="79">
        <v>34.99</v>
      </c>
      <c r="I297" s="72">
        <f t="shared" ref="I297:I301" si="754">61.6/1.13</f>
        <v>54.5132743362832</v>
      </c>
      <c r="J297" s="71">
        <v>4.17</v>
      </c>
      <c r="K297" s="74">
        <v>0.15</v>
      </c>
      <c r="L297" s="74">
        <v>0.16</v>
      </c>
      <c r="M297" s="74">
        <v>0.05</v>
      </c>
      <c r="N297" s="74">
        <f t="shared" ref="N297:N301" si="755">Q297/H297</f>
        <v>0.142897970848814</v>
      </c>
      <c r="O297" s="75">
        <f t="shared" ref="O297:O301" si="756">0.61/H297</f>
        <v>0.0174335524435553</v>
      </c>
      <c r="P297" s="74">
        <v>0.02</v>
      </c>
      <c r="Q297" s="72">
        <v>5</v>
      </c>
      <c r="R297" s="49">
        <v>33.5</v>
      </c>
      <c r="S297" s="49">
        <v>26.5</v>
      </c>
      <c r="T297" s="49">
        <v>25</v>
      </c>
      <c r="U297" s="49">
        <v>2.3</v>
      </c>
      <c r="V297" s="72">
        <f t="shared" ref="V297:V301" si="757">R297*S297*T297/6000</f>
        <v>3.69895833333333</v>
      </c>
      <c r="W297" s="72">
        <f t="shared" ref="W297:W301" si="758">MAX(U297:V297)</f>
        <v>3.69895833333333</v>
      </c>
      <c r="X297" s="49" t="s">
        <v>39</v>
      </c>
      <c r="Y297" s="76">
        <v>5.55136</v>
      </c>
      <c r="Z297" s="72">
        <v>6</v>
      </c>
      <c r="AA297" s="72">
        <f t="shared" ref="AA297:AA301" si="759">H297-SUM(K297:P297)*H297-J297-I297/B297-Z297/B297</f>
        <v>4.34964070796461</v>
      </c>
      <c r="AB297" s="75">
        <f t="shared" ref="AB297:AB301" si="760">AA297/H297</f>
        <v>0.124310966217908</v>
      </c>
      <c r="AC297" s="49"/>
      <c r="AD297" s="78">
        <f t="shared" ref="AD297:AD301" si="761">J297/H297</f>
        <v>0.119176907687911</v>
      </c>
      <c r="AE297" s="74">
        <f t="shared" si="750"/>
        <v>0.210536115864313</v>
      </c>
      <c r="AF297" s="74">
        <f t="shared" si="751"/>
        <v>0.0231726439214293</v>
      </c>
      <c r="AG297" s="74">
        <v>0.15</v>
      </c>
      <c r="AH297" s="74">
        <f t="shared" ref="AH297:AH301" si="762">N297</f>
        <v>0.142897970848814</v>
      </c>
      <c r="AI297" s="74">
        <v>0.02</v>
      </c>
      <c r="AJ297" s="74">
        <f t="shared" ref="AJ297:AJ301" si="763">M297</f>
        <v>0.05</v>
      </c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48"/>
      <c r="BL297" s="48"/>
      <c r="BM297" s="48"/>
      <c r="BN297" s="48"/>
      <c r="BO297" s="48"/>
      <c r="BP297" s="48"/>
      <c r="BQ297" s="48"/>
      <c r="BR297" s="48"/>
      <c r="BS297" s="48"/>
      <c r="BT297" s="48"/>
      <c r="BU297" s="48"/>
      <c r="BV297" s="48"/>
      <c r="BW297" s="48"/>
    </row>
    <row r="298" spans="1:75">
      <c r="A298" s="93" t="s">
        <v>104</v>
      </c>
      <c r="B298" s="71">
        <v>8</v>
      </c>
      <c r="C298" s="71" t="s">
        <v>44</v>
      </c>
      <c r="D298" s="71" t="s">
        <v>45</v>
      </c>
      <c r="E298" s="71" t="s">
        <v>38</v>
      </c>
      <c r="F298" s="72">
        <f t="shared" si="752"/>
        <v>24.8671062316504</v>
      </c>
      <c r="G298" s="72">
        <f t="shared" si="753"/>
        <v>50.7149674681092</v>
      </c>
      <c r="H298" s="79">
        <f>H297*0.85</f>
        <v>29.7415</v>
      </c>
      <c r="I298" s="72">
        <f t="shared" si="754"/>
        <v>54.5132743362832</v>
      </c>
      <c r="J298" s="71">
        <v>4.17</v>
      </c>
      <c r="K298" s="74">
        <v>0.15</v>
      </c>
      <c r="L298" s="74">
        <v>0.16</v>
      </c>
      <c r="M298" s="74">
        <v>0.05</v>
      </c>
      <c r="N298" s="74">
        <f t="shared" si="755"/>
        <v>0.168115259822134</v>
      </c>
      <c r="O298" s="75">
        <f t="shared" si="756"/>
        <v>0.0205100616983004</v>
      </c>
      <c r="P298" s="74">
        <v>0.02</v>
      </c>
      <c r="Q298" s="72">
        <v>5</v>
      </c>
      <c r="R298" s="49">
        <v>33.5</v>
      </c>
      <c r="S298" s="49">
        <v>26.5</v>
      </c>
      <c r="T298" s="49">
        <v>25</v>
      </c>
      <c r="U298" s="49">
        <v>2.3</v>
      </c>
      <c r="V298" s="72">
        <f t="shared" si="757"/>
        <v>3.69895833333333</v>
      </c>
      <c r="W298" s="72">
        <f t="shared" si="758"/>
        <v>3.69895833333333</v>
      </c>
      <c r="X298" s="71" t="s">
        <v>39</v>
      </c>
      <c r="Y298" s="76">
        <v>5.55136</v>
      </c>
      <c r="Z298" s="72">
        <v>6</v>
      </c>
      <c r="AA298" s="72">
        <f t="shared" si="759"/>
        <v>1.0955707079646</v>
      </c>
      <c r="AB298" s="75">
        <f t="shared" si="760"/>
        <v>0.0368364308445977</v>
      </c>
      <c r="AC298" s="49"/>
      <c r="AD298" s="78">
        <f t="shared" si="761"/>
        <v>0.14020812669166</v>
      </c>
      <c r="AE298" s="74">
        <f t="shared" si="750"/>
        <v>0.247689548075663</v>
      </c>
      <c r="AF298" s="74">
        <f t="shared" si="751"/>
        <v>0.0272619340252109</v>
      </c>
      <c r="AG298" s="74">
        <v>0.15</v>
      </c>
      <c r="AH298" s="74">
        <f t="shared" si="762"/>
        <v>0.168115259822134</v>
      </c>
      <c r="AI298" s="74">
        <v>0.02</v>
      </c>
      <c r="AJ298" s="74">
        <f t="shared" si="763"/>
        <v>0.05</v>
      </c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8"/>
      <c r="BN298" s="48"/>
      <c r="BO298" s="48"/>
      <c r="BP298" s="48"/>
      <c r="BQ298" s="48"/>
      <c r="BR298" s="48"/>
      <c r="BS298" s="48"/>
      <c r="BT298" s="48"/>
      <c r="BU298" s="48"/>
      <c r="BV298" s="48"/>
      <c r="BW298" s="48"/>
    </row>
    <row r="299" spans="1:75">
      <c r="A299" s="92"/>
      <c r="B299" s="49"/>
      <c r="C299" s="49"/>
      <c r="D299" s="49"/>
      <c r="E299" s="49"/>
      <c r="F299" s="72"/>
      <c r="G299" s="72"/>
      <c r="H299" s="79"/>
      <c r="I299" s="72"/>
      <c r="J299" s="71"/>
      <c r="K299" s="74"/>
      <c r="L299" s="74"/>
      <c r="M299" s="74"/>
      <c r="N299" s="74"/>
      <c r="O299" s="75"/>
      <c r="P299" s="74"/>
      <c r="Q299" s="74"/>
      <c r="R299" s="49"/>
      <c r="S299" s="49"/>
      <c r="T299" s="49"/>
      <c r="U299" s="49"/>
      <c r="V299" s="72"/>
      <c r="W299" s="72"/>
      <c r="X299" s="71"/>
      <c r="Y299" s="76"/>
      <c r="Z299" s="71"/>
      <c r="AA299" s="72"/>
      <c r="AB299" s="75"/>
      <c r="AC299" s="49"/>
      <c r="AD299" s="78"/>
      <c r="AE299" s="74"/>
      <c r="AF299" s="74"/>
      <c r="AG299" s="74"/>
      <c r="AH299" s="74"/>
      <c r="AI299" s="74"/>
      <c r="AJ299" s="74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48"/>
      <c r="BL299" s="48"/>
      <c r="BM299" s="48"/>
      <c r="BN299" s="48"/>
      <c r="BO299" s="48"/>
      <c r="BP299" s="48"/>
      <c r="BQ299" s="48"/>
      <c r="BR299" s="48"/>
      <c r="BS299" s="48"/>
      <c r="BT299" s="48"/>
      <c r="BU299" s="48"/>
      <c r="BV299" s="48"/>
      <c r="BW299" s="48"/>
    </row>
    <row r="300" spans="1:75">
      <c r="A300" s="93" t="s">
        <v>103</v>
      </c>
      <c r="B300" s="71">
        <v>8</v>
      </c>
      <c r="C300" s="49" t="s">
        <v>47</v>
      </c>
      <c r="D300" s="49" t="s">
        <v>48</v>
      </c>
      <c r="E300" s="71" t="s">
        <v>38</v>
      </c>
      <c r="F300" s="72">
        <f t="shared" si="752"/>
        <v>22.9618634431249</v>
      </c>
      <c r="G300" s="72">
        <f t="shared" si="753"/>
        <v>43.9566613427897</v>
      </c>
      <c r="H300" s="79">
        <v>34.99</v>
      </c>
      <c r="I300" s="72">
        <f t="shared" si="754"/>
        <v>54.5132743362832</v>
      </c>
      <c r="J300" s="71">
        <v>3.85</v>
      </c>
      <c r="K300" s="74">
        <v>0.15</v>
      </c>
      <c r="L300" s="74">
        <v>0.16</v>
      </c>
      <c r="M300" s="74">
        <v>0.05</v>
      </c>
      <c r="N300" s="74">
        <f t="shared" si="755"/>
        <v>0.142897970848814</v>
      </c>
      <c r="O300" s="75">
        <f t="shared" si="756"/>
        <v>0.0174335524435553</v>
      </c>
      <c r="P300" s="74">
        <v>0.02</v>
      </c>
      <c r="Q300" s="72">
        <v>5</v>
      </c>
      <c r="R300" s="49">
        <v>33.5</v>
      </c>
      <c r="S300" s="49">
        <v>26.5</v>
      </c>
      <c r="T300" s="49">
        <v>25</v>
      </c>
      <c r="U300" s="49">
        <v>2.3</v>
      </c>
      <c r="V300" s="72">
        <f t="shared" si="757"/>
        <v>3.69895833333333</v>
      </c>
      <c r="W300" s="72">
        <f t="shared" si="758"/>
        <v>3.69895833333333</v>
      </c>
      <c r="X300" s="49" t="s">
        <v>39</v>
      </c>
      <c r="Y300" s="76">
        <v>5.55136</v>
      </c>
      <c r="Z300" s="72">
        <v>6</v>
      </c>
      <c r="AA300" s="72">
        <f t="shared" si="759"/>
        <v>4.66964070796461</v>
      </c>
      <c r="AB300" s="75">
        <f t="shared" si="760"/>
        <v>0.133456436352232</v>
      </c>
      <c r="AC300" s="49"/>
      <c r="AD300" s="78">
        <f t="shared" si="761"/>
        <v>0.110031437553587</v>
      </c>
      <c r="AE300" s="74">
        <f t="shared" ref="AE300:AE304" si="764">I300/7.4/H300</f>
        <v>0.210536115864313</v>
      </c>
      <c r="AF300" s="74">
        <f t="shared" ref="AF300:AF304" si="765">Z300/7.4/H300</f>
        <v>0.0231726439214293</v>
      </c>
      <c r="AG300" s="74">
        <v>0.15</v>
      </c>
      <c r="AH300" s="74">
        <f t="shared" si="762"/>
        <v>0.142897970848814</v>
      </c>
      <c r="AI300" s="74">
        <v>0.02</v>
      </c>
      <c r="AJ300" s="74">
        <f t="shared" si="763"/>
        <v>0.05</v>
      </c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  <c r="BL300" s="48"/>
      <c r="BM300" s="48"/>
      <c r="BN300" s="48"/>
      <c r="BO300" s="48"/>
      <c r="BP300" s="48"/>
      <c r="BQ300" s="48"/>
      <c r="BR300" s="48"/>
      <c r="BS300" s="48"/>
      <c r="BT300" s="48"/>
      <c r="BU300" s="48"/>
      <c r="BV300" s="48"/>
      <c r="BW300" s="48"/>
    </row>
    <row r="301" spans="1:75">
      <c r="A301" s="93" t="s">
        <v>104</v>
      </c>
      <c r="B301" s="71">
        <v>8</v>
      </c>
      <c r="C301" s="71" t="s">
        <v>47</v>
      </c>
      <c r="D301" s="71" t="s">
        <v>48</v>
      </c>
      <c r="E301" s="71" t="s">
        <v>38</v>
      </c>
      <c r="F301" s="72">
        <f t="shared" si="752"/>
        <v>24.1889601628877</v>
      </c>
      <c r="G301" s="72">
        <f t="shared" si="753"/>
        <v>49.3319293495786</v>
      </c>
      <c r="H301" s="79">
        <f>H300*0.85</f>
        <v>29.7415</v>
      </c>
      <c r="I301" s="72">
        <f t="shared" si="754"/>
        <v>54.5132743362832</v>
      </c>
      <c r="J301" s="71">
        <v>3.85</v>
      </c>
      <c r="K301" s="74">
        <v>0.15</v>
      </c>
      <c r="L301" s="74">
        <v>0.16</v>
      </c>
      <c r="M301" s="74">
        <v>0.05</v>
      </c>
      <c r="N301" s="74">
        <f t="shared" si="755"/>
        <v>0.168115259822134</v>
      </c>
      <c r="O301" s="75">
        <f t="shared" si="756"/>
        <v>0.0205100616983004</v>
      </c>
      <c r="P301" s="74">
        <v>0.02</v>
      </c>
      <c r="Q301" s="72">
        <v>5</v>
      </c>
      <c r="R301" s="49">
        <v>33.5</v>
      </c>
      <c r="S301" s="49">
        <v>26.5</v>
      </c>
      <c r="T301" s="49">
        <v>25</v>
      </c>
      <c r="U301" s="49">
        <v>2.3</v>
      </c>
      <c r="V301" s="72">
        <f t="shared" si="757"/>
        <v>3.69895833333333</v>
      </c>
      <c r="W301" s="72">
        <f t="shared" si="758"/>
        <v>3.69895833333333</v>
      </c>
      <c r="X301" s="71" t="s">
        <v>39</v>
      </c>
      <c r="Y301" s="76">
        <v>5.55136</v>
      </c>
      <c r="Z301" s="72">
        <v>6</v>
      </c>
      <c r="AA301" s="72">
        <f t="shared" si="759"/>
        <v>1.4155707079646</v>
      </c>
      <c r="AB301" s="75">
        <f t="shared" si="760"/>
        <v>0.0475958074732143</v>
      </c>
      <c r="AC301" s="49"/>
      <c r="AD301" s="78">
        <f t="shared" si="761"/>
        <v>0.129448750063043</v>
      </c>
      <c r="AE301" s="74">
        <f t="shared" si="764"/>
        <v>0.247689548075663</v>
      </c>
      <c r="AF301" s="74">
        <f t="shared" si="765"/>
        <v>0.0272619340252109</v>
      </c>
      <c r="AG301" s="74">
        <v>0.15</v>
      </c>
      <c r="AH301" s="74">
        <f t="shared" si="762"/>
        <v>0.168115259822134</v>
      </c>
      <c r="AI301" s="74">
        <v>0.02</v>
      </c>
      <c r="AJ301" s="74">
        <f t="shared" si="763"/>
        <v>0.05</v>
      </c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</row>
    <row r="302" spans="1:75">
      <c r="A302" s="92"/>
      <c r="B302" s="71"/>
      <c r="C302" s="71"/>
      <c r="D302" s="71"/>
      <c r="E302" s="71"/>
      <c r="F302" s="72"/>
      <c r="G302" s="72"/>
      <c r="H302" s="79"/>
      <c r="I302" s="72"/>
      <c r="J302" s="71"/>
      <c r="K302" s="74"/>
      <c r="L302" s="74"/>
      <c r="M302" s="74"/>
      <c r="N302" s="74"/>
      <c r="O302" s="75"/>
      <c r="P302" s="74"/>
      <c r="Q302" s="74"/>
      <c r="R302" s="49"/>
      <c r="S302" s="49"/>
      <c r="T302" s="49"/>
      <c r="U302" s="49"/>
      <c r="V302" s="72"/>
      <c r="W302" s="72"/>
      <c r="X302" s="71"/>
      <c r="Y302" s="76"/>
      <c r="Z302" s="71"/>
      <c r="AA302" s="72"/>
      <c r="AB302" s="75"/>
      <c r="AC302" s="49"/>
      <c r="AD302" s="78"/>
      <c r="AE302" s="74"/>
      <c r="AF302" s="74"/>
      <c r="AG302" s="74"/>
      <c r="AH302" s="74"/>
      <c r="AI302" s="74"/>
      <c r="AJ302" s="74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/>
      <c r="BP302" s="48"/>
      <c r="BQ302" s="48"/>
      <c r="BR302" s="48"/>
      <c r="BS302" s="48"/>
      <c r="BT302" s="48"/>
      <c r="BU302" s="48"/>
      <c r="BV302" s="48"/>
      <c r="BW302" s="48"/>
    </row>
    <row r="303" spans="1:75">
      <c r="A303" s="93" t="s">
        <v>103</v>
      </c>
      <c r="B303" s="49">
        <v>9</v>
      </c>
      <c r="C303" s="71" t="s">
        <v>49</v>
      </c>
      <c r="D303" s="71" t="s">
        <v>50</v>
      </c>
      <c r="E303" s="71" t="s">
        <v>38</v>
      </c>
      <c r="F303" s="72">
        <f>IF(E303="有",(I303/B303+J303+Z303/B303)/(0.99999-K303-L303-M303-N303),(I303/B303+J303+Z303/B303)/(0.99999-K303-M303-N303))</f>
        <v>20.4190903765075</v>
      </c>
      <c r="G303" s="72">
        <f>IF(E303="有",(I303/B303+J303+Z303/B303)/(0.8-K303-L303-M303-N303-O303-P303),(I303/B303+J303+Z303/B303)/(0.8-K303-M303-N303-O303-P303))</f>
        <v>41.4861973550334</v>
      </c>
      <c r="H303" s="79">
        <v>29.99</v>
      </c>
      <c r="I303" s="72">
        <f>61.6/1.13</f>
        <v>54.5132743362832</v>
      </c>
      <c r="J303" s="71">
        <v>2.94</v>
      </c>
      <c r="K303" s="74">
        <v>0.15</v>
      </c>
      <c r="L303" s="74">
        <v>0.16</v>
      </c>
      <c r="M303" s="74">
        <v>0.05</v>
      </c>
      <c r="N303" s="74">
        <f>Q303/H303</f>
        <v>0.166722240746916</v>
      </c>
      <c r="O303" s="75">
        <f>0.61/H303</f>
        <v>0.0203401133711237</v>
      </c>
      <c r="P303" s="74">
        <v>0.02</v>
      </c>
      <c r="Q303" s="72">
        <v>5</v>
      </c>
      <c r="R303" s="49">
        <v>33.5</v>
      </c>
      <c r="S303" s="49">
        <v>26.5</v>
      </c>
      <c r="T303" s="49">
        <v>25</v>
      </c>
      <c r="U303" s="49">
        <v>2.3</v>
      </c>
      <c r="V303" s="72">
        <f>R303*S303*T303/6000</f>
        <v>3.69895833333333</v>
      </c>
      <c r="W303" s="72">
        <f>MAX(U303:V303)</f>
        <v>3.69895833333333</v>
      </c>
      <c r="X303" s="71" t="s">
        <v>39</v>
      </c>
      <c r="Y303" s="76">
        <v>6.084</v>
      </c>
      <c r="Z303" s="72">
        <v>6</v>
      </c>
      <c r="AA303" s="72">
        <f>H303-SUM(K303:P303)*H303-J303-I303/B303-Z303/B303</f>
        <v>3.32010285152409</v>
      </c>
      <c r="AB303" s="75">
        <f>AA303/H303</f>
        <v>0.110706997383264</v>
      </c>
      <c r="AC303" s="49"/>
      <c r="AD303" s="78">
        <f>J303/H303</f>
        <v>0.0980326775591864</v>
      </c>
      <c r="AE303" s="74">
        <f t="shared" si="764"/>
        <v>0.245637168859364</v>
      </c>
      <c r="AF303" s="74">
        <f t="shared" si="765"/>
        <v>0.0270360390400404</v>
      </c>
      <c r="AG303" s="74">
        <v>0.15</v>
      </c>
      <c r="AH303" s="74">
        <f>N303</f>
        <v>0.166722240746916</v>
      </c>
      <c r="AI303" s="74">
        <v>0.02</v>
      </c>
      <c r="AJ303" s="74">
        <f>M303</f>
        <v>0.05</v>
      </c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</row>
    <row r="304" spans="1:75">
      <c r="A304" s="93" t="s">
        <v>104</v>
      </c>
      <c r="B304" s="49">
        <v>9</v>
      </c>
      <c r="C304" s="71" t="s">
        <v>49</v>
      </c>
      <c r="D304" s="71" t="s">
        <v>50</v>
      </c>
      <c r="E304" s="71" t="s">
        <v>38</v>
      </c>
      <c r="F304" s="72">
        <f>IF(E304="有",(I304/B304+J304+Z304/B304)/(0.99999-K304-L304-M304-N304),(I304/B304+J304+Z304/B304)/(0.99999-K304-M304-N304))</f>
        <v>21.7726262470121</v>
      </c>
      <c r="G304" s="72">
        <f>IF(E304="有",(I304/B304+J304+Z304/B304)/(0.8-K304-L304-M304-N304-O304-P304),(I304/B304+J304+Z304/B304)/(0.8-K304-M304-N304-O304-P304))</f>
        <v>48.3362149309171</v>
      </c>
      <c r="H304" s="79">
        <f>H303*0.85</f>
        <v>25.4915</v>
      </c>
      <c r="I304" s="72">
        <f>61.6/1.13</f>
        <v>54.5132743362832</v>
      </c>
      <c r="J304" s="71">
        <v>2.94</v>
      </c>
      <c r="K304" s="74">
        <v>0.15</v>
      </c>
      <c r="L304" s="74">
        <v>0.16</v>
      </c>
      <c r="M304" s="74">
        <v>0.05</v>
      </c>
      <c r="N304" s="74">
        <f>Q304/H304</f>
        <v>0.19614381264343</v>
      </c>
      <c r="O304" s="75">
        <f>0.61/H304</f>
        <v>0.0239295451424985</v>
      </c>
      <c r="P304" s="74">
        <v>0.02</v>
      </c>
      <c r="Q304" s="72">
        <v>5</v>
      </c>
      <c r="R304" s="49">
        <v>33.5</v>
      </c>
      <c r="S304" s="49">
        <v>26.5</v>
      </c>
      <c r="T304" s="49">
        <v>25</v>
      </c>
      <c r="U304" s="49">
        <v>2.3</v>
      </c>
      <c r="V304" s="72">
        <f>R304*S304*T304/6000</f>
        <v>3.69895833333333</v>
      </c>
      <c r="W304" s="72">
        <f>MAX(U304:V304)</f>
        <v>3.69895833333333</v>
      </c>
      <c r="X304" s="71" t="s">
        <v>39</v>
      </c>
      <c r="Y304" s="76">
        <v>6.084</v>
      </c>
      <c r="Z304" s="72">
        <v>6</v>
      </c>
      <c r="AA304" s="72">
        <f>H304-SUM(K304:P304)*H304-J304-I304/B304-Z304/B304</f>
        <v>0.53103285152409</v>
      </c>
      <c r="AB304" s="75">
        <f>AA304/H304</f>
        <v>0.0208317616273695</v>
      </c>
      <c r="AC304" s="49"/>
      <c r="AD304" s="78">
        <f>J304/H304</f>
        <v>0.115332561834337</v>
      </c>
      <c r="AE304" s="74">
        <f t="shared" si="764"/>
        <v>0.288984904540428</v>
      </c>
      <c r="AF304" s="74">
        <f t="shared" si="765"/>
        <v>0.0318071047529887</v>
      </c>
      <c r="AG304" s="74">
        <v>0.15</v>
      </c>
      <c r="AH304" s="74">
        <f>N304</f>
        <v>0.19614381264343</v>
      </c>
      <c r="AI304" s="74">
        <v>0.02</v>
      </c>
      <c r="AJ304" s="74">
        <f>M304</f>
        <v>0.05</v>
      </c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48"/>
      <c r="BN304" s="48"/>
      <c r="BO304" s="48"/>
      <c r="BP304" s="48"/>
      <c r="BQ304" s="48"/>
      <c r="BR304" s="48"/>
      <c r="BS304" s="48"/>
      <c r="BT304" s="48"/>
      <c r="BU304" s="48"/>
      <c r="BV304" s="48"/>
      <c r="BW304" s="4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437"/>
  <sheetViews>
    <sheetView tabSelected="1" workbookViewId="0">
      <pane xSplit="3" ySplit="2" topLeftCell="D85" activePane="bottomRight" state="frozen"/>
      <selection/>
      <selection pane="topRight"/>
      <selection pane="bottomLeft"/>
      <selection pane="bottomRight" activeCell="D1" sqref="D$1:D$1048576"/>
    </sheetView>
  </sheetViews>
  <sheetFormatPr defaultColWidth="12.75" defaultRowHeight="12"/>
  <cols>
    <col min="1" max="1" width="7.075" style="1" customWidth="1"/>
    <col min="2" max="2" width="8.9" style="1" customWidth="1"/>
    <col min="3" max="3" width="12.4416666666667" style="1" customWidth="1"/>
    <col min="4" max="4" width="27.5" style="1" customWidth="1"/>
    <col min="5" max="5" width="8.51666666666667" style="1" customWidth="1"/>
    <col min="6" max="6" width="12.1833333333333" style="1" customWidth="1"/>
    <col min="7" max="8" width="10.2166666666667" style="1" customWidth="1"/>
    <col min="9" max="10" width="8.775" style="1" customWidth="1"/>
    <col min="11" max="11" width="11.3916666666667" style="1" customWidth="1"/>
    <col min="12" max="12" width="9.3" style="1" customWidth="1"/>
    <col min="13" max="13" width="10.475" style="1" customWidth="1"/>
    <col min="14" max="14" width="7.725" style="1" customWidth="1"/>
    <col min="15" max="15" width="7.98333333333333" style="1" customWidth="1"/>
    <col min="16" max="16" width="6.675" style="1" customWidth="1"/>
    <col min="17" max="17" width="6.80833333333333" style="1" customWidth="1"/>
    <col min="18" max="18" width="6.94166666666667" style="1" customWidth="1"/>
    <col min="19" max="19" width="7.6" style="1" customWidth="1"/>
    <col min="20" max="20" width="7.075" style="1" customWidth="1"/>
    <col min="21" max="21" width="5.75833333333333" style="1" customWidth="1"/>
    <col min="22" max="22" width="6.55" style="1" customWidth="1"/>
    <col min="23" max="23" width="6.41666666666667" style="1" customWidth="1"/>
    <col min="24" max="24" width="7.98333333333333" style="1" customWidth="1"/>
    <col min="25" max="25" width="6.94166666666667" style="1" customWidth="1"/>
    <col min="26" max="26" width="7.33333333333333" style="1" customWidth="1"/>
    <col min="27" max="27" width="7.98333333333333" style="1" customWidth="1"/>
    <col min="28" max="28" width="8.125" style="1" customWidth="1"/>
    <col min="29" max="29" width="7.6" style="1" customWidth="1"/>
    <col min="30" max="30" width="9.3" style="1" customWidth="1"/>
    <col min="31" max="31" width="6.94166666666667" style="1" customWidth="1"/>
    <col min="32" max="32" width="8.775" style="1" customWidth="1"/>
    <col min="33" max="33" width="7.85833333333333" style="1" customWidth="1"/>
    <col min="34" max="34" width="7.45833333333333" style="1" customWidth="1"/>
    <col min="35" max="35" width="8.51666666666667" style="1" customWidth="1"/>
    <col min="36" max="71" width="12.4416666666667" style="1" customWidth="1"/>
    <col min="72" max="16384" width="12.75" style="1"/>
  </cols>
  <sheetData>
    <row r="1" ht="49.5" spans="1:71">
      <c r="A1" s="2" t="s">
        <v>105</v>
      </c>
      <c r="B1" s="3" t="s">
        <v>106</v>
      </c>
      <c r="C1" s="3" t="s">
        <v>107</v>
      </c>
      <c r="D1" s="2" t="s">
        <v>108</v>
      </c>
      <c r="E1" s="4" t="s">
        <v>109</v>
      </c>
      <c r="F1" s="5" t="s">
        <v>110</v>
      </c>
      <c r="G1" s="6" t="s">
        <v>111</v>
      </c>
      <c r="H1" s="6" t="s">
        <v>112</v>
      </c>
      <c r="I1" s="6" t="s">
        <v>113</v>
      </c>
      <c r="J1" s="7" t="s">
        <v>114</v>
      </c>
      <c r="K1" s="8" t="s">
        <v>115</v>
      </c>
      <c r="L1" s="9" t="s">
        <v>116</v>
      </c>
      <c r="M1" s="2" t="s">
        <v>117</v>
      </c>
      <c r="N1" s="10" t="s">
        <v>118</v>
      </c>
      <c r="O1" s="11" t="s">
        <v>119</v>
      </c>
      <c r="P1" s="5" t="s">
        <v>120</v>
      </c>
      <c r="Q1" s="12" t="s">
        <v>1</v>
      </c>
      <c r="R1" s="13" t="s">
        <v>121</v>
      </c>
      <c r="S1" s="13" t="s">
        <v>122</v>
      </c>
      <c r="T1" s="13" t="s">
        <v>123</v>
      </c>
      <c r="U1" s="14" t="s">
        <v>124</v>
      </c>
      <c r="V1" s="15" t="s">
        <v>125</v>
      </c>
      <c r="W1" s="15" t="s">
        <v>126</v>
      </c>
      <c r="X1" s="14" t="s">
        <v>127</v>
      </c>
      <c r="Y1" s="14" t="s">
        <v>128</v>
      </c>
      <c r="Z1" s="14" t="s">
        <v>129</v>
      </c>
      <c r="AA1" s="14" t="s">
        <v>130</v>
      </c>
      <c r="AB1" s="14" t="s">
        <v>131</v>
      </c>
      <c r="AC1" s="16" t="s">
        <v>132</v>
      </c>
      <c r="AD1" s="17" t="s">
        <v>133</v>
      </c>
      <c r="AE1" s="16" t="s">
        <v>134</v>
      </c>
      <c r="AF1" s="15" t="s">
        <v>135</v>
      </c>
      <c r="AG1" s="15" t="s">
        <v>136</v>
      </c>
      <c r="AH1" s="8" t="s">
        <v>137</v>
      </c>
      <c r="AI1" s="15" t="s">
        <v>138</v>
      </c>
      <c r="AJ1" s="15" t="s">
        <v>139</v>
      </c>
      <c r="AK1" s="15" t="s">
        <v>140</v>
      </c>
      <c r="AL1" s="15" t="s">
        <v>141</v>
      </c>
      <c r="AM1" s="15" t="s">
        <v>142</v>
      </c>
      <c r="AN1" s="15" t="s">
        <v>143</v>
      </c>
      <c r="AO1" s="15" t="s">
        <v>144</v>
      </c>
      <c r="AP1" s="15" t="s">
        <v>145</v>
      </c>
      <c r="AQ1" s="15" t="s">
        <v>146</v>
      </c>
      <c r="AR1" s="15" t="s">
        <v>147</v>
      </c>
      <c r="AS1" s="15" t="s">
        <v>148</v>
      </c>
      <c r="AT1" s="18" t="s">
        <v>149</v>
      </c>
      <c r="AU1" s="18" t="s">
        <v>150</v>
      </c>
      <c r="AV1" s="18" t="s">
        <v>151</v>
      </c>
      <c r="AW1" s="18" t="s">
        <v>140</v>
      </c>
      <c r="AX1" s="18" t="s">
        <v>141</v>
      </c>
      <c r="AY1" s="18" t="s">
        <v>142</v>
      </c>
      <c r="AZ1" s="15" t="s">
        <v>143</v>
      </c>
      <c r="BA1" s="15" t="s">
        <v>144</v>
      </c>
      <c r="BB1" s="15" t="s">
        <v>145</v>
      </c>
      <c r="BC1" s="15" t="s">
        <v>146</v>
      </c>
      <c r="BD1" s="15" t="s">
        <v>147</v>
      </c>
      <c r="BE1" s="15" t="s">
        <v>148</v>
      </c>
      <c r="BF1" s="18" t="s">
        <v>152</v>
      </c>
      <c r="BG1" s="18" t="s">
        <v>150</v>
      </c>
      <c r="BH1" s="18" t="s">
        <v>151</v>
      </c>
      <c r="BI1" s="18" t="s">
        <v>140</v>
      </c>
      <c r="BJ1" s="18" t="s">
        <v>141</v>
      </c>
      <c r="BK1" s="18" t="s">
        <v>142</v>
      </c>
      <c r="BL1" s="15" t="s">
        <v>143</v>
      </c>
      <c r="BM1" s="15" t="s">
        <v>144</v>
      </c>
      <c r="BN1" s="15" t="s">
        <v>145</v>
      </c>
      <c r="BO1" s="15" t="s">
        <v>146</v>
      </c>
      <c r="BP1" s="15" t="s">
        <v>147</v>
      </c>
      <c r="BQ1" s="15" t="s">
        <v>148</v>
      </c>
      <c r="BR1" s="18" t="s">
        <v>153</v>
      </c>
      <c r="BS1" s="19" t="s">
        <v>154</v>
      </c>
    </row>
    <row r="2" ht="16.5" spans="1:71">
      <c r="A2" s="20" t="s">
        <v>50</v>
      </c>
      <c r="B2" s="21"/>
      <c r="C2" s="21"/>
      <c r="D2" s="22" t="s">
        <v>155</v>
      </c>
      <c r="E2" s="23">
        <v>48.3</v>
      </c>
      <c r="F2" s="24">
        <v>69.99</v>
      </c>
      <c r="G2" s="25">
        <f t="shared" ref="G2:G25" si="0">(F2-Z2)</f>
        <v>69.99</v>
      </c>
      <c r="H2" s="25">
        <f t="shared" ref="H2:H25" si="1">(F2-Z2)/1.2</f>
        <v>58.325</v>
      </c>
      <c r="I2" s="25">
        <f t="shared" ref="I2:I25" si="2">E2-N2/Q2-AB2-Y2-O2-Z2-AA2</f>
        <v>13.1413920353982</v>
      </c>
      <c r="J2" s="26">
        <f t="shared" ref="J2:J25" si="3">I2/E2</f>
        <v>0.272078510049653</v>
      </c>
      <c r="K2" s="27">
        <f t="shared" ref="K2:K25" si="4">F2/1.2</f>
        <v>58.325</v>
      </c>
      <c r="L2" s="28">
        <f t="shared" ref="L2:L25" si="5">(K2-E2)/K2</f>
        <v>0.171881697385341</v>
      </c>
      <c r="M2" s="25">
        <f t="shared" ref="M2:M25" si="6">F2/1.2-E2</f>
        <v>10.025</v>
      </c>
      <c r="N2" s="27">
        <f t="shared" ref="N2:N25" si="7">AD2+AH2</f>
        <v>142.566371681416</v>
      </c>
      <c r="O2" s="27">
        <f t="shared" ref="O2:O25" si="8">IFERROR(IF(A2="UK",8.95/P2,IF(A2="DE",7.75/P2,IF(A2="FR",14.25/P2,IF(A2="IT",15.25/P2,IF(A2="ES",19.25/P2,IF(A2="NL",16.75/P2,IF(A2="PL",14.05/P2,IF(A2="SE",18.25/P2,IF(A2="BE",14.25/P2))))))))),0)</f>
        <v>2.2375</v>
      </c>
      <c r="P2" s="20">
        <v>4</v>
      </c>
      <c r="Q2" s="29">
        <v>9</v>
      </c>
      <c r="R2" s="30">
        <f t="shared" ref="R2:R25" si="9">Y2/E2</f>
        <v>0.165631469979296</v>
      </c>
      <c r="S2" s="26">
        <f>Y2/H2</f>
        <v>0.137162451778826</v>
      </c>
      <c r="T2" s="30">
        <f t="shared" ref="T2:T25" si="10">Z2/E2</f>
        <v>0</v>
      </c>
      <c r="U2" s="30">
        <v>0.01</v>
      </c>
      <c r="V2" s="30">
        <f t="shared" ref="V2:V25" si="11">N2/(E2*Q2)</f>
        <v>0.327964968211217</v>
      </c>
      <c r="W2" s="30">
        <f t="shared" ref="W2:W25" si="12">O2/E2</f>
        <v>0.0463250517598344</v>
      </c>
      <c r="X2" s="31">
        <v>0.178</v>
      </c>
      <c r="Y2" s="32">
        <v>8</v>
      </c>
      <c r="Z2" s="32">
        <f>F2*0</f>
        <v>0</v>
      </c>
      <c r="AA2" s="32">
        <f t="shared" ref="AA2:AA25" si="13">E2*U2</f>
        <v>0.483</v>
      </c>
      <c r="AB2" s="27">
        <f t="shared" ref="AB2:AB25" si="14">E2*X2</f>
        <v>8.5974</v>
      </c>
      <c r="AC2" s="27">
        <v>138.5</v>
      </c>
      <c r="AD2" s="33">
        <f t="shared" ref="AD2:AD25" si="15">AC2/1.13</f>
        <v>122.566371681416</v>
      </c>
      <c r="AE2" s="29">
        <f t="shared" ref="AE2:AE25" si="16">AH2/Q2</f>
        <v>2.22222222222222</v>
      </c>
      <c r="AF2" s="30">
        <f t="shared" ref="AF2:AF25" si="17">AD2/(E2*Q2)</f>
        <v>0.281956226550301</v>
      </c>
      <c r="AG2" s="30">
        <f t="shared" ref="AG2:AG25" si="18">AE2/E2</f>
        <v>0.0460087416609156</v>
      </c>
      <c r="AH2" s="29">
        <v>20</v>
      </c>
      <c r="AI2" s="26">
        <f t="shared" ref="AI2:AI25" si="19">(K2-E2+AB2)/(K2-Z2)</f>
        <v>0.31928675525075</v>
      </c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4" t="s">
        <v>156</v>
      </c>
      <c r="AU2" s="34" t="s">
        <v>156</v>
      </c>
      <c r="AV2" s="34" t="s">
        <v>156</v>
      </c>
      <c r="AW2" s="34" t="s">
        <v>156</v>
      </c>
      <c r="AX2" s="34" t="s">
        <v>156</v>
      </c>
      <c r="AY2" s="34" t="s">
        <v>156</v>
      </c>
      <c r="AZ2" s="34" t="s">
        <v>156</v>
      </c>
      <c r="BA2" s="34" t="s">
        <v>156</v>
      </c>
      <c r="BB2" s="34" t="s">
        <v>156</v>
      </c>
      <c r="BC2" s="34" t="s">
        <v>156</v>
      </c>
      <c r="BD2" s="34" t="s">
        <v>156</v>
      </c>
      <c r="BE2" s="34" t="s">
        <v>156</v>
      </c>
      <c r="BF2" s="34" t="s">
        <v>156</v>
      </c>
      <c r="BG2" s="34" t="s">
        <v>156</v>
      </c>
      <c r="BH2" s="34" t="s">
        <v>156</v>
      </c>
      <c r="BI2" s="34" t="s">
        <v>156</v>
      </c>
      <c r="BJ2" s="34" t="s">
        <v>156</v>
      </c>
      <c r="BK2" s="34" t="s">
        <v>156</v>
      </c>
      <c r="BL2" s="34" t="s">
        <v>156</v>
      </c>
      <c r="BM2" s="34" t="s">
        <v>156</v>
      </c>
      <c r="BN2" s="34" t="s">
        <v>156</v>
      </c>
      <c r="BO2" s="34" t="s">
        <v>156</v>
      </c>
      <c r="BP2" s="34" t="s">
        <v>156</v>
      </c>
      <c r="BQ2" s="34" t="s">
        <v>156</v>
      </c>
      <c r="BR2" s="35"/>
      <c r="BS2" s="20" t="s">
        <v>157</v>
      </c>
    </row>
    <row r="3" ht="16.5" spans="1:71">
      <c r="A3" s="20" t="s">
        <v>50</v>
      </c>
      <c r="B3" s="21"/>
      <c r="C3" s="21"/>
      <c r="D3" s="22" t="s">
        <v>158</v>
      </c>
      <c r="E3" s="23">
        <v>48.3</v>
      </c>
      <c r="F3" s="24">
        <v>69.99</v>
      </c>
      <c r="G3" s="25">
        <f t="shared" si="0"/>
        <v>66.4905</v>
      </c>
      <c r="H3" s="25">
        <f t="shared" si="1"/>
        <v>55.40875</v>
      </c>
      <c r="I3" s="36">
        <f t="shared" si="2"/>
        <v>9.64189203539823</v>
      </c>
      <c r="J3" s="26">
        <f t="shared" si="3"/>
        <v>0.199625093900584</v>
      </c>
      <c r="K3" s="27">
        <f t="shared" si="4"/>
        <v>58.325</v>
      </c>
      <c r="L3" s="28">
        <f t="shared" si="5"/>
        <v>0.171881697385341</v>
      </c>
      <c r="M3" s="25">
        <f t="shared" si="6"/>
        <v>10.025</v>
      </c>
      <c r="N3" s="27">
        <f t="shared" si="7"/>
        <v>142.566371681416</v>
      </c>
      <c r="O3" s="27">
        <f t="shared" si="8"/>
        <v>2.2375</v>
      </c>
      <c r="P3" s="20">
        <v>4</v>
      </c>
      <c r="Q3" s="29">
        <v>9</v>
      </c>
      <c r="R3" s="30">
        <f t="shared" si="9"/>
        <v>0.165631469979296</v>
      </c>
      <c r="S3" s="26">
        <f>Y3/H3</f>
        <v>0.144381528188237</v>
      </c>
      <c r="T3" s="30">
        <f t="shared" si="10"/>
        <v>0.0724534161490683</v>
      </c>
      <c r="U3" s="30">
        <v>0.01</v>
      </c>
      <c r="V3" s="30">
        <f t="shared" si="11"/>
        <v>0.327964968211217</v>
      </c>
      <c r="W3" s="30">
        <f t="shared" si="12"/>
        <v>0.0463250517598344</v>
      </c>
      <c r="X3" s="31">
        <v>0.178</v>
      </c>
      <c r="Y3" s="32">
        <v>8</v>
      </c>
      <c r="Z3" s="32">
        <f>F3*0.05</f>
        <v>3.4995</v>
      </c>
      <c r="AA3" s="32">
        <f t="shared" si="13"/>
        <v>0.483</v>
      </c>
      <c r="AB3" s="27">
        <f t="shared" si="14"/>
        <v>8.5974</v>
      </c>
      <c r="AC3" s="27">
        <v>138.5</v>
      </c>
      <c r="AD3" s="33">
        <f t="shared" si="15"/>
        <v>122.566371681416</v>
      </c>
      <c r="AE3" s="29">
        <f t="shared" si="16"/>
        <v>2.22222222222222</v>
      </c>
      <c r="AF3" s="30">
        <f t="shared" si="17"/>
        <v>0.281956226550301</v>
      </c>
      <c r="AG3" s="30">
        <f t="shared" si="18"/>
        <v>0.0460087416609156</v>
      </c>
      <c r="AH3" s="29">
        <v>20</v>
      </c>
      <c r="AI3" s="26">
        <f t="shared" si="19"/>
        <v>0.339666760905053</v>
      </c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4" t="s">
        <v>156</v>
      </c>
      <c r="AU3" s="34" t="s">
        <v>156</v>
      </c>
      <c r="AV3" s="34" t="s">
        <v>156</v>
      </c>
      <c r="AW3" s="34" t="s">
        <v>156</v>
      </c>
      <c r="AX3" s="34" t="s">
        <v>156</v>
      </c>
      <c r="AY3" s="34" t="s">
        <v>156</v>
      </c>
      <c r="AZ3" s="34" t="s">
        <v>156</v>
      </c>
      <c r="BA3" s="34" t="s">
        <v>156</v>
      </c>
      <c r="BB3" s="34" t="s">
        <v>156</v>
      </c>
      <c r="BC3" s="34" t="s">
        <v>156</v>
      </c>
      <c r="BD3" s="34" t="s">
        <v>156</v>
      </c>
      <c r="BE3" s="34" t="s">
        <v>156</v>
      </c>
      <c r="BF3" s="34" t="s">
        <v>156</v>
      </c>
      <c r="BG3" s="34" t="s">
        <v>156</v>
      </c>
      <c r="BH3" s="34" t="s">
        <v>156</v>
      </c>
      <c r="BI3" s="34" t="s">
        <v>156</v>
      </c>
      <c r="BJ3" s="34" t="s">
        <v>156</v>
      </c>
      <c r="BK3" s="34" t="s">
        <v>156</v>
      </c>
      <c r="BL3" s="34" t="s">
        <v>156</v>
      </c>
      <c r="BM3" s="34" t="s">
        <v>156</v>
      </c>
      <c r="BN3" s="34" t="s">
        <v>156</v>
      </c>
      <c r="BO3" s="34" t="s">
        <v>156</v>
      </c>
      <c r="BP3" s="34" t="s">
        <v>156</v>
      </c>
      <c r="BQ3" s="34" t="s">
        <v>156</v>
      </c>
      <c r="BR3" s="35"/>
      <c r="BS3" s="20" t="s">
        <v>157</v>
      </c>
    </row>
    <row r="4" ht="16.5" spans="1:71">
      <c r="A4" s="20" t="s">
        <v>50</v>
      </c>
      <c r="B4" s="21"/>
      <c r="C4" s="21"/>
      <c r="D4" s="22" t="s">
        <v>159</v>
      </c>
      <c r="E4" s="23">
        <v>48.3</v>
      </c>
      <c r="F4" s="24">
        <v>69.99</v>
      </c>
      <c r="G4" s="25">
        <f t="shared" si="0"/>
        <v>62.991</v>
      </c>
      <c r="H4" s="25">
        <f t="shared" si="1"/>
        <v>52.4925</v>
      </c>
      <c r="I4" s="25">
        <f t="shared" si="2"/>
        <v>6.14239203539823</v>
      </c>
      <c r="J4" s="26">
        <f t="shared" si="3"/>
        <v>0.127171677751516</v>
      </c>
      <c r="K4" s="27">
        <f t="shared" si="4"/>
        <v>58.325</v>
      </c>
      <c r="L4" s="28">
        <f t="shared" si="5"/>
        <v>0.171881697385341</v>
      </c>
      <c r="M4" s="25">
        <f t="shared" si="6"/>
        <v>10.025</v>
      </c>
      <c r="N4" s="27">
        <f t="shared" si="7"/>
        <v>142.566371681416</v>
      </c>
      <c r="O4" s="27">
        <f t="shared" si="8"/>
        <v>2.2375</v>
      </c>
      <c r="P4" s="20">
        <v>4</v>
      </c>
      <c r="Q4" s="29">
        <v>9</v>
      </c>
      <c r="R4" s="30">
        <f t="shared" si="9"/>
        <v>0.165631469979296</v>
      </c>
      <c r="S4" s="26">
        <f>Y4/H4</f>
        <v>0.152402724198695</v>
      </c>
      <c r="T4" s="30">
        <f t="shared" si="10"/>
        <v>0.144906832298137</v>
      </c>
      <c r="U4" s="30">
        <v>0.01</v>
      </c>
      <c r="V4" s="30">
        <f t="shared" si="11"/>
        <v>0.327964968211217</v>
      </c>
      <c r="W4" s="30">
        <f t="shared" si="12"/>
        <v>0.0463250517598344</v>
      </c>
      <c r="X4" s="31">
        <v>0.178</v>
      </c>
      <c r="Y4" s="32">
        <v>8</v>
      </c>
      <c r="Z4" s="32">
        <f>F4*0.1</f>
        <v>6.999</v>
      </c>
      <c r="AA4" s="32">
        <f t="shared" si="13"/>
        <v>0.483</v>
      </c>
      <c r="AB4" s="27">
        <f t="shared" si="14"/>
        <v>8.5974</v>
      </c>
      <c r="AC4" s="27">
        <v>138.5</v>
      </c>
      <c r="AD4" s="33">
        <f t="shared" si="15"/>
        <v>122.566371681416</v>
      </c>
      <c r="AE4" s="29">
        <f t="shared" si="16"/>
        <v>2.22222222222222</v>
      </c>
      <c r="AF4" s="30">
        <f t="shared" si="17"/>
        <v>0.281956226550301</v>
      </c>
      <c r="AG4" s="30">
        <f t="shared" si="18"/>
        <v>0.0460087416609156</v>
      </c>
      <c r="AH4" s="29">
        <v>20</v>
      </c>
      <c r="AI4" s="26">
        <f t="shared" si="19"/>
        <v>0.362825858239489</v>
      </c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4" t="s">
        <v>156</v>
      </c>
      <c r="AU4" s="34" t="s">
        <v>156</v>
      </c>
      <c r="AV4" s="34" t="s">
        <v>156</v>
      </c>
      <c r="AW4" s="34" t="s">
        <v>156</v>
      </c>
      <c r="AX4" s="34" t="s">
        <v>156</v>
      </c>
      <c r="AY4" s="34" t="s">
        <v>156</v>
      </c>
      <c r="AZ4" s="34" t="s">
        <v>156</v>
      </c>
      <c r="BA4" s="34" t="s">
        <v>156</v>
      </c>
      <c r="BB4" s="34" t="s">
        <v>156</v>
      </c>
      <c r="BC4" s="34" t="s">
        <v>156</v>
      </c>
      <c r="BD4" s="34" t="s">
        <v>156</v>
      </c>
      <c r="BE4" s="34" t="s">
        <v>156</v>
      </c>
      <c r="BF4" s="34" t="s">
        <v>156</v>
      </c>
      <c r="BG4" s="34" t="s">
        <v>156</v>
      </c>
      <c r="BH4" s="34" t="s">
        <v>156</v>
      </c>
      <c r="BI4" s="34" t="s">
        <v>156</v>
      </c>
      <c r="BJ4" s="34" t="s">
        <v>156</v>
      </c>
      <c r="BK4" s="34" t="s">
        <v>156</v>
      </c>
      <c r="BL4" s="34" t="s">
        <v>156</v>
      </c>
      <c r="BM4" s="34" t="s">
        <v>156</v>
      </c>
      <c r="BN4" s="34" t="s">
        <v>156</v>
      </c>
      <c r="BO4" s="34" t="s">
        <v>156</v>
      </c>
      <c r="BP4" s="34" t="s">
        <v>156</v>
      </c>
      <c r="BQ4" s="34" t="s">
        <v>156</v>
      </c>
      <c r="BR4" s="35"/>
      <c r="BS4" s="20" t="s">
        <v>157</v>
      </c>
    </row>
    <row r="5" ht="16.5" spans="1:71">
      <c r="A5" s="20" t="s">
        <v>50</v>
      </c>
      <c r="B5" s="21"/>
      <c r="C5" s="21"/>
      <c r="D5" s="22" t="s">
        <v>160</v>
      </c>
      <c r="E5" s="23">
        <v>48.3</v>
      </c>
      <c r="F5" s="24">
        <v>69.99</v>
      </c>
      <c r="G5" s="25">
        <f t="shared" si="0"/>
        <v>59.4915</v>
      </c>
      <c r="H5" s="25">
        <f t="shared" si="1"/>
        <v>49.57625</v>
      </c>
      <c r="I5" s="25">
        <f t="shared" si="2"/>
        <v>2.64289203539823</v>
      </c>
      <c r="J5" s="26">
        <f t="shared" si="3"/>
        <v>0.0547182616024478</v>
      </c>
      <c r="K5" s="27">
        <f t="shared" si="4"/>
        <v>58.325</v>
      </c>
      <c r="L5" s="28">
        <f t="shared" si="5"/>
        <v>0.171881697385341</v>
      </c>
      <c r="M5" s="25">
        <f t="shared" si="6"/>
        <v>10.025</v>
      </c>
      <c r="N5" s="27">
        <f t="shared" si="7"/>
        <v>142.566371681416</v>
      </c>
      <c r="O5" s="27">
        <f t="shared" si="8"/>
        <v>2.2375</v>
      </c>
      <c r="P5" s="20">
        <v>4</v>
      </c>
      <c r="Q5" s="29">
        <v>9</v>
      </c>
      <c r="R5" s="30">
        <f t="shared" si="9"/>
        <v>0.165631469979296</v>
      </c>
      <c r="S5" s="26">
        <f>Y5/H5</f>
        <v>0.16136759032803</v>
      </c>
      <c r="T5" s="30">
        <f t="shared" si="10"/>
        <v>0.217360248447205</v>
      </c>
      <c r="U5" s="30">
        <v>0.01</v>
      </c>
      <c r="V5" s="30">
        <f t="shared" si="11"/>
        <v>0.327964968211217</v>
      </c>
      <c r="W5" s="30">
        <f t="shared" si="12"/>
        <v>0.0463250517598344</v>
      </c>
      <c r="X5" s="31">
        <v>0.178</v>
      </c>
      <c r="Y5" s="32">
        <v>8</v>
      </c>
      <c r="Z5" s="32">
        <f>F5*0.15</f>
        <v>10.4985</v>
      </c>
      <c r="AA5" s="32">
        <f t="shared" si="13"/>
        <v>0.483</v>
      </c>
      <c r="AB5" s="27">
        <f t="shared" si="14"/>
        <v>8.5974</v>
      </c>
      <c r="AC5" s="27">
        <v>138.5</v>
      </c>
      <c r="AD5" s="33">
        <f t="shared" si="15"/>
        <v>122.566371681416</v>
      </c>
      <c r="AE5" s="29">
        <f t="shared" si="16"/>
        <v>2.22222222222222</v>
      </c>
      <c r="AF5" s="30">
        <f t="shared" si="17"/>
        <v>0.281956226550301</v>
      </c>
      <c r="AG5" s="30">
        <f t="shared" si="18"/>
        <v>0.0460087416609156</v>
      </c>
      <c r="AH5" s="29">
        <v>20</v>
      </c>
      <c r="AI5" s="26">
        <f t="shared" si="19"/>
        <v>0.389374091769207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4" t="s">
        <v>156</v>
      </c>
      <c r="AU5" s="34" t="s">
        <v>156</v>
      </c>
      <c r="AV5" s="34" t="s">
        <v>156</v>
      </c>
      <c r="AW5" s="34" t="s">
        <v>156</v>
      </c>
      <c r="AX5" s="34" t="s">
        <v>156</v>
      </c>
      <c r="AY5" s="34" t="s">
        <v>156</v>
      </c>
      <c r="AZ5" s="34" t="s">
        <v>156</v>
      </c>
      <c r="BA5" s="34" t="s">
        <v>156</v>
      </c>
      <c r="BB5" s="34" t="s">
        <v>156</v>
      </c>
      <c r="BC5" s="34" t="s">
        <v>156</v>
      </c>
      <c r="BD5" s="34" t="s">
        <v>156</v>
      </c>
      <c r="BE5" s="34" t="s">
        <v>156</v>
      </c>
      <c r="BF5" s="34" t="s">
        <v>156</v>
      </c>
      <c r="BG5" s="34" t="s">
        <v>156</v>
      </c>
      <c r="BH5" s="34" t="s">
        <v>156</v>
      </c>
      <c r="BI5" s="34" t="s">
        <v>156</v>
      </c>
      <c r="BJ5" s="34" t="s">
        <v>156</v>
      </c>
      <c r="BK5" s="34" t="s">
        <v>156</v>
      </c>
      <c r="BL5" s="34" t="s">
        <v>156</v>
      </c>
      <c r="BM5" s="34" t="s">
        <v>156</v>
      </c>
      <c r="BN5" s="34" t="s">
        <v>156</v>
      </c>
      <c r="BO5" s="34" t="s">
        <v>156</v>
      </c>
      <c r="BP5" s="34" t="s">
        <v>156</v>
      </c>
      <c r="BQ5" s="34" t="s">
        <v>156</v>
      </c>
      <c r="BR5" s="35"/>
      <c r="BS5" s="20" t="s">
        <v>157</v>
      </c>
    </row>
    <row r="6" ht="16.5" spans="1:71">
      <c r="A6" s="21" t="s">
        <v>37</v>
      </c>
      <c r="B6" s="21"/>
      <c r="C6" s="21"/>
      <c r="D6" s="37" t="s">
        <v>155</v>
      </c>
      <c r="E6" s="23">
        <v>55.85</v>
      </c>
      <c r="F6" s="38">
        <v>79.99</v>
      </c>
      <c r="G6" s="25">
        <f t="shared" si="0"/>
        <v>79.99</v>
      </c>
      <c r="H6" s="25">
        <f t="shared" si="1"/>
        <v>66.6583333333333</v>
      </c>
      <c r="I6" s="25">
        <f t="shared" si="2"/>
        <v>17.033403539823</v>
      </c>
      <c r="J6" s="26">
        <f t="shared" si="3"/>
        <v>0.304984844043384</v>
      </c>
      <c r="K6" s="27">
        <f t="shared" si="4"/>
        <v>66.6583333333333</v>
      </c>
      <c r="L6" s="28">
        <f t="shared" si="5"/>
        <v>0.16214526815852</v>
      </c>
      <c r="M6" s="25">
        <f t="shared" si="6"/>
        <v>10.8083333333333</v>
      </c>
      <c r="N6" s="27">
        <f t="shared" si="7"/>
        <v>142.566371681416</v>
      </c>
      <c r="O6" s="27">
        <f t="shared" si="8"/>
        <v>1.9375</v>
      </c>
      <c r="P6" s="21">
        <v>4</v>
      </c>
      <c r="Q6" s="29">
        <v>8</v>
      </c>
      <c r="R6" s="30">
        <f t="shared" si="9"/>
        <v>0.143240823634736</v>
      </c>
      <c r="S6" s="26">
        <f t="shared" ref="S6:S25" si="20">Y6/F6</f>
        <v>0.100012501562695</v>
      </c>
      <c r="T6" s="30">
        <f t="shared" si="10"/>
        <v>0</v>
      </c>
      <c r="U6" s="30">
        <v>0.01</v>
      </c>
      <c r="V6" s="30">
        <f t="shared" si="11"/>
        <v>0.319083195347842</v>
      </c>
      <c r="W6" s="30">
        <f t="shared" si="12"/>
        <v>0.0346911369740376</v>
      </c>
      <c r="X6" s="31">
        <v>0.188</v>
      </c>
      <c r="Y6" s="32">
        <v>8</v>
      </c>
      <c r="Z6" s="32">
        <v>0</v>
      </c>
      <c r="AA6" s="32">
        <f t="shared" si="13"/>
        <v>0.5585</v>
      </c>
      <c r="AB6" s="27">
        <f t="shared" si="14"/>
        <v>10.4998</v>
      </c>
      <c r="AC6" s="27">
        <v>138.5</v>
      </c>
      <c r="AD6" s="33">
        <f t="shared" si="15"/>
        <v>122.566371681416</v>
      </c>
      <c r="AE6" s="29">
        <f t="shared" si="16"/>
        <v>2.5</v>
      </c>
      <c r="AF6" s="30">
        <f t="shared" si="17"/>
        <v>0.274320437961987</v>
      </c>
      <c r="AG6" s="30">
        <f t="shared" si="18"/>
        <v>0.044762757385855</v>
      </c>
      <c r="AH6" s="29">
        <v>20</v>
      </c>
      <c r="AI6" s="26">
        <f t="shared" si="19"/>
        <v>0.319661957744718</v>
      </c>
      <c r="AJ6" s="30"/>
      <c r="AK6" s="30"/>
      <c r="AL6" s="30"/>
      <c r="AM6" s="30"/>
      <c r="AN6" s="34"/>
      <c r="AO6" s="34"/>
      <c r="AP6" s="34"/>
      <c r="AQ6" s="34"/>
      <c r="AR6" s="34"/>
      <c r="AS6" s="34"/>
      <c r="AT6" s="34" t="s">
        <v>156</v>
      </c>
      <c r="AU6" s="34" t="s">
        <v>156</v>
      </c>
      <c r="AV6" s="34" t="s">
        <v>156</v>
      </c>
      <c r="AW6" s="34" t="s">
        <v>156</v>
      </c>
      <c r="AX6" s="34" t="s">
        <v>156</v>
      </c>
      <c r="AY6" s="34" t="s">
        <v>156</v>
      </c>
      <c r="AZ6" s="34" t="s">
        <v>156</v>
      </c>
      <c r="BA6" s="34" t="s">
        <v>156</v>
      </c>
      <c r="BB6" s="34" t="s">
        <v>156</v>
      </c>
      <c r="BC6" s="34" t="s">
        <v>156</v>
      </c>
      <c r="BD6" s="34" t="s">
        <v>156</v>
      </c>
      <c r="BE6" s="34" t="s">
        <v>156</v>
      </c>
      <c r="BF6" s="34" t="s">
        <v>156</v>
      </c>
      <c r="BG6" s="34" t="s">
        <v>156</v>
      </c>
      <c r="BH6" s="34" t="s">
        <v>156</v>
      </c>
      <c r="BI6" s="34" t="s">
        <v>156</v>
      </c>
      <c r="BJ6" s="34" t="s">
        <v>156</v>
      </c>
      <c r="BK6" s="34" t="s">
        <v>156</v>
      </c>
      <c r="BL6" s="34" t="s">
        <v>156</v>
      </c>
      <c r="BM6" s="34" t="s">
        <v>156</v>
      </c>
      <c r="BN6" s="34" t="s">
        <v>156</v>
      </c>
      <c r="BO6" s="34" t="s">
        <v>156</v>
      </c>
      <c r="BP6" s="34" t="s">
        <v>156</v>
      </c>
      <c r="BQ6" s="34" t="s">
        <v>156</v>
      </c>
      <c r="BR6" s="35"/>
      <c r="BS6" s="20" t="s">
        <v>157</v>
      </c>
    </row>
    <row r="7" ht="16.5" spans="1:71">
      <c r="A7" s="21" t="s">
        <v>37</v>
      </c>
      <c r="B7" s="21"/>
      <c r="C7" s="21"/>
      <c r="D7" s="39" t="s">
        <v>158</v>
      </c>
      <c r="E7" s="23">
        <v>55.85</v>
      </c>
      <c r="F7" s="38">
        <v>79.99</v>
      </c>
      <c r="G7" s="25">
        <f t="shared" si="0"/>
        <v>75.9905</v>
      </c>
      <c r="H7" s="25">
        <f t="shared" si="1"/>
        <v>63.3254166666667</v>
      </c>
      <c r="I7" s="36">
        <f t="shared" si="2"/>
        <v>13.033903539823</v>
      </c>
      <c r="J7" s="26">
        <f t="shared" si="3"/>
        <v>0.233373384777493</v>
      </c>
      <c r="K7" s="27">
        <f t="shared" si="4"/>
        <v>66.6583333333333</v>
      </c>
      <c r="L7" s="28">
        <f t="shared" si="5"/>
        <v>0.16214526815852</v>
      </c>
      <c r="M7" s="25">
        <f t="shared" si="6"/>
        <v>10.8083333333333</v>
      </c>
      <c r="N7" s="27">
        <f t="shared" si="7"/>
        <v>142.566371681416</v>
      </c>
      <c r="O7" s="27">
        <f t="shared" si="8"/>
        <v>1.9375</v>
      </c>
      <c r="P7" s="21">
        <v>4</v>
      </c>
      <c r="Q7" s="29">
        <v>8</v>
      </c>
      <c r="R7" s="30">
        <f t="shared" si="9"/>
        <v>0.143240823634736</v>
      </c>
      <c r="S7" s="26">
        <f t="shared" si="20"/>
        <v>0.100012501562695</v>
      </c>
      <c r="T7" s="30">
        <f t="shared" si="10"/>
        <v>0.0716114592658908</v>
      </c>
      <c r="U7" s="30">
        <v>0.01</v>
      </c>
      <c r="V7" s="30">
        <f t="shared" si="11"/>
        <v>0.319083195347842</v>
      </c>
      <c r="W7" s="30">
        <f t="shared" si="12"/>
        <v>0.0346911369740376</v>
      </c>
      <c r="X7" s="31">
        <v>0.188</v>
      </c>
      <c r="Y7" s="32">
        <v>8</v>
      </c>
      <c r="Z7" s="32">
        <f>F7*0.05</f>
        <v>3.9995</v>
      </c>
      <c r="AA7" s="32">
        <f t="shared" si="13"/>
        <v>0.5585</v>
      </c>
      <c r="AB7" s="27">
        <f t="shared" si="14"/>
        <v>10.4998</v>
      </c>
      <c r="AC7" s="27">
        <v>138.5</v>
      </c>
      <c r="AD7" s="33">
        <f t="shared" si="15"/>
        <v>122.566371681416</v>
      </c>
      <c r="AE7" s="29">
        <f t="shared" si="16"/>
        <v>2.5</v>
      </c>
      <c r="AF7" s="30">
        <f t="shared" si="17"/>
        <v>0.274320437961987</v>
      </c>
      <c r="AG7" s="30">
        <f t="shared" si="18"/>
        <v>0.044762757385855</v>
      </c>
      <c r="AH7" s="29">
        <v>20</v>
      </c>
      <c r="AI7" s="26">
        <f t="shared" si="19"/>
        <v>0.340065912494381</v>
      </c>
      <c r="AJ7" s="30"/>
      <c r="AK7" s="30"/>
      <c r="AL7" s="30"/>
      <c r="AM7" s="30"/>
      <c r="AN7" s="34"/>
      <c r="AO7" s="34"/>
      <c r="AP7" s="34"/>
      <c r="AQ7" s="34"/>
      <c r="AR7" s="34"/>
      <c r="AS7" s="34"/>
      <c r="AT7" s="34" t="s">
        <v>156</v>
      </c>
      <c r="AU7" s="34" t="s">
        <v>156</v>
      </c>
      <c r="AV7" s="34" t="s">
        <v>156</v>
      </c>
      <c r="AW7" s="34" t="s">
        <v>156</v>
      </c>
      <c r="AX7" s="34" t="s">
        <v>156</v>
      </c>
      <c r="AY7" s="34" t="s">
        <v>156</v>
      </c>
      <c r="AZ7" s="34" t="s">
        <v>156</v>
      </c>
      <c r="BA7" s="34" t="s">
        <v>156</v>
      </c>
      <c r="BB7" s="34" t="s">
        <v>156</v>
      </c>
      <c r="BC7" s="34" t="s">
        <v>156</v>
      </c>
      <c r="BD7" s="34" t="s">
        <v>156</v>
      </c>
      <c r="BE7" s="34" t="s">
        <v>156</v>
      </c>
      <c r="BF7" s="34" t="s">
        <v>156</v>
      </c>
      <c r="BG7" s="34" t="s">
        <v>156</v>
      </c>
      <c r="BH7" s="34" t="s">
        <v>156</v>
      </c>
      <c r="BI7" s="34" t="s">
        <v>156</v>
      </c>
      <c r="BJ7" s="34" t="s">
        <v>156</v>
      </c>
      <c r="BK7" s="34" t="s">
        <v>156</v>
      </c>
      <c r="BL7" s="34" t="s">
        <v>156</v>
      </c>
      <c r="BM7" s="34" t="s">
        <v>156</v>
      </c>
      <c r="BN7" s="34" t="s">
        <v>156</v>
      </c>
      <c r="BO7" s="34" t="s">
        <v>156</v>
      </c>
      <c r="BP7" s="34" t="s">
        <v>156</v>
      </c>
      <c r="BQ7" s="34" t="s">
        <v>156</v>
      </c>
      <c r="BR7" s="35"/>
      <c r="BS7" s="20" t="s">
        <v>157</v>
      </c>
    </row>
    <row r="8" ht="16.5" spans="1:71">
      <c r="A8" s="21" t="s">
        <v>37</v>
      </c>
      <c r="B8" s="21"/>
      <c r="C8" s="21"/>
      <c r="D8" s="39" t="s">
        <v>159</v>
      </c>
      <c r="E8" s="23">
        <v>55.85</v>
      </c>
      <c r="F8" s="38">
        <v>79.99</v>
      </c>
      <c r="G8" s="25">
        <f t="shared" si="0"/>
        <v>71.991</v>
      </c>
      <c r="H8" s="25">
        <f t="shared" si="1"/>
        <v>59.9925</v>
      </c>
      <c r="I8" s="25">
        <f t="shared" si="2"/>
        <v>9.03440353982301</v>
      </c>
      <c r="J8" s="26">
        <f t="shared" si="3"/>
        <v>0.161761925511603</v>
      </c>
      <c r="K8" s="27">
        <f t="shared" si="4"/>
        <v>66.6583333333333</v>
      </c>
      <c r="L8" s="28">
        <f t="shared" si="5"/>
        <v>0.16214526815852</v>
      </c>
      <c r="M8" s="25">
        <f t="shared" si="6"/>
        <v>10.8083333333333</v>
      </c>
      <c r="N8" s="27">
        <f t="shared" si="7"/>
        <v>142.566371681416</v>
      </c>
      <c r="O8" s="27">
        <f t="shared" si="8"/>
        <v>1.9375</v>
      </c>
      <c r="P8" s="21">
        <v>4</v>
      </c>
      <c r="Q8" s="29">
        <v>8</v>
      </c>
      <c r="R8" s="30">
        <f t="shared" si="9"/>
        <v>0.143240823634736</v>
      </c>
      <c r="S8" s="26">
        <f t="shared" si="20"/>
        <v>0.100012501562695</v>
      </c>
      <c r="T8" s="30">
        <f t="shared" si="10"/>
        <v>0.143222918531782</v>
      </c>
      <c r="U8" s="30">
        <v>0.01</v>
      </c>
      <c r="V8" s="30">
        <f t="shared" si="11"/>
        <v>0.319083195347842</v>
      </c>
      <c r="W8" s="30">
        <f t="shared" si="12"/>
        <v>0.0346911369740376</v>
      </c>
      <c r="X8" s="31">
        <v>0.188</v>
      </c>
      <c r="Y8" s="32">
        <v>8</v>
      </c>
      <c r="Z8" s="32">
        <f>F8*0.1</f>
        <v>7.999</v>
      </c>
      <c r="AA8" s="32">
        <f t="shared" si="13"/>
        <v>0.5585</v>
      </c>
      <c r="AB8" s="27">
        <f t="shared" si="14"/>
        <v>10.4998</v>
      </c>
      <c r="AC8" s="27">
        <v>138.5</v>
      </c>
      <c r="AD8" s="33">
        <f t="shared" si="15"/>
        <v>122.566371681416</v>
      </c>
      <c r="AE8" s="29">
        <f t="shared" si="16"/>
        <v>2.5</v>
      </c>
      <c r="AF8" s="30">
        <f t="shared" si="17"/>
        <v>0.274320437961987</v>
      </c>
      <c r="AG8" s="30">
        <f t="shared" si="18"/>
        <v>0.044762757385855</v>
      </c>
      <c r="AH8" s="29">
        <v>20</v>
      </c>
      <c r="AI8" s="26">
        <f t="shared" si="19"/>
        <v>0.363252224709907</v>
      </c>
      <c r="AJ8" s="30"/>
      <c r="AK8" s="30"/>
      <c r="AL8" s="30"/>
      <c r="AM8" s="30"/>
      <c r="AN8" s="34"/>
      <c r="AO8" s="34"/>
      <c r="AP8" s="34"/>
      <c r="AQ8" s="34"/>
      <c r="AR8" s="34"/>
      <c r="AS8" s="34"/>
      <c r="AT8" s="34" t="s">
        <v>156</v>
      </c>
      <c r="AU8" s="34" t="s">
        <v>156</v>
      </c>
      <c r="AV8" s="34" t="s">
        <v>156</v>
      </c>
      <c r="AW8" s="34" t="s">
        <v>156</v>
      </c>
      <c r="AX8" s="34" t="s">
        <v>156</v>
      </c>
      <c r="AY8" s="34" t="s">
        <v>156</v>
      </c>
      <c r="AZ8" s="34" t="s">
        <v>156</v>
      </c>
      <c r="BA8" s="34" t="s">
        <v>156</v>
      </c>
      <c r="BB8" s="34" t="s">
        <v>156</v>
      </c>
      <c r="BC8" s="34" t="s">
        <v>156</v>
      </c>
      <c r="BD8" s="34" t="s">
        <v>156</v>
      </c>
      <c r="BE8" s="34" t="s">
        <v>156</v>
      </c>
      <c r="BF8" s="34" t="s">
        <v>156</v>
      </c>
      <c r="BG8" s="34" t="s">
        <v>156</v>
      </c>
      <c r="BH8" s="34" t="s">
        <v>156</v>
      </c>
      <c r="BI8" s="34" t="s">
        <v>156</v>
      </c>
      <c r="BJ8" s="34" t="s">
        <v>156</v>
      </c>
      <c r="BK8" s="34" t="s">
        <v>156</v>
      </c>
      <c r="BL8" s="34" t="s">
        <v>156</v>
      </c>
      <c r="BM8" s="34" t="s">
        <v>156</v>
      </c>
      <c r="BN8" s="34" t="s">
        <v>156</v>
      </c>
      <c r="BO8" s="34" t="s">
        <v>156</v>
      </c>
      <c r="BP8" s="34" t="s">
        <v>156</v>
      </c>
      <c r="BQ8" s="34" t="s">
        <v>156</v>
      </c>
      <c r="BR8" s="40"/>
      <c r="BS8" s="20" t="s">
        <v>157</v>
      </c>
    </row>
    <row r="9" ht="16.5" spans="1:71">
      <c r="A9" s="21" t="s">
        <v>37</v>
      </c>
      <c r="B9" s="21"/>
      <c r="C9" s="21"/>
      <c r="D9" s="37" t="s">
        <v>160</v>
      </c>
      <c r="E9" s="23">
        <v>55.85</v>
      </c>
      <c r="F9" s="24">
        <v>79.99</v>
      </c>
      <c r="G9" s="25">
        <f t="shared" si="0"/>
        <v>67.9915</v>
      </c>
      <c r="H9" s="25">
        <f t="shared" si="1"/>
        <v>56.6595833333333</v>
      </c>
      <c r="I9" s="25">
        <f t="shared" si="2"/>
        <v>5.03490353982301</v>
      </c>
      <c r="J9" s="26">
        <f t="shared" si="3"/>
        <v>0.0901504662457119</v>
      </c>
      <c r="K9" s="27">
        <f t="shared" si="4"/>
        <v>66.6583333333333</v>
      </c>
      <c r="L9" s="28">
        <f t="shared" si="5"/>
        <v>0.16214526815852</v>
      </c>
      <c r="M9" s="25">
        <f t="shared" si="6"/>
        <v>10.8083333333333</v>
      </c>
      <c r="N9" s="27">
        <f t="shared" si="7"/>
        <v>142.566371681416</v>
      </c>
      <c r="O9" s="27">
        <f t="shared" si="8"/>
        <v>1.9375</v>
      </c>
      <c r="P9" s="21">
        <v>4</v>
      </c>
      <c r="Q9" s="29">
        <v>8</v>
      </c>
      <c r="R9" s="30">
        <f t="shared" si="9"/>
        <v>0.143240823634736</v>
      </c>
      <c r="S9" s="26">
        <f t="shared" si="20"/>
        <v>0.100012501562695</v>
      </c>
      <c r="T9" s="30">
        <f t="shared" si="10"/>
        <v>0.214834377797672</v>
      </c>
      <c r="U9" s="30">
        <v>0.01</v>
      </c>
      <c r="V9" s="30">
        <f t="shared" si="11"/>
        <v>0.319083195347842</v>
      </c>
      <c r="W9" s="30">
        <f t="shared" si="12"/>
        <v>0.0346911369740376</v>
      </c>
      <c r="X9" s="31">
        <v>0.188</v>
      </c>
      <c r="Y9" s="32">
        <v>8</v>
      </c>
      <c r="Z9" s="32">
        <f>F9*0.15</f>
        <v>11.9985</v>
      </c>
      <c r="AA9" s="32">
        <f t="shared" si="13"/>
        <v>0.5585</v>
      </c>
      <c r="AB9" s="27">
        <f t="shared" si="14"/>
        <v>10.4998</v>
      </c>
      <c r="AC9" s="27">
        <v>138.5</v>
      </c>
      <c r="AD9" s="33">
        <f t="shared" si="15"/>
        <v>122.566371681416</v>
      </c>
      <c r="AE9" s="29">
        <f t="shared" si="16"/>
        <v>2.5</v>
      </c>
      <c r="AF9" s="30">
        <f t="shared" si="17"/>
        <v>0.274320437961987</v>
      </c>
      <c r="AG9" s="30">
        <f t="shared" si="18"/>
        <v>0.044762757385855</v>
      </c>
      <c r="AH9" s="29">
        <v>20</v>
      </c>
      <c r="AI9" s="26">
        <f t="shared" si="19"/>
        <v>0.389831655786242</v>
      </c>
      <c r="AJ9" s="30"/>
      <c r="AK9" s="30"/>
      <c r="AL9" s="30"/>
      <c r="AM9" s="30"/>
      <c r="AN9" s="34"/>
      <c r="AO9" s="34"/>
      <c r="AP9" s="34"/>
      <c r="AQ9" s="34"/>
      <c r="AR9" s="34"/>
      <c r="AS9" s="34"/>
      <c r="AT9" s="34" t="s">
        <v>156</v>
      </c>
      <c r="AU9" s="34" t="s">
        <v>156</v>
      </c>
      <c r="AV9" s="34" t="s">
        <v>156</v>
      </c>
      <c r="AW9" s="34" t="s">
        <v>156</v>
      </c>
      <c r="AX9" s="34" t="s">
        <v>156</v>
      </c>
      <c r="AY9" s="34" t="s">
        <v>156</v>
      </c>
      <c r="AZ9" s="34" t="s">
        <v>156</v>
      </c>
      <c r="BA9" s="34" t="s">
        <v>156</v>
      </c>
      <c r="BB9" s="34" t="s">
        <v>156</v>
      </c>
      <c r="BC9" s="34" t="s">
        <v>156</v>
      </c>
      <c r="BD9" s="34" t="s">
        <v>156</v>
      </c>
      <c r="BE9" s="34" t="s">
        <v>156</v>
      </c>
      <c r="BF9" s="34" t="s">
        <v>156</v>
      </c>
      <c r="BG9" s="34" t="s">
        <v>156</v>
      </c>
      <c r="BH9" s="34" t="s">
        <v>156</v>
      </c>
      <c r="BI9" s="34" t="s">
        <v>156</v>
      </c>
      <c r="BJ9" s="34" t="s">
        <v>156</v>
      </c>
      <c r="BK9" s="34" t="s">
        <v>156</v>
      </c>
      <c r="BL9" s="34" t="s">
        <v>156</v>
      </c>
      <c r="BM9" s="34" t="s">
        <v>156</v>
      </c>
      <c r="BN9" s="34" t="s">
        <v>156</v>
      </c>
      <c r="BO9" s="34" t="s">
        <v>156</v>
      </c>
      <c r="BP9" s="34" t="s">
        <v>156</v>
      </c>
      <c r="BQ9" s="34" t="s">
        <v>156</v>
      </c>
      <c r="BR9" s="35"/>
      <c r="BS9" s="20" t="s">
        <v>157</v>
      </c>
    </row>
    <row r="10" ht="16.5" spans="1:71">
      <c r="A10" s="21" t="s">
        <v>43</v>
      </c>
      <c r="B10" s="21"/>
      <c r="C10" s="21"/>
      <c r="D10" s="41" t="s">
        <v>155</v>
      </c>
      <c r="E10" s="23">
        <v>55.35</v>
      </c>
      <c r="F10" s="24">
        <v>79.99</v>
      </c>
      <c r="G10" s="25">
        <f t="shared" si="0"/>
        <v>79.99</v>
      </c>
      <c r="H10" s="25">
        <f t="shared" si="1"/>
        <v>66.6583333333333</v>
      </c>
      <c r="I10" s="25">
        <f t="shared" si="2"/>
        <v>15.007403539823</v>
      </c>
      <c r="J10" s="26">
        <f t="shared" si="3"/>
        <v>0.271136468650822</v>
      </c>
      <c r="K10" s="27">
        <f t="shared" si="4"/>
        <v>66.6583333333333</v>
      </c>
      <c r="L10" s="28">
        <f t="shared" si="5"/>
        <v>0.169646205775722</v>
      </c>
      <c r="M10" s="25">
        <f t="shared" si="6"/>
        <v>11.3083333333333</v>
      </c>
      <c r="N10" s="27">
        <f t="shared" si="7"/>
        <v>142.566371681416</v>
      </c>
      <c r="O10" s="27">
        <f t="shared" si="8"/>
        <v>3.5625</v>
      </c>
      <c r="P10" s="21">
        <v>4</v>
      </c>
      <c r="Q10" s="29">
        <v>8</v>
      </c>
      <c r="R10" s="30">
        <f t="shared" si="9"/>
        <v>0.14453477868112</v>
      </c>
      <c r="S10" s="26">
        <f t="shared" si="20"/>
        <v>0.100012501562695</v>
      </c>
      <c r="T10" s="30">
        <f t="shared" si="10"/>
        <v>0</v>
      </c>
      <c r="U10" s="30">
        <v>0.01</v>
      </c>
      <c r="V10" s="30">
        <f t="shared" si="11"/>
        <v>0.321965609036621</v>
      </c>
      <c r="W10" s="30">
        <f t="shared" si="12"/>
        <v>0.0643631436314363</v>
      </c>
      <c r="X10" s="31">
        <v>0.188</v>
      </c>
      <c r="Y10" s="32">
        <v>8</v>
      </c>
      <c r="Z10" s="32">
        <v>0</v>
      </c>
      <c r="AA10" s="32">
        <f t="shared" si="13"/>
        <v>0.5535</v>
      </c>
      <c r="AB10" s="27">
        <f t="shared" si="14"/>
        <v>10.4058</v>
      </c>
      <c r="AC10" s="27">
        <v>138.5</v>
      </c>
      <c r="AD10" s="33">
        <f t="shared" si="15"/>
        <v>122.566371681416</v>
      </c>
      <c r="AE10" s="29">
        <f t="shared" si="16"/>
        <v>2.5</v>
      </c>
      <c r="AF10" s="30">
        <f t="shared" si="17"/>
        <v>0.276798490698771</v>
      </c>
      <c r="AG10" s="30">
        <f t="shared" si="18"/>
        <v>0.04516711833785</v>
      </c>
      <c r="AH10" s="29">
        <v>20</v>
      </c>
      <c r="AI10" s="26">
        <f t="shared" si="19"/>
        <v>0.325752719089886</v>
      </c>
      <c r="AJ10" s="30"/>
      <c r="AK10" s="30"/>
      <c r="AL10" s="30"/>
      <c r="AM10" s="30"/>
      <c r="AN10" s="34"/>
      <c r="AO10" s="34"/>
      <c r="AP10" s="34"/>
      <c r="AQ10" s="34"/>
      <c r="AR10" s="34"/>
      <c r="AS10" s="34"/>
      <c r="AT10" s="34" t="s">
        <v>156</v>
      </c>
      <c r="AU10" s="34" t="s">
        <v>156</v>
      </c>
      <c r="AV10" s="34" t="s">
        <v>156</v>
      </c>
      <c r="AW10" s="34" t="s">
        <v>156</v>
      </c>
      <c r="AX10" s="34" t="s">
        <v>156</v>
      </c>
      <c r="AY10" s="34" t="s">
        <v>156</v>
      </c>
      <c r="AZ10" s="34" t="s">
        <v>156</v>
      </c>
      <c r="BA10" s="34" t="s">
        <v>156</v>
      </c>
      <c r="BB10" s="34" t="s">
        <v>156</v>
      </c>
      <c r="BC10" s="34" t="s">
        <v>156</v>
      </c>
      <c r="BD10" s="34" t="s">
        <v>156</v>
      </c>
      <c r="BE10" s="34" t="s">
        <v>156</v>
      </c>
      <c r="BF10" s="34" t="s">
        <v>156</v>
      </c>
      <c r="BG10" s="34" t="s">
        <v>156</v>
      </c>
      <c r="BH10" s="34" t="s">
        <v>156</v>
      </c>
      <c r="BI10" s="34" t="s">
        <v>156</v>
      </c>
      <c r="BJ10" s="34" t="s">
        <v>156</v>
      </c>
      <c r="BK10" s="34" t="s">
        <v>156</v>
      </c>
      <c r="BL10" s="34" t="s">
        <v>156</v>
      </c>
      <c r="BM10" s="34" t="s">
        <v>156</v>
      </c>
      <c r="BN10" s="34" t="s">
        <v>156</v>
      </c>
      <c r="BO10" s="34" t="s">
        <v>156</v>
      </c>
      <c r="BP10" s="34" t="s">
        <v>156</v>
      </c>
      <c r="BQ10" s="34" t="s">
        <v>156</v>
      </c>
      <c r="BR10" s="35"/>
      <c r="BS10" s="20" t="s">
        <v>157</v>
      </c>
    </row>
    <row r="11" ht="16.5" spans="1:71">
      <c r="A11" s="21" t="s">
        <v>43</v>
      </c>
      <c r="B11" s="21"/>
      <c r="C11" s="21"/>
      <c r="D11" s="22" t="s">
        <v>158</v>
      </c>
      <c r="E11" s="23">
        <v>55.35</v>
      </c>
      <c r="F11" s="24">
        <v>79.99</v>
      </c>
      <c r="G11" s="25">
        <f t="shared" si="0"/>
        <v>75.9905</v>
      </c>
      <c r="H11" s="25">
        <f t="shared" si="1"/>
        <v>63.3254166666667</v>
      </c>
      <c r="I11" s="36">
        <f t="shared" si="2"/>
        <v>11.007903539823</v>
      </c>
      <c r="J11" s="26">
        <f t="shared" si="3"/>
        <v>0.19887811273393</v>
      </c>
      <c r="K11" s="27">
        <f t="shared" si="4"/>
        <v>66.6583333333333</v>
      </c>
      <c r="L11" s="28">
        <f t="shared" si="5"/>
        <v>0.169646205775722</v>
      </c>
      <c r="M11" s="25">
        <f t="shared" si="6"/>
        <v>11.3083333333333</v>
      </c>
      <c r="N11" s="27">
        <f t="shared" si="7"/>
        <v>142.566371681416</v>
      </c>
      <c r="O11" s="27">
        <f t="shared" si="8"/>
        <v>3.5625</v>
      </c>
      <c r="P11" s="21">
        <v>4</v>
      </c>
      <c r="Q11" s="29">
        <v>8</v>
      </c>
      <c r="R11" s="30">
        <f t="shared" si="9"/>
        <v>0.14453477868112</v>
      </c>
      <c r="S11" s="26">
        <f t="shared" si="20"/>
        <v>0.100012501562695</v>
      </c>
      <c r="T11" s="30">
        <f t="shared" si="10"/>
        <v>0.0722583559168925</v>
      </c>
      <c r="U11" s="30">
        <v>0.01</v>
      </c>
      <c r="V11" s="30">
        <f t="shared" si="11"/>
        <v>0.321965609036621</v>
      </c>
      <c r="W11" s="30">
        <f t="shared" si="12"/>
        <v>0.0643631436314363</v>
      </c>
      <c r="X11" s="31">
        <v>0.188</v>
      </c>
      <c r="Y11" s="32">
        <v>8</v>
      </c>
      <c r="Z11" s="32">
        <f>F11*0.05</f>
        <v>3.9995</v>
      </c>
      <c r="AA11" s="32">
        <f t="shared" si="13"/>
        <v>0.5535</v>
      </c>
      <c r="AB11" s="27">
        <f t="shared" si="14"/>
        <v>10.4058</v>
      </c>
      <c r="AC11" s="27">
        <v>138.5</v>
      </c>
      <c r="AD11" s="33">
        <f t="shared" si="15"/>
        <v>122.566371681416</v>
      </c>
      <c r="AE11" s="29">
        <f t="shared" si="16"/>
        <v>2.5</v>
      </c>
      <c r="AF11" s="30">
        <f t="shared" si="17"/>
        <v>0.276798490698771</v>
      </c>
      <c r="AG11" s="30">
        <f t="shared" si="18"/>
        <v>0.04516711833785</v>
      </c>
      <c r="AH11" s="29">
        <v>20</v>
      </c>
      <c r="AI11" s="26">
        <f t="shared" si="19"/>
        <v>0.346545445840304</v>
      </c>
      <c r="AJ11" s="30"/>
      <c r="AK11" s="30"/>
      <c r="AL11" s="30"/>
      <c r="AM11" s="30"/>
      <c r="AN11" s="34"/>
      <c r="AO11" s="34"/>
      <c r="AP11" s="34"/>
      <c r="AQ11" s="34"/>
      <c r="AR11" s="34"/>
      <c r="AS11" s="34"/>
      <c r="AT11" s="34" t="s">
        <v>156</v>
      </c>
      <c r="AU11" s="34" t="s">
        <v>156</v>
      </c>
      <c r="AV11" s="34" t="s">
        <v>156</v>
      </c>
      <c r="AW11" s="34" t="s">
        <v>156</v>
      </c>
      <c r="AX11" s="34" t="s">
        <v>156</v>
      </c>
      <c r="AY11" s="34" t="s">
        <v>156</v>
      </c>
      <c r="AZ11" s="34" t="s">
        <v>156</v>
      </c>
      <c r="BA11" s="34" t="s">
        <v>156</v>
      </c>
      <c r="BB11" s="34" t="s">
        <v>156</v>
      </c>
      <c r="BC11" s="34" t="s">
        <v>156</v>
      </c>
      <c r="BD11" s="34" t="s">
        <v>156</v>
      </c>
      <c r="BE11" s="34" t="s">
        <v>156</v>
      </c>
      <c r="BF11" s="34" t="s">
        <v>156</v>
      </c>
      <c r="BG11" s="34" t="s">
        <v>156</v>
      </c>
      <c r="BH11" s="34" t="s">
        <v>156</v>
      </c>
      <c r="BI11" s="34" t="s">
        <v>156</v>
      </c>
      <c r="BJ11" s="34" t="s">
        <v>156</v>
      </c>
      <c r="BK11" s="34" t="s">
        <v>156</v>
      </c>
      <c r="BL11" s="34" t="s">
        <v>156</v>
      </c>
      <c r="BM11" s="34" t="s">
        <v>156</v>
      </c>
      <c r="BN11" s="34" t="s">
        <v>156</v>
      </c>
      <c r="BO11" s="34" t="s">
        <v>156</v>
      </c>
      <c r="BP11" s="34" t="s">
        <v>156</v>
      </c>
      <c r="BQ11" s="34" t="s">
        <v>156</v>
      </c>
      <c r="BR11" s="35"/>
      <c r="BS11" s="20" t="s">
        <v>157</v>
      </c>
    </row>
    <row r="12" ht="16.5" spans="1:71">
      <c r="A12" s="21" t="s">
        <v>43</v>
      </c>
      <c r="B12" s="21"/>
      <c r="C12" s="21"/>
      <c r="D12" s="22" t="s">
        <v>159</v>
      </c>
      <c r="E12" s="23">
        <v>55.35</v>
      </c>
      <c r="F12" s="24">
        <v>79.99</v>
      </c>
      <c r="G12" s="25">
        <f t="shared" si="0"/>
        <v>71.991</v>
      </c>
      <c r="H12" s="25">
        <f t="shared" si="1"/>
        <v>59.9925</v>
      </c>
      <c r="I12" s="25">
        <f t="shared" si="2"/>
        <v>7.00840353982301</v>
      </c>
      <c r="J12" s="26">
        <f t="shared" si="3"/>
        <v>0.126619756817037</v>
      </c>
      <c r="K12" s="27">
        <f t="shared" si="4"/>
        <v>66.6583333333333</v>
      </c>
      <c r="L12" s="28">
        <f t="shared" si="5"/>
        <v>0.169646205775722</v>
      </c>
      <c r="M12" s="25">
        <f t="shared" si="6"/>
        <v>11.3083333333333</v>
      </c>
      <c r="N12" s="27">
        <f t="shared" si="7"/>
        <v>142.566371681416</v>
      </c>
      <c r="O12" s="27">
        <f t="shared" si="8"/>
        <v>3.5625</v>
      </c>
      <c r="P12" s="21">
        <v>4</v>
      </c>
      <c r="Q12" s="29">
        <v>8</v>
      </c>
      <c r="R12" s="30">
        <f t="shared" si="9"/>
        <v>0.14453477868112</v>
      </c>
      <c r="S12" s="26">
        <f t="shared" si="20"/>
        <v>0.100012501562695</v>
      </c>
      <c r="T12" s="30">
        <f t="shared" si="10"/>
        <v>0.144516711833785</v>
      </c>
      <c r="U12" s="30">
        <v>0.01</v>
      </c>
      <c r="V12" s="30">
        <f t="shared" si="11"/>
        <v>0.321965609036621</v>
      </c>
      <c r="W12" s="30">
        <f t="shared" si="12"/>
        <v>0.0643631436314363</v>
      </c>
      <c r="X12" s="31">
        <v>0.188</v>
      </c>
      <c r="Y12" s="32">
        <v>8</v>
      </c>
      <c r="Z12" s="32">
        <f>F12*0.1</f>
        <v>7.999</v>
      </c>
      <c r="AA12" s="32">
        <f t="shared" si="13"/>
        <v>0.5535</v>
      </c>
      <c r="AB12" s="27">
        <f t="shared" si="14"/>
        <v>10.4058</v>
      </c>
      <c r="AC12" s="27">
        <v>138.5</v>
      </c>
      <c r="AD12" s="33">
        <f t="shared" si="15"/>
        <v>122.566371681416</v>
      </c>
      <c r="AE12" s="29">
        <f t="shared" si="16"/>
        <v>2.5</v>
      </c>
      <c r="AF12" s="30">
        <f t="shared" si="17"/>
        <v>0.276798490698771</v>
      </c>
      <c r="AG12" s="30">
        <f t="shared" si="18"/>
        <v>0.04516711833785</v>
      </c>
      <c r="AH12" s="29">
        <v>20</v>
      </c>
      <c r="AI12" s="26">
        <f t="shared" si="19"/>
        <v>0.370173544420325</v>
      </c>
      <c r="AJ12" s="30"/>
      <c r="AK12" s="30"/>
      <c r="AL12" s="30"/>
      <c r="AM12" s="30"/>
      <c r="AN12" s="34"/>
      <c r="AO12" s="34"/>
      <c r="AP12" s="34"/>
      <c r="AQ12" s="34"/>
      <c r="AR12" s="34"/>
      <c r="AS12" s="34"/>
      <c r="AT12" s="34" t="s">
        <v>156</v>
      </c>
      <c r="AU12" s="34" t="s">
        <v>156</v>
      </c>
      <c r="AV12" s="34" t="s">
        <v>156</v>
      </c>
      <c r="AW12" s="34" t="s">
        <v>156</v>
      </c>
      <c r="AX12" s="34" t="s">
        <v>156</v>
      </c>
      <c r="AY12" s="34" t="s">
        <v>156</v>
      </c>
      <c r="AZ12" s="34" t="s">
        <v>156</v>
      </c>
      <c r="BA12" s="34" t="s">
        <v>156</v>
      </c>
      <c r="BB12" s="34" t="s">
        <v>156</v>
      </c>
      <c r="BC12" s="34" t="s">
        <v>156</v>
      </c>
      <c r="BD12" s="34" t="s">
        <v>156</v>
      </c>
      <c r="BE12" s="34" t="s">
        <v>156</v>
      </c>
      <c r="BF12" s="34" t="s">
        <v>156</v>
      </c>
      <c r="BG12" s="34" t="s">
        <v>156</v>
      </c>
      <c r="BH12" s="34" t="s">
        <v>156</v>
      </c>
      <c r="BI12" s="34" t="s">
        <v>156</v>
      </c>
      <c r="BJ12" s="34" t="s">
        <v>156</v>
      </c>
      <c r="BK12" s="34" t="s">
        <v>156</v>
      </c>
      <c r="BL12" s="34" t="s">
        <v>156</v>
      </c>
      <c r="BM12" s="34" t="s">
        <v>156</v>
      </c>
      <c r="BN12" s="34" t="s">
        <v>156</v>
      </c>
      <c r="BO12" s="34" t="s">
        <v>156</v>
      </c>
      <c r="BP12" s="34" t="s">
        <v>156</v>
      </c>
      <c r="BQ12" s="34" t="s">
        <v>156</v>
      </c>
      <c r="BR12" s="35"/>
      <c r="BS12" s="20" t="s">
        <v>157</v>
      </c>
    </row>
    <row r="13" ht="16.5" spans="1:71">
      <c r="A13" s="21" t="s">
        <v>43</v>
      </c>
      <c r="B13" s="21"/>
      <c r="C13" s="21"/>
      <c r="D13" s="41" t="s">
        <v>160</v>
      </c>
      <c r="E13" s="23">
        <v>55.35</v>
      </c>
      <c r="F13" s="24">
        <v>79.99</v>
      </c>
      <c r="G13" s="25">
        <f t="shared" si="0"/>
        <v>67.9915</v>
      </c>
      <c r="H13" s="25">
        <f t="shared" si="1"/>
        <v>56.6595833333333</v>
      </c>
      <c r="I13" s="25">
        <f t="shared" si="2"/>
        <v>3.00890353982301</v>
      </c>
      <c r="J13" s="26">
        <f t="shared" si="3"/>
        <v>0.0543614009001447</v>
      </c>
      <c r="K13" s="27">
        <f t="shared" si="4"/>
        <v>66.6583333333333</v>
      </c>
      <c r="L13" s="28">
        <f t="shared" si="5"/>
        <v>0.169646205775722</v>
      </c>
      <c r="M13" s="25">
        <f t="shared" si="6"/>
        <v>11.3083333333333</v>
      </c>
      <c r="N13" s="27">
        <f t="shared" si="7"/>
        <v>142.566371681416</v>
      </c>
      <c r="O13" s="27">
        <f t="shared" si="8"/>
        <v>3.5625</v>
      </c>
      <c r="P13" s="21">
        <v>4</v>
      </c>
      <c r="Q13" s="29">
        <v>8</v>
      </c>
      <c r="R13" s="30">
        <f t="shared" si="9"/>
        <v>0.14453477868112</v>
      </c>
      <c r="S13" s="26">
        <f t="shared" si="20"/>
        <v>0.100012501562695</v>
      </c>
      <c r="T13" s="30">
        <f t="shared" si="10"/>
        <v>0.216775067750677</v>
      </c>
      <c r="U13" s="30">
        <v>0.01</v>
      </c>
      <c r="V13" s="30">
        <f t="shared" si="11"/>
        <v>0.321965609036621</v>
      </c>
      <c r="W13" s="30">
        <f t="shared" si="12"/>
        <v>0.0643631436314363</v>
      </c>
      <c r="X13" s="31">
        <v>0.188</v>
      </c>
      <c r="Y13" s="32">
        <v>8</v>
      </c>
      <c r="Z13" s="32">
        <f>F13*0.15</f>
        <v>11.9985</v>
      </c>
      <c r="AA13" s="32">
        <f t="shared" si="13"/>
        <v>0.5535</v>
      </c>
      <c r="AB13" s="27">
        <f t="shared" si="14"/>
        <v>10.4058</v>
      </c>
      <c r="AC13" s="27">
        <v>138.5</v>
      </c>
      <c r="AD13" s="33">
        <f t="shared" si="15"/>
        <v>122.566371681416</v>
      </c>
      <c r="AE13" s="29">
        <f t="shared" si="16"/>
        <v>2.5</v>
      </c>
      <c r="AF13" s="30">
        <f t="shared" si="17"/>
        <v>0.276798490698771</v>
      </c>
      <c r="AG13" s="30">
        <f t="shared" si="18"/>
        <v>0.04516711833785</v>
      </c>
      <c r="AH13" s="29">
        <v>20</v>
      </c>
      <c r="AI13" s="26">
        <f t="shared" si="19"/>
        <v>0.397259413524251</v>
      </c>
      <c r="AJ13" s="30"/>
      <c r="AK13" s="30"/>
      <c r="AL13" s="30"/>
      <c r="AM13" s="30"/>
      <c r="AN13" s="34"/>
      <c r="AO13" s="34"/>
      <c r="AP13" s="34"/>
      <c r="AQ13" s="34"/>
      <c r="AR13" s="34"/>
      <c r="AS13" s="34"/>
      <c r="AT13" s="34" t="s">
        <v>156</v>
      </c>
      <c r="AU13" s="34" t="s">
        <v>156</v>
      </c>
      <c r="AV13" s="34" t="s">
        <v>156</v>
      </c>
      <c r="AW13" s="34" t="s">
        <v>156</v>
      </c>
      <c r="AX13" s="34" t="s">
        <v>156</v>
      </c>
      <c r="AY13" s="34" t="s">
        <v>156</v>
      </c>
      <c r="AZ13" s="34" t="s">
        <v>156</v>
      </c>
      <c r="BA13" s="34" t="s">
        <v>156</v>
      </c>
      <c r="BB13" s="34" t="s">
        <v>156</v>
      </c>
      <c r="BC13" s="34" t="s">
        <v>156</v>
      </c>
      <c r="BD13" s="34" t="s">
        <v>156</v>
      </c>
      <c r="BE13" s="34" t="s">
        <v>156</v>
      </c>
      <c r="BF13" s="34" t="s">
        <v>156</v>
      </c>
      <c r="BG13" s="34" t="s">
        <v>156</v>
      </c>
      <c r="BH13" s="34" t="s">
        <v>156</v>
      </c>
      <c r="BI13" s="34" t="s">
        <v>156</v>
      </c>
      <c r="BJ13" s="34" t="s">
        <v>156</v>
      </c>
      <c r="BK13" s="34" t="s">
        <v>156</v>
      </c>
      <c r="BL13" s="34" t="s">
        <v>156</v>
      </c>
      <c r="BM13" s="34" t="s">
        <v>156</v>
      </c>
      <c r="BN13" s="34" t="s">
        <v>156</v>
      </c>
      <c r="BO13" s="34" t="s">
        <v>156</v>
      </c>
      <c r="BP13" s="34" t="s">
        <v>156</v>
      </c>
      <c r="BQ13" s="34" t="s">
        <v>156</v>
      </c>
      <c r="BR13" s="40"/>
      <c r="BS13" s="20" t="s">
        <v>157</v>
      </c>
    </row>
    <row r="14" ht="16.5" spans="1:71">
      <c r="A14" s="21" t="s">
        <v>45</v>
      </c>
      <c r="B14" s="21"/>
      <c r="C14" s="21"/>
      <c r="D14" s="41" t="s">
        <v>155</v>
      </c>
      <c r="E14" s="23">
        <v>55.35</v>
      </c>
      <c r="F14" s="24">
        <v>79.99</v>
      </c>
      <c r="G14" s="25">
        <f t="shared" si="0"/>
        <v>79.99</v>
      </c>
      <c r="H14" s="25">
        <f t="shared" si="1"/>
        <v>66.6583333333333</v>
      </c>
      <c r="I14" s="25">
        <f t="shared" si="2"/>
        <v>14.757403539823</v>
      </c>
      <c r="J14" s="26">
        <f t="shared" si="3"/>
        <v>0.266619756817037</v>
      </c>
      <c r="K14" s="27">
        <f t="shared" si="4"/>
        <v>66.6583333333333</v>
      </c>
      <c r="L14" s="28">
        <f t="shared" si="5"/>
        <v>0.169646205775722</v>
      </c>
      <c r="M14" s="25">
        <f t="shared" si="6"/>
        <v>11.3083333333333</v>
      </c>
      <c r="N14" s="27">
        <f t="shared" si="7"/>
        <v>142.566371681416</v>
      </c>
      <c r="O14" s="27">
        <f t="shared" si="8"/>
        <v>3.8125</v>
      </c>
      <c r="P14" s="21">
        <v>4</v>
      </c>
      <c r="Q14" s="29">
        <v>8</v>
      </c>
      <c r="R14" s="30">
        <f t="shared" si="9"/>
        <v>0.14453477868112</v>
      </c>
      <c r="S14" s="26">
        <f t="shared" si="20"/>
        <v>0.100012501562695</v>
      </c>
      <c r="T14" s="30">
        <f t="shared" si="10"/>
        <v>0</v>
      </c>
      <c r="U14" s="30">
        <v>0.01</v>
      </c>
      <c r="V14" s="30">
        <f t="shared" si="11"/>
        <v>0.321965609036621</v>
      </c>
      <c r="W14" s="30">
        <f t="shared" si="12"/>
        <v>0.0688798554652213</v>
      </c>
      <c r="X14" s="31">
        <v>0.188</v>
      </c>
      <c r="Y14" s="32">
        <v>8</v>
      </c>
      <c r="Z14" s="32">
        <v>0</v>
      </c>
      <c r="AA14" s="32">
        <f t="shared" si="13"/>
        <v>0.5535</v>
      </c>
      <c r="AB14" s="27">
        <f t="shared" si="14"/>
        <v>10.4058</v>
      </c>
      <c r="AC14" s="27">
        <v>138.5</v>
      </c>
      <c r="AD14" s="33">
        <f t="shared" si="15"/>
        <v>122.566371681416</v>
      </c>
      <c r="AE14" s="29">
        <f t="shared" si="16"/>
        <v>2.5</v>
      </c>
      <c r="AF14" s="30">
        <f t="shared" si="17"/>
        <v>0.276798490698771</v>
      </c>
      <c r="AG14" s="30">
        <f t="shared" si="18"/>
        <v>0.04516711833785</v>
      </c>
      <c r="AH14" s="29">
        <v>20</v>
      </c>
      <c r="AI14" s="26">
        <f t="shared" si="19"/>
        <v>0.325752719089886</v>
      </c>
      <c r="AJ14" s="26"/>
      <c r="AK14" s="26"/>
      <c r="AL14" s="26"/>
      <c r="AM14" s="26"/>
      <c r="AN14" s="34"/>
      <c r="AO14" s="34"/>
      <c r="AP14" s="34"/>
      <c r="AQ14" s="34"/>
      <c r="AR14" s="34"/>
      <c r="AS14" s="34"/>
      <c r="AT14" s="34" t="s">
        <v>156</v>
      </c>
      <c r="AU14" s="34" t="s">
        <v>156</v>
      </c>
      <c r="AV14" s="34" t="s">
        <v>156</v>
      </c>
      <c r="AW14" s="34" t="s">
        <v>156</v>
      </c>
      <c r="AX14" s="34" t="s">
        <v>156</v>
      </c>
      <c r="AY14" s="34" t="s">
        <v>156</v>
      </c>
      <c r="AZ14" s="34" t="s">
        <v>156</v>
      </c>
      <c r="BA14" s="34" t="s">
        <v>156</v>
      </c>
      <c r="BB14" s="34" t="s">
        <v>156</v>
      </c>
      <c r="BC14" s="34" t="s">
        <v>156</v>
      </c>
      <c r="BD14" s="34" t="s">
        <v>156</v>
      </c>
      <c r="BE14" s="34" t="s">
        <v>156</v>
      </c>
      <c r="BF14" s="34" t="s">
        <v>156</v>
      </c>
      <c r="BG14" s="34" t="s">
        <v>156</v>
      </c>
      <c r="BH14" s="34" t="s">
        <v>156</v>
      </c>
      <c r="BI14" s="34" t="s">
        <v>156</v>
      </c>
      <c r="BJ14" s="34" t="s">
        <v>156</v>
      </c>
      <c r="BK14" s="34" t="s">
        <v>156</v>
      </c>
      <c r="BL14" s="34" t="s">
        <v>156</v>
      </c>
      <c r="BM14" s="34" t="s">
        <v>156</v>
      </c>
      <c r="BN14" s="34" t="s">
        <v>156</v>
      </c>
      <c r="BO14" s="34" t="s">
        <v>156</v>
      </c>
      <c r="BP14" s="34" t="s">
        <v>156</v>
      </c>
      <c r="BQ14" s="34" t="s">
        <v>156</v>
      </c>
      <c r="BR14" s="35"/>
      <c r="BS14" s="20" t="s">
        <v>157</v>
      </c>
    </row>
    <row r="15" ht="16.5" spans="1:71">
      <c r="A15" s="21" t="s">
        <v>45</v>
      </c>
      <c r="B15" s="21"/>
      <c r="C15" s="21"/>
      <c r="D15" s="22" t="s">
        <v>158</v>
      </c>
      <c r="E15" s="23">
        <v>55.35</v>
      </c>
      <c r="F15" s="24">
        <v>79.99</v>
      </c>
      <c r="G15" s="25">
        <f t="shared" si="0"/>
        <v>75.9905</v>
      </c>
      <c r="H15" s="25">
        <f t="shared" si="1"/>
        <v>63.3254166666667</v>
      </c>
      <c r="I15" s="36">
        <f t="shared" si="2"/>
        <v>10.757903539823</v>
      </c>
      <c r="J15" s="26">
        <f t="shared" si="3"/>
        <v>0.194361400900145</v>
      </c>
      <c r="K15" s="27">
        <f t="shared" si="4"/>
        <v>66.6583333333333</v>
      </c>
      <c r="L15" s="28">
        <f t="shared" si="5"/>
        <v>0.169646205775722</v>
      </c>
      <c r="M15" s="25">
        <f t="shared" si="6"/>
        <v>11.3083333333333</v>
      </c>
      <c r="N15" s="27">
        <f t="shared" si="7"/>
        <v>142.566371681416</v>
      </c>
      <c r="O15" s="27">
        <f t="shared" si="8"/>
        <v>3.8125</v>
      </c>
      <c r="P15" s="21">
        <v>4</v>
      </c>
      <c r="Q15" s="29">
        <v>8</v>
      </c>
      <c r="R15" s="30">
        <f t="shared" si="9"/>
        <v>0.14453477868112</v>
      </c>
      <c r="S15" s="26">
        <f t="shared" si="20"/>
        <v>0.100012501562695</v>
      </c>
      <c r="T15" s="30">
        <f t="shared" si="10"/>
        <v>0.0722583559168925</v>
      </c>
      <c r="U15" s="30">
        <v>0.01</v>
      </c>
      <c r="V15" s="30">
        <f t="shared" si="11"/>
        <v>0.321965609036621</v>
      </c>
      <c r="W15" s="30">
        <f t="shared" si="12"/>
        <v>0.0688798554652213</v>
      </c>
      <c r="X15" s="31">
        <v>0.188</v>
      </c>
      <c r="Y15" s="32">
        <v>8</v>
      </c>
      <c r="Z15" s="32">
        <f>F15*0.05</f>
        <v>3.9995</v>
      </c>
      <c r="AA15" s="32">
        <f t="shared" si="13"/>
        <v>0.5535</v>
      </c>
      <c r="AB15" s="27">
        <f t="shared" si="14"/>
        <v>10.4058</v>
      </c>
      <c r="AC15" s="27">
        <v>138.5</v>
      </c>
      <c r="AD15" s="33">
        <f t="shared" si="15"/>
        <v>122.566371681416</v>
      </c>
      <c r="AE15" s="29">
        <f t="shared" si="16"/>
        <v>2.5</v>
      </c>
      <c r="AF15" s="30">
        <f t="shared" si="17"/>
        <v>0.276798490698771</v>
      </c>
      <c r="AG15" s="30">
        <f t="shared" si="18"/>
        <v>0.04516711833785</v>
      </c>
      <c r="AH15" s="29">
        <v>20</v>
      </c>
      <c r="AI15" s="26">
        <f t="shared" si="19"/>
        <v>0.346545445840304</v>
      </c>
      <c r="AJ15" s="26"/>
      <c r="AK15" s="26"/>
      <c r="AL15" s="26"/>
      <c r="AM15" s="26"/>
      <c r="AN15" s="34"/>
      <c r="AO15" s="34"/>
      <c r="AP15" s="34"/>
      <c r="AQ15" s="34"/>
      <c r="AR15" s="34"/>
      <c r="AS15" s="34"/>
      <c r="AT15" s="34" t="s">
        <v>156</v>
      </c>
      <c r="AU15" s="34" t="s">
        <v>156</v>
      </c>
      <c r="AV15" s="34" t="s">
        <v>156</v>
      </c>
      <c r="AW15" s="34" t="s">
        <v>156</v>
      </c>
      <c r="AX15" s="34" t="s">
        <v>156</v>
      </c>
      <c r="AY15" s="34" t="s">
        <v>156</v>
      </c>
      <c r="AZ15" s="34" t="s">
        <v>156</v>
      </c>
      <c r="BA15" s="34" t="s">
        <v>156</v>
      </c>
      <c r="BB15" s="34" t="s">
        <v>156</v>
      </c>
      <c r="BC15" s="34" t="s">
        <v>156</v>
      </c>
      <c r="BD15" s="34" t="s">
        <v>156</v>
      </c>
      <c r="BE15" s="34" t="s">
        <v>156</v>
      </c>
      <c r="BF15" s="34" t="s">
        <v>156</v>
      </c>
      <c r="BG15" s="34" t="s">
        <v>156</v>
      </c>
      <c r="BH15" s="34" t="s">
        <v>156</v>
      </c>
      <c r="BI15" s="34" t="s">
        <v>156</v>
      </c>
      <c r="BJ15" s="34" t="s">
        <v>156</v>
      </c>
      <c r="BK15" s="34" t="s">
        <v>156</v>
      </c>
      <c r="BL15" s="34" t="s">
        <v>156</v>
      </c>
      <c r="BM15" s="34" t="s">
        <v>156</v>
      </c>
      <c r="BN15" s="34" t="s">
        <v>156</v>
      </c>
      <c r="BO15" s="34" t="s">
        <v>156</v>
      </c>
      <c r="BP15" s="34" t="s">
        <v>156</v>
      </c>
      <c r="BQ15" s="34" t="s">
        <v>156</v>
      </c>
      <c r="BR15" s="35"/>
      <c r="BS15" s="20" t="s">
        <v>157</v>
      </c>
    </row>
    <row r="16" ht="16.5" spans="1:71">
      <c r="A16" s="21" t="s">
        <v>45</v>
      </c>
      <c r="B16" s="21"/>
      <c r="C16" s="21"/>
      <c r="D16" s="22" t="s">
        <v>159</v>
      </c>
      <c r="E16" s="23">
        <v>55.35</v>
      </c>
      <c r="F16" s="24">
        <v>79.99</v>
      </c>
      <c r="G16" s="25">
        <f t="shared" si="0"/>
        <v>71.991</v>
      </c>
      <c r="H16" s="25">
        <f t="shared" si="1"/>
        <v>59.9925</v>
      </c>
      <c r="I16" s="25">
        <f t="shared" si="2"/>
        <v>6.75840353982301</v>
      </c>
      <c r="J16" s="26">
        <f t="shared" si="3"/>
        <v>0.122103044983252</v>
      </c>
      <c r="K16" s="27">
        <f t="shared" si="4"/>
        <v>66.6583333333333</v>
      </c>
      <c r="L16" s="28">
        <f t="shared" si="5"/>
        <v>0.169646205775722</v>
      </c>
      <c r="M16" s="25">
        <f t="shared" si="6"/>
        <v>11.3083333333333</v>
      </c>
      <c r="N16" s="27">
        <f t="shared" si="7"/>
        <v>142.566371681416</v>
      </c>
      <c r="O16" s="27">
        <f t="shared" si="8"/>
        <v>3.8125</v>
      </c>
      <c r="P16" s="21">
        <v>4</v>
      </c>
      <c r="Q16" s="29">
        <v>8</v>
      </c>
      <c r="R16" s="30">
        <f t="shared" si="9"/>
        <v>0.14453477868112</v>
      </c>
      <c r="S16" s="26">
        <f t="shared" si="20"/>
        <v>0.100012501562695</v>
      </c>
      <c r="T16" s="30">
        <f t="shared" si="10"/>
        <v>0.144516711833785</v>
      </c>
      <c r="U16" s="30">
        <v>0.01</v>
      </c>
      <c r="V16" s="30">
        <f t="shared" si="11"/>
        <v>0.321965609036621</v>
      </c>
      <c r="W16" s="30">
        <f t="shared" si="12"/>
        <v>0.0688798554652213</v>
      </c>
      <c r="X16" s="31">
        <v>0.188</v>
      </c>
      <c r="Y16" s="32">
        <v>8</v>
      </c>
      <c r="Z16" s="32">
        <f>F16*0.1</f>
        <v>7.999</v>
      </c>
      <c r="AA16" s="32">
        <f t="shared" si="13"/>
        <v>0.5535</v>
      </c>
      <c r="AB16" s="27">
        <f t="shared" si="14"/>
        <v>10.4058</v>
      </c>
      <c r="AC16" s="27">
        <v>138.5</v>
      </c>
      <c r="AD16" s="33">
        <f t="shared" si="15"/>
        <v>122.566371681416</v>
      </c>
      <c r="AE16" s="29">
        <f t="shared" si="16"/>
        <v>2.5</v>
      </c>
      <c r="AF16" s="30">
        <f t="shared" si="17"/>
        <v>0.276798490698771</v>
      </c>
      <c r="AG16" s="30">
        <f t="shared" si="18"/>
        <v>0.04516711833785</v>
      </c>
      <c r="AH16" s="29">
        <v>20</v>
      </c>
      <c r="AI16" s="26">
        <f t="shared" si="19"/>
        <v>0.370173544420325</v>
      </c>
      <c r="AJ16" s="26"/>
      <c r="AK16" s="26"/>
      <c r="AL16" s="26"/>
      <c r="AM16" s="26"/>
      <c r="AN16" s="34"/>
      <c r="AO16" s="34"/>
      <c r="AP16" s="34"/>
      <c r="AQ16" s="34"/>
      <c r="AR16" s="34"/>
      <c r="AS16" s="34"/>
      <c r="AT16" s="34" t="s">
        <v>156</v>
      </c>
      <c r="AU16" s="34" t="s">
        <v>156</v>
      </c>
      <c r="AV16" s="34" t="s">
        <v>156</v>
      </c>
      <c r="AW16" s="34" t="s">
        <v>156</v>
      </c>
      <c r="AX16" s="34" t="s">
        <v>156</v>
      </c>
      <c r="AY16" s="34" t="s">
        <v>156</v>
      </c>
      <c r="AZ16" s="34" t="s">
        <v>156</v>
      </c>
      <c r="BA16" s="34" t="s">
        <v>156</v>
      </c>
      <c r="BB16" s="34" t="s">
        <v>156</v>
      </c>
      <c r="BC16" s="34" t="s">
        <v>156</v>
      </c>
      <c r="BD16" s="34" t="s">
        <v>156</v>
      </c>
      <c r="BE16" s="34" t="s">
        <v>156</v>
      </c>
      <c r="BF16" s="34" t="s">
        <v>156</v>
      </c>
      <c r="BG16" s="34" t="s">
        <v>156</v>
      </c>
      <c r="BH16" s="34" t="s">
        <v>156</v>
      </c>
      <c r="BI16" s="34" t="s">
        <v>156</v>
      </c>
      <c r="BJ16" s="34" t="s">
        <v>156</v>
      </c>
      <c r="BK16" s="34" t="s">
        <v>156</v>
      </c>
      <c r="BL16" s="34" t="s">
        <v>156</v>
      </c>
      <c r="BM16" s="34" t="s">
        <v>156</v>
      </c>
      <c r="BN16" s="34" t="s">
        <v>156</v>
      </c>
      <c r="BO16" s="34" t="s">
        <v>156</v>
      </c>
      <c r="BP16" s="34" t="s">
        <v>156</v>
      </c>
      <c r="BQ16" s="34" t="s">
        <v>156</v>
      </c>
      <c r="BR16" s="35"/>
      <c r="BS16" s="20" t="s">
        <v>157</v>
      </c>
    </row>
    <row r="17" ht="16.5" spans="1:71">
      <c r="A17" s="21" t="s">
        <v>45</v>
      </c>
      <c r="B17" s="21"/>
      <c r="C17" s="21"/>
      <c r="D17" s="41" t="s">
        <v>160</v>
      </c>
      <c r="E17" s="23">
        <v>55.35</v>
      </c>
      <c r="F17" s="24">
        <v>79.99</v>
      </c>
      <c r="G17" s="25">
        <f t="shared" si="0"/>
        <v>67.9915</v>
      </c>
      <c r="H17" s="25">
        <f t="shared" si="1"/>
        <v>56.6595833333333</v>
      </c>
      <c r="I17" s="25">
        <f t="shared" si="2"/>
        <v>2.75890353982301</v>
      </c>
      <c r="J17" s="26">
        <f t="shared" si="3"/>
        <v>0.0498446890663597</v>
      </c>
      <c r="K17" s="27">
        <f t="shared" si="4"/>
        <v>66.6583333333333</v>
      </c>
      <c r="L17" s="28">
        <f t="shared" si="5"/>
        <v>0.169646205775722</v>
      </c>
      <c r="M17" s="25">
        <f t="shared" si="6"/>
        <v>11.3083333333333</v>
      </c>
      <c r="N17" s="27">
        <f t="shared" si="7"/>
        <v>142.566371681416</v>
      </c>
      <c r="O17" s="27">
        <f t="shared" si="8"/>
        <v>3.8125</v>
      </c>
      <c r="P17" s="21">
        <v>4</v>
      </c>
      <c r="Q17" s="29">
        <v>8</v>
      </c>
      <c r="R17" s="30">
        <f t="shared" si="9"/>
        <v>0.14453477868112</v>
      </c>
      <c r="S17" s="26">
        <f t="shared" si="20"/>
        <v>0.100012501562695</v>
      </c>
      <c r="T17" s="30">
        <f t="shared" si="10"/>
        <v>0.216775067750677</v>
      </c>
      <c r="U17" s="30">
        <v>0.01</v>
      </c>
      <c r="V17" s="30">
        <f t="shared" si="11"/>
        <v>0.321965609036621</v>
      </c>
      <c r="W17" s="30">
        <f t="shared" si="12"/>
        <v>0.0688798554652213</v>
      </c>
      <c r="X17" s="31">
        <v>0.188</v>
      </c>
      <c r="Y17" s="32">
        <v>8</v>
      </c>
      <c r="Z17" s="32">
        <f>F17*0.15</f>
        <v>11.9985</v>
      </c>
      <c r="AA17" s="32">
        <f t="shared" si="13"/>
        <v>0.5535</v>
      </c>
      <c r="AB17" s="27">
        <f t="shared" si="14"/>
        <v>10.4058</v>
      </c>
      <c r="AC17" s="27">
        <v>138.5</v>
      </c>
      <c r="AD17" s="33">
        <f t="shared" si="15"/>
        <v>122.566371681416</v>
      </c>
      <c r="AE17" s="29">
        <f t="shared" si="16"/>
        <v>2.5</v>
      </c>
      <c r="AF17" s="30">
        <f t="shared" si="17"/>
        <v>0.276798490698771</v>
      </c>
      <c r="AG17" s="30">
        <f t="shared" si="18"/>
        <v>0.04516711833785</v>
      </c>
      <c r="AH17" s="29">
        <v>20</v>
      </c>
      <c r="AI17" s="26">
        <f t="shared" si="19"/>
        <v>0.397259413524251</v>
      </c>
      <c r="AJ17" s="26"/>
      <c r="AK17" s="26"/>
      <c r="AL17" s="26"/>
      <c r="AM17" s="26"/>
      <c r="AN17" s="34"/>
      <c r="AO17" s="34"/>
      <c r="AP17" s="34"/>
      <c r="AQ17" s="34"/>
      <c r="AR17" s="34"/>
      <c r="AS17" s="34"/>
      <c r="AT17" s="34" t="s">
        <v>156</v>
      </c>
      <c r="AU17" s="34" t="s">
        <v>156</v>
      </c>
      <c r="AV17" s="34" t="s">
        <v>156</v>
      </c>
      <c r="AW17" s="34" t="s">
        <v>156</v>
      </c>
      <c r="AX17" s="34" t="s">
        <v>156</v>
      </c>
      <c r="AY17" s="34" t="s">
        <v>156</v>
      </c>
      <c r="AZ17" s="34" t="s">
        <v>156</v>
      </c>
      <c r="BA17" s="34" t="s">
        <v>156</v>
      </c>
      <c r="BB17" s="34" t="s">
        <v>156</v>
      </c>
      <c r="BC17" s="34" t="s">
        <v>156</v>
      </c>
      <c r="BD17" s="34" t="s">
        <v>156</v>
      </c>
      <c r="BE17" s="34" t="s">
        <v>156</v>
      </c>
      <c r="BF17" s="34" t="s">
        <v>156</v>
      </c>
      <c r="BG17" s="34" t="s">
        <v>156</v>
      </c>
      <c r="BH17" s="34" t="s">
        <v>156</v>
      </c>
      <c r="BI17" s="34" t="s">
        <v>156</v>
      </c>
      <c r="BJ17" s="34" t="s">
        <v>156</v>
      </c>
      <c r="BK17" s="34" t="s">
        <v>156</v>
      </c>
      <c r="BL17" s="34" t="s">
        <v>156</v>
      </c>
      <c r="BM17" s="34" t="s">
        <v>156</v>
      </c>
      <c r="BN17" s="34" t="s">
        <v>156</v>
      </c>
      <c r="BO17" s="34" t="s">
        <v>156</v>
      </c>
      <c r="BP17" s="34" t="s">
        <v>156</v>
      </c>
      <c r="BQ17" s="34" t="s">
        <v>156</v>
      </c>
      <c r="BR17" s="40"/>
      <c r="BS17" s="20" t="s">
        <v>157</v>
      </c>
    </row>
    <row r="18" ht="16.5" spans="1:71">
      <c r="A18" s="21" t="s">
        <v>48</v>
      </c>
      <c r="B18" s="21"/>
      <c r="C18" s="21"/>
      <c r="D18" s="41" t="s">
        <v>155</v>
      </c>
      <c r="E18" s="23">
        <v>55.35</v>
      </c>
      <c r="F18" s="24">
        <v>79.99</v>
      </c>
      <c r="G18" s="25">
        <f t="shared" si="0"/>
        <v>79.99</v>
      </c>
      <c r="H18" s="25">
        <f t="shared" si="1"/>
        <v>66.6583333333333</v>
      </c>
      <c r="I18" s="25">
        <f t="shared" si="2"/>
        <v>13.757403539823</v>
      </c>
      <c r="J18" s="26">
        <f t="shared" si="3"/>
        <v>0.248552909481897</v>
      </c>
      <c r="K18" s="27">
        <f t="shared" si="4"/>
        <v>66.6583333333333</v>
      </c>
      <c r="L18" s="28">
        <f t="shared" si="5"/>
        <v>0.169646205775722</v>
      </c>
      <c r="M18" s="25">
        <f t="shared" si="6"/>
        <v>11.3083333333333</v>
      </c>
      <c r="N18" s="27">
        <f t="shared" si="7"/>
        <v>142.566371681416</v>
      </c>
      <c r="O18" s="27">
        <f t="shared" si="8"/>
        <v>4.8125</v>
      </c>
      <c r="P18" s="21">
        <v>4</v>
      </c>
      <c r="Q18" s="29">
        <v>8</v>
      </c>
      <c r="R18" s="30">
        <f t="shared" si="9"/>
        <v>0.14453477868112</v>
      </c>
      <c r="S18" s="26">
        <f t="shared" si="20"/>
        <v>0.100012501562695</v>
      </c>
      <c r="T18" s="30">
        <f t="shared" si="10"/>
        <v>0</v>
      </c>
      <c r="U18" s="30">
        <v>0.01</v>
      </c>
      <c r="V18" s="30">
        <f t="shared" si="11"/>
        <v>0.321965609036621</v>
      </c>
      <c r="W18" s="30">
        <f t="shared" si="12"/>
        <v>0.0869467028003613</v>
      </c>
      <c r="X18" s="31">
        <v>0.188</v>
      </c>
      <c r="Y18" s="32">
        <v>8</v>
      </c>
      <c r="Z18" s="32">
        <v>0</v>
      </c>
      <c r="AA18" s="32">
        <f t="shared" si="13"/>
        <v>0.5535</v>
      </c>
      <c r="AB18" s="27">
        <f t="shared" si="14"/>
        <v>10.4058</v>
      </c>
      <c r="AC18" s="27">
        <v>138.5</v>
      </c>
      <c r="AD18" s="33">
        <f t="shared" si="15"/>
        <v>122.566371681416</v>
      </c>
      <c r="AE18" s="29">
        <f t="shared" si="16"/>
        <v>2.5</v>
      </c>
      <c r="AF18" s="30">
        <f t="shared" si="17"/>
        <v>0.276798490698771</v>
      </c>
      <c r="AG18" s="30">
        <f t="shared" si="18"/>
        <v>0.04516711833785</v>
      </c>
      <c r="AH18" s="29">
        <v>20</v>
      </c>
      <c r="AI18" s="26">
        <f t="shared" si="19"/>
        <v>0.325752719089886</v>
      </c>
      <c r="AJ18" s="30"/>
      <c r="AK18" s="30"/>
      <c r="AL18" s="30"/>
      <c r="AM18" s="30"/>
      <c r="AN18" s="34"/>
      <c r="AO18" s="34"/>
      <c r="AP18" s="34"/>
      <c r="AQ18" s="34"/>
      <c r="AR18" s="34"/>
      <c r="AS18" s="34"/>
      <c r="AT18" s="34" t="s">
        <v>156</v>
      </c>
      <c r="AU18" s="34" t="s">
        <v>156</v>
      </c>
      <c r="AV18" s="34" t="s">
        <v>156</v>
      </c>
      <c r="AW18" s="34" t="s">
        <v>156</v>
      </c>
      <c r="AX18" s="34" t="s">
        <v>156</v>
      </c>
      <c r="AY18" s="34" t="s">
        <v>156</v>
      </c>
      <c r="AZ18" s="34" t="s">
        <v>156</v>
      </c>
      <c r="BA18" s="34" t="s">
        <v>156</v>
      </c>
      <c r="BB18" s="34" t="s">
        <v>156</v>
      </c>
      <c r="BC18" s="34" t="s">
        <v>156</v>
      </c>
      <c r="BD18" s="34" t="s">
        <v>156</v>
      </c>
      <c r="BE18" s="34" t="s">
        <v>156</v>
      </c>
      <c r="BF18" s="34" t="s">
        <v>156</v>
      </c>
      <c r="BG18" s="34" t="s">
        <v>156</v>
      </c>
      <c r="BH18" s="34" t="s">
        <v>156</v>
      </c>
      <c r="BI18" s="34" t="s">
        <v>156</v>
      </c>
      <c r="BJ18" s="34" t="s">
        <v>156</v>
      </c>
      <c r="BK18" s="34" t="s">
        <v>156</v>
      </c>
      <c r="BL18" s="34" t="s">
        <v>156</v>
      </c>
      <c r="BM18" s="34" t="s">
        <v>156</v>
      </c>
      <c r="BN18" s="34" t="s">
        <v>156</v>
      </c>
      <c r="BO18" s="34" t="s">
        <v>156</v>
      </c>
      <c r="BP18" s="34" t="s">
        <v>156</v>
      </c>
      <c r="BQ18" s="34" t="s">
        <v>156</v>
      </c>
      <c r="BR18" s="35"/>
      <c r="BS18" s="20" t="s">
        <v>157</v>
      </c>
    </row>
    <row r="19" ht="16.5" spans="1:71">
      <c r="A19" s="21" t="s">
        <v>48</v>
      </c>
      <c r="B19" s="21"/>
      <c r="C19" s="21"/>
      <c r="D19" s="22" t="s">
        <v>158</v>
      </c>
      <c r="E19" s="23">
        <v>55.35</v>
      </c>
      <c r="F19" s="24">
        <v>79.99</v>
      </c>
      <c r="G19" s="25">
        <f t="shared" si="0"/>
        <v>75.9905</v>
      </c>
      <c r="H19" s="25">
        <f t="shared" si="1"/>
        <v>63.3254166666667</v>
      </c>
      <c r="I19" s="36">
        <f t="shared" si="2"/>
        <v>9.75790353982301</v>
      </c>
      <c r="J19" s="26">
        <f t="shared" si="3"/>
        <v>0.176294553565005</v>
      </c>
      <c r="K19" s="27">
        <f t="shared" si="4"/>
        <v>66.6583333333333</v>
      </c>
      <c r="L19" s="28">
        <f t="shared" si="5"/>
        <v>0.169646205775722</v>
      </c>
      <c r="M19" s="25">
        <f t="shared" si="6"/>
        <v>11.3083333333333</v>
      </c>
      <c r="N19" s="27">
        <f t="shared" si="7"/>
        <v>142.566371681416</v>
      </c>
      <c r="O19" s="27">
        <f t="shared" si="8"/>
        <v>4.8125</v>
      </c>
      <c r="P19" s="21">
        <v>4</v>
      </c>
      <c r="Q19" s="29">
        <v>8</v>
      </c>
      <c r="R19" s="30">
        <f t="shared" si="9"/>
        <v>0.14453477868112</v>
      </c>
      <c r="S19" s="26">
        <f t="shared" si="20"/>
        <v>0.100012501562695</v>
      </c>
      <c r="T19" s="30">
        <f t="shared" si="10"/>
        <v>0.0722583559168925</v>
      </c>
      <c r="U19" s="30">
        <v>0.01</v>
      </c>
      <c r="V19" s="30">
        <f t="shared" si="11"/>
        <v>0.321965609036621</v>
      </c>
      <c r="W19" s="30">
        <f t="shared" si="12"/>
        <v>0.0869467028003613</v>
      </c>
      <c r="X19" s="31">
        <v>0.188</v>
      </c>
      <c r="Y19" s="32">
        <v>8</v>
      </c>
      <c r="Z19" s="32">
        <f>F19*0.05</f>
        <v>3.9995</v>
      </c>
      <c r="AA19" s="32">
        <f t="shared" si="13"/>
        <v>0.5535</v>
      </c>
      <c r="AB19" s="27">
        <f t="shared" si="14"/>
        <v>10.4058</v>
      </c>
      <c r="AC19" s="27">
        <v>138.5</v>
      </c>
      <c r="AD19" s="33">
        <f t="shared" si="15"/>
        <v>122.566371681416</v>
      </c>
      <c r="AE19" s="29">
        <f t="shared" si="16"/>
        <v>2.5</v>
      </c>
      <c r="AF19" s="30">
        <f t="shared" si="17"/>
        <v>0.276798490698771</v>
      </c>
      <c r="AG19" s="30">
        <f t="shared" si="18"/>
        <v>0.04516711833785</v>
      </c>
      <c r="AH19" s="29">
        <v>20</v>
      </c>
      <c r="AI19" s="26">
        <f t="shared" si="19"/>
        <v>0.346545445840304</v>
      </c>
      <c r="AJ19" s="30"/>
      <c r="AK19" s="30"/>
      <c r="AL19" s="30"/>
      <c r="AM19" s="30"/>
      <c r="AN19" s="34"/>
      <c r="AO19" s="34"/>
      <c r="AP19" s="34"/>
      <c r="AQ19" s="34"/>
      <c r="AR19" s="34"/>
      <c r="AS19" s="34"/>
      <c r="AT19" s="34" t="s">
        <v>156</v>
      </c>
      <c r="AU19" s="34" t="s">
        <v>156</v>
      </c>
      <c r="AV19" s="34" t="s">
        <v>156</v>
      </c>
      <c r="AW19" s="34" t="s">
        <v>156</v>
      </c>
      <c r="AX19" s="34" t="s">
        <v>156</v>
      </c>
      <c r="AY19" s="34" t="s">
        <v>156</v>
      </c>
      <c r="AZ19" s="34" t="s">
        <v>156</v>
      </c>
      <c r="BA19" s="34" t="s">
        <v>156</v>
      </c>
      <c r="BB19" s="34" t="s">
        <v>156</v>
      </c>
      <c r="BC19" s="34" t="s">
        <v>156</v>
      </c>
      <c r="BD19" s="34" t="s">
        <v>156</v>
      </c>
      <c r="BE19" s="34" t="s">
        <v>156</v>
      </c>
      <c r="BF19" s="34" t="s">
        <v>156</v>
      </c>
      <c r="BG19" s="34" t="s">
        <v>156</v>
      </c>
      <c r="BH19" s="34" t="s">
        <v>156</v>
      </c>
      <c r="BI19" s="34" t="s">
        <v>156</v>
      </c>
      <c r="BJ19" s="34" t="s">
        <v>156</v>
      </c>
      <c r="BK19" s="34" t="s">
        <v>156</v>
      </c>
      <c r="BL19" s="34" t="s">
        <v>156</v>
      </c>
      <c r="BM19" s="34" t="s">
        <v>156</v>
      </c>
      <c r="BN19" s="34" t="s">
        <v>156</v>
      </c>
      <c r="BO19" s="34" t="s">
        <v>156</v>
      </c>
      <c r="BP19" s="34" t="s">
        <v>156</v>
      </c>
      <c r="BQ19" s="34" t="s">
        <v>156</v>
      </c>
      <c r="BR19" s="35"/>
      <c r="BS19" s="20" t="s">
        <v>157</v>
      </c>
    </row>
    <row r="20" ht="16.5" spans="1:71">
      <c r="A20" s="21" t="s">
        <v>48</v>
      </c>
      <c r="B20" s="21"/>
      <c r="C20" s="21"/>
      <c r="D20" s="22" t="s">
        <v>159</v>
      </c>
      <c r="E20" s="23">
        <v>55.35</v>
      </c>
      <c r="F20" s="24">
        <v>79.99</v>
      </c>
      <c r="G20" s="25">
        <f t="shared" si="0"/>
        <v>71.991</v>
      </c>
      <c r="H20" s="25">
        <f t="shared" si="1"/>
        <v>59.9925</v>
      </c>
      <c r="I20" s="25">
        <f t="shared" si="2"/>
        <v>5.75840353982301</v>
      </c>
      <c r="J20" s="26">
        <f t="shared" si="3"/>
        <v>0.104036197648112</v>
      </c>
      <c r="K20" s="27">
        <f t="shared" si="4"/>
        <v>66.6583333333333</v>
      </c>
      <c r="L20" s="28">
        <f t="shared" si="5"/>
        <v>0.169646205775722</v>
      </c>
      <c r="M20" s="25">
        <f t="shared" si="6"/>
        <v>11.3083333333333</v>
      </c>
      <c r="N20" s="27">
        <f t="shared" si="7"/>
        <v>142.566371681416</v>
      </c>
      <c r="O20" s="27">
        <f t="shared" si="8"/>
        <v>4.8125</v>
      </c>
      <c r="P20" s="21">
        <v>4</v>
      </c>
      <c r="Q20" s="29">
        <v>8</v>
      </c>
      <c r="R20" s="30">
        <f t="shared" si="9"/>
        <v>0.14453477868112</v>
      </c>
      <c r="S20" s="26">
        <f t="shared" si="20"/>
        <v>0.100012501562695</v>
      </c>
      <c r="T20" s="30">
        <f t="shared" si="10"/>
        <v>0.144516711833785</v>
      </c>
      <c r="U20" s="30">
        <v>0.01</v>
      </c>
      <c r="V20" s="30">
        <f t="shared" si="11"/>
        <v>0.321965609036621</v>
      </c>
      <c r="W20" s="30">
        <f t="shared" si="12"/>
        <v>0.0869467028003613</v>
      </c>
      <c r="X20" s="31">
        <v>0.188</v>
      </c>
      <c r="Y20" s="32">
        <v>8</v>
      </c>
      <c r="Z20" s="32">
        <f>F20*0.1</f>
        <v>7.999</v>
      </c>
      <c r="AA20" s="32">
        <f t="shared" si="13"/>
        <v>0.5535</v>
      </c>
      <c r="AB20" s="27">
        <f t="shared" si="14"/>
        <v>10.4058</v>
      </c>
      <c r="AC20" s="27">
        <v>138.5</v>
      </c>
      <c r="AD20" s="33">
        <f t="shared" si="15"/>
        <v>122.566371681416</v>
      </c>
      <c r="AE20" s="29">
        <f t="shared" si="16"/>
        <v>2.5</v>
      </c>
      <c r="AF20" s="30">
        <f t="shared" si="17"/>
        <v>0.276798490698771</v>
      </c>
      <c r="AG20" s="30">
        <f t="shared" si="18"/>
        <v>0.04516711833785</v>
      </c>
      <c r="AH20" s="29">
        <v>20</v>
      </c>
      <c r="AI20" s="26">
        <f t="shared" si="19"/>
        <v>0.370173544420325</v>
      </c>
      <c r="AJ20" s="30"/>
      <c r="AK20" s="30"/>
      <c r="AL20" s="30"/>
      <c r="AM20" s="30"/>
      <c r="AN20" s="34"/>
      <c r="AO20" s="34"/>
      <c r="AP20" s="34"/>
      <c r="AQ20" s="34"/>
      <c r="AR20" s="34"/>
      <c r="AS20" s="34"/>
      <c r="AT20" s="34" t="s">
        <v>156</v>
      </c>
      <c r="AU20" s="34" t="s">
        <v>156</v>
      </c>
      <c r="AV20" s="34" t="s">
        <v>156</v>
      </c>
      <c r="AW20" s="34" t="s">
        <v>156</v>
      </c>
      <c r="AX20" s="34" t="s">
        <v>156</v>
      </c>
      <c r="AY20" s="34" t="s">
        <v>156</v>
      </c>
      <c r="AZ20" s="34" t="s">
        <v>156</v>
      </c>
      <c r="BA20" s="34" t="s">
        <v>156</v>
      </c>
      <c r="BB20" s="34" t="s">
        <v>156</v>
      </c>
      <c r="BC20" s="34" t="s">
        <v>156</v>
      </c>
      <c r="BD20" s="34" t="s">
        <v>156</v>
      </c>
      <c r="BE20" s="34" t="s">
        <v>156</v>
      </c>
      <c r="BF20" s="34" t="s">
        <v>156</v>
      </c>
      <c r="BG20" s="34" t="s">
        <v>156</v>
      </c>
      <c r="BH20" s="34" t="s">
        <v>156</v>
      </c>
      <c r="BI20" s="34" t="s">
        <v>156</v>
      </c>
      <c r="BJ20" s="34" t="s">
        <v>156</v>
      </c>
      <c r="BK20" s="34" t="s">
        <v>156</v>
      </c>
      <c r="BL20" s="34" t="s">
        <v>156</v>
      </c>
      <c r="BM20" s="34" t="s">
        <v>156</v>
      </c>
      <c r="BN20" s="34" t="s">
        <v>156</v>
      </c>
      <c r="BO20" s="34" t="s">
        <v>156</v>
      </c>
      <c r="BP20" s="34" t="s">
        <v>156</v>
      </c>
      <c r="BQ20" s="34" t="s">
        <v>156</v>
      </c>
      <c r="BR20" s="35"/>
      <c r="BS20" s="20" t="s">
        <v>157</v>
      </c>
    </row>
    <row r="21" ht="16.5" spans="1:71">
      <c r="A21" s="21" t="s">
        <v>48</v>
      </c>
      <c r="B21" s="21"/>
      <c r="C21" s="21"/>
      <c r="D21" s="41" t="s">
        <v>160</v>
      </c>
      <c r="E21" s="23">
        <v>55.35</v>
      </c>
      <c r="F21" s="24">
        <v>79.99</v>
      </c>
      <c r="G21" s="25">
        <f t="shared" si="0"/>
        <v>67.9915</v>
      </c>
      <c r="H21" s="25">
        <f t="shared" si="1"/>
        <v>56.6595833333333</v>
      </c>
      <c r="I21" s="25">
        <f t="shared" si="2"/>
        <v>1.75890353982301</v>
      </c>
      <c r="J21" s="26">
        <f t="shared" si="3"/>
        <v>0.0317778417312197</v>
      </c>
      <c r="K21" s="27">
        <f t="shared" si="4"/>
        <v>66.6583333333333</v>
      </c>
      <c r="L21" s="28">
        <f t="shared" si="5"/>
        <v>0.169646205775722</v>
      </c>
      <c r="M21" s="25">
        <f t="shared" si="6"/>
        <v>11.3083333333333</v>
      </c>
      <c r="N21" s="27">
        <f t="shared" si="7"/>
        <v>142.566371681416</v>
      </c>
      <c r="O21" s="27">
        <f t="shared" si="8"/>
        <v>4.8125</v>
      </c>
      <c r="P21" s="21">
        <v>4</v>
      </c>
      <c r="Q21" s="29">
        <v>8</v>
      </c>
      <c r="R21" s="30">
        <f t="shared" si="9"/>
        <v>0.14453477868112</v>
      </c>
      <c r="S21" s="26">
        <f t="shared" si="20"/>
        <v>0.100012501562695</v>
      </c>
      <c r="T21" s="30">
        <f t="shared" si="10"/>
        <v>0.216775067750677</v>
      </c>
      <c r="U21" s="30">
        <v>0.01</v>
      </c>
      <c r="V21" s="30">
        <f t="shared" si="11"/>
        <v>0.321965609036621</v>
      </c>
      <c r="W21" s="30">
        <f t="shared" si="12"/>
        <v>0.0869467028003613</v>
      </c>
      <c r="X21" s="31">
        <v>0.188</v>
      </c>
      <c r="Y21" s="32">
        <v>8</v>
      </c>
      <c r="Z21" s="32">
        <f>F21*0.15</f>
        <v>11.9985</v>
      </c>
      <c r="AA21" s="32">
        <f t="shared" si="13"/>
        <v>0.5535</v>
      </c>
      <c r="AB21" s="27">
        <f t="shared" si="14"/>
        <v>10.4058</v>
      </c>
      <c r="AC21" s="27">
        <v>138.5</v>
      </c>
      <c r="AD21" s="33">
        <f t="shared" si="15"/>
        <v>122.566371681416</v>
      </c>
      <c r="AE21" s="29">
        <f t="shared" si="16"/>
        <v>2.5</v>
      </c>
      <c r="AF21" s="30">
        <f t="shared" si="17"/>
        <v>0.276798490698771</v>
      </c>
      <c r="AG21" s="30">
        <f t="shared" si="18"/>
        <v>0.04516711833785</v>
      </c>
      <c r="AH21" s="29">
        <v>20</v>
      </c>
      <c r="AI21" s="26">
        <f t="shared" si="19"/>
        <v>0.397259413524251</v>
      </c>
      <c r="AJ21" s="30"/>
      <c r="AK21" s="30"/>
      <c r="AL21" s="30"/>
      <c r="AM21" s="30"/>
      <c r="AN21" s="34"/>
      <c r="AO21" s="34"/>
      <c r="AP21" s="34"/>
      <c r="AQ21" s="34"/>
      <c r="AR21" s="34"/>
      <c r="AS21" s="34"/>
      <c r="AT21" s="34" t="s">
        <v>156</v>
      </c>
      <c r="AU21" s="34" t="s">
        <v>156</v>
      </c>
      <c r="AV21" s="34" t="s">
        <v>156</v>
      </c>
      <c r="AW21" s="34" t="s">
        <v>156</v>
      </c>
      <c r="AX21" s="34" t="s">
        <v>156</v>
      </c>
      <c r="AY21" s="34" t="s">
        <v>156</v>
      </c>
      <c r="AZ21" s="34" t="s">
        <v>156</v>
      </c>
      <c r="BA21" s="34" t="s">
        <v>156</v>
      </c>
      <c r="BB21" s="34" t="s">
        <v>156</v>
      </c>
      <c r="BC21" s="34" t="s">
        <v>156</v>
      </c>
      <c r="BD21" s="34" t="s">
        <v>156</v>
      </c>
      <c r="BE21" s="34" t="s">
        <v>156</v>
      </c>
      <c r="BF21" s="34" t="s">
        <v>156</v>
      </c>
      <c r="BG21" s="34" t="s">
        <v>156</v>
      </c>
      <c r="BH21" s="34" t="s">
        <v>156</v>
      </c>
      <c r="BI21" s="34" t="s">
        <v>156</v>
      </c>
      <c r="BJ21" s="34" t="s">
        <v>156</v>
      </c>
      <c r="BK21" s="34" t="s">
        <v>156</v>
      </c>
      <c r="BL21" s="34" t="s">
        <v>156</v>
      </c>
      <c r="BM21" s="34" t="s">
        <v>156</v>
      </c>
      <c r="BN21" s="34" t="s">
        <v>156</v>
      </c>
      <c r="BO21" s="34" t="s">
        <v>156</v>
      </c>
      <c r="BP21" s="34" t="s">
        <v>156</v>
      </c>
      <c r="BQ21" s="34" t="s">
        <v>156</v>
      </c>
      <c r="BR21" s="40"/>
      <c r="BS21" s="20" t="s">
        <v>157</v>
      </c>
    </row>
    <row r="22" ht="16.5" spans="1:71">
      <c r="A22" s="21" t="s">
        <v>161</v>
      </c>
      <c r="B22" s="21"/>
      <c r="C22" s="21"/>
      <c r="D22" s="42" t="s">
        <v>162</v>
      </c>
      <c r="E22" s="27">
        <v>60</v>
      </c>
      <c r="F22" s="43">
        <v>89.99</v>
      </c>
      <c r="G22" s="25">
        <f t="shared" si="0"/>
        <v>89.99</v>
      </c>
      <c r="H22" s="25">
        <f t="shared" si="1"/>
        <v>74.9916666666667</v>
      </c>
      <c r="I22" s="25">
        <f t="shared" si="2"/>
        <v>18.111703539823</v>
      </c>
      <c r="J22" s="26">
        <f t="shared" si="3"/>
        <v>0.301861725663717</v>
      </c>
      <c r="K22" s="27">
        <f t="shared" si="4"/>
        <v>74.9916666666667</v>
      </c>
      <c r="L22" s="28">
        <f t="shared" si="5"/>
        <v>0.19991110123347</v>
      </c>
      <c r="M22" s="25">
        <f t="shared" si="6"/>
        <v>14.9916666666667</v>
      </c>
      <c r="N22" s="27">
        <f t="shared" si="7"/>
        <v>142.566371681416</v>
      </c>
      <c r="O22" s="27">
        <f t="shared" si="8"/>
        <v>4.1875</v>
      </c>
      <c r="P22" s="21">
        <v>4</v>
      </c>
      <c r="Q22" s="29">
        <v>8</v>
      </c>
      <c r="R22" s="30">
        <f t="shared" si="9"/>
        <v>0.133333333333333</v>
      </c>
      <c r="S22" s="26">
        <f t="shared" si="20"/>
        <v>0.0888987665296144</v>
      </c>
      <c r="T22" s="30">
        <f t="shared" si="10"/>
        <v>0</v>
      </c>
      <c r="U22" s="30">
        <v>0.01</v>
      </c>
      <c r="V22" s="30">
        <f t="shared" si="11"/>
        <v>0.297013274336283</v>
      </c>
      <c r="W22" s="30">
        <f t="shared" si="12"/>
        <v>0.0697916666666667</v>
      </c>
      <c r="X22" s="31">
        <v>0.188</v>
      </c>
      <c r="Y22" s="32">
        <v>8</v>
      </c>
      <c r="Z22" s="32">
        <f t="shared" ref="Z22:Z25" si="21">F22*0</f>
        <v>0</v>
      </c>
      <c r="AA22" s="32">
        <f t="shared" si="13"/>
        <v>0.6</v>
      </c>
      <c r="AB22" s="27">
        <f t="shared" si="14"/>
        <v>11.28</v>
      </c>
      <c r="AC22" s="27">
        <v>138.5</v>
      </c>
      <c r="AD22" s="33">
        <f t="shared" si="15"/>
        <v>122.566371681416</v>
      </c>
      <c r="AE22" s="29">
        <f t="shared" si="16"/>
        <v>2.5</v>
      </c>
      <c r="AF22" s="30">
        <f t="shared" si="17"/>
        <v>0.255346607669617</v>
      </c>
      <c r="AG22" s="30">
        <f t="shared" si="18"/>
        <v>0.0416666666666667</v>
      </c>
      <c r="AH22" s="29">
        <v>20</v>
      </c>
      <c r="AI22" s="26">
        <f t="shared" si="19"/>
        <v>0.350327814201578</v>
      </c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 t="s">
        <v>156</v>
      </c>
      <c r="AU22" s="34" t="s">
        <v>156</v>
      </c>
      <c r="AV22" s="34" t="s">
        <v>156</v>
      </c>
      <c r="AW22" s="34" t="s">
        <v>156</v>
      </c>
      <c r="AX22" s="34" t="s">
        <v>156</v>
      </c>
      <c r="AY22" s="34" t="s">
        <v>156</v>
      </c>
      <c r="AZ22" s="34" t="s">
        <v>156</v>
      </c>
      <c r="BA22" s="34" t="s">
        <v>156</v>
      </c>
      <c r="BB22" s="34" t="s">
        <v>156</v>
      </c>
      <c r="BC22" s="34" t="s">
        <v>156</v>
      </c>
      <c r="BD22" s="34" t="s">
        <v>156</v>
      </c>
      <c r="BE22" s="34" t="s">
        <v>156</v>
      </c>
      <c r="BF22" s="34" t="s">
        <v>156</v>
      </c>
      <c r="BG22" s="34" t="s">
        <v>156</v>
      </c>
      <c r="BH22" s="34" t="s">
        <v>156</v>
      </c>
      <c r="BI22" s="34" t="s">
        <v>156</v>
      </c>
      <c r="BJ22" s="34" t="s">
        <v>156</v>
      </c>
      <c r="BK22" s="34" t="s">
        <v>156</v>
      </c>
      <c r="BL22" s="34" t="s">
        <v>156</v>
      </c>
      <c r="BM22" s="34" t="s">
        <v>156</v>
      </c>
      <c r="BN22" s="34" t="s">
        <v>156</v>
      </c>
      <c r="BO22" s="34" t="s">
        <v>156</v>
      </c>
      <c r="BP22" s="34" t="s">
        <v>156</v>
      </c>
      <c r="BQ22" s="34" t="s">
        <v>156</v>
      </c>
      <c r="BR22" s="44" t="e">
        <f>IF(#REF!&lt;E22,1,0)</f>
        <v>#REF!</v>
      </c>
      <c r="BS22" s="20" t="s">
        <v>157</v>
      </c>
    </row>
    <row r="23" ht="16.5" spans="1:71">
      <c r="A23" s="21" t="s">
        <v>163</v>
      </c>
      <c r="B23" s="21"/>
      <c r="C23" s="21"/>
      <c r="D23" s="42" t="s">
        <v>164</v>
      </c>
      <c r="E23" s="27">
        <v>60</v>
      </c>
      <c r="F23" s="43">
        <v>89.99</v>
      </c>
      <c r="G23" s="25">
        <f t="shared" si="0"/>
        <v>89.99</v>
      </c>
      <c r="H23" s="25">
        <f t="shared" si="1"/>
        <v>74.9916666666667</v>
      </c>
      <c r="I23" s="25">
        <f t="shared" si="2"/>
        <v>18.786703539823</v>
      </c>
      <c r="J23" s="26">
        <f t="shared" si="3"/>
        <v>0.313111725663717</v>
      </c>
      <c r="K23" s="27">
        <f t="shared" si="4"/>
        <v>74.9916666666667</v>
      </c>
      <c r="L23" s="28">
        <f t="shared" si="5"/>
        <v>0.19991110123347</v>
      </c>
      <c r="M23" s="25">
        <f t="shared" si="6"/>
        <v>14.9916666666667</v>
      </c>
      <c r="N23" s="27">
        <f t="shared" si="7"/>
        <v>142.566371681416</v>
      </c>
      <c r="O23" s="27">
        <f t="shared" si="8"/>
        <v>3.5125</v>
      </c>
      <c r="P23" s="21">
        <v>4</v>
      </c>
      <c r="Q23" s="29">
        <v>8</v>
      </c>
      <c r="R23" s="30">
        <f t="shared" si="9"/>
        <v>0.133333333333333</v>
      </c>
      <c r="S23" s="26">
        <f t="shared" si="20"/>
        <v>0.0888987665296144</v>
      </c>
      <c r="T23" s="30">
        <f t="shared" si="10"/>
        <v>0</v>
      </c>
      <c r="U23" s="30">
        <v>0.01</v>
      </c>
      <c r="V23" s="30">
        <f t="shared" si="11"/>
        <v>0.297013274336283</v>
      </c>
      <c r="W23" s="30">
        <f t="shared" si="12"/>
        <v>0.0585416666666667</v>
      </c>
      <c r="X23" s="31">
        <v>0.188</v>
      </c>
      <c r="Y23" s="32">
        <v>8</v>
      </c>
      <c r="Z23" s="32">
        <f t="shared" si="21"/>
        <v>0</v>
      </c>
      <c r="AA23" s="32">
        <f t="shared" si="13"/>
        <v>0.6</v>
      </c>
      <c r="AB23" s="27">
        <f t="shared" si="14"/>
        <v>11.28</v>
      </c>
      <c r="AC23" s="27">
        <v>138.5</v>
      </c>
      <c r="AD23" s="33">
        <f t="shared" si="15"/>
        <v>122.566371681416</v>
      </c>
      <c r="AE23" s="29">
        <f t="shared" si="16"/>
        <v>2.5</v>
      </c>
      <c r="AF23" s="30">
        <f t="shared" si="17"/>
        <v>0.255346607669617</v>
      </c>
      <c r="AG23" s="30">
        <f t="shared" si="18"/>
        <v>0.0416666666666667</v>
      </c>
      <c r="AH23" s="29">
        <v>20</v>
      </c>
      <c r="AI23" s="26">
        <f t="shared" si="19"/>
        <v>0.350327814201578</v>
      </c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 t="s">
        <v>156</v>
      </c>
      <c r="AU23" s="34" t="s">
        <v>156</v>
      </c>
      <c r="AV23" s="34" t="s">
        <v>156</v>
      </c>
      <c r="AW23" s="34" t="s">
        <v>156</v>
      </c>
      <c r="AX23" s="34" t="s">
        <v>156</v>
      </c>
      <c r="AY23" s="34" t="s">
        <v>156</v>
      </c>
      <c r="AZ23" s="34" t="s">
        <v>156</v>
      </c>
      <c r="BA23" s="34" t="s">
        <v>156</v>
      </c>
      <c r="BB23" s="34" t="s">
        <v>156</v>
      </c>
      <c r="BC23" s="34" t="s">
        <v>156</v>
      </c>
      <c r="BD23" s="34" t="s">
        <v>156</v>
      </c>
      <c r="BE23" s="34" t="s">
        <v>156</v>
      </c>
      <c r="BF23" s="34" t="s">
        <v>156</v>
      </c>
      <c r="BG23" s="34" t="s">
        <v>156</v>
      </c>
      <c r="BH23" s="34" t="s">
        <v>156</v>
      </c>
      <c r="BI23" s="34" t="s">
        <v>156</v>
      </c>
      <c r="BJ23" s="34" t="s">
        <v>156</v>
      </c>
      <c r="BK23" s="34" t="s">
        <v>156</v>
      </c>
      <c r="BL23" s="34" t="s">
        <v>156</v>
      </c>
      <c r="BM23" s="34" t="s">
        <v>156</v>
      </c>
      <c r="BN23" s="34" t="s">
        <v>156</v>
      </c>
      <c r="BO23" s="34" t="s">
        <v>156</v>
      </c>
      <c r="BP23" s="34" t="s">
        <v>156</v>
      </c>
      <c r="BQ23" s="34" t="s">
        <v>156</v>
      </c>
      <c r="BR23" s="44" t="e">
        <f>IF(#REF!&lt;E23,1,0)</f>
        <v>#REF!</v>
      </c>
      <c r="BS23" s="20" t="s">
        <v>157</v>
      </c>
    </row>
    <row r="24" ht="16.5" spans="1:71">
      <c r="A24" s="21" t="s">
        <v>165</v>
      </c>
      <c r="B24" s="21"/>
      <c r="C24" s="21"/>
      <c r="D24" s="42" t="s">
        <v>166</v>
      </c>
      <c r="E24" s="27">
        <v>60</v>
      </c>
      <c r="F24" s="43">
        <v>89.99</v>
      </c>
      <c r="G24" s="25">
        <f t="shared" si="0"/>
        <v>89.99</v>
      </c>
      <c r="H24" s="25">
        <f t="shared" si="1"/>
        <v>74.9916666666667</v>
      </c>
      <c r="I24" s="25">
        <f t="shared" si="2"/>
        <v>17.736703539823</v>
      </c>
      <c r="J24" s="26">
        <f t="shared" si="3"/>
        <v>0.295611725663717</v>
      </c>
      <c r="K24" s="27">
        <f t="shared" si="4"/>
        <v>74.9916666666667</v>
      </c>
      <c r="L24" s="28">
        <f t="shared" si="5"/>
        <v>0.19991110123347</v>
      </c>
      <c r="M24" s="25">
        <f t="shared" si="6"/>
        <v>14.9916666666667</v>
      </c>
      <c r="N24" s="27">
        <f t="shared" si="7"/>
        <v>142.566371681416</v>
      </c>
      <c r="O24" s="27">
        <f t="shared" si="8"/>
        <v>4.5625</v>
      </c>
      <c r="P24" s="21">
        <v>4</v>
      </c>
      <c r="Q24" s="29">
        <v>8</v>
      </c>
      <c r="R24" s="30">
        <f t="shared" si="9"/>
        <v>0.133333333333333</v>
      </c>
      <c r="S24" s="26">
        <f t="shared" si="20"/>
        <v>0.0888987665296144</v>
      </c>
      <c r="T24" s="30">
        <f t="shared" si="10"/>
        <v>0</v>
      </c>
      <c r="U24" s="30">
        <v>0.01</v>
      </c>
      <c r="V24" s="30">
        <f t="shared" si="11"/>
        <v>0.297013274336283</v>
      </c>
      <c r="W24" s="30">
        <f t="shared" si="12"/>
        <v>0.0760416666666667</v>
      </c>
      <c r="X24" s="31">
        <v>0.188</v>
      </c>
      <c r="Y24" s="32">
        <v>8</v>
      </c>
      <c r="Z24" s="32">
        <f t="shared" si="21"/>
        <v>0</v>
      </c>
      <c r="AA24" s="32">
        <f t="shared" si="13"/>
        <v>0.6</v>
      </c>
      <c r="AB24" s="27">
        <f t="shared" si="14"/>
        <v>11.28</v>
      </c>
      <c r="AC24" s="27">
        <v>138.5</v>
      </c>
      <c r="AD24" s="33">
        <f t="shared" si="15"/>
        <v>122.566371681416</v>
      </c>
      <c r="AE24" s="29">
        <f t="shared" si="16"/>
        <v>2.5</v>
      </c>
      <c r="AF24" s="30">
        <f t="shared" si="17"/>
        <v>0.255346607669617</v>
      </c>
      <c r="AG24" s="30">
        <f t="shared" si="18"/>
        <v>0.0416666666666667</v>
      </c>
      <c r="AH24" s="29">
        <v>20</v>
      </c>
      <c r="AI24" s="26">
        <f t="shared" si="19"/>
        <v>0.350327814201578</v>
      </c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 t="s">
        <v>156</v>
      </c>
      <c r="AU24" s="34" t="s">
        <v>156</v>
      </c>
      <c r="AV24" s="34" t="s">
        <v>156</v>
      </c>
      <c r="AW24" s="34" t="s">
        <v>156</v>
      </c>
      <c r="AX24" s="34" t="s">
        <v>156</v>
      </c>
      <c r="AY24" s="34" t="s">
        <v>156</v>
      </c>
      <c r="AZ24" s="34" t="s">
        <v>156</v>
      </c>
      <c r="BA24" s="34" t="s">
        <v>156</v>
      </c>
      <c r="BB24" s="34" t="s">
        <v>156</v>
      </c>
      <c r="BC24" s="34" t="s">
        <v>156</v>
      </c>
      <c r="BD24" s="34" t="s">
        <v>156</v>
      </c>
      <c r="BE24" s="34" t="s">
        <v>156</v>
      </c>
      <c r="BF24" s="34" t="s">
        <v>156</v>
      </c>
      <c r="BG24" s="34" t="s">
        <v>156</v>
      </c>
      <c r="BH24" s="34" t="s">
        <v>156</v>
      </c>
      <c r="BI24" s="34" t="s">
        <v>156</v>
      </c>
      <c r="BJ24" s="34" t="s">
        <v>156</v>
      </c>
      <c r="BK24" s="34" t="s">
        <v>156</v>
      </c>
      <c r="BL24" s="34" t="s">
        <v>156</v>
      </c>
      <c r="BM24" s="34" t="s">
        <v>156</v>
      </c>
      <c r="BN24" s="34" t="s">
        <v>156</v>
      </c>
      <c r="BO24" s="34" t="s">
        <v>156</v>
      </c>
      <c r="BP24" s="34" t="s">
        <v>156</v>
      </c>
      <c r="BQ24" s="34" t="s">
        <v>156</v>
      </c>
      <c r="BR24" s="44" t="e">
        <f>IF(#REF!&lt;E24,1,0)</f>
        <v>#REF!</v>
      </c>
      <c r="BS24" s="20" t="s">
        <v>157</v>
      </c>
    </row>
    <row r="25" ht="16.5" spans="1:71">
      <c r="A25" s="21" t="s">
        <v>167</v>
      </c>
      <c r="B25" s="21"/>
      <c r="C25" s="21"/>
      <c r="D25" s="42" t="s">
        <v>168</v>
      </c>
      <c r="E25" s="27">
        <v>60</v>
      </c>
      <c r="F25" s="43">
        <v>89.99</v>
      </c>
      <c r="G25" s="25">
        <f t="shared" si="0"/>
        <v>89.99</v>
      </c>
      <c r="H25" s="25">
        <f t="shared" si="1"/>
        <v>74.9916666666667</v>
      </c>
      <c r="I25" s="25">
        <f t="shared" si="2"/>
        <v>18.736703539823</v>
      </c>
      <c r="J25" s="26">
        <f t="shared" si="3"/>
        <v>0.312278392330383</v>
      </c>
      <c r="K25" s="27">
        <f t="shared" si="4"/>
        <v>74.9916666666667</v>
      </c>
      <c r="L25" s="28">
        <f t="shared" si="5"/>
        <v>0.19991110123347</v>
      </c>
      <c r="M25" s="25">
        <f t="shared" si="6"/>
        <v>14.9916666666667</v>
      </c>
      <c r="N25" s="27">
        <f t="shared" si="7"/>
        <v>142.566371681416</v>
      </c>
      <c r="O25" s="27">
        <f t="shared" si="8"/>
        <v>3.5625</v>
      </c>
      <c r="P25" s="21">
        <v>4</v>
      </c>
      <c r="Q25" s="29">
        <v>8</v>
      </c>
      <c r="R25" s="30">
        <f t="shared" si="9"/>
        <v>0.133333333333333</v>
      </c>
      <c r="S25" s="26">
        <f t="shared" si="20"/>
        <v>0.0888987665296144</v>
      </c>
      <c r="T25" s="30">
        <f t="shared" si="10"/>
        <v>0</v>
      </c>
      <c r="U25" s="30">
        <v>0.01</v>
      </c>
      <c r="V25" s="30">
        <f t="shared" si="11"/>
        <v>0.297013274336283</v>
      </c>
      <c r="W25" s="30">
        <f t="shared" si="12"/>
        <v>0.059375</v>
      </c>
      <c r="X25" s="31">
        <v>0.188</v>
      </c>
      <c r="Y25" s="32">
        <v>8</v>
      </c>
      <c r="Z25" s="32">
        <f t="shared" si="21"/>
        <v>0</v>
      </c>
      <c r="AA25" s="32">
        <f t="shared" si="13"/>
        <v>0.6</v>
      </c>
      <c r="AB25" s="27">
        <f t="shared" si="14"/>
        <v>11.28</v>
      </c>
      <c r="AC25" s="27">
        <v>138.5</v>
      </c>
      <c r="AD25" s="33">
        <f t="shared" si="15"/>
        <v>122.566371681416</v>
      </c>
      <c r="AE25" s="29">
        <f t="shared" si="16"/>
        <v>2.5</v>
      </c>
      <c r="AF25" s="30">
        <f t="shared" si="17"/>
        <v>0.255346607669617</v>
      </c>
      <c r="AG25" s="30">
        <f t="shared" si="18"/>
        <v>0.0416666666666667</v>
      </c>
      <c r="AH25" s="29">
        <v>20</v>
      </c>
      <c r="AI25" s="26">
        <f t="shared" si="19"/>
        <v>0.350327814201578</v>
      </c>
      <c r="AJ25" s="30"/>
      <c r="AK25" s="30"/>
      <c r="AL25" s="30"/>
      <c r="AM25" s="30"/>
      <c r="AN25" s="34"/>
      <c r="AO25" s="34"/>
      <c r="AP25" s="34"/>
      <c r="AQ25" s="34"/>
      <c r="AR25" s="34"/>
      <c r="AS25" s="34"/>
      <c r="AT25" s="34" t="s">
        <v>156</v>
      </c>
      <c r="AU25" s="34" t="s">
        <v>156</v>
      </c>
      <c r="AV25" s="34" t="s">
        <v>156</v>
      </c>
      <c r="AW25" s="34" t="s">
        <v>156</v>
      </c>
      <c r="AX25" s="34" t="s">
        <v>156</v>
      </c>
      <c r="AY25" s="34" t="s">
        <v>156</v>
      </c>
      <c r="AZ25" s="34" t="s">
        <v>156</v>
      </c>
      <c r="BA25" s="34" t="s">
        <v>156</v>
      </c>
      <c r="BB25" s="34" t="s">
        <v>156</v>
      </c>
      <c r="BC25" s="34" t="s">
        <v>156</v>
      </c>
      <c r="BD25" s="34" t="s">
        <v>156</v>
      </c>
      <c r="BE25" s="34" t="s">
        <v>156</v>
      </c>
      <c r="BF25" s="34" t="s">
        <v>156</v>
      </c>
      <c r="BG25" s="34" t="s">
        <v>156</v>
      </c>
      <c r="BH25" s="34" t="s">
        <v>156</v>
      </c>
      <c r="BI25" s="34" t="s">
        <v>156</v>
      </c>
      <c r="BJ25" s="34" t="s">
        <v>156</v>
      </c>
      <c r="BK25" s="34" t="s">
        <v>156</v>
      </c>
      <c r="BL25" s="34" t="s">
        <v>156</v>
      </c>
      <c r="BM25" s="34" t="s">
        <v>156</v>
      </c>
      <c r="BN25" s="34" t="s">
        <v>156</v>
      </c>
      <c r="BO25" s="34" t="s">
        <v>156</v>
      </c>
      <c r="BP25" s="34" t="s">
        <v>156</v>
      </c>
      <c r="BQ25" s="34" t="s">
        <v>156</v>
      </c>
      <c r="BR25" s="44" t="e">
        <f>IF(#REF!&lt;E25,1,0)</f>
        <v>#REF!</v>
      </c>
      <c r="BS25" s="20" t="s">
        <v>157</v>
      </c>
    </row>
    <row r="26" ht="16.5" spans="1:71">
      <c r="E26" s="27"/>
      <c r="F26" s="43"/>
      <c r="G26" s="25"/>
      <c r="H26" s="25"/>
      <c r="I26" s="25"/>
      <c r="J26" s="26"/>
      <c r="K26" s="27"/>
      <c r="L26" s="27"/>
      <c r="M26" s="27"/>
      <c r="N26" s="27"/>
      <c r="O26" s="27"/>
      <c r="P26" s="21"/>
      <c r="Q26" s="29"/>
      <c r="R26" s="30"/>
      <c r="S26" s="26"/>
      <c r="T26" s="30"/>
      <c r="U26" s="30"/>
      <c r="V26" s="30"/>
      <c r="W26" s="30"/>
      <c r="X26" s="31"/>
      <c r="Y26" s="32"/>
      <c r="Z26" s="32"/>
      <c r="AA26" s="32"/>
      <c r="AB26" s="27"/>
      <c r="AC26" s="27"/>
      <c r="AD26" s="33"/>
      <c r="AE26" s="29"/>
      <c r="AF26" s="30"/>
      <c r="AG26" s="30"/>
      <c r="AH26" s="29"/>
      <c r="AI26" s="30"/>
      <c r="AJ26" s="30"/>
      <c r="AK26" s="30"/>
      <c r="AL26" s="30"/>
      <c r="AM26" s="30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44"/>
      <c r="BS26" s="20"/>
    </row>
    <row r="27" ht="16.5" spans="1:71">
      <c r="A27" s="20" t="s">
        <v>50</v>
      </c>
      <c r="B27" s="21"/>
      <c r="C27" s="21"/>
      <c r="D27" s="39" t="s">
        <v>155</v>
      </c>
      <c r="E27" s="23">
        <v>76</v>
      </c>
      <c r="F27" s="38">
        <v>109.99</v>
      </c>
      <c r="G27" s="25">
        <f t="shared" ref="G27:G50" si="22">(F27-Z27)</f>
        <v>109.99</v>
      </c>
      <c r="H27" s="25">
        <f t="shared" ref="H27:H50" si="23">(F27-Z27)/1.2</f>
        <v>91.6583333333333</v>
      </c>
      <c r="I27" s="25">
        <f t="shared" ref="I27:I50" si="24">E27-N27/Q27-AB27-Y27-O27-Z27-AA27</f>
        <v>19.4671130776794</v>
      </c>
      <c r="J27" s="26">
        <f t="shared" ref="J27:J50" si="25">I27/E27</f>
        <v>0.256146224706308</v>
      </c>
      <c r="K27" s="27">
        <f t="shared" ref="K27:K50" si="26">F27/1.2</f>
        <v>91.6583333333333</v>
      </c>
      <c r="L27" s="28">
        <f t="shared" ref="L27:L50" si="27">(K27-E27)/K27</f>
        <v>0.17083371215565</v>
      </c>
      <c r="M27" s="25">
        <f t="shared" ref="M27:M50" si="28">F27/1.2-E27</f>
        <v>15.6583333333333</v>
      </c>
      <c r="N27" s="27">
        <f t="shared" ref="N27:N50" si="29">AD27+AH27</f>
        <v>245.353982300885</v>
      </c>
      <c r="O27" s="27">
        <f t="shared" ref="O27:O50" si="30">IFERROR(IF(A27="UK",8.95/P27,IF(A27="DE",7.75/P27,IF(A27="FR",14.25/P27,IF(A27="IT",15.25/P27,IF(A27="ES",19.25/P27,IF(A27="NL",16.75/P27,IF(A27="PL",14.05/P27,IF(A27="SE",18.25/P27,IF(A27="BE",14.25/P27))))))))),0)</f>
        <v>2.98333333333333</v>
      </c>
      <c r="P27" s="20">
        <v>3</v>
      </c>
      <c r="Q27" s="29">
        <v>9</v>
      </c>
      <c r="R27" s="30">
        <f t="shared" ref="R27:R50" si="31">Y27/E27</f>
        <v>0.157894736842105</v>
      </c>
      <c r="S27" s="26">
        <f t="shared" ref="S27:S30" si="32">Y27/H27</f>
        <v>0.130920992817529</v>
      </c>
      <c r="T27" s="30">
        <f t="shared" ref="T27:T50" si="33">Z27/E27</f>
        <v>0</v>
      </c>
      <c r="U27" s="30">
        <v>0.01</v>
      </c>
      <c r="V27" s="30">
        <f t="shared" ref="V27:V50" si="34">N27/(E27*Q27)</f>
        <v>0.358704652486674</v>
      </c>
      <c r="W27" s="30">
        <f t="shared" ref="W27:W50" si="35">O27/E27</f>
        <v>0.0392543859649123</v>
      </c>
      <c r="X27" s="31">
        <v>0.178</v>
      </c>
      <c r="Y27" s="32">
        <v>12</v>
      </c>
      <c r="Z27" s="32">
        <f>F27*0</f>
        <v>0</v>
      </c>
      <c r="AA27" s="32">
        <f t="shared" ref="AA27:AA50" si="36">E27*U27</f>
        <v>0.76</v>
      </c>
      <c r="AB27" s="27">
        <f t="shared" ref="AB27:AB50" si="37">E27*X27</f>
        <v>13.528</v>
      </c>
      <c r="AC27" s="27">
        <v>249</v>
      </c>
      <c r="AD27" s="33">
        <f t="shared" ref="AD27:AD50" si="38">AC27/1.13</f>
        <v>220.353982300885</v>
      </c>
      <c r="AE27" s="29">
        <f t="shared" ref="AE27:AE50" si="39">AH27/Q27</f>
        <v>2.77777777777778</v>
      </c>
      <c r="AF27" s="30">
        <f t="shared" ref="AF27:AF50" si="40">AD27/(E27*Q27)</f>
        <v>0.322154944884335</v>
      </c>
      <c r="AG27" s="30">
        <f t="shared" ref="AG27:AG50" si="41">AE27/E27</f>
        <v>0.0365497076023392</v>
      </c>
      <c r="AH27" s="29">
        <v>25</v>
      </c>
      <c r="AI27" s="30">
        <f t="shared" ref="AI27:AI37" si="42">(H27-E27+AB27)/H27</f>
        <v>0.318425311391945</v>
      </c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4" t="s">
        <v>156</v>
      </c>
      <c r="AU27" s="34" t="s">
        <v>156</v>
      </c>
      <c r="AV27" s="34" t="s">
        <v>156</v>
      </c>
      <c r="AW27" s="34" t="s">
        <v>156</v>
      </c>
      <c r="AX27" s="34" t="s">
        <v>156</v>
      </c>
      <c r="AY27" s="34" t="s">
        <v>156</v>
      </c>
      <c r="AZ27" s="34" t="s">
        <v>156</v>
      </c>
      <c r="BA27" s="34" t="s">
        <v>156</v>
      </c>
      <c r="BB27" s="34" t="s">
        <v>156</v>
      </c>
      <c r="BC27" s="34" t="s">
        <v>156</v>
      </c>
      <c r="BD27" s="34" t="s">
        <v>156</v>
      </c>
      <c r="BE27" s="34" t="s">
        <v>156</v>
      </c>
      <c r="BF27" s="34" t="s">
        <v>156</v>
      </c>
      <c r="BG27" s="34" t="s">
        <v>156</v>
      </c>
      <c r="BH27" s="34" t="s">
        <v>156</v>
      </c>
      <c r="BI27" s="34" t="s">
        <v>156</v>
      </c>
      <c r="BJ27" s="34" t="s">
        <v>156</v>
      </c>
      <c r="BK27" s="34" t="s">
        <v>156</v>
      </c>
      <c r="BL27" s="34" t="s">
        <v>156</v>
      </c>
      <c r="BM27" s="34" t="s">
        <v>156</v>
      </c>
      <c r="BN27" s="34" t="s">
        <v>156</v>
      </c>
      <c r="BO27" s="34" t="s">
        <v>156</v>
      </c>
      <c r="BP27" s="34" t="s">
        <v>156</v>
      </c>
      <c r="BQ27" s="34" t="s">
        <v>156</v>
      </c>
      <c r="BR27" s="35"/>
      <c r="BS27" s="20" t="s">
        <v>157</v>
      </c>
    </row>
    <row r="28" ht="16.5" spans="1:71">
      <c r="A28" s="20" t="s">
        <v>50</v>
      </c>
      <c r="B28" s="21"/>
      <c r="C28" s="21"/>
      <c r="D28" s="39" t="s">
        <v>158</v>
      </c>
      <c r="E28" s="23">
        <v>76</v>
      </c>
      <c r="F28" s="24">
        <v>109.99</v>
      </c>
      <c r="G28" s="25">
        <f t="shared" si="22"/>
        <v>104.4905</v>
      </c>
      <c r="H28" s="25">
        <f t="shared" si="23"/>
        <v>87.0754166666667</v>
      </c>
      <c r="I28" s="25">
        <f t="shared" si="24"/>
        <v>13.9676130776794</v>
      </c>
      <c r="J28" s="26">
        <f t="shared" si="25"/>
        <v>0.183784382601045</v>
      </c>
      <c r="K28" s="27">
        <f t="shared" si="26"/>
        <v>91.6583333333333</v>
      </c>
      <c r="L28" s="28">
        <f t="shared" si="27"/>
        <v>0.17083371215565</v>
      </c>
      <c r="M28" s="25">
        <f t="shared" si="28"/>
        <v>15.6583333333333</v>
      </c>
      <c r="N28" s="27">
        <f t="shared" si="29"/>
        <v>245.353982300885</v>
      </c>
      <c r="O28" s="27">
        <f t="shared" si="30"/>
        <v>2.98333333333333</v>
      </c>
      <c r="P28" s="21">
        <v>3</v>
      </c>
      <c r="Q28" s="29">
        <v>9</v>
      </c>
      <c r="R28" s="30">
        <f t="shared" si="31"/>
        <v>0.157894736842105</v>
      </c>
      <c r="S28" s="26">
        <f t="shared" si="32"/>
        <v>0.137811571386873</v>
      </c>
      <c r="T28" s="30">
        <f t="shared" si="33"/>
        <v>0.0723618421052632</v>
      </c>
      <c r="U28" s="30">
        <v>0.01</v>
      </c>
      <c r="V28" s="30">
        <f t="shared" si="34"/>
        <v>0.358704652486674</v>
      </c>
      <c r="W28" s="30">
        <f t="shared" si="35"/>
        <v>0.0392543859649123</v>
      </c>
      <c r="X28" s="31">
        <v>0.178</v>
      </c>
      <c r="Y28" s="32">
        <v>12</v>
      </c>
      <c r="Z28" s="32">
        <f>F28*0.05</f>
        <v>5.4995</v>
      </c>
      <c r="AA28" s="32">
        <f t="shared" si="36"/>
        <v>0.76</v>
      </c>
      <c r="AB28" s="27">
        <f t="shared" si="37"/>
        <v>13.528</v>
      </c>
      <c r="AC28" s="27">
        <v>249</v>
      </c>
      <c r="AD28" s="33">
        <f t="shared" si="38"/>
        <v>220.353982300885</v>
      </c>
      <c r="AE28" s="29">
        <f t="shared" si="39"/>
        <v>2.77777777777778</v>
      </c>
      <c r="AF28" s="30">
        <f t="shared" si="40"/>
        <v>0.322154944884335</v>
      </c>
      <c r="AG28" s="30">
        <f t="shared" si="41"/>
        <v>0.0365497076023392</v>
      </c>
      <c r="AH28" s="29">
        <v>25</v>
      </c>
      <c r="AI28" s="30">
        <f t="shared" si="42"/>
        <v>0.282552959359942</v>
      </c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4" t="s">
        <v>156</v>
      </c>
      <c r="AU28" s="34" t="s">
        <v>156</v>
      </c>
      <c r="AV28" s="34" t="s">
        <v>156</v>
      </c>
      <c r="AW28" s="34" t="s">
        <v>156</v>
      </c>
      <c r="AX28" s="34" t="s">
        <v>156</v>
      </c>
      <c r="AY28" s="34" t="s">
        <v>156</v>
      </c>
      <c r="AZ28" s="34" t="s">
        <v>156</v>
      </c>
      <c r="BA28" s="34" t="s">
        <v>156</v>
      </c>
      <c r="BB28" s="34" t="s">
        <v>156</v>
      </c>
      <c r="BC28" s="34" t="s">
        <v>156</v>
      </c>
      <c r="BD28" s="34" t="s">
        <v>156</v>
      </c>
      <c r="BE28" s="34" t="s">
        <v>156</v>
      </c>
      <c r="BF28" s="34" t="s">
        <v>156</v>
      </c>
      <c r="BG28" s="34" t="s">
        <v>156</v>
      </c>
      <c r="BH28" s="34" t="s">
        <v>156</v>
      </c>
      <c r="BI28" s="34" t="s">
        <v>156</v>
      </c>
      <c r="BJ28" s="34" t="s">
        <v>156</v>
      </c>
      <c r="BK28" s="34" t="s">
        <v>156</v>
      </c>
      <c r="BL28" s="34" t="s">
        <v>156</v>
      </c>
      <c r="BM28" s="34" t="s">
        <v>156</v>
      </c>
      <c r="BN28" s="34" t="s">
        <v>156</v>
      </c>
      <c r="BO28" s="34" t="s">
        <v>156</v>
      </c>
      <c r="BP28" s="34" t="s">
        <v>156</v>
      </c>
      <c r="BQ28" s="34" t="s">
        <v>156</v>
      </c>
      <c r="BR28" s="35"/>
      <c r="BS28" s="20" t="s">
        <v>157</v>
      </c>
    </row>
    <row r="29" ht="16.5" spans="1:71">
      <c r="A29" s="20" t="s">
        <v>50</v>
      </c>
      <c r="B29" s="21"/>
      <c r="C29" s="21"/>
      <c r="D29" s="39" t="s">
        <v>159</v>
      </c>
      <c r="E29" s="23">
        <v>76</v>
      </c>
      <c r="F29" s="24">
        <v>109.99</v>
      </c>
      <c r="G29" s="25">
        <f t="shared" si="22"/>
        <v>98.991</v>
      </c>
      <c r="H29" s="25">
        <f t="shared" si="23"/>
        <v>82.4925</v>
      </c>
      <c r="I29" s="25">
        <f t="shared" si="24"/>
        <v>8.46811307767945</v>
      </c>
      <c r="J29" s="26">
        <f t="shared" si="25"/>
        <v>0.111422540495782</v>
      </c>
      <c r="K29" s="27">
        <f t="shared" si="26"/>
        <v>91.6583333333333</v>
      </c>
      <c r="L29" s="28">
        <f t="shared" si="27"/>
        <v>0.17083371215565</v>
      </c>
      <c r="M29" s="25">
        <f t="shared" si="28"/>
        <v>15.6583333333333</v>
      </c>
      <c r="N29" s="27">
        <f t="shared" si="29"/>
        <v>245.353982300885</v>
      </c>
      <c r="O29" s="27">
        <f t="shared" si="30"/>
        <v>2.98333333333333</v>
      </c>
      <c r="P29" s="21">
        <v>3</v>
      </c>
      <c r="Q29" s="29">
        <v>9</v>
      </c>
      <c r="R29" s="30">
        <f t="shared" si="31"/>
        <v>0.157894736842105</v>
      </c>
      <c r="S29" s="26">
        <f t="shared" si="32"/>
        <v>0.145467769797254</v>
      </c>
      <c r="T29" s="30">
        <f t="shared" si="33"/>
        <v>0.144723684210526</v>
      </c>
      <c r="U29" s="30">
        <v>0.01</v>
      </c>
      <c r="V29" s="30">
        <f t="shared" si="34"/>
        <v>0.358704652486674</v>
      </c>
      <c r="W29" s="30">
        <f t="shared" si="35"/>
        <v>0.0392543859649123</v>
      </c>
      <c r="X29" s="31">
        <v>0.178</v>
      </c>
      <c r="Y29" s="32">
        <v>12</v>
      </c>
      <c r="Z29" s="32">
        <f>F29*0.1</f>
        <v>10.999</v>
      </c>
      <c r="AA29" s="32">
        <f t="shared" si="36"/>
        <v>0.76</v>
      </c>
      <c r="AB29" s="27">
        <f t="shared" si="37"/>
        <v>13.528</v>
      </c>
      <c r="AC29" s="27">
        <v>249</v>
      </c>
      <c r="AD29" s="33">
        <f t="shared" si="38"/>
        <v>220.353982300885</v>
      </c>
      <c r="AE29" s="29">
        <f t="shared" si="39"/>
        <v>2.77777777777778</v>
      </c>
      <c r="AF29" s="30">
        <f t="shared" si="40"/>
        <v>0.322154944884335</v>
      </c>
      <c r="AG29" s="30">
        <f t="shared" si="41"/>
        <v>0.0365497076023392</v>
      </c>
      <c r="AH29" s="29">
        <v>25</v>
      </c>
      <c r="AI29" s="30">
        <f t="shared" si="42"/>
        <v>0.242694790435494</v>
      </c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4" t="s">
        <v>156</v>
      </c>
      <c r="AU29" s="34" t="s">
        <v>156</v>
      </c>
      <c r="AV29" s="34" t="s">
        <v>156</v>
      </c>
      <c r="AW29" s="34" t="s">
        <v>156</v>
      </c>
      <c r="AX29" s="34" t="s">
        <v>156</v>
      </c>
      <c r="AY29" s="34" t="s">
        <v>156</v>
      </c>
      <c r="AZ29" s="34" t="s">
        <v>156</v>
      </c>
      <c r="BA29" s="34" t="s">
        <v>156</v>
      </c>
      <c r="BB29" s="34" t="s">
        <v>156</v>
      </c>
      <c r="BC29" s="34" t="s">
        <v>156</v>
      </c>
      <c r="BD29" s="34" t="s">
        <v>156</v>
      </c>
      <c r="BE29" s="34" t="s">
        <v>156</v>
      </c>
      <c r="BF29" s="34" t="s">
        <v>156</v>
      </c>
      <c r="BG29" s="34" t="s">
        <v>156</v>
      </c>
      <c r="BH29" s="34" t="s">
        <v>156</v>
      </c>
      <c r="BI29" s="34" t="s">
        <v>156</v>
      </c>
      <c r="BJ29" s="34" t="s">
        <v>156</v>
      </c>
      <c r="BK29" s="34" t="s">
        <v>156</v>
      </c>
      <c r="BL29" s="34" t="s">
        <v>156</v>
      </c>
      <c r="BM29" s="34" t="s">
        <v>156</v>
      </c>
      <c r="BN29" s="34" t="s">
        <v>156</v>
      </c>
      <c r="BO29" s="34" t="s">
        <v>156</v>
      </c>
      <c r="BP29" s="34" t="s">
        <v>156</v>
      </c>
      <c r="BQ29" s="34" t="s">
        <v>156</v>
      </c>
      <c r="BR29" s="35"/>
      <c r="BS29" s="20" t="s">
        <v>157</v>
      </c>
    </row>
    <row r="30" ht="16.5" spans="1:71">
      <c r="A30" s="20" t="s">
        <v>50</v>
      </c>
      <c r="B30" s="21"/>
      <c r="C30" s="21"/>
      <c r="D30" s="39" t="s">
        <v>160</v>
      </c>
      <c r="E30" s="23">
        <v>76</v>
      </c>
      <c r="F30" s="24">
        <v>109.99</v>
      </c>
      <c r="G30" s="25">
        <f t="shared" si="22"/>
        <v>93.4915</v>
      </c>
      <c r="H30" s="25">
        <f t="shared" si="23"/>
        <v>77.9095833333333</v>
      </c>
      <c r="I30" s="25">
        <f t="shared" si="24"/>
        <v>2.96861307767945</v>
      </c>
      <c r="J30" s="26">
        <f t="shared" si="25"/>
        <v>0.0390606983905191</v>
      </c>
      <c r="K30" s="27">
        <f t="shared" si="26"/>
        <v>91.6583333333333</v>
      </c>
      <c r="L30" s="28">
        <f t="shared" si="27"/>
        <v>0.17083371215565</v>
      </c>
      <c r="M30" s="25">
        <f t="shared" si="28"/>
        <v>15.6583333333333</v>
      </c>
      <c r="N30" s="27">
        <f t="shared" si="29"/>
        <v>245.353982300885</v>
      </c>
      <c r="O30" s="27">
        <f t="shared" si="30"/>
        <v>2.98333333333333</v>
      </c>
      <c r="P30" s="21">
        <v>3</v>
      </c>
      <c r="Q30" s="29">
        <v>9</v>
      </c>
      <c r="R30" s="30">
        <f t="shared" si="31"/>
        <v>0.157894736842105</v>
      </c>
      <c r="S30" s="26">
        <f t="shared" si="32"/>
        <v>0.154024697432387</v>
      </c>
      <c r="T30" s="30">
        <f t="shared" si="33"/>
        <v>0.217085526315789</v>
      </c>
      <c r="U30" s="30">
        <v>0.01</v>
      </c>
      <c r="V30" s="30">
        <f t="shared" si="34"/>
        <v>0.358704652486674</v>
      </c>
      <c r="W30" s="30">
        <f t="shared" si="35"/>
        <v>0.0392543859649123</v>
      </c>
      <c r="X30" s="31">
        <v>0.178</v>
      </c>
      <c r="Y30" s="32">
        <v>12</v>
      </c>
      <c r="Z30" s="32">
        <f>F30*0.15</f>
        <v>16.4985</v>
      </c>
      <c r="AA30" s="32">
        <f t="shared" si="36"/>
        <v>0.76</v>
      </c>
      <c r="AB30" s="27">
        <f t="shared" si="37"/>
        <v>13.528</v>
      </c>
      <c r="AC30" s="27">
        <v>249</v>
      </c>
      <c r="AD30" s="33">
        <f t="shared" si="38"/>
        <v>220.353982300885</v>
      </c>
      <c r="AE30" s="29">
        <f t="shared" si="39"/>
        <v>2.77777777777778</v>
      </c>
      <c r="AF30" s="30">
        <f t="shared" si="40"/>
        <v>0.322154944884335</v>
      </c>
      <c r="AG30" s="30">
        <f t="shared" si="41"/>
        <v>0.0365497076023392</v>
      </c>
      <c r="AH30" s="29">
        <v>25</v>
      </c>
      <c r="AI30" s="30">
        <f t="shared" si="42"/>
        <v>0.198147425166994</v>
      </c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4" t="s">
        <v>156</v>
      </c>
      <c r="AU30" s="34" t="s">
        <v>156</v>
      </c>
      <c r="AV30" s="34" t="s">
        <v>156</v>
      </c>
      <c r="AW30" s="34" t="s">
        <v>156</v>
      </c>
      <c r="AX30" s="34" t="s">
        <v>156</v>
      </c>
      <c r="AY30" s="34" t="s">
        <v>156</v>
      </c>
      <c r="AZ30" s="34" t="s">
        <v>156</v>
      </c>
      <c r="BA30" s="34" t="s">
        <v>156</v>
      </c>
      <c r="BB30" s="34" t="s">
        <v>156</v>
      </c>
      <c r="BC30" s="34" t="s">
        <v>156</v>
      </c>
      <c r="BD30" s="34" t="s">
        <v>156</v>
      </c>
      <c r="BE30" s="34" t="s">
        <v>156</v>
      </c>
      <c r="BF30" s="34" t="s">
        <v>156</v>
      </c>
      <c r="BG30" s="34" t="s">
        <v>156</v>
      </c>
      <c r="BH30" s="34" t="s">
        <v>156</v>
      </c>
      <c r="BI30" s="34" t="s">
        <v>156</v>
      </c>
      <c r="BJ30" s="34" t="s">
        <v>156</v>
      </c>
      <c r="BK30" s="34" t="s">
        <v>156</v>
      </c>
      <c r="BL30" s="34" t="s">
        <v>156</v>
      </c>
      <c r="BM30" s="34" t="s">
        <v>156</v>
      </c>
      <c r="BN30" s="34" t="s">
        <v>156</v>
      </c>
      <c r="BO30" s="34" t="s">
        <v>156</v>
      </c>
      <c r="BP30" s="34" t="s">
        <v>156</v>
      </c>
      <c r="BQ30" s="34" t="s">
        <v>156</v>
      </c>
      <c r="BR30" s="35"/>
      <c r="BS30" s="20" t="s">
        <v>157</v>
      </c>
    </row>
    <row r="31" ht="16.5" spans="1:71">
      <c r="A31" s="21" t="s">
        <v>37</v>
      </c>
      <c r="B31" s="21"/>
      <c r="C31" s="21"/>
      <c r="D31" s="39" t="s">
        <v>155</v>
      </c>
      <c r="E31" s="23">
        <v>86</v>
      </c>
      <c r="F31" s="38">
        <v>124.99</v>
      </c>
      <c r="G31" s="25">
        <f t="shared" si="22"/>
        <v>124.99</v>
      </c>
      <c r="H31" s="25">
        <f t="shared" si="23"/>
        <v>104.158333333333</v>
      </c>
      <c r="I31" s="25">
        <f t="shared" si="24"/>
        <v>23.094418879056</v>
      </c>
      <c r="J31" s="26">
        <f t="shared" si="25"/>
        <v>0.268539754407628</v>
      </c>
      <c r="K31" s="27">
        <f t="shared" si="26"/>
        <v>104.158333333333</v>
      </c>
      <c r="L31" s="28">
        <f t="shared" si="27"/>
        <v>0.174333946715737</v>
      </c>
      <c r="M31" s="25">
        <f t="shared" si="28"/>
        <v>18.1583333333333</v>
      </c>
      <c r="N31" s="27">
        <f t="shared" si="29"/>
        <v>250.353982300885</v>
      </c>
      <c r="O31" s="27">
        <f t="shared" si="30"/>
        <v>2.58333333333333</v>
      </c>
      <c r="P31" s="21">
        <v>3</v>
      </c>
      <c r="Q31" s="29">
        <v>8</v>
      </c>
      <c r="R31" s="30">
        <f t="shared" si="31"/>
        <v>0.13953488372093</v>
      </c>
      <c r="S31" s="26">
        <f t="shared" ref="S31:S50" si="43">Y31/F31</f>
        <v>0.0960076806144492</v>
      </c>
      <c r="T31" s="30">
        <f t="shared" si="33"/>
        <v>0</v>
      </c>
      <c r="U31" s="30">
        <v>0.01</v>
      </c>
      <c r="V31" s="30">
        <f t="shared" si="34"/>
        <v>0.363886602181519</v>
      </c>
      <c r="W31" s="30">
        <f t="shared" si="35"/>
        <v>0.0300387596899225</v>
      </c>
      <c r="X31" s="31">
        <v>0.188</v>
      </c>
      <c r="Y31" s="32">
        <v>12</v>
      </c>
      <c r="Z31" s="32">
        <v>0</v>
      </c>
      <c r="AA31" s="32">
        <f t="shared" si="36"/>
        <v>0.86</v>
      </c>
      <c r="AB31" s="27">
        <f t="shared" si="37"/>
        <v>16.168</v>
      </c>
      <c r="AC31" s="27">
        <v>249</v>
      </c>
      <c r="AD31" s="33">
        <f t="shared" si="38"/>
        <v>220.353982300885</v>
      </c>
      <c r="AE31" s="29">
        <f t="shared" si="39"/>
        <v>3.75</v>
      </c>
      <c r="AF31" s="30">
        <f t="shared" si="40"/>
        <v>0.320281951018728</v>
      </c>
      <c r="AG31" s="30">
        <f t="shared" si="41"/>
        <v>0.0436046511627907</v>
      </c>
      <c r="AH31" s="29">
        <v>30</v>
      </c>
      <c r="AI31" s="30">
        <f t="shared" si="42"/>
        <v>0.329559164733179</v>
      </c>
      <c r="AJ31" s="30"/>
      <c r="AK31" s="30"/>
      <c r="AL31" s="30"/>
      <c r="AM31" s="30"/>
      <c r="AN31" s="34"/>
      <c r="AO31" s="34"/>
      <c r="AP31" s="34"/>
      <c r="AQ31" s="34"/>
      <c r="AR31" s="34"/>
      <c r="AS31" s="34"/>
      <c r="AT31" s="34" t="s">
        <v>156</v>
      </c>
      <c r="AU31" s="34" t="s">
        <v>156</v>
      </c>
      <c r="AV31" s="34" t="s">
        <v>156</v>
      </c>
      <c r="AW31" s="34" t="s">
        <v>156</v>
      </c>
      <c r="AX31" s="34" t="s">
        <v>156</v>
      </c>
      <c r="AY31" s="34" t="s">
        <v>156</v>
      </c>
      <c r="AZ31" s="34" t="s">
        <v>156</v>
      </c>
      <c r="BA31" s="34" t="s">
        <v>156</v>
      </c>
      <c r="BB31" s="34" t="s">
        <v>156</v>
      </c>
      <c r="BC31" s="34" t="s">
        <v>156</v>
      </c>
      <c r="BD31" s="34" t="s">
        <v>156</v>
      </c>
      <c r="BE31" s="34" t="s">
        <v>156</v>
      </c>
      <c r="BF31" s="34" t="s">
        <v>156</v>
      </c>
      <c r="BG31" s="34" t="s">
        <v>156</v>
      </c>
      <c r="BH31" s="34" t="s">
        <v>156</v>
      </c>
      <c r="BI31" s="34" t="s">
        <v>156</v>
      </c>
      <c r="BJ31" s="34" t="s">
        <v>156</v>
      </c>
      <c r="BK31" s="34" t="s">
        <v>156</v>
      </c>
      <c r="BL31" s="34" t="s">
        <v>156</v>
      </c>
      <c r="BM31" s="34" t="s">
        <v>156</v>
      </c>
      <c r="BN31" s="34" t="s">
        <v>156</v>
      </c>
      <c r="BO31" s="34" t="s">
        <v>156</v>
      </c>
      <c r="BP31" s="34" t="s">
        <v>156</v>
      </c>
      <c r="BQ31" s="34" t="s">
        <v>156</v>
      </c>
      <c r="BR31" s="35"/>
      <c r="BS31" s="20" t="s">
        <v>157</v>
      </c>
    </row>
    <row r="32" ht="16.5" spans="1:71">
      <c r="A32" s="21" t="s">
        <v>37</v>
      </c>
      <c r="B32" s="21"/>
      <c r="C32" s="21"/>
      <c r="D32" s="39" t="s">
        <v>158</v>
      </c>
      <c r="E32" s="23">
        <v>86</v>
      </c>
      <c r="F32" s="24">
        <v>124.99</v>
      </c>
      <c r="G32" s="25">
        <f t="shared" si="22"/>
        <v>118.7405</v>
      </c>
      <c r="H32" s="25">
        <f t="shared" si="23"/>
        <v>98.9504166666667</v>
      </c>
      <c r="I32" s="25">
        <f t="shared" si="24"/>
        <v>16.844918879056</v>
      </c>
      <c r="J32" s="26">
        <f t="shared" si="25"/>
        <v>0.195871149756466</v>
      </c>
      <c r="K32" s="27">
        <f t="shared" si="26"/>
        <v>104.158333333333</v>
      </c>
      <c r="L32" s="28">
        <f t="shared" si="27"/>
        <v>0.174333946715737</v>
      </c>
      <c r="M32" s="25">
        <f t="shared" si="28"/>
        <v>18.1583333333333</v>
      </c>
      <c r="N32" s="27">
        <f t="shared" si="29"/>
        <v>250.353982300885</v>
      </c>
      <c r="O32" s="27">
        <f t="shared" si="30"/>
        <v>2.58333333333333</v>
      </c>
      <c r="P32" s="21">
        <v>3</v>
      </c>
      <c r="Q32" s="29">
        <v>8</v>
      </c>
      <c r="R32" s="30">
        <f t="shared" si="31"/>
        <v>0.13953488372093</v>
      </c>
      <c r="S32" s="26">
        <f t="shared" si="43"/>
        <v>0.0960076806144492</v>
      </c>
      <c r="T32" s="30">
        <f t="shared" si="33"/>
        <v>0.0726686046511628</v>
      </c>
      <c r="U32" s="30">
        <v>0.01</v>
      </c>
      <c r="V32" s="30">
        <f t="shared" si="34"/>
        <v>0.363886602181519</v>
      </c>
      <c r="W32" s="30">
        <f t="shared" si="35"/>
        <v>0.0300387596899225</v>
      </c>
      <c r="X32" s="31">
        <v>0.188</v>
      </c>
      <c r="Y32" s="32">
        <v>12</v>
      </c>
      <c r="Z32" s="32">
        <f>F32*0.05</f>
        <v>6.2495</v>
      </c>
      <c r="AA32" s="32">
        <f t="shared" si="36"/>
        <v>0.86</v>
      </c>
      <c r="AB32" s="27">
        <f t="shared" si="37"/>
        <v>16.168</v>
      </c>
      <c r="AC32" s="27">
        <v>249</v>
      </c>
      <c r="AD32" s="33">
        <f t="shared" si="38"/>
        <v>220.353982300885</v>
      </c>
      <c r="AE32" s="29">
        <f t="shared" si="39"/>
        <v>3.75</v>
      </c>
      <c r="AF32" s="30">
        <f t="shared" si="40"/>
        <v>0.320281951018728</v>
      </c>
      <c r="AG32" s="30">
        <f t="shared" si="41"/>
        <v>0.0436046511627907</v>
      </c>
      <c r="AH32" s="29">
        <v>30</v>
      </c>
      <c r="AI32" s="30">
        <f t="shared" si="42"/>
        <v>0.294272804982293</v>
      </c>
      <c r="AJ32" s="30"/>
      <c r="AK32" s="30"/>
      <c r="AL32" s="30"/>
      <c r="AM32" s="30"/>
      <c r="AN32" s="34"/>
      <c r="AO32" s="34"/>
      <c r="AP32" s="34"/>
      <c r="AQ32" s="34"/>
      <c r="AR32" s="34"/>
      <c r="AS32" s="34"/>
      <c r="AT32" s="34" t="s">
        <v>156</v>
      </c>
      <c r="AU32" s="34" t="s">
        <v>156</v>
      </c>
      <c r="AV32" s="34" t="s">
        <v>156</v>
      </c>
      <c r="AW32" s="34" t="s">
        <v>156</v>
      </c>
      <c r="AX32" s="34" t="s">
        <v>156</v>
      </c>
      <c r="AY32" s="34" t="s">
        <v>156</v>
      </c>
      <c r="AZ32" s="34" t="s">
        <v>156</v>
      </c>
      <c r="BA32" s="34" t="s">
        <v>156</v>
      </c>
      <c r="BB32" s="34" t="s">
        <v>156</v>
      </c>
      <c r="BC32" s="34" t="s">
        <v>156</v>
      </c>
      <c r="BD32" s="34" t="s">
        <v>156</v>
      </c>
      <c r="BE32" s="34" t="s">
        <v>156</v>
      </c>
      <c r="BF32" s="34" t="s">
        <v>156</v>
      </c>
      <c r="BG32" s="34" t="s">
        <v>156</v>
      </c>
      <c r="BH32" s="34" t="s">
        <v>156</v>
      </c>
      <c r="BI32" s="34" t="s">
        <v>156</v>
      </c>
      <c r="BJ32" s="34" t="s">
        <v>156</v>
      </c>
      <c r="BK32" s="34" t="s">
        <v>156</v>
      </c>
      <c r="BL32" s="34" t="s">
        <v>156</v>
      </c>
      <c r="BM32" s="34" t="s">
        <v>156</v>
      </c>
      <c r="BN32" s="34" t="s">
        <v>156</v>
      </c>
      <c r="BO32" s="34" t="s">
        <v>156</v>
      </c>
      <c r="BP32" s="34" t="s">
        <v>156</v>
      </c>
      <c r="BQ32" s="34" t="s">
        <v>156</v>
      </c>
      <c r="BR32" s="35"/>
      <c r="BS32" s="20" t="s">
        <v>157</v>
      </c>
    </row>
    <row r="33" ht="16.5" spans="1:71">
      <c r="A33" s="21" t="s">
        <v>37</v>
      </c>
      <c r="B33" s="21"/>
      <c r="C33" s="21"/>
      <c r="D33" s="39" t="s">
        <v>159</v>
      </c>
      <c r="E33" s="23">
        <v>86</v>
      </c>
      <c r="F33" s="24">
        <v>124.99</v>
      </c>
      <c r="G33" s="25">
        <f t="shared" si="22"/>
        <v>112.491</v>
      </c>
      <c r="H33" s="25">
        <f t="shared" si="23"/>
        <v>93.7425</v>
      </c>
      <c r="I33" s="25">
        <f t="shared" si="24"/>
        <v>10.595418879056</v>
      </c>
      <c r="J33" s="26">
        <f t="shared" si="25"/>
        <v>0.123202545105303</v>
      </c>
      <c r="K33" s="27">
        <f t="shared" si="26"/>
        <v>104.158333333333</v>
      </c>
      <c r="L33" s="28">
        <f t="shared" si="27"/>
        <v>0.174333946715737</v>
      </c>
      <c r="M33" s="25">
        <f t="shared" si="28"/>
        <v>18.1583333333333</v>
      </c>
      <c r="N33" s="27">
        <f t="shared" si="29"/>
        <v>250.353982300885</v>
      </c>
      <c r="O33" s="27">
        <f t="shared" si="30"/>
        <v>2.58333333333333</v>
      </c>
      <c r="P33" s="21">
        <v>3</v>
      </c>
      <c r="Q33" s="29">
        <v>8</v>
      </c>
      <c r="R33" s="30">
        <f t="shared" si="31"/>
        <v>0.13953488372093</v>
      </c>
      <c r="S33" s="26">
        <f t="shared" si="43"/>
        <v>0.0960076806144492</v>
      </c>
      <c r="T33" s="30">
        <f t="shared" si="33"/>
        <v>0.145337209302326</v>
      </c>
      <c r="U33" s="30">
        <v>0.01</v>
      </c>
      <c r="V33" s="30">
        <f t="shared" si="34"/>
        <v>0.363886602181519</v>
      </c>
      <c r="W33" s="30">
        <f t="shared" si="35"/>
        <v>0.0300387596899225</v>
      </c>
      <c r="X33" s="31">
        <v>0.188</v>
      </c>
      <c r="Y33" s="32">
        <v>12</v>
      </c>
      <c r="Z33" s="32">
        <f>F33*0.1</f>
        <v>12.499</v>
      </c>
      <c r="AA33" s="32">
        <f t="shared" si="36"/>
        <v>0.86</v>
      </c>
      <c r="AB33" s="27">
        <f t="shared" si="37"/>
        <v>16.168</v>
      </c>
      <c r="AC33" s="27">
        <v>249</v>
      </c>
      <c r="AD33" s="33">
        <f t="shared" si="38"/>
        <v>220.353982300885</v>
      </c>
      <c r="AE33" s="29">
        <f t="shared" si="39"/>
        <v>3.75</v>
      </c>
      <c r="AF33" s="30">
        <f t="shared" si="40"/>
        <v>0.320281951018728</v>
      </c>
      <c r="AG33" s="30">
        <f t="shared" si="41"/>
        <v>0.0436046511627907</v>
      </c>
      <c r="AH33" s="29">
        <v>30</v>
      </c>
      <c r="AI33" s="30">
        <f t="shared" si="42"/>
        <v>0.255065738592421</v>
      </c>
      <c r="AJ33" s="30"/>
      <c r="AK33" s="30"/>
      <c r="AL33" s="30"/>
      <c r="AM33" s="30"/>
      <c r="AN33" s="34"/>
      <c r="AO33" s="34"/>
      <c r="AP33" s="34"/>
      <c r="AQ33" s="34"/>
      <c r="AR33" s="34"/>
      <c r="AS33" s="34"/>
      <c r="AT33" s="34" t="s">
        <v>156</v>
      </c>
      <c r="AU33" s="34" t="s">
        <v>156</v>
      </c>
      <c r="AV33" s="34" t="s">
        <v>156</v>
      </c>
      <c r="AW33" s="34" t="s">
        <v>156</v>
      </c>
      <c r="AX33" s="34" t="s">
        <v>156</v>
      </c>
      <c r="AY33" s="34" t="s">
        <v>156</v>
      </c>
      <c r="AZ33" s="34" t="s">
        <v>156</v>
      </c>
      <c r="BA33" s="34" t="s">
        <v>156</v>
      </c>
      <c r="BB33" s="34" t="s">
        <v>156</v>
      </c>
      <c r="BC33" s="34" t="s">
        <v>156</v>
      </c>
      <c r="BD33" s="34" t="s">
        <v>156</v>
      </c>
      <c r="BE33" s="34" t="s">
        <v>156</v>
      </c>
      <c r="BF33" s="34" t="s">
        <v>156</v>
      </c>
      <c r="BG33" s="34" t="s">
        <v>156</v>
      </c>
      <c r="BH33" s="34" t="s">
        <v>156</v>
      </c>
      <c r="BI33" s="34" t="s">
        <v>156</v>
      </c>
      <c r="BJ33" s="34" t="s">
        <v>156</v>
      </c>
      <c r="BK33" s="34" t="s">
        <v>156</v>
      </c>
      <c r="BL33" s="34" t="s">
        <v>156</v>
      </c>
      <c r="BM33" s="34" t="s">
        <v>156</v>
      </c>
      <c r="BN33" s="34" t="s">
        <v>156</v>
      </c>
      <c r="BO33" s="34" t="s">
        <v>156</v>
      </c>
      <c r="BP33" s="34" t="s">
        <v>156</v>
      </c>
      <c r="BQ33" s="34" t="s">
        <v>156</v>
      </c>
      <c r="BR33" s="35"/>
      <c r="BS33" s="20" t="s">
        <v>157</v>
      </c>
    </row>
    <row r="34" ht="16.5" spans="1:71">
      <c r="A34" s="21" t="s">
        <v>37</v>
      </c>
      <c r="B34" s="21"/>
      <c r="C34" s="21"/>
      <c r="D34" s="39" t="s">
        <v>160</v>
      </c>
      <c r="E34" s="23">
        <v>86</v>
      </c>
      <c r="F34" s="24">
        <v>124.99</v>
      </c>
      <c r="G34" s="25">
        <f t="shared" si="22"/>
        <v>106.2415</v>
      </c>
      <c r="H34" s="25">
        <f t="shared" si="23"/>
        <v>88.5345833333333</v>
      </c>
      <c r="I34" s="25">
        <f t="shared" si="24"/>
        <v>4.34591887905605</v>
      </c>
      <c r="J34" s="26">
        <f t="shared" si="25"/>
        <v>0.0505339404541401</v>
      </c>
      <c r="K34" s="27">
        <f t="shared" si="26"/>
        <v>104.158333333333</v>
      </c>
      <c r="L34" s="28">
        <f t="shared" si="27"/>
        <v>0.174333946715737</v>
      </c>
      <c r="M34" s="25">
        <f t="shared" si="28"/>
        <v>18.1583333333333</v>
      </c>
      <c r="N34" s="27">
        <f t="shared" si="29"/>
        <v>250.353982300885</v>
      </c>
      <c r="O34" s="27">
        <f t="shared" si="30"/>
        <v>2.58333333333333</v>
      </c>
      <c r="P34" s="21">
        <v>3</v>
      </c>
      <c r="Q34" s="29">
        <v>8</v>
      </c>
      <c r="R34" s="30">
        <f t="shared" si="31"/>
        <v>0.13953488372093</v>
      </c>
      <c r="S34" s="26">
        <f t="shared" si="43"/>
        <v>0.0960076806144492</v>
      </c>
      <c r="T34" s="30">
        <f t="shared" si="33"/>
        <v>0.218005813953488</v>
      </c>
      <c r="U34" s="30">
        <v>0.01</v>
      </c>
      <c r="V34" s="30">
        <f t="shared" si="34"/>
        <v>0.363886602181519</v>
      </c>
      <c r="W34" s="30">
        <f t="shared" si="35"/>
        <v>0.0300387596899225</v>
      </c>
      <c r="X34" s="31">
        <v>0.188</v>
      </c>
      <c r="Y34" s="32">
        <v>12</v>
      </c>
      <c r="Z34" s="32">
        <f>F34*0.15</f>
        <v>18.7485</v>
      </c>
      <c r="AA34" s="32">
        <f t="shared" si="36"/>
        <v>0.86</v>
      </c>
      <c r="AB34" s="27">
        <f t="shared" si="37"/>
        <v>16.168</v>
      </c>
      <c r="AC34" s="27">
        <v>249</v>
      </c>
      <c r="AD34" s="33">
        <f t="shared" si="38"/>
        <v>220.353982300885</v>
      </c>
      <c r="AE34" s="29">
        <f t="shared" si="39"/>
        <v>3.75</v>
      </c>
      <c r="AF34" s="30">
        <f t="shared" si="40"/>
        <v>0.320281951018728</v>
      </c>
      <c r="AG34" s="30">
        <f t="shared" si="41"/>
        <v>0.0436046511627907</v>
      </c>
      <c r="AH34" s="29">
        <v>30</v>
      </c>
      <c r="AI34" s="30">
        <f t="shared" si="42"/>
        <v>0.211246076156681</v>
      </c>
      <c r="AJ34" s="30"/>
      <c r="AK34" s="30"/>
      <c r="AL34" s="30"/>
      <c r="AM34" s="30"/>
      <c r="AN34" s="34"/>
      <c r="AO34" s="34"/>
      <c r="AP34" s="34"/>
      <c r="AQ34" s="34"/>
      <c r="AR34" s="34"/>
      <c r="AS34" s="34"/>
      <c r="AT34" s="34" t="s">
        <v>156</v>
      </c>
      <c r="AU34" s="34" t="s">
        <v>156</v>
      </c>
      <c r="AV34" s="34" t="s">
        <v>156</v>
      </c>
      <c r="AW34" s="34" t="s">
        <v>156</v>
      </c>
      <c r="AX34" s="34" t="s">
        <v>156</v>
      </c>
      <c r="AY34" s="34" t="s">
        <v>156</v>
      </c>
      <c r="AZ34" s="34" t="s">
        <v>156</v>
      </c>
      <c r="BA34" s="34" t="s">
        <v>156</v>
      </c>
      <c r="BB34" s="34" t="s">
        <v>156</v>
      </c>
      <c r="BC34" s="34" t="s">
        <v>156</v>
      </c>
      <c r="BD34" s="34" t="s">
        <v>156</v>
      </c>
      <c r="BE34" s="34" t="s">
        <v>156</v>
      </c>
      <c r="BF34" s="34" t="s">
        <v>156</v>
      </c>
      <c r="BG34" s="34" t="s">
        <v>156</v>
      </c>
      <c r="BH34" s="34" t="s">
        <v>156</v>
      </c>
      <c r="BI34" s="34" t="s">
        <v>156</v>
      </c>
      <c r="BJ34" s="34" t="s">
        <v>156</v>
      </c>
      <c r="BK34" s="34" t="s">
        <v>156</v>
      </c>
      <c r="BL34" s="34" t="s">
        <v>156</v>
      </c>
      <c r="BM34" s="34" t="s">
        <v>156</v>
      </c>
      <c r="BN34" s="34" t="s">
        <v>156</v>
      </c>
      <c r="BO34" s="34" t="s">
        <v>156</v>
      </c>
      <c r="BP34" s="34" t="s">
        <v>156</v>
      </c>
      <c r="BQ34" s="34" t="s">
        <v>156</v>
      </c>
      <c r="BR34" s="35"/>
      <c r="BS34" s="20" t="s">
        <v>157</v>
      </c>
    </row>
    <row r="35" ht="16.5" spans="1:71">
      <c r="A35" s="21" t="s">
        <v>43</v>
      </c>
      <c r="B35" s="21"/>
      <c r="C35" s="21"/>
      <c r="D35" s="39" t="s">
        <v>155</v>
      </c>
      <c r="E35" s="23">
        <v>90</v>
      </c>
      <c r="F35" s="38">
        <v>129.99</v>
      </c>
      <c r="G35" s="25">
        <f t="shared" si="22"/>
        <v>129.99</v>
      </c>
      <c r="H35" s="25">
        <f t="shared" si="23"/>
        <v>108.325</v>
      </c>
      <c r="I35" s="25">
        <f t="shared" si="24"/>
        <v>24.1357522123894</v>
      </c>
      <c r="J35" s="26">
        <f t="shared" si="25"/>
        <v>0.268175024582104</v>
      </c>
      <c r="K35" s="27">
        <f t="shared" si="26"/>
        <v>108.325</v>
      </c>
      <c r="L35" s="28">
        <f t="shared" si="27"/>
        <v>0.169166858989153</v>
      </c>
      <c r="M35" s="25">
        <f t="shared" si="28"/>
        <v>18.325</v>
      </c>
      <c r="N35" s="27">
        <f t="shared" si="29"/>
        <v>250.353982300885</v>
      </c>
      <c r="O35" s="27">
        <f t="shared" si="30"/>
        <v>4.75</v>
      </c>
      <c r="P35" s="21">
        <v>3</v>
      </c>
      <c r="Q35" s="29">
        <v>8</v>
      </c>
      <c r="R35" s="30">
        <f t="shared" si="31"/>
        <v>0.133333333333333</v>
      </c>
      <c r="S35" s="26">
        <f t="shared" si="43"/>
        <v>0.0923147934456497</v>
      </c>
      <c r="T35" s="30">
        <f t="shared" si="33"/>
        <v>0</v>
      </c>
      <c r="U35" s="30">
        <v>0.01</v>
      </c>
      <c r="V35" s="30">
        <f t="shared" si="34"/>
        <v>0.347713864306785</v>
      </c>
      <c r="W35" s="30">
        <f t="shared" si="35"/>
        <v>0.0527777777777778</v>
      </c>
      <c r="X35" s="31">
        <v>0.188</v>
      </c>
      <c r="Y35" s="32">
        <v>12</v>
      </c>
      <c r="Z35" s="32">
        <v>0</v>
      </c>
      <c r="AA35" s="32">
        <f t="shared" si="36"/>
        <v>0.9</v>
      </c>
      <c r="AB35" s="27">
        <f t="shared" si="37"/>
        <v>16.92</v>
      </c>
      <c r="AC35" s="27">
        <v>249</v>
      </c>
      <c r="AD35" s="33">
        <f t="shared" si="38"/>
        <v>220.353982300885</v>
      </c>
      <c r="AE35" s="29">
        <f t="shared" si="39"/>
        <v>3.75</v>
      </c>
      <c r="AF35" s="30">
        <f t="shared" si="40"/>
        <v>0.306047197640118</v>
      </c>
      <c r="AG35" s="30">
        <f t="shared" si="41"/>
        <v>0.0416666666666667</v>
      </c>
      <c r="AH35" s="29">
        <v>30</v>
      </c>
      <c r="AI35" s="30">
        <f t="shared" si="42"/>
        <v>0.325363489499192</v>
      </c>
      <c r="AJ35" s="30"/>
      <c r="AK35" s="30"/>
      <c r="AL35" s="30"/>
      <c r="AM35" s="30"/>
      <c r="AN35" s="34"/>
      <c r="AO35" s="34"/>
      <c r="AP35" s="34"/>
      <c r="AQ35" s="34"/>
      <c r="AR35" s="34"/>
      <c r="AS35" s="34"/>
      <c r="AT35" s="34" t="s">
        <v>156</v>
      </c>
      <c r="AU35" s="34" t="s">
        <v>156</v>
      </c>
      <c r="AV35" s="34" t="s">
        <v>156</v>
      </c>
      <c r="AW35" s="34" t="s">
        <v>156</v>
      </c>
      <c r="AX35" s="34" t="s">
        <v>156</v>
      </c>
      <c r="AY35" s="34" t="s">
        <v>156</v>
      </c>
      <c r="AZ35" s="34" t="s">
        <v>156</v>
      </c>
      <c r="BA35" s="34" t="s">
        <v>156</v>
      </c>
      <c r="BB35" s="34" t="s">
        <v>156</v>
      </c>
      <c r="BC35" s="34" t="s">
        <v>156</v>
      </c>
      <c r="BD35" s="34" t="s">
        <v>156</v>
      </c>
      <c r="BE35" s="34" t="s">
        <v>156</v>
      </c>
      <c r="BF35" s="34" t="s">
        <v>156</v>
      </c>
      <c r="BG35" s="34" t="s">
        <v>156</v>
      </c>
      <c r="BH35" s="34" t="s">
        <v>156</v>
      </c>
      <c r="BI35" s="34" t="s">
        <v>156</v>
      </c>
      <c r="BJ35" s="34" t="s">
        <v>156</v>
      </c>
      <c r="BK35" s="34" t="s">
        <v>156</v>
      </c>
      <c r="BL35" s="34" t="s">
        <v>156</v>
      </c>
      <c r="BM35" s="34" t="s">
        <v>156</v>
      </c>
      <c r="BN35" s="34" t="s">
        <v>156</v>
      </c>
      <c r="BO35" s="34" t="s">
        <v>156</v>
      </c>
      <c r="BP35" s="34" t="s">
        <v>156</v>
      </c>
      <c r="BQ35" s="34" t="s">
        <v>156</v>
      </c>
      <c r="BR35" s="35"/>
      <c r="BS35" s="20" t="s">
        <v>157</v>
      </c>
    </row>
    <row r="36" ht="16.5" spans="1:71">
      <c r="A36" s="21" t="s">
        <v>43</v>
      </c>
      <c r="B36" s="21"/>
      <c r="C36" s="21"/>
      <c r="D36" s="39" t="s">
        <v>158</v>
      </c>
      <c r="E36" s="23">
        <v>90</v>
      </c>
      <c r="F36" s="24">
        <v>129.99</v>
      </c>
      <c r="G36" s="25">
        <f t="shared" si="22"/>
        <v>123.4905</v>
      </c>
      <c r="H36" s="25">
        <f t="shared" si="23"/>
        <v>102.90875</v>
      </c>
      <c r="I36" s="25">
        <f t="shared" si="24"/>
        <v>17.6362522123894</v>
      </c>
      <c r="J36" s="26">
        <f t="shared" si="25"/>
        <v>0.195958357915438</v>
      </c>
      <c r="K36" s="27">
        <f t="shared" si="26"/>
        <v>108.325</v>
      </c>
      <c r="L36" s="28">
        <f t="shared" si="27"/>
        <v>0.169166858989153</v>
      </c>
      <c r="M36" s="25">
        <f t="shared" si="28"/>
        <v>18.325</v>
      </c>
      <c r="N36" s="27">
        <f t="shared" si="29"/>
        <v>250.353982300885</v>
      </c>
      <c r="O36" s="27">
        <f t="shared" si="30"/>
        <v>4.75</v>
      </c>
      <c r="P36" s="21">
        <v>3</v>
      </c>
      <c r="Q36" s="29">
        <v>8</v>
      </c>
      <c r="R36" s="30">
        <f t="shared" si="31"/>
        <v>0.133333333333333</v>
      </c>
      <c r="S36" s="26">
        <f t="shared" si="43"/>
        <v>0.0923147934456497</v>
      </c>
      <c r="T36" s="30">
        <f t="shared" si="33"/>
        <v>0.0722166666666667</v>
      </c>
      <c r="U36" s="30">
        <v>0.01</v>
      </c>
      <c r="V36" s="30">
        <f t="shared" si="34"/>
        <v>0.347713864306785</v>
      </c>
      <c r="W36" s="30">
        <f t="shared" si="35"/>
        <v>0.0527777777777778</v>
      </c>
      <c r="X36" s="31">
        <v>0.188</v>
      </c>
      <c r="Y36" s="32">
        <v>12</v>
      </c>
      <c r="Z36" s="32">
        <f>F36*0.05</f>
        <v>6.4995</v>
      </c>
      <c r="AA36" s="32">
        <f t="shared" si="36"/>
        <v>0.9</v>
      </c>
      <c r="AB36" s="27">
        <f t="shared" si="37"/>
        <v>16.92</v>
      </c>
      <c r="AC36" s="27">
        <v>249</v>
      </c>
      <c r="AD36" s="33">
        <f t="shared" si="38"/>
        <v>220.353982300885</v>
      </c>
      <c r="AE36" s="29">
        <f t="shared" si="39"/>
        <v>3.75</v>
      </c>
      <c r="AF36" s="30">
        <f t="shared" si="40"/>
        <v>0.306047197640118</v>
      </c>
      <c r="AG36" s="30">
        <f t="shared" si="41"/>
        <v>0.0416666666666667</v>
      </c>
      <c r="AH36" s="29">
        <v>30</v>
      </c>
      <c r="AI36" s="30">
        <f t="shared" si="42"/>
        <v>0.289856304735992</v>
      </c>
      <c r="AJ36" s="30"/>
      <c r="AK36" s="30"/>
      <c r="AL36" s="30"/>
      <c r="AM36" s="30"/>
      <c r="AN36" s="34"/>
      <c r="AO36" s="34"/>
      <c r="AP36" s="34"/>
      <c r="AQ36" s="34"/>
      <c r="AR36" s="34"/>
      <c r="AS36" s="34"/>
      <c r="AT36" s="34" t="s">
        <v>156</v>
      </c>
      <c r="AU36" s="34" t="s">
        <v>156</v>
      </c>
      <c r="AV36" s="34" t="s">
        <v>156</v>
      </c>
      <c r="AW36" s="34" t="s">
        <v>156</v>
      </c>
      <c r="AX36" s="34" t="s">
        <v>156</v>
      </c>
      <c r="AY36" s="34" t="s">
        <v>156</v>
      </c>
      <c r="AZ36" s="34" t="s">
        <v>156</v>
      </c>
      <c r="BA36" s="34" t="s">
        <v>156</v>
      </c>
      <c r="BB36" s="34" t="s">
        <v>156</v>
      </c>
      <c r="BC36" s="34" t="s">
        <v>156</v>
      </c>
      <c r="BD36" s="34" t="s">
        <v>156</v>
      </c>
      <c r="BE36" s="34" t="s">
        <v>156</v>
      </c>
      <c r="BF36" s="34" t="s">
        <v>156</v>
      </c>
      <c r="BG36" s="34" t="s">
        <v>156</v>
      </c>
      <c r="BH36" s="34" t="s">
        <v>156</v>
      </c>
      <c r="BI36" s="34" t="s">
        <v>156</v>
      </c>
      <c r="BJ36" s="34" t="s">
        <v>156</v>
      </c>
      <c r="BK36" s="34" t="s">
        <v>156</v>
      </c>
      <c r="BL36" s="34" t="s">
        <v>156</v>
      </c>
      <c r="BM36" s="34" t="s">
        <v>156</v>
      </c>
      <c r="BN36" s="34" t="s">
        <v>156</v>
      </c>
      <c r="BO36" s="34" t="s">
        <v>156</v>
      </c>
      <c r="BP36" s="34" t="s">
        <v>156</v>
      </c>
      <c r="BQ36" s="34" t="s">
        <v>156</v>
      </c>
      <c r="BR36" s="35"/>
      <c r="BS36" s="20" t="s">
        <v>157</v>
      </c>
    </row>
    <row r="37" ht="16.5" spans="1:71">
      <c r="A37" s="21" t="s">
        <v>43</v>
      </c>
      <c r="B37" s="21"/>
      <c r="C37" s="21"/>
      <c r="D37" s="39" t="s">
        <v>159</v>
      </c>
      <c r="E37" s="23">
        <v>90</v>
      </c>
      <c r="F37" s="24">
        <v>129.99</v>
      </c>
      <c r="G37" s="25">
        <f t="shared" si="22"/>
        <v>116.991</v>
      </c>
      <c r="H37" s="25">
        <f t="shared" si="23"/>
        <v>97.4925</v>
      </c>
      <c r="I37" s="25">
        <f t="shared" si="24"/>
        <v>11.1367522123894</v>
      </c>
      <c r="J37" s="26">
        <f t="shared" si="25"/>
        <v>0.123741691248771</v>
      </c>
      <c r="K37" s="27">
        <f t="shared" si="26"/>
        <v>108.325</v>
      </c>
      <c r="L37" s="28">
        <f t="shared" si="27"/>
        <v>0.169166858989153</v>
      </c>
      <c r="M37" s="25">
        <f t="shared" si="28"/>
        <v>18.325</v>
      </c>
      <c r="N37" s="27">
        <f t="shared" si="29"/>
        <v>250.353982300885</v>
      </c>
      <c r="O37" s="27">
        <f t="shared" si="30"/>
        <v>4.75</v>
      </c>
      <c r="P37" s="21">
        <v>3</v>
      </c>
      <c r="Q37" s="29">
        <v>8</v>
      </c>
      <c r="R37" s="30">
        <f t="shared" si="31"/>
        <v>0.133333333333333</v>
      </c>
      <c r="S37" s="26">
        <f t="shared" si="43"/>
        <v>0.0923147934456497</v>
      </c>
      <c r="T37" s="30">
        <f t="shared" si="33"/>
        <v>0.144433333333333</v>
      </c>
      <c r="U37" s="30">
        <v>0.01</v>
      </c>
      <c r="V37" s="30">
        <f t="shared" si="34"/>
        <v>0.347713864306785</v>
      </c>
      <c r="W37" s="30">
        <f t="shared" si="35"/>
        <v>0.0527777777777778</v>
      </c>
      <c r="X37" s="31">
        <v>0.188</v>
      </c>
      <c r="Y37" s="32">
        <v>12</v>
      </c>
      <c r="Z37" s="32">
        <f>F37*0.1</f>
        <v>12.999</v>
      </c>
      <c r="AA37" s="32">
        <f t="shared" si="36"/>
        <v>0.9</v>
      </c>
      <c r="AB37" s="27">
        <f t="shared" si="37"/>
        <v>16.92</v>
      </c>
      <c r="AC37" s="27">
        <v>249</v>
      </c>
      <c r="AD37" s="33">
        <f t="shared" si="38"/>
        <v>220.353982300885</v>
      </c>
      <c r="AE37" s="29">
        <f t="shared" si="39"/>
        <v>3.75</v>
      </c>
      <c r="AF37" s="30">
        <f t="shared" si="40"/>
        <v>0.306047197640118</v>
      </c>
      <c r="AG37" s="30">
        <f t="shared" si="41"/>
        <v>0.0416666666666667</v>
      </c>
      <c r="AH37" s="29">
        <v>30</v>
      </c>
      <c r="AI37" s="30">
        <f t="shared" si="42"/>
        <v>0.250403877221325</v>
      </c>
      <c r="AJ37" s="30"/>
      <c r="AK37" s="30"/>
      <c r="AL37" s="30"/>
      <c r="AM37" s="30"/>
      <c r="AN37" s="34"/>
      <c r="AO37" s="34"/>
      <c r="AP37" s="34"/>
      <c r="AQ37" s="34"/>
      <c r="AR37" s="34"/>
      <c r="AS37" s="34"/>
      <c r="AT37" s="34" t="s">
        <v>156</v>
      </c>
      <c r="AU37" s="34" t="s">
        <v>156</v>
      </c>
      <c r="AV37" s="34" t="s">
        <v>156</v>
      </c>
      <c r="AW37" s="34" t="s">
        <v>156</v>
      </c>
      <c r="AX37" s="34" t="s">
        <v>156</v>
      </c>
      <c r="AY37" s="34" t="s">
        <v>156</v>
      </c>
      <c r="AZ37" s="34" t="s">
        <v>156</v>
      </c>
      <c r="BA37" s="34" t="s">
        <v>156</v>
      </c>
      <c r="BB37" s="34" t="s">
        <v>156</v>
      </c>
      <c r="BC37" s="34" t="s">
        <v>156</v>
      </c>
      <c r="BD37" s="34" t="s">
        <v>156</v>
      </c>
      <c r="BE37" s="34" t="s">
        <v>156</v>
      </c>
      <c r="BF37" s="34" t="s">
        <v>156</v>
      </c>
      <c r="BG37" s="34" t="s">
        <v>156</v>
      </c>
      <c r="BH37" s="34" t="s">
        <v>156</v>
      </c>
      <c r="BI37" s="34" t="s">
        <v>156</v>
      </c>
      <c r="BJ37" s="34" t="s">
        <v>156</v>
      </c>
      <c r="BK37" s="34" t="s">
        <v>156</v>
      </c>
      <c r="BL37" s="34" t="s">
        <v>156</v>
      </c>
      <c r="BM37" s="34" t="s">
        <v>156</v>
      </c>
      <c r="BN37" s="34" t="s">
        <v>156</v>
      </c>
      <c r="BO37" s="34" t="s">
        <v>156</v>
      </c>
      <c r="BP37" s="34" t="s">
        <v>156</v>
      </c>
      <c r="BQ37" s="34" t="s">
        <v>156</v>
      </c>
      <c r="BR37" s="35"/>
      <c r="BS37" s="20" t="s">
        <v>157</v>
      </c>
    </row>
    <row r="38" ht="16.5" spans="1:71">
      <c r="A38" s="21" t="s">
        <v>43</v>
      </c>
      <c r="B38" s="21"/>
      <c r="C38" s="21"/>
      <c r="D38" s="39" t="s">
        <v>160</v>
      </c>
      <c r="E38" s="23">
        <v>90</v>
      </c>
      <c r="F38" s="24">
        <v>129.99</v>
      </c>
      <c r="G38" s="25">
        <f t="shared" si="22"/>
        <v>110.4915</v>
      </c>
      <c r="H38" s="25">
        <f t="shared" si="23"/>
        <v>92.07625</v>
      </c>
      <c r="I38" s="25">
        <f t="shared" si="24"/>
        <v>4.63725221238938</v>
      </c>
      <c r="J38" s="26">
        <f t="shared" si="25"/>
        <v>0.0515250245821042</v>
      </c>
      <c r="K38" s="27">
        <f t="shared" si="26"/>
        <v>108.325</v>
      </c>
      <c r="L38" s="28">
        <f t="shared" si="27"/>
        <v>0.169166858989153</v>
      </c>
      <c r="M38" s="25">
        <f t="shared" si="28"/>
        <v>18.325</v>
      </c>
      <c r="N38" s="27">
        <f t="shared" si="29"/>
        <v>250.353982300885</v>
      </c>
      <c r="O38" s="27">
        <f t="shared" si="30"/>
        <v>4.75</v>
      </c>
      <c r="P38" s="21">
        <v>3</v>
      </c>
      <c r="Q38" s="29">
        <v>8</v>
      </c>
      <c r="R38" s="30">
        <f t="shared" si="31"/>
        <v>0.133333333333333</v>
      </c>
      <c r="S38" s="26">
        <f t="shared" si="43"/>
        <v>0.0923147934456497</v>
      </c>
      <c r="T38" s="30">
        <f t="shared" si="33"/>
        <v>0.21665</v>
      </c>
      <c r="U38" s="30">
        <v>0.01</v>
      </c>
      <c r="V38" s="30">
        <f t="shared" si="34"/>
        <v>0.347713864306785</v>
      </c>
      <c r="W38" s="30">
        <f t="shared" si="35"/>
        <v>0.0527777777777778</v>
      </c>
      <c r="X38" s="31">
        <v>0.188</v>
      </c>
      <c r="Y38" s="32">
        <v>12</v>
      </c>
      <c r="Z38" s="32">
        <f>F38*0.15</f>
        <v>19.4985</v>
      </c>
      <c r="AA38" s="32">
        <f t="shared" si="36"/>
        <v>0.9</v>
      </c>
      <c r="AB38" s="27">
        <f t="shared" si="37"/>
        <v>16.92</v>
      </c>
      <c r="AC38" s="27">
        <v>249</v>
      </c>
      <c r="AD38" s="33">
        <f t="shared" si="38"/>
        <v>220.353982300885</v>
      </c>
      <c r="AE38" s="29">
        <f t="shared" si="39"/>
        <v>3.75</v>
      </c>
      <c r="AF38" s="30">
        <f t="shared" si="40"/>
        <v>0.306047197640118</v>
      </c>
      <c r="AG38" s="30">
        <f t="shared" si="41"/>
        <v>0.0416666666666667</v>
      </c>
      <c r="AH38" s="29">
        <v>30</v>
      </c>
      <c r="AI38" s="30">
        <f t="shared" ref="AI38:AI50" si="44">(K38-E38+AB38)/(K38-Z38)</f>
        <v>0.396784743291698</v>
      </c>
      <c r="AJ38" s="30"/>
      <c r="AK38" s="30"/>
      <c r="AL38" s="30"/>
      <c r="AM38" s="30"/>
      <c r="AN38" s="34"/>
      <c r="AO38" s="34"/>
      <c r="AP38" s="34"/>
      <c r="AQ38" s="34"/>
      <c r="AR38" s="34"/>
      <c r="AS38" s="34"/>
      <c r="AT38" s="34" t="s">
        <v>156</v>
      </c>
      <c r="AU38" s="34" t="s">
        <v>156</v>
      </c>
      <c r="AV38" s="34" t="s">
        <v>156</v>
      </c>
      <c r="AW38" s="34" t="s">
        <v>156</v>
      </c>
      <c r="AX38" s="34" t="s">
        <v>156</v>
      </c>
      <c r="AY38" s="34" t="s">
        <v>156</v>
      </c>
      <c r="AZ38" s="34" t="s">
        <v>156</v>
      </c>
      <c r="BA38" s="34" t="s">
        <v>156</v>
      </c>
      <c r="BB38" s="34" t="s">
        <v>156</v>
      </c>
      <c r="BC38" s="34" t="s">
        <v>156</v>
      </c>
      <c r="BD38" s="34" t="s">
        <v>156</v>
      </c>
      <c r="BE38" s="34" t="s">
        <v>156</v>
      </c>
      <c r="BF38" s="34" t="s">
        <v>156</v>
      </c>
      <c r="BG38" s="34" t="s">
        <v>156</v>
      </c>
      <c r="BH38" s="34" t="s">
        <v>156</v>
      </c>
      <c r="BI38" s="34" t="s">
        <v>156</v>
      </c>
      <c r="BJ38" s="34" t="s">
        <v>156</v>
      </c>
      <c r="BK38" s="34" t="s">
        <v>156</v>
      </c>
      <c r="BL38" s="34" t="s">
        <v>156</v>
      </c>
      <c r="BM38" s="34" t="s">
        <v>156</v>
      </c>
      <c r="BN38" s="34" t="s">
        <v>156</v>
      </c>
      <c r="BO38" s="34" t="s">
        <v>156</v>
      </c>
      <c r="BP38" s="34" t="s">
        <v>156</v>
      </c>
      <c r="BQ38" s="34" t="s">
        <v>156</v>
      </c>
      <c r="BR38" s="35"/>
      <c r="BS38" s="20" t="s">
        <v>157</v>
      </c>
    </row>
    <row r="39" ht="16.5" spans="1:71">
      <c r="A39" s="21" t="s">
        <v>45</v>
      </c>
      <c r="B39" s="21"/>
      <c r="C39" s="21"/>
      <c r="D39" s="39" t="s">
        <v>155</v>
      </c>
      <c r="E39" s="23">
        <v>90</v>
      </c>
      <c r="F39" s="24">
        <v>129.99</v>
      </c>
      <c r="G39" s="25">
        <f t="shared" si="22"/>
        <v>129.99</v>
      </c>
      <c r="H39" s="25">
        <f t="shared" si="23"/>
        <v>108.325</v>
      </c>
      <c r="I39" s="25">
        <f t="shared" si="24"/>
        <v>23.802418879056</v>
      </c>
      <c r="J39" s="26">
        <f t="shared" si="25"/>
        <v>0.264471320878401</v>
      </c>
      <c r="K39" s="27">
        <f t="shared" si="26"/>
        <v>108.325</v>
      </c>
      <c r="L39" s="28">
        <f t="shared" si="27"/>
        <v>0.169166858989153</v>
      </c>
      <c r="M39" s="25">
        <f t="shared" si="28"/>
        <v>18.325</v>
      </c>
      <c r="N39" s="27">
        <f t="shared" si="29"/>
        <v>250.353982300885</v>
      </c>
      <c r="O39" s="27">
        <f t="shared" si="30"/>
        <v>5.08333333333333</v>
      </c>
      <c r="P39" s="21">
        <v>3</v>
      </c>
      <c r="Q39" s="29">
        <v>8</v>
      </c>
      <c r="R39" s="30">
        <f t="shared" si="31"/>
        <v>0.133333333333333</v>
      </c>
      <c r="S39" s="26">
        <f t="shared" si="43"/>
        <v>0.0923147934456497</v>
      </c>
      <c r="T39" s="30">
        <f t="shared" si="33"/>
        <v>0</v>
      </c>
      <c r="U39" s="30">
        <v>0.01</v>
      </c>
      <c r="V39" s="30">
        <f t="shared" si="34"/>
        <v>0.347713864306785</v>
      </c>
      <c r="W39" s="30">
        <f t="shared" si="35"/>
        <v>0.0564814814814815</v>
      </c>
      <c r="X39" s="31">
        <v>0.188</v>
      </c>
      <c r="Y39" s="32">
        <v>12</v>
      </c>
      <c r="Z39" s="32">
        <v>0</v>
      </c>
      <c r="AA39" s="32">
        <f t="shared" si="36"/>
        <v>0.9</v>
      </c>
      <c r="AB39" s="27">
        <f t="shared" si="37"/>
        <v>16.92</v>
      </c>
      <c r="AC39" s="27">
        <v>249</v>
      </c>
      <c r="AD39" s="33">
        <f t="shared" si="38"/>
        <v>220.353982300885</v>
      </c>
      <c r="AE39" s="29">
        <f t="shared" si="39"/>
        <v>3.75</v>
      </c>
      <c r="AF39" s="30">
        <f t="shared" si="40"/>
        <v>0.306047197640118</v>
      </c>
      <c r="AG39" s="30">
        <f t="shared" si="41"/>
        <v>0.0416666666666667</v>
      </c>
      <c r="AH39" s="29">
        <v>30</v>
      </c>
      <c r="AI39" s="26">
        <f t="shared" si="44"/>
        <v>0.325363489499192</v>
      </c>
      <c r="AJ39" s="26"/>
      <c r="AK39" s="26"/>
      <c r="AL39" s="26"/>
      <c r="AM39" s="26"/>
      <c r="AN39" s="34"/>
      <c r="AO39" s="34"/>
      <c r="AP39" s="34"/>
      <c r="AQ39" s="34"/>
      <c r="AR39" s="34"/>
      <c r="AS39" s="34"/>
      <c r="AT39" s="34" t="s">
        <v>156</v>
      </c>
      <c r="AU39" s="34" t="s">
        <v>156</v>
      </c>
      <c r="AV39" s="34" t="s">
        <v>156</v>
      </c>
      <c r="AW39" s="34" t="s">
        <v>156</v>
      </c>
      <c r="AX39" s="34" t="s">
        <v>156</v>
      </c>
      <c r="AY39" s="34" t="s">
        <v>156</v>
      </c>
      <c r="AZ39" s="34" t="s">
        <v>156</v>
      </c>
      <c r="BA39" s="34" t="s">
        <v>156</v>
      </c>
      <c r="BB39" s="34" t="s">
        <v>156</v>
      </c>
      <c r="BC39" s="34" t="s">
        <v>156</v>
      </c>
      <c r="BD39" s="34" t="s">
        <v>156</v>
      </c>
      <c r="BE39" s="34" t="s">
        <v>156</v>
      </c>
      <c r="BF39" s="34" t="s">
        <v>156</v>
      </c>
      <c r="BG39" s="34" t="s">
        <v>156</v>
      </c>
      <c r="BH39" s="34" t="s">
        <v>156</v>
      </c>
      <c r="BI39" s="34" t="s">
        <v>156</v>
      </c>
      <c r="BJ39" s="34" t="s">
        <v>156</v>
      </c>
      <c r="BK39" s="34" t="s">
        <v>156</v>
      </c>
      <c r="BL39" s="34" t="s">
        <v>156</v>
      </c>
      <c r="BM39" s="34" t="s">
        <v>156</v>
      </c>
      <c r="BN39" s="34" t="s">
        <v>156</v>
      </c>
      <c r="BO39" s="34" t="s">
        <v>156</v>
      </c>
      <c r="BP39" s="34" t="s">
        <v>156</v>
      </c>
      <c r="BQ39" s="34" t="s">
        <v>156</v>
      </c>
      <c r="BR39" s="35"/>
      <c r="BS39" s="20" t="s">
        <v>157</v>
      </c>
    </row>
    <row r="40" ht="16.5" spans="1:71">
      <c r="A40" s="21" t="s">
        <v>45</v>
      </c>
      <c r="B40" s="21"/>
      <c r="C40" s="21"/>
      <c r="D40" s="39" t="s">
        <v>158</v>
      </c>
      <c r="E40" s="23">
        <v>90</v>
      </c>
      <c r="F40" s="24">
        <v>129.99</v>
      </c>
      <c r="G40" s="25">
        <f t="shared" si="22"/>
        <v>123.4905</v>
      </c>
      <c r="H40" s="25">
        <f t="shared" si="23"/>
        <v>102.90875</v>
      </c>
      <c r="I40" s="25">
        <f t="shared" si="24"/>
        <v>17.302918879056</v>
      </c>
      <c r="J40" s="26">
        <f t="shared" si="25"/>
        <v>0.192254654211734</v>
      </c>
      <c r="K40" s="27">
        <f t="shared" si="26"/>
        <v>108.325</v>
      </c>
      <c r="L40" s="28">
        <f t="shared" si="27"/>
        <v>0.169166858989153</v>
      </c>
      <c r="M40" s="25">
        <f t="shared" si="28"/>
        <v>18.325</v>
      </c>
      <c r="N40" s="27">
        <f t="shared" si="29"/>
        <v>250.353982300885</v>
      </c>
      <c r="O40" s="27">
        <f t="shared" si="30"/>
        <v>5.08333333333333</v>
      </c>
      <c r="P40" s="21">
        <v>3</v>
      </c>
      <c r="Q40" s="29">
        <v>8</v>
      </c>
      <c r="R40" s="30">
        <f t="shared" si="31"/>
        <v>0.133333333333333</v>
      </c>
      <c r="S40" s="26">
        <f t="shared" si="43"/>
        <v>0.0923147934456497</v>
      </c>
      <c r="T40" s="30">
        <f t="shared" si="33"/>
        <v>0.0722166666666667</v>
      </c>
      <c r="U40" s="30">
        <v>0.01</v>
      </c>
      <c r="V40" s="30">
        <f t="shared" si="34"/>
        <v>0.347713864306785</v>
      </c>
      <c r="W40" s="30">
        <f t="shared" si="35"/>
        <v>0.0564814814814815</v>
      </c>
      <c r="X40" s="31">
        <v>0.188</v>
      </c>
      <c r="Y40" s="32">
        <v>12</v>
      </c>
      <c r="Z40" s="32">
        <f>F40*0.05</f>
        <v>6.4995</v>
      </c>
      <c r="AA40" s="32">
        <f t="shared" si="36"/>
        <v>0.9</v>
      </c>
      <c r="AB40" s="27">
        <f t="shared" si="37"/>
        <v>16.92</v>
      </c>
      <c r="AC40" s="27">
        <v>249</v>
      </c>
      <c r="AD40" s="33">
        <f t="shared" si="38"/>
        <v>220.353982300885</v>
      </c>
      <c r="AE40" s="29">
        <f t="shared" si="39"/>
        <v>3.75</v>
      </c>
      <c r="AF40" s="30">
        <f t="shared" si="40"/>
        <v>0.306047197640118</v>
      </c>
      <c r="AG40" s="30">
        <f t="shared" si="41"/>
        <v>0.0416666666666667</v>
      </c>
      <c r="AH40" s="29">
        <v>30</v>
      </c>
      <c r="AI40" s="26">
        <f t="shared" si="44"/>
        <v>0.346131371807651</v>
      </c>
      <c r="AJ40" s="26"/>
      <c r="AK40" s="26"/>
      <c r="AL40" s="26"/>
      <c r="AM40" s="26"/>
      <c r="AN40" s="34"/>
      <c r="AO40" s="34"/>
      <c r="AP40" s="34"/>
      <c r="AQ40" s="34"/>
      <c r="AR40" s="34"/>
      <c r="AS40" s="34"/>
      <c r="AT40" s="34" t="s">
        <v>156</v>
      </c>
      <c r="AU40" s="34" t="s">
        <v>156</v>
      </c>
      <c r="AV40" s="34" t="s">
        <v>156</v>
      </c>
      <c r="AW40" s="34" t="s">
        <v>156</v>
      </c>
      <c r="AX40" s="34" t="s">
        <v>156</v>
      </c>
      <c r="AY40" s="34" t="s">
        <v>156</v>
      </c>
      <c r="AZ40" s="34" t="s">
        <v>156</v>
      </c>
      <c r="BA40" s="34" t="s">
        <v>156</v>
      </c>
      <c r="BB40" s="34" t="s">
        <v>156</v>
      </c>
      <c r="BC40" s="34" t="s">
        <v>156</v>
      </c>
      <c r="BD40" s="34" t="s">
        <v>156</v>
      </c>
      <c r="BE40" s="34" t="s">
        <v>156</v>
      </c>
      <c r="BF40" s="34" t="s">
        <v>156</v>
      </c>
      <c r="BG40" s="34" t="s">
        <v>156</v>
      </c>
      <c r="BH40" s="34" t="s">
        <v>156</v>
      </c>
      <c r="BI40" s="34" t="s">
        <v>156</v>
      </c>
      <c r="BJ40" s="34" t="s">
        <v>156</v>
      </c>
      <c r="BK40" s="34" t="s">
        <v>156</v>
      </c>
      <c r="BL40" s="34" t="s">
        <v>156</v>
      </c>
      <c r="BM40" s="34" t="s">
        <v>156</v>
      </c>
      <c r="BN40" s="34" t="s">
        <v>156</v>
      </c>
      <c r="BO40" s="34" t="s">
        <v>156</v>
      </c>
      <c r="BP40" s="34" t="s">
        <v>156</v>
      </c>
      <c r="BQ40" s="34" t="s">
        <v>156</v>
      </c>
      <c r="BR40" s="35"/>
      <c r="BS40" s="20" t="s">
        <v>157</v>
      </c>
    </row>
    <row r="41" ht="16.5" spans="1:71">
      <c r="A41" s="21" t="s">
        <v>45</v>
      </c>
      <c r="B41" s="21"/>
      <c r="C41" s="21"/>
      <c r="D41" s="39" t="s">
        <v>159</v>
      </c>
      <c r="E41" s="23">
        <v>90</v>
      </c>
      <c r="F41" s="24">
        <v>129.99</v>
      </c>
      <c r="G41" s="25">
        <f t="shared" si="22"/>
        <v>116.991</v>
      </c>
      <c r="H41" s="25">
        <f t="shared" si="23"/>
        <v>97.4925</v>
      </c>
      <c r="I41" s="25">
        <f t="shared" si="24"/>
        <v>10.803418879056</v>
      </c>
      <c r="J41" s="26">
        <f t="shared" si="25"/>
        <v>0.120037987545067</v>
      </c>
      <c r="K41" s="27">
        <f t="shared" si="26"/>
        <v>108.325</v>
      </c>
      <c r="L41" s="28">
        <f t="shared" si="27"/>
        <v>0.169166858989153</v>
      </c>
      <c r="M41" s="25">
        <f t="shared" si="28"/>
        <v>18.325</v>
      </c>
      <c r="N41" s="27">
        <f t="shared" si="29"/>
        <v>250.353982300885</v>
      </c>
      <c r="O41" s="27">
        <f t="shared" si="30"/>
        <v>5.08333333333333</v>
      </c>
      <c r="P41" s="21">
        <v>3</v>
      </c>
      <c r="Q41" s="29">
        <v>8</v>
      </c>
      <c r="R41" s="30">
        <f t="shared" si="31"/>
        <v>0.133333333333333</v>
      </c>
      <c r="S41" s="26">
        <f t="shared" si="43"/>
        <v>0.0923147934456497</v>
      </c>
      <c r="T41" s="30">
        <f t="shared" si="33"/>
        <v>0.144433333333333</v>
      </c>
      <c r="U41" s="30">
        <v>0.01</v>
      </c>
      <c r="V41" s="30">
        <f t="shared" si="34"/>
        <v>0.347713864306785</v>
      </c>
      <c r="W41" s="30">
        <f t="shared" si="35"/>
        <v>0.0564814814814815</v>
      </c>
      <c r="X41" s="31">
        <v>0.188</v>
      </c>
      <c r="Y41" s="32">
        <v>12</v>
      </c>
      <c r="Z41" s="32">
        <f>F41*0.1</f>
        <v>12.999</v>
      </c>
      <c r="AA41" s="32">
        <f t="shared" si="36"/>
        <v>0.9</v>
      </c>
      <c r="AB41" s="27">
        <f t="shared" si="37"/>
        <v>16.92</v>
      </c>
      <c r="AC41" s="27">
        <v>249</v>
      </c>
      <c r="AD41" s="33">
        <f t="shared" si="38"/>
        <v>220.353982300885</v>
      </c>
      <c r="AE41" s="29">
        <f t="shared" si="39"/>
        <v>3.75</v>
      </c>
      <c r="AF41" s="30">
        <f t="shared" si="40"/>
        <v>0.306047197640118</v>
      </c>
      <c r="AG41" s="30">
        <f t="shared" si="41"/>
        <v>0.0416666666666667</v>
      </c>
      <c r="AH41" s="29">
        <v>30</v>
      </c>
      <c r="AI41" s="26">
        <f t="shared" si="44"/>
        <v>0.369731238067264</v>
      </c>
      <c r="AJ41" s="26"/>
      <c r="AK41" s="26"/>
      <c r="AL41" s="26"/>
      <c r="AM41" s="26"/>
      <c r="AN41" s="34"/>
      <c r="AO41" s="34"/>
      <c r="AP41" s="34"/>
      <c r="AQ41" s="34"/>
      <c r="AR41" s="34"/>
      <c r="AS41" s="34"/>
      <c r="AT41" s="34" t="s">
        <v>156</v>
      </c>
      <c r="AU41" s="34" t="s">
        <v>156</v>
      </c>
      <c r="AV41" s="34" t="s">
        <v>156</v>
      </c>
      <c r="AW41" s="34" t="s">
        <v>156</v>
      </c>
      <c r="AX41" s="34" t="s">
        <v>156</v>
      </c>
      <c r="AY41" s="34" t="s">
        <v>156</v>
      </c>
      <c r="AZ41" s="34" t="s">
        <v>156</v>
      </c>
      <c r="BA41" s="34" t="s">
        <v>156</v>
      </c>
      <c r="BB41" s="34" t="s">
        <v>156</v>
      </c>
      <c r="BC41" s="34" t="s">
        <v>156</v>
      </c>
      <c r="BD41" s="34" t="s">
        <v>156</v>
      </c>
      <c r="BE41" s="34" t="s">
        <v>156</v>
      </c>
      <c r="BF41" s="34" t="s">
        <v>156</v>
      </c>
      <c r="BG41" s="34" t="s">
        <v>156</v>
      </c>
      <c r="BH41" s="34" t="s">
        <v>156</v>
      </c>
      <c r="BI41" s="34" t="s">
        <v>156</v>
      </c>
      <c r="BJ41" s="34" t="s">
        <v>156</v>
      </c>
      <c r="BK41" s="34" t="s">
        <v>156</v>
      </c>
      <c r="BL41" s="34" t="s">
        <v>156</v>
      </c>
      <c r="BM41" s="34" t="s">
        <v>156</v>
      </c>
      <c r="BN41" s="34" t="s">
        <v>156</v>
      </c>
      <c r="BO41" s="34" t="s">
        <v>156</v>
      </c>
      <c r="BP41" s="34" t="s">
        <v>156</v>
      </c>
      <c r="BQ41" s="34" t="s">
        <v>156</v>
      </c>
      <c r="BR41" s="35"/>
      <c r="BS41" s="20" t="s">
        <v>157</v>
      </c>
    </row>
    <row r="42" ht="16.5" spans="1:71">
      <c r="A42" s="21" t="s">
        <v>45</v>
      </c>
      <c r="B42" s="21"/>
      <c r="C42" s="21"/>
      <c r="D42" s="39" t="s">
        <v>160</v>
      </c>
      <c r="E42" s="23">
        <v>90</v>
      </c>
      <c r="F42" s="24">
        <v>129.99</v>
      </c>
      <c r="G42" s="25">
        <f t="shared" si="22"/>
        <v>110.4915</v>
      </c>
      <c r="H42" s="25">
        <f t="shared" si="23"/>
        <v>92.07625</v>
      </c>
      <c r="I42" s="25">
        <f t="shared" si="24"/>
        <v>4.30391887905604</v>
      </c>
      <c r="J42" s="26">
        <f t="shared" si="25"/>
        <v>0.0478213208784005</v>
      </c>
      <c r="K42" s="27">
        <f t="shared" si="26"/>
        <v>108.325</v>
      </c>
      <c r="L42" s="28">
        <f t="shared" si="27"/>
        <v>0.169166858989153</v>
      </c>
      <c r="M42" s="25">
        <f t="shared" si="28"/>
        <v>18.325</v>
      </c>
      <c r="N42" s="27">
        <f t="shared" si="29"/>
        <v>250.353982300885</v>
      </c>
      <c r="O42" s="27">
        <f t="shared" si="30"/>
        <v>5.08333333333333</v>
      </c>
      <c r="P42" s="21">
        <v>3</v>
      </c>
      <c r="Q42" s="29">
        <v>8</v>
      </c>
      <c r="R42" s="30">
        <f t="shared" si="31"/>
        <v>0.133333333333333</v>
      </c>
      <c r="S42" s="26">
        <f t="shared" si="43"/>
        <v>0.0923147934456497</v>
      </c>
      <c r="T42" s="30">
        <f t="shared" si="33"/>
        <v>0.21665</v>
      </c>
      <c r="U42" s="30">
        <v>0.01</v>
      </c>
      <c r="V42" s="30">
        <f t="shared" si="34"/>
        <v>0.347713864306785</v>
      </c>
      <c r="W42" s="30">
        <f t="shared" si="35"/>
        <v>0.0564814814814815</v>
      </c>
      <c r="X42" s="31">
        <v>0.188</v>
      </c>
      <c r="Y42" s="32">
        <v>12</v>
      </c>
      <c r="Z42" s="32">
        <f>F42*0.15</f>
        <v>19.4985</v>
      </c>
      <c r="AA42" s="32">
        <f t="shared" si="36"/>
        <v>0.9</v>
      </c>
      <c r="AB42" s="27">
        <f t="shared" si="37"/>
        <v>16.92</v>
      </c>
      <c r="AC42" s="27">
        <v>249</v>
      </c>
      <c r="AD42" s="33">
        <f t="shared" si="38"/>
        <v>220.353982300885</v>
      </c>
      <c r="AE42" s="29">
        <f t="shared" si="39"/>
        <v>3.75</v>
      </c>
      <c r="AF42" s="30">
        <f t="shared" si="40"/>
        <v>0.306047197640118</v>
      </c>
      <c r="AG42" s="30">
        <f t="shared" si="41"/>
        <v>0.0416666666666667</v>
      </c>
      <c r="AH42" s="29">
        <v>30</v>
      </c>
      <c r="AI42" s="26">
        <f t="shared" si="44"/>
        <v>0.396784743291698</v>
      </c>
      <c r="AJ42" s="26"/>
      <c r="AK42" s="26"/>
      <c r="AL42" s="26"/>
      <c r="AM42" s="26"/>
      <c r="AN42" s="34"/>
      <c r="AO42" s="34"/>
      <c r="AP42" s="34"/>
      <c r="AQ42" s="34"/>
      <c r="AR42" s="34"/>
      <c r="AS42" s="34"/>
      <c r="AT42" s="34" t="s">
        <v>156</v>
      </c>
      <c r="AU42" s="34" t="s">
        <v>156</v>
      </c>
      <c r="AV42" s="34" t="s">
        <v>156</v>
      </c>
      <c r="AW42" s="34" t="s">
        <v>156</v>
      </c>
      <c r="AX42" s="34" t="s">
        <v>156</v>
      </c>
      <c r="AY42" s="34" t="s">
        <v>156</v>
      </c>
      <c r="AZ42" s="34" t="s">
        <v>156</v>
      </c>
      <c r="BA42" s="34" t="s">
        <v>156</v>
      </c>
      <c r="BB42" s="34" t="s">
        <v>156</v>
      </c>
      <c r="BC42" s="34" t="s">
        <v>156</v>
      </c>
      <c r="BD42" s="34" t="s">
        <v>156</v>
      </c>
      <c r="BE42" s="34" t="s">
        <v>156</v>
      </c>
      <c r="BF42" s="34" t="s">
        <v>156</v>
      </c>
      <c r="BG42" s="34" t="s">
        <v>156</v>
      </c>
      <c r="BH42" s="34" t="s">
        <v>156</v>
      </c>
      <c r="BI42" s="34" t="s">
        <v>156</v>
      </c>
      <c r="BJ42" s="34" t="s">
        <v>156</v>
      </c>
      <c r="BK42" s="34" t="s">
        <v>156</v>
      </c>
      <c r="BL42" s="34" t="s">
        <v>156</v>
      </c>
      <c r="BM42" s="34" t="s">
        <v>156</v>
      </c>
      <c r="BN42" s="34" t="s">
        <v>156</v>
      </c>
      <c r="BO42" s="34" t="s">
        <v>156</v>
      </c>
      <c r="BP42" s="34" t="s">
        <v>156</v>
      </c>
      <c r="BQ42" s="34" t="s">
        <v>156</v>
      </c>
      <c r="BR42" s="35"/>
      <c r="BS42" s="20" t="s">
        <v>157</v>
      </c>
    </row>
    <row r="43" ht="16.5" spans="1:71">
      <c r="A43" s="21" t="s">
        <v>48</v>
      </c>
      <c r="B43" s="21"/>
      <c r="C43" s="21"/>
      <c r="D43" s="39" t="s">
        <v>155</v>
      </c>
      <c r="E43" s="23">
        <v>90</v>
      </c>
      <c r="F43" s="24">
        <v>129.99</v>
      </c>
      <c r="G43" s="25">
        <f t="shared" si="22"/>
        <v>129.99</v>
      </c>
      <c r="H43" s="25">
        <f t="shared" si="23"/>
        <v>108.325</v>
      </c>
      <c r="I43" s="25">
        <f t="shared" si="24"/>
        <v>22.4690855457227</v>
      </c>
      <c r="J43" s="26">
        <f t="shared" si="25"/>
        <v>0.249656506063586</v>
      </c>
      <c r="K43" s="27">
        <f t="shared" si="26"/>
        <v>108.325</v>
      </c>
      <c r="L43" s="28">
        <f t="shared" si="27"/>
        <v>0.169166858989153</v>
      </c>
      <c r="M43" s="25">
        <f t="shared" si="28"/>
        <v>18.325</v>
      </c>
      <c r="N43" s="27">
        <f t="shared" si="29"/>
        <v>250.353982300885</v>
      </c>
      <c r="O43" s="27">
        <f t="shared" si="30"/>
        <v>6.41666666666667</v>
      </c>
      <c r="P43" s="21">
        <v>3</v>
      </c>
      <c r="Q43" s="29">
        <v>8</v>
      </c>
      <c r="R43" s="30">
        <f t="shared" si="31"/>
        <v>0.133333333333333</v>
      </c>
      <c r="S43" s="26">
        <f t="shared" si="43"/>
        <v>0.0923147934456497</v>
      </c>
      <c r="T43" s="30">
        <f t="shared" si="33"/>
        <v>0</v>
      </c>
      <c r="U43" s="30">
        <v>0.01</v>
      </c>
      <c r="V43" s="30">
        <f t="shared" si="34"/>
        <v>0.347713864306785</v>
      </c>
      <c r="W43" s="30">
        <f t="shared" si="35"/>
        <v>0.0712962962962963</v>
      </c>
      <c r="X43" s="31">
        <v>0.188</v>
      </c>
      <c r="Y43" s="32">
        <v>12</v>
      </c>
      <c r="Z43" s="32">
        <v>0</v>
      </c>
      <c r="AA43" s="32">
        <f t="shared" si="36"/>
        <v>0.9</v>
      </c>
      <c r="AB43" s="27">
        <f t="shared" si="37"/>
        <v>16.92</v>
      </c>
      <c r="AC43" s="27">
        <v>249</v>
      </c>
      <c r="AD43" s="33">
        <f t="shared" si="38"/>
        <v>220.353982300885</v>
      </c>
      <c r="AE43" s="29">
        <f t="shared" si="39"/>
        <v>3.75</v>
      </c>
      <c r="AF43" s="30">
        <f t="shared" si="40"/>
        <v>0.306047197640118</v>
      </c>
      <c r="AG43" s="30">
        <f t="shared" si="41"/>
        <v>0.0416666666666667</v>
      </c>
      <c r="AH43" s="29">
        <v>30</v>
      </c>
      <c r="AI43" s="30">
        <f t="shared" si="44"/>
        <v>0.325363489499192</v>
      </c>
      <c r="AJ43" s="30"/>
      <c r="AK43" s="30"/>
      <c r="AL43" s="30"/>
      <c r="AM43" s="30"/>
      <c r="AN43" s="34"/>
      <c r="AO43" s="34"/>
      <c r="AP43" s="34"/>
      <c r="AQ43" s="34"/>
      <c r="AR43" s="34"/>
      <c r="AS43" s="34"/>
      <c r="AT43" s="34" t="s">
        <v>156</v>
      </c>
      <c r="AU43" s="34" t="s">
        <v>156</v>
      </c>
      <c r="AV43" s="34" t="s">
        <v>156</v>
      </c>
      <c r="AW43" s="34" t="s">
        <v>156</v>
      </c>
      <c r="AX43" s="34" t="s">
        <v>156</v>
      </c>
      <c r="AY43" s="34" t="s">
        <v>156</v>
      </c>
      <c r="AZ43" s="34" t="s">
        <v>156</v>
      </c>
      <c r="BA43" s="34" t="s">
        <v>156</v>
      </c>
      <c r="BB43" s="34" t="s">
        <v>156</v>
      </c>
      <c r="BC43" s="34" t="s">
        <v>156</v>
      </c>
      <c r="BD43" s="34" t="s">
        <v>156</v>
      </c>
      <c r="BE43" s="34" t="s">
        <v>156</v>
      </c>
      <c r="BF43" s="34" t="s">
        <v>156</v>
      </c>
      <c r="BG43" s="34" t="s">
        <v>156</v>
      </c>
      <c r="BH43" s="34" t="s">
        <v>156</v>
      </c>
      <c r="BI43" s="34" t="s">
        <v>156</v>
      </c>
      <c r="BJ43" s="34" t="s">
        <v>156</v>
      </c>
      <c r="BK43" s="34" t="s">
        <v>156</v>
      </c>
      <c r="BL43" s="34" t="s">
        <v>156</v>
      </c>
      <c r="BM43" s="34" t="s">
        <v>156</v>
      </c>
      <c r="BN43" s="34" t="s">
        <v>156</v>
      </c>
      <c r="BO43" s="34" t="s">
        <v>156</v>
      </c>
      <c r="BP43" s="34" t="s">
        <v>156</v>
      </c>
      <c r="BQ43" s="34" t="s">
        <v>156</v>
      </c>
      <c r="BR43" s="35"/>
      <c r="BS43" s="20" t="s">
        <v>157</v>
      </c>
    </row>
    <row r="44" ht="16.5" spans="1:71">
      <c r="A44" s="21" t="s">
        <v>48</v>
      </c>
      <c r="B44" s="21"/>
      <c r="C44" s="21"/>
      <c r="D44" s="39" t="s">
        <v>158</v>
      </c>
      <c r="E44" s="23">
        <v>90</v>
      </c>
      <c r="F44" s="24">
        <v>129.99</v>
      </c>
      <c r="G44" s="25">
        <f t="shared" si="22"/>
        <v>123.4905</v>
      </c>
      <c r="H44" s="25">
        <f t="shared" si="23"/>
        <v>102.90875</v>
      </c>
      <c r="I44" s="25">
        <f t="shared" si="24"/>
        <v>15.9695855457227</v>
      </c>
      <c r="J44" s="26">
        <f t="shared" si="25"/>
        <v>0.177439839396919</v>
      </c>
      <c r="K44" s="27">
        <f t="shared" si="26"/>
        <v>108.325</v>
      </c>
      <c r="L44" s="28">
        <f t="shared" si="27"/>
        <v>0.169166858989153</v>
      </c>
      <c r="M44" s="25">
        <f t="shared" si="28"/>
        <v>18.325</v>
      </c>
      <c r="N44" s="27">
        <f t="shared" si="29"/>
        <v>250.353982300885</v>
      </c>
      <c r="O44" s="27">
        <f t="shared" si="30"/>
        <v>6.41666666666667</v>
      </c>
      <c r="P44" s="21">
        <v>3</v>
      </c>
      <c r="Q44" s="29">
        <v>8</v>
      </c>
      <c r="R44" s="30">
        <f t="shared" si="31"/>
        <v>0.133333333333333</v>
      </c>
      <c r="S44" s="26">
        <f t="shared" si="43"/>
        <v>0.0923147934456497</v>
      </c>
      <c r="T44" s="30">
        <f t="shared" si="33"/>
        <v>0.0722166666666667</v>
      </c>
      <c r="U44" s="30">
        <v>0.01</v>
      </c>
      <c r="V44" s="30">
        <f t="shared" si="34"/>
        <v>0.347713864306785</v>
      </c>
      <c r="W44" s="30">
        <f t="shared" si="35"/>
        <v>0.0712962962962963</v>
      </c>
      <c r="X44" s="31">
        <v>0.188</v>
      </c>
      <c r="Y44" s="32">
        <v>12</v>
      </c>
      <c r="Z44" s="32">
        <f>F44*0.05</f>
        <v>6.4995</v>
      </c>
      <c r="AA44" s="32">
        <f t="shared" si="36"/>
        <v>0.9</v>
      </c>
      <c r="AB44" s="27">
        <f t="shared" si="37"/>
        <v>16.92</v>
      </c>
      <c r="AC44" s="27">
        <v>249</v>
      </c>
      <c r="AD44" s="33">
        <f t="shared" si="38"/>
        <v>220.353982300885</v>
      </c>
      <c r="AE44" s="29">
        <f t="shared" si="39"/>
        <v>3.75</v>
      </c>
      <c r="AF44" s="30">
        <f t="shared" si="40"/>
        <v>0.306047197640118</v>
      </c>
      <c r="AG44" s="30">
        <f t="shared" si="41"/>
        <v>0.0416666666666667</v>
      </c>
      <c r="AH44" s="29">
        <v>30</v>
      </c>
      <c r="AI44" s="30">
        <f t="shared" si="44"/>
        <v>0.346131371807651</v>
      </c>
      <c r="AJ44" s="30"/>
      <c r="AK44" s="30"/>
      <c r="AL44" s="30"/>
      <c r="AM44" s="30"/>
      <c r="AN44" s="34"/>
      <c r="AO44" s="34"/>
      <c r="AP44" s="34"/>
      <c r="AQ44" s="34"/>
      <c r="AR44" s="34"/>
      <c r="AS44" s="34"/>
      <c r="AT44" s="34" t="s">
        <v>156</v>
      </c>
      <c r="AU44" s="34" t="s">
        <v>156</v>
      </c>
      <c r="AV44" s="34" t="s">
        <v>156</v>
      </c>
      <c r="AW44" s="34" t="s">
        <v>156</v>
      </c>
      <c r="AX44" s="34" t="s">
        <v>156</v>
      </c>
      <c r="AY44" s="34" t="s">
        <v>156</v>
      </c>
      <c r="AZ44" s="34" t="s">
        <v>156</v>
      </c>
      <c r="BA44" s="34" t="s">
        <v>156</v>
      </c>
      <c r="BB44" s="34" t="s">
        <v>156</v>
      </c>
      <c r="BC44" s="34" t="s">
        <v>156</v>
      </c>
      <c r="BD44" s="34" t="s">
        <v>156</v>
      </c>
      <c r="BE44" s="34" t="s">
        <v>156</v>
      </c>
      <c r="BF44" s="34" t="s">
        <v>156</v>
      </c>
      <c r="BG44" s="34" t="s">
        <v>156</v>
      </c>
      <c r="BH44" s="34" t="s">
        <v>156</v>
      </c>
      <c r="BI44" s="34" t="s">
        <v>156</v>
      </c>
      <c r="BJ44" s="34" t="s">
        <v>156</v>
      </c>
      <c r="BK44" s="34" t="s">
        <v>156</v>
      </c>
      <c r="BL44" s="34" t="s">
        <v>156</v>
      </c>
      <c r="BM44" s="34" t="s">
        <v>156</v>
      </c>
      <c r="BN44" s="34" t="s">
        <v>156</v>
      </c>
      <c r="BO44" s="34" t="s">
        <v>156</v>
      </c>
      <c r="BP44" s="34" t="s">
        <v>156</v>
      </c>
      <c r="BQ44" s="34" t="s">
        <v>156</v>
      </c>
      <c r="BR44" s="35"/>
      <c r="BS44" s="20" t="s">
        <v>157</v>
      </c>
    </row>
    <row r="45" ht="16.5" spans="1:71">
      <c r="A45" s="21" t="s">
        <v>48</v>
      </c>
      <c r="B45" s="21"/>
      <c r="C45" s="21"/>
      <c r="D45" s="39" t="s">
        <v>159</v>
      </c>
      <c r="E45" s="23">
        <v>90</v>
      </c>
      <c r="F45" s="24">
        <v>129.99</v>
      </c>
      <c r="G45" s="25">
        <f t="shared" si="22"/>
        <v>116.991</v>
      </c>
      <c r="H45" s="25">
        <f t="shared" si="23"/>
        <v>97.4925</v>
      </c>
      <c r="I45" s="25">
        <f t="shared" si="24"/>
        <v>9.47008554572271</v>
      </c>
      <c r="J45" s="26">
        <f t="shared" si="25"/>
        <v>0.105223172730252</v>
      </c>
      <c r="K45" s="27">
        <f t="shared" si="26"/>
        <v>108.325</v>
      </c>
      <c r="L45" s="28">
        <f t="shared" si="27"/>
        <v>0.169166858989153</v>
      </c>
      <c r="M45" s="25">
        <f t="shared" si="28"/>
        <v>18.325</v>
      </c>
      <c r="N45" s="27">
        <f t="shared" si="29"/>
        <v>250.353982300885</v>
      </c>
      <c r="O45" s="27">
        <f t="shared" si="30"/>
        <v>6.41666666666667</v>
      </c>
      <c r="P45" s="21">
        <v>3</v>
      </c>
      <c r="Q45" s="29">
        <v>8</v>
      </c>
      <c r="R45" s="30">
        <f t="shared" si="31"/>
        <v>0.133333333333333</v>
      </c>
      <c r="S45" s="26">
        <f t="shared" si="43"/>
        <v>0.0923147934456497</v>
      </c>
      <c r="T45" s="30">
        <f t="shared" si="33"/>
        <v>0.144433333333333</v>
      </c>
      <c r="U45" s="30">
        <v>0.01</v>
      </c>
      <c r="V45" s="30">
        <f t="shared" si="34"/>
        <v>0.347713864306785</v>
      </c>
      <c r="W45" s="30">
        <f t="shared" si="35"/>
        <v>0.0712962962962963</v>
      </c>
      <c r="X45" s="31">
        <v>0.188</v>
      </c>
      <c r="Y45" s="32">
        <v>12</v>
      </c>
      <c r="Z45" s="32">
        <f>F45*0.1</f>
        <v>12.999</v>
      </c>
      <c r="AA45" s="32">
        <f t="shared" si="36"/>
        <v>0.9</v>
      </c>
      <c r="AB45" s="27">
        <f t="shared" si="37"/>
        <v>16.92</v>
      </c>
      <c r="AC45" s="27">
        <v>249</v>
      </c>
      <c r="AD45" s="33">
        <f t="shared" si="38"/>
        <v>220.353982300885</v>
      </c>
      <c r="AE45" s="29">
        <f t="shared" si="39"/>
        <v>3.75</v>
      </c>
      <c r="AF45" s="30">
        <f t="shared" si="40"/>
        <v>0.306047197640118</v>
      </c>
      <c r="AG45" s="30">
        <f t="shared" si="41"/>
        <v>0.0416666666666667</v>
      </c>
      <c r="AH45" s="29">
        <v>30</v>
      </c>
      <c r="AI45" s="30">
        <f t="shared" si="44"/>
        <v>0.369731238067264</v>
      </c>
      <c r="AJ45" s="30"/>
      <c r="AK45" s="30"/>
      <c r="AL45" s="30"/>
      <c r="AM45" s="30"/>
      <c r="AN45" s="34"/>
      <c r="AO45" s="34"/>
      <c r="AP45" s="34"/>
      <c r="AQ45" s="34"/>
      <c r="AR45" s="34"/>
      <c r="AS45" s="34"/>
      <c r="AT45" s="34" t="s">
        <v>156</v>
      </c>
      <c r="AU45" s="34" t="s">
        <v>156</v>
      </c>
      <c r="AV45" s="34" t="s">
        <v>156</v>
      </c>
      <c r="AW45" s="34" t="s">
        <v>156</v>
      </c>
      <c r="AX45" s="34" t="s">
        <v>156</v>
      </c>
      <c r="AY45" s="34" t="s">
        <v>156</v>
      </c>
      <c r="AZ45" s="34" t="s">
        <v>156</v>
      </c>
      <c r="BA45" s="34" t="s">
        <v>156</v>
      </c>
      <c r="BB45" s="34" t="s">
        <v>156</v>
      </c>
      <c r="BC45" s="34" t="s">
        <v>156</v>
      </c>
      <c r="BD45" s="34" t="s">
        <v>156</v>
      </c>
      <c r="BE45" s="34" t="s">
        <v>156</v>
      </c>
      <c r="BF45" s="34" t="s">
        <v>156</v>
      </c>
      <c r="BG45" s="34" t="s">
        <v>156</v>
      </c>
      <c r="BH45" s="34" t="s">
        <v>156</v>
      </c>
      <c r="BI45" s="34" t="s">
        <v>156</v>
      </c>
      <c r="BJ45" s="34" t="s">
        <v>156</v>
      </c>
      <c r="BK45" s="34" t="s">
        <v>156</v>
      </c>
      <c r="BL45" s="34" t="s">
        <v>156</v>
      </c>
      <c r="BM45" s="34" t="s">
        <v>156</v>
      </c>
      <c r="BN45" s="34" t="s">
        <v>156</v>
      </c>
      <c r="BO45" s="34" t="s">
        <v>156</v>
      </c>
      <c r="BP45" s="34" t="s">
        <v>156</v>
      </c>
      <c r="BQ45" s="34" t="s">
        <v>156</v>
      </c>
      <c r="BR45" s="35"/>
      <c r="BS45" s="20" t="s">
        <v>157</v>
      </c>
    </row>
    <row r="46" ht="16.5" spans="1:71">
      <c r="A46" s="21" t="s">
        <v>48</v>
      </c>
      <c r="B46" s="21"/>
      <c r="C46" s="21"/>
      <c r="D46" s="39" t="s">
        <v>160</v>
      </c>
      <c r="E46" s="23">
        <v>90</v>
      </c>
      <c r="F46" s="24">
        <v>129.99</v>
      </c>
      <c r="G46" s="25">
        <f t="shared" si="22"/>
        <v>110.4915</v>
      </c>
      <c r="H46" s="25">
        <f t="shared" si="23"/>
        <v>92.07625</v>
      </c>
      <c r="I46" s="25">
        <f t="shared" si="24"/>
        <v>2.97058554572271</v>
      </c>
      <c r="J46" s="26">
        <f t="shared" si="25"/>
        <v>0.0330065060635856</v>
      </c>
      <c r="K46" s="27">
        <f t="shared" si="26"/>
        <v>108.325</v>
      </c>
      <c r="L46" s="28">
        <f t="shared" si="27"/>
        <v>0.169166858989153</v>
      </c>
      <c r="M46" s="25">
        <f t="shared" si="28"/>
        <v>18.325</v>
      </c>
      <c r="N46" s="27">
        <f t="shared" si="29"/>
        <v>250.353982300885</v>
      </c>
      <c r="O46" s="27">
        <f t="shared" si="30"/>
        <v>6.41666666666667</v>
      </c>
      <c r="P46" s="21">
        <v>3</v>
      </c>
      <c r="Q46" s="29">
        <v>8</v>
      </c>
      <c r="R46" s="30">
        <f t="shared" si="31"/>
        <v>0.133333333333333</v>
      </c>
      <c r="S46" s="26">
        <f t="shared" si="43"/>
        <v>0.0923147934456497</v>
      </c>
      <c r="T46" s="30">
        <f t="shared" si="33"/>
        <v>0.21665</v>
      </c>
      <c r="U46" s="30">
        <v>0.01</v>
      </c>
      <c r="V46" s="30">
        <f t="shared" si="34"/>
        <v>0.347713864306785</v>
      </c>
      <c r="W46" s="30">
        <f t="shared" si="35"/>
        <v>0.0712962962962963</v>
      </c>
      <c r="X46" s="31">
        <v>0.188</v>
      </c>
      <c r="Y46" s="32">
        <v>12</v>
      </c>
      <c r="Z46" s="32">
        <f>F46*0.15</f>
        <v>19.4985</v>
      </c>
      <c r="AA46" s="32">
        <f t="shared" si="36"/>
        <v>0.9</v>
      </c>
      <c r="AB46" s="27">
        <f t="shared" si="37"/>
        <v>16.92</v>
      </c>
      <c r="AC46" s="27">
        <v>249</v>
      </c>
      <c r="AD46" s="33">
        <f t="shared" si="38"/>
        <v>220.353982300885</v>
      </c>
      <c r="AE46" s="29">
        <f t="shared" si="39"/>
        <v>3.75</v>
      </c>
      <c r="AF46" s="30">
        <f t="shared" si="40"/>
        <v>0.306047197640118</v>
      </c>
      <c r="AG46" s="30">
        <f t="shared" si="41"/>
        <v>0.0416666666666667</v>
      </c>
      <c r="AH46" s="29">
        <v>30</v>
      </c>
      <c r="AI46" s="30">
        <f t="shared" si="44"/>
        <v>0.396784743291698</v>
      </c>
      <c r="AJ46" s="30"/>
      <c r="AK46" s="30"/>
      <c r="AL46" s="30"/>
      <c r="AM46" s="30"/>
      <c r="AN46" s="34"/>
      <c r="AO46" s="34"/>
      <c r="AP46" s="34"/>
      <c r="AQ46" s="34"/>
      <c r="AR46" s="34"/>
      <c r="AS46" s="34"/>
      <c r="AT46" s="34" t="s">
        <v>156</v>
      </c>
      <c r="AU46" s="34" t="s">
        <v>156</v>
      </c>
      <c r="AV46" s="34" t="s">
        <v>156</v>
      </c>
      <c r="AW46" s="34" t="s">
        <v>156</v>
      </c>
      <c r="AX46" s="34" t="s">
        <v>156</v>
      </c>
      <c r="AY46" s="34" t="s">
        <v>156</v>
      </c>
      <c r="AZ46" s="34" t="s">
        <v>156</v>
      </c>
      <c r="BA46" s="34" t="s">
        <v>156</v>
      </c>
      <c r="BB46" s="34" t="s">
        <v>156</v>
      </c>
      <c r="BC46" s="34" t="s">
        <v>156</v>
      </c>
      <c r="BD46" s="34" t="s">
        <v>156</v>
      </c>
      <c r="BE46" s="34" t="s">
        <v>156</v>
      </c>
      <c r="BF46" s="34" t="s">
        <v>156</v>
      </c>
      <c r="BG46" s="34" t="s">
        <v>156</v>
      </c>
      <c r="BH46" s="34" t="s">
        <v>156</v>
      </c>
      <c r="BI46" s="34" t="s">
        <v>156</v>
      </c>
      <c r="BJ46" s="34" t="s">
        <v>156</v>
      </c>
      <c r="BK46" s="34" t="s">
        <v>156</v>
      </c>
      <c r="BL46" s="34" t="s">
        <v>156</v>
      </c>
      <c r="BM46" s="34" t="s">
        <v>156</v>
      </c>
      <c r="BN46" s="34" t="s">
        <v>156</v>
      </c>
      <c r="BO46" s="34" t="s">
        <v>156</v>
      </c>
      <c r="BP46" s="34" t="s">
        <v>156</v>
      </c>
      <c r="BQ46" s="34" t="s">
        <v>156</v>
      </c>
      <c r="BR46" s="35"/>
      <c r="BS46" s="20" t="s">
        <v>157</v>
      </c>
    </row>
    <row r="47" ht="16.5" spans="1:71">
      <c r="A47" s="21" t="s">
        <v>161</v>
      </c>
      <c r="B47" s="21"/>
      <c r="C47" s="21"/>
      <c r="D47" s="42" t="s">
        <v>162</v>
      </c>
      <c r="E47" s="23">
        <v>90</v>
      </c>
      <c r="F47" s="24">
        <v>129.99</v>
      </c>
      <c r="G47" s="25">
        <f t="shared" si="22"/>
        <v>129.99</v>
      </c>
      <c r="H47" s="25">
        <f t="shared" si="23"/>
        <v>108.325</v>
      </c>
      <c r="I47" s="25">
        <f t="shared" si="24"/>
        <v>35.302418879056</v>
      </c>
      <c r="J47" s="26">
        <f t="shared" si="25"/>
        <v>0.392249098656178</v>
      </c>
      <c r="K47" s="27">
        <f t="shared" si="26"/>
        <v>108.325</v>
      </c>
      <c r="L47" s="28">
        <f t="shared" si="27"/>
        <v>0.169166858989153</v>
      </c>
      <c r="M47" s="25">
        <f t="shared" si="28"/>
        <v>18.325</v>
      </c>
      <c r="N47" s="27">
        <f t="shared" si="29"/>
        <v>250.353982300885</v>
      </c>
      <c r="O47" s="27">
        <f t="shared" si="30"/>
        <v>5.58333333333333</v>
      </c>
      <c r="P47" s="21">
        <v>3</v>
      </c>
      <c r="Q47" s="29">
        <v>8</v>
      </c>
      <c r="R47" s="30">
        <f t="shared" si="31"/>
        <v>0</v>
      </c>
      <c r="S47" s="26">
        <f t="shared" si="43"/>
        <v>0</v>
      </c>
      <c r="T47" s="30">
        <f t="shared" si="33"/>
        <v>0</v>
      </c>
      <c r="U47" s="30">
        <v>0.01</v>
      </c>
      <c r="V47" s="30">
        <f t="shared" si="34"/>
        <v>0.347713864306785</v>
      </c>
      <c r="W47" s="30">
        <f t="shared" si="35"/>
        <v>0.062037037037037</v>
      </c>
      <c r="X47" s="31">
        <v>0.188</v>
      </c>
      <c r="Y47" s="32">
        <v>0</v>
      </c>
      <c r="Z47" s="32">
        <f t="shared" ref="Z47:Z50" si="45">F47*0</f>
        <v>0</v>
      </c>
      <c r="AA47" s="32">
        <f t="shared" si="36"/>
        <v>0.9</v>
      </c>
      <c r="AB47" s="27">
        <f t="shared" si="37"/>
        <v>16.92</v>
      </c>
      <c r="AC47" s="27">
        <v>249</v>
      </c>
      <c r="AD47" s="33">
        <f t="shared" si="38"/>
        <v>220.353982300885</v>
      </c>
      <c r="AE47" s="29">
        <f t="shared" si="39"/>
        <v>3.75</v>
      </c>
      <c r="AF47" s="30">
        <f t="shared" si="40"/>
        <v>0.306047197640118</v>
      </c>
      <c r="AG47" s="30">
        <f t="shared" si="41"/>
        <v>0.0416666666666667</v>
      </c>
      <c r="AH47" s="29">
        <v>30</v>
      </c>
      <c r="AI47" s="30">
        <f t="shared" si="44"/>
        <v>0.325363489499192</v>
      </c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 t="s">
        <v>156</v>
      </c>
      <c r="AU47" s="34" t="s">
        <v>156</v>
      </c>
      <c r="AV47" s="34" t="s">
        <v>156</v>
      </c>
      <c r="AW47" s="34" t="s">
        <v>156</v>
      </c>
      <c r="AX47" s="34" t="s">
        <v>156</v>
      </c>
      <c r="AY47" s="34" t="s">
        <v>156</v>
      </c>
      <c r="AZ47" s="34" t="s">
        <v>156</v>
      </c>
      <c r="BA47" s="34" t="s">
        <v>156</v>
      </c>
      <c r="BB47" s="34" t="s">
        <v>156</v>
      </c>
      <c r="BC47" s="34" t="s">
        <v>156</v>
      </c>
      <c r="BD47" s="34" t="s">
        <v>156</v>
      </c>
      <c r="BE47" s="34" t="s">
        <v>156</v>
      </c>
      <c r="BF47" s="34" t="s">
        <v>156</v>
      </c>
      <c r="BG47" s="34" t="s">
        <v>156</v>
      </c>
      <c r="BH47" s="34" t="s">
        <v>156</v>
      </c>
      <c r="BI47" s="34" t="s">
        <v>156</v>
      </c>
      <c r="BJ47" s="34" t="s">
        <v>156</v>
      </c>
      <c r="BK47" s="34" t="s">
        <v>156</v>
      </c>
      <c r="BL47" s="34" t="s">
        <v>156</v>
      </c>
      <c r="BM47" s="34" t="s">
        <v>156</v>
      </c>
      <c r="BN47" s="34" t="s">
        <v>156</v>
      </c>
      <c r="BO47" s="34" t="s">
        <v>156</v>
      </c>
      <c r="BP47" s="34" t="s">
        <v>156</v>
      </c>
      <c r="BQ47" s="34" t="s">
        <v>156</v>
      </c>
      <c r="BR47" s="44" t="e">
        <f>IF(E47&lt;#REF!,1,0)</f>
        <v>#REF!</v>
      </c>
      <c r="BS47" s="20" t="s">
        <v>157</v>
      </c>
    </row>
    <row r="48" ht="16.5" spans="1:71">
      <c r="A48" s="21" t="s">
        <v>163</v>
      </c>
      <c r="B48" s="21"/>
      <c r="C48" s="21"/>
      <c r="D48" s="42" t="s">
        <v>164</v>
      </c>
      <c r="E48" s="23">
        <v>90</v>
      </c>
      <c r="F48" s="24">
        <v>129.99</v>
      </c>
      <c r="G48" s="25">
        <f t="shared" si="22"/>
        <v>129.99</v>
      </c>
      <c r="H48" s="25">
        <f t="shared" si="23"/>
        <v>108.325</v>
      </c>
      <c r="I48" s="25">
        <f t="shared" si="24"/>
        <v>36.202418879056</v>
      </c>
      <c r="J48" s="26">
        <f t="shared" si="25"/>
        <v>0.402249098656178</v>
      </c>
      <c r="K48" s="27">
        <f t="shared" si="26"/>
        <v>108.325</v>
      </c>
      <c r="L48" s="28">
        <f t="shared" si="27"/>
        <v>0.169166858989153</v>
      </c>
      <c r="M48" s="25">
        <f t="shared" si="28"/>
        <v>18.325</v>
      </c>
      <c r="N48" s="27">
        <f t="shared" si="29"/>
        <v>250.353982300885</v>
      </c>
      <c r="O48" s="27">
        <f t="shared" si="30"/>
        <v>4.68333333333333</v>
      </c>
      <c r="P48" s="21">
        <v>3</v>
      </c>
      <c r="Q48" s="29">
        <v>8</v>
      </c>
      <c r="R48" s="30">
        <f t="shared" si="31"/>
        <v>0</v>
      </c>
      <c r="S48" s="26">
        <f t="shared" si="43"/>
        <v>0</v>
      </c>
      <c r="T48" s="30">
        <f t="shared" si="33"/>
        <v>0</v>
      </c>
      <c r="U48" s="30">
        <v>0.01</v>
      </c>
      <c r="V48" s="30">
        <f t="shared" si="34"/>
        <v>0.347713864306785</v>
      </c>
      <c r="W48" s="30">
        <f t="shared" si="35"/>
        <v>0.052037037037037</v>
      </c>
      <c r="X48" s="31">
        <v>0.188</v>
      </c>
      <c r="Y48" s="32">
        <v>0</v>
      </c>
      <c r="Z48" s="32">
        <f t="shared" si="45"/>
        <v>0</v>
      </c>
      <c r="AA48" s="32">
        <f t="shared" si="36"/>
        <v>0.9</v>
      </c>
      <c r="AB48" s="27">
        <f t="shared" si="37"/>
        <v>16.92</v>
      </c>
      <c r="AC48" s="27">
        <v>249</v>
      </c>
      <c r="AD48" s="33">
        <f t="shared" si="38"/>
        <v>220.353982300885</v>
      </c>
      <c r="AE48" s="29">
        <f t="shared" si="39"/>
        <v>3.75</v>
      </c>
      <c r="AF48" s="30">
        <f t="shared" si="40"/>
        <v>0.306047197640118</v>
      </c>
      <c r="AG48" s="30">
        <f t="shared" si="41"/>
        <v>0.0416666666666667</v>
      </c>
      <c r="AH48" s="29">
        <v>30</v>
      </c>
      <c r="AI48" s="30">
        <f t="shared" si="44"/>
        <v>0.325363489499192</v>
      </c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 t="s">
        <v>156</v>
      </c>
      <c r="AU48" s="34" t="s">
        <v>156</v>
      </c>
      <c r="AV48" s="34" t="s">
        <v>156</v>
      </c>
      <c r="AW48" s="34" t="s">
        <v>156</v>
      </c>
      <c r="AX48" s="34" t="s">
        <v>156</v>
      </c>
      <c r="AY48" s="34" t="s">
        <v>156</v>
      </c>
      <c r="AZ48" s="34" t="s">
        <v>156</v>
      </c>
      <c r="BA48" s="34" t="s">
        <v>156</v>
      </c>
      <c r="BB48" s="34" t="s">
        <v>156</v>
      </c>
      <c r="BC48" s="34" t="s">
        <v>156</v>
      </c>
      <c r="BD48" s="34" t="s">
        <v>156</v>
      </c>
      <c r="BE48" s="34" t="s">
        <v>156</v>
      </c>
      <c r="BF48" s="34" t="s">
        <v>156</v>
      </c>
      <c r="BG48" s="34" t="s">
        <v>156</v>
      </c>
      <c r="BH48" s="34" t="s">
        <v>156</v>
      </c>
      <c r="BI48" s="34" t="s">
        <v>156</v>
      </c>
      <c r="BJ48" s="34" t="s">
        <v>156</v>
      </c>
      <c r="BK48" s="34" t="s">
        <v>156</v>
      </c>
      <c r="BL48" s="34" t="s">
        <v>156</v>
      </c>
      <c r="BM48" s="34" t="s">
        <v>156</v>
      </c>
      <c r="BN48" s="34" t="s">
        <v>156</v>
      </c>
      <c r="BO48" s="34" t="s">
        <v>156</v>
      </c>
      <c r="BP48" s="34" t="s">
        <v>156</v>
      </c>
      <c r="BQ48" s="34" t="s">
        <v>156</v>
      </c>
      <c r="BR48" s="44" t="e">
        <f>IF(E48&lt;#REF!,1,0)</f>
        <v>#REF!</v>
      </c>
      <c r="BS48" s="20" t="s">
        <v>157</v>
      </c>
    </row>
    <row r="49" ht="16.5" spans="1:71">
      <c r="A49" s="21" t="s">
        <v>165</v>
      </c>
      <c r="B49" s="21"/>
      <c r="C49" s="21"/>
      <c r="D49" s="42" t="s">
        <v>166</v>
      </c>
      <c r="E49" s="23">
        <v>90</v>
      </c>
      <c r="F49" s="24">
        <v>129.99</v>
      </c>
      <c r="G49" s="25">
        <f t="shared" si="22"/>
        <v>129.99</v>
      </c>
      <c r="H49" s="25">
        <f t="shared" si="23"/>
        <v>108.325</v>
      </c>
      <c r="I49" s="25">
        <f t="shared" si="24"/>
        <v>34.802418879056</v>
      </c>
      <c r="J49" s="26">
        <f t="shared" si="25"/>
        <v>0.386693543100623</v>
      </c>
      <c r="K49" s="27">
        <f t="shared" si="26"/>
        <v>108.325</v>
      </c>
      <c r="L49" s="28">
        <f t="shared" si="27"/>
        <v>0.169166858989153</v>
      </c>
      <c r="M49" s="25">
        <f t="shared" si="28"/>
        <v>18.325</v>
      </c>
      <c r="N49" s="27">
        <f t="shared" si="29"/>
        <v>250.353982300885</v>
      </c>
      <c r="O49" s="27">
        <f t="shared" si="30"/>
        <v>6.08333333333333</v>
      </c>
      <c r="P49" s="21">
        <v>3</v>
      </c>
      <c r="Q49" s="29">
        <v>8</v>
      </c>
      <c r="R49" s="30">
        <f t="shared" si="31"/>
        <v>0</v>
      </c>
      <c r="S49" s="26">
        <f t="shared" si="43"/>
        <v>0</v>
      </c>
      <c r="T49" s="30">
        <f t="shared" si="33"/>
        <v>0</v>
      </c>
      <c r="U49" s="30">
        <v>0.01</v>
      </c>
      <c r="V49" s="30">
        <f t="shared" si="34"/>
        <v>0.347713864306785</v>
      </c>
      <c r="W49" s="30">
        <f t="shared" si="35"/>
        <v>0.0675925925925926</v>
      </c>
      <c r="X49" s="31">
        <v>0.188</v>
      </c>
      <c r="Y49" s="32">
        <v>0</v>
      </c>
      <c r="Z49" s="32">
        <f t="shared" si="45"/>
        <v>0</v>
      </c>
      <c r="AA49" s="32">
        <f t="shared" si="36"/>
        <v>0.9</v>
      </c>
      <c r="AB49" s="27">
        <f t="shared" si="37"/>
        <v>16.92</v>
      </c>
      <c r="AC49" s="27">
        <v>249</v>
      </c>
      <c r="AD49" s="33">
        <f t="shared" si="38"/>
        <v>220.353982300885</v>
      </c>
      <c r="AE49" s="29">
        <f t="shared" si="39"/>
        <v>3.75</v>
      </c>
      <c r="AF49" s="30">
        <f t="shared" si="40"/>
        <v>0.306047197640118</v>
      </c>
      <c r="AG49" s="30">
        <f t="shared" si="41"/>
        <v>0.0416666666666667</v>
      </c>
      <c r="AH49" s="29">
        <v>30</v>
      </c>
      <c r="AI49" s="30">
        <f t="shared" si="44"/>
        <v>0.325363489499192</v>
      </c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 t="s">
        <v>156</v>
      </c>
      <c r="AU49" s="34" t="s">
        <v>156</v>
      </c>
      <c r="AV49" s="34" t="s">
        <v>156</v>
      </c>
      <c r="AW49" s="34" t="s">
        <v>156</v>
      </c>
      <c r="AX49" s="34" t="s">
        <v>156</v>
      </c>
      <c r="AY49" s="34" t="s">
        <v>156</v>
      </c>
      <c r="AZ49" s="34" t="s">
        <v>156</v>
      </c>
      <c r="BA49" s="34" t="s">
        <v>156</v>
      </c>
      <c r="BB49" s="34" t="s">
        <v>156</v>
      </c>
      <c r="BC49" s="34" t="s">
        <v>156</v>
      </c>
      <c r="BD49" s="34" t="s">
        <v>156</v>
      </c>
      <c r="BE49" s="34" t="s">
        <v>156</v>
      </c>
      <c r="BF49" s="34" t="s">
        <v>156</v>
      </c>
      <c r="BG49" s="34" t="s">
        <v>156</v>
      </c>
      <c r="BH49" s="34" t="s">
        <v>156</v>
      </c>
      <c r="BI49" s="34" t="s">
        <v>156</v>
      </c>
      <c r="BJ49" s="34" t="s">
        <v>156</v>
      </c>
      <c r="BK49" s="34" t="s">
        <v>156</v>
      </c>
      <c r="BL49" s="34" t="s">
        <v>156</v>
      </c>
      <c r="BM49" s="34" t="s">
        <v>156</v>
      </c>
      <c r="BN49" s="34" t="s">
        <v>156</v>
      </c>
      <c r="BO49" s="34" t="s">
        <v>156</v>
      </c>
      <c r="BP49" s="34" t="s">
        <v>156</v>
      </c>
      <c r="BQ49" s="34" t="s">
        <v>156</v>
      </c>
      <c r="BR49" s="44" t="e">
        <f>IF(E49&lt;#REF!,1,0)</f>
        <v>#REF!</v>
      </c>
      <c r="BS49" s="20" t="s">
        <v>157</v>
      </c>
    </row>
    <row r="50" ht="16.5" spans="1:71">
      <c r="A50" s="21" t="s">
        <v>167</v>
      </c>
      <c r="B50" s="21"/>
      <c r="C50" s="21"/>
      <c r="D50" s="42" t="s">
        <v>168</v>
      </c>
      <c r="E50" s="23">
        <v>90</v>
      </c>
      <c r="F50" s="24">
        <v>129.99</v>
      </c>
      <c r="G50" s="25">
        <f t="shared" si="22"/>
        <v>129.99</v>
      </c>
      <c r="H50" s="25">
        <f t="shared" si="23"/>
        <v>108.325</v>
      </c>
      <c r="I50" s="25">
        <f t="shared" si="24"/>
        <v>36.1357522123894</v>
      </c>
      <c r="J50" s="26">
        <f t="shared" si="25"/>
        <v>0.401508357915438</v>
      </c>
      <c r="K50" s="27">
        <f t="shared" si="26"/>
        <v>108.325</v>
      </c>
      <c r="L50" s="28">
        <f t="shared" si="27"/>
        <v>0.169166858989153</v>
      </c>
      <c r="M50" s="25">
        <f t="shared" si="28"/>
        <v>18.325</v>
      </c>
      <c r="N50" s="27">
        <f t="shared" si="29"/>
        <v>250.353982300885</v>
      </c>
      <c r="O50" s="27">
        <f t="shared" si="30"/>
        <v>4.75</v>
      </c>
      <c r="P50" s="21">
        <v>3</v>
      </c>
      <c r="Q50" s="29">
        <v>8</v>
      </c>
      <c r="R50" s="30">
        <f t="shared" si="31"/>
        <v>0</v>
      </c>
      <c r="S50" s="26">
        <f t="shared" si="43"/>
        <v>0</v>
      </c>
      <c r="T50" s="30">
        <f t="shared" si="33"/>
        <v>0</v>
      </c>
      <c r="U50" s="30">
        <v>0.01</v>
      </c>
      <c r="V50" s="30">
        <f t="shared" si="34"/>
        <v>0.347713864306785</v>
      </c>
      <c r="W50" s="30">
        <f t="shared" si="35"/>
        <v>0.0527777777777778</v>
      </c>
      <c r="X50" s="31">
        <v>0.188</v>
      </c>
      <c r="Y50" s="32">
        <v>0</v>
      </c>
      <c r="Z50" s="32">
        <f t="shared" si="45"/>
        <v>0</v>
      </c>
      <c r="AA50" s="32">
        <f t="shared" si="36"/>
        <v>0.9</v>
      </c>
      <c r="AB50" s="27">
        <f t="shared" si="37"/>
        <v>16.92</v>
      </c>
      <c r="AC50" s="27">
        <v>249</v>
      </c>
      <c r="AD50" s="33">
        <f t="shared" si="38"/>
        <v>220.353982300885</v>
      </c>
      <c r="AE50" s="29">
        <f t="shared" si="39"/>
        <v>3.75</v>
      </c>
      <c r="AF50" s="30">
        <f t="shared" si="40"/>
        <v>0.306047197640118</v>
      </c>
      <c r="AG50" s="30">
        <f t="shared" si="41"/>
        <v>0.0416666666666667</v>
      </c>
      <c r="AH50" s="29">
        <v>30</v>
      </c>
      <c r="AI50" s="30">
        <f t="shared" si="44"/>
        <v>0.325363489499192</v>
      </c>
      <c r="AJ50" s="30"/>
      <c r="AK50" s="30"/>
      <c r="AL50" s="30"/>
      <c r="AM50" s="30"/>
      <c r="AN50" s="34"/>
      <c r="AO50" s="34"/>
      <c r="AP50" s="34"/>
      <c r="AQ50" s="34"/>
      <c r="AR50" s="34"/>
      <c r="AS50" s="34"/>
      <c r="AT50" s="34" t="s">
        <v>156</v>
      </c>
      <c r="AU50" s="34" t="s">
        <v>156</v>
      </c>
      <c r="AV50" s="34" t="s">
        <v>156</v>
      </c>
      <c r="AW50" s="34" t="s">
        <v>156</v>
      </c>
      <c r="AX50" s="34" t="s">
        <v>156</v>
      </c>
      <c r="AY50" s="34" t="s">
        <v>156</v>
      </c>
      <c r="AZ50" s="34" t="s">
        <v>156</v>
      </c>
      <c r="BA50" s="34" t="s">
        <v>156</v>
      </c>
      <c r="BB50" s="34" t="s">
        <v>156</v>
      </c>
      <c r="BC50" s="34" t="s">
        <v>156</v>
      </c>
      <c r="BD50" s="34" t="s">
        <v>156</v>
      </c>
      <c r="BE50" s="34" t="s">
        <v>156</v>
      </c>
      <c r="BF50" s="34" t="s">
        <v>156</v>
      </c>
      <c r="BG50" s="34" t="s">
        <v>156</v>
      </c>
      <c r="BH50" s="34" t="s">
        <v>156</v>
      </c>
      <c r="BI50" s="34" t="s">
        <v>156</v>
      </c>
      <c r="BJ50" s="34" t="s">
        <v>156</v>
      </c>
      <c r="BK50" s="34" t="s">
        <v>156</v>
      </c>
      <c r="BL50" s="34" t="s">
        <v>156</v>
      </c>
      <c r="BM50" s="34" t="s">
        <v>156</v>
      </c>
      <c r="BN50" s="34" t="s">
        <v>156</v>
      </c>
      <c r="BO50" s="34" t="s">
        <v>156</v>
      </c>
      <c r="BP50" s="34" t="s">
        <v>156</v>
      </c>
      <c r="BQ50" s="34" t="s">
        <v>156</v>
      </c>
      <c r="BR50" s="44" t="e">
        <f>IF(E50&lt;#REF!,1,0)</f>
        <v>#REF!</v>
      </c>
      <c r="BS50" s="20" t="s">
        <v>157</v>
      </c>
    </row>
    <row r="51" ht="16.5" spans="1:71">
      <c r="E51" s="27"/>
      <c r="F51" s="43"/>
      <c r="G51" s="25"/>
      <c r="H51" s="25"/>
      <c r="I51" s="25"/>
      <c r="J51" s="26"/>
      <c r="K51" s="27"/>
      <c r="L51" s="27"/>
      <c r="M51" s="27"/>
      <c r="N51" s="27"/>
      <c r="O51" s="27"/>
      <c r="P51" s="21"/>
      <c r="Q51" s="29"/>
      <c r="R51" s="30"/>
      <c r="S51" s="26"/>
      <c r="T51" s="30"/>
      <c r="U51" s="30"/>
      <c r="V51" s="30"/>
      <c r="W51" s="30"/>
      <c r="X51" s="31"/>
      <c r="Y51" s="32"/>
      <c r="Z51" s="32"/>
      <c r="AA51" s="32"/>
      <c r="AB51" s="27"/>
      <c r="AC51" s="27"/>
      <c r="AD51" s="33"/>
      <c r="AE51" s="29"/>
      <c r="AF51" s="30"/>
      <c r="AG51" s="30"/>
      <c r="AH51" s="29"/>
      <c r="AI51" s="30"/>
      <c r="AJ51" s="30"/>
      <c r="AK51" s="30"/>
      <c r="AL51" s="30"/>
      <c r="AM51" s="30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44"/>
      <c r="BS51" s="20"/>
    </row>
    <row r="52" ht="16.5" spans="1:71">
      <c r="A52" s="21" t="s">
        <v>50</v>
      </c>
      <c r="B52" s="21"/>
      <c r="C52" s="45"/>
      <c r="D52" s="22" t="s">
        <v>169</v>
      </c>
      <c r="E52" s="46">
        <v>24.5</v>
      </c>
      <c r="F52" s="47">
        <v>34.99</v>
      </c>
      <c r="G52" s="25">
        <f t="shared" ref="G52:G75" si="46">(F52-Z52)</f>
        <v>34.99</v>
      </c>
      <c r="H52" s="25">
        <f t="shared" ref="H52:H75" si="47">(F52-Z52)/1.2</f>
        <v>29.1583333333333</v>
      </c>
      <c r="I52" s="25">
        <f t="shared" ref="I52:I75" si="48">E52-N52/Q52-AB52-Y52-O52-Z52-AA52</f>
        <v>3.5062418879056</v>
      </c>
      <c r="J52" s="26">
        <f t="shared" ref="J52:J75" si="49">I52/E52</f>
        <v>0.143111913792065</v>
      </c>
      <c r="K52" s="27">
        <f t="shared" ref="K52:K75" si="50">F52/1.2</f>
        <v>29.1583333333333</v>
      </c>
      <c r="L52" s="28">
        <f t="shared" ref="L52:L75" si="51">(K52-E52)/K52</f>
        <v>0.159759931408974</v>
      </c>
      <c r="M52" s="25">
        <f t="shared" ref="M52:M75" si="52">F52/1.2-E52</f>
        <v>4.65833333333333</v>
      </c>
      <c r="N52" s="27">
        <f t="shared" ref="N52:N75" si="53">AD52+AH52</f>
        <v>93.5398230088496</v>
      </c>
      <c r="O52" s="27">
        <f t="shared" ref="O52:O75" si="54">IFERROR(IF(A52="UK",8.95/P52,IF(A52="DE",7.75/P52,IF(A52="FR",14.25/P52,IF(A52="IT",15.25/P52,IF(A52="ES",19.25/P52,IF(A52="NL",16.75/P52,IF(A52="PL",14.05/P52,IF(A52="SE",18.25/P52,IF(A52="BE",14.25/P52))))))))),0)</f>
        <v>0.994444444444444</v>
      </c>
      <c r="P52" s="20">
        <v>9</v>
      </c>
      <c r="Q52" s="29">
        <v>9</v>
      </c>
      <c r="R52" s="30">
        <f t="shared" ref="R52:R75" si="55">Y52/E52</f>
        <v>0.204081632653061</v>
      </c>
      <c r="S52" s="26">
        <f t="shared" ref="S52:S75" si="56">Y52/F52</f>
        <v>0.142897970848814</v>
      </c>
      <c r="T52" s="30">
        <f t="shared" ref="T52:T75" si="57">Z52/E52</f>
        <v>0</v>
      </c>
      <c r="U52" s="30">
        <v>0.01</v>
      </c>
      <c r="V52" s="30">
        <f t="shared" ref="V52:V75" si="58">N52/(E52*Q52)</f>
        <v>0.424216884393876</v>
      </c>
      <c r="W52" s="30">
        <f t="shared" ref="W52:W75" si="59">O52/E52</f>
        <v>0.0405895691609977</v>
      </c>
      <c r="X52" s="31">
        <v>0.178</v>
      </c>
      <c r="Y52" s="32">
        <v>5</v>
      </c>
      <c r="Z52" s="32">
        <v>0</v>
      </c>
      <c r="AA52" s="32">
        <f t="shared" ref="AA52:AA75" si="60">E52*U52</f>
        <v>0.245</v>
      </c>
      <c r="AB52" s="27">
        <f t="shared" ref="AB52:AB75" si="61">E52*X52</f>
        <v>4.361</v>
      </c>
      <c r="AC52" s="27">
        <v>94.4</v>
      </c>
      <c r="AD52" s="33">
        <f t="shared" ref="AD52:AD75" si="62">AC52/1.13</f>
        <v>83.5398230088496</v>
      </c>
      <c r="AE52" s="29">
        <f t="shared" ref="AE52:AE55" si="63">11.1/8.5</f>
        <v>1.30588235294118</v>
      </c>
      <c r="AF52" s="30">
        <f t="shared" ref="AF52:AF75" si="64">AD52/(E52*Q52)</f>
        <v>0.378865410470973</v>
      </c>
      <c r="AG52" s="30">
        <f t="shared" ref="AG52:AG75" si="65">AE52/Q52/E52</f>
        <v>0.00592236894757903</v>
      </c>
      <c r="AH52" s="29">
        <v>10</v>
      </c>
      <c r="AI52" s="26">
        <f t="shared" ref="AI52:AI75" si="66">(K52-E52+AB52)/(K52-Z52)</f>
        <v>0.309322663618177</v>
      </c>
      <c r="AJ52" s="30"/>
      <c r="AK52" s="30"/>
      <c r="AL52" s="30"/>
      <c r="AM52" s="30"/>
      <c r="AN52" s="34"/>
      <c r="AO52" s="34"/>
      <c r="AP52" s="34"/>
      <c r="AQ52" s="34"/>
      <c r="AR52" s="34"/>
      <c r="AS52" s="34"/>
      <c r="AT52" s="34" t="s">
        <v>156</v>
      </c>
      <c r="AU52" s="34" t="s">
        <v>156</v>
      </c>
      <c r="AV52" s="34" t="s">
        <v>156</v>
      </c>
      <c r="AW52" s="34" t="s">
        <v>156</v>
      </c>
      <c r="AX52" s="34" t="s">
        <v>156</v>
      </c>
      <c r="AY52" s="34" t="s">
        <v>156</v>
      </c>
      <c r="AZ52" s="34" t="s">
        <v>156</v>
      </c>
      <c r="BA52" s="34" t="s">
        <v>156</v>
      </c>
      <c r="BB52" s="34" t="s">
        <v>156</v>
      </c>
      <c r="BC52" s="34" t="s">
        <v>156</v>
      </c>
      <c r="BD52" s="34" t="s">
        <v>156</v>
      </c>
      <c r="BE52" s="34" t="s">
        <v>156</v>
      </c>
      <c r="BF52" s="34" t="s">
        <v>156</v>
      </c>
      <c r="BG52" s="34" t="s">
        <v>156</v>
      </c>
      <c r="BH52" s="34" t="s">
        <v>156</v>
      </c>
      <c r="BI52" s="34" t="s">
        <v>156</v>
      </c>
      <c r="BJ52" s="34" t="s">
        <v>156</v>
      </c>
      <c r="BK52" s="34" t="s">
        <v>156</v>
      </c>
      <c r="BL52" s="34" t="s">
        <v>156</v>
      </c>
      <c r="BM52" s="34" t="s">
        <v>156</v>
      </c>
      <c r="BN52" s="34" t="s">
        <v>156</v>
      </c>
      <c r="BO52" s="34" t="s">
        <v>156</v>
      </c>
      <c r="BP52" s="34" t="s">
        <v>156</v>
      </c>
      <c r="BQ52" s="34" t="s">
        <v>156</v>
      </c>
      <c r="BR52" s="44" t="e">
        <f>IF(E52&lt;#REF!,1,0)</f>
        <v>#REF!</v>
      </c>
      <c r="BS52" s="20" t="s">
        <v>157</v>
      </c>
    </row>
    <row r="53" ht="16.5" spans="1:71">
      <c r="A53" s="21" t="s">
        <v>50</v>
      </c>
      <c r="B53" s="21"/>
      <c r="C53" s="45"/>
      <c r="D53" s="22" t="s">
        <v>170</v>
      </c>
      <c r="E53" s="46">
        <v>24.5</v>
      </c>
      <c r="F53" s="47">
        <v>34.99</v>
      </c>
      <c r="G53" s="25">
        <f t="shared" si="46"/>
        <v>33.2405</v>
      </c>
      <c r="H53" s="25">
        <f t="shared" si="47"/>
        <v>27.7004166666667</v>
      </c>
      <c r="I53" s="25">
        <f t="shared" si="48"/>
        <v>1.7567418879056</v>
      </c>
      <c r="J53" s="26">
        <f t="shared" si="49"/>
        <v>0.0717037505267593</v>
      </c>
      <c r="K53" s="27">
        <f t="shared" si="50"/>
        <v>29.1583333333333</v>
      </c>
      <c r="L53" s="28">
        <f t="shared" si="51"/>
        <v>0.159759931408974</v>
      </c>
      <c r="M53" s="25">
        <f t="shared" si="52"/>
        <v>4.65833333333333</v>
      </c>
      <c r="N53" s="27">
        <f t="shared" si="53"/>
        <v>93.5398230088496</v>
      </c>
      <c r="O53" s="27">
        <f t="shared" si="54"/>
        <v>0.994444444444444</v>
      </c>
      <c r="P53" s="21">
        <v>9</v>
      </c>
      <c r="Q53" s="29">
        <v>9</v>
      </c>
      <c r="R53" s="30">
        <f t="shared" si="55"/>
        <v>0.204081632653061</v>
      </c>
      <c r="S53" s="26">
        <f t="shared" si="56"/>
        <v>0.142897970848814</v>
      </c>
      <c r="T53" s="30">
        <f t="shared" si="57"/>
        <v>0.0714081632653061</v>
      </c>
      <c r="U53" s="30">
        <v>0.01</v>
      </c>
      <c r="V53" s="30">
        <f t="shared" si="58"/>
        <v>0.424216884393876</v>
      </c>
      <c r="W53" s="30">
        <f t="shared" si="59"/>
        <v>0.0405895691609977</v>
      </c>
      <c r="X53" s="31">
        <v>0.178</v>
      </c>
      <c r="Y53" s="32">
        <v>5</v>
      </c>
      <c r="Z53" s="32">
        <f>F53*0.05</f>
        <v>1.7495</v>
      </c>
      <c r="AA53" s="32">
        <f t="shared" si="60"/>
        <v>0.245</v>
      </c>
      <c r="AB53" s="27">
        <f t="shared" si="61"/>
        <v>4.361</v>
      </c>
      <c r="AC53" s="27">
        <v>94.4</v>
      </c>
      <c r="AD53" s="33">
        <f t="shared" si="62"/>
        <v>83.5398230088496</v>
      </c>
      <c r="AE53" s="29">
        <f t="shared" si="63"/>
        <v>1.30588235294118</v>
      </c>
      <c r="AF53" s="30">
        <f t="shared" si="64"/>
        <v>0.378865410470973</v>
      </c>
      <c r="AG53" s="30">
        <f t="shared" si="65"/>
        <v>0.00592236894757903</v>
      </c>
      <c r="AH53" s="29">
        <v>10</v>
      </c>
      <c r="AI53" s="26">
        <f t="shared" si="66"/>
        <v>0.329066663423592</v>
      </c>
      <c r="AJ53" s="30"/>
      <c r="AK53" s="30"/>
      <c r="AL53" s="30"/>
      <c r="AM53" s="30"/>
      <c r="AN53" s="34"/>
      <c r="AO53" s="34"/>
      <c r="AP53" s="34"/>
      <c r="AQ53" s="34"/>
      <c r="AR53" s="34"/>
      <c r="AS53" s="34"/>
      <c r="AT53" s="34" t="s">
        <v>156</v>
      </c>
      <c r="AU53" s="34" t="s">
        <v>156</v>
      </c>
      <c r="AV53" s="34" t="s">
        <v>156</v>
      </c>
      <c r="AW53" s="34" t="s">
        <v>156</v>
      </c>
      <c r="AX53" s="34" t="s">
        <v>156</v>
      </c>
      <c r="AY53" s="34" t="s">
        <v>156</v>
      </c>
      <c r="AZ53" s="34" t="s">
        <v>156</v>
      </c>
      <c r="BA53" s="34" t="s">
        <v>156</v>
      </c>
      <c r="BB53" s="34" t="s">
        <v>156</v>
      </c>
      <c r="BC53" s="34" t="s">
        <v>156</v>
      </c>
      <c r="BD53" s="34" t="s">
        <v>156</v>
      </c>
      <c r="BE53" s="34" t="s">
        <v>156</v>
      </c>
      <c r="BF53" s="34" t="s">
        <v>156</v>
      </c>
      <c r="BG53" s="34" t="s">
        <v>156</v>
      </c>
      <c r="BH53" s="34" t="s">
        <v>156</v>
      </c>
      <c r="BI53" s="34" t="s">
        <v>156</v>
      </c>
      <c r="BJ53" s="34" t="s">
        <v>156</v>
      </c>
      <c r="BK53" s="34" t="s">
        <v>156</v>
      </c>
      <c r="BL53" s="34" t="s">
        <v>156</v>
      </c>
      <c r="BM53" s="34" t="s">
        <v>156</v>
      </c>
      <c r="BN53" s="34" t="s">
        <v>156</v>
      </c>
      <c r="BO53" s="34" t="s">
        <v>156</v>
      </c>
      <c r="BP53" s="34" t="s">
        <v>156</v>
      </c>
      <c r="BQ53" s="34" t="s">
        <v>156</v>
      </c>
      <c r="BR53" s="44" t="e">
        <f>IF(E53&lt;#REF!,1,0)</f>
        <v>#REF!</v>
      </c>
      <c r="BS53" s="20" t="s">
        <v>157</v>
      </c>
    </row>
    <row r="54" ht="16.5" spans="1:71">
      <c r="A54" s="21" t="s">
        <v>50</v>
      </c>
      <c r="B54" s="21"/>
      <c r="C54" s="45"/>
      <c r="D54" s="22" t="s">
        <v>171</v>
      </c>
      <c r="E54" s="46">
        <v>24.5</v>
      </c>
      <c r="F54" s="47">
        <v>34.99</v>
      </c>
      <c r="G54" s="25">
        <f t="shared" si="46"/>
        <v>31.491</v>
      </c>
      <c r="H54" s="25">
        <f t="shared" si="47"/>
        <v>26.2425</v>
      </c>
      <c r="I54" s="25">
        <f t="shared" si="48"/>
        <v>0.0072418879056021</v>
      </c>
      <c r="J54" s="26">
        <f t="shared" si="49"/>
        <v>0.000295587261453147</v>
      </c>
      <c r="K54" s="27">
        <f t="shared" si="50"/>
        <v>29.1583333333333</v>
      </c>
      <c r="L54" s="28">
        <f t="shared" si="51"/>
        <v>0.159759931408974</v>
      </c>
      <c r="M54" s="25">
        <f t="shared" si="52"/>
        <v>4.65833333333333</v>
      </c>
      <c r="N54" s="27">
        <f t="shared" si="53"/>
        <v>93.5398230088496</v>
      </c>
      <c r="O54" s="27">
        <f t="shared" si="54"/>
        <v>0.994444444444444</v>
      </c>
      <c r="P54" s="21">
        <v>9</v>
      </c>
      <c r="Q54" s="29">
        <v>9</v>
      </c>
      <c r="R54" s="30">
        <f t="shared" si="55"/>
        <v>0.204081632653061</v>
      </c>
      <c r="S54" s="26">
        <f t="shared" si="56"/>
        <v>0.142897970848814</v>
      </c>
      <c r="T54" s="30">
        <f t="shared" si="57"/>
        <v>0.142816326530612</v>
      </c>
      <c r="U54" s="30">
        <v>0.01</v>
      </c>
      <c r="V54" s="30">
        <f t="shared" si="58"/>
        <v>0.424216884393876</v>
      </c>
      <c r="W54" s="30">
        <f t="shared" si="59"/>
        <v>0.0405895691609977</v>
      </c>
      <c r="X54" s="31">
        <v>0.178</v>
      </c>
      <c r="Y54" s="32">
        <v>5</v>
      </c>
      <c r="Z54" s="32">
        <f>F54*0.1</f>
        <v>3.499</v>
      </c>
      <c r="AA54" s="32">
        <f t="shared" si="60"/>
        <v>0.245</v>
      </c>
      <c r="AB54" s="27">
        <f t="shared" si="61"/>
        <v>4.361</v>
      </c>
      <c r="AC54" s="27">
        <v>94.4</v>
      </c>
      <c r="AD54" s="33">
        <f t="shared" si="62"/>
        <v>83.5398230088496</v>
      </c>
      <c r="AE54" s="29">
        <f t="shared" si="63"/>
        <v>1.30588235294118</v>
      </c>
      <c r="AF54" s="30">
        <f t="shared" si="64"/>
        <v>0.378865410470973</v>
      </c>
      <c r="AG54" s="30">
        <f t="shared" si="65"/>
        <v>0.00592236894757903</v>
      </c>
      <c r="AH54" s="29">
        <v>10</v>
      </c>
      <c r="AI54" s="26">
        <f t="shared" si="66"/>
        <v>0.351503026838837</v>
      </c>
      <c r="AJ54" s="30"/>
      <c r="AK54" s="30"/>
      <c r="AL54" s="30"/>
      <c r="AM54" s="30"/>
      <c r="AN54" s="34"/>
      <c r="AO54" s="34"/>
      <c r="AP54" s="34"/>
      <c r="AQ54" s="34"/>
      <c r="AR54" s="34"/>
      <c r="AS54" s="34"/>
      <c r="AT54" s="34" t="s">
        <v>156</v>
      </c>
      <c r="AU54" s="34" t="s">
        <v>156</v>
      </c>
      <c r="AV54" s="34" t="s">
        <v>156</v>
      </c>
      <c r="AW54" s="34" t="s">
        <v>156</v>
      </c>
      <c r="AX54" s="34" t="s">
        <v>156</v>
      </c>
      <c r="AY54" s="34" t="s">
        <v>156</v>
      </c>
      <c r="AZ54" s="34" t="s">
        <v>156</v>
      </c>
      <c r="BA54" s="34" t="s">
        <v>156</v>
      </c>
      <c r="BB54" s="34" t="s">
        <v>156</v>
      </c>
      <c r="BC54" s="34" t="s">
        <v>156</v>
      </c>
      <c r="BD54" s="34" t="s">
        <v>156</v>
      </c>
      <c r="BE54" s="34" t="s">
        <v>156</v>
      </c>
      <c r="BF54" s="34" t="s">
        <v>156</v>
      </c>
      <c r="BG54" s="34" t="s">
        <v>156</v>
      </c>
      <c r="BH54" s="34" t="s">
        <v>156</v>
      </c>
      <c r="BI54" s="34" t="s">
        <v>156</v>
      </c>
      <c r="BJ54" s="34" t="s">
        <v>156</v>
      </c>
      <c r="BK54" s="34" t="s">
        <v>156</v>
      </c>
      <c r="BL54" s="34" t="s">
        <v>156</v>
      </c>
      <c r="BM54" s="34" t="s">
        <v>156</v>
      </c>
      <c r="BN54" s="34" t="s">
        <v>156</v>
      </c>
      <c r="BO54" s="34" t="s">
        <v>156</v>
      </c>
      <c r="BP54" s="34" t="s">
        <v>156</v>
      </c>
      <c r="BQ54" s="34" t="s">
        <v>156</v>
      </c>
      <c r="BR54" s="44" t="e">
        <f>IF(E54&lt;#REF!,1,0)</f>
        <v>#REF!</v>
      </c>
      <c r="BS54" s="20" t="s">
        <v>157</v>
      </c>
    </row>
    <row r="55" ht="16.5" spans="1:71">
      <c r="A55" s="21" t="s">
        <v>50</v>
      </c>
      <c r="B55" s="21"/>
      <c r="C55" s="45"/>
      <c r="D55" s="22" t="s">
        <v>172</v>
      </c>
      <c r="E55" s="46">
        <v>24.5</v>
      </c>
      <c r="F55" s="47">
        <v>34.99</v>
      </c>
      <c r="G55" s="25">
        <f t="shared" si="46"/>
        <v>29.7415</v>
      </c>
      <c r="H55" s="25">
        <f t="shared" si="47"/>
        <v>24.7845833333333</v>
      </c>
      <c r="I55" s="25">
        <f t="shared" si="48"/>
        <v>-1.7422581120944</v>
      </c>
      <c r="J55" s="26">
        <f t="shared" si="49"/>
        <v>-0.071112576003853</v>
      </c>
      <c r="K55" s="27">
        <f t="shared" si="50"/>
        <v>29.1583333333333</v>
      </c>
      <c r="L55" s="28">
        <f t="shared" si="51"/>
        <v>0.159759931408974</v>
      </c>
      <c r="M55" s="25">
        <f t="shared" si="52"/>
        <v>4.65833333333333</v>
      </c>
      <c r="N55" s="27">
        <f t="shared" si="53"/>
        <v>93.5398230088496</v>
      </c>
      <c r="O55" s="27">
        <f t="shared" si="54"/>
        <v>0.994444444444444</v>
      </c>
      <c r="P55" s="21">
        <v>9</v>
      </c>
      <c r="Q55" s="29">
        <v>9</v>
      </c>
      <c r="R55" s="30">
        <f t="shared" si="55"/>
        <v>0.204081632653061</v>
      </c>
      <c r="S55" s="26">
        <f t="shared" si="56"/>
        <v>0.142897970848814</v>
      </c>
      <c r="T55" s="30">
        <f t="shared" si="57"/>
        <v>0.214224489795918</v>
      </c>
      <c r="U55" s="30">
        <v>0.01</v>
      </c>
      <c r="V55" s="30">
        <f t="shared" si="58"/>
        <v>0.424216884393876</v>
      </c>
      <c r="W55" s="30">
        <f t="shared" si="59"/>
        <v>0.0405895691609977</v>
      </c>
      <c r="X55" s="31">
        <v>0.178</v>
      </c>
      <c r="Y55" s="32">
        <v>5</v>
      </c>
      <c r="Z55" s="32">
        <f>F55*0.15</f>
        <v>5.2485</v>
      </c>
      <c r="AA55" s="32">
        <f t="shared" si="60"/>
        <v>0.245</v>
      </c>
      <c r="AB55" s="27">
        <f t="shared" si="61"/>
        <v>4.361</v>
      </c>
      <c r="AC55" s="27">
        <v>94.4</v>
      </c>
      <c r="AD55" s="33">
        <f t="shared" si="62"/>
        <v>83.5398230088496</v>
      </c>
      <c r="AE55" s="29">
        <f t="shared" si="63"/>
        <v>1.30588235294118</v>
      </c>
      <c r="AF55" s="30">
        <f t="shared" si="64"/>
        <v>0.378865410470973</v>
      </c>
      <c r="AG55" s="30">
        <f t="shared" si="65"/>
        <v>0.00592236894757903</v>
      </c>
      <c r="AH55" s="29">
        <v>10</v>
      </c>
      <c r="AI55" s="26">
        <f t="shared" si="66"/>
        <v>0.377222760509972</v>
      </c>
      <c r="AJ55" s="30"/>
      <c r="AK55" s="30"/>
      <c r="AL55" s="30"/>
      <c r="AM55" s="30"/>
      <c r="AN55" s="34"/>
      <c r="AO55" s="34"/>
      <c r="AP55" s="34"/>
      <c r="AQ55" s="34"/>
      <c r="AR55" s="34"/>
      <c r="AS55" s="34"/>
      <c r="AT55" s="34" t="s">
        <v>156</v>
      </c>
      <c r="AU55" s="34" t="s">
        <v>156</v>
      </c>
      <c r="AV55" s="34" t="s">
        <v>156</v>
      </c>
      <c r="AW55" s="34" t="s">
        <v>156</v>
      </c>
      <c r="AX55" s="34" t="s">
        <v>156</v>
      </c>
      <c r="AY55" s="34" t="s">
        <v>156</v>
      </c>
      <c r="AZ55" s="34" t="s">
        <v>156</v>
      </c>
      <c r="BA55" s="34" t="s">
        <v>156</v>
      </c>
      <c r="BB55" s="34" t="s">
        <v>156</v>
      </c>
      <c r="BC55" s="34" t="s">
        <v>156</v>
      </c>
      <c r="BD55" s="34" t="s">
        <v>156</v>
      </c>
      <c r="BE55" s="34" t="s">
        <v>156</v>
      </c>
      <c r="BF55" s="34" t="s">
        <v>156</v>
      </c>
      <c r="BG55" s="34" t="s">
        <v>156</v>
      </c>
      <c r="BH55" s="34" t="s">
        <v>156</v>
      </c>
      <c r="BI55" s="34" t="s">
        <v>156</v>
      </c>
      <c r="BJ55" s="34" t="s">
        <v>156</v>
      </c>
      <c r="BK55" s="34" t="s">
        <v>156</v>
      </c>
      <c r="BL55" s="34" t="s">
        <v>156</v>
      </c>
      <c r="BM55" s="34" t="s">
        <v>156</v>
      </c>
      <c r="BN55" s="34" t="s">
        <v>156</v>
      </c>
      <c r="BO55" s="34" t="s">
        <v>156</v>
      </c>
      <c r="BP55" s="34" t="s">
        <v>156</v>
      </c>
      <c r="BQ55" s="34" t="s">
        <v>156</v>
      </c>
      <c r="BR55" s="44" t="e">
        <f>IF(E55&lt;#REF!,1,0)</f>
        <v>#REF!</v>
      </c>
      <c r="BS55" s="20" t="s">
        <v>157</v>
      </c>
    </row>
    <row r="56" ht="16.5" spans="1:71">
      <c r="A56" s="21" t="s">
        <v>37</v>
      </c>
      <c r="B56" s="21"/>
      <c r="C56" s="45"/>
      <c r="D56" s="41" t="s">
        <v>169</v>
      </c>
      <c r="E56" s="46">
        <v>28</v>
      </c>
      <c r="F56" s="47">
        <v>39.99</v>
      </c>
      <c r="G56" s="25">
        <f t="shared" si="46"/>
        <v>39.99</v>
      </c>
      <c r="H56" s="25">
        <f t="shared" si="47"/>
        <v>33.325</v>
      </c>
      <c r="I56" s="25">
        <f t="shared" si="48"/>
        <v>4.27741101278269</v>
      </c>
      <c r="J56" s="26">
        <f t="shared" si="49"/>
        <v>0.152764679027953</v>
      </c>
      <c r="K56" s="27">
        <f t="shared" si="50"/>
        <v>33.325</v>
      </c>
      <c r="L56" s="28">
        <f t="shared" si="51"/>
        <v>0.159789947486872</v>
      </c>
      <c r="M56" s="25">
        <f t="shared" si="52"/>
        <v>5.325</v>
      </c>
      <c r="N56" s="27">
        <f t="shared" si="53"/>
        <v>98.5398230088496</v>
      </c>
      <c r="O56" s="27">
        <f t="shared" si="54"/>
        <v>0.861111111111111</v>
      </c>
      <c r="P56" s="21">
        <v>9</v>
      </c>
      <c r="Q56" s="29">
        <v>8</v>
      </c>
      <c r="R56" s="30">
        <f t="shared" si="55"/>
        <v>0.178571428571429</v>
      </c>
      <c r="S56" s="26">
        <f t="shared" si="56"/>
        <v>0.125031257814454</v>
      </c>
      <c r="T56" s="30">
        <f t="shared" si="57"/>
        <v>0</v>
      </c>
      <c r="U56" s="30">
        <v>0.01</v>
      </c>
      <c r="V56" s="30">
        <f t="shared" si="58"/>
        <v>0.43990992414665</v>
      </c>
      <c r="W56" s="30">
        <f t="shared" si="59"/>
        <v>0.0307539682539683</v>
      </c>
      <c r="X56" s="31">
        <v>0.188</v>
      </c>
      <c r="Y56" s="32">
        <v>5</v>
      </c>
      <c r="Z56" s="32">
        <v>0</v>
      </c>
      <c r="AA56" s="32">
        <f t="shared" si="60"/>
        <v>0.28</v>
      </c>
      <c r="AB56" s="27">
        <f t="shared" si="61"/>
        <v>5.264</v>
      </c>
      <c r="AC56" s="27">
        <v>94.4</v>
      </c>
      <c r="AD56" s="33">
        <f t="shared" si="62"/>
        <v>83.5398230088496</v>
      </c>
      <c r="AE56" s="29">
        <f t="shared" ref="AE56:AE75" si="67">11.1/7.4</f>
        <v>1.5</v>
      </c>
      <c r="AF56" s="30">
        <f t="shared" si="64"/>
        <v>0.372945638432364</v>
      </c>
      <c r="AG56" s="30">
        <f t="shared" si="65"/>
        <v>0.00669642857142857</v>
      </c>
      <c r="AH56" s="29">
        <v>15</v>
      </c>
      <c r="AI56" s="26">
        <f t="shared" si="66"/>
        <v>0.31774943735934</v>
      </c>
      <c r="AJ56" s="30"/>
      <c r="AK56" s="30"/>
      <c r="AL56" s="30"/>
      <c r="AM56" s="30"/>
      <c r="AN56" s="34"/>
      <c r="AO56" s="34"/>
      <c r="AP56" s="34"/>
      <c r="AQ56" s="34"/>
      <c r="AR56" s="34"/>
      <c r="AS56" s="34"/>
      <c r="AT56" s="34" t="s">
        <v>156</v>
      </c>
      <c r="AU56" s="34" t="s">
        <v>156</v>
      </c>
      <c r="AV56" s="34" t="s">
        <v>156</v>
      </c>
      <c r="AW56" s="34" t="s">
        <v>156</v>
      </c>
      <c r="AX56" s="34" t="s">
        <v>156</v>
      </c>
      <c r="AY56" s="34" t="s">
        <v>156</v>
      </c>
      <c r="AZ56" s="34" t="s">
        <v>156</v>
      </c>
      <c r="BA56" s="34" t="s">
        <v>156</v>
      </c>
      <c r="BB56" s="34" t="s">
        <v>156</v>
      </c>
      <c r="BC56" s="34" t="s">
        <v>156</v>
      </c>
      <c r="BD56" s="34" t="s">
        <v>156</v>
      </c>
      <c r="BE56" s="34" t="s">
        <v>156</v>
      </c>
      <c r="BF56" s="34" t="s">
        <v>156</v>
      </c>
      <c r="BG56" s="34" t="s">
        <v>156</v>
      </c>
      <c r="BH56" s="34" t="s">
        <v>156</v>
      </c>
      <c r="BI56" s="34" t="s">
        <v>156</v>
      </c>
      <c r="BJ56" s="34" t="s">
        <v>156</v>
      </c>
      <c r="BK56" s="34" t="s">
        <v>156</v>
      </c>
      <c r="BL56" s="34" t="s">
        <v>156</v>
      </c>
      <c r="BM56" s="34" t="s">
        <v>156</v>
      </c>
      <c r="BN56" s="34" t="s">
        <v>156</v>
      </c>
      <c r="BO56" s="34" t="s">
        <v>156</v>
      </c>
      <c r="BP56" s="34" t="s">
        <v>156</v>
      </c>
      <c r="BQ56" s="34" t="s">
        <v>156</v>
      </c>
      <c r="BR56" s="44" t="e">
        <f>IF(#REF!&lt;E56,1,0)</f>
        <v>#REF!</v>
      </c>
      <c r="BS56" s="20" t="s">
        <v>157</v>
      </c>
    </row>
    <row r="57" ht="16.5" spans="1:71">
      <c r="A57" s="21" t="s">
        <v>37</v>
      </c>
      <c r="B57" s="21"/>
      <c r="C57" s="45"/>
      <c r="D57" s="22" t="s">
        <v>170</v>
      </c>
      <c r="E57" s="46">
        <v>28</v>
      </c>
      <c r="F57" s="47">
        <v>39.99</v>
      </c>
      <c r="G57" s="25">
        <f t="shared" si="46"/>
        <v>37.9905</v>
      </c>
      <c r="H57" s="25">
        <f t="shared" si="47"/>
        <v>31.65875</v>
      </c>
      <c r="I57" s="25">
        <f t="shared" si="48"/>
        <v>2.27791101278269</v>
      </c>
      <c r="J57" s="26">
        <f t="shared" si="49"/>
        <v>0.0813539647422391</v>
      </c>
      <c r="K57" s="27">
        <f t="shared" si="50"/>
        <v>33.325</v>
      </c>
      <c r="L57" s="28">
        <f t="shared" si="51"/>
        <v>0.159789947486872</v>
      </c>
      <c r="M57" s="25">
        <f t="shared" si="52"/>
        <v>5.325</v>
      </c>
      <c r="N57" s="27">
        <f t="shared" si="53"/>
        <v>98.5398230088496</v>
      </c>
      <c r="O57" s="27">
        <f t="shared" si="54"/>
        <v>0.861111111111111</v>
      </c>
      <c r="P57" s="21">
        <v>9</v>
      </c>
      <c r="Q57" s="29">
        <v>8</v>
      </c>
      <c r="R57" s="30">
        <f t="shared" si="55"/>
        <v>0.178571428571429</v>
      </c>
      <c r="S57" s="26">
        <f t="shared" si="56"/>
        <v>0.125031257814454</v>
      </c>
      <c r="T57" s="30">
        <f t="shared" si="57"/>
        <v>0.0714107142857143</v>
      </c>
      <c r="U57" s="30">
        <v>0.01</v>
      </c>
      <c r="V57" s="30">
        <f t="shared" si="58"/>
        <v>0.43990992414665</v>
      </c>
      <c r="W57" s="30">
        <f t="shared" si="59"/>
        <v>0.0307539682539683</v>
      </c>
      <c r="X57" s="31">
        <v>0.188</v>
      </c>
      <c r="Y57" s="32">
        <v>5</v>
      </c>
      <c r="Z57" s="32">
        <f>F57*0.05</f>
        <v>1.9995</v>
      </c>
      <c r="AA57" s="32">
        <f t="shared" si="60"/>
        <v>0.28</v>
      </c>
      <c r="AB57" s="27">
        <f t="shared" si="61"/>
        <v>5.264</v>
      </c>
      <c r="AC57" s="27">
        <v>94.4</v>
      </c>
      <c r="AD57" s="33">
        <f t="shared" si="62"/>
        <v>83.5398230088496</v>
      </c>
      <c r="AE57" s="29">
        <f t="shared" si="67"/>
        <v>1.5</v>
      </c>
      <c r="AF57" s="30">
        <f t="shared" si="64"/>
        <v>0.372945638432364</v>
      </c>
      <c r="AG57" s="30">
        <f t="shared" si="65"/>
        <v>0.00669642857142857</v>
      </c>
      <c r="AH57" s="29">
        <v>15</v>
      </c>
      <c r="AI57" s="26">
        <f t="shared" si="66"/>
        <v>0.338031316339723</v>
      </c>
      <c r="AJ57" s="30"/>
      <c r="AK57" s="30"/>
      <c r="AL57" s="30"/>
      <c r="AM57" s="30"/>
      <c r="AN57" s="34"/>
      <c r="AO57" s="34"/>
      <c r="AP57" s="34"/>
      <c r="AQ57" s="34"/>
      <c r="AR57" s="34"/>
      <c r="AS57" s="34"/>
      <c r="AT57" s="34" t="s">
        <v>156</v>
      </c>
      <c r="AU57" s="34" t="s">
        <v>156</v>
      </c>
      <c r="AV57" s="34" t="s">
        <v>156</v>
      </c>
      <c r="AW57" s="34" t="s">
        <v>156</v>
      </c>
      <c r="AX57" s="34" t="s">
        <v>156</v>
      </c>
      <c r="AY57" s="34" t="s">
        <v>156</v>
      </c>
      <c r="AZ57" s="34" t="s">
        <v>156</v>
      </c>
      <c r="BA57" s="34" t="s">
        <v>156</v>
      </c>
      <c r="BB57" s="34" t="s">
        <v>156</v>
      </c>
      <c r="BC57" s="34" t="s">
        <v>156</v>
      </c>
      <c r="BD57" s="34" t="s">
        <v>156</v>
      </c>
      <c r="BE57" s="34" t="s">
        <v>156</v>
      </c>
      <c r="BF57" s="34" t="s">
        <v>156</v>
      </c>
      <c r="BG57" s="34" t="s">
        <v>156</v>
      </c>
      <c r="BH57" s="34" t="s">
        <v>156</v>
      </c>
      <c r="BI57" s="34" t="s">
        <v>156</v>
      </c>
      <c r="BJ57" s="34" t="s">
        <v>156</v>
      </c>
      <c r="BK57" s="34" t="s">
        <v>156</v>
      </c>
      <c r="BL57" s="34" t="s">
        <v>156</v>
      </c>
      <c r="BM57" s="34" t="s">
        <v>156</v>
      </c>
      <c r="BN57" s="34" t="s">
        <v>156</v>
      </c>
      <c r="BO57" s="34" t="s">
        <v>156</v>
      </c>
      <c r="BP57" s="34" t="s">
        <v>156</v>
      </c>
      <c r="BQ57" s="34" t="s">
        <v>156</v>
      </c>
      <c r="BR57" s="44" t="e">
        <f>IF(E57&lt;#REF!,1,0)</f>
        <v>#REF!</v>
      </c>
      <c r="BS57" s="20" t="s">
        <v>157</v>
      </c>
    </row>
    <row r="58" ht="16.5" spans="1:71">
      <c r="A58" s="21" t="s">
        <v>37</v>
      </c>
      <c r="B58" s="21"/>
      <c r="C58" s="45"/>
      <c r="D58" s="41" t="s">
        <v>171</v>
      </c>
      <c r="E58" s="46">
        <v>28</v>
      </c>
      <c r="F58" s="47">
        <v>39.99</v>
      </c>
      <c r="G58" s="25">
        <f t="shared" si="46"/>
        <v>35.991</v>
      </c>
      <c r="H58" s="25">
        <f t="shared" si="47"/>
        <v>29.9925</v>
      </c>
      <c r="I58" s="25">
        <f t="shared" si="48"/>
        <v>0.278411012782694</v>
      </c>
      <c r="J58" s="26">
        <f t="shared" si="49"/>
        <v>0.00994325045652477</v>
      </c>
      <c r="K58" s="27">
        <f t="shared" si="50"/>
        <v>33.325</v>
      </c>
      <c r="L58" s="28">
        <f t="shared" si="51"/>
        <v>0.159789947486872</v>
      </c>
      <c r="M58" s="25">
        <f t="shared" si="52"/>
        <v>5.325</v>
      </c>
      <c r="N58" s="27">
        <f t="shared" si="53"/>
        <v>98.5398230088496</v>
      </c>
      <c r="O58" s="27">
        <f t="shared" si="54"/>
        <v>0.861111111111111</v>
      </c>
      <c r="P58" s="21">
        <v>9</v>
      </c>
      <c r="Q58" s="29">
        <v>8</v>
      </c>
      <c r="R58" s="30">
        <f t="shared" si="55"/>
        <v>0.178571428571429</v>
      </c>
      <c r="S58" s="26">
        <f t="shared" si="56"/>
        <v>0.125031257814454</v>
      </c>
      <c r="T58" s="30">
        <f t="shared" si="57"/>
        <v>0.142821428571429</v>
      </c>
      <c r="U58" s="30">
        <v>0.01</v>
      </c>
      <c r="V58" s="30">
        <f t="shared" si="58"/>
        <v>0.43990992414665</v>
      </c>
      <c r="W58" s="30">
        <f t="shared" si="59"/>
        <v>0.0307539682539683</v>
      </c>
      <c r="X58" s="31">
        <v>0.188</v>
      </c>
      <c r="Y58" s="32">
        <v>5</v>
      </c>
      <c r="Z58" s="32">
        <f>F58*0.1</f>
        <v>3.999</v>
      </c>
      <c r="AA58" s="32">
        <f t="shared" si="60"/>
        <v>0.28</v>
      </c>
      <c r="AB58" s="27">
        <f t="shared" si="61"/>
        <v>5.264</v>
      </c>
      <c r="AC58" s="27">
        <v>94.4</v>
      </c>
      <c r="AD58" s="33">
        <f t="shared" si="62"/>
        <v>83.5398230088496</v>
      </c>
      <c r="AE58" s="29">
        <f t="shared" si="67"/>
        <v>1.5</v>
      </c>
      <c r="AF58" s="30">
        <f t="shared" si="64"/>
        <v>0.372945638432364</v>
      </c>
      <c r="AG58" s="30">
        <f t="shared" si="65"/>
        <v>0.00669642857142857</v>
      </c>
      <c r="AH58" s="29">
        <v>15</v>
      </c>
      <c r="AI58" s="26">
        <f t="shared" si="66"/>
        <v>0.361078906090159</v>
      </c>
      <c r="AJ58" s="30"/>
      <c r="AK58" s="30"/>
      <c r="AL58" s="30"/>
      <c r="AM58" s="30"/>
      <c r="AN58" s="34"/>
      <c r="AO58" s="34"/>
      <c r="AP58" s="34"/>
      <c r="AQ58" s="34"/>
      <c r="AR58" s="34"/>
      <c r="AS58" s="34"/>
      <c r="AT58" s="34" t="s">
        <v>156</v>
      </c>
      <c r="AU58" s="34" t="s">
        <v>156</v>
      </c>
      <c r="AV58" s="34" t="s">
        <v>156</v>
      </c>
      <c r="AW58" s="34" t="s">
        <v>156</v>
      </c>
      <c r="AX58" s="34" t="s">
        <v>156</v>
      </c>
      <c r="AY58" s="34" t="s">
        <v>156</v>
      </c>
      <c r="AZ58" s="34" t="s">
        <v>156</v>
      </c>
      <c r="BA58" s="34" t="s">
        <v>156</v>
      </c>
      <c r="BB58" s="34" t="s">
        <v>156</v>
      </c>
      <c r="BC58" s="34" t="s">
        <v>156</v>
      </c>
      <c r="BD58" s="34" t="s">
        <v>156</v>
      </c>
      <c r="BE58" s="34" t="s">
        <v>156</v>
      </c>
      <c r="BF58" s="34" t="s">
        <v>156</v>
      </c>
      <c r="BG58" s="34" t="s">
        <v>156</v>
      </c>
      <c r="BH58" s="34" t="s">
        <v>156</v>
      </c>
      <c r="BI58" s="34" t="s">
        <v>156</v>
      </c>
      <c r="BJ58" s="34" t="s">
        <v>156</v>
      </c>
      <c r="BK58" s="34" t="s">
        <v>156</v>
      </c>
      <c r="BL58" s="34" t="s">
        <v>156</v>
      </c>
      <c r="BM58" s="34" t="s">
        <v>156</v>
      </c>
      <c r="BN58" s="34" t="s">
        <v>156</v>
      </c>
      <c r="BO58" s="34" t="s">
        <v>156</v>
      </c>
      <c r="BP58" s="34" t="s">
        <v>156</v>
      </c>
      <c r="BQ58" s="34" t="s">
        <v>156</v>
      </c>
      <c r="BR58" s="44" t="e">
        <f>IF(E58&lt;#REF!,1,0)</f>
        <v>#REF!</v>
      </c>
      <c r="BS58" s="20" t="s">
        <v>157</v>
      </c>
    </row>
    <row r="59" ht="16.5" spans="1:71">
      <c r="A59" s="21" t="s">
        <v>37</v>
      </c>
      <c r="B59" s="21"/>
      <c r="C59" s="45"/>
      <c r="D59" s="41" t="s">
        <v>172</v>
      </c>
      <c r="E59" s="46">
        <v>28</v>
      </c>
      <c r="F59" s="47">
        <v>39.99</v>
      </c>
      <c r="G59" s="25">
        <f t="shared" si="46"/>
        <v>33.9915</v>
      </c>
      <c r="H59" s="25">
        <f t="shared" si="47"/>
        <v>28.32625</v>
      </c>
      <c r="I59" s="25">
        <f t="shared" si="48"/>
        <v>-1.72108898721731</v>
      </c>
      <c r="J59" s="26">
        <f t="shared" si="49"/>
        <v>-0.0614674638291895</v>
      </c>
      <c r="K59" s="27">
        <f t="shared" si="50"/>
        <v>33.325</v>
      </c>
      <c r="L59" s="28">
        <f t="shared" si="51"/>
        <v>0.159789947486872</v>
      </c>
      <c r="M59" s="25">
        <f t="shared" si="52"/>
        <v>5.325</v>
      </c>
      <c r="N59" s="27">
        <f t="shared" si="53"/>
        <v>98.5398230088496</v>
      </c>
      <c r="O59" s="27">
        <f t="shared" si="54"/>
        <v>0.861111111111111</v>
      </c>
      <c r="P59" s="21">
        <v>9</v>
      </c>
      <c r="Q59" s="29">
        <v>8</v>
      </c>
      <c r="R59" s="30">
        <f t="shared" si="55"/>
        <v>0.178571428571429</v>
      </c>
      <c r="S59" s="26">
        <f t="shared" si="56"/>
        <v>0.125031257814454</v>
      </c>
      <c r="T59" s="30">
        <f t="shared" si="57"/>
        <v>0.214232142857143</v>
      </c>
      <c r="U59" s="30">
        <v>0.01</v>
      </c>
      <c r="V59" s="30">
        <f t="shared" si="58"/>
        <v>0.43990992414665</v>
      </c>
      <c r="W59" s="30">
        <f t="shared" si="59"/>
        <v>0.0307539682539683</v>
      </c>
      <c r="X59" s="31">
        <v>0.188</v>
      </c>
      <c r="Y59" s="32">
        <v>5</v>
      </c>
      <c r="Z59" s="32">
        <f>F59*0.15</f>
        <v>5.9985</v>
      </c>
      <c r="AA59" s="32">
        <f t="shared" si="60"/>
        <v>0.28</v>
      </c>
      <c r="AB59" s="27">
        <f t="shared" si="61"/>
        <v>5.264</v>
      </c>
      <c r="AC59" s="27">
        <v>94.4</v>
      </c>
      <c r="AD59" s="33">
        <f t="shared" si="62"/>
        <v>83.5398230088496</v>
      </c>
      <c r="AE59" s="29">
        <f t="shared" si="67"/>
        <v>1.5</v>
      </c>
      <c r="AF59" s="30">
        <f t="shared" si="64"/>
        <v>0.372945638432364</v>
      </c>
      <c r="AG59" s="30">
        <f t="shared" si="65"/>
        <v>0.00669642857142857</v>
      </c>
      <c r="AH59" s="29">
        <v>15</v>
      </c>
      <c r="AI59" s="26">
        <f t="shared" si="66"/>
        <v>0.387499313852854</v>
      </c>
      <c r="AJ59" s="30"/>
      <c r="AK59" s="30"/>
      <c r="AL59" s="30"/>
      <c r="AM59" s="30"/>
      <c r="AN59" s="34"/>
      <c r="AO59" s="34"/>
      <c r="AP59" s="34"/>
      <c r="AQ59" s="34"/>
      <c r="AR59" s="34"/>
      <c r="AS59" s="34"/>
      <c r="AT59" s="34" t="s">
        <v>156</v>
      </c>
      <c r="AU59" s="34" t="s">
        <v>156</v>
      </c>
      <c r="AV59" s="34" t="s">
        <v>156</v>
      </c>
      <c r="AW59" s="34" t="s">
        <v>156</v>
      </c>
      <c r="AX59" s="34" t="s">
        <v>156</v>
      </c>
      <c r="AY59" s="34" t="s">
        <v>156</v>
      </c>
      <c r="AZ59" s="34" t="s">
        <v>156</v>
      </c>
      <c r="BA59" s="34" t="s">
        <v>156</v>
      </c>
      <c r="BB59" s="34" t="s">
        <v>156</v>
      </c>
      <c r="BC59" s="34" t="s">
        <v>156</v>
      </c>
      <c r="BD59" s="34" t="s">
        <v>156</v>
      </c>
      <c r="BE59" s="34" t="s">
        <v>156</v>
      </c>
      <c r="BF59" s="34" t="s">
        <v>156</v>
      </c>
      <c r="BG59" s="34" t="s">
        <v>156</v>
      </c>
      <c r="BH59" s="34" t="s">
        <v>156</v>
      </c>
      <c r="BI59" s="34" t="s">
        <v>156</v>
      </c>
      <c r="BJ59" s="34" t="s">
        <v>156</v>
      </c>
      <c r="BK59" s="34" t="s">
        <v>156</v>
      </c>
      <c r="BL59" s="34" t="s">
        <v>156</v>
      </c>
      <c r="BM59" s="34" t="s">
        <v>156</v>
      </c>
      <c r="BN59" s="34" t="s">
        <v>156</v>
      </c>
      <c r="BO59" s="34" t="s">
        <v>156</v>
      </c>
      <c r="BP59" s="34" t="s">
        <v>156</v>
      </c>
      <c r="BQ59" s="34" t="s">
        <v>156</v>
      </c>
      <c r="BR59" s="44" t="e">
        <f>IF(E59&lt;#REF!,1,0)</f>
        <v>#REF!</v>
      </c>
      <c r="BS59" s="20" t="s">
        <v>157</v>
      </c>
    </row>
    <row r="60" ht="16.5" spans="1:71">
      <c r="A60" s="21" t="s">
        <v>43</v>
      </c>
      <c r="B60" s="21"/>
      <c r="C60" s="45"/>
      <c r="D60" s="41" t="s">
        <v>169</v>
      </c>
      <c r="E60" s="46">
        <v>28</v>
      </c>
      <c r="F60" s="47">
        <v>39.99</v>
      </c>
      <c r="G60" s="25">
        <f t="shared" si="46"/>
        <v>39.99</v>
      </c>
      <c r="H60" s="25">
        <f t="shared" si="47"/>
        <v>33.325</v>
      </c>
      <c r="I60" s="25">
        <f t="shared" si="48"/>
        <v>3.55518879056047</v>
      </c>
      <c r="J60" s="26">
        <f t="shared" si="49"/>
        <v>0.126971028234303</v>
      </c>
      <c r="K60" s="27">
        <f t="shared" si="50"/>
        <v>33.325</v>
      </c>
      <c r="L60" s="28">
        <f t="shared" si="51"/>
        <v>0.159789947486872</v>
      </c>
      <c r="M60" s="25">
        <f t="shared" si="52"/>
        <v>5.325</v>
      </c>
      <c r="N60" s="27">
        <f t="shared" si="53"/>
        <v>98.5398230088496</v>
      </c>
      <c r="O60" s="27">
        <f t="shared" si="54"/>
        <v>1.58333333333333</v>
      </c>
      <c r="P60" s="21">
        <v>9</v>
      </c>
      <c r="Q60" s="29">
        <v>8</v>
      </c>
      <c r="R60" s="30">
        <f t="shared" si="55"/>
        <v>0.178571428571429</v>
      </c>
      <c r="S60" s="26">
        <f t="shared" si="56"/>
        <v>0.125031257814454</v>
      </c>
      <c r="T60" s="30">
        <f t="shared" si="57"/>
        <v>0</v>
      </c>
      <c r="U60" s="30">
        <v>0.01</v>
      </c>
      <c r="V60" s="30">
        <f t="shared" si="58"/>
        <v>0.43990992414665</v>
      </c>
      <c r="W60" s="30">
        <f t="shared" si="59"/>
        <v>0.056547619047619</v>
      </c>
      <c r="X60" s="31">
        <v>0.188</v>
      </c>
      <c r="Y60" s="32">
        <v>5</v>
      </c>
      <c r="Z60" s="32">
        <v>0</v>
      </c>
      <c r="AA60" s="32">
        <f t="shared" si="60"/>
        <v>0.28</v>
      </c>
      <c r="AB60" s="27">
        <f t="shared" si="61"/>
        <v>5.264</v>
      </c>
      <c r="AC60" s="27">
        <v>94.4</v>
      </c>
      <c r="AD60" s="33">
        <f t="shared" si="62"/>
        <v>83.5398230088496</v>
      </c>
      <c r="AE60" s="29">
        <f t="shared" si="67"/>
        <v>1.5</v>
      </c>
      <c r="AF60" s="30">
        <f t="shared" si="64"/>
        <v>0.372945638432364</v>
      </c>
      <c r="AG60" s="30">
        <f t="shared" si="65"/>
        <v>0.00669642857142857</v>
      </c>
      <c r="AH60" s="29">
        <v>15</v>
      </c>
      <c r="AI60" s="26">
        <f t="shared" si="66"/>
        <v>0.31774943735934</v>
      </c>
      <c r="AJ60" s="30"/>
      <c r="AK60" s="30"/>
      <c r="AL60" s="30"/>
      <c r="AM60" s="30"/>
      <c r="AN60" s="34"/>
      <c r="AO60" s="34"/>
      <c r="AP60" s="34"/>
      <c r="AQ60" s="34"/>
      <c r="AR60" s="34"/>
      <c r="AS60" s="34"/>
      <c r="AT60" s="34" t="s">
        <v>156</v>
      </c>
      <c r="AU60" s="34" t="s">
        <v>156</v>
      </c>
      <c r="AV60" s="34" t="s">
        <v>156</v>
      </c>
      <c r="AW60" s="34" t="s">
        <v>156</v>
      </c>
      <c r="AX60" s="34" t="s">
        <v>156</v>
      </c>
      <c r="AY60" s="34" t="s">
        <v>156</v>
      </c>
      <c r="AZ60" s="34" t="s">
        <v>156</v>
      </c>
      <c r="BA60" s="34" t="s">
        <v>156</v>
      </c>
      <c r="BB60" s="34" t="s">
        <v>156</v>
      </c>
      <c r="BC60" s="34" t="s">
        <v>156</v>
      </c>
      <c r="BD60" s="34" t="s">
        <v>156</v>
      </c>
      <c r="BE60" s="34" t="s">
        <v>156</v>
      </c>
      <c r="BF60" s="34" t="s">
        <v>156</v>
      </c>
      <c r="BG60" s="34" t="s">
        <v>156</v>
      </c>
      <c r="BH60" s="34" t="s">
        <v>156</v>
      </c>
      <c r="BI60" s="34" t="s">
        <v>156</v>
      </c>
      <c r="BJ60" s="34" t="s">
        <v>156</v>
      </c>
      <c r="BK60" s="34" t="s">
        <v>156</v>
      </c>
      <c r="BL60" s="34" t="s">
        <v>156</v>
      </c>
      <c r="BM60" s="34" t="s">
        <v>156</v>
      </c>
      <c r="BN60" s="34" t="s">
        <v>156</v>
      </c>
      <c r="BO60" s="34" t="s">
        <v>156</v>
      </c>
      <c r="BP60" s="34" t="s">
        <v>156</v>
      </c>
      <c r="BQ60" s="34" t="s">
        <v>156</v>
      </c>
      <c r="BR60" s="44" t="e">
        <f>IF(#REF!&lt;E60,1,0)</f>
        <v>#REF!</v>
      </c>
      <c r="BS60" s="20" t="s">
        <v>157</v>
      </c>
    </row>
    <row r="61" ht="16.5" spans="1:71">
      <c r="A61" s="21" t="s">
        <v>43</v>
      </c>
      <c r="B61" s="21"/>
      <c r="C61" s="45"/>
      <c r="D61" s="22" t="s">
        <v>170</v>
      </c>
      <c r="E61" s="46">
        <v>28</v>
      </c>
      <c r="F61" s="47">
        <v>39.99</v>
      </c>
      <c r="G61" s="25">
        <f t="shared" si="46"/>
        <v>37.9905</v>
      </c>
      <c r="H61" s="25">
        <f t="shared" si="47"/>
        <v>31.65875</v>
      </c>
      <c r="I61" s="25">
        <f t="shared" si="48"/>
        <v>1.55568879056047</v>
      </c>
      <c r="J61" s="26">
        <f t="shared" si="49"/>
        <v>0.0555603139485883</v>
      </c>
      <c r="K61" s="27">
        <f t="shared" si="50"/>
        <v>33.325</v>
      </c>
      <c r="L61" s="28">
        <f t="shared" si="51"/>
        <v>0.159789947486872</v>
      </c>
      <c r="M61" s="25">
        <f t="shared" si="52"/>
        <v>5.325</v>
      </c>
      <c r="N61" s="27">
        <f t="shared" si="53"/>
        <v>98.5398230088496</v>
      </c>
      <c r="O61" s="27">
        <f t="shared" si="54"/>
        <v>1.58333333333333</v>
      </c>
      <c r="P61" s="21">
        <v>9</v>
      </c>
      <c r="Q61" s="29">
        <v>8</v>
      </c>
      <c r="R61" s="30">
        <f t="shared" si="55"/>
        <v>0.178571428571429</v>
      </c>
      <c r="S61" s="26">
        <f t="shared" si="56"/>
        <v>0.125031257814454</v>
      </c>
      <c r="T61" s="30">
        <f t="shared" si="57"/>
        <v>0.0714107142857143</v>
      </c>
      <c r="U61" s="30">
        <v>0.01</v>
      </c>
      <c r="V61" s="30">
        <f t="shared" si="58"/>
        <v>0.43990992414665</v>
      </c>
      <c r="W61" s="30">
        <f t="shared" si="59"/>
        <v>0.056547619047619</v>
      </c>
      <c r="X61" s="31">
        <v>0.188</v>
      </c>
      <c r="Y61" s="32">
        <v>5</v>
      </c>
      <c r="Z61" s="32">
        <f>F61*0.05</f>
        <v>1.9995</v>
      </c>
      <c r="AA61" s="32">
        <f t="shared" si="60"/>
        <v>0.28</v>
      </c>
      <c r="AB61" s="27">
        <f t="shared" si="61"/>
        <v>5.264</v>
      </c>
      <c r="AC61" s="27">
        <v>94.4</v>
      </c>
      <c r="AD61" s="33">
        <f t="shared" si="62"/>
        <v>83.5398230088496</v>
      </c>
      <c r="AE61" s="29">
        <f t="shared" si="67"/>
        <v>1.5</v>
      </c>
      <c r="AF61" s="30">
        <f t="shared" si="64"/>
        <v>0.372945638432364</v>
      </c>
      <c r="AG61" s="30">
        <f t="shared" si="65"/>
        <v>0.00669642857142857</v>
      </c>
      <c r="AH61" s="29">
        <v>15</v>
      </c>
      <c r="AI61" s="26">
        <f t="shared" si="66"/>
        <v>0.338031316339723</v>
      </c>
      <c r="AJ61" s="30"/>
      <c r="AK61" s="30"/>
      <c r="AL61" s="30"/>
      <c r="AM61" s="30"/>
      <c r="AN61" s="34"/>
      <c r="AO61" s="34"/>
      <c r="AP61" s="34"/>
      <c r="AQ61" s="34"/>
      <c r="AR61" s="34"/>
      <c r="AS61" s="34"/>
      <c r="AT61" s="34" t="s">
        <v>156</v>
      </c>
      <c r="AU61" s="34" t="s">
        <v>156</v>
      </c>
      <c r="AV61" s="34" t="s">
        <v>156</v>
      </c>
      <c r="AW61" s="34" t="s">
        <v>156</v>
      </c>
      <c r="AX61" s="34" t="s">
        <v>156</v>
      </c>
      <c r="AY61" s="34" t="s">
        <v>156</v>
      </c>
      <c r="AZ61" s="34" t="s">
        <v>156</v>
      </c>
      <c r="BA61" s="34" t="s">
        <v>156</v>
      </c>
      <c r="BB61" s="34" t="s">
        <v>156</v>
      </c>
      <c r="BC61" s="34" t="s">
        <v>156</v>
      </c>
      <c r="BD61" s="34" t="s">
        <v>156</v>
      </c>
      <c r="BE61" s="34" t="s">
        <v>156</v>
      </c>
      <c r="BF61" s="34" t="s">
        <v>156</v>
      </c>
      <c r="BG61" s="34" t="s">
        <v>156</v>
      </c>
      <c r="BH61" s="34" t="s">
        <v>156</v>
      </c>
      <c r="BI61" s="34" t="s">
        <v>156</v>
      </c>
      <c r="BJ61" s="34" t="s">
        <v>156</v>
      </c>
      <c r="BK61" s="34" t="s">
        <v>156</v>
      </c>
      <c r="BL61" s="34" t="s">
        <v>156</v>
      </c>
      <c r="BM61" s="34" t="s">
        <v>156</v>
      </c>
      <c r="BN61" s="34" t="s">
        <v>156</v>
      </c>
      <c r="BO61" s="34" t="s">
        <v>156</v>
      </c>
      <c r="BP61" s="34" t="s">
        <v>156</v>
      </c>
      <c r="BQ61" s="34" t="s">
        <v>156</v>
      </c>
      <c r="BR61" s="44" t="e">
        <f>IF(E61&lt;#REF!,1,0)</f>
        <v>#REF!</v>
      </c>
      <c r="BS61" s="20" t="s">
        <v>157</v>
      </c>
    </row>
    <row r="62" ht="16.5" spans="1:71">
      <c r="A62" s="21" t="s">
        <v>43</v>
      </c>
      <c r="B62" s="21"/>
      <c r="C62" s="45"/>
      <c r="D62" s="41" t="s">
        <v>171</v>
      </c>
      <c r="E62" s="46">
        <v>28</v>
      </c>
      <c r="F62" s="47">
        <v>39.99</v>
      </c>
      <c r="G62" s="25">
        <f t="shared" si="46"/>
        <v>35.991</v>
      </c>
      <c r="H62" s="25">
        <f t="shared" si="47"/>
        <v>29.9925</v>
      </c>
      <c r="I62" s="25">
        <f t="shared" si="48"/>
        <v>-0.443811209439529</v>
      </c>
      <c r="J62" s="26">
        <f t="shared" si="49"/>
        <v>-0.015850400337126</v>
      </c>
      <c r="K62" s="27">
        <f t="shared" si="50"/>
        <v>33.325</v>
      </c>
      <c r="L62" s="28">
        <f t="shared" si="51"/>
        <v>0.159789947486872</v>
      </c>
      <c r="M62" s="25">
        <f t="shared" si="52"/>
        <v>5.325</v>
      </c>
      <c r="N62" s="27">
        <f t="shared" si="53"/>
        <v>98.5398230088496</v>
      </c>
      <c r="O62" s="27">
        <f t="shared" si="54"/>
        <v>1.58333333333333</v>
      </c>
      <c r="P62" s="21">
        <v>9</v>
      </c>
      <c r="Q62" s="29">
        <v>8</v>
      </c>
      <c r="R62" s="30">
        <f t="shared" si="55"/>
        <v>0.178571428571429</v>
      </c>
      <c r="S62" s="26">
        <f t="shared" si="56"/>
        <v>0.125031257814454</v>
      </c>
      <c r="T62" s="30">
        <f t="shared" si="57"/>
        <v>0.142821428571429</v>
      </c>
      <c r="U62" s="30">
        <v>0.01</v>
      </c>
      <c r="V62" s="30">
        <f t="shared" si="58"/>
        <v>0.43990992414665</v>
      </c>
      <c r="W62" s="30">
        <f t="shared" si="59"/>
        <v>0.056547619047619</v>
      </c>
      <c r="X62" s="31">
        <v>0.188</v>
      </c>
      <c r="Y62" s="32">
        <v>5</v>
      </c>
      <c r="Z62" s="32">
        <f>F62*0.1</f>
        <v>3.999</v>
      </c>
      <c r="AA62" s="32">
        <f t="shared" si="60"/>
        <v>0.28</v>
      </c>
      <c r="AB62" s="27">
        <f t="shared" si="61"/>
        <v>5.264</v>
      </c>
      <c r="AC62" s="27">
        <v>94.4</v>
      </c>
      <c r="AD62" s="33">
        <f t="shared" si="62"/>
        <v>83.5398230088496</v>
      </c>
      <c r="AE62" s="29">
        <f t="shared" si="67"/>
        <v>1.5</v>
      </c>
      <c r="AF62" s="30">
        <f t="shared" si="64"/>
        <v>0.372945638432364</v>
      </c>
      <c r="AG62" s="30">
        <f t="shared" si="65"/>
        <v>0.00669642857142857</v>
      </c>
      <c r="AH62" s="29">
        <v>15</v>
      </c>
      <c r="AI62" s="26">
        <f t="shared" si="66"/>
        <v>0.361078906090159</v>
      </c>
      <c r="AJ62" s="30"/>
      <c r="AK62" s="30"/>
      <c r="AL62" s="30"/>
      <c r="AM62" s="30"/>
      <c r="AN62" s="34"/>
      <c r="AO62" s="34"/>
      <c r="AP62" s="34"/>
      <c r="AQ62" s="34"/>
      <c r="AR62" s="34"/>
      <c r="AS62" s="34"/>
      <c r="AT62" s="34" t="s">
        <v>156</v>
      </c>
      <c r="AU62" s="34" t="s">
        <v>156</v>
      </c>
      <c r="AV62" s="34" t="s">
        <v>156</v>
      </c>
      <c r="AW62" s="34" t="s">
        <v>156</v>
      </c>
      <c r="AX62" s="34" t="s">
        <v>156</v>
      </c>
      <c r="AY62" s="34" t="s">
        <v>156</v>
      </c>
      <c r="AZ62" s="34" t="s">
        <v>156</v>
      </c>
      <c r="BA62" s="34" t="s">
        <v>156</v>
      </c>
      <c r="BB62" s="34" t="s">
        <v>156</v>
      </c>
      <c r="BC62" s="34" t="s">
        <v>156</v>
      </c>
      <c r="BD62" s="34" t="s">
        <v>156</v>
      </c>
      <c r="BE62" s="34" t="s">
        <v>156</v>
      </c>
      <c r="BF62" s="34" t="s">
        <v>156</v>
      </c>
      <c r="BG62" s="34" t="s">
        <v>156</v>
      </c>
      <c r="BH62" s="34" t="s">
        <v>156</v>
      </c>
      <c r="BI62" s="34" t="s">
        <v>156</v>
      </c>
      <c r="BJ62" s="34" t="s">
        <v>156</v>
      </c>
      <c r="BK62" s="34" t="s">
        <v>156</v>
      </c>
      <c r="BL62" s="34" t="s">
        <v>156</v>
      </c>
      <c r="BM62" s="34" t="s">
        <v>156</v>
      </c>
      <c r="BN62" s="34" t="s">
        <v>156</v>
      </c>
      <c r="BO62" s="34" t="s">
        <v>156</v>
      </c>
      <c r="BP62" s="34" t="s">
        <v>156</v>
      </c>
      <c r="BQ62" s="34" t="s">
        <v>156</v>
      </c>
      <c r="BR62" s="44" t="e">
        <f>IF(E62&lt;#REF!,1,0)</f>
        <v>#REF!</v>
      </c>
      <c r="BS62" s="20" t="s">
        <v>157</v>
      </c>
    </row>
    <row r="63" ht="16.5" spans="1:71">
      <c r="A63" s="21" t="s">
        <v>43</v>
      </c>
      <c r="B63" s="21"/>
      <c r="C63" s="45"/>
      <c r="D63" s="41" t="s">
        <v>172</v>
      </c>
      <c r="E63" s="46">
        <v>28</v>
      </c>
      <c r="F63" s="47">
        <v>39.99</v>
      </c>
      <c r="G63" s="25">
        <f t="shared" si="46"/>
        <v>33.9915</v>
      </c>
      <c r="H63" s="25">
        <f t="shared" si="47"/>
        <v>28.32625</v>
      </c>
      <c r="I63" s="25">
        <f t="shared" si="48"/>
        <v>-2.44331120943953</v>
      </c>
      <c r="J63" s="26">
        <f t="shared" si="49"/>
        <v>-0.0872611146228403</v>
      </c>
      <c r="K63" s="27">
        <f t="shared" si="50"/>
        <v>33.325</v>
      </c>
      <c r="L63" s="28">
        <f t="shared" si="51"/>
        <v>0.159789947486872</v>
      </c>
      <c r="M63" s="25">
        <f t="shared" si="52"/>
        <v>5.325</v>
      </c>
      <c r="N63" s="27">
        <f t="shared" si="53"/>
        <v>98.5398230088496</v>
      </c>
      <c r="O63" s="27">
        <f t="shared" si="54"/>
        <v>1.58333333333333</v>
      </c>
      <c r="P63" s="21">
        <v>9</v>
      </c>
      <c r="Q63" s="29">
        <v>8</v>
      </c>
      <c r="R63" s="30">
        <f t="shared" si="55"/>
        <v>0.178571428571429</v>
      </c>
      <c r="S63" s="26">
        <f t="shared" si="56"/>
        <v>0.125031257814454</v>
      </c>
      <c r="T63" s="30">
        <f t="shared" si="57"/>
        <v>0.214232142857143</v>
      </c>
      <c r="U63" s="30">
        <v>0.01</v>
      </c>
      <c r="V63" s="30">
        <f t="shared" si="58"/>
        <v>0.43990992414665</v>
      </c>
      <c r="W63" s="30">
        <f t="shared" si="59"/>
        <v>0.056547619047619</v>
      </c>
      <c r="X63" s="31">
        <v>0.188</v>
      </c>
      <c r="Y63" s="32">
        <v>5</v>
      </c>
      <c r="Z63" s="32">
        <f>F63*0.15</f>
        <v>5.9985</v>
      </c>
      <c r="AA63" s="32">
        <f t="shared" si="60"/>
        <v>0.28</v>
      </c>
      <c r="AB63" s="27">
        <f t="shared" si="61"/>
        <v>5.264</v>
      </c>
      <c r="AC63" s="27">
        <v>94.4</v>
      </c>
      <c r="AD63" s="33">
        <f t="shared" si="62"/>
        <v>83.5398230088496</v>
      </c>
      <c r="AE63" s="29">
        <f t="shared" si="67"/>
        <v>1.5</v>
      </c>
      <c r="AF63" s="30">
        <f t="shared" si="64"/>
        <v>0.372945638432364</v>
      </c>
      <c r="AG63" s="30">
        <f t="shared" si="65"/>
        <v>0.00669642857142857</v>
      </c>
      <c r="AH63" s="29">
        <v>15</v>
      </c>
      <c r="AI63" s="26">
        <f t="shared" si="66"/>
        <v>0.387499313852854</v>
      </c>
      <c r="AJ63" s="30"/>
      <c r="AK63" s="30"/>
      <c r="AL63" s="30"/>
      <c r="AM63" s="30"/>
      <c r="AN63" s="34"/>
      <c r="AO63" s="34"/>
      <c r="AP63" s="34"/>
      <c r="AQ63" s="34"/>
      <c r="AR63" s="34"/>
      <c r="AS63" s="34"/>
      <c r="AT63" s="34" t="s">
        <v>156</v>
      </c>
      <c r="AU63" s="34" t="s">
        <v>156</v>
      </c>
      <c r="AV63" s="34" t="s">
        <v>156</v>
      </c>
      <c r="AW63" s="34" t="s">
        <v>156</v>
      </c>
      <c r="AX63" s="34" t="s">
        <v>156</v>
      </c>
      <c r="AY63" s="34" t="s">
        <v>156</v>
      </c>
      <c r="AZ63" s="34" t="s">
        <v>156</v>
      </c>
      <c r="BA63" s="34" t="s">
        <v>156</v>
      </c>
      <c r="BB63" s="34" t="s">
        <v>156</v>
      </c>
      <c r="BC63" s="34" t="s">
        <v>156</v>
      </c>
      <c r="BD63" s="34" t="s">
        <v>156</v>
      </c>
      <c r="BE63" s="34" t="s">
        <v>156</v>
      </c>
      <c r="BF63" s="34" t="s">
        <v>156</v>
      </c>
      <c r="BG63" s="34" t="s">
        <v>156</v>
      </c>
      <c r="BH63" s="34" t="s">
        <v>156</v>
      </c>
      <c r="BI63" s="34" t="s">
        <v>156</v>
      </c>
      <c r="BJ63" s="34" t="s">
        <v>156</v>
      </c>
      <c r="BK63" s="34" t="s">
        <v>156</v>
      </c>
      <c r="BL63" s="34" t="s">
        <v>156</v>
      </c>
      <c r="BM63" s="34" t="s">
        <v>156</v>
      </c>
      <c r="BN63" s="34" t="s">
        <v>156</v>
      </c>
      <c r="BO63" s="34" t="s">
        <v>156</v>
      </c>
      <c r="BP63" s="34" t="s">
        <v>156</v>
      </c>
      <c r="BQ63" s="34" t="s">
        <v>156</v>
      </c>
      <c r="BR63" s="44" t="e">
        <f>IF(E63&lt;#REF!,1,0)</f>
        <v>#REF!</v>
      </c>
      <c r="BS63" s="20" t="s">
        <v>157</v>
      </c>
    </row>
    <row r="64" ht="16.5" spans="1:71">
      <c r="A64" s="21" t="s">
        <v>45</v>
      </c>
      <c r="B64" s="21"/>
      <c r="C64" s="45"/>
      <c r="D64" s="41" t="s">
        <v>169</v>
      </c>
      <c r="E64" s="46">
        <v>28</v>
      </c>
      <c r="F64" s="47">
        <v>39.99</v>
      </c>
      <c r="G64" s="25">
        <f t="shared" si="46"/>
        <v>39.99</v>
      </c>
      <c r="H64" s="25">
        <f t="shared" si="47"/>
        <v>33.325</v>
      </c>
      <c r="I64" s="25">
        <f t="shared" si="48"/>
        <v>3.44407767944936</v>
      </c>
      <c r="J64" s="26">
        <f t="shared" si="49"/>
        <v>0.123002774266049</v>
      </c>
      <c r="K64" s="27">
        <f t="shared" si="50"/>
        <v>33.325</v>
      </c>
      <c r="L64" s="28">
        <f t="shared" si="51"/>
        <v>0.159789947486872</v>
      </c>
      <c r="M64" s="25">
        <f t="shared" si="52"/>
        <v>5.325</v>
      </c>
      <c r="N64" s="27">
        <f t="shared" si="53"/>
        <v>98.5398230088496</v>
      </c>
      <c r="O64" s="27">
        <f t="shared" si="54"/>
        <v>1.69444444444444</v>
      </c>
      <c r="P64" s="21">
        <v>9</v>
      </c>
      <c r="Q64" s="29">
        <v>8</v>
      </c>
      <c r="R64" s="30">
        <f t="shared" si="55"/>
        <v>0.178571428571429</v>
      </c>
      <c r="S64" s="26">
        <f t="shared" si="56"/>
        <v>0.125031257814454</v>
      </c>
      <c r="T64" s="30">
        <f t="shared" si="57"/>
        <v>0</v>
      </c>
      <c r="U64" s="30">
        <v>0.01</v>
      </c>
      <c r="V64" s="30">
        <f t="shared" si="58"/>
        <v>0.43990992414665</v>
      </c>
      <c r="W64" s="30">
        <f t="shared" si="59"/>
        <v>0.060515873015873</v>
      </c>
      <c r="X64" s="31">
        <v>0.188</v>
      </c>
      <c r="Y64" s="32">
        <v>5</v>
      </c>
      <c r="Z64" s="32">
        <v>0</v>
      </c>
      <c r="AA64" s="32">
        <f t="shared" si="60"/>
        <v>0.28</v>
      </c>
      <c r="AB64" s="27">
        <f t="shared" si="61"/>
        <v>5.264</v>
      </c>
      <c r="AC64" s="27">
        <v>94.4</v>
      </c>
      <c r="AD64" s="33">
        <f t="shared" si="62"/>
        <v>83.5398230088496</v>
      </c>
      <c r="AE64" s="29">
        <f t="shared" si="67"/>
        <v>1.5</v>
      </c>
      <c r="AF64" s="30">
        <f t="shared" si="64"/>
        <v>0.372945638432364</v>
      </c>
      <c r="AG64" s="30">
        <f t="shared" si="65"/>
        <v>0.00669642857142857</v>
      </c>
      <c r="AH64" s="29">
        <v>15</v>
      </c>
      <c r="AI64" s="26">
        <f t="shared" si="66"/>
        <v>0.31774943735934</v>
      </c>
      <c r="AJ64" s="30"/>
      <c r="AK64" s="30"/>
      <c r="AL64" s="30"/>
      <c r="AM64" s="30"/>
      <c r="AN64" s="34"/>
      <c r="AO64" s="34"/>
      <c r="AP64" s="34"/>
      <c r="AQ64" s="34"/>
      <c r="AR64" s="34"/>
      <c r="AS64" s="34"/>
      <c r="AT64" s="34" t="s">
        <v>156</v>
      </c>
      <c r="AU64" s="34" t="s">
        <v>156</v>
      </c>
      <c r="AV64" s="34" t="s">
        <v>156</v>
      </c>
      <c r="AW64" s="34" t="s">
        <v>156</v>
      </c>
      <c r="AX64" s="34" t="s">
        <v>156</v>
      </c>
      <c r="AY64" s="34" t="s">
        <v>156</v>
      </c>
      <c r="AZ64" s="34" t="s">
        <v>156</v>
      </c>
      <c r="BA64" s="34" t="s">
        <v>156</v>
      </c>
      <c r="BB64" s="34" t="s">
        <v>156</v>
      </c>
      <c r="BC64" s="34" t="s">
        <v>156</v>
      </c>
      <c r="BD64" s="34" t="s">
        <v>156</v>
      </c>
      <c r="BE64" s="34" t="s">
        <v>156</v>
      </c>
      <c r="BF64" s="34" t="s">
        <v>156</v>
      </c>
      <c r="BG64" s="34" t="s">
        <v>156</v>
      </c>
      <c r="BH64" s="34" t="s">
        <v>156</v>
      </c>
      <c r="BI64" s="34" t="s">
        <v>156</v>
      </c>
      <c r="BJ64" s="34" t="s">
        <v>156</v>
      </c>
      <c r="BK64" s="34" t="s">
        <v>156</v>
      </c>
      <c r="BL64" s="34" t="s">
        <v>156</v>
      </c>
      <c r="BM64" s="34" t="s">
        <v>156</v>
      </c>
      <c r="BN64" s="34" t="s">
        <v>156</v>
      </c>
      <c r="BO64" s="34" t="s">
        <v>156</v>
      </c>
      <c r="BP64" s="34" t="s">
        <v>156</v>
      </c>
      <c r="BQ64" s="34" t="s">
        <v>156</v>
      </c>
      <c r="BR64" s="44" t="e">
        <f>IF(#REF!&lt;E64,1,0)</f>
        <v>#REF!</v>
      </c>
      <c r="BS64" s="20" t="s">
        <v>157</v>
      </c>
    </row>
    <row r="65" ht="16.5" spans="1:71">
      <c r="A65" s="21" t="s">
        <v>45</v>
      </c>
      <c r="B65" s="21"/>
      <c r="C65" s="45"/>
      <c r="D65" s="22" t="s">
        <v>170</v>
      </c>
      <c r="E65" s="46">
        <v>28</v>
      </c>
      <c r="F65" s="47">
        <v>39.99</v>
      </c>
      <c r="G65" s="25">
        <f t="shared" si="46"/>
        <v>37.9905</v>
      </c>
      <c r="H65" s="25">
        <f t="shared" si="47"/>
        <v>31.65875</v>
      </c>
      <c r="I65" s="25">
        <f t="shared" si="48"/>
        <v>1.44457767944936</v>
      </c>
      <c r="J65" s="26">
        <f t="shared" si="49"/>
        <v>0.0515920599803343</v>
      </c>
      <c r="K65" s="27">
        <f t="shared" si="50"/>
        <v>33.325</v>
      </c>
      <c r="L65" s="28">
        <f t="shared" si="51"/>
        <v>0.159789947486872</v>
      </c>
      <c r="M65" s="25">
        <f t="shared" si="52"/>
        <v>5.325</v>
      </c>
      <c r="N65" s="27">
        <f t="shared" si="53"/>
        <v>98.5398230088496</v>
      </c>
      <c r="O65" s="27">
        <f t="shared" si="54"/>
        <v>1.69444444444444</v>
      </c>
      <c r="P65" s="21">
        <v>9</v>
      </c>
      <c r="Q65" s="29">
        <v>8</v>
      </c>
      <c r="R65" s="30">
        <f t="shared" si="55"/>
        <v>0.178571428571429</v>
      </c>
      <c r="S65" s="26">
        <f t="shared" si="56"/>
        <v>0.125031257814454</v>
      </c>
      <c r="T65" s="30">
        <f t="shared" si="57"/>
        <v>0.0714107142857143</v>
      </c>
      <c r="U65" s="30">
        <v>0.01</v>
      </c>
      <c r="V65" s="30">
        <f t="shared" si="58"/>
        <v>0.43990992414665</v>
      </c>
      <c r="W65" s="30">
        <f t="shared" si="59"/>
        <v>0.060515873015873</v>
      </c>
      <c r="X65" s="31">
        <v>0.188</v>
      </c>
      <c r="Y65" s="32">
        <v>5</v>
      </c>
      <c r="Z65" s="32">
        <f>F65*0.05</f>
        <v>1.9995</v>
      </c>
      <c r="AA65" s="32">
        <f t="shared" si="60"/>
        <v>0.28</v>
      </c>
      <c r="AB65" s="27">
        <f t="shared" si="61"/>
        <v>5.264</v>
      </c>
      <c r="AC65" s="27">
        <v>94.4</v>
      </c>
      <c r="AD65" s="33">
        <f t="shared" si="62"/>
        <v>83.5398230088496</v>
      </c>
      <c r="AE65" s="29">
        <f t="shared" si="67"/>
        <v>1.5</v>
      </c>
      <c r="AF65" s="30">
        <f t="shared" si="64"/>
        <v>0.372945638432364</v>
      </c>
      <c r="AG65" s="30">
        <f t="shared" si="65"/>
        <v>0.00669642857142857</v>
      </c>
      <c r="AH65" s="29">
        <v>15</v>
      </c>
      <c r="AI65" s="26">
        <f t="shared" si="66"/>
        <v>0.338031316339723</v>
      </c>
      <c r="AJ65" s="30"/>
      <c r="AK65" s="30"/>
      <c r="AL65" s="30"/>
      <c r="AM65" s="30"/>
      <c r="AN65" s="34"/>
      <c r="AO65" s="34"/>
      <c r="AP65" s="34"/>
      <c r="AQ65" s="34"/>
      <c r="AR65" s="34"/>
      <c r="AS65" s="34"/>
      <c r="AT65" s="34" t="s">
        <v>156</v>
      </c>
      <c r="AU65" s="34" t="s">
        <v>156</v>
      </c>
      <c r="AV65" s="34" t="s">
        <v>156</v>
      </c>
      <c r="AW65" s="34" t="s">
        <v>156</v>
      </c>
      <c r="AX65" s="34" t="s">
        <v>156</v>
      </c>
      <c r="AY65" s="34" t="s">
        <v>156</v>
      </c>
      <c r="AZ65" s="34" t="s">
        <v>156</v>
      </c>
      <c r="BA65" s="34" t="s">
        <v>156</v>
      </c>
      <c r="BB65" s="34" t="s">
        <v>156</v>
      </c>
      <c r="BC65" s="34" t="s">
        <v>156</v>
      </c>
      <c r="BD65" s="34" t="s">
        <v>156</v>
      </c>
      <c r="BE65" s="34" t="s">
        <v>156</v>
      </c>
      <c r="BF65" s="34" t="s">
        <v>156</v>
      </c>
      <c r="BG65" s="34" t="s">
        <v>156</v>
      </c>
      <c r="BH65" s="34" t="s">
        <v>156</v>
      </c>
      <c r="BI65" s="34" t="s">
        <v>156</v>
      </c>
      <c r="BJ65" s="34" t="s">
        <v>156</v>
      </c>
      <c r="BK65" s="34" t="s">
        <v>156</v>
      </c>
      <c r="BL65" s="34" t="s">
        <v>156</v>
      </c>
      <c r="BM65" s="34" t="s">
        <v>156</v>
      </c>
      <c r="BN65" s="34" t="s">
        <v>156</v>
      </c>
      <c r="BO65" s="34" t="s">
        <v>156</v>
      </c>
      <c r="BP65" s="34" t="s">
        <v>156</v>
      </c>
      <c r="BQ65" s="34" t="s">
        <v>156</v>
      </c>
      <c r="BR65" s="44" t="e">
        <f>IF(E65&lt;#REF!,1,0)</f>
        <v>#REF!</v>
      </c>
      <c r="BS65" s="20" t="s">
        <v>157</v>
      </c>
    </row>
    <row r="66" ht="16.5" spans="1:71">
      <c r="A66" s="21" t="s">
        <v>45</v>
      </c>
      <c r="B66" s="21"/>
      <c r="C66" s="45"/>
      <c r="D66" s="41" t="s">
        <v>171</v>
      </c>
      <c r="E66" s="46">
        <v>28</v>
      </c>
      <c r="F66" s="47">
        <v>39.99</v>
      </c>
      <c r="G66" s="25">
        <f t="shared" si="46"/>
        <v>35.991</v>
      </c>
      <c r="H66" s="25">
        <f t="shared" si="47"/>
        <v>29.9925</v>
      </c>
      <c r="I66" s="25">
        <f t="shared" si="48"/>
        <v>-0.55492232055064</v>
      </c>
      <c r="J66" s="26">
        <f t="shared" si="49"/>
        <v>-0.01981865430538</v>
      </c>
      <c r="K66" s="27">
        <f t="shared" si="50"/>
        <v>33.325</v>
      </c>
      <c r="L66" s="28">
        <f t="shared" si="51"/>
        <v>0.159789947486872</v>
      </c>
      <c r="M66" s="25">
        <f t="shared" si="52"/>
        <v>5.325</v>
      </c>
      <c r="N66" s="27">
        <f t="shared" si="53"/>
        <v>98.5398230088496</v>
      </c>
      <c r="O66" s="27">
        <f t="shared" si="54"/>
        <v>1.69444444444444</v>
      </c>
      <c r="P66" s="21">
        <v>9</v>
      </c>
      <c r="Q66" s="29">
        <v>8</v>
      </c>
      <c r="R66" s="30">
        <f t="shared" si="55"/>
        <v>0.178571428571429</v>
      </c>
      <c r="S66" s="26">
        <f t="shared" si="56"/>
        <v>0.125031257814454</v>
      </c>
      <c r="T66" s="30">
        <f t="shared" si="57"/>
        <v>0.142821428571429</v>
      </c>
      <c r="U66" s="30">
        <v>0.01</v>
      </c>
      <c r="V66" s="30">
        <f t="shared" si="58"/>
        <v>0.43990992414665</v>
      </c>
      <c r="W66" s="30">
        <f t="shared" si="59"/>
        <v>0.060515873015873</v>
      </c>
      <c r="X66" s="31">
        <v>0.188</v>
      </c>
      <c r="Y66" s="32">
        <v>5</v>
      </c>
      <c r="Z66" s="32">
        <f>F66*0.1</f>
        <v>3.999</v>
      </c>
      <c r="AA66" s="32">
        <f t="shared" si="60"/>
        <v>0.28</v>
      </c>
      <c r="AB66" s="27">
        <f t="shared" si="61"/>
        <v>5.264</v>
      </c>
      <c r="AC66" s="27">
        <v>94.4</v>
      </c>
      <c r="AD66" s="33">
        <f t="shared" si="62"/>
        <v>83.5398230088496</v>
      </c>
      <c r="AE66" s="29">
        <f t="shared" si="67"/>
        <v>1.5</v>
      </c>
      <c r="AF66" s="30">
        <f t="shared" si="64"/>
        <v>0.372945638432364</v>
      </c>
      <c r="AG66" s="30">
        <f t="shared" si="65"/>
        <v>0.00669642857142857</v>
      </c>
      <c r="AH66" s="29">
        <v>15</v>
      </c>
      <c r="AI66" s="26">
        <f t="shared" si="66"/>
        <v>0.361078906090159</v>
      </c>
      <c r="AJ66" s="30"/>
      <c r="AK66" s="30"/>
      <c r="AL66" s="30"/>
      <c r="AM66" s="30"/>
      <c r="AN66" s="34"/>
      <c r="AO66" s="34"/>
      <c r="AP66" s="34"/>
      <c r="AQ66" s="34"/>
      <c r="AR66" s="34"/>
      <c r="AS66" s="34"/>
      <c r="AT66" s="34" t="s">
        <v>156</v>
      </c>
      <c r="AU66" s="34" t="s">
        <v>156</v>
      </c>
      <c r="AV66" s="34" t="s">
        <v>156</v>
      </c>
      <c r="AW66" s="34" t="s">
        <v>156</v>
      </c>
      <c r="AX66" s="34" t="s">
        <v>156</v>
      </c>
      <c r="AY66" s="34" t="s">
        <v>156</v>
      </c>
      <c r="AZ66" s="34" t="s">
        <v>156</v>
      </c>
      <c r="BA66" s="34" t="s">
        <v>156</v>
      </c>
      <c r="BB66" s="34" t="s">
        <v>156</v>
      </c>
      <c r="BC66" s="34" t="s">
        <v>156</v>
      </c>
      <c r="BD66" s="34" t="s">
        <v>156</v>
      </c>
      <c r="BE66" s="34" t="s">
        <v>156</v>
      </c>
      <c r="BF66" s="34" t="s">
        <v>156</v>
      </c>
      <c r="BG66" s="34" t="s">
        <v>156</v>
      </c>
      <c r="BH66" s="34" t="s">
        <v>156</v>
      </c>
      <c r="BI66" s="34" t="s">
        <v>156</v>
      </c>
      <c r="BJ66" s="34" t="s">
        <v>156</v>
      </c>
      <c r="BK66" s="34" t="s">
        <v>156</v>
      </c>
      <c r="BL66" s="34" t="s">
        <v>156</v>
      </c>
      <c r="BM66" s="34" t="s">
        <v>156</v>
      </c>
      <c r="BN66" s="34" t="s">
        <v>156</v>
      </c>
      <c r="BO66" s="34" t="s">
        <v>156</v>
      </c>
      <c r="BP66" s="34" t="s">
        <v>156</v>
      </c>
      <c r="BQ66" s="34" t="s">
        <v>156</v>
      </c>
      <c r="BR66" s="44" t="e">
        <f>IF(E66&lt;#REF!,1,0)</f>
        <v>#REF!</v>
      </c>
      <c r="BS66" s="20" t="s">
        <v>157</v>
      </c>
    </row>
    <row r="67" ht="16.5" spans="1:71">
      <c r="A67" s="21" t="s">
        <v>45</v>
      </c>
      <c r="B67" s="21"/>
      <c r="C67" s="45"/>
      <c r="D67" s="41" t="s">
        <v>172</v>
      </c>
      <c r="E67" s="46">
        <v>28</v>
      </c>
      <c r="F67" s="47">
        <v>39.99</v>
      </c>
      <c r="G67" s="25">
        <f t="shared" si="46"/>
        <v>33.9915</v>
      </c>
      <c r="H67" s="25">
        <f t="shared" si="47"/>
        <v>28.32625</v>
      </c>
      <c r="I67" s="25">
        <f t="shared" si="48"/>
        <v>-2.55442232055064</v>
      </c>
      <c r="J67" s="26">
        <f t="shared" si="49"/>
        <v>-0.0912293685910943</v>
      </c>
      <c r="K67" s="27">
        <f t="shared" si="50"/>
        <v>33.325</v>
      </c>
      <c r="L67" s="28">
        <f t="shared" si="51"/>
        <v>0.159789947486872</v>
      </c>
      <c r="M67" s="25">
        <f t="shared" si="52"/>
        <v>5.325</v>
      </c>
      <c r="N67" s="27">
        <f t="shared" si="53"/>
        <v>98.5398230088496</v>
      </c>
      <c r="O67" s="27">
        <f t="shared" si="54"/>
        <v>1.69444444444444</v>
      </c>
      <c r="P67" s="21">
        <v>9</v>
      </c>
      <c r="Q67" s="29">
        <v>8</v>
      </c>
      <c r="R67" s="30">
        <f t="shared" si="55"/>
        <v>0.178571428571429</v>
      </c>
      <c r="S67" s="26">
        <f t="shared" si="56"/>
        <v>0.125031257814454</v>
      </c>
      <c r="T67" s="30">
        <f t="shared" si="57"/>
        <v>0.214232142857143</v>
      </c>
      <c r="U67" s="30">
        <v>0.01</v>
      </c>
      <c r="V67" s="30">
        <f t="shared" si="58"/>
        <v>0.43990992414665</v>
      </c>
      <c r="W67" s="30">
        <f t="shared" si="59"/>
        <v>0.060515873015873</v>
      </c>
      <c r="X67" s="31">
        <v>0.188</v>
      </c>
      <c r="Y67" s="32">
        <v>5</v>
      </c>
      <c r="Z67" s="32">
        <f>F67*0.15</f>
        <v>5.9985</v>
      </c>
      <c r="AA67" s="32">
        <f t="shared" si="60"/>
        <v>0.28</v>
      </c>
      <c r="AB67" s="27">
        <f t="shared" si="61"/>
        <v>5.264</v>
      </c>
      <c r="AC67" s="27">
        <v>94.4</v>
      </c>
      <c r="AD67" s="33">
        <f t="shared" si="62"/>
        <v>83.5398230088496</v>
      </c>
      <c r="AE67" s="29">
        <f t="shared" si="67"/>
        <v>1.5</v>
      </c>
      <c r="AF67" s="30">
        <f t="shared" si="64"/>
        <v>0.372945638432364</v>
      </c>
      <c r="AG67" s="30">
        <f t="shared" si="65"/>
        <v>0.00669642857142857</v>
      </c>
      <c r="AH67" s="29">
        <v>15</v>
      </c>
      <c r="AI67" s="26">
        <f t="shared" si="66"/>
        <v>0.387499313852854</v>
      </c>
      <c r="AJ67" s="30"/>
      <c r="AK67" s="30"/>
      <c r="AL67" s="30"/>
      <c r="AM67" s="30"/>
      <c r="AN67" s="34"/>
      <c r="AO67" s="34"/>
      <c r="AP67" s="34"/>
      <c r="AQ67" s="34"/>
      <c r="AR67" s="34"/>
      <c r="AS67" s="34"/>
      <c r="AT67" s="34" t="s">
        <v>156</v>
      </c>
      <c r="AU67" s="34" t="s">
        <v>156</v>
      </c>
      <c r="AV67" s="34" t="s">
        <v>156</v>
      </c>
      <c r="AW67" s="34" t="s">
        <v>156</v>
      </c>
      <c r="AX67" s="34" t="s">
        <v>156</v>
      </c>
      <c r="AY67" s="34" t="s">
        <v>156</v>
      </c>
      <c r="AZ67" s="34" t="s">
        <v>156</v>
      </c>
      <c r="BA67" s="34" t="s">
        <v>156</v>
      </c>
      <c r="BB67" s="34" t="s">
        <v>156</v>
      </c>
      <c r="BC67" s="34" t="s">
        <v>156</v>
      </c>
      <c r="BD67" s="34" t="s">
        <v>156</v>
      </c>
      <c r="BE67" s="34" t="s">
        <v>156</v>
      </c>
      <c r="BF67" s="34" t="s">
        <v>156</v>
      </c>
      <c r="BG67" s="34" t="s">
        <v>156</v>
      </c>
      <c r="BH67" s="34" t="s">
        <v>156</v>
      </c>
      <c r="BI67" s="34" t="s">
        <v>156</v>
      </c>
      <c r="BJ67" s="34" t="s">
        <v>156</v>
      </c>
      <c r="BK67" s="34" t="s">
        <v>156</v>
      </c>
      <c r="BL67" s="34" t="s">
        <v>156</v>
      </c>
      <c r="BM67" s="34" t="s">
        <v>156</v>
      </c>
      <c r="BN67" s="34" t="s">
        <v>156</v>
      </c>
      <c r="BO67" s="34" t="s">
        <v>156</v>
      </c>
      <c r="BP67" s="34" t="s">
        <v>156</v>
      </c>
      <c r="BQ67" s="34" t="s">
        <v>156</v>
      </c>
      <c r="BR67" s="44" t="e">
        <f>IF(E67&lt;#REF!,1,0)</f>
        <v>#REF!</v>
      </c>
      <c r="BS67" s="20" t="s">
        <v>157</v>
      </c>
    </row>
    <row r="68" ht="16.5" spans="1:71">
      <c r="A68" s="21" t="s">
        <v>48</v>
      </c>
      <c r="B68" s="21"/>
      <c r="C68" s="45"/>
      <c r="D68" s="22" t="s">
        <v>169</v>
      </c>
      <c r="E68" s="46">
        <v>28</v>
      </c>
      <c r="F68" s="47">
        <v>39.99</v>
      </c>
      <c r="G68" s="25">
        <f t="shared" si="46"/>
        <v>39.99</v>
      </c>
      <c r="H68" s="25">
        <f t="shared" si="47"/>
        <v>33.325</v>
      </c>
      <c r="I68" s="25">
        <f t="shared" si="48"/>
        <v>2.99963323500492</v>
      </c>
      <c r="J68" s="26">
        <f t="shared" si="49"/>
        <v>0.107129758393033</v>
      </c>
      <c r="K68" s="27">
        <f t="shared" si="50"/>
        <v>33.325</v>
      </c>
      <c r="L68" s="28">
        <f t="shared" si="51"/>
        <v>0.159789947486872</v>
      </c>
      <c r="M68" s="25">
        <f t="shared" si="52"/>
        <v>5.325</v>
      </c>
      <c r="N68" s="27">
        <f t="shared" si="53"/>
        <v>98.5398230088496</v>
      </c>
      <c r="O68" s="27">
        <f t="shared" si="54"/>
        <v>2.13888888888889</v>
      </c>
      <c r="P68" s="21">
        <v>9</v>
      </c>
      <c r="Q68" s="29">
        <v>8</v>
      </c>
      <c r="R68" s="30">
        <f t="shared" si="55"/>
        <v>0.178571428571429</v>
      </c>
      <c r="S68" s="26">
        <f t="shared" si="56"/>
        <v>0.125031257814454</v>
      </c>
      <c r="T68" s="30">
        <f t="shared" si="57"/>
        <v>0</v>
      </c>
      <c r="U68" s="30">
        <v>0.01</v>
      </c>
      <c r="V68" s="30">
        <f t="shared" si="58"/>
        <v>0.43990992414665</v>
      </c>
      <c r="W68" s="30">
        <f t="shared" si="59"/>
        <v>0.0763888888888889</v>
      </c>
      <c r="X68" s="31">
        <v>0.188</v>
      </c>
      <c r="Y68" s="32">
        <v>5</v>
      </c>
      <c r="Z68" s="32">
        <v>0</v>
      </c>
      <c r="AA68" s="32">
        <f t="shared" si="60"/>
        <v>0.28</v>
      </c>
      <c r="AB68" s="27">
        <f t="shared" si="61"/>
        <v>5.264</v>
      </c>
      <c r="AC68" s="27">
        <v>94.4</v>
      </c>
      <c r="AD68" s="33">
        <f t="shared" si="62"/>
        <v>83.5398230088496</v>
      </c>
      <c r="AE68" s="29">
        <f t="shared" si="67"/>
        <v>1.5</v>
      </c>
      <c r="AF68" s="30">
        <f t="shared" si="64"/>
        <v>0.372945638432364</v>
      </c>
      <c r="AG68" s="30">
        <f t="shared" si="65"/>
        <v>0.00669642857142857</v>
      </c>
      <c r="AH68" s="29">
        <v>15</v>
      </c>
      <c r="AI68" s="26">
        <f t="shared" si="66"/>
        <v>0.31774943735934</v>
      </c>
      <c r="AJ68" s="30"/>
      <c r="AK68" s="30"/>
      <c r="AL68" s="30"/>
      <c r="AM68" s="30"/>
      <c r="AN68" s="34"/>
      <c r="AO68" s="34"/>
      <c r="AP68" s="34"/>
      <c r="AQ68" s="34"/>
      <c r="AR68" s="34"/>
      <c r="AS68" s="34"/>
      <c r="AT68" s="34" t="s">
        <v>156</v>
      </c>
      <c r="AU68" s="34" t="s">
        <v>156</v>
      </c>
      <c r="AV68" s="34" t="s">
        <v>156</v>
      </c>
      <c r="AW68" s="34" t="s">
        <v>156</v>
      </c>
      <c r="AX68" s="34" t="s">
        <v>156</v>
      </c>
      <c r="AY68" s="34" t="s">
        <v>156</v>
      </c>
      <c r="AZ68" s="34" t="s">
        <v>156</v>
      </c>
      <c r="BA68" s="34" t="s">
        <v>156</v>
      </c>
      <c r="BB68" s="34" t="s">
        <v>156</v>
      </c>
      <c r="BC68" s="34" t="s">
        <v>156</v>
      </c>
      <c r="BD68" s="34" t="s">
        <v>156</v>
      </c>
      <c r="BE68" s="34" t="s">
        <v>156</v>
      </c>
      <c r="BF68" s="34" t="s">
        <v>156</v>
      </c>
      <c r="BG68" s="34" t="s">
        <v>156</v>
      </c>
      <c r="BH68" s="34" t="s">
        <v>156</v>
      </c>
      <c r="BI68" s="34" t="s">
        <v>156</v>
      </c>
      <c r="BJ68" s="34" t="s">
        <v>156</v>
      </c>
      <c r="BK68" s="34" t="s">
        <v>156</v>
      </c>
      <c r="BL68" s="34" t="s">
        <v>156</v>
      </c>
      <c r="BM68" s="34" t="s">
        <v>156</v>
      </c>
      <c r="BN68" s="34" t="s">
        <v>156</v>
      </c>
      <c r="BO68" s="34" t="s">
        <v>156</v>
      </c>
      <c r="BP68" s="34" t="s">
        <v>156</v>
      </c>
      <c r="BQ68" s="34" t="s">
        <v>156</v>
      </c>
      <c r="BR68" s="44" t="e">
        <f>IF(#REF!&lt;E68,1,0)</f>
        <v>#REF!</v>
      </c>
      <c r="BS68" s="20" t="s">
        <v>157</v>
      </c>
    </row>
    <row r="69" ht="16.5" spans="1:71">
      <c r="A69" s="21" t="s">
        <v>48</v>
      </c>
      <c r="B69" s="21"/>
      <c r="C69" s="45"/>
      <c r="D69" s="22" t="s">
        <v>170</v>
      </c>
      <c r="E69" s="46">
        <v>28</v>
      </c>
      <c r="F69" s="47">
        <v>39.99</v>
      </c>
      <c r="G69" s="25">
        <f t="shared" si="46"/>
        <v>37.9905</v>
      </c>
      <c r="H69" s="25">
        <f t="shared" si="47"/>
        <v>31.65875</v>
      </c>
      <c r="I69" s="25">
        <f t="shared" si="48"/>
        <v>1.00013323500492</v>
      </c>
      <c r="J69" s="26">
        <f t="shared" si="49"/>
        <v>0.0357190441073184</v>
      </c>
      <c r="K69" s="27">
        <f t="shared" si="50"/>
        <v>33.325</v>
      </c>
      <c r="L69" s="28">
        <f t="shared" si="51"/>
        <v>0.159789947486872</v>
      </c>
      <c r="M69" s="25">
        <f t="shared" si="52"/>
        <v>5.325</v>
      </c>
      <c r="N69" s="27">
        <f t="shared" si="53"/>
        <v>98.5398230088496</v>
      </c>
      <c r="O69" s="27">
        <f t="shared" si="54"/>
        <v>2.13888888888889</v>
      </c>
      <c r="P69" s="21">
        <v>9</v>
      </c>
      <c r="Q69" s="29">
        <v>8</v>
      </c>
      <c r="R69" s="30">
        <f t="shared" si="55"/>
        <v>0.178571428571429</v>
      </c>
      <c r="S69" s="26">
        <f t="shared" si="56"/>
        <v>0.125031257814454</v>
      </c>
      <c r="T69" s="30">
        <f t="shared" si="57"/>
        <v>0.0714107142857143</v>
      </c>
      <c r="U69" s="30">
        <v>0.01</v>
      </c>
      <c r="V69" s="30">
        <f t="shared" si="58"/>
        <v>0.43990992414665</v>
      </c>
      <c r="W69" s="30">
        <f t="shared" si="59"/>
        <v>0.0763888888888889</v>
      </c>
      <c r="X69" s="31">
        <v>0.188</v>
      </c>
      <c r="Y69" s="32">
        <v>5</v>
      </c>
      <c r="Z69" s="32">
        <f>F69*0.05</f>
        <v>1.9995</v>
      </c>
      <c r="AA69" s="32">
        <f t="shared" si="60"/>
        <v>0.28</v>
      </c>
      <c r="AB69" s="27">
        <f t="shared" si="61"/>
        <v>5.264</v>
      </c>
      <c r="AC69" s="27">
        <v>94.4</v>
      </c>
      <c r="AD69" s="33">
        <f t="shared" si="62"/>
        <v>83.5398230088496</v>
      </c>
      <c r="AE69" s="29">
        <f t="shared" si="67"/>
        <v>1.5</v>
      </c>
      <c r="AF69" s="30">
        <f t="shared" si="64"/>
        <v>0.372945638432364</v>
      </c>
      <c r="AG69" s="30">
        <f t="shared" si="65"/>
        <v>0.00669642857142857</v>
      </c>
      <c r="AH69" s="29">
        <v>15</v>
      </c>
      <c r="AI69" s="26">
        <f t="shared" si="66"/>
        <v>0.338031316339723</v>
      </c>
      <c r="AJ69" s="30"/>
      <c r="AK69" s="30"/>
      <c r="AL69" s="30"/>
      <c r="AM69" s="30"/>
      <c r="AN69" s="34"/>
      <c r="AO69" s="34"/>
      <c r="AP69" s="34"/>
      <c r="AQ69" s="34"/>
      <c r="AR69" s="34"/>
      <c r="AS69" s="34"/>
      <c r="AT69" s="34" t="s">
        <v>156</v>
      </c>
      <c r="AU69" s="34" t="s">
        <v>156</v>
      </c>
      <c r="AV69" s="34" t="s">
        <v>156</v>
      </c>
      <c r="AW69" s="34" t="s">
        <v>156</v>
      </c>
      <c r="AX69" s="34" t="s">
        <v>156</v>
      </c>
      <c r="AY69" s="34" t="s">
        <v>156</v>
      </c>
      <c r="AZ69" s="34" t="s">
        <v>156</v>
      </c>
      <c r="BA69" s="34" t="s">
        <v>156</v>
      </c>
      <c r="BB69" s="34" t="s">
        <v>156</v>
      </c>
      <c r="BC69" s="34" t="s">
        <v>156</v>
      </c>
      <c r="BD69" s="34" t="s">
        <v>156</v>
      </c>
      <c r="BE69" s="34" t="s">
        <v>156</v>
      </c>
      <c r="BF69" s="34" t="s">
        <v>156</v>
      </c>
      <c r="BG69" s="34" t="s">
        <v>156</v>
      </c>
      <c r="BH69" s="34" t="s">
        <v>156</v>
      </c>
      <c r="BI69" s="34" t="s">
        <v>156</v>
      </c>
      <c r="BJ69" s="34" t="s">
        <v>156</v>
      </c>
      <c r="BK69" s="34" t="s">
        <v>156</v>
      </c>
      <c r="BL69" s="34" t="s">
        <v>156</v>
      </c>
      <c r="BM69" s="34" t="s">
        <v>156</v>
      </c>
      <c r="BN69" s="34" t="s">
        <v>156</v>
      </c>
      <c r="BO69" s="34" t="s">
        <v>156</v>
      </c>
      <c r="BP69" s="34" t="s">
        <v>156</v>
      </c>
      <c r="BQ69" s="34" t="s">
        <v>156</v>
      </c>
      <c r="BR69" s="44" t="e">
        <f>IF(E69&lt;#REF!,1,0)</f>
        <v>#REF!</v>
      </c>
      <c r="BS69" s="20" t="s">
        <v>157</v>
      </c>
    </row>
    <row r="70" ht="16.5" spans="1:71">
      <c r="A70" s="21" t="s">
        <v>48</v>
      </c>
      <c r="B70" s="21"/>
      <c r="C70" s="45"/>
      <c r="D70" s="22" t="s">
        <v>171</v>
      </c>
      <c r="E70" s="46">
        <v>28</v>
      </c>
      <c r="F70" s="47">
        <v>39.99</v>
      </c>
      <c r="G70" s="25">
        <f t="shared" si="46"/>
        <v>35.991</v>
      </c>
      <c r="H70" s="25">
        <f t="shared" si="47"/>
        <v>29.9925</v>
      </c>
      <c r="I70" s="25">
        <f t="shared" si="48"/>
        <v>-0.999366764995085</v>
      </c>
      <c r="J70" s="26">
        <f t="shared" si="49"/>
        <v>-0.0356916701783959</v>
      </c>
      <c r="K70" s="27">
        <f t="shared" si="50"/>
        <v>33.325</v>
      </c>
      <c r="L70" s="28">
        <f t="shared" si="51"/>
        <v>0.159789947486872</v>
      </c>
      <c r="M70" s="25">
        <f t="shared" si="52"/>
        <v>5.325</v>
      </c>
      <c r="N70" s="27">
        <f t="shared" si="53"/>
        <v>98.5398230088496</v>
      </c>
      <c r="O70" s="27">
        <f t="shared" si="54"/>
        <v>2.13888888888889</v>
      </c>
      <c r="P70" s="21">
        <v>9</v>
      </c>
      <c r="Q70" s="29">
        <v>8</v>
      </c>
      <c r="R70" s="30">
        <f t="shared" si="55"/>
        <v>0.178571428571429</v>
      </c>
      <c r="S70" s="26">
        <f t="shared" si="56"/>
        <v>0.125031257814454</v>
      </c>
      <c r="T70" s="30">
        <f t="shared" si="57"/>
        <v>0.142821428571429</v>
      </c>
      <c r="U70" s="30">
        <v>0.01</v>
      </c>
      <c r="V70" s="30">
        <f t="shared" si="58"/>
        <v>0.43990992414665</v>
      </c>
      <c r="W70" s="30">
        <f t="shared" si="59"/>
        <v>0.0763888888888889</v>
      </c>
      <c r="X70" s="31">
        <v>0.188</v>
      </c>
      <c r="Y70" s="32">
        <v>5</v>
      </c>
      <c r="Z70" s="32">
        <f>F70*0.1</f>
        <v>3.999</v>
      </c>
      <c r="AA70" s="32">
        <f t="shared" si="60"/>
        <v>0.28</v>
      </c>
      <c r="AB70" s="27">
        <f t="shared" si="61"/>
        <v>5.264</v>
      </c>
      <c r="AC70" s="27">
        <v>94.4</v>
      </c>
      <c r="AD70" s="33">
        <f t="shared" si="62"/>
        <v>83.5398230088496</v>
      </c>
      <c r="AE70" s="29">
        <f t="shared" si="67"/>
        <v>1.5</v>
      </c>
      <c r="AF70" s="30">
        <f t="shared" si="64"/>
        <v>0.372945638432364</v>
      </c>
      <c r="AG70" s="30">
        <f t="shared" si="65"/>
        <v>0.00669642857142857</v>
      </c>
      <c r="AH70" s="29">
        <v>15</v>
      </c>
      <c r="AI70" s="26">
        <f t="shared" si="66"/>
        <v>0.361078906090159</v>
      </c>
      <c r="AJ70" s="30"/>
      <c r="AK70" s="30"/>
      <c r="AL70" s="30"/>
      <c r="AM70" s="30"/>
      <c r="AN70" s="34"/>
      <c r="AO70" s="34"/>
      <c r="AP70" s="34"/>
      <c r="AQ70" s="34"/>
      <c r="AR70" s="34"/>
      <c r="AS70" s="34"/>
      <c r="AT70" s="34" t="s">
        <v>156</v>
      </c>
      <c r="AU70" s="34" t="s">
        <v>156</v>
      </c>
      <c r="AV70" s="34" t="s">
        <v>156</v>
      </c>
      <c r="AW70" s="34" t="s">
        <v>156</v>
      </c>
      <c r="AX70" s="34" t="s">
        <v>156</v>
      </c>
      <c r="AY70" s="34" t="s">
        <v>156</v>
      </c>
      <c r="AZ70" s="34" t="s">
        <v>156</v>
      </c>
      <c r="BA70" s="34" t="s">
        <v>156</v>
      </c>
      <c r="BB70" s="34" t="s">
        <v>156</v>
      </c>
      <c r="BC70" s="34" t="s">
        <v>156</v>
      </c>
      <c r="BD70" s="34" t="s">
        <v>156</v>
      </c>
      <c r="BE70" s="34" t="s">
        <v>156</v>
      </c>
      <c r="BF70" s="34" t="s">
        <v>156</v>
      </c>
      <c r="BG70" s="34" t="s">
        <v>156</v>
      </c>
      <c r="BH70" s="34" t="s">
        <v>156</v>
      </c>
      <c r="BI70" s="34" t="s">
        <v>156</v>
      </c>
      <c r="BJ70" s="34" t="s">
        <v>156</v>
      </c>
      <c r="BK70" s="34" t="s">
        <v>156</v>
      </c>
      <c r="BL70" s="34" t="s">
        <v>156</v>
      </c>
      <c r="BM70" s="34" t="s">
        <v>156</v>
      </c>
      <c r="BN70" s="34" t="s">
        <v>156</v>
      </c>
      <c r="BO70" s="34" t="s">
        <v>156</v>
      </c>
      <c r="BP70" s="34" t="s">
        <v>156</v>
      </c>
      <c r="BQ70" s="34" t="s">
        <v>156</v>
      </c>
      <c r="BR70" s="44" t="e">
        <f>IF(E70&lt;#REF!,1,0)</f>
        <v>#REF!</v>
      </c>
      <c r="BS70" s="20" t="s">
        <v>157</v>
      </c>
    </row>
    <row r="71" ht="16.5" spans="1:71">
      <c r="A71" s="21" t="s">
        <v>48</v>
      </c>
      <c r="B71" s="21"/>
      <c r="C71" s="45"/>
      <c r="D71" s="22" t="s">
        <v>172</v>
      </c>
      <c r="E71" s="46">
        <v>28</v>
      </c>
      <c r="F71" s="47">
        <v>39.99</v>
      </c>
      <c r="G71" s="25">
        <f t="shared" si="46"/>
        <v>33.9915</v>
      </c>
      <c r="H71" s="25">
        <f t="shared" si="47"/>
        <v>28.32625</v>
      </c>
      <c r="I71" s="25">
        <f t="shared" si="48"/>
        <v>-2.99886676499508</v>
      </c>
      <c r="J71" s="26">
        <f t="shared" si="49"/>
        <v>-0.10710238446411</v>
      </c>
      <c r="K71" s="27">
        <f t="shared" si="50"/>
        <v>33.325</v>
      </c>
      <c r="L71" s="28">
        <f t="shared" si="51"/>
        <v>0.159789947486872</v>
      </c>
      <c r="M71" s="25">
        <f t="shared" si="52"/>
        <v>5.325</v>
      </c>
      <c r="N71" s="27">
        <f t="shared" si="53"/>
        <v>98.5398230088496</v>
      </c>
      <c r="O71" s="27">
        <f t="shared" si="54"/>
        <v>2.13888888888889</v>
      </c>
      <c r="P71" s="21">
        <v>9</v>
      </c>
      <c r="Q71" s="29">
        <v>8</v>
      </c>
      <c r="R71" s="30">
        <f t="shared" si="55"/>
        <v>0.178571428571429</v>
      </c>
      <c r="S71" s="26">
        <f t="shared" si="56"/>
        <v>0.125031257814454</v>
      </c>
      <c r="T71" s="30">
        <f t="shared" si="57"/>
        <v>0.214232142857143</v>
      </c>
      <c r="U71" s="30">
        <v>0.01</v>
      </c>
      <c r="V71" s="30">
        <f t="shared" si="58"/>
        <v>0.43990992414665</v>
      </c>
      <c r="W71" s="30">
        <f t="shared" si="59"/>
        <v>0.0763888888888889</v>
      </c>
      <c r="X71" s="31">
        <v>0.188</v>
      </c>
      <c r="Y71" s="32">
        <v>5</v>
      </c>
      <c r="Z71" s="32">
        <f>F71*0.15</f>
        <v>5.9985</v>
      </c>
      <c r="AA71" s="32">
        <f t="shared" si="60"/>
        <v>0.28</v>
      </c>
      <c r="AB71" s="27">
        <f t="shared" si="61"/>
        <v>5.264</v>
      </c>
      <c r="AC71" s="27">
        <v>94.4</v>
      </c>
      <c r="AD71" s="33">
        <f t="shared" si="62"/>
        <v>83.5398230088496</v>
      </c>
      <c r="AE71" s="29">
        <f t="shared" si="67"/>
        <v>1.5</v>
      </c>
      <c r="AF71" s="30">
        <f t="shared" si="64"/>
        <v>0.372945638432364</v>
      </c>
      <c r="AG71" s="30">
        <f t="shared" si="65"/>
        <v>0.00669642857142857</v>
      </c>
      <c r="AH71" s="29">
        <v>15</v>
      </c>
      <c r="AI71" s="26">
        <f t="shared" si="66"/>
        <v>0.387499313852854</v>
      </c>
      <c r="AJ71" s="30"/>
      <c r="AK71" s="30"/>
      <c r="AL71" s="30"/>
      <c r="AM71" s="30"/>
      <c r="AN71" s="34"/>
      <c r="AO71" s="34"/>
      <c r="AP71" s="34"/>
      <c r="AQ71" s="34"/>
      <c r="AR71" s="34"/>
      <c r="AS71" s="34"/>
      <c r="AT71" s="34" t="s">
        <v>156</v>
      </c>
      <c r="AU71" s="34" t="s">
        <v>156</v>
      </c>
      <c r="AV71" s="34" t="s">
        <v>156</v>
      </c>
      <c r="AW71" s="34" t="s">
        <v>156</v>
      </c>
      <c r="AX71" s="34" t="s">
        <v>156</v>
      </c>
      <c r="AY71" s="34" t="s">
        <v>156</v>
      </c>
      <c r="AZ71" s="34" t="s">
        <v>156</v>
      </c>
      <c r="BA71" s="34" t="s">
        <v>156</v>
      </c>
      <c r="BB71" s="34" t="s">
        <v>156</v>
      </c>
      <c r="BC71" s="34" t="s">
        <v>156</v>
      </c>
      <c r="BD71" s="34" t="s">
        <v>156</v>
      </c>
      <c r="BE71" s="34" t="s">
        <v>156</v>
      </c>
      <c r="BF71" s="34" t="s">
        <v>156</v>
      </c>
      <c r="BG71" s="34" t="s">
        <v>156</v>
      </c>
      <c r="BH71" s="34" t="s">
        <v>156</v>
      </c>
      <c r="BI71" s="34" t="s">
        <v>156</v>
      </c>
      <c r="BJ71" s="34" t="s">
        <v>156</v>
      </c>
      <c r="BK71" s="34" t="s">
        <v>156</v>
      </c>
      <c r="BL71" s="34" t="s">
        <v>156</v>
      </c>
      <c r="BM71" s="34" t="s">
        <v>156</v>
      </c>
      <c r="BN71" s="34" t="s">
        <v>156</v>
      </c>
      <c r="BO71" s="34" t="s">
        <v>156</v>
      </c>
      <c r="BP71" s="34" t="s">
        <v>156</v>
      </c>
      <c r="BQ71" s="34" t="s">
        <v>156</v>
      </c>
      <c r="BR71" s="44" t="e">
        <f>IF(E71&lt;#REF!,1,0)</f>
        <v>#REF!</v>
      </c>
      <c r="BS71" s="20" t="s">
        <v>157</v>
      </c>
    </row>
    <row r="72" ht="16.5" spans="1:71">
      <c r="A72" s="21" t="s">
        <v>161</v>
      </c>
      <c r="B72" s="21"/>
      <c r="C72" s="45"/>
      <c r="D72" s="39" t="s">
        <v>173</v>
      </c>
      <c r="E72" s="46">
        <v>30</v>
      </c>
      <c r="F72" s="47">
        <v>44.99</v>
      </c>
      <c r="G72" s="25">
        <f t="shared" si="46"/>
        <v>44.99</v>
      </c>
      <c r="H72" s="25">
        <f t="shared" si="47"/>
        <v>37.4916666666667</v>
      </c>
      <c r="I72" s="25">
        <f t="shared" si="48"/>
        <v>4.88141101278269</v>
      </c>
      <c r="J72" s="26">
        <f t="shared" si="49"/>
        <v>0.16271370042609</v>
      </c>
      <c r="K72" s="27">
        <f t="shared" si="50"/>
        <v>37.4916666666667</v>
      </c>
      <c r="L72" s="28">
        <f t="shared" si="51"/>
        <v>0.199822182707268</v>
      </c>
      <c r="M72" s="25">
        <f t="shared" si="52"/>
        <v>7.49166666666667</v>
      </c>
      <c r="N72" s="27">
        <f t="shared" si="53"/>
        <v>98.5398230088496</v>
      </c>
      <c r="O72" s="27">
        <f t="shared" si="54"/>
        <v>1.86111111111111</v>
      </c>
      <c r="P72" s="21">
        <v>9</v>
      </c>
      <c r="Q72" s="29">
        <v>8</v>
      </c>
      <c r="R72" s="30">
        <f t="shared" si="55"/>
        <v>0.166666666666667</v>
      </c>
      <c r="S72" s="26">
        <f t="shared" si="56"/>
        <v>0.111135807957324</v>
      </c>
      <c r="T72" s="30">
        <f t="shared" si="57"/>
        <v>0</v>
      </c>
      <c r="U72" s="30">
        <v>0.01</v>
      </c>
      <c r="V72" s="30">
        <f t="shared" si="58"/>
        <v>0.410582595870207</v>
      </c>
      <c r="W72" s="30">
        <f t="shared" si="59"/>
        <v>0.062037037037037</v>
      </c>
      <c r="X72" s="31">
        <v>0.188</v>
      </c>
      <c r="Y72" s="32">
        <v>5</v>
      </c>
      <c r="Z72" s="32">
        <v>0</v>
      </c>
      <c r="AA72" s="32">
        <f t="shared" si="60"/>
        <v>0.3</v>
      </c>
      <c r="AB72" s="27">
        <f t="shared" si="61"/>
        <v>5.64</v>
      </c>
      <c r="AC72" s="27">
        <v>94.4</v>
      </c>
      <c r="AD72" s="33">
        <f t="shared" si="62"/>
        <v>83.5398230088496</v>
      </c>
      <c r="AE72" s="29">
        <f t="shared" si="67"/>
        <v>1.5</v>
      </c>
      <c r="AF72" s="30">
        <f t="shared" si="64"/>
        <v>0.348082595870207</v>
      </c>
      <c r="AG72" s="30">
        <f t="shared" si="65"/>
        <v>0.00625</v>
      </c>
      <c r="AH72" s="29">
        <v>15</v>
      </c>
      <c r="AI72" s="26">
        <f t="shared" si="66"/>
        <v>0.350255612358302</v>
      </c>
      <c r="AJ72" s="30"/>
      <c r="AK72" s="30"/>
      <c r="AL72" s="30"/>
      <c r="AM72" s="30"/>
      <c r="AN72" s="34"/>
      <c r="AO72" s="34"/>
      <c r="AP72" s="34"/>
      <c r="AQ72" s="34"/>
      <c r="AR72" s="34"/>
      <c r="AS72" s="34"/>
      <c r="AT72" s="34" t="s">
        <v>156</v>
      </c>
      <c r="AU72" s="34" t="s">
        <v>156</v>
      </c>
      <c r="AV72" s="34" t="s">
        <v>156</v>
      </c>
      <c r="AW72" s="34" t="s">
        <v>156</v>
      </c>
      <c r="AX72" s="34" t="s">
        <v>156</v>
      </c>
      <c r="AY72" s="34" t="s">
        <v>156</v>
      </c>
      <c r="AZ72" s="34" t="s">
        <v>156</v>
      </c>
      <c r="BA72" s="34" t="s">
        <v>156</v>
      </c>
      <c r="BB72" s="34" t="s">
        <v>156</v>
      </c>
      <c r="BC72" s="34" t="s">
        <v>156</v>
      </c>
      <c r="BD72" s="34" t="s">
        <v>156</v>
      </c>
      <c r="BE72" s="34" t="s">
        <v>156</v>
      </c>
      <c r="BF72" s="34" t="s">
        <v>156</v>
      </c>
      <c r="BG72" s="34" t="s">
        <v>156</v>
      </c>
      <c r="BH72" s="34" t="s">
        <v>156</v>
      </c>
      <c r="BI72" s="34" t="s">
        <v>156</v>
      </c>
      <c r="BJ72" s="34" t="s">
        <v>156</v>
      </c>
      <c r="BK72" s="34" t="s">
        <v>156</v>
      </c>
      <c r="BL72" s="34" t="s">
        <v>156</v>
      </c>
      <c r="BM72" s="34" t="s">
        <v>156</v>
      </c>
      <c r="BN72" s="34" t="s">
        <v>156</v>
      </c>
      <c r="BO72" s="34" t="s">
        <v>156</v>
      </c>
      <c r="BP72" s="34" t="s">
        <v>156</v>
      </c>
      <c r="BQ72" s="34" t="s">
        <v>156</v>
      </c>
      <c r="BR72" s="44" t="e">
        <f>IF(E72&lt;#REF!,1,0)</f>
        <v>#REF!</v>
      </c>
      <c r="BS72" s="20" t="s">
        <v>157</v>
      </c>
    </row>
    <row r="73" ht="16.5" spans="1:71">
      <c r="A73" s="21" t="s">
        <v>163</v>
      </c>
      <c r="B73" s="21"/>
      <c r="C73" s="45"/>
      <c r="D73" s="37" t="s">
        <v>173</v>
      </c>
      <c r="E73" s="27">
        <v>30</v>
      </c>
      <c r="F73" s="43">
        <v>44.99</v>
      </c>
      <c r="G73" s="25">
        <f t="shared" si="46"/>
        <v>44.99</v>
      </c>
      <c r="H73" s="25">
        <f t="shared" si="47"/>
        <v>37.4916666666667</v>
      </c>
      <c r="I73" s="25">
        <f t="shared" si="48"/>
        <v>5.18141101278269</v>
      </c>
      <c r="J73" s="26">
        <f t="shared" si="49"/>
        <v>0.17271370042609</v>
      </c>
      <c r="K73" s="27">
        <f t="shared" si="50"/>
        <v>37.4916666666667</v>
      </c>
      <c r="L73" s="28">
        <f t="shared" si="51"/>
        <v>0.199822182707268</v>
      </c>
      <c r="M73" s="25">
        <f t="shared" si="52"/>
        <v>7.49166666666667</v>
      </c>
      <c r="N73" s="27">
        <f t="shared" si="53"/>
        <v>98.5398230088496</v>
      </c>
      <c r="O73" s="27">
        <f t="shared" si="54"/>
        <v>1.56111111111111</v>
      </c>
      <c r="P73" s="21">
        <v>9</v>
      </c>
      <c r="Q73" s="29">
        <v>8</v>
      </c>
      <c r="R73" s="30">
        <f t="shared" si="55"/>
        <v>0.166666666666667</v>
      </c>
      <c r="S73" s="26">
        <f t="shared" si="56"/>
        <v>0.111135807957324</v>
      </c>
      <c r="T73" s="30">
        <f t="shared" si="57"/>
        <v>0</v>
      </c>
      <c r="U73" s="30">
        <v>0.01</v>
      </c>
      <c r="V73" s="30">
        <f t="shared" si="58"/>
        <v>0.410582595870207</v>
      </c>
      <c r="W73" s="30">
        <f t="shared" si="59"/>
        <v>0.052037037037037</v>
      </c>
      <c r="X73" s="31">
        <v>0.188</v>
      </c>
      <c r="Y73" s="32">
        <v>5</v>
      </c>
      <c r="Z73" s="32">
        <v>0</v>
      </c>
      <c r="AA73" s="32">
        <f t="shared" si="60"/>
        <v>0.3</v>
      </c>
      <c r="AB73" s="27">
        <f t="shared" si="61"/>
        <v>5.64</v>
      </c>
      <c r="AC73" s="27">
        <v>94.4</v>
      </c>
      <c r="AD73" s="33">
        <f t="shared" si="62"/>
        <v>83.5398230088496</v>
      </c>
      <c r="AE73" s="29">
        <f t="shared" si="67"/>
        <v>1.5</v>
      </c>
      <c r="AF73" s="30">
        <f t="shared" si="64"/>
        <v>0.348082595870207</v>
      </c>
      <c r="AG73" s="30">
        <f t="shared" si="65"/>
        <v>0.00625</v>
      </c>
      <c r="AH73" s="29">
        <v>15</v>
      </c>
      <c r="AI73" s="26">
        <f t="shared" si="66"/>
        <v>0.350255612358302</v>
      </c>
      <c r="AJ73" s="30"/>
      <c r="AK73" s="30"/>
      <c r="AL73" s="30"/>
      <c r="AM73" s="30"/>
      <c r="AN73" s="34"/>
      <c r="AO73" s="34"/>
      <c r="AP73" s="34"/>
      <c r="AQ73" s="34"/>
      <c r="AR73" s="34"/>
      <c r="AS73" s="34"/>
      <c r="AT73" s="34" t="s">
        <v>156</v>
      </c>
      <c r="AU73" s="34" t="s">
        <v>156</v>
      </c>
      <c r="AV73" s="34" t="s">
        <v>156</v>
      </c>
      <c r="AW73" s="34" t="s">
        <v>156</v>
      </c>
      <c r="AX73" s="34" t="s">
        <v>156</v>
      </c>
      <c r="AY73" s="34" t="s">
        <v>156</v>
      </c>
      <c r="AZ73" s="34" t="s">
        <v>156</v>
      </c>
      <c r="BA73" s="34" t="s">
        <v>156</v>
      </c>
      <c r="BB73" s="34" t="s">
        <v>156</v>
      </c>
      <c r="BC73" s="34" t="s">
        <v>156</v>
      </c>
      <c r="BD73" s="34" t="s">
        <v>156</v>
      </c>
      <c r="BE73" s="34" t="s">
        <v>156</v>
      </c>
      <c r="BF73" s="34" t="s">
        <v>156</v>
      </c>
      <c r="BG73" s="34" t="s">
        <v>156</v>
      </c>
      <c r="BH73" s="34" t="s">
        <v>156</v>
      </c>
      <c r="BI73" s="34" t="s">
        <v>156</v>
      </c>
      <c r="BJ73" s="34" t="s">
        <v>156</v>
      </c>
      <c r="BK73" s="34" t="s">
        <v>156</v>
      </c>
      <c r="BL73" s="34" t="s">
        <v>156</v>
      </c>
      <c r="BM73" s="34" t="s">
        <v>156</v>
      </c>
      <c r="BN73" s="34" t="s">
        <v>156</v>
      </c>
      <c r="BO73" s="34" t="s">
        <v>156</v>
      </c>
      <c r="BP73" s="34" t="s">
        <v>156</v>
      </c>
      <c r="BQ73" s="34" t="s">
        <v>156</v>
      </c>
      <c r="BR73" s="44" t="e">
        <f>IF(E73&lt;#REF!,1,0)</f>
        <v>#REF!</v>
      </c>
      <c r="BS73" s="20" t="s">
        <v>157</v>
      </c>
    </row>
    <row r="74" ht="16.5" spans="1:71">
      <c r="A74" s="21" t="s">
        <v>165</v>
      </c>
      <c r="B74" s="21"/>
      <c r="C74" s="45"/>
      <c r="D74" s="37" t="s">
        <v>173</v>
      </c>
      <c r="E74" s="27">
        <v>30</v>
      </c>
      <c r="F74" s="43">
        <v>44.99</v>
      </c>
      <c r="G74" s="25">
        <f t="shared" si="46"/>
        <v>44.99</v>
      </c>
      <c r="H74" s="25">
        <f t="shared" si="47"/>
        <v>37.4916666666667</v>
      </c>
      <c r="I74" s="25">
        <f t="shared" si="48"/>
        <v>4.71474434611603</v>
      </c>
      <c r="J74" s="26">
        <f t="shared" si="49"/>
        <v>0.157158144870534</v>
      </c>
      <c r="K74" s="27">
        <f t="shared" si="50"/>
        <v>37.4916666666667</v>
      </c>
      <c r="L74" s="28">
        <f t="shared" si="51"/>
        <v>0.199822182707268</v>
      </c>
      <c r="M74" s="25">
        <f t="shared" si="52"/>
        <v>7.49166666666667</v>
      </c>
      <c r="N74" s="27">
        <f t="shared" si="53"/>
        <v>98.5398230088496</v>
      </c>
      <c r="O74" s="27">
        <f t="shared" si="54"/>
        <v>2.02777777777778</v>
      </c>
      <c r="P74" s="21">
        <v>9</v>
      </c>
      <c r="Q74" s="29">
        <v>8</v>
      </c>
      <c r="R74" s="30">
        <f t="shared" si="55"/>
        <v>0.166666666666667</v>
      </c>
      <c r="S74" s="26">
        <f t="shared" si="56"/>
        <v>0.111135807957324</v>
      </c>
      <c r="T74" s="30">
        <f t="shared" si="57"/>
        <v>0</v>
      </c>
      <c r="U74" s="30">
        <v>0.01</v>
      </c>
      <c r="V74" s="30">
        <f t="shared" si="58"/>
        <v>0.410582595870207</v>
      </c>
      <c r="W74" s="30">
        <f t="shared" si="59"/>
        <v>0.0675925925925926</v>
      </c>
      <c r="X74" s="31">
        <v>0.188</v>
      </c>
      <c r="Y74" s="32">
        <v>5</v>
      </c>
      <c r="Z74" s="32">
        <v>0</v>
      </c>
      <c r="AA74" s="32">
        <f t="shared" si="60"/>
        <v>0.3</v>
      </c>
      <c r="AB74" s="27">
        <f t="shared" si="61"/>
        <v>5.64</v>
      </c>
      <c r="AC74" s="27">
        <v>94.4</v>
      </c>
      <c r="AD74" s="33">
        <f t="shared" si="62"/>
        <v>83.5398230088496</v>
      </c>
      <c r="AE74" s="29">
        <f t="shared" si="67"/>
        <v>1.5</v>
      </c>
      <c r="AF74" s="30">
        <f t="shared" si="64"/>
        <v>0.348082595870207</v>
      </c>
      <c r="AG74" s="30">
        <f t="shared" si="65"/>
        <v>0.00625</v>
      </c>
      <c r="AH74" s="29">
        <v>15</v>
      </c>
      <c r="AI74" s="26">
        <f t="shared" si="66"/>
        <v>0.350255612358302</v>
      </c>
      <c r="AJ74" s="30"/>
      <c r="AK74" s="30"/>
      <c r="AL74" s="30"/>
      <c r="AM74" s="30"/>
      <c r="AN74" s="34"/>
      <c r="AO74" s="34"/>
      <c r="AP74" s="34"/>
      <c r="AQ74" s="34"/>
      <c r="AR74" s="34"/>
      <c r="AS74" s="34"/>
      <c r="AT74" s="34" t="s">
        <v>156</v>
      </c>
      <c r="AU74" s="34" t="s">
        <v>156</v>
      </c>
      <c r="AV74" s="34" t="s">
        <v>156</v>
      </c>
      <c r="AW74" s="34" t="s">
        <v>156</v>
      </c>
      <c r="AX74" s="34" t="s">
        <v>156</v>
      </c>
      <c r="AY74" s="34" t="s">
        <v>156</v>
      </c>
      <c r="AZ74" s="34" t="s">
        <v>156</v>
      </c>
      <c r="BA74" s="34" t="s">
        <v>156</v>
      </c>
      <c r="BB74" s="34" t="s">
        <v>156</v>
      </c>
      <c r="BC74" s="34" t="s">
        <v>156</v>
      </c>
      <c r="BD74" s="34" t="s">
        <v>156</v>
      </c>
      <c r="BE74" s="34" t="s">
        <v>156</v>
      </c>
      <c r="BF74" s="34" t="s">
        <v>156</v>
      </c>
      <c r="BG74" s="34" t="s">
        <v>156</v>
      </c>
      <c r="BH74" s="34" t="s">
        <v>156</v>
      </c>
      <c r="BI74" s="34" t="s">
        <v>156</v>
      </c>
      <c r="BJ74" s="34" t="s">
        <v>156</v>
      </c>
      <c r="BK74" s="34" t="s">
        <v>156</v>
      </c>
      <c r="BL74" s="34" t="s">
        <v>156</v>
      </c>
      <c r="BM74" s="34" t="s">
        <v>156</v>
      </c>
      <c r="BN74" s="34" t="s">
        <v>156</v>
      </c>
      <c r="BO74" s="34" t="s">
        <v>156</v>
      </c>
      <c r="BP74" s="34" t="s">
        <v>156</v>
      </c>
      <c r="BQ74" s="34" t="s">
        <v>156</v>
      </c>
      <c r="BR74" s="44" t="e">
        <f>IF(E74&lt;#REF!,1,0)</f>
        <v>#REF!</v>
      </c>
      <c r="BS74" s="20" t="s">
        <v>157</v>
      </c>
    </row>
    <row r="75" ht="16.5" spans="1:71">
      <c r="A75" s="21" t="s">
        <v>167</v>
      </c>
      <c r="B75" s="21"/>
      <c r="C75" s="45"/>
      <c r="D75" s="37" t="s">
        <v>173</v>
      </c>
      <c r="E75" s="46">
        <v>30</v>
      </c>
      <c r="F75" s="47">
        <v>44.99</v>
      </c>
      <c r="G75" s="25">
        <f t="shared" si="46"/>
        <v>44.99</v>
      </c>
      <c r="H75" s="25">
        <f t="shared" si="47"/>
        <v>37.4916666666667</v>
      </c>
      <c r="I75" s="25">
        <f t="shared" si="48"/>
        <v>5.15918879056047</v>
      </c>
      <c r="J75" s="26">
        <f t="shared" si="49"/>
        <v>0.171972959685349</v>
      </c>
      <c r="K75" s="27">
        <f t="shared" si="50"/>
        <v>37.4916666666667</v>
      </c>
      <c r="L75" s="28">
        <f t="shared" si="51"/>
        <v>0.199822182707268</v>
      </c>
      <c r="M75" s="25">
        <f t="shared" si="52"/>
        <v>7.49166666666667</v>
      </c>
      <c r="N75" s="27">
        <f t="shared" si="53"/>
        <v>98.5398230088496</v>
      </c>
      <c r="O75" s="27">
        <f t="shared" si="54"/>
        <v>1.58333333333333</v>
      </c>
      <c r="P75" s="21">
        <v>9</v>
      </c>
      <c r="Q75" s="29">
        <v>8</v>
      </c>
      <c r="R75" s="30">
        <f t="shared" si="55"/>
        <v>0.166666666666667</v>
      </c>
      <c r="S75" s="26">
        <f t="shared" si="56"/>
        <v>0.111135807957324</v>
      </c>
      <c r="T75" s="30">
        <f t="shared" si="57"/>
        <v>0</v>
      </c>
      <c r="U75" s="30">
        <v>0.01</v>
      </c>
      <c r="V75" s="30">
        <f t="shared" si="58"/>
        <v>0.410582595870207</v>
      </c>
      <c r="W75" s="30">
        <f t="shared" si="59"/>
        <v>0.0527777777777778</v>
      </c>
      <c r="X75" s="31">
        <v>0.188</v>
      </c>
      <c r="Y75" s="32">
        <v>5</v>
      </c>
      <c r="Z75" s="32">
        <v>0</v>
      </c>
      <c r="AA75" s="32">
        <f t="shared" si="60"/>
        <v>0.3</v>
      </c>
      <c r="AB75" s="27">
        <f t="shared" si="61"/>
        <v>5.64</v>
      </c>
      <c r="AC75" s="27">
        <v>94.4</v>
      </c>
      <c r="AD75" s="33">
        <f t="shared" si="62"/>
        <v>83.5398230088496</v>
      </c>
      <c r="AE75" s="29">
        <f t="shared" si="67"/>
        <v>1.5</v>
      </c>
      <c r="AF75" s="30">
        <f t="shared" si="64"/>
        <v>0.348082595870207</v>
      </c>
      <c r="AG75" s="30">
        <f t="shared" si="65"/>
        <v>0.00625</v>
      </c>
      <c r="AH75" s="29">
        <v>15</v>
      </c>
      <c r="AI75" s="26">
        <f t="shared" si="66"/>
        <v>0.350255612358302</v>
      </c>
      <c r="AJ75" s="30"/>
      <c r="AK75" s="30"/>
      <c r="AL75" s="30"/>
      <c r="AM75" s="30"/>
      <c r="AN75" s="34"/>
      <c r="AO75" s="34"/>
      <c r="AP75" s="34"/>
      <c r="AQ75" s="34"/>
      <c r="AR75" s="34"/>
      <c r="AS75" s="34"/>
      <c r="AT75" s="34" t="s">
        <v>156</v>
      </c>
      <c r="AU75" s="34" t="s">
        <v>156</v>
      </c>
      <c r="AV75" s="34" t="s">
        <v>156</v>
      </c>
      <c r="AW75" s="34" t="s">
        <v>156</v>
      </c>
      <c r="AX75" s="34" t="s">
        <v>156</v>
      </c>
      <c r="AY75" s="34" t="s">
        <v>156</v>
      </c>
      <c r="AZ75" s="34" t="s">
        <v>156</v>
      </c>
      <c r="BA75" s="34" t="s">
        <v>156</v>
      </c>
      <c r="BB75" s="34" t="s">
        <v>156</v>
      </c>
      <c r="BC75" s="34" t="s">
        <v>156</v>
      </c>
      <c r="BD75" s="34" t="s">
        <v>156</v>
      </c>
      <c r="BE75" s="34" t="s">
        <v>156</v>
      </c>
      <c r="BF75" s="34" t="s">
        <v>156</v>
      </c>
      <c r="BG75" s="34" t="s">
        <v>156</v>
      </c>
      <c r="BH75" s="34" t="s">
        <v>156</v>
      </c>
      <c r="BI75" s="34" t="s">
        <v>156</v>
      </c>
      <c r="BJ75" s="34" t="s">
        <v>156</v>
      </c>
      <c r="BK75" s="34" t="s">
        <v>156</v>
      </c>
      <c r="BL75" s="34" t="s">
        <v>156</v>
      </c>
      <c r="BM75" s="34" t="s">
        <v>156</v>
      </c>
      <c r="BN75" s="34" t="s">
        <v>156</v>
      </c>
      <c r="BO75" s="34" t="s">
        <v>156</v>
      </c>
      <c r="BP75" s="34" t="s">
        <v>156</v>
      </c>
      <c r="BQ75" s="34" t="s">
        <v>156</v>
      </c>
      <c r="BR75" s="44" t="e">
        <f>IF(E75&lt;#REF!,1,0)</f>
        <v>#REF!</v>
      </c>
      <c r="BS75" s="20" t="s">
        <v>157</v>
      </c>
    </row>
    <row r="76" ht="16.5" spans="1:71">
      <c r="A76" s="48"/>
      <c r="B76" s="48"/>
      <c r="C76" s="48"/>
      <c r="D76" s="48"/>
      <c r="E76" s="27"/>
      <c r="F76" s="43"/>
      <c r="G76" s="25"/>
      <c r="H76" s="25"/>
      <c r="I76" s="25"/>
      <c r="J76" s="26"/>
      <c r="K76" s="27"/>
      <c r="L76" s="27"/>
      <c r="M76" s="27"/>
      <c r="N76" s="27"/>
      <c r="O76" s="27"/>
      <c r="P76" s="21"/>
      <c r="Q76" s="29"/>
      <c r="R76" s="30"/>
      <c r="S76" s="26"/>
      <c r="T76" s="30"/>
      <c r="U76" s="30"/>
      <c r="V76" s="30"/>
      <c r="W76" s="30"/>
      <c r="X76" s="31"/>
      <c r="Y76" s="32"/>
      <c r="Z76" s="32"/>
      <c r="AA76" s="32"/>
      <c r="AB76" s="27"/>
      <c r="AC76" s="27"/>
      <c r="AD76" s="33"/>
      <c r="AE76" s="29"/>
      <c r="AF76" s="30"/>
      <c r="AG76" s="30"/>
      <c r="AH76" s="29"/>
      <c r="AI76" s="30"/>
      <c r="AJ76" s="30"/>
      <c r="AK76" s="30"/>
      <c r="AL76" s="30"/>
      <c r="AM76" s="30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44"/>
      <c r="BS76" s="20"/>
    </row>
    <row r="77" ht="16.5" spans="1:71">
      <c r="A77" s="20" t="s">
        <v>50</v>
      </c>
      <c r="B77" s="21"/>
      <c r="C77" s="21"/>
      <c r="D77" s="39" t="s">
        <v>155</v>
      </c>
      <c r="E77" s="23">
        <v>55</v>
      </c>
      <c r="F77" s="38">
        <v>79.99</v>
      </c>
      <c r="G77" s="25">
        <f t="shared" ref="G77:G100" si="68">(F77-Z77)</f>
        <v>79.99</v>
      </c>
      <c r="H77" s="25">
        <f t="shared" ref="H77:H100" si="69">(F77-Z77)/1.2</f>
        <v>66.6583333333333</v>
      </c>
      <c r="I77" s="25">
        <f t="shared" ref="I77:I100" si="70">E77-N77/Q77-AB77-Y77-O77-Z77-AA77</f>
        <v>14.50116273353</v>
      </c>
      <c r="J77" s="26">
        <f t="shared" ref="J77:J100" si="71">I77/E77</f>
        <v>0.263657504246</v>
      </c>
      <c r="K77" s="27">
        <f t="shared" ref="K77:K100" si="72">F77/1.2</f>
        <v>66.6583333333333</v>
      </c>
      <c r="L77" s="28">
        <f t="shared" ref="L77:L100" si="73">(K77-E77)/K77</f>
        <v>0.174896862107763</v>
      </c>
      <c r="M77" s="25">
        <f t="shared" ref="M77:M100" si="74">F77/1.2-E77</f>
        <v>11.6583333333333</v>
      </c>
      <c r="N77" s="27">
        <f t="shared" ref="N77:N100" si="75">AD77+AH77</f>
        <v>179.29203539823</v>
      </c>
      <c r="O77" s="27">
        <f t="shared" ref="O77:O100" si="76">IFERROR(IF(A77="UK",8.95/P77,IF(A77="DE",7.75/P77,IF(A77="FR",14.25/P77,IF(A77="IT",15.25/P77,IF(A77="ES",19.25/P77,IF(A77="NL",16.75/P77,IF(A77="PL",14.05/P77,IF(A77="SE",18.25/P77,IF(A77="BE",14.25/P77))))))))),0)</f>
        <v>2.2375</v>
      </c>
      <c r="P77" s="20">
        <v>4</v>
      </c>
      <c r="Q77" s="29">
        <v>9</v>
      </c>
      <c r="R77" s="30">
        <f t="shared" ref="R77:R100" si="77">Y77/E77</f>
        <v>0.145454545454545</v>
      </c>
      <c r="S77" s="26">
        <f t="shared" ref="S77:S80" si="78">Y77/H77</f>
        <v>0.120015001875234</v>
      </c>
      <c r="T77" s="30">
        <f t="shared" ref="T77:T100" si="79">Z77/E77</f>
        <v>0</v>
      </c>
      <c r="U77" s="30">
        <v>0.01</v>
      </c>
      <c r="V77" s="30">
        <f t="shared" ref="V77:V100" si="80">N77/(E77*Q77)</f>
        <v>0.362206132117637</v>
      </c>
      <c r="W77" s="30">
        <f t="shared" ref="W77:W100" si="81">O77/E77</f>
        <v>0.0406818181818182</v>
      </c>
      <c r="X77" s="31">
        <v>0.178</v>
      </c>
      <c r="Y77" s="32">
        <v>8</v>
      </c>
      <c r="Z77" s="32">
        <f>F77*0</f>
        <v>0</v>
      </c>
      <c r="AA77" s="32">
        <f t="shared" ref="AA77:AA100" si="82">E77*U77</f>
        <v>0.55</v>
      </c>
      <c r="AB77" s="27">
        <f t="shared" ref="AB77:AB100" si="83">E77*X77</f>
        <v>9.79</v>
      </c>
      <c r="AC77" s="27">
        <v>180</v>
      </c>
      <c r="AD77" s="33">
        <f t="shared" ref="AD77:AD100" si="84">AC77/1.13</f>
        <v>159.29203539823</v>
      </c>
      <c r="AE77" s="29">
        <f t="shared" ref="AE77:AE100" si="85">AH77/Q77</f>
        <v>2.22222222222222</v>
      </c>
      <c r="AF77" s="30">
        <f t="shared" ref="AF77:AF100" si="86">AD77/(E77*Q77)</f>
        <v>0.321802091713596</v>
      </c>
      <c r="AG77" s="30">
        <f t="shared" ref="AG77:AG100" si="87">AE77/E77</f>
        <v>0.0404040404040404</v>
      </c>
      <c r="AH77" s="29">
        <v>20</v>
      </c>
      <c r="AI77" s="30">
        <f t="shared" ref="AI77:AI87" si="88">(H77-E77+AB77)/H77</f>
        <v>0.321765220652582</v>
      </c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4" t="s">
        <v>156</v>
      </c>
      <c r="AU77" s="34" t="s">
        <v>156</v>
      </c>
      <c r="AV77" s="34" t="s">
        <v>156</v>
      </c>
      <c r="AW77" s="34" t="s">
        <v>156</v>
      </c>
      <c r="AX77" s="34" t="s">
        <v>156</v>
      </c>
      <c r="AY77" s="34" t="s">
        <v>156</v>
      </c>
      <c r="AZ77" s="34" t="s">
        <v>156</v>
      </c>
      <c r="BA77" s="34" t="s">
        <v>156</v>
      </c>
      <c r="BB77" s="34" t="s">
        <v>156</v>
      </c>
      <c r="BC77" s="34" t="s">
        <v>156</v>
      </c>
      <c r="BD77" s="34" t="s">
        <v>156</v>
      </c>
      <c r="BE77" s="34" t="s">
        <v>156</v>
      </c>
      <c r="BF77" s="34" t="s">
        <v>156</v>
      </c>
      <c r="BG77" s="34" t="s">
        <v>156</v>
      </c>
      <c r="BH77" s="34" t="s">
        <v>156</v>
      </c>
      <c r="BI77" s="34" t="s">
        <v>156</v>
      </c>
      <c r="BJ77" s="34" t="s">
        <v>156</v>
      </c>
      <c r="BK77" s="34" t="s">
        <v>156</v>
      </c>
      <c r="BL77" s="34" t="s">
        <v>156</v>
      </c>
      <c r="BM77" s="34" t="s">
        <v>156</v>
      </c>
      <c r="BN77" s="34" t="s">
        <v>156</v>
      </c>
      <c r="BO77" s="34" t="s">
        <v>156</v>
      </c>
      <c r="BP77" s="34" t="s">
        <v>156</v>
      </c>
      <c r="BQ77" s="34" t="s">
        <v>156</v>
      </c>
      <c r="BR77" s="35"/>
      <c r="BS77" s="20" t="s">
        <v>157</v>
      </c>
    </row>
    <row r="78" ht="16.5" spans="1:71">
      <c r="A78" s="20" t="s">
        <v>50</v>
      </c>
      <c r="B78" s="21"/>
      <c r="C78" s="21"/>
      <c r="D78" s="39" t="s">
        <v>158</v>
      </c>
      <c r="E78" s="23">
        <v>55</v>
      </c>
      <c r="F78" s="24">
        <v>79.99</v>
      </c>
      <c r="G78" s="25">
        <f t="shared" si="68"/>
        <v>75.9905</v>
      </c>
      <c r="H78" s="25">
        <f t="shared" si="69"/>
        <v>63.3254166666667</v>
      </c>
      <c r="I78" s="36">
        <f t="shared" si="70"/>
        <v>10.50166273353</v>
      </c>
      <c r="J78" s="26">
        <f t="shared" si="71"/>
        <v>0.190939322427818</v>
      </c>
      <c r="K78" s="27">
        <f t="shared" si="72"/>
        <v>66.6583333333333</v>
      </c>
      <c r="L78" s="28">
        <f t="shared" si="73"/>
        <v>0.174896862107763</v>
      </c>
      <c r="M78" s="25">
        <f t="shared" si="74"/>
        <v>11.6583333333333</v>
      </c>
      <c r="N78" s="27">
        <f t="shared" si="75"/>
        <v>179.29203539823</v>
      </c>
      <c r="O78" s="27">
        <f t="shared" si="76"/>
        <v>2.2375</v>
      </c>
      <c r="P78" s="21">
        <v>4</v>
      </c>
      <c r="Q78" s="29">
        <v>9</v>
      </c>
      <c r="R78" s="30">
        <f t="shared" si="77"/>
        <v>0.145454545454545</v>
      </c>
      <c r="S78" s="26">
        <f t="shared" si="78"/>
        <v>0.126331580921299</v>
      </c>
      <c r="T78" s="30">
        <f t="shared" si="79"/>
        <v>0.0727181818181818</v>
      </c>
      <c r="U78" s="30">
        <v>0.01</v>
      </c>
      <c r="V78" s="30">
        <f t="shared" si="80"/>
        <v>0.362206132117637</v>
      </c>
      <c r="W78" s="30">
        <f t="shared" si="81"/>
        <v>0.0406818181818182</v>
      </c>
      <c r="X78" s="31">
        <v>0.178</v>
      </c>
      <c r="Y78" s="32">
        <v>8</v>
      </c>
      <c r="Z78" s="32">
        <f>F78*0.05</f>
        <v>3.9995</v>
      </c>
      <c r="AA78" s="32">
        <f t="shared" si="82"/>
        <v>0.55</v>
      </c>
      <c r="AB78" s="27">
        <f t="shared" si="83"/>
        <v>9.79</v>
      </c>
      <c r="AC78" s="27">
        <v>180</v>
      </c>
      <c r="AD78" s="33">
        <f t="shared" si="84"/>
        <v>159.29203539823</v>
      </c>
      <c r="AE78" s="29">
        <f t="shared" si="85"/>
        <v>2.22222222222222</v>
      </c>
      <c r="AF78" s="30">
        <f t="shared" si="86"/>
        <v>0.321802091713596</v>
      </c>
      <c r="AG78" s="30">
        <f t="shared" si="87"/>
        <v>0.0404040404040404</v>
      </c>
      <c r="AH78" s="29">
        <v>20</v>
      </c>
      <c r="AI78" s="30">
        <f t="shared" si="88"/>
        <v>0.286068653318507</v>
      </c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4" t="s">
        <v>156</v>
      </c>
      <c r="AU78" s="34" t="s">
        <v>156</v>
      </c>
      <c r="AV78" s="34" t="s">
        <v>156</v>
      </c>
      <c r="AW78" s="34" t="s">
        <v>156</v>
      </c>
      <c r="AX78" s="34" t="s">
        <v>156</v>
      </c>
      <c r="AY78" s="34" t="s">
        <v>156</v>
      </c>
      <c r="AZ78" s="34" t="s">
        <v>156</v>
      </c>
      <c r="BA78" s="34" t="s">
        <v>156</v>
      </c>
      <c r="BB78" s="34" t="s">
        <v>156</v>
      </c>
      <c r="BC78" s="34" t="s">
        <v>156</v>
      </c>
      <c r="BD78" s="34" t="s">
        <v>156</v>
      </c>
      <c r="BE78" s="34" t="s">
        <v>156</v>
      </c>
      <c r="BF78" s="34" t="s">
        <v>156</v>
      </c>
      <c r="BG78" s="34" t="s">
        <v>156</v>
      </c>
      <c r="BH78" s="34" t="s">
        <v>156</v>
      </c>
      <c r="BI78" s="34" t="s">
        <v>156</v>
      </c>
      <c r="BJ78" s="34" t="s">
        <v>156</v>
      </c>
      <c r="BK78" s="34" t="s">
        <v>156</v>
      </c>
      <c r="BL78" s="34" t="s">
        <v>156</v>
      </c>
      <c r="BM78" s="34" t="s">
        <v>156</v>
      </c>
      <c r="BN78" s="34" t="s">
        <v>156</v>
      </c>
      <c r="BO78" s="34" t="s">
        <v>156</v>
      </c>
      <c r="BP78" s="34" t="s">
        <v>156</v>
      </c>
      <c r="BQ78" s="34" t="s">
        <v>156</v>
      </c>
      <c r="BR78" s="35"/>
      <c r="BS78" s="20" t="s">
        <v>157</v>
      </c>
    </row>
    <row r="79" ht="16.5" spans="1:71">
      <c r="A79" s="20" t="s">
        <v>50</v>
      </c>
      <c r="B79" s="21"/>
      <c r="C79" s="21"/>
      <c r="D79" s="39" t="s">
        <v>159</v>
      </c>
      <c r="E79" s="23">
        <v>55</v>
      </c>
      <c r="F79" s="24">
        <v>79.99</v>
      </c>
      <c r="G79" s="25">
        <f t="shared" si="68"/>
        <v>71.991</v>
      </c>
      <c r="H79" s="25">
        <f t="shared" si="69"/>
        <v>59.9925</v>
      </c>
      <c r="I79" s="25">
        <f t="shared" si="70"/>
        <v>6.50216273352999</v>
      </c>
      <c r="J79" s="26">
        <f t="shared" si="71"/>
        <v>0.118221140609636</v>
      </c>
      <c r="K79" s="27">
        <f t="shared" si="72"/>
        <v>66.6583333333333</v>
      </c>
      <c r="L79" s="28">
        <f t="shared" si="73"/>
        <v>0.174896862107763</v>
      </c>
      <c r="M79" s="25">
        <f t="shared" si="74"/>
        <v>11.6583333333333</v>
      </c>
      <c r="N79" s="27">
        <f t="shared" si="75"/>
        <v>179.29203539823</v>
      </c>
      <c r="O79" s="27">
        <f t="shared" si="76"/>
        <v>2.2375</v>
      </c>
      <c r="P79" s="21">
        <v>4</v>
      </c>
      <c r="Q79" s="29">
        <v>9</v>
      </c>
      <c r="R79" s="30">
        <f t="shared" si="77"/>
        <v>0.145454545454545</v>
      </c>
      <c r="S79" s="26">
        <f t="shared" si="78"/>
        <v>0.133350002083594</v>
      </c>
      <c r="T79" s="30">
        <f t="shared" si="79"/>
        <v>0.145436363636364</v>
      </c>
      <c r="U79" s="30">
        <v>0.01</v>
      </c>
      <c r="V79" s="30">
        <f t="shared" si="80"/>
        <v>0.362206132117637</v>
      </c>
      <c r="W79" s="30">
        <f t="shared" si="81"/>
        <v>0.0406818181818182</v>
      </c>
      <c r="X79" s="31">
        <v>0.178</v>
      </c>
      <c r="Y79" s="32">
        <v>8</v>
      </c>
      <c r="Z79" s="32">
        <f>F79*0.1</f>
        <v>7.999</v>
      </c>
      <c r="AA79" s="32">
        <f t="shared" si="82"/>
        <v>0.55</v>
      </c>
      <c r="AB79" s="27">
        <f t="shared" si="83"/>
        <v>9.79</v>
      </c>
      <c r="AC79" s="27">
        <v>180</v>
      </c>
      <c r="AD79" s="33">
        <f t="shared" si="84"/>
        <v>159.29203539823</v>
      </c>
      <c r="AE79" s="29">
        <f t="shared" si="85"/>
        <v>2.22222222222222</v>
      </c>
      <c r="AF79" s="30">
        <f t="shared" si="86"/>
        <v>0.321802091713596</v>
      </c>
      <c r="AG79" s="30">
        <f t="shared" si="87"/>
        <v>0.0404040404040404</v>
      </c>
      <c r="AH79" s="29">
        <v>20</v>
      </c>
      <c r="AI79" s="30">
        <f t="shared" si="88"/>
        <v>0.246405800725091</v>
      </c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4" t="s">
        <v>156</v>
      </c>
      <c r="AU79" s="34" t="s">
        <v>156</v>
      </c>
      <c r="AV79" s="34" t="s">
        <v>156</v>
      </c>
      <c r="AW79" s="34" t="s">
        <v>156</v>
      </c>
      <c r="AX79" s="34" t="s">
        <v>156</v>
      </c>
      <c r="AY79" s="34" t="s">
        <v>156</v>
      </c>
      <c r="AZ79" s="34" t="s">
        <v>156</v>
      </c>
      <c r="BA79" s="34" t="s">
        <v>156</v>
      </c>
      <c r="BB79" s="34" t="s">
        <v>156</v>
      </c>
      <c r="BC79" s="34" t="s">
        <v>156</v>
      </c>
      <c r="BD79" s="34" t="s">
        <v>156</v>
      </c>
      <c r="BE79" s="34" t="s">
        <v>156</v>
      </c>
      <c r="BF79" s="34" t="s">
        <v>156</v>
      </c>
      <c r="BG79" s="34" t="s">
        <v>156</v>
      </c>
      <c r="BH79" s="34" t="s">
        <v>156</v>
      </c>
      <c r="BI79" s="34" t="s">
        <v>156</v>
      </c>
      <c r="BJ79" s="34" t="s">
        <v>156</v>
      </c>
      <c r="BK79" s="34" t="s">
        <v>156</v>
      </c>
      <c r="BL79" s="34" t="s">
        <v>156</v>
      </c>
      <c r="BM79" s="34" t="s">
        <v>156</v>
      </c>
      <c r="BN79" s="34" t="s">
        <v>156</v>
      </c>
      <c r="BO79" s="34" t="s">
        <v>156</v>
      </c>
      <c r="BP79" s="34" t="s">
        <v>156</v>
      </c>
      <c r="BQ79" s="34" t="s">
        <v>156</v>
      </c>
      <c r="BR79" s="35"/>
      <c r="BS79" s="20" t="s">
        <v>157</v>
      </c>
    </row>
    <row r="80" ht="16.5" spans="1:71">
      <c r="A80" s="20" t="s">
        <v>50</v>
      </c>
      <c r="B80" s="21"/>
      <c r="C80" s="21"/>
      <c r="D80" s="39" t="s">
        <v>160</v>
      </c>
      <c r="E80" s="23">
        <v>55</v>
      </c>
      <c r="F80" s="24">
        <v>79.99</v>
      </c>
      <c r="G80" s="25">
        <f t="shared" si="68"/>
        <v>67.9915</v>
      </c>
      <c r="H80" s="25">
        <f t="shared" si="69"/>
        <v>56.6595833333333</v>
      </c>
      <c r="I80" s="25">
        <f t="shared" si="70"/>
        <v>2.50266273352999</v>
      </c>
      <c r="J80" s="26">
        <f t="shared" si="71"/>
        <v>0.0455029587914544</v>
      </c>
      <c r="K80" s="27">
        <f t="shared" si="72"/>
        <v>66.6583333333333</v>
      </c>
      <c r="L80" s="28">
        <f t="shared" si="73"/>
        <v>0.174896862107763</v>
      </c>
      <c r="M80" s="25">
        <f t="shared" si="74"/>
        <v>11.6583333333333</v>
      </c>
      <c r="N80" s="27">
        <f t="shared" si="75"/>
        <v>179.29203539823</v>
      </c>
      <c r="O80" s="27">
        <f t="shared" si="76"/>
        <v>2.2375</v>
      </c>
      <c r="P80" s="21">
        <v>4</v>
      </c>
      <c r="Q80" s="29">
        <v>9</v>
      </c>
      <c r="R80" s="30">
        <f t="shared" si="77"/>
        <v>0.145454545454545</v>
      </c>
      <c r="S80" s="26">
        <f t="shared" si="78"/>
        <v>0.141194119853217</v>
      </c>
      <c r="T80" s="30">
        <f t="shared" si="79"/>
        <v>0.218154545454545</v>
      </c>
      <c r="U80" s="30">
        <v>0.01</v>
      </c>
      <c r="V80" s="30">
        <f t="shared" si="80"/>
        <v>0.362206132117637</v>
      </c>
      <c r="W80" s="30">
        <f t="shared" si="81"/>
        <v>0.0406818181818182</v>
      </c>
      <c r="X80" s="31">
        <v>0.178</v>
      </c>
      <c r="Y80" s="32">
        <v>8</v>
      </c>
      <c r="Z80" s="32">
        <f>F80*0.15</f>
        <v>11.9985</v>
      </c>
      <c r="AA80" s="32">
        <f t="shared" si="82"/>
        <v>0.55</v>
      </c>
      <c r="AB80" s="27">
        <f t="shared" si="83"/>
        <v>9.79</v>
      </c>
      <c r="AC80" s="27">
        <v>180</v>
      </c>
      <c r="AD80" s="33">
        <f t="shared" si="84"/>
        <v>159.29203539823</v>
      </c>
      <c r="AE80" s="29">
        <f t="shared" si="85"/>
        <v>2.22222222222222</v>
      </c>
      <c r="AF80" s="30">
        <f t="shared" si="86"/>
        <v>0.321802091713596</v>
      </c>
      <c r="AG80" s="30">
        <f t="shared" si="87"/>
        <v>0.0404040404040404</v>
      </c>
      <c r="AH80" s="29">
        <v>20</v>
      </c>
      <c r="AI80" s="30">
        <f t="shared" si="88"/>
        <v>0.202076730179508</v>
      </c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4" t="s">
        <v>156</v>
      </c>
      <c r="AU80" s="34" t="s">
        <v>156</v>
      </c>
      <c r="AV80" s="34" t="s">
        <v>156</v>
      </c>
      <c r="AW80" s="34" t="s">
        <v>156</v>
      </c>
      <c r="AX80" s="34" t="s">
        <v>156</v>
      </c>
      <c r="AY80" s="34" t="s">
        <v>156</v>
      </c>
      <c r="AZ80" s="34" t="s">
        <v>156</v>
      </c>
      <c r="BA80" s="34" t="s">
        <v>156</v>
      </c>
      <c r="BB80" s="34" t="s">
        <v>156</v>
      </c>
      <c r="BC80" s="34" t="s">
        <v>156</v>
      </c>
      <c r="BD80" s="34" t="s">
        <v>156</v>
      </c>
      <c r="BE80" s="34" t="s">
        <v>156</v>
      </c>
      <c r="BF80" s="34" t="s">
        <v>156</v>
      </c>
      <c r="BG80" s="34" t="s">
        <v>156</v>
      </c>
      <c r="BH80" s="34" t="s">
        <v>156</v>
      </c>
      <c r="BI80" s="34" t="s">
        <v>156</v>
      </c>
      <c r="BJ80" s="34" t="s">
        <v>156</v>
      </c>
      <c r="BK80" s="34" t="s">
        <v>156</v>
      </c>
      <c r="BL80" s="34" t="s">
        <v>156</v>
      </c>
      <c r="BM80" s="34" t="s">
        <v>156</v>
      </c>
      <c r="BN80" s="34" t="s">
        <v>156</v>
      </c>
      <c r="BO80" s="34" t="s">
        <v>156</v>
      </c>
      <c r="BP80" s="34" t="s">
        <v>156</v>
      </c>
      <c r="BQ80" s="34" t="s">
        <v>156</v>
      </c>
      <c r="BR80" s="35"/>
      <c r="BS80" s="20" t="s">
        <v>157</v>
      </c>
    </row>
    <row r="81" ht="16.5" spans="1:71">
      <c r="A81" s="21" t="s">
        <v>37</v>
      </c>
      <c r="B81" s="21"/>
      <c r="C81" s="21"/>
      <c r="D81" s="37" t="s">
        <v>155</v>
      </c>
      <c r="E81" s="23">
        <v>62</v>
      </c>
      <c r="F81" s="24">
        <v>89.99</v>
      </c>
      <c r="G81" s="25">
        <f t="shared" si="68"/>
        <v>89.99</v>
      </c>
      <c r="H81" s="25">
        <f t="shared" si="69"/>
        <v>74.9916666666667</v>
      </c>
      <c r="I81" s="25">
        <f t="shared" si="70"/>
        <v>17.3749955752212</v>
      </c>
      <c r="J81" s="26">
        <f t="shared" si="71"/>
        <v>0.280241864116472</v>
      </c>
      <c r="K81" s="27">
        <f t="shared" si="72"/>
        <v>74.9916666666667</v>
      </c>
      <c r="L81" s="28">
        <f t="shared" si="73"/>
        <v>0.173241471274586</v>
      </c>
      <c r="M81" s="25">
        <f t="shared" si="74"/>
        <v>12.9916666666667</v>
      </c>
      <c r="N81" s="27">
        <f t="shared" si="75"/>
        <v>179.29203539823</v>
      </c>
      <c r="O81" s="27">
        <f t="shared" si="76"/>
        <v>1.9375</v>
      </c>
      <c r="P81" s="21">
        <v>4</v>
      </c>
      <c r="Q81" s="29">
        <v>8</v>
      </c>
      <c r="R81" s="30">
        <f t="shared" si="77"/>
        <v>0.129032258064516</v>
      </c>
      <c r="S81" s="26">
        <f t="shared" ref="S81:S100" si="89">Y81/F81</f>
        <v>0.0888987665296144</v>
      </c>
      <c r="T81" s="30">
        <f t="shared" si="79"/>
        <v>0</v>
      </c>
      <c r="U81" s="30">
        <v>0.01</v>
      </c>
      <c r="V81" s="30">
        <f t="shared" si="80"/>
        <v>0.361475877819012</v>
      </c>
      <c r="W81" s="30">
        <f t="shared" si="81"/>
        <v>0.03125</v>
      </c>
      <c r="X81" s="31">
        <v>0.188</v>
      </c>
      <c r="Y81" s="32">
        <v>8</v>
      </c>
      <c r="Z81" s="32">
        <v>0</v>
      </c>
      <c r="AA81" s="32">
        <f t="shared" si="82"/>
        <v>0.62</v>
      </c>
      <c r="AB81" s="27">
        <f t="shared" si="83"/>
        <v>11.656</v>
      </c>
      <c r="AC81" s="27">
        <v>180</v>
      </c>
      <c r="AD81" s="33">
        <f t="shared" si="84"/>
        <v>159.29203539823</v>
      </c>
      <c r="AE81" s="29">
        <f t="shared" si="85"/>
        <v>2.5</v>
      </c>
      <c r="AF81" s="30">
        <f t="shared" si="86"/>
        <v>0.321153297173851</v>
      </c>
      <c r="AG81" s="30">
        <f t="shared" si="87"/>
        <v>0.0403225806451613</v>
      </c>
      <c r="AH81" s="29">
        <v>20</v>
      </c>
      <c r="AI81" s="30">
        <f t="shared" si="88"/>
        <v>0.328672074674964</v>
      </c>
      <c r="AJ81" s="30"/>
      <c r="AK81" s="30"/>
      <c r="AL81" s="30"/>
      <c r="AM81" s="30"/>
      <c r="AN81" s="34"/>
      <c r="AO81" s="34"/>
      <c r="AP81" s="34"/>
      <c r="AQ81" s="34"/>
      <c r="AR81" s="34"/>
      <c r="AS81" s="34"/>
      <c r="AT81" s="34" t="s">
        <v>156</v>
      </c>
      <c r="AU81" s="34" t="s">
        <v>156</v>
      </c>
      <c r="AV81" s="34" t="s">
        <v>156</v>
      </c>
      <c r="AW81" s="34" t="s">
        <v>156</v>
      </c>
      <c r="AX81" s="34" t="s">
        <v>156</v>
      </c>
      <c r="AY81" s="34" t="s">
        <v>156</v>
      </c>
      <c r="AZ81" s="34" t="s">
        <v>156</v>
      </c>
      <c r="BA81" s="34" t="s">
        <v>156</v>
      </c>
      <c r="BB81" s="34" t="s">
        <v>156</v>
      </c>
      <c r="BC81" s="34" t="s">
        <v>156</v>
      </c>
      <c r="BD81" s="34" t="s">
        <v>156</v>
      </c>
      <c r="BE81" s="34" t="s">
        <v>156</v>
      </c>
      <c r="BF81" s="34" t="s">
        <v>156</v>
      </c>
      <c r="BG81" s="34" t="s">
        <v>156</v>
      </c>
      <c r="BH81" s="34" t="s">
        <v>156</v>
      </c>
      <c r="BI81" s="34" t="s">
        <v>156</v>
      </c>
      <c r="BJ81" s="34" t="s">
        <v>156</v>
      </c>
      <c r="BK81" s="34" t="s">
        <v>156</v>
      </c>
      <c r="BL81" s="34" t="s">
        <v>156</v>
      </c>
      <c r="BM81" s="34" t="s">
        <v>156</v>
      </c>
      <c r="BN81" s="34" t="s">
        <v>156</v>
      </c>
      <c r="BO81" s="34" t="s">
        <v>156</v>
      </c>
      <c r="BP81" s="34" t="s">
        <v>156</v>
      </c>
      <c r="BQ81" s="34" t="s">
        <v>156</v>
      </c>
      <c r="BR81" s="35"/>
      <c r="BS81" s="20" t="s">
        <v>157</v>
      </c>
    </row>
    <row r="82" ht="16.5" spans="1:71">
      <c r="A82" s="21" t="s">
        <v>37</v>
      </c>
      <c r="B82" s="21"/>
      <c r="C82" s="21"/>
      <c r="D82" s="39" t="s">
        <v>158</v>
      </c>
      <c r="E82" s="23">
        <v>62</v>
      </c>
      <c r="F82" s="24">
        <v>89.99</v>
      </c>
      <c r="G82" s="25">
        <f t="shared" si="68"/>
        <v>85.4905</v>
      </c>
      <c r="H82" s="25">
        <f t="shared" si="69"/>
        <v>71.2420833333333</v>
      </c>
      <c r="I82" s="36">
        <f t="shared" si="70"/>
        <v>12.8754955752212</v>
      </c>
      <c r="J82" s="26">
        <f t="shared" si="71"/>
        <v>0.20766928347131</v>
      </c>
      <c r="K82" s="27">
        <f t="shared" si="72"/>
        <v>74.9916666666667</v>
      </c>
      <c r="L82" s="28">
        <f t="shared" si="73"/>
        <v>0.173241471274586</v>
      </c>
      <c r="M82" s="25">
        <f t="shared" si="74"/>
        <v>12.9916666666667</v>
      </c>
      <c r="N82" s="27">
        <f t="shared" si="75"/>
        <v>179.29203539823</v>
      </c>
      <c r="O82" s="27">
        <f t="shared" si="76"/>
        <v>1.9375</v>
      </c>
      <c r="P82" s="21">
        <v>4</v>
      </c>
      <c r="Q82" s="29">
        <v>8</v>
      </c>
      <c r="R82" s="30">
        <f t="shared" si="77"/>
        <v>0.129032258064516</v>
      </c>
      <c r="S82" s="26">
        <f t="shared" si="89"/>
        <v>0.0888987665296144</v>
      </c>
      <c r="T82" s="30">
        <f t="shared" si="79"/>
        <v>0.0725725806451613</v>
      </c>
      <c r="U82" s="30">
        <v>0.01</v>
      </c>
      <c r="V82" s="30">
        <f t="shared" si="80"/>
        <v>0.361475877819012</v>
      </c>
      <c r="W82" s="30">
        <f t="shared" si="81"/>
        <v>0.03125</v>
      </c>
      <c r="X82" s="31">
        <v>0.188</v>
      </c>
      <c r="Y82" s="32">
        <v>8</v>
      </c>
      <c r="Z82" s="32">
        <f>F82*0.05</f>
        <v>4.4995</v>
      </c>
      <c r="AA82" s="32">
        <f t="shared" si="82"/>
        <v>0.62</v>
      </c>
      <c r="AB82" s="27">
        <f t="shared" si="83"/>
        <v>11.656</v>
      </c>
      <c r="AC82" s="27">
        <v>180</v>
      </c>
      <c r="AD82" s="33">
        <f t="shared" si="84"/>
        <v>159.29203539823</v>
      </c>
      <c r="AE82" s="29">
        <f t="shared" si="85"/>
        <v>2.5</v>
      </c>
      <c r="AF82" s="30">
        <f t="shared" si="86"/>
        <v>0.321153297173851</v>
      </c>
      <c r="AG82" s="30">
        <f t="shared" si="87"/>
        <v>0.0403225806451613</v>
      </c>
      <c r="AH82" s="29">
        <v>20</v>
      </c>
      <c r="AI82" s="30">
        <f t="shared" si="88"/>
        <v>0.293339025973646</v>
      </c>
      <c r="AJ82" s="30"/>
      <c r="AK82" s="30"/>
      <c r="AL82" s="30"/>
      <c r="AM82" s="30"/>
      <c r="AN82" s="34"/>
      <c r="AO82" s="34"/>
      <c r="AP82" s="34"/>
      <c r="AQ82" s="34"/>
      <c r="AR82" s="34"/>
      <c r="AS82" s="34"/>
      <c r="AT82" s="34" t="s">
        <v>156</v>
      </c>
      <c r="AU82" s="34" t="s">
        <v>156</v>
      </c>
      <c r="AV82" s="34" t="s">
        <v>156</v>
      </c>
      <c r="AW82" s="34" t="s">
        <v>156</v>
      </c>
      <c r="AX82" s="34" t="s">
        <v>156</v>
      </c>
      <c r="AY82" s="34" t="s">
        <v>156</v>
      </c>
      <c r="AZ82" s="34" t="s">
        <v>156</v>
      </c>
      <c r="BA82" s="34" t="s">
        <v>156</v>
      </c>
      <c r="BB82" s="34" t="s">
        <v>156</v>
      </c>
      <c r="BC82" s="34" t="s">
        <v>156</v>
      </c>
      <c r="BD82" s="34" t="s">
        <v>156</v>
      </c>
      <c r="BE82" s="34" t="s">
        <v>156</v>
      </c>
      <c r="BF82" s="34" t="s">
        <v>156</v>
      </c>
      <c r="BG82" s="34" t="s">
        <v>156</v>
      </c>
      <c r="BH82" s="34" t="s">
        <v>156</v>
      </c>
      <c r="BI82" s="34" t="s">
        <v>156</v>
      </c>
      <c r="BJ82" s="34" t="s">
        <v>156</v>
      </c>
      <c r="BK82" s="34" t="s">
        <v>156</v>
      </c>
      <c r="BL82" s="34" t="s">
        <v>156</v>
      </c>
      <c r="BM82" s="34" t="s">
        <v>156</v>
      </c>
      <c r="BN82" s="34" t="s">
        <v>156</v>
      </c>
      <c r="BO82" s="34" t="s">
        <v>156</v>
      </c>
      <c r="BP82" s="34" t="s">
        <v>156</v>
      </c>
      <c r="BQ82" s="34" t="s">
        <v>156</v>
      </c>
      <c r="BR82" s="35"/>
      <c r="BS82" s="20" t="s">
        <v>157</v>
      </c>
    </row>
    <row r="83" ht="16.5" spans="1:71">
      <c r="A83" s="21" t="s">
        <v>37</v>
      </c>
      <c r="B83" s="21"/>
      <c r="C83" s="21"/>
      <c r="D83" s="39" t="s">
        <v>159</v>
      </c>
      <c r="E83" s="23">
        <v>62</v>
      </c>
      <c r="F83" s="24">
        <v>89.99</v>
      </c>
      <c r="G83" s="25">
        <f t="shared" si="68"/>
        <v>80.991</v>
      </c>
      <c r="H83" s="25">
        <f t="shared" si="69"/>
        <v>67.4925</v>
      </c>
      <c r="I83" s="25">
        <f t="shared" si="70"/>
        <v>8.37599557522124</v>
      </c>
      <c r="J83" s="26">
        <f t="shared" si="71"/>
        <v>0.135096702826149</v>
      </c>
      <c r="K83" s="27">
        <f t="shared" si="72"/>
        <v>74.9916666666667</v>
      </c>
      <c r="L83" s="28">
        <f t="shared" si="73"/>
        <v>0.173241471274586</v>
      </c>
      <c r="M83" s="25">
        <f t="shared" si="74"/>
        <v>12.9916666666667</v>
      </c>
      <c r="N83" s="27">
        <f t="shared" si="75"/>
        <v>179.29203539823</v>
      </c>
      <c r="O83" s="27">
        <f t="shared" si="76"/>
        <v>1.9375</v>
      </c>
      <c r="P83" s="21">
        <v>4</v>
      </c>
      <c r="Q83" s="29">
        <v>8</v>
      </c>
      <c r="R83" s="30">
        <f t="shared" si="77"/>
        <v>0.129032258064516</v>
      </c>
      <c r="S83" s="26">
        <f t="shared" si="89"/>
        <v>0.0888987665296144</v>
      </c>
      <c r="T83" s="30">
        <f t="shared" si="79"/>
        <v>0.145145161290323</v>
      </c>
      <c r="U83" s="30">
        <v>0.01</v>
      </c>
      <c r="V83" s="30">
        <f t="shared" si="80"/>
        <v>0.361475877819012</v>
      </c>
      <c r="W83" s="30">
        <f t="shared" si="81"/>
        <v>0.03125</v>
      </c>
      <c r="X83" s="31">
        <v>0.188</v>
      </c>
      <c r="Y83" s="32">
        <v>8</v>
      </c>
      <c r="Z83" s="32">
        <f>F83*0.1</f>
        <v>8.999</v>
      </c>
      <c r="AA83" s="32">
        <f t="shared" si="82"/>
        <v>0.62</v>
      </c>
      <c r="AB83" s="27">
        <f t="shared" si="83"/>
        <v>11.656</v>
      </c>
      <c r="AC83" s="27">
        <v>180</v>
      </c>
      <c r="AD83" s="33">
        <f t="shared" si="84"/>
        <v>159.29203539823</v>
      </c>
      <c r="AE83" s="29">
        <f t="shared" si="85"/>
        <v>2.5</v>
      </c>
      <c r="AF83" s="30">
        <f t="shared" si="86"/>
        <v>0.321153297173851</v>
      </c>
      <c r="AG83" s="30">
        <f t="shared" si="87"/>
        <v>0.0403225806451613</v>
      </c>
      <c r="AH83" s="29">
        <v>20</v>
      </c>
      <c r="AI83" s="30">
        <f t="shared" si="88"/>
        <v>0.254080082972182</v>
      </c>
      <c r="AJ83" s="30"/>
      <c r="AK83" s="30"/>
      <c r="AL83" s="30"/>
      <c r="AM83" s="30"/>
      <c r="AN83" s="34"/>
      <c r="AO83" s="34"/>
      <c r="AP83" s="34"/>
      <c r="AQ83" s="34"/>
      <c r="AR83" s="34"/>
      <c r="AS83" s="34"/>
      <c r="AT83" s="34" t="s">
        <v>156</v>
      </c>
      <c r="AU83" s="34" t="s">
        <v>156</v>
      </c>
      <c r="AV83" s="34" t="s">
        <v>156</v>
      </c>
      <c r="AW83" s="34" t="s">
        <v>156</v>
      </c>
      <c r="AX83" s="34" t="s">
        <v>156</v>
      </c>
      <c r="AY83" s="34" t="s">
        <v>156</v>
      </c>
      <c r="AZ83" s="34" t="s">
        <v>156</v>
      </c>
      <c r="BA83" s="34" t="s">
        <v>156</v>
      </c>
      <c r="BB83" s="34" t="s">
        <v>156</v>
      </c>
      <c r="BC83" s="34" t="s">
        <v>156</v>
      </c>
      <c r="BD83" s="34" t="s">
        <v>156</v>
      </c>
      <c r="BE83" s="34" t="s">
        <v>156</v>
      </c>
      <c r="BF83" s="34" t="s">
        <v>156</v>
      </c>
      <c r="BG83" s="34" t="s">
        <v>156</v>
      </c>
      <c r="BH83" s="34" t="s">
        <v>156</v>
      </c>
      <c r="BI83" s="34" t="s">
        <v>156</v>
      </c>
      <c r="BJ83" s="34" t="s">
        <v>156</v>
      </c>
      <c r="BK83" s="34" t="s">
        <v>156</v>
      </c>
      <c r="BL83" s="34" t="s">
        <v>156</v>
      </c>
      <c r="BM83" s="34" t="s">
        <v>156</v>
      </c>
      <c r="BN83" s="34" t="s">
        <v>156</v>
      </c>
      <c r="BO83" s="34" t="s">
        <v>156</v>
      </c>
      <c r="BP83" s="34" t="s">
        <v>156</v>
      </c>
      <c r="BQ83" s="34" t="s">
        <v>156</v>
      </c>
      <c r="BR83" s="35"/>
      <c r="BS83" s="20" t="s">
        <v>157</v>
      </c>
    </row>
    <row r="84" ht="16.5" spans="1:71">
      <c r="A84" s="21" t="s">
        <v>37</v>
      </c>
      <c r="B84" s="21"/>
      <c r="C84" s="21"/>
      <c r="D84" s="37" t="s">
        <v>160</v>
      </c>
      <c r="E84" s="23">
        <v>62</v>
      </c>
      <c r="F84" s="24">
        <v>89.99</v>
      </c>
      <c r="G84" s="25">
        <f t="shared" si="68"/>
        <v>76.4915</v>
      </c>
      <c r="H84" s="25">
        <f t="shared" si="69"/>
        <v>63.7429166666667</v>
      </c>
      <c r="I84" s="25">
        <f t="shared" si="70"/>
        <v>3.87649557522124</v>
      </c>
      <c r="J84" s="26">
        <f t="shared" si="71"/>
        <v>0.0625241221809878</v>
      </c>
      <c r="K84" s="27">
        <f t="shared" si="72"/>
        <v>74.9916666666667</v>
      </c>
      <c r="L84" s="28">
        <f t="shared" si="73"/>
        <v>0.173241471274586</v>
      </c>
      <c r="M84" s="25">
        <f t="shared" si="74"/>
        <v>12.9916666666667</v>
      </c>
      <c r="N84" s="27">
        <f t="shared" si="75"/>
        <v>179.29203539823</v>
      </c>
      <c r="O84" s="27">
        <f t="shared" si="76"/>
        <v>1.9375</v>
      </c>
      <c r="P84" s="21">
        <v>4</v>
      </c>
      <c r="Q84" s="29">
        <v>8</v>
      </c>
      <c r="R84" s="30">
        <f t="shared" si="77"/>
        <v>0.129032258064516</v>
      </c>
      <c r="S84" s="26">
        <f t="shared" si="89"/>
        <v>0.0888987665296144</v>
      </c>
      <c r="T84" s="30">
        <f t="shared" si="79"/>
        <v>0.217717741935484</v>
      </c>
      <c r="U84" s="30">
        <v>0.01</v>
      </c>
      <c r="V84" s="30">
        <f t="shared" si="80"/>
        <v>0.361475877819012</v>
      </c>
      <c r="W84" s="30">
        <f t="shared" si="81"/>
        <v>0.03125</v>
      </c>
      <c r="X84" s="31">
        <v>0.188</v>
      </c>
      <c r="Y84" s="32">
        <v>8</v>
      </c>
      <c r="Z84" s="32">
        <f>F84*0.15</f>
        <v>13.4985</v>
      </c>
      <c r="AA84" s="32">
        <f t="shared" si="82"/>
        <v>0.62</v>
      </c>
      <c r="AB84" s="27">
        <f t="shared" si="83"/>
        <v>11.656</v>
      </c>
      <c r="AC84" s="27">
        <v>180</v>
      </c>
      <c r="AD84" s="33">
        <f t="shared" si="84"/>
        <v>159.29203539823</v>
      </c>
      <c r="AE84" s="29">
        <f t="shared" si="85"/>
        <v>2.5</v>
      </c>
      <c r="AF84" s="30">
        <f t="shared" si="86"/>
        <v>0.321153297173851</v>
      </c>
      <c r="AG84" s="30">
        <f t="shared" si="87"/>
        <v>0.0403225806451613</v>
      </c>
      <c r="AH84" s="29">
        <v>20</v>
      </c>
      <c r="AI84" s="30">
        <f t="shared" si="88"/>
        <v>0.210202440794075</v>
      </c>
      <c r="AJ84" s="30"/>
      <c r="AK84" s="30"/>
      <c r="AL84" s="30"/>
      <c r="AM84" s="30"/>
      <c r="AN84" s="34"/>
      <c r="AO84" s="34"/>
      <c r="AP84" s="34"/>
      <c r="AQ84" s="34"/>
      <c r="AR84" s="34"/>
      <c r="AS84" s="34"/>
      <c r="AT84" s="34" t="s">
        <v>156</v>
      </c>
      <c r="AU84" s="34" t="s">
        <v>156</v>
      </c>
      <c r="AV84" s="34" t="s">
        <v>156</v>
      </c>
      <c r="AW84" s="34" t="s">
        <v>156</v>
      </c>
      <c r="AX84" s="34" t="s">
        <v>156</v>
      </c>
      <c r="AY84" s="34" t="s">
        <v>156</v>
      </c>
      <c r="AZ84" s="34" t="s">
        <v>156</v>
      </c>
      <c r="BA84" s="34" t="s">
        <v>156</v>
      </c>
      <c r="BB84" s="34" t="s">
        <v>156</v>
      </c>
      <c r="BC84" s="34" t="s">
        <v>156</v>
      </c>
      <c r="BD84" s="34" t="s">
        <v>156</v>
      </c>
      <c r="BE84" s="34" t="s">
        <v>156</v>
      </c>
      <c r="BF84" s="34" t="s">
        <v>156</v>
      </c>
      <c r="BG84" s="34" t="s">
        <v>156</v>
      </c>
      <c r="BH84" s="34" t="s">
        <v>156</v>
      </c>
      <c r="BI84" s="34" t="s">
        <v>156</v>
      </c>
      <c r="BJ84" s="34" t="s">
        <v>156</v>
      </c>
      <c r="BK84" s="34" t="s">
        <v>156</v>
      </c>
      <c r="BL84" s="34" t="s">
        <v>156</v>
      </c>
      <c r="BM84" s="34" t="s">
        <v>156</v>
      </c>
      <c r="BN84" s="34" t="s">
        <v>156</v>
      </c>
      <c r="BO84" s="34" t="s">
        <v>156</v>
      </c>
      <c r="BP84" s="34" t="s">
        <v>156</v>
      </c>
      <c r="BQ84" s="34" t="s">
        <v>156</v>
      </c>
      <c r="BR84" s="35"/>
      <c r="BS84" s="20" t="s">
        <v>157</v>
      </c>
    </row>
    <row r="85" ht="16.5" spans="1:71">
      <c r="A85" s="21" t="s">
        <v>43</v>
      </c>
      <c r="B85" s="21"/>
      <c r="C85" s="21"/>
      <c r="D85" s="37" t="s">
        <v>155</v>
      </c>
      <c r="E85" s="23">
        <v>62</v>
      </c>
      <c r="F85" s="24">
        <v>89.99</v>
      </c>
      <c r="G85" s="25">
        <f t="shared" si="68"/>
        <v>89.99</v>
      </c>
      <c r="H85" s="25">
        <f t="shared" si="69"/>
        <v>74.9916666666667</v>
      </c>
      <c r="I85" s="25">
        <f t="shared" si="70"/>
        <v>15.7499955752212</v>
      </c>
      <c r="J85" s="26">
        <f t="shared" si="71"/>
        <v>0.254032186697117</v>
      </c>
      <c r="K85" s="27">
        <f t="shared" si="72"/>
        <v>74.9916666666667</v>
      </c>
      <c r="L85" s="28">
        <f t="shared" si="73"/>
        <v>0.173241471274586</v>
      </c>
      <c r="M85" s="25">
        <f t="shared" si="74"/>
        <v>12.9916666666667</v>
      </c>
      <c r="N85" s="27">
        <f t="shared" si="75"/>
        <v>179.29203539823</v>
      </c>
      <c r="O85" s="27">
        <f t="shared" si="76"/>
        <v>3.5625</v>
      </c>
      <c r="P85" s="21">
        <v>4</v>
      </c>
      <c r="Q85" s="29">
        <v>8</v>
      </c>
      <c r="R85" s="30">
        <f t="shared" si="77"/>
        <v>0.129032258064516</v>
      </c>
      <c r="S85" s="26">
        <f t="shared" si="89"/>
        <v>0.0888987665296144</v>
      </c>
      <c r="T85" s="30">
        <f t="shared" si="79"/>
        <v>0</v>
      </c>
      <c r="U85" s="30">
        <v>0.01</v>
      </c>
      <c r="V85" s="30">
        <f t="shared" si="80"/>
        <v>0.361475877819012</v>
      </c>
      <c r="W85" s="30">
        <f t="shared" si="81"/>
        <v>0.0574596774193548</v>
      </c>
      <c r="X85" s="31">
        <v>0.188</v>
      </c>
      <c r="Y85" s="32">
        <v>8</v>
      </c>
      <c r="Z85" s="32">
        <v>0</v>
      </c>
      <c r="AA85" s="32">
        <f t="shared" si="82"/>
        <v>0.62</v>
      </c>
      <c r="AB85" s="27">
        <f t="shared" si="83"/>
        <v>11.656</v>
      </c>
      <c r="AC85" s="27">
        <v>180</v>
      </c>
      <c r="AD85" s="33">
        <f t="shared" si="84"/>
        <v>159.29203539823</v>
      </c>
      <c r="AE85" s="29">
        <f t="shared" si="85"/>
        <v>2.5</v>
      </c>
      <c r="AF85" s="30">
        <f t="shared" si="86"/>
        <v>0.321153297173851</v>
      </c>
      <c r="AG85" s="30">
        <f t="shared" si="87"/>
        <v>0.0403225806451613</v>
      </c>
      <c r="AH85" s="29">
        <v>20</v>
      </c>
      <c r="AI85" s="30">
        <f t="shared" si="88"/>
        <v>0.328672074674964</v>
      </c>
      <c r="AJ85" s="30"/>
      <c r="AK85" s="30"/>
      <c r="AL85" s="30"/>
      <c r="AM85" s="30"/>
      <c r="AN85" s="34"/>
      <c r="AO85" s="34"/>
      <c r="AP85" s="34"/>
      <c r="AQ85" s="34"/>
      <c r="AR85" s="34"/>
      <c r="AS85" s="34"/>
      <c r="AT85" s="34" t="s">
        <v>156</v>
      </c>
      <c r="AU85" s="34" t="s">
        <v>156</v>
      </c>
      <c r="AV85" s="34" t="s">
        <v>156</v>
      </c>
      <c r="AW85" s="34" t="s">
        <v>156</v>
      </c>
      <c r="AX85" s="34" t="s">
        <v>156</v>
      </c>
      <c r="AY85" s="34" t="s">
        <v>156</v>
      </c>
      <c r="AZ85" s="34" t="s">
        <v>156</v>
      </c>
      <c r="BA85" s="34" t="s">
        <v>156</v>
      </c>
      <c r="BB85" s="34" t="s">
        <v>156</v>
      </c>
      <c r="BC85" s="34" t="s">
        <v>156</v>
      </c>
      <c r="BD85" s="34" t="s">
        <v>156</v>
      </c>
      <c r="BE85" s="34" t="s">
        <v>156</v>
      </c>
      <c r="BF85" s="34" t="s">
        <v>156</v>
      </c>
      <c r="BG85" s="34" t="s">
        <v>156</v>
      </c>
      <c r="BH85" s="34" t="s">
        <v>156</v>
      </c>
      <c r="BI85" s="34" t="s">
        <v>156</v>
      </c>
      <c r="BJ85" s="34" t="s">
        <v>156</v>
      </c>
      <c r="BK85" s="34" t="s">
        <v>156</v>
      </c>
      <c r="BL85" s="34" t="s">
        <v>156</v>
      </c>
      <c r="BM85" s="34" t="s">
        <v>156</v>
      </c>
      <c r="BN85" s="34" t="s">
        <v>156</v>
      </c>
      <c r="BO85" s="34" t="s">
        <v>156</v>
      </c>
      <c r="BP85" s="34" t="s">
        <v>156</v>
      </c>
      <c r="BQ85" s="34" t="s">
        <v>156</v>
      </c>
      <c r="BR85" s="35"/>
      <c r="BS85" s="20" t="s">
        <v>157</v>
      </c>
    </row>
    <row r="86" ht="16.5" spans="1:71">
      <c r="A86" s="21" t="s">
        <v>43</v>
      </c>
      <c r="B86" s="21"/>
      <c r="C86" s="21"/>
      <c r="D86" s="39" t="s">
        <v>158</v>
      </c>
      <c r="E86" s="23">
        <v>62</v>
      </c>
      <c r="F86" s="24">
        <v>89.99</v>
      </c>
      <c r="G86" s="25">
        <f t="shared" si="68"/>
        <v>85.4905</v>
      </c>
      <c r="H86" s="25">
        <f t="shared" si="69"/>
        <v>71.2420833333333</v>
      </c>
      <c r="I86" s="36">
        <f t="shared" si="70"/>
        <v>11.2504955752212</v>
      </c>
      <c r="J86" s="26">
        <f t="shared" si="71"/>
        <v>0.181459606051955</v>
      </c>
      <c r="K86" s="27">
        <f t="shared" si="72"/>
        <v>74.9916666666667</v>
      </c>
      <c r="L86" s="28">
        <f t="shared" si="73"/>
        <v>0.173241471274586</v>
      </c>
      <c r="M86" s="25">
        <f t="shared" si="74"/>
        <v>12.9916666666667</v>
      </c>
      <c r="N86" s="27">
        <f t="shared" si="75"/>
        <v>179.29203539823</v>
      </c>
      <c r="O86" s="27">
        <f t="shared" si="76"/>
        <v>3.5625</v>
      </c>
      <c r="P86" s="21">
        <v>4</v>
      </c>
      <c r="Q86" s="29">
        <v>8</v>
      </c>
      <c r="R86" s="30">
        <f t="shared" si="77"/>
        <v>0.129032258064516</v>
      </c>
      <c r="S86" s="26">
        <f t="shared" si="89"/>
        <v>0.0888987665296144</v>
      </c>
      <c r="T86" s="30">
        <f t="shared" si="79"/>
        <v>0.0725725806451613</v>
      </c>
      <c r="U86" s="30">
        <v>0.01</v>
      </c>
      <c r="V86" s="30">
        <f t="shared" si="80"/>
        <v>0.361475877819012</v>
      </c>
      <c r="W86" s="30">
        <f t="shared" si="81"/>
        <v>0.0574596774193548</v>
      </c>
      <c r="X86" s="31">
        <v>0.188</v>
      </c>
      <c r="Y86" s="32">
        <v>8</v>
      </c>
      <c r="Z86" s="32">
        <f>F86*0.05</f>
        <v>4.4995</v>
      </c>
      <c r="AA86" s="32">
        <f t="shared" si="82"/>
        <v>0.62</v>
      </c>
      <c r="AB86" s="27">
        <f t="shared" si="83"/>
        <v>11.656</v>
      </c>
      <c r="AC86" s="27">
        <v>180</v>
      </c>
      <c r="AD86" s="33">
        <f t="shared" si="84"/>
        <v>159.29203539823</v>
      </c>
      <c r="AE86" s="29">
        <f t="shared" si="85"/>
        <v>2.5</v>
      </c>
      <c r="AF86" s="30">
        <f t="shared" si="86"/>
        <v>0.321153297173851</v>
      </c>
      <c r="AG86" s="30">
        <f t="shared" si="87"/>
        <v>0.0403225806451613</v>
      </c>
      <c r="AH86" s="29">
        <v>20</v>
      </c>
      <c r="AI86" s="30">
        <f t="shared" si="88"/>
        <v>0.293339025973646</v>
      </c>
      <c r="AJ86" s="30"/>
      <c r="AK86" s="30"/>
      <c r="AL86" s="30"/>
      <c r="AM86" s="30"/>
      <c r="AN86" s="34"/>
      <c r="AO86" s="34"/>
      <c r="AP86" s="34"/>
      <c r="AQ86" s="34"/>
      <c r="AR86" s="34"/>
      <c r="AS86" s="34"/>
      <c r="AT86" s="34" t="s">
        <v>156</v>
      </c>
      <c r="AU86" s="34" t="s">
        <v>156</v>
      </c>
      <c r="AV86" s="34" t="s">
        <v>156</v>
      </c>
      <c r="AW86" s="34" t="s">
        <v>156</v>
      </c>
      <c r="AX86" s="34" t="s">
        <v>156</v>
      </c>
      <c r="AY86" s="34" t="s">
        <v>156</v>
      </c>
      <c r="AZ86" s="34" t="s">
        <v>156</v>
      </c>
      <c r="BA86" s="34" t="s">
        <v>156</v>
      </c>
      <c r="BB86" s="34" t="s">
        <v>156</v>
      </c>
      <c r="BC86" s="34" t="s">
        <v>156</v>
      </c>
      <c r="BD86" s="34" t="s">
        <v>156</v>
      </c>
      <c r="BE86" s="34" t="s">
        <v>156</v>
      </c>
      <c r="BF86" s="34" t="s">
        <v>156</v>
      </c>
      <c r="BG86" s="34" t="s">
        <v>156</v>
      </c>
      <c r="BH86" s="34" t="s">
        <v>156</v>
      </c>
      <c r="BI86" s="34" t="s">
        <v>156</v>
      </c>
      <c r="BJ86" s="34" t="s">
        <v>156</v>
      </c>
      <c r="BK86" s="34" t="s">
        <v>156</v>
      </c>
      <c r="BL86" s="34" t="s">
        <v>156</v>
      </c>
      <c r="BM86" s="34" t="s">
        <v>156</v>
      </c>
      <c r="BN86" s="34" t="s">
        <v>156</v>
      </c>
      <c r="BO86" s="34" t="s">
        <v>156</v>
      </c>
      <c r="BP86" s="34" t="s">
        <v>156</v>
      </c>
      <c r="BQ86" s="34" t="s">
        <v>156</v>
      </c>
      <c r="BR86" s="35"/>
      <c r="BS86" s="20" t="s">
        <v>157</v>
      </c>
    </row>
    <row r="87" ht="16.5" spans="1:71">
      <c r="A87" s="21" t="s">
        <v>43</v>
      </c>
      <c r="B87" s="21"/>
      <c r="C87" s="21"/>
      <c r="D87" s="39" t="s">
        <v>159</v>
      </c>
      <c r="E87" s="23">
        <v>62</v>
      </c>
      <c r="F87" s="24">
        <v>89.99</v>
      </c>
      <c r="G87" s="25">
        <f t="shared" si="68"/>
        <v>80.991</v>
      </c>
      <c r="H87" s="25">
        <f t="shared" si="69"/>
        <v>67.4925</v>
      </c>
      <c r="I87" s="25">
        <f t="shared" si="70"/>
        <v>6.75099557522124</v>
      </c>
      <c r="J87" s="26">
        <f t="shared" si="71"/>
        <v>0.108887025406794</v>
      </c>
      <c r="K87" s="27">
        <f t="shared" si="72"/>
        <v>74.9916666666667</v>
      </c>
      <c r="L87" s="28">
        <f t="shared" si="73"/>
        <v>0.173241471274586</v>
      </c>
      <c r="M87" s="25">
        <f t="shared" si="74"/>
        <v>12.9916666666667</v>
      </c>
      <c r="N87" s="27">
        <f t="shared" si="75"/>
        <v>179.29203539823</v>
      </c>
      <c r="O87" s="27">
        <f t="shared" si="76"/>
        <v>3.5625</v>
      </c>
      <c r="P87" s="21">
        <v>4</v>
      </c>
      <c r="Q87" s="29">
        <v>8</v>
      </c>
      <c r="R87" s="30">
        <f t="shared" si="77"/>
        <v>0.129032258064516</v>
      </c>
      <c r="S87" s="26">
        <f t="shared" si="89"/>
        <v>0.0888987665296144</v>
      </c>
      <c r="T87" s="30">
        <f t="shared" si="79"/>
        <v>0.145145161290323</v>
      </c>
      <c r="U87" s="30">
        <v>0.01</v>
      </c>
      <c r="V87" s="30">
        <f t="shared" si="80"/>
        <v>0.361475877819012</v>
      </c>
      <c r="W87" s="30">
        <f t="shared" si="81"/>
        <v>0.0574596774193548</v>
      </c>
      <c r="X87" s="31">
        <v>0.188</v>
      </c>
      <c r="Y87" s="32">
        <v>8</v>
      </c>
      <c r="Z87" s="32">
        <f>F87*0.1</f>
        <v>8.999</v>
      </c>
      <c r="AA87" s="32">
        <f t="shared" si="82"/>
        <v>0.62</v>
      </c>
      <c r="AB87" s="27">
        <f t="shared" si="83"/>
        <v>11.656</v>
      </c>
      <c r="AC87" s="27">
        <v>180</v>
      </c>
      <c r="AD87" s="33">
        <f t="shared" si="84"/>
        <v>159.29203539823</v>
      </c>
      <c r="AE87" s="29">
        <f t="shared" si="85"/>
        <v>2.5</v>
      </c>
      <c r="AF87" s="30">
        <f t="shared" si="86"/>
        <v>0.321153297173851</v>
      </c>
      <c r="AG87" s="30">
        <f t="shared" si="87"/>
        <v>0.0403225806451613</v>
      </c>
      <c r="AH87" s="29">
        <v>20</v>
      </c>
      <c r="AI87" s="30">
        <f t="shared" si="88"/>
        <v>0.254080082972182</v>
      </c>
      <c r="AJ87" s="30"/>
      <c r="AK87" s="30"/>
      <c r="AL87" s="30"/>
      <c r="AM87" s="30"/>
      <c r="AN87" s="34"/>
      <c r="AO87" s="34"/>
      <c r="AP87" s="34"/>
      <c r="AQ87" s="34"/>
      <c r="AR87" s="34"/>
      <c r="AS87" s="34"/>
      <c r="AT87" s="34" t="s">
        <v>156</v>
      </c>
      <c r="AU87" s="34" t="s">
        <v>156</v>
      </c>
      <c r="AV87" s="34" t="s">
        <v>156</v>
      </c>
      <c r="AW87" s="34" t="s">
        <v>156</v>
      </c>
      <c r="AX87" s="34" t="s">
        <v>156</v>
      </c>
      <c r="AY87" s="34" t="s">
        <v>156</v>
      </c>
      <c r="AZ87" s="34" t="s">
        <v>156</v>
      </c>
      <c r="BA87" s="34" t="s">
        <v>156</v>
      </c>
      <c r="BB87" s="34" t="s">
        <v>156</v>
      </c>
      <c r="BC87" s="34" t="s">
        <v>156</v>
      </c>
      <c r="BD87" s="34" t="s">
        <v>156</v>
      </c>
      <c r="BE87" s="34" t="s">
        <v>156</v>
      </c>
      <c r="BF87" s="34" t="s">
        <v>156</v>
      </c>
      <c r="BG87" s="34" t="s">
        <v>156</v>
      </c>
      <c r="BH87" s="34" t="s">
        <v>156</v>
      </c>
      <c r="BI87" s="34" t="s">
        <v>156</v>
      </c>
      <c r="BJ87" s="34" t="s">
        <v>156</v>
      </c>
      <c r="BK87" s="34" t="s">
        <v>156</v>
      </c>
      <c r="BL87" s="34" t="s">
        <v>156</v>
      </c>
      <c r="BM87" s="34" t="s">
        <v>156</v>
      </c>
      <c r="BN87" s="34" t="s">
        <v>156</v>
      </c>
      <c r="BO87" s="34" t="s">
        <v>156</v>
      </c>
      <c r="BP87" s="34" t="s">
        <v>156</v>
      </c>
      <c r="BQ87" s="34" t="s">
        <v>156</v>
      </c>
      <c r="BR87" s="35"/>
      <c r="BS87" s="20" t="s">
        <v>157</v>
      </c>
    </row>
    <row r="88" ht="16.5" spans="1:71">
      <c r="A88" s="21" t="s">
        <v>43</v>
      </c>
      <c r="B88" s="21"/>
      <c r="C88" s="21"/>
      <c r="D88" s="37" t="s">
        <v>160</v>
      </c>
      <c r="E88" s="23">
        <v>62</v>
      </c>
      <c r="F88" s="24">
        <v>89.99</v>
      </c>
      <c r="G88" s="25">
        <f t="shared" si="68"/>
        <v>76.4915</v>
      </c>
      <c r="H88" s="25">
        <f t="shared" si="69"/>
        <v>63.7429166666667</v>
      </c>
      <c r="I88" s="25">
        <f t="shared" si="70"/>
        <v>2.25149557522124</v>
      </c>
      <c r="J88" s="26">
        <f t="shared" si="71"/>
        <v>0.0363144447616329</v>
      </c>
      <c r="K88" s="27">
        <f t="shared" si="72"/>
        <v>74.9916666666667</v>
      </c>
      <c r="L88" s="28">
        <f t="shared" si="73"/>
        <v>0.173241471274586</v>
      </c>
      <c r="M88" s="25">
        <f t="shared" si="74"/>
        <v>12.9916666666667</v>
      </c>
      <c r="N88" s="27">
        <f t="shared" si="75"/>
        <v>179.29203539823</v>
      </c>
      <c r="O88" s="27">
        <f t="shared" si="76"/>
        <v>3.5625</v>
      </c>
      <c r="P88" s="21">
        <v>4</v>
      </c>
      <c r="Q88" s="29">
        <v>8</v>
      </c>
      <c r="R88" s="30">
        <f t="shared" si="77"/>
        <v>0.129032258064516</v>
      </c>
      <c r="S88" s="26">
        <f t="shared" si="89"/>
        <v>0.0888987665296144</v>
      </c>
      <c r="T88" s="30">
        <f t="shared" si="79"/>
        <v>0.217717741935484</v>
      </c>
      <c r="U88" s="30">
        <v>0.01</v>
      </c>
      <c r="V88" s="30">
        <f t="shared" si="80"/>
        <v>0.361475877819012</v>
      </c>
      <c r="W88" s="30">
        <f t="shared" si="81"/>
        <v>0.0574596774193548</v>
      </c>
      <c r="X88" s="31">
        <v>0.188</v>
      </c>
      <c r="Y88" s="32">
        <v>8</v>
      </c>
      <c r="Z88" s="32">
        <f>F88*0.15</f>
        <v>13.4985</v>
      </c>
      <c r="AA88" s="32">
        <f t="shared" si="82"/>
        <v>0.62</v>
      </c>
      <c r="AB88" s="27">
        <f t="shared" si="83"/>
        <v>11.656</v>
      </c>
      <c r="AC88" s="27">
        <v>180</v>
      </c>
      <c r="AD88" s="33">
        <f t="shared" si="84"/>
        <v>159.29203539823</v>
      </c>
      <c r="AE88" s="29">
        <f t="shared" si="85"/>
        <v>2.5</v>
      </c>
      <c r="AF88" s="30">
        <f t="shared" si="86"/>
        <v>0.321153297173851</v>
      </c>
      <c r="AG88" s="30">
        <f t="shared" si="87"/>
        <v>0.0403225806451613</v>
      </c>
      <c r="AH88" s="29">
        <v>20</v>
      </c>
      <c r="AI88" s="30">
        <f t="shared" ref="AI88:AI100" si="90">(K88-E88+AB88)/(K88-Z88)</f>
        <v>0.400819603262151</v>
      </c>
      <c r="AJ88" s="30"/>
      <c r="AK88" s="30"/>
      <c r="AL88" s="30"/>
      <c r="AM88" s="30"/>
      <c r="AN88" s="34"/>
      <c r="AO88" s="34"/>
      <c r="AP88" s="34"/>
      <c r="AQ88" s="34"/>
      <c r="AR88" s="34"/>
      <c r="AS88" s="34"/>
      <c r="AT88" s="34" t="s">
        <v>156</v>
      </c>
      <c r="AU88" s="34" t="s">
        <v>156</v>
      </c>
      <c r="AV88" s="34" t="s">
        <v>156</v>
      </c>
      <c r="AW88" s="34" t="s">
        <v>156</v>
      </c>
      <c r="AX88" s="34" t="s">
        <v>156</v>
      </c>
      <c r="AY88" s="34" t="s">
        <v>156</v>
      </c>
      <c r="AZ88" s="34" t="s">
        <v>156</v>
      </c>
      <c r="BA88" s="34" t="s">
        <v>156</v>
      </c>
      <c r="BB88" s="34" t="s">
        <v>156</v>
      </c>
      <c r="BC88" s="34" t="s">
        <v>156</v>
      </c>
      <c r="BD88" s="34" t="s">
        <v>156</v>
      </c>
      <c r="BE88" s="34" t="s">
        <v>156</v>
      </c>
      <c r="BF88" s="34" t="s">
        <v>156</v>
      </c>
      <c r="BG88" s="34" t="s">
        <v>156</v>
      </c>
      <c r="BH88" s="34" t="s">
        <v>156</v>
      </c>
      <c r="BI88" s="34" t="s">
        <v>156</v>
      </c>
      <c r="BJ88" s="34" t="s">
        <v>156</v>
      </c>
      <c r="BK88" s="34" t="s">
        <v>156</v>
      </c>
      <c r="BL88" s="34" t="s">
        <v>156</v>
      </c>
      <c r="BM88" s="34" t="s">
        <v>156</v>
      </c>
      <c r="BN88" s="34" t="s">
        <v>156</v>
      </c>
      <c r="BO88" s="34" t="s">
        <v>156</v>
      </c>
      <c r="BP88" s="34" t="s">
        <v>156</v>
      </c>
      <c r="BQ88" s="34" t="s">
        <v>156</v>
      </c>
      <c r="BR88" s="35"/>
      <c r="BS88" s="20" t="s">
        <v>157</v>
      </c>
    </row>
    <row r="89" ht="16.5" spans="1:71">
      <c r="A89" s="21" t="s">
        <v>45</v>
      </c>
      <c r="B89" s="21"/>
      <c r="C89" s="21"/>
      <c r="D89" s="37" t="s">
        <v>155</v>
      </c>
      <c r="E89" s="23">
        <v>62</v>
      </c>
      <c r="F89" s="24">
        <v>89.99</v>
      </c>
      <c r="G89" s="25">
        <f t="shared" si="68"/>
        <v>89.99</v>
      </c>
      <c r="H89" s="25">
        <f t="shared" si="69"/>
        <v>74.9916666666667</v>
      </c>
      <c r="I89" s="25">
        <f t="shared" si="70"/>
        <v>15.4999955752212</v>
      </c>
      <c r="J89" s="26">
        <f t="shared" si="71"/>
        <v>0.249999928632601</v>
      </c>
      <c r="K89" s="27">
        <f t="shared" si="72"/>
        <v>74.9916666666667</v>
      </c>
      <c r="L89" s="28">
        <f t="shared" si="73"/>
        <v>0.173241471274586</v>
      </c>
      <c r="M89" s="25">
        <f t="shared" si="74"/>
        <v>12.9916666666667</v>
      </c>
      <c r="N89" s="27">
        <f t="shared" si="75"/>
        <v>179.29203539823</v>
      </c>
      <c r="O89" s="27">
        <f t="shared" si="76"/>
        <v>3.8125</v>
      </c>
      <c r="P89" s="21">
        <v>4</v>
      </c>
      <c r="Q89" s="29">
        <v>8</v>
      </c>
      <c r="R89" s="30">
        <f t="shared" si="77"/>
        <v>0.129032258064516</v>
      </c>
      <c r="S89" s="26">
        <f t="shared" si="89"/>
        <v>0.0888987665296144</v>
      </c>
      <c r="T89" s="30">
        <f t="shared" si="79"/>
        <v>0</v>
      </c>
      <c r="U89" s="30">
        <v>0.01</v>
      </c>
      <c r="V89" s="30">
        <f t="shared" si="80"/>
        <v>0.361475877819012</v>
      </c>
      <c r="W89" s="30">
        <f t="shared" si="81"/>
        <v>0.061491935483871</v>
      </c>
      <c r="X89" s="31">
        <v>0.188</v>
      </c>
      <c r="Y89" s="32">
        <v>8</v>
      </c>
      <c r="Z89" s="32">
        <v>0</v>
      </c>
      <c r="AA89" s="32">
        <f t="shared" si="82"/>
        <v>0.62</v>
      </c>
      <c r="AB89" s="27">
        <f t="shared" si="83"/>
        <v>11.656</v>
      </c>
      <c r="AC89" s="27">
        <v>180</v>
      </c>
      <c r="AD89" s="33">
        <f t="shared" si="84"/>
        <v>159.29203539823</v>
      </c>
      <c r="AE89" s="29">
        <f t="shared" si="85"/>
        <v>2.5</v>
      </c>
      <c r="AF89" s="30">
        <f t="shared" si="86"/>
        <v>0.321153297173851</v>
      </c>
      <c r="AG89" s="30">
        <f t="shared" si="87"/>
        <v>0.0403225806451613</v>
      </c>
      <c r="AH89" s="29">
        <v>20</v>
      </c>
      <c r="AI89" s="26">
        <f t="shared" si="90"/>
        <v>0.328672074674964</v>
      </c>
      <c r="AJ89" s="26"/>
      <c r="AK89" s="26"/>
      <c r="AL89" s="26"/>
      <c r="AM89" s="26"/>
      <c r="AN89" s="34"/>
      <c r="AO89" s="34"/>
      <c r="AP89" s="34"/>
      <c r="AQ89" s="34"/>
      <c r="AR89" s="34"/>
      <c r="AS89" s="34"/>
      <c r="AT89" s="34" t="s">
        <v>156</v>
      </c>
      <c r="AU89" s="34" t="s">
        <v>156</v>
      </c>
      <c r="AV89" s="34" t="s">
        <v>156</v>
      </c>
      <c r="AW89" s="34" t="s">
        <v>156</v>
      </c>
      <c r="AX89" s="34" t="s">
        <v>156</v>
      </c>
      <c r="AY89" s="34" t="s">
        <v>156</v>
      </c>
      <c r="AZ89" s="34" t="s">
        <v>156</v>
      </c>
      <c r="BA89" s="34" t="s">
        <v>156</v>
      </c>
      <c r="BB89" s="34" t="s">
        <v>156</v>
      </c>
      <c r="BC89" s="34" t="s">
        <v>156</v>
      </c>
      <c r="BD89" s="34" t="s">
        <v>156</v>
      </c>
      <c r="BE89" s="34" t="s">
        <v>156</v>
      </c>
      <c r="BF89" s="34" t="s">
        <v>156</v>
      </c>
      <c r="BG89" s="34" t="s">
        <v>156</v>
      </c>
      <c r="BH89" s="34" t="s">
        <v>156</v>
      </c>
      <c r="BI89" s="34" t="s">
        <v>156</v>
      </c>
      <c r="BJ89" s="34" t="s">
        <v>156</v>
      </c>
      <c r="BK89" s="34" t="s">
        <v>156</v>
      </c>
      <c r="BL89" s="34" t="s">
        <v>156</v>
      </c>
      <c r="BM89" s="34" t="s">
        <v>156</v>
      </c>
      <c r="BN89" s="34" t="s">
        <v>156</v>
      </c>
      <c r="BO89" s="34" t="s">
        <v>156</v>
      </c>
      <c r="BP89" s="34" t="s">
        <v>156</v>
      </c>
      <c r="BQ89" s="34" t="s">
        <v>156</v>
      </c>
      <c r="BR89" s="35"/>
      <c r="BS89" s="20" t="s">
        <v>157</v>
      </c>
    </row>
    <row r="90" ht="16.5" spans="1:71">
      <c r="A90" s="21" t="s">
        <v>45</v>
      </c>
      <c r="B90" s="21"/>
      <c r="C90" s="21"/>
      <c r="D90" s="39" t="s">
        <v>158</v>
      </c>
      <c r="E90" s="23">
        <v>62</v>
      </c>
      <c r="F90" s="24">
        <v>89.99</v>
      </c>
      <c r="G90" s="25">
        <f t="shared" si="68"/>
        <v>85.4905</v>
      </c>
      <c r="H90" s="25">
        <f t="shared" si="69"/>
        <v>71.2420833333333</v>
      </c>
      <c r="I90" s="36">
        <f t="shared" si="70"/>
        <v>11.0004955752212</v>
      </c>
      <c r="J90" s="26">
        <f t="shared" si="71"/>
        <v>0.177427347987439</v>
      </c>
      <c r="K90" s="27">
        <f t="shared" si="72"/>
        <v>74.9916666666667</v>
      </c>
      <c r="L90" s="28">
        <f t="shared" si="73"/>
        <v>0.173241471274586</v>
      </c>
      <c r="M90" s="25">
        <f t="shared" si="74"/>
        <v>12.9916666666667</v>
      </c>
      <c r="N90" s="27">
        <f t="shared" si="75"/>
        <v>179.29203539823</v>
      </c>
      <c r="O90" s="27">
        <f t="shared" si="76"/>
        <v>3.8125</v>
      </c>
      <c r="P90" s="21">
        <v>4</v>
      </c>
      <c r="Q90" s="29">
        <v>8</v>
      </c>
      <c r="R90" s="30">
        <f t="shared" si="77"/>
        <v>0.129032258064516</v>
      </c>
      <c r="S90" s="26">
        <f t="shared" si="89"/>
        <v>0.0888987665296144</v>
      </c>
      <c r="T90" s="30">
        <f t="shared" si="79"/>
        <v>0.0725725806451613</v>
      </c>
      <c r="U90" s="30">
        <v>0.01</v>
      </c>
      <c r="V90" s="30">
        <f t="shared" si="80"/>
        <v>0.361475877819012</v>
      </c>
      <c r="W90" s="30">
        <f t="shared" si="81"/>
        <v>0.061491935483871</v>
      </c>
      <c r="X90" s="31">
        <v>0.188</v>
      </c>
      <c r="Y90" s="32">
        <v>8</v>
      </c>
      <c r="Z90" s="32">
        <f>F90*0.05</f>
        <v>4.4995</v>
      </c>
      <c r="AA90" s="32">
        <f t="shared" si="82"/>
        <v>0.62</v>
      </c>
      <c r="AB90" s="27">
        <f t="shared" si="83"/>
        <v>11.656</v>
      </c>
      <c r="AC90" s="27">
        <v>180</v>
      </c>
      <c r="AD90" s="33">
        <f t="shared" si="84"/>
        <v>159.29203539823</v>
      </c>
      <c r="AE90" s="29">
        <f t="shared" si="85"/>
        <v>2.5</v>
      </c>
      <c r="AF90" s="30">
        <f t="shared" si="86"/>
        <v>0.321153297173851</v>
      </c>
      <c r="AG90" s="30">
        <f t="shared" si="87"/>
        <v>0.0403225806451613</v>
      </c>
      <c r="AH90" s="29">
        <v>20</v>
      </c>
      <c r="AI90" s="26">
        <f t="shared" si="90"/>
        <v>0.349651143271238</v>
      </c>
      <c r="AJ90" s="26"/>
      <c r="AK90" s="26"/>
      <c r="AL90" s="26"/>
      <c r="AM90" s="26"/>
      <c r="AN90" s="34"/>
      <c r="AO90" s="34"/>
      <c r="AP90" s="34"/>
      <c r="AQ90" s="34"/>
      <c r="AR90" s="34"/>
      <c r="AS90" s="34"/>
      <c r="AT90" s="34" t="s">
        <v>156</v>
      </c>
      <c r="AU90" s="34" t="s">
        <v>156</v>
      </c>
      <c r="AV90" s="34" t="s">
        <v>156</v>
      </c>
      <c r="AW90" s="34" t="s">
        <v>156</v>
      </c>
      <c r="AX90" s="34" t="s">
        <v>156</v>
      </c>
      <c r="AY90" s="34" t="s">
        <v>156</v>
      </c>
      <c r="AZ90" s="34" t="s">
        <v>156</v>
      </c>
      <c r="BA90" s="34" t="s">
        <v>156</v>
      </c>
      <c r="BB90" s="34" t="s">
        <v>156</v>
      </c>
      <c r="BC90" s="34" t="s">
        <v>156</v>
      </c>
      <c r="BD90" s="34" t="s">
        <v>156</v>
      </c>
      <c r="BE90" s="34" t="s">
        <v>156</v>
      </c>
      <c r="BF90" s="34" t="s">
        <v>156</v>
      </c>
      <c r="BG90" s="34" t="s">
        <v>156</v>
      </c>
      <c r="BH90" s="34" t="s">
        <v>156</v>
      </c>
      <c r="BI90" s="34" t="s">
        <v>156</v>
      </c>
      <c r="BJ90" s="34" t="s">
        <v>156</v>
      </c>
      <c r="BK90" s="34" t="s">
        <v>156</v>
      </c>
      <c r="BL90" s="34" t="s">
        <v>156</v>
      </c>
      <c r="BM90" s="34" t="s">
        <v>156</v>
      </c>
      <c r="BN90" s="34" t="s">
        <v>156</v>
      </c>
      <c r="BO90" s="34" t="s">
        <v>156</v>
      </c>
      <c r="BP90" s="34" t="s">
        <v>156</v>
      </c>
      <c r="BQ90" s="34" t="s">
        <v>156</v>
      </c>
      <c r="BR90" s="35"/>
      <c r="BS90" s="20" t="s">
        <v>157</v>
      </c>
    </row>
    <row r="91" ht="16.5" spans="1:71">
      <c r="A91" s="21" t="s">
        <v>45</v>
      </c>
      <c r="B91" s="21"/>
      <c r="C91" s="21"/>
      <c r="D91" s="39" t="s">
        <v>159</v>
      </c>
      <c r="E91" s="23">
        <v>62</v>
      </c>
      <c r="F91" s="24">
        <v>89.99</v>
      </c>
      <c r="G91" s="25">
        <f t="shared" si="68"/>
        <v>80.991</v>
      </c>
      <c r="H91" s="25">
        <f t="shared" si="69"/>
        <v>67.4925</v>
      </c>
      <c r="I91" s="25">
        <f t="shared" si="70"/>
        <v>6.50099557522124</v>
      </c>
      <c r="J91" s="26">
        <f t="shared" si="71"/>
        <v>0.104854767342278</v>
      </c>
      <c r="K91" s="27">
        <f t="shared" si="72"/>
        <v>74.9916666666667</v>
      </c>
      <c r="L91" s="28">
        <f t="shared" si="73"/>
        <v>0.173241471274586</v>
      </c>
      <c r="M91" s="25">
        <f t="shared" si="74"/>
        <v>12.9916666666667</v>
      </c>
      <c r="N91" s="27">
        <f t="shared" si="75"/>
        <v>179.29203539823</v>
      </c>
      <c r="O91" s="27">
        <f t="shared" si="76"/>
        <v>3.8125</v>
      </c>
      <c r="P91" s="21">
        <v>4</v>
      </c>
      <c r="Q91" s="29">
        <v>8</v>
      </c>
      <c r="R91" s="30">
        <f t="shared" si="77"/>
        <v>0.129032258064516</v>
      </c>
      <c r="S91" s="26">
        <f t="shared" si="89"/>
        <v>0.0888987665296144</v>
      </c>
      <c r="T91" s="30">
        <f t="shared" si="79"/>
        <v>0.145145161290323</v>
      </c>
      <c r="U91" s="30">
        <v>0.01</v>
      </c>
      <c r="V91" s="30">
        <f t="shared" si="80"/>
        <v>0.361475877819012</v>
      </c>
      <c r="W91" s="30">
        <f t="shared" si="81"/>
        <v>0.061491935483871</v>
      </c>
      <c r="X91" s="31">
        <v>0.188</v>
      </c>
      <c r="Y91" s="32">
        <v>8</v>
      </c>
      <c r="Z91" s="32">
        <f>F91*0.1</f>
        <v>8.999</v>
      </c>
      <c r="AA91" s="32">
        <f t="shared" si="82"/>
        <v>0.62</v>
      </c>
      <c r="AB91" s="27">
        <f t="shared" si="83"/>
        <v>11.656</v>
      </c>
      <c r="AC91" s="27">
        <v>180</v>
      </c>
      <c r="AD91" s="33">
        <f t="shared" si="84"/>
        <v>159.29203539823</v>
      </c>
      <c r="AE91" s="29">
        <f t="shared" si="85"/>
        <v>2.5</v>
      </c>
      <c r="AF91" s="30">
        <f t="shared" si="86"/>
        <v>0.321153297173851</v>
      </c>
      <c r="AG91" s="30">
        <f t="shared" si="87"/>
        <v>0.0403225806451613</v>
      </c>
      <c r="AH91" s="29">
        <v>20</v>
      </c>
      <c r="AI91" s="26">
        <f t="shared" si="90"/>
        <v>0.373490993948823</v>
      </c>
      <c r="AJ91" s="26"/>
      <c r="AK91" s="26"/>
      <c r="AL91" s="26"/>
      <c r="AM91" s="26"/>
      <c r="AN91" s="34"/>
      <c r="AO91" s="34"/>
      <c r="AP91" s="34"/>
      <c r="AQ91" s="34"/>
      <c r="AR91" s="34"/>
      <c r="AS91" s="34"/>
      <c r="AT91" s="34" t="s">
        <v>156</v>
      </c>
      <c r="AU91" s="34" t="s">
        <v>156</v>
      </c>
      <c r="AV91" s="34" t="s">
        <v>156</v>
      </c>
      <c r="AW91" s="34" t="s">
        <v>156</v>
      </c>
      <c r="AX91" s="34" t="s">
        <v>156</v>
      </c>
      <c r="AY91" s="34" t="s">
        <v>156</v>
      </c>
      <c r="AZ91" s="34" t="s">
        <v>156</v>
      </c>
      <c r="BA91" s="34" t="s">
        <v>156</v>
      </c>
      <c r="BB91" s="34" t="s">
        <v>156</v>
      </c>
      <c r="BC91" s="34" t="s">
        <v>156</v>
      </c>
      <c r="BD91" s="34" t="s">
        <v>156</v>
      </c>
      <c r="BE91" s="34" t="s">
        <v>156</v>
      </c>
      <c r="BF91" s="34" t="s">
        <v>156</v>
      </c>
      <c r="BG91" s="34" t="s">
        <v>156</v>
      </c>
      <c r="BH91" s="34" t="s">
        <v>156</v>
      </c>
      <c r="BI91" s="34" t="s">
        <v>156</v>
      </c>
      <c r="BJ91" s="34" t="s">
        <v>156</v>
      </c>
      <c r="BK91" s="34" t="s">
        <v>156</v>
      </c>
      <c r="BL91" s="34" t="s">
        <v>156</v>
      </c>
      <c r="BM91" s="34" t="s">
        <v>156</v>
      </c>
      <c r="BN91" s="34" t="s">
        <v>156</v>
      </c>
      <c r="BO91" s="34" t="s">
        <v>156</v>
      </c>
      <c r="BP91" s="34" t="s">
        <v>156</v>
      </c>
      <c r="BQ91" s="34" t="s">
        <v>156</v>
      </c>
      <c r="BR91" s="35"/>
      <c r="BS91" s="20" t="s">
        <v>157</v>
      </c>
    </row>
    <row r="92" ht="16.5" spans="1:71">
      <c r="A92" s="21" t="s">
        <v>45</v>
      </c>
      <c r="B92" s="21"/>
      <c r="C92" s="21"/>
      <c r="D92" s="37" t="s">
        <v>160</v>
      </c>
      <c r="E92" s="23">
        <v>62</v>
      </c>
      <c r="F92" s="24">
        <v>89.99</v>
      </c>
      <c r="G92" s="25">
        <f t="shared" si="68"/>
        <v>76.4915</v>
      </c>
      <c r="H92" s="25">
        <f t="shared" si="69"/>
        <v>63.7429166666667</v>
      </c>
      <c r="I92" s="25">
        <f t="shared" si="70"/>
        <v>2.00149557522124</v>
      </c>
      <c r="J92" s="26">
        <f t="shared" si="71"/>
        <v>0.0322821866971168</v>
      </c>
      <c r="K92" s="27">
        <f t="shared" si="72"/>
        <v>74.9916666666667</v>
      </c>
      <c r="L92" s="28">
        <f t="shared" si="73"/>
        <v>0.173241471274586</v>
      </c>
      <c r="M92" s="25">
        <f t="shared" si="74"/>
        <v>12.9916666666667</v>
      </c>
      <c r="N92" s="27">
        <f t="shared" si="75"/>
        <v>179.29203539823</v>
      </c>
      <c r="O92" s="27">
        <f t="shared" si="76"/>
        <v>3.8125</v>
      </c>
      <c r="P92" s="21">
        <v>4</v>
      </c>
      <c r="Q92" s="29">
        <v>8</v>
      </c>
      <c r="R92" s="30">
        <f t="shared" si="77"/>
        <v>0.129032258064516</v>
      </c>
      <c r="S92" s="26">
        <f t="shared" si="89"/>
        <v>0.0888987665296144</v>
      </c>
      <c r="T92" s="30">
        <f t="shared" si="79"/>
        <v>0.217717741935484</v>
      </c>
      <c r="U92" s="30">
        <v>0.01</v>
      </c>
      <c r="V92" s="30">
        <f t="shared" si="80"/>
        <v>0.361475877819012</v>
      </c>
      <c r="W92" s="30">
        <f t="shared" si="81"/>
        <v>0.061491935483871</v>
      </c>
      <c r="X92" s="31">
        <v>0.188</v>
      </c>
      <c r="Y92" s="32">
        <v>8</v>
      </c>
      <c r="Z92" s="32">
        <f>F92*0.15</f>
        <v>13.4985</v>
      </c>
      <c r="AA92" s="32">
        <f t="shared" si="82"/>
        <v>0.62</v>
      </c>
      <c r="AB92" s="27">
        <f t="shared" si="83"/>
        <v>11.656</v>
      </c>
      <c r="AC92" s="27">
        <v>180</v>
      </c>
      <c r="AD92" s="33">
        <f t="shared" si="84"/>
        <v>159.29203539823</v>
      </c>
      <c r="AE92" s="29">
        <f t="shared" si="85"/>
        <v>2.5</v>
      </c>
      <c r="AF92" s="30">
        <f t="shared" si="86"/>
        <v>0.321153297173851</v>
      </c>
      <c r="AG92" s="30">
        <f t="shared" si="87"/>
        <v>0.0403225806451613</v>
      </c>
      <c r="AH92" s="29">
        <v>20</v>
      </c>
      <c r="AI92" s="26">
        <f t="shared" si="90"/>
        <v>0.400819603262151</v>
      </c>
      <c r="AJ92" s="26"/>
      <c r="AK92" s="26"/>
      <c r="AL92" s="26"/>
      <c r="AM92" s="26"/>
      <c r="AN92" s="34"/>
      <c r="AO92" s="34"/>
      <c r="AP92" s="34"/>
      <c r="AQ92" s="34"/>
      <c r="AR92" s="34"/>
      <c r="AS92" s="34"/>
      <c r="AT92" s="34" t="s">
        <v>156</v>
      </c>
      <c r="AU92" s="34" t="s">
        <v>156</v>
      </c>
      <c r="AV92" s="34" t="s">
        <v>156</v>
      </c>
      <c r="AW92" s="34" t="s">
        <v>156</v>
      </c>
      <c r="AX92" s="34" t="s">
        <v>156</v>
      </c>
      <c r="AY92" s="34" t="s">
        <v>156</v>
      </c>
      <c r="AZ92" s="34" t="s">
        <v>156</v>
      </c>
      <c r="BA92" s="34" t="s">
        <v>156</v>
      </c>
      <c r="BB92" s="34" t="s">
        <v>156</v>
      </c>
      <c r="BC92" s="34" t="s">
        <v>156</v>
      </c>
      <c r="BD92" s="34" t="s">
        <v>156</v>
      </c>
      <c r="BE92" s="34" t="s">
        <v>156</v>
      </c>
      <c r="BF92" s="34" t="s">
        <v>156</v>
      </c>
      <c r="BG92" s="34" t="s">
        <v>156</v>
      </c>
      <c r="BH92" s="34" t="s">
        <v>156</v>
      </c>
      <c r="BI92" s="34" t="s">
        <v>156</v>
      </c>
      <c r="BJ92" s="34" t="s">
        <v>156</v>
      </c>
      <c r="BK92" s="34" t="s">
        <v>156</v>
      </c>
      <c r="BL92" s="34" t="s">
        <v>156</v>
      </c>
      <c r="BM92" s="34" t="s">
        <v>156</v>
      </c>
      <c r="BN92" s="34" t="s">
        <v>156</v>
      </c>
      <c r="BO92" s="34" t="s">
        <v>156</v>
      </c>
      <c r="BP92" s="34" t="s">
        <v>156</v>
      </c>
      <c r="BQ92" s="34" t="s">
        <v>156</v>
      </c>
      <c r="BR92" s="35"/>
      <c r="BS92" s="20" t="s">
        <v>157</v>
      </c>
    </row>
    <row r="93" ht="16.5" spans="1:71">
      <c r="A93" s="21" t="s">
        <v>48</v>
      </c>
      <c r="B93" s="21"/>
      <c r="C93" s="21"/>
      <c r="D93" s="37" t="s">
        <v>155</v>
      </c>
      <c r="E93" s="23">
        <v>62</v>
      </c>
      <c r="F93" s="24">
        <v>89.99</v>
      </c>
      <c r="G93" s="25">
        <f t="shared" si="68"/>
        <v>89.99</v>
      </c>
      <c r="H93" s="25">
        <f t="shared" si="69"/>
        <v>74.9916666666667</v>
      </c>
      <c r="I93" s="25">
        <f t="shared" si="70"/>
        <v>14.4999955752212</v>
      </c>
      <c r="J93" s="26">
        <f t="shared" si="71"/>
        <v>0.233870896374536</v>
      </c>
      <c r="K93" s="27">
        <f t="shared" si="72"/>
        <v>74.9916666666667</v>
      </c>
      <c r="L93" s="28">
        <f t="shared" si="73"/>
        <v>0.173241471274586</v>
      </c>
      <c r="M93" s="25">
        <f t="shared" si="74"/>
        <v>12.9916666666667</v>
      </c>
      <c r="N93" s="27">
        <f t="shared" si="75"/>
        <v>179.29203539823</v>
      </c>
      <c r="O93" s="27">
        <f t="shared" si="76"/>
        <v>4.8125</v>
      </c>
      <c r="P93" s="21">
        <v>4</v>
      </c>
      <c r="Q93" s="29">
        <v>8</v>
      </c>
      <c r="R93" s="30">
        <f t="shared" si="77"/>
        <v>0.129032258064516</v>
      </c>
      <c r="S93" s="26">
        <f t="shared" si="89"/>
        <v>0.0888987665296144</v>
      </c>
      <c r="T93" s="30">
        <f t="shared" si="79"/>
        <v>0</v>
      </c>
      <c r="U93" s="30">
        <v>0.01</v>
      </c>
      <c r="V93" s="30">
        <f t="shared" si="80"/>
        <v>0.361475877819012</v>
      </c>
      <c r="W93" s="30">
        <f t="shared" si="81"/>
        <v>0.0776209677419355</v>
      </c>
      <c r="X93" s="31">
        <v>0.188</v>
      </c>
      <c r="Y93" s="32">
        <v>8</v>
      </c>
      <c r="Z93" s="32">
        <v>0</v>
      </c>
      <c r="AA93" s="32">
        <f t="shared" si="82"/>
        <v>0.62</v>
      </c>
      <c r="AB93" s="27">
        <f t="shared" si="83"/>
        <v>11.656</v>
      </c>
      <c r="AC93" s="27">
        <v>180</v>
      </c>
      <c r="AD93" s="33">
        <f t="shared" si="84"/>
        <v>159.29203539823</v>
      </c>
      <c r="AE93" s="29">
        <f t="shared" si="85"/>
        <v>2.5</v>
      </c>
      <c r="AF93" s="30">
        <f t="shared" si="86"/>
        <v>0.321153297173851</v>
      </c>
      <c r="AG93" s="30">
        <f t="shared" si="87"/>
        <v>0.0403225806451613</v>
      </c>
      <c r="AH93" s="29">
        <v>20</v>
      </c>
      <c r="AI93" s="30">
        <f t="shared" si="90"/>
        <v>0.328672074674964</v>
      </c>
      <c r="AJ93" s="30"/>
      <c r="AK93" s="30"/>
      <c r="AL93" s="30"/>
      <c r="AM93" s="30"/>
      <c r="AN93" s="34"/>
      <c r="AO93" s="34"/>
      <c r="AP93" s="34"/>
      <c r="AQ93" s="34"/>
      <c r="AR93" s="34"/>
      <c r="AS93" s="34"/>
      <c r="AT93" s="34" t="s">
        <v>156</v>
      </c>
      <c r="AU93" s="34" t="s">
        <v>156</v>
      </c>
      <c r="AV93" s="34" t="s">
        <v>156</v>
      </c>
      <c r="AW93" s="34" t="s">
        <v>156</v>
      </c>
      <c r="AX93" s="34" t="s">
        <v>156</v>
      </c>
      <c r="AY93" s="34" t="s">
        <v>156</v>
      </c>
      <c r="AZ93" s="34" t="s">
        <v>156</v>
      </c>
      <c r="BA93" s="34" t="s">
        <v>156</v>
      </c>
      <c r="BB93" s="34" t="s">
        <v>156</v>
      </c>
      <c r="BC93" s="34" t="s">
        <v>156</v>
      </c>
      <c r="BD93" s="34" t="s">
        <v>156</v>
      </c>
      <c r="BE93" s="34" t="s">
        <v>156</v>
      </c>
      <c r="BF93" s="34" t="s">
        <v>156</v>
      </c>
      <c r="BG93" s="34" t="s">
        <v>156</v>
      </c>
      <c r="BH93" s="34" t="s">
        <v>156</v>
      </c>
      <c r="BI93" s="34" t="s">
        <v>156</v>
      </c>
      <c r="BJ93" s="34" t="s">
        <v>156</v>
      </c>
      <c r="BK93" s="34" t="s">
        <v>156</v>
      </c>
      <c r="BL93" s="34" t="s">
        <v>156</v>
      </c>
      <c r="BM93" s="34" t="s">
        <v>156</v>
      </c>
      <c r="BN93" s="34" t="s">
        <v>156</v>
      </c>
      <c r="BO93" s="34" t="s">
        <v>156</v>
      </c>
      <c r="BP93" s="34" t="s">
        <v>156</v>
      </c>
      <c r="BQ93" s="34" t="s">
        <v>156</v>
      </c>
      <c r="BR93" s="35"/>
      <c r="BS93" s="20" t="s">
        <v>157</v>
      </c>
    </row>
    <row r="94" ht="16.5" spans="1:71">
      <c r="A94" s="21" t="s">
        <v>48</v>
      </c>
      <c r="B94" s="21"/>
      <c r="C94" s="21"/>
      <c r="D94" s="39" t="s">
        <v>158</v>
      </c>
      <c r="E94" s="23">
        <v>62</v>
      </c>
      <c r="F94" s="24">
        <v>89.99</v>
      </c>
      <c r="G94" s="25">
        <f t="shared" si="68"/>
        <v>85.4905</v>
      </c>
      <c r="H94" s="25">
        <f t="shared" si="69"/>
        <v>71.2420833333333</v>
      </c>
      <c r="I94" s="36">
        <f t="shared" si="70"/>
        <v>10.0004955752212</v>
      </c>
      <c r="J94" s="26">
        <f t="shared" si="71"/>
        <v>0.161298315729375</v>
      </c>
      <c r="K94" s="27">
        <f t="shared" si="72"/>
        <v>74.9916666666667</v>
      </c>
      <c r="L94" s="28">
        <f t="shared" si="73"/>
        <v>0.173241471274586</v>
      </c>
      <c r="M94" s="25">
        <f t="shared" si="74"/>
        <v>12.9916666666667</v>
      </c>
      <c r="N94" s="27">
        <f t="shared" si="75"/>
        <v>179.29203539823</v>
      </c>
      <c r="O94" s="27">
        <f t="shared" si="76"/>
        <v>4.8125</v>
      </c>
      <c r="P94" s="21">
        <v>4</v>
      </c>
      <c r="Q94" s="29">
        <v>8</v>
      </c>
      <c r="R94" s="30">
        <f t="shared" si="77"/>
        <v>0.129032258064516</v>
      </c>
      <c r="S94" s="26">
        <f t="shared" si="89"/>
        <v>0.0888987665296144</v>
      </c>
      <c r="T94" s="30">
        <f t="shared" si="79"/>
        <v>0.0725725806451613</v>
      </c>
      <c r="U94" s="30">
        <v>0.01</v>
      </c>
      <c r="V94" s="30">
        <f t="shared" si="80"/>
        <v>0.361475877819012</v>
      </c>
      <c r="W94" s="30">
        <f t="shared" si="81"/>
        <v>0.0776209677419355</v>
      </c>
      <c r="X94" s="31">
        <v>0.188</v>
      </c>
      <c r="Y94" s="32">
        <v>8</v>
      </c>
      <c r="Z94" s="32">
        <f>F94*0.05</f>
        <v>4.4995</v>
      </c>
      <c r="AA94" s="32">
        <f t="shared" si="82"/>
        <v>0.62</v>
      </c>
      <c r="AB94" s="27">
        <f t="shared" si="83"/>
        <v>11.656</v>
      </c>
      <c r="AC94" s="27">
        <v>180</v>
      </c>
      <c r="AD94" s="33">
        <f t="shared" si="84"/>
        <v>159.29203539823</v>
      </c>
      <c r="AE94" s="29">
        <f t="shared" si="85"/>
        <v>2.5</v>
      </c>
      <c r="AF94" s="30">
        <f t="shared" si="86"/>
        <v>0.321153297173851</v>
      </c>
      <c r="AG94" s="30">
        <f t="shared" si="87"/>
        <v>0.0403225806451613</v>
      </c>
      <c r="AH94" s="29">
        <v>20</v>
      </c>
      <c r="AI94" s="30">
        <f t="shared" si="90"/>
        <v>0.349651143271238</v>
      </c>
      <c r="AJ94" s="30"/>
      <c r="AK94" s="30"/>
      <c r="AL94" s="30"/>
      <c r="AM94" s="30"/>
      <c r="AN94" s="34"/>
      <c r="AO94" s="34"/>
      <c r="AP94" s="34"/>
      <c r="AQ94" s="34"/>
      <c r="AR94" s="34"/>
      <c r="AS94" s="34"/>
      <c r="AT94" s="34" t="s">
        <v>156</v>
      </c>
      <c r="AU94" s="34" t="s">
        <v>156</v>
      </c>
      <c r="AV94" s="34" t="s">
        <v>156</v>
      </c>
      <c r="AW94" s="34" t="s">
        <v>156</v>
      </c>
      <c r="AX94" s="34" t="s">
        <v>156</v>
      </c>
      <c r="AY94" s="34" t="s">
        <v>156</v>
      </c>
      <c r="AZ94" s="34" t="s">
        <v>156</v>
      </c>
      <c r="BA94" s="34" t="s">
        <v>156</v>
      </c>
      <c r="BB94" s="34" t="s">
        <v>156</v>
      </c>
      <c r="BC94" s="34" t="s">
        <v>156</v>
      </c>
      <c r="BD94" s="34" t="s">
        <v>156</v>
      </c>
      <c r="BE94" s="34" t="s">
        <v>156</v>
      </c>
      <c r="BF94" s="34" t="s">
        <v>156</v>
      </c>
      <c r="BG94" s="34" t="s">
        <v>156</v>
      </c>
      <c r="BH94" s="34" t="s">
        <v>156</v>
      </c>
      <c r="BI94" s="34" t="s">
        <v>156</v>
      </c>
      <c r="BJ94" s="34" t="s">
        <v>156</v>
      </c>
      <c r="BK94" s="34" t="s">
        <v>156</v>
      </c>
      <c r="BL94" s="34" t="s">
        <v>156</v>
      </c>
      <c r="BM94" s="34" t="s">
        <v>156</v>
      </c>
      <c r="BN94" s="34" t="s">
        <v>156</v>
      </c>
      <c r="BO94" s="34" t="s">
        <v>156</v>
      </c>
      <c r="BP94" s="34" t="s">
        <v>156</v>
      </c>
      <c r="BQ94" s="34" t="s">
        <v>156</v>
      </c>
      <c r="BR94" s="35"/>
      <c r="BS94" s="20" t="s">
        <v>157</v>
      </c>
    </row>
    <row r="95" ht="16.5" spans="1:71">
      <c r="A95" s="21" t="s">
        <v>48</v>
      </c>
      <c r="B95" s="21"/>
      <c r="C95" s="21"/>
      <c r="D95" s="39" t="s">
        <v>159</v>
      </c>
      <c r="E95" s="23">
        <v>62</v>
      </c>
      <c r="F95" s="24">
        <v>89.99</v>
      </c>
      <c r="G95" s="25">
        <f t="shared" si="68"/>
        <v>80.991</v>
      </c>
      <c r="H95" s="25">
        <f t="shared" si="69"/>
        <v>67.4925</v>
      </c>
      <c r="I95" s="25">
        <f t="shared" si="70"/>
        <v>5.50099557522124</v>
      </c>
      <c r="J95" s="26">
        <f t="shared" si="71"/>
        <v>0.0887257350842135</v>
      </c>
      <c r="K95" s="27">
        <f t="shared" si="72"/>
        <v>74.9916666666667</v>
      </c>
      <c r="L95" s="28">
        <f t="shared" si="73"/>
        <v>0.173241471274586</v>
      </c>
      <c r="M95" s="25">
        <f t="shared" si="74"/>
        <v>12.9916666666667</v>
      </c>
      <c r="N95" s="27">
        <f t="shared" si="75"/>
        <v>179.29203539823</v>
      </c>
      <c r="O95" s="27">
        <f t="shared" si="76"/>
        <v>4.8125</v>
      </c>
      <c r="P95" s="21">
        <v>4</v>
      </c>
      <c r="Q95" s="29">
        <v>8</v>
      </c>
      <c r="R95" s="30">
        <f t="shared" si="77"/>
        <v>0.129032258064516</v>
      </c>
      <c r="S95" s="26">
        <f t="shared" si="89"/>
        <v>0.0888987665296144</v>
      </c>
      <c r="T95" s="30">
        <f t="shared" si="79"/>
        <v>0.145145161290323</v>
      </c>
      <c r="U95" s="30">
        <v>0.01</v>
      </c>
      <c r="V95" s="30">
        <f t="shared" si="80"/>
        <v>0.361475877819012</v>
      </c>
      <c r="W95" s="30">
        <f t="shared" si="81"/>
        <v>0.0776209677419355</v>
      </c>
      <c r="X95" s="31">
        <v>0.188</v>
      </c>
      <c r="Y95" s="32">
        <v>8</v>
      </c>
      <c r="Z95" s="32">
        <f>F95*0.1</f>
        <v>8.999</v>
      </c>
      <c r="AA95" s="32">
        <f t="shared" si="82"/>
        <v>0.62</v>
      </c>
      <c r="AB95" s="27">
        <f t="shared" si="83"/>
        <v>11.656</v>
      </c>
      <c r="AC95" s="27">
        <v>180</v>
      </c>
      <c r="AD95" s="33">
        <f t="shared" si="84"/>
        <v>159.29203539823</v>
      </c>
      <c r="AE95" s="29">
        <f t="shared" si="85"/>
        <v>2.5</v>
      </c>
      <c r="AF95" s="30">
        <f t="shared" si="86"/>
        <v>0.321153297173851</v>
      </c>
      <c r="AG95" s="30">
        <f t="shared" si="87"/>
        <v>0.0403225806451613</v>
      </c>
      <c r="AH95" s="29">
        <v>20</v>
      </c>
      <c r="AI95" s="30">
        <f t="shared" si="90"/>
        <v>0.373490993948823</v>
      </c>
      <c r="AJ95" s="30"/>
      <c r="AK95" s="30"/>
      <c r="AL95" s="30"/>
      <c r="AM95" s="30"/>
      <c r="AN95" s="34"/>
      <c r="AO95" s="34"/>
      <c r="AP95" s="34"/>
      <c r="AQ95" s="34"/>
      <c r="AR95" s="34"/>
      <c r="AS95" s="34"/>
      <c r="AT95" s="34" t="s">
        <v>156</v>
      </c>
      <c r="AU95" s="34" t="s">
        <v>156</v>
      </c>
      <c r="AV95" s="34" t="s">
        <v>156</v>
      </c>
      <c r="AW95" s="34" t="s">
        <v>156</v>
      </c>
      <c r="AX95" s="34" t="s">
        <v>156</v>
      </c>
      <c r="AY95" s="34" t="s">
        <v>156</v>
      </c>
      <c r="AZ95" s="34" t="s">
        <v>156</v>
      </c>
      <c r="BA95" s="34" t="s">
        <v>156</v>
      </c>
      <c r="BB95" s="34" t="s">
        <v>156</v>
      </c>
      <c r="BC95" s="34" t="s">
        <v>156</v>
      </c>
      <c r="BD95" s="34" t="s">
        <v>156</v>
      </c>
      <c r="BE95" s="34" t="s">
        <v>156</v>
      </c>
      <c r="BF95" s="34" t="s">
        <v>156</v>
      </c>
      <c r="BG95" s="34" t="s">
        <v>156</v>
      </c>
      <c r="BH95" s="34" t="s">
        <v>156</v>
      </c>
      <c r="BI95" s="34" t="s">
        <v>156</v>
      </c>
      <c r="BJ95" s="34" t="s">
        <v>156</v>
      </c>
      <c r="BK95" s="34" t="s">
        <v>156</v>
      </c>
      <c r="BL95" s="34" t="s">
        <v>156</v>
      </c>
      <c r="BM95" s="34" t="s">
        <v>156</v>
      </c>
      <c r="BN95" s="34" t="s">
        <v>156</v>
      </c>
      <c r="BO95" s="34" t="s">
        <v>156</v>
      </c>
      <c r="BP95" s="34" t="s">
        <v>156</v>
      </c>
      <c r="BQ95" s="34" t="s">
        <v>156</v>
      </c>
      <c r="BR95" s="35"/>
      <c r="BS95" s="20" t="s">
        <v>157</v>
      </c>
    </row>
    <row r="96" ht="16.5" spans="1:71">
      <c r="A96" s="21" t="s">
        <v>48</v>
      </c>
      <c r="B96" s="21"/>
      <c r="C96" s="21"/>
      <c r="D96" s="37" t="s">
        <v>160</v>
      </c>
      <c r="E96" s="23">
        <v>62</v>
      </c>
      <c r="F96" s="24">
        <v>89.99</v>
      </c>
      <c r="G96" s="25">
        <f t="shared" si="68"/>
        <v>76.4915</v>
      </c>
      <c r="H96" s="25">
        <f t="shared" si="69"/>
        <v>63.7429166666667</v>
      </c>
      <c r="I96" s="25">
        <f t="shared" si="70"/>
        <v>1.00149557522124</v>
      </c>
      <c r="J96" s="26">
        <f t="shared" si="71"/>
        <v>0.0161531544390523</v>
      </c>
      <c r="K96" s="27">
        <f t="shared" si="72"/>
        <v>74.9916666666667</v>
      </c>
      <c r="L96" s="28">
        <f t="shared" si="73"/>
        <v>0.173241471274586</v>
      </c>
      <c r="M96" s="25">
        <f t="shared" si="74"/>
        <v>12.9916666666667</v>
      </c>
      <c r="N96" s="27">
        <f t="shared" si="75"/>
        <v>179.29203539823</v>
      </c>
      <c r="O96" s="27">
        <f t="shared" si="76"/>
        <v>4.8125</v>
      </c>
      <c r="P96" s="21">
        <v>4</v>
      </c>
      <c r="Q96" s="29">
        <v>8</v>
      </c>
      <c r="R96" s="30">
        <f t="shared" si="77"/>
        <v>0.129032258064516</v>
      </c>
      <c r="S96" s="26">
        <f t="shared" si="89"/>
        <v>0.0888987665296144</v>
      </c>
      <c r="T96" s="30">
        <f t="shared" si="79"/>
        <v>0.217717741935484</v>
      </c>
      <c r="U96" s="30">
        <v>0.01</v>
      </c>
      <c r="V96" s="30">
        <f t="shared" si="80"/>
        <v>0.361475877819012</v>
      </c>
      <c r="W96" s="30">
        <f t="shared" si="81"/>
        <v>0.0776209677419355</v>
      </c>
      <c r="X96" s="31">
        <v>0.188</v>
      </c>
      <c r="Y96" s="32">
        <v>8</v>
      </c>
      <c r="Z96" s="32">
        <f>F96*0.15</f>
        <v>13.4985</v>
      </c>
      <c r="AA96" s="32">
        <f t="shared" si="82"/>
        <v>0.62</v>
      </c>
      <c r="AB96" s="27">
        <f t="shared" si="83"/>
        <v>11.656</v>
      </c>
      <c r="AC96" s="27">
        <v>180</v>
      </c>
      <c r="AD96" s="33">
        <f t="shared" si="84"/>
        <v>159.29203539823</v>
      </c>
      <c r="AE96" s="29">
        <f t="shared" si="85"/>
        <v>2.5</v>
      </c>
      <c r="AF96" s="30">
        <f t="shared" si="86"/>
        <v>0.321153297173851</v>
      </c>
      <c r="AG96" s="30">
        <f t="shared" si="87"/>
        <v>0.0403225806451613</v>
      </c>
      <c r="AH96" s="29">
        <v>20</v>
      </c>
      <c r="AI96" s="30">
        <f t="shared" si="90"/>
        <v>0.400819603262151</v>
      </c>
      <c r="AJ96" s="30"/>
      <c r="AK96" s="30"/>
      <c r="AL96" s="30"/>
      <c r="AM96" s="30"/>
      <c r="AN96" s="34"/>
      <c r="AO96" s="34"/>
      <c r="AP96" s="34"/>
      <c r="AQ96" s="34"/>
      <c r="AR96" s="34"/>
      <c r="AS96" s="34"/>
      <c r="AT96" s="34" t="s">
        <v>156</v>
      </c>
      <c r="AU96" s="34" t="s">
        <v>156</v>
      </c>
      <c r="AV96" s="34" t="s">
        <v>156</v>
      </c>
      <c r="AW96" s="34" t="s">
        <v>156</v>
      </c>
      <c r="AX96" s="34" t="s">
        <v>156</v>
      </c>
      <c r="AY96" s="34" t="s">
        <v>156</v>
      </c>
      <c r="AZ96" s="34" t="s">
        <v>156</v>
      </c>
      <c r="BA96" s="34" t="s">
        <v>156</v>
      </c>
      <c r="BB96" s="34" t="s">
        <v>156</v>
      </c>
      <c r="BC96" s="34" t="s">
        <v>156</v>
      </c>
      <c r="BD96" s="34" t="s">
        <v>156</v>
      </c>
      <c r="BE96" s="34" t="s">
        <v>156</v>
      </c>
      <c r="BF96" s="34" t="s">
        <v>156</v>
      </c>
      <c r="BG96" s="34" t="s">
        <v>156</v>
      </c>
      <c r="BH96" s="34" t="s">
        <v>156</v>
      </c>
      <c r="BI96" s="34" t="s">
        <v>156</v>
      </c>
      <c r="BJ96" s="34" t="s">
        <v>156</v>
      </c>
      <c r="BK96" s="34" t="s">
        <v>156</v>
      </c>
      <c r="BL96" s="34" t="s">
        <v>156</v>
      </c>
      <c r="BM96" s="34" t="s">
        <v>156</v>
      </c>
      <c r="BN96" s="34" t="s">
        <v>156</v>
      </c>
      <c r="BO96" s="34" t="s">
        <v>156</v>
      </c>
      <c r="BP96" s="34" t="s">
        <v>156</v>
      </c>
      <c r="BQ96" s="34" t="s">
        <v>156</v>
      </c>
      <c r="BR96" s="35"/>
      <c r="BS96" s="20" t="s">
        <v>157</v>
      </c>
    </row>
    <row r="97" ht="16.5" spans="1:71">
      <c r="A97" s="21" t="s">
        <v>161</v>
      </c>
      <c r="B97" s="21"/>
      <c r="C97" s="21"/>
      <c r="D97" s="42" t="s">
        <v>162</v>
      </c>
      <c r="E97" s="23">
        <v>62</v>
      </c>
      <c r="F97" s="24">
        <v>89.99</v>
      </c>
      <c r="G97" s="25">
        <f t="shared" si="68"/>
        <v>89.99</v>
      </c>
      <c r="H97" s="25">
        <f t="shared" si="69"/>
        <v>74.9916666666667</v>
      </c>
      <c r="I97" s="25">
        <f t="shared" si="70"/>
        <v>23.1249955752212</v>
      </c>
      <c r="J97" s="26">
        <f t="shared" si="71"/>
        <v>0.372983799600343</v>
      </c>
      <c r="K97" s="27">
        <f t="shared" si="72"/>
        <v>74.9916666666667</v>
      </c>
      <c r="L97" s="28">
        <f t="shared" si="73"/>
        <v>0.173241471274586</v>
      </c>
      <c r="M97" s="25">
        <f t="shared" si="74"/>
        <v>12.9916666666667</v>
      </c>
      <c r="N97" s="27">
        <f t="shared" si="75"/>
        <v>179.29203539823</v>
      </c>
      <c r="O97" s="27">
        <f t="shared" si="76"/>
        <v>4.1875</v>
      </c>
      <c r="P97" s="21">
        <v>4</v>
      </c>
      <c r="Q97" s="29">
        <v>8</v>
      </c>
      <c r="R97" s="30">
        <f t="shared" si="77"/>
        <v>0</v>
      </c>
      <c r="S97" s="26">
        <f t="shared" si="89"/>
        <v>0</v>
      </c>
      <c r="T97" s="30">
        <f t="shared" si="79"/>
        <v>0</v>
      </c>
      <c r="U97" s="30">
        <v>0.01</v>
      </c>
      <c r="V97" s="30">
        <f t="shared" si="80"/>
        <v>0.361475877819012</v>
      </c>
      <c r="W97" s="30">
        <f t="shared" si="81"/>
        <v>0.0675403225806452</v>
      </c>
      <c r="X97" s="31">
        <v>0.188</v>
      </c>
      <c r="Y97" s="32">
        <v>0</v>
      </c>
      <c r="Z97" s="32">
        <f t="shared" ref="Z97:Z100" si="91">F97*0</f>
        <v>0</v>
      </c>
      <c r="AA97" s="32">
        <f t="shared" si="82"/>
        <v>0.62</v>
      </c>
      <c r="AB97" s="27">
        <f t="shared" si="83"/>
        <v>11.656</v>
      </c>
      <c r="AC97" s="27">
        <v>180</v>
      </c>
      <c r="AD97" s="33">
        <f t="shared" si="84"/>
        <v>159.29203539823</v>
      </c>
      <c r="AE97" s="29">
        <f t="shared" si="85"/>
        <v>2.5</v>
      </c>
      <c r="AF97" s="30">
        <f t="shared" si="86"/>
        <v>0.321153297173851</v>
      </c>
      <c r="AG97" s="30">
        <f t="shared" si="87"/>
        <v>0.0403225806451613</v>
      </c>
      <c r="AH97" s="29">
        <v>20</v>
      </c>
      <c r="AI97" s="30">
        <f t="shared" si="90"/>
        <v>0.328672074674964</v>
      </c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 t="s">
        <v>156</v>
      </c>
      <c r="AU97" s="34" t="s">
        <v>156</v>
      </c>
      <c r="AV97" s="34" t="s">
        <v>156</v>
      </c>
      <c r="AW97" s="34" t="s">
        <v>156</v>
      </c>
      <c r="AX97" s="34" t="s">
        <v>156</v>
      </c>
      <c r="AY97" s="34" t="s">
        <v>156</v>
      </c>
      <c r="AZ97" s="34" t="s">
        <v>156</v>
      </c>
      <c r="BA97" s="34" t="s">
        <v>156</v>
      </c>
      <c r="BB97" s="34" t="s">
        <v>156</v>
      </c>
      <c r="BC97" s="34" t="s">
        <v>156</v>
      </c>
      <c r="BD97" s="34" t="s">
        <v>156</v>
      </c>
      <c r="BE97" s="34" t="s">
        <v>156</v>
      </c>
      <c r="BF97" s="34" t="s">
        <v>156</v>
      </c>
      <c r="BG97" s="34" t="s">
        <v>156</v>
      </c>
      <c r="BH97" s="34" t="s">
        <v>156</v>
      </c>
      <c r="BI97" s="34" t="s">
        <v>156</v>
      </c>
      <c r="BJ97" s="34" t="s">
        <v>156</v>
      </c>
      <c r="BK97" s="34" t="s">
        <v>156</v>
      </c>
      <c r="BL97" s="34" t="s">
        <v>156</v>
      </c>
      <c r="BM97" s="34" t="s">
        <v>156</v>
      </c>
      <c r="BN97" s="34" t="s">
        <v>156</v>
      </c>
      <c r="BO97" s="34" t="s">
        <v>156</v>
      </c>
      <c r="BP97" s="34" t="s">
        <v>156</v>
      </c>
      <c r="BQ97" s="34" t="s">
        <v>156</v>
      </c>
      <c r="BR97" s="44" t="e">
        <f>IF(E97&lt;#REF!,1,0)</f>
        <v>#REF!</v>
      </c>
      <c r="BS97" s="20" t="s">
        <v>157</v>
      </c>
    </row>
    <row r="98" ht="16.5" spans="1:71">
      <c r="A98" s="21" t="s">
        <v>163</v>
      </c>
      <c r="B98" s="21"/>
      <c r="C98" s="21"/>
      <c r="D98" s="42" t="s">
        <v>164</v>
      </c>
      <c r="E98" s="23">
        <v>62</v>
      </c>
      <c r="F98" s="24">
        <v>89.99</v>
      </c>
      <c r="G98" s="25">
        <f t="shared" si="68"/>
        <v>89.99</v>
      </c>
      <c r="H98" s="25">
        <f t="shared" si="69"/>
        <v>74.9916666666667</v>
      </c>
      <c r="I98" s="25">
        <f t="shared" si="70"/>
        <v>23.7999955752212</v>
      </c>
      <c r="J98" s="26">
        <f t="shared" si="71"/>
        <v>0.383870896374536</v>
      </c>
      <c r="K98" s="27">
        <f t="shared" si="72"/>
        <v>74.9916666666667</v>
      </c>
      <c r="L98" s="28">
        <f t="shared" si="73"/>
        <v>0.173241471274586</v>
      </c>
      <c r="M98" s="25">
        <f t="shared" si="74"/>
        <v>12.9916666666667</v>
      </c>
      <c r="N98" s="27">
        <f t="shared" si="75"/>
        <v>179.29203539823</v>
      </c>
      <c r="O98" s="27">
        <f t="shared" si="76"/>
        <v>3.5125</v>
      </c>
      <c r="P98" s="21">
        <v>4</v>
      </c>
      <c r="Q98" s="29">
        <v>8</v>
      </c>
      <c r="R98" s="30">
        <f t="shared" si="77"/>
        <v>0</v>
      </c>
      <c r="S98" s="26">
        <f t="shared" si="89"/>
        <v>0</v>
      </c>
      <c r="T98" s="30">
        <f t="shared" si="79"/>
        <v>0</v>
      </c>
      <c r="U98" s="30">
        <v>0.01</v>
      </c>
      <c r="V98" s="30">
        <f t="shared" si="80"/>
        <v>0.361475877819012</v>
      </c>
      <c r="W98" s="30">
        <f t="shared" si="81"/>
        <v>0.0566532258064516</v>
      </c>
      <c r="X98" s="31">
        <v>0.188</v>
      </c>
      <c r="Y98" s="32">
        <v>0</v>
      </c>
      <c r="Z98" s="32">
        <f t="shared" si="91"/>
        <v>0</v>
      </c>
      <c r="AA98" s="32">
        <f t="shared" si="82"/>
        <v>0.62</v>
      </c>
      <c r="AB98" s="27">
        <f t="shared" si="83"/>
        <v>11.656</v>
      </c>
      <c r="AC98" s="27">
        <v>180</v>
      </c>
      <c r="AD98" s="33">
        <f t="shared" si="84"/>
        <v>159.29203539823</v>
      </c>
      <c r="AE98" s="29">
        <f t="shared" si="85"/>
        <v>2.5</v>
      </c>
      <c r="AF98" s="30">
        <f t="shared" si="86"/>
        <v>0.321153297173851</v>
      </c>
      <c r="AG98" s="30">
        <f t="shared" si="87"/>
        <v>0.0403225806451613</v>
      </c>
      <c r="AH98" s="29">
        <v>20</v>
      </c>
      <c r="AI98" s="30">
        <f t="shared" si="90"/>
        <v>0.328672074674964</v>
      </c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 t="s">
        <v>156</v>
      </c>
      <c r="AU98" s="34" t="s">
        <v>156</v>
      </c>
      <c r="AV98" s="34" t="s">
        <v>156</v>
      </c>
      <c r="AW98" s="34" t="s">
        <v>156</v>
      </c>
      <c r="AX98" s="34" t="s">
        <v>156</v>
      </c>
      <c r="AY98" s="34" t="s">
        <v>156</v>
      </c>
      <c r="AZ98" s="34" t="s">
        <v>156</v>
      </c>
      <c r="BA98" s="34" t="s">
        <v>156</v>
      </c>
      <c r="BB98" s="34" t="s">
        <v>156</v>
      </c>
      <c r="BC98" s="34" t="s">
        <v>156</v>
      </c>
      <c r="BD98" s="34" t="s">
        <v>156</v>
      </c>
      <c r="BE98" s="34" t="s">
        <v>156</v>
      </c>
      <c r="BF98" s="34" t="s">
        <v>156</v>
      </c>
      <c r="BG98" s="34" t="s">
        <v>156</v>
      </c>
      <c r="BH98" s="34" t="s">
        <v>156</v>
      </c>
      <c r="BI98" s="34" t="s">
        <v>156</v>
      </c>
      <c r="BJ98" s="34" t="s">
        <v>156</v>
      </c>
      <c r="BK98" s="34" t="s">
        <v>156</v>
      </c>
      <c r="BL98" s="34" t="s">
        <v>156</v>
      </c>
      <c r="BM98" s="34" t="s">
        <v>156</v>
      </c>
      <c r="BN98" s="34" t="s">
        <v>156</v>
      </c>
      <c r="BO98" s="34" t="s">
        <v>156</v>
      </c>
      <c r="BP98" s="34" t="s">
        <v>156</v>
      </c>
      <c r="BQ98" s="34" t="s">
        <v>156</v>
      </c>
      <c r="BR98" s="44" t="e">
        <f>IF(E98&lt;#REF!,1,0)</f>
        <v>#REF!</v>
      </c>
      <c r="BS98" s="20" t="s">
        <v>157</v>
      </c>
    </row>
    <row r="99" ht="16.5" spans="1:71">
      <c r="A99" s="21" t="s">
        <v>165</v>
      </c>
      <c r="B99" s="21"/>
      <c r="C99" s="21"/>
      <c r="D99" s="42" t="s">
        <v>166</v>
      </c>
      <c r="E99" s="23">
        <v>62</v>
      </c>
      <c r="F99" s="24">
        <v>89.99</v>
      </c>
      <c r="G99" s="25">
        <f t="shared" si="68"/>
        <v>89.99</v>
      </c>
      <c r="H99" s="25">
        <f t="shared" si="69"/>
        <v>74.9916666666667</v>
      </c>
      <c r="I99" s="25">
        <f t="shared" si="70"/>
        <v>22.7499955752212</v>
      </c>
      <c r="J99" s="26">
        <f t="shared" si="71"/>
        <v>0.366935412503568</v>
      </c>
      <c r="K99" s="27">
        <f t="shared" si="72"/>
        <v>74.9916666666667</v>
      </c>
      <c r="L99" s="28">
        <f t="shared" si="73"/>
        <v>0.173241471274586</v>
      </c>
      <c r="M99" s="25">
        <f t="shared" si="74"/>
        <v>12.9916666666667</v>
      </c>
      <c r="N99" s="27">
        <f t="shared" si="75"/>
        <v>179.29203539823</v>
      </c>
      <c r="O99" s="27">
        <f t="shared" si="76"/>
        <v>4.5625</v>
      </c>
      <c r="P99" s="21">
        <v>4</v>
      </c>
      <c r="Q99" s="29">
        <v>8</v>
      </c>
      <c r="R99" s="30">
        <f t="shared" si="77"/>
        <v>0</v>
      </c>
      <c r="S99" s="26">
        <f t="shared" si="89"/>
        <v>0</v>
      </c>
      <c r="T99" s="30">
        <f t="shared" si="79"/>
        <v>0</v>
      </c>
      <c r="U99" s="30">
        <v>0.01</v>
      </c>
      <c r="V99" s="30">
        <f t="shared" si="80"/>
        <v>0.361475877819012</v>
      </c>
      <c r="W99" s="30">
        <f t="shared" si="81"/>
        <v>0.0735887096774194</v>
      </c>
      <c r="X99" s="31">
        <v>0.188</v>
      </c>
      <c r="Y99" s="32">
        <v>0</v>
      </c>
      <c r="Z99" s="32">
        <f t="shared" si="91"/>
        <v>0</v>
      </c>
      <c r="AA99" s="32">
        <f t="shared" si="82"/>
        <v>0.62</v>
      </c>
      <c r="AB99" s="27">
        <f t="shared" si="83"/>
        <v>11.656</v>
      </c>
      <c r="AC99" s="27">
        <v>180</v>
      </c>
      <c r="AD99" s="33">
        <f t="shared" si="84"/>
        <v>159.29203539823</v>
      </c>
      <c r="AE99" s="29">
        <f t="shared" si="85"/>
        <v>2.5</v>
      </c>
      <c r="AF99" s="30">
        <f t="shared" si="86"/>
        <v>0.321153297173851</v>
      </c>
      <c r="AG99" s="30">
        <f t="shared" si="87"/>
        <v>0.0403225806451613</v>
      </c>
      <c r="AH99" s="29">
        <v>20</v>
      </c>
      <c r="AI99" s="30">
        <f t="shared" si="90"/>
        <v>0.328672074674964</v>
      </c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 t="s">
        <v>156</v>
      </c>
      <c r="AU99" s="34" t="s">
        <v>156</v>
      </c>
      <c r="AV99" s="34" t="s">
        <v>156</v>
      </c>
      <c r="AW99" s="34" t="s">
        <v>156</v>
      </c>
      <c r="AX99" s="34" t="s">
        <v>156</v>
      </c>
      <c r="AY99" s="34" t="s">
        <v>156</v>
      </c>
      <c r="AZ99" s="34" t="s">
        <v>156</v>
      </c>
      <c r="BA99" s="34" t="s">
        <v>156</v>
      </c>
      <c r="BB99" s="34" t="s">
        <v>156</v>
      </c>
      <c r="BC99" s="34" t="s">
        <v>156</v>
      </c>
      <c r="BD99" s="34" t="s">
        <v>156</v>
      </c>
      <c r="BE99" s="34" t="s">
        <v>156</v>
      </c>
      <c r="BF99" s="34" t="s">
        <v>156</v>
      </c>
      <c r="BG99" s="34" t="s">
        <v>156</v>
      </c>
      <c r="BH99" s="34" t="s">
        <v>156</v>
      </c>
      <c r="BI99" s="34" t="s">
        <v>156</v>
      </c>
      <c r="BJ99" s="34" t="s">
        <v>156</v>
      </c>
      <c r="BK99" s="34" t="s">
        <v>156</v>
      </c>
      <c r="BL99" s="34" t="s">
        <v>156</v>
      </c>
      <c r="BM99" s="34" t="s">
        <v>156</v>
      </c>
      <c r="BN99" s="34" t="s">
        <v>156</v>
      </c>
      <c r="BO99" s="34" t="s">
        <v>156</v>
      </c>
      <c r="BP99" s="34" t="s">
        <v>156</v>
      </c>
      <c r="BQ99" s="34" t="s">
        <v>156</v>
      </c>
      <c r="BR99" s="44" t="e">
        <f>IF(E99&lt;#REF!,1,0)</f>
        <v>#REF!</v>
      </c>
      <c r="BS99" s="20" t="s">
        <v>157</v>
      </c>
    </row>
    <row r="100" ht="16.5" spans="1:71">
      <c r="A100" s="21" t="s">
        <v>167</v>
      </c>
      <c r="B100" s="21"/>
      <c r="C100" s="21"/>
      <c r="D100" s="42" t="s">
        <v>168</v>
      </c>
      <c r="E100" s="23">
        <v>62</v>
      </c>
      <c r="F100" s="24">
        <v>89.99</v>
      </c>
      <c r="G100" s="25">
        <f t="shared" si="68"/>
        <v>89.99</v>
      </c>
      <c r="H100" s="25">
        <f t="shared" si="69"/>
        <v>74.9916666666667</v>
      </c>
      <c r="I100" s="25">
        <f t="shared" si="70"/>
        <v>23.7499955752212</v>
      </c>
      <c r="J100" s="26">
        <f t="shared" si="71"/>
        <v>0.383064444761633</v>
      </c>
      <c r="K100" s="27">
        <f t="shared" si="72"/>
        <v>74.9916666666667</v>
      </c>
      <c r="L100" s="28">
        <f t="shared" si="73"/>
        <v>0.173241471274586</v>
      </c>
      <c r="M100" s="25">
        <f t="shared" si="74"/>
        <v>12.9916666666667</v>
      </c>
      <c r="N100" s="27">
        <f t="shared" si="75"/>
        <v>179.29203539823</v>
      </c>
      <c r="O100" s="27">
        <f t="shared" si="76"/>
        <v>3.5625</v>
      </c>
      <c r="P100" s="21">
        <v>4</v>
      </c>
      <c r="Q100" s="29">
        <v>8</v>
      </c>
      <c r="R100" s="30">
        <f t="shared" si="77"/>
        <v>0</v>
      </c>
      <c r="S100" s="26">
        <f t="shared" si="89"/>
        <v>0</v>
      </c>
      <c r="T100" s="30">
        <f t="shared" si="79"/>
        <v>0</v>
      </c>
      <c r="U100" s="30">
        <v>0.01</v>
      </c>
      <c r="V100" s="30">
        <f t="shared" si="80"/>
        <v>0.361475877819012</v>
      </c>
      <c r="W100" s="30">
        <f t="shared" si="81"/>
        <v>0.0574596774193548</v>
      </c>
      <c r="X100" s="31">
        <v>0.188</v>
      </c>
      <c r="Y100" s="32">
        <v>0</v>
      </c>
      <c r="Z100" s="32">
        <f t="shared" si="91"/>
        <v>0</v>
      </c>
      <c r="AA100" s="32">
        <f t="shared" si="82"/>
        <v>0.62</v>
      </c>
      <c r="AB100" s="27">
        <f t="shared" si="83"/>
        <v>11.656</v>
      </c>
      <c r="AC100" s="27">
        <v>180</v>
      </c>
      <c r="AD100" s="33">
        <f t="shared" si="84"/>
        <v>159.29203539823</v>
      </c>
      <c r="AE100" s="29">
        <f t="shared" si="85"/>
        <v>2.5</v>
      </c>
      <c r="AF100" s="30">
        <f t="shared" si="86"/>
        <v>0.321153297173851</v>
      </c>
      <c r="AG100" s="30">
        <f t="shared" si="87"/>
        <v>0.0403225806451613</v>
      </c>
      <c r="AH100" s="29">
        <v>20</v>
      </c>
      <c r="AI100" s="30">
        <f t="shared" si="90"/>
        <v>0.328672074674964</v>
      </c>
      <c r="AJ100" s="30"/>
      <c r="AK100" s="30"/>
      <c r="AL100" s="30"/>
      <c r="AM100" s="30"/>
      <c r="AN100" s="34"/>
      <c r="AO100" s="34"/>
      <c r="AP100" s="34"/>
      <c r="AQ100" s="34"/>
      <c r="AR100" s="34"/>
      <c r="AS100" s="34"/>
      <c r="AT100" s="34" t="s">
        <v>156</v>
      </c>
      <c r="AU100" s="34" t="s">
        <v>156</v>
      </c>
      <c r="AV100" s="34" t="s">
        <v>156</v>
      </c>
      <c r="AW100" s="34" t="s">
        <v>156</v>
      </c>
      <c r="AX100" s="34" t="s">
        <v>156</v>
      </c>
      <c r="AY100" s="34" t="s">
        <v>156</v>
      </c>
      <c r="AZ100" s="34" t="s">
        <v>156</v>
      </c>
      <c r="BA100" s="34" t="s">
        <v>156</v>
      </c>
      <c r="BB100" s="34" t="s">
        <v>156</v>
      </c>
      <c r="BC100" s="34" t="s">
        <v>156</v>
      </c>
      <c r="BD100" s="34" t="s">
        <v>156</v>
      </c>
      <c r="BE100" s="34" t="s">
        <v>156</v>
      </c>
      <c r="BF100" s="34" t="s">
        <v>156</v>
      </c>
      <c r="BG100" s="34" t="s">
        <v>156</v>
      </c>
      <c r="BH100" s="34" t="s">
        <v>156</v>
      </c>
      <c r="BI100" s="34" t="s">
        <v>156</v>
      </c>
      <c r="BJ100" s="34" t="s">
        <v>156</v>
      </c>
      <c r="BK100" s="34" t="s">
        <v>156</v>
      </c>
      <c r="BL100" s="34" t="s">
        <v>156</v>
      </c>
      <c r="BM100" s="34" t="s">
        <v>156</v>
      </c>
      <c r="BN100" s="34" t="s">
        <v>156</v>
      </c>
      <c r="BO100" s="34" t="s">
        <v>156</v>
      </c>
      <c r="BP100" s="34" t="s">
        <v>156</v>
      </c>
      <c r="BQ100" s="34" t="s">
        <v>156</v>
      </c>
      <c r="BR100" s="44" t="e">
        <f>IF(E100&lt;#REF!,1,0)</f>
        <v>#REF!</v>
      </c>
      <c r="BS100" s="20" t="s">
        <v>157</v>
      </c>
    </row>
    <row r="101" spans="1:7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9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</row>
    <row r="102" ht="16.5" spans="1:71">
      <c r="A102" s="20" t="s">
        <v>50</v>
      </c>
      <c r="B102" s="21"/>
      <c r="C102" s="21"/>
      <c r="D102" s="39" t="s">
        <v>174</v>
      </c>
      <c r="E102" s="38">
        <v>13.1</v>
      </c>
      <c r="F102" s="38">
        <v>18.99</v>
      </c>
      <c r="G102" s="50">
        <f t="shared" ref="G102:G142" si="92">(F102-Z102)</f>
        <v>18.99</v>
      </c>
      <c r="H102" s="25">
        <f t="shared" ref="H102:H125" si="93">(F102-Z102)/1.2</f>
        <v>15.825</v>
      </c>
      <c r="I102" s="50">
        <f t="shared" ref="I102:I125" si="94">E102-N102/Q102-AB102-Y102-O102-Z102-AA102</f>
        <v>2.6401075712881</v>
      </c>
      <c r="J102" s="26">
        <f t="shared" ref="J102:J125" si="95">I102/E102</f>
        <v>0.201534929105962</v>
      </c>
      <c r="K102" s="27">
        <f t="shared" ref="K102:K125" si="96">F102/1.2</f>
        <v>15.825</v>
      </c>
      <c r="L102" s="28">
        <f t="shared" ref="L102:L125" si="97">(K102-E102)/K102</f>
        <v>0.172195892575039</v>
      </c>
      <c r="M102" s="25">
        <f t="shared" ref="M102:M125" si="98">F102/1.2-E102</f>
        <v>2.725</v>
      </c>
      <c r="N102" s="27">
        <f t="shared" ref="N102:N125" si="99">AD102+AH102</f>
        <v>52.3628318584071</v>
      </c>
      <c r="O102" s="27">
        <f t="shared" ref="O102:O125" si="100">IFERROR(IF(A102="UK",8.95/P102,IF(A102="DE",7.75/P102,IF(A102="FR",14.25/P102,IF(A102="IT",15.25/P102,IF(A102="ES",19.25/P102,IF(A102="NL",16.75/P102,IF(A102="PL",14.05/P102,IF(A102="SE",18.25/P102,IF(A102="BE",14.25/P102))))))))),0)</f>
        <v>0.179</v>
      </c>
      <c r="P102" s="20">
        <v>50</v>
      </c>
      <c r="Q102" s="29">
        <v>9</v>
      </c>
      <c r="R102" s="30">
        <f t="shared" ref="R102:R125" si="101">Y102/E102</f>
        <v>0.152671755725191</v>
      </c>
      <c r="S102" s="26">
        <f t="shared" ref="S102:S105" si="102">Y102/H102</f>
        <v>0.126382306477093</v>
      </c>
      <c r="T102" s="30">
        <f t="shared" ref="T102:T125" si="103">Z102/E102</f>
        <v>0</v>
      </c>
      <c r="U102" s="30">
        <v>0.01</v>
      </c>
      <c r="V102" s="30">
        <f t="shared" ref="V102:V125" si="104">N102/(E102*Q102)</f>
        <v>0.444129193031443</v>
      </c>
      <c r="W102" s="30">
        <f t="shared" ref="W102:W125" si="105">O102/E102</f>
        <v>0.0136641221374046</v>
      </c>
      <c r="X102" s="31">
        <v>0.178</v>
      </c>
      <c r="Y102" s="32">
        <v>2</v>
      </c>
      <c r="Z102" s="32">
        <f>F102*0</f>
        <v>0</v>
      </c>
      <c r="AA102" s="32">
        <f t="shared" ref="AA102:AA125" si="106">E102*U102</f>
        <v>0.131</v>
      </c>
      <c r="AB102" s="27">
        <f t="shared" ref="AB102:AB125" si="107">E102*X102</f>
        <v>2.3318</v>
      </c>
      <c r="AC102" s="27">
        <v>49</v>
      </c>
      <c r="AD102" s="33">
        <f t="shared" ref="AD102:AD125" si="108">AC102/1.13</f>
        <v>43.3628318584071</v>
      </c>
      <c r="AE102" s="29">
        <f t="shared" ref="AE102:AE125" si="109">AH102/Q102</f>
        <v>1</v>
      </c>
      <c r="AF102" s="30">
        <f t="shared" ref="AF102:AF125" si="110">AD102/(E102*Q102)</f>
        <v>0.367793315168847</v>
      </c>
      <c r="AG102" s="30">
        <f t="shared" ref="AG102:AG125" si="111">AE102/E102</f>
        <v>0.0763358778625954</v>
      </c>
      <c r="AH102" s="29">
        <v>9</v>
      </c>
      <c r="AI102" s="30">
        <f t="shared" ref="AI102:AI112" si="112">(H102-E102+AB102)/H102</f>
        <v>0.319545023696682</v>
      </c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4" t="s">
        <v>156</v>
      </c>
      <c r="AU102" s="34" t="s">
        <v>156</v>
      </c>
      <c r="AV102" s="34" t="s">
        <v>156</v>
      </c>
      <c r="AW102" s="34" t="s">
        <v>156</v>
      </c>
      <c r="AX102" s="34" t="s">
        <v>156</v>
      </c>
      <c r="AY102" s="34" t="s">
        <v>156</v>
      </c>
      <c r="AZ102" s="34" t="s">
        <v>156</v>
      </c>
      <c r="BA102" s="34" t="s">
        <v>156</v>
      </c>
      <c r="BB102" s="34" t="s">
        <v>156</v>
      </c>
      <c r="BC102" s="34" t="s">
        <v>156</v>
      </c>
      <c r="BD102" s="34" t="s">
        <v>156</v>
      </c>
      <c r="BE102" s="34" t="s">
        <v>156</v>
      </c>
      <c r="BF102" s="34" t="s">
        <v>156</v>
      </c>
      <c r="BG102" s="34" t="s">
        <v>156</v>
      </c>
      <c r="BH102" s="34" t="s">
        <v>156</v>
      </c>
      <c r="BI102" s="34" t="s">
        <v>156</v>
      </c>
      <c r="BJ102" s="34" t="s">
        <v>156</v>
      </c>
      <c r="BK102" s="34" t="s">
        <v>156</v>
      </c>
      <c r="BL102" s="34" t="s">
        <v>156</v>
      </c>
      <c r="BM102" s="34" t="s">
        <v>156</v>
      </c>
      <c r="BN102" s="34" t="s">
        <v>156</v>
      </c>
      <c r="BO102" s="34" t="s">
        <v>156</v>
      </c>
      <c r="BP102" s="34" t="s">
        <v>156</v>
      </c>
      <c r="BQ102" s="34" t="s">
        <v>156</v>
      </c>
      <c r="BR102" s="35"/>
      <c r="BS102" s="20" t="s">
        <v>157</v>
      </c>
    </row>
    <row r="103" ht="16.5" spans="1:71">
      <c r="A103" s="20" t="s">
        <v>50</v>
      </c>
      <c r="B103" s="21"/>
      <c r="C103" s="21"/>
      <c r="D103" s="39" t="s">
        <v>175</v>
      </c>
      <c r="E103" s="24">
        <v>13.1</v>
      </c>
      <c r="F103" s="24">
        <v>18.99</v>
      </c>
      <c r="G103" s="25">
        <f t="shared" si="92"/>
        <v>18.0405</v>
      </c>
      <c r="H103" s="25">
        <f t="shared" si="93"/>
        <v>15.03375</v>
      </c>
      <c r="I103" s="25">
        <f t="shared" si="94"/>
        <v>1.6906075712881</v>
      </c>
      <c r="J103" s="26">
        <f t="shared" si="95"/>
        <v>0.129054013075428</v>
      </c>
      <c r="K103" s="27">
        <f t="shared" si="96"/>
        <v>15.825</v>
      </c>
      <c r="L103" s="28">
        <f t="shared" si="97"/>
        <v>0.172195892575039</v>
      </c>
      <c r="M103" s="25">
        <f t="shared" si="98"/>
        <v>2.725</v>
      </c>
      <c r="N103" s="27">
        <f t="shared" si="99"/>
        <v>52.3628318584071</v>
      </c>
      <c r="O103" s="27">
        <f t="shared" si="100"/>
        <v>0.179</v>
      </c>
      <c r="P103" s="21">
        <v>50</v>
      </c>
      <c r="Q103" s="29">
        <v>9</v>
      </c>
      <c r="R103" s="30">
        <f t="shared" si="101"/>
        <v>0.152671755725191</v>
      </c>
      <c r="S103" s="26">
        <f t="shared" si="102"/>
        <v>0.133034006817993</v>
      </c>
      <c r="T103" s="30">
        <f t="shared" si="103"/>
        <v>0.0724809160305344</v>
      </c>
      <c r="U103" s="30">
        <v>0.01</v>
      </c>
      <c r="V103" s="30">
        <f t="shared" si="104"/>
        <v>0.444129193031443</v>
      </c>
      <c r="W103" s="30">
        <f t="shared" si="105"/>
        <v>0.0136641221374046</v>
      </c>
      <c r="X103" s="31">
        <v>0.178</v>
      </c>
      <c r="Y103" s="32">
        <v>2</v>
      </c>
      <c r="Z103" s="32">
        <f>F103*0.05</f>
        <v>0.9495</v>
      </c>
      <c r="AA103" s="32">
        <f t="shared" si="106"/>
        <v>0.131</v>
      </c>
      <c r="AB103" s="27">
        <f t="shared" si="107"/>
        <v>2.3318</v>
      </c>
      <c r="AC103" s="27">
        <v>49</v>
      </c>
      <c r="AD103" s="33">
        <f t="shared" si="108"/>
        <v>43.3628318584071</v>
      </c>
      <c r="AE103" s="29">
        <f t="shared" si="109"/>
        <v>1</v>
      </c>
      <c r="AF103" s="30">
        <f t="shared" si="110"/>
        <v>0.367793315168847</v>
      </c>
      <c r="AG103" s="30">
        <f t="shared" si="111"/>
        <v>0.0763358778625954</v>
      </c>
      <c r="AH103" s="29">
        <v>9</v>
      </c>
      <c r="AI103" s="30">
        <f t="shared" si="112"/>
        <v>0.283731603891245</v>
      </c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4" t="s">
        <v>156</v>
      </c>
      <c r="AU103" s="34" t="s">
        <v>156</v>
      </c>
      <c r="AV103" s="34" t="s">
        <v>156</v>
      </c>
      <c r="AW103" s="34" t="s">
        <v>156</v>
      </c>
      <c r="AX103" s="34" t="s">
        <v>156</v>
      </c>
      <c r="AY103" s="34" t="s">
        <v>156</v>
      </c>
      <c r="AZ103" s="34" t="s">
        <v>156</v>
      </c>
      <c r="BA103" s="34" t="s">
        <v>156</v>
      </c>
      <c r="BB103" s="34" t="s">
        <v>156</v>
      </c>
      <c r="BC103" s="34" t="s">
        <v>156</v>
      </c>
      <c r="BD103" s="34" t="s">
        <v>156</v>
      </c>
      <c r="BE103" s="34" t="s">
        <v>156</v>
      </c>
      <c r="BF103" s="34" t="s">
        <v>156</v>
      </c>
      <c r="BG103" s="34" t="s">
        <v>156</v>
      </c>
      <c r="BH103" s="34" t="s">
        <v>156</v>
      </c>
      <c r="BI103" s="34" t="s">
        <v>156</v>
      </c>
      <c r="BJ103" s="34" t="s">
        <v>156</v>
      </c>
      <c r="BK103" s="34" t="s">
        <v>156</v>
      </c>
      <c r="BL103" s="34" t="s">
        <v>156</v>
      </c>
      <c r="BM103" s="34" t="s">
        <v>156</v>
      </c>
      <c r="BN103" s="34" t="s">
        <v>156</v>
      </c>
      <c r="BO103" s="34" t="s">
        <v>156</v>
      </c>
      <c r="BP103" s="34" t="s">
        <v>156</v>
      </c>
      <c r="BQ103" s="34" t="s">
        <v>156</v>
      </c>
      <c r="BR103" s="35"/>
      <c r="BS103" s="20" t="s">
        <v>157</v>
      </c>
    </row>
    <row r="104" ht="16.5" spans="1:71">
      <c r="A104" s="20" t="s">
        <v>50</v>
      </c>
      <c r="B104" s="21"/>
      <c r="C104" s="21"/>
      <c r="D104" s="39" t="s">
        <v>176</v>
      </c>
      <c r="E104" s="24">
        <v>13.1</v>
      </c>
      <c r="F104" s="24">
        <v>18.99</v>
      </c>
      <c r="G104" s="25">
        <f t="shared" si="92"/>
        <v>17.091</v>
      </c>
      <c r="H104" s="25">
        <f t="shared" si="93"/>
        <v>14.2425</v>
      </c>
      <c r="I104" s="25">
        <f t="shared" si="94"/>
        <v>0.741107571288102</v>
      </c>
      <c r="J104" s="26">
        <f t="shared" si="95"/>
        <v>0.0565730970448933</v>
      </c>
      <c r="K104" s="27">
        <f t="shared" si="96"/>
        <v>15.825</v>
      </c>
      <c r="L104" s="28">
        <f t="shared" si="97"/>
        <v>0.172195892575039</v>
      </c>
      <c r="M104" s="25">
        <f t="shared" si="98"/>
        <v>2.725</v>
      </c>
      <c r="N104" s="27">
        <f t="shared" si="99"/>
        <v>52.3628318584071</v>
      </c>
      <c r="O104" s="27">
        <f t="shared" si="100"/>
        <v>0.179</v>
      </c>
      <c r="P104" s="21">
        <v>50</v>
      </c>
      <c r="Q104" s="29">
        <v>9</v>
      </c>
      <c r="R104" s="30">
        <f t="shared" si="101"/>
        <v>0.152671755725191</v>
      </c>
      <c r="S104" s="26">
        <f t="shared" si="102"/>
        <v>0.140424784974548</v>
      </c>
      <c r="T104" s="30">
        <f t="shared" si="103"/>
        <v>0.144961832061069</v>
      </c>
      <c r="U104" s="30">
        <v>0.01</v>
      </c>
      <c r="V104" s="30">
        <f t="shared" si="104"/>
        <v>0.444129193031443</v>
      </c>
      <c r="W104" s="30">
        <f t="shared" si="105"/>
        <v>0.0136641221374046</v>
      </c>
      <c r="X104" s="31">
        <v>0.178</v>
      </c>
      <c r="Y104" s="32">
        <v>2</v>
      </c>
      <c r="Z104" s="32">
        <f>F104*0.1</f>
        <v>1.899</v>
      </c>
      <c r="AA104" s="32">
        <f t="shared" si="106"/>
        <v>0.131</v>
      </c>
      <c r="AB104" s="27">
        <f t="shared" si="107"/>
        <v>2.3318</v>
      </c>
      <c r="AC104" s="27">
        <v>49</v>
      </c>
      <c r="AD104" s="33">
        <f t="shared" si="108"/>
        <v>43.3628318584071</v>
      </c>
      <c r="AE104" s="29">
        <f t="shared" si="109"/>
        <v>1</v>
      </c>
      <c r="AF104" s="30">
        <f t="shared" si="110"/>
        <v>0.367793315168847</v>
      </c>
      <c r="AG104" s="30">
        <f t="shared" si="111"/>
        <v>0.0763358778625954</v>
      </c>
      <c r="AH104" s="29">
        <v>9</v>
      </c>
      <c r="AI104" s="30">
        <f t="shared" si="112"/>
        <v>0.243938915218536</v>
      </c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4" t="s">
        <v>156</v>
      </c>
      <c r="AU104" s="34" t="s">
        <v>156</v>
      </c>
      <c r="AV104" s="34" t="s">
        <v>156</v>
      </c>
      <c r="AW104" s="34" t="s">
        <v>156</v>
      </c>
      <c r="AX104" s="34" t="s">
        <v>156</v>
      </c>
      <c r="AY104" s="34" t="s">
        <v>156</v>
      </c>
      <c r="AZ104" s="34" t="s">
        <v>156</v>
      </c>
      <c r="BA104" s="34" t="s">
        <v>156</v>
      </c>
      <c r="BB104" s="34" t="s">
        <v>156</v>
      </c>
      <c r="BC104" s="34" t="s">
        <v>156</v>
      </c>
      <c r="BD104" s="34" t="s">
        <v>156</v>
      </c>
      <c r="BE104" s="34" t="s">
        <v>156</v>
      </c>
      <c r="BF104" s="34" t="s">
        <v>156</v>
      </c>
      <c r="BG104" s="34" t="s">
        <v>156</v>
      </c>
      <c r="BH104" s="34" t="s">
        <v>156</v>
      </c>
      <c r="BI104" s="34" t="s">
        <v>156</v>
      </c>
      <c r="BJ104" s="34" t="s">
        <v>156</v>
      </c>
      <c r="BK104" s="34" t="s">
        <v>156</v>
      </c>
      <c r="BL104" s="34" t="s">
        <v>156</v>
      </c>
      <c r="BM104" s="34" t="s">
        <v>156</v>
      </c>
      <c r="BN104" s="34" t="s">
        <v>156</v>
      </c>
      <c r="BO104" s="34" t="s">
        <v>156</v>
      </c>
      <c r="BP104" s="34" t="s">
        <v>156</v>
      </c>
      <c r="BQ104" s="34" t="s">
        <v>156</v>
      </c>
      <c r="BR104" s="35"/>
      <c r="BS104" s="20" t="s">
        <v>157</v>
      </c>
    </row>
    <row r="105" ht="16.5" spans="1:71">
      <c r="A105" s="20" t="s">
        <v>50</v>
      </c>
      <c r="B105" s="21"/>
      <c r="C105" s="21"/>
      <c r="D105" s="39" t="s">
        <v>177</v>
      </c>
      <c r="E105" s="24">
        <v>13.1</v>
      </c>
      <c r="F105" s="24">
        <v>18.99</v>
      </c>
      <c r="G105" s="50">
        <f t="shared" si="92"/>
        <v>16.1415</v>
      </c>
      <c r="H105" s="25">
        <f t="shared" si="93"/>
        <v>13.45125</v>
      </c>
      <c r="I105" s="50">
        <f t="shared" si="94"/>
        <v>0.0138297935103242</v>
      </c>
      <c r="J105" s="26">
        <f t="shared" si="95"/>
        <v>0.00105570942826902</v>
      </c>
      <c r="K105" s="27">
        <f t="shared" si="96"/>
        <v>15.825</v>
      </c>
      <c r="L105" s="28">
        <f t="shared" si="97"/>
        <v>0.172195892575039</v>
      </c>
      <c r="M105" s="25">
        <f t="shared" si="98"/>
        <v>2.725</v>
      </c>
      <c r="N105" s="27">
        <f t="shared" si="99"/>
        <v>50.3628318584071</v>
      </c>
      <c r="O105" s="27">
        <f t="shared" si="100"/>
        <v>0.179</v>
      </c>
      <c r="P105" s="21">
        <v>50</v>
      </c>
      <c r="Q105" s="29">
        <v>9</v>
      </c>
      <c r="R105" s="30">
        <f t="shared" si="101"/>
        <v>0.152671755725191</v>
      </c>
      <c r="S105" s="26">
        <f t="shared" si="102"/>
        <v>0.148685066443639</v>
      </c>
      <c r="T105" s="30">
        <f t="shared" si="103"/>
        <v>0.217442748091603</v>
      </c>
      <c r="U105" s="30">
        <v>0.01</v>
      </c>
      <c r="V105" s="30">
        <f t="shared" si="104"/>
        <v>0.427165664617533</v>
      </c>
      <c r="W105" s="30">
        <f t="shared" si="105"/>
        <v>0.0136641221374046</v>
      </c>
      <c r="X105" s="31">
        <v>0.178</v>
      </c>
      <c r="Y105" s="32">
        <v>2</v>
      </c>
      <c r="Z105" s="32">
        <f>F105*0.15</f>
        <v>2.8485</v>
      </c>
      <c r="AA105" s="32">
        <f t="shared" si="106"/>
        <v>0.131</v>
      </c>
      <c r="AB105" s="27">
        <f t="shared" si="107"/>
        <v>2.3318</v>
      </c>
      <c r="AC105" s="27">
        <v>49</v>
      </c>
      <c r="AD105" s="33">
        <f t="shared" si="108"/>
        <v>43.3628318584071</v>
      </c>
      <c r="AE105" s="29">
        <f t="shared" si="109"/>
        <v>0.777777777777778</v>
      </c>
      <c r="AF105" s="30">
        <f t="shared" si="110"/>
        <v>0.367793315168847</v>
      </c>
      <c r="AG105" s="30">
        <f t="shared" si="111"/>
        <v>0.0593723494486853</v>
      </c>
      <c r="AH105" s="29">
        <v>7</v>
      </c>
      <c r="AI105" s="30">
        <f t="shared" si="112"/>
        <v>0.199464733760803</v>
      </c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4" t="s">
        <v>156</v>
      </c>
      <c r="AU105" s="34" t="s">
        <v>156</v>
      </c>
      <c r="AV105" s="34" t="s">
        <v>156</v>
      </c>
      <c r="AW105" s="34" t="s">
        <v>156</v>
      </c>
      <c r="AX105" s="34" t="s">
        <v>156</v>
      </c>
      <c r="AY105" s="34" t="s">
        <v>156</v>
      </c>
      <c r="AZ105" s="34" t="s">
        <v>156</v>
      </c>
      <c r="BA105" s="34" t="s">
        <v>156</v>
      </c>
      <c r="BB105" s="34" t="s">
        <v>156</v>
      </c>
      <c r="BC105" s="34" t="s">
        <v>156</v>
      </c>
      <c r="BD105" s="34" t="s">
        <v>156</v>
      </c>
      <c r="BE105" s="34" t="s">
        <v>156</v>
      </c>
      <c r="BF105" s="34" t="s">
        <v>156</v>
      </c>
      <c r="BG105" s="34" t="s">
        <v>156</v>
      </c>
      <c r="BH105" s="34" t="s">
        <v>156</v>
      </c>
      <c r="BI105" s="34" t="s">
        <v>156</v>
      </c>
      <c r="BJ105" s="34" t="s">
        <v>156</v>
      </c>
      <c r="BK105" s="34" t="s">
        <v>156</v>
      </c>
      <c r="BL105" s="34" t="s">
        <v>156</v>
      </c>
      <c r="BM105" s="34" t="s">
        <v>156</v>
      </c>
      <c r="BN105" s="34" t="s">
        <v>156</v>
      </c>
      <c r="BO105" s="34" t="s">
        <v>156</v>
      </c>
      <c r="BP105" s="34" t="s">
        <v>156</v>
      </c>
      <c r="BQ105" s="34" t="s">
        <v>156</v>
      </c>
      <c r="BR105" s="35"/>
      <c r="BS105" s="20" t="s">
        <v>157</v>
      </c>
    </row>
    <row r="106" ht="16.5" spans="1:71">
      <c r="A106" s="21" t="s">
        <v>37</v>
      </c>
      <c r="B106" s="21"/>
      <c r="C106" s="21"/>
      <c r="D106" s="39" t="s">
        <v>174</v>
      </c>
      <c r="E106" s="38">
        <v>13.8</v>
      </c>
      <c r="F106" s="38">
        <v>19.99</v>
      </c>
      <c r="G106" s="50">
        <f t="shared" si="92"/>
        <v>19.99</v>
      </c>
      <c r="H106" s="25">
        <f t="shared" si="93"/>
        <v>16.6583333333333</v>
      </c>
      <c r="I106" s="50">
        <f t="shared" si="94"/>
        <v>2.61724601769912</v>
      </c>
      <c r="J106" s="26">
        <f t="shared" si="95"/>
        <v>0.189655508528921</v>
      </c>
      <c r="K106" s="27">
        <f t="shared" si="96"/>
        <v>16.6583333333333</v>
      </c>
      <c r="L106" s="28">
        <f t="shared" si="97"/>
        <v>0.171585792896448</v>
      </c>
      <c r="M106" s="25">
        <f t="shared" si="98"/>
        <v>2.85833333333333</v>
      </c>
      <c r="N106" s="27">
        <f t="shared" si="99"/>
        <v>50.3628318584071</v>
      </c>
      <c r="O106" s="27">
        <f t="shared" si="100"/>
        <v>0.155</v>
      </c>
      <c r="P106" s="21">
        <v>50</v>
      </c>
      <c r="Q106" s="29">
        <v>8</v>
      </c>
      <c r="R106" s="30">
        <f t="shared" si="101"/>
        <v>0.144927536231884</v>
      </c>
      <c r="S106" s="26">
        <f t="shared" ref="S106:S125" si="113">Y106/F106</f>
        <v>0.100050025012506</v>
      </c>
      <c r="T106" s="30">
        <f t="shared" si="103"/>
        <v>0</v>
      </c>
      <c r="U106" s="30">
        <v>0.01</v>
      </c>
      <c r="V106" s="30">
        <f t="shared" si="104"/>
        <v>0.456185071181224</v>
      </c>
      <c r="W106" s="30">
        <f t="shared" si="105"/>
        <v>0.011231884057971</v>
      </c>
      <c r="X106" s="31">
        <v>0.188</v>
      </c>
      <c r="Y106" s="32">
        <v>2</v>
      </c>
      <c r="Z106" s="32">
        <v>0</v>
      </c>
      <c r="AA106" s="32">
        <f t="shared" si="106"/>
        <v>0.138</v>
      </c>
      <c r="AB106" s="27">
        <f t="shared" si="107"/>
        <v>2.5944</v>
      </c>
      <c r="AC106" s="27">
        <v>49</v>
      </c>
      <c r="AD106" s="33">
        <f t="shared" si="108"/>
        <v>43.3628318584071</v>
      </c>
      <c r="AE106" s="29">
        <f t="shared" si="109"/>
        <v>0.875</v>
      </c>
      <c r="AF106" s="30">
        <f t="shared" si="110"/>
        <v>0.392779274079774</v>
      </c>
      <c r="AG106" s="30">
        <f t="shared" si="111"/>
        <v>0.0634057971014493</v>
      </c>
      <c r="AH106" s="29">
        <v>7</v>
      </c>
      <c r="AI106" s="30">
        <f t="shared" si="112"/>
        <v>0.327327663831916</v>
      </c>
      <c r="AJ106" s="30"/>
      <c r="AK106" s="30"/>
      <c r="AL106" s="30"/>
      <c r="AM106" s="30"/>
      <c r="AN106" s="34"/>
      <c r="AO106" s="34"/>
      <c r="AP106" s="34"/>
      <c r="AQ106" s="34"/>
      <c r="AR106" s="34"/>
      <c r="AS106" s="34"/>
      <c r="AT106" s="34" t="s">
        <v>156</v>
      </c>
      <c r="AU106" s="34" t="s">
        <v>156</v>
      </c>
      <c r="AV106" s="34" t="s">
        <v>156</v>
      </c>
      <c r="AW106" s="34" t="s">
        <v>156</v>
      </c>
      <c r="AX106" s="34" t="s">
        <v>156</v>
      </c>
      <c r="AY106" s="34" t="s">
        <v>156</v>
      </c>
      <c r="AZ106" s="34" t="s">
        <v>156</v>
      </c>
      <c r="BA106" s="34" t="s">
        <v>156</v>
      </c>
      <c r="BB106" s="34" t="s">
        <v>156</v>
      </c>
      <c r="BC106" s="34" t="s">
        <v>156</v>
      </c>
      <c r="BD106" s="34" t="s">
        <v>156</v>
      </c>
      <c r="BE106" s="34" t="s">
        <v>156</v>
      </c>
      <c r="BF106" s="34" t="s">
        <v>156</v>
      </c>
      <c r="BG106" s="34" t="s">
        <v>156</v>
      </c>
      <c r="BH106" s="34" t="s">
        <v>156</v>
      </c>
      <c r="BI106" s="34" t="s">
        <v>156</v>
      </c>
      <c r="BJ106" s="34" t="s">
        <v>156</v>
      </c>
      <c r="BK106" s="34" t="s">
        <v>156</v>
      </c>
      <c r="BL106" s="34" t="s">
        <v>156</v>
      </c>
      <c r="BM106" s="34" t="s">
        <v>156</v>
      </c>
      <c r="BN106" s="34" t="s">
        <v>156</v>
      </c>
      <c r="BO106" s="34" t="s">
        <v>156</v>
      </c>
      <c r="BP106" s="34" t="s">
        <v>156</v>
      </c>
      <c r="BQ106" s="34" t="s">
        <v>156</v>
      </c>
      <c r="BR106" s="35"/>
      <c r="BS106" s="20" t="s">
        <v>157</v>
      </c>
    </row>
    <row r="107" ht="16.5" spans="1:71">
      <c r="A107" s="21" t="s">
        <v>37</v>
      </c>
      <c r="B107" s="21"/>
      <c r="C107" s="21"/>
      <c r="D107" s="39" t="s">
        <v>175</v>
      </c>
      <c r="E107" s="24">
        <v>13.8</v>
      </c>
      <c r="F107" s="24">
        <v>19.99</v>
      </c>
      <c r="G107" s="25">
        <f t="shared" si="92"/>
        <v>18.9905</v>
      </c>
      <c r="H107" s="25">
        <f t="shared" si="93"/>
        <v>15.8254166666667</v>
      </c>
      <c r="I107" s="25">
        <f t="shared" si="94"/>
        <v>1.61774601769912</v>
      </c>
      <c r="J107" s="26">
        <f t="shared" si="95"/>
        <v>0.117227972297037</v>
      </c>
      <c r="K107" s="27">
        <f t="shared" si="96"/>
        <v>16.6583333333333</v>
      </c>
      <c r="L107" s="28">
        <f t="shared" si="97"/>
        <v>0.171585792896448</v>
      </c>
      <c r="M107" s="25">
        <f t="shared" si="98"/>
        <v>2.85833333333333</v>
      </c>
      <c r="N107" s="27">
        <f t="shared" si="99"/>
        <v>50.3628318584071</v>
      </c>
      <c r="O107" s="27">
        <f t="shared" si="100"/>
        <v>0.155</v>
      </c>
      <c r="P107" s="21">
        <v>50</v>
      </c>
      <c r="Q107" s="29">
        <v>8</v>
      </c>
      <c r="R107" s="30">
        <f t="shared" si="101"/>
        <v>0.144927536231884</v>
      </c>
      <c r="S107" s="26">
        <f t="shared" si="113"/>
        <v>0.100050025012506</v>
      </c>
      <c r="T107" s="30">
        <f t="shared" si="103"/>
        <v>0.0724275362318841</v>
      </c>
      <c r="U107" s="30">
        <v>0.01</v>
      </c>
      <c r="V107" s="30">
        <f t="shared" si="104"/>
        <v>0.456185071181224</v>
      </c>
      <c r="W107" s="30">
        <f t="shared" si="105"/>
        <v>0.011231884057971</v>
      </c>
      <c r="X107" s="31">
        <v>0.188</v>
      </c>
      <c r="Y107" s="32">
        <v>2</v>
      </c>
      <c r="Z107" s="32">
        <f>F107*0.05</f>
        <v>0.9995</v>
      </c>
      <c r="AA107" s="32">
        <f t="shared" si="106"/>
        <v>0.138</v>
      </c>
      <c r="AB107" s="27">
        <f t="shared" si="107"/>
        <v>2.5944</v>
      </c>
      <c r="AC107" s="27">
        <v>49</v>
      </c>
      <c r="AD107" s="33">
        <f t="shared" si="108"/>
        <v>43.3628318584071</v>
      </c>
      <c r="AE107" s="29">
        <f t="shared" si="109"/>
        <v>0.875</v>
      </c>
      <c r="AF107" s="30">
        <f t="shared" si="110"/>
        <v>0.392779274079774</v>
      </c>
      <c r="AG107" s="30">
        <f t="shared" si="111"/>
        <v>0.0634057971014493</v>
      </c>
      <c r="AH107" s="29">
        <v>7</v>
      </c>
      <c r="AI107" s="30">
        <f t="shared" si="112"/>
        <v>0.291923856665175</v>
      </c>
      <c r="AJ107" s="30"/>
      <c r="AK107" s="30"/>
      <c r="AL107" s="30"/>
      <c r="AM107" s="30"/>
      <c r="AN107" s="34"/>
      <c r="AO107" s="34"/>
      <c r="AP107" s="34"/>
      <c r="AQ107" s="34"/>
      <c r="AR107" s="34"/>
      <c r="AS107" s="34"/>
      <c r="AT107" s="34" t="s">
        <v>156</v>
      </c>
      <c r="AU107" s="34" t="s">
        <v>156</v>
      </c>
      <c r="AV107" s="34" t="s">
        <v>156</v>
      </c>
      <c r="AW107" s="34" t="s">
        <v>156</v>
      </c>
      <c r="AX107" s="34" t="s">
        <v>156</v>
      </c>
      <c r="AY107" s="34" t="s">
        <v>156</v>
      </c>
      <c r="AZ107" s="34" t="s">
        <v>156</v>
      </c>
      <c r="BA107" s="34" t="s">
        <v>156</v>
      </c>
      <c r="BB107" s="34" t="s">
        <v>156</v>
      </c>
      <c r="BC107" s="34" t="s">
        <v>156</v>
      </c>
      <c r="BD107" s="34" t="s">
        <v>156</v>
      </c>
      <c r="BE107" s="34" t="s">
        <v>156</v>
      </c>
      <c r="BF107" s="34" t="s">
        <v>156</v>
      </c>
      <c r="BG107" s="34" t="s">
        <v>156</v>
      </c>
      <c r="BH107" s="34" t="s">
        <v>156</v>
      </c>
      <c r="BI107" s="34" t="s">
        <v>156</v>
      </c>
      <c r="BJ107" s="34" t="s">
        <v>156</v>
      </c>
      <c r="BK107" s="34" t="s">
        <v>156</v>
      </c>
      <c r="BL107" s="34" t="s">
        <v>156</v>
      </c>
      <c r="BM107" s="34" t="s">
        <v>156</v>
      </c>
      <c r="BN107" s="34" t="s">
        <v>156</v>
      </c>
      <c r="BO107" s="34" t="s">
        <v>156</v>
      </c>
      <c r="BP107" s="34" t="s">
        <v>156</v>
      </c>
      <c r="BQ107" s="34" t="s">
        <v>156</v>
      </c>
      <c r="BR107" s="35"/>
      <c r="BS107" s="20" t="s">
        <v>157</v>
      </c>
    </row>
    <row r="108" ht="16.5" spans="1:71">
      <c r="A108" s="21" t="s">
        <v>37</v>
      </c>
      <c r="B108" s="21"/>
      <c r="C108" s="21"/>
      <c r="D108" s="39" t="s">
        <v>176</v>
      </c>
      <c r="E108" s="24">
        <v>13.8</v>
      </c>
      <c r="F108" s="24">
        <v>19.99</v>
      </c>
      <c r="G108" s="25">
        <f t="shared" si="92"/>
        <v>17.991</v>
      </c>
      <c r="H108" s="25">
        <f t="shared" si="93"/>
        <v>14.9925</v>
      </c>
      <c r="I108" s="25">
        <f t="shared" si="94"/>
        <v>0.618246017699115</v>
      </c>
      <c r="J108" s="26">
        <f t="shared" si="95"/>
        <v>0.0448004360651533</v>
      </c>
      <c r="K108" s="27">
        <f t="shared" si="96"/>
        <v>16.6583333333333</v>
      </c>
      <c r="L108" s="28">
        <f t="shared" si="97"/>
        <v>0.171585792896448</v>
      </c>
      <c r="M108" s="25">
        <f t="shared" si="98"/>
        <v>2.85833333333333</v>
      </c>
      <c r="N108" s="27">
        <f t="shared" si="99"/>
        <v>50.3628318584071</v>
      </c>
      <c r="O108" s="27">
        <f t="shared" si="100"/>
        <v>0.155</v>
      </c>
      <c r="P108" s="21">
        <v>50</v>
      </c>
      <c r="Q108" s="29">
        <v>8</v>
      </c>
      <c r="R108" s="30">
        <f t="shared" si="101"/>
        <v>0.144927536231884</v>
      </c>
      <c r="S108" s="26">
        <f t="shared" si="113"/>
        <v>0.100050025012506</v>
      </c>
      <c r="T108" s="30">
        <f t="shared" si="103"/>
        <v>0.144855072463768</v>
      </c>
      <c r="U108" s="30">
        <v>0.01</v>
      </c>
      <c r="V108" s="30">
        <f t="shared" si="104"/>
        <v>0.456185071181224</v>
      </c>
      <c r="W108" s="30">
        <f t="shared" si="105"/>
        <v>0.011231884057971</v>
      </c>
      <c r="X108" s="31">
        <v>0.188</v>
      </c>
      <c r="Y108" s="32">
        <v>2</v>
      </c>
      <c r="Z108" s="32">
        <f>F108*0.1</f>
        <v>1.999</v>
      </c>
      <c r="AA108" s="32">
        <f t="shared" si="106"/>
        <v>0.138</v>
      </c>
      <c r="AB108" s="27">
        <f t="shared" si="107"/>
        <v>2.5944</v>
      </c>
      <c r="AC108" s="27">
        <v>49</v>
      </c>
      <c r="AD108" s="33">
        <f t="shared" si="108"/>
        <v>43.3628318584071</v>
      </c>
      <c r="AE108" s="29">
        <f t="shared" si="109"/>
        <v>0.875</v>
      </c>
      <c r="AF108" s="30">
        <f t="shared" si="110"/>
        <v>0.392779274079774</v>
      </c>
      <c r="AG108" s="30">
        <f t="shared" si="111"/>
        <v>0.0634057971014493</v>
      </c>
      <c r="AH108" s="29">
        <v>7</v>
      </c>
      <c r="AI108" s="30">
        <f t="shared" si="112"/>
        <v>0.252586293146573</v>
      </c>
      <c r="AJ108" s="30"/>
      <c r="AK108" s="30"/>
      <c r="AL108" s="30"/>
      <c r="AM108" s="30"/>
      <c r="AN108" s="34"/>
      <c r="AO108" s="34"/>
      <c r="AP108" s="34"/>
      <c r="AQ108" s="34"/>
      <c r="AR108" s="34"/>
      <c r="AS108" s="34"/>
      <c r="AT108" s="34" t="s">
        <v>156</v>
      </c>
      <c r="AU108" s="34" t="s">
        <v>156</v>
      </c>
      <c r="AV108" s="34" t="s">
        <v>156</v>
      </c>
      <c r="AW108" s="34" t="s">
        <v>156</v>
      </c>
      <c r="AX108" s="34" t="s">
        <v>156</v>
      </c>
      <c r="AY108" s="34" t="s">
        <v>156</v>
      </c>
      <c r="AZ108" s="34" t="s">
        <v>156</v>
      </c>
      <c r="BA108" s="34" t="s">
        <v>156</v>
      </c>
      <c r="BB108" s="34" t="s">
        <v>156</v>
      </c>
      <c r="BC108" s="34" t="s">
        <v>156</v>
      </c>
      <c r="BD108" s="34" t="s">
        <v>156</v>
      </c>
      <c r="BE108" s="34" t="s">
        <v>156</v>
      </c>
      <c r="BF108" s="34" t="s">
        <v>156</v>
      </c>
      <c r="BG108" s="34" t="s">
        <v>156</v>
      </c>
      <c r="BH108" s="34" t="s">
        <v>156</v>
      </c>
      <c r="BI108" s="34" t="s">
        <v>156</v>
      </c>
      <c r="BJ108" s="34" t="s">
        <v>156</v>
      </c>
      <c r="BK108" s="34" t="s">
        <v>156</v>
      </c>
      <c r="BL108" s="34" t="s">
        <v>156</v>
      </c>
      <c r="BM108" s="34" t="s">
        <v>156</v>
      </c>
      <c r="BN108" s="34" t="s">
        <v>156</v>
      </c>
      <c r="BO108" s="34" t="s">
        <v>156</v>
      </c>
      <c r="BP108" s="34" t="s">
        <v>156</v>
      </c>
      <c r="BQ108" s="34" t="s">
        <v>156</v>
      </c>
      <c r="BR108" s="35"/>
      <c r="BS108" s="20" t="s">
        <v>157</v>
      </c>
    </row>
    <row r="109" ht="16.5" spans="1:71">
      <c r="A109" s="21" t="s">
        <v>37</v>
      </c>
      <c r="B109" s="21"/>
      <c r="C109" s="21"/>
      <c r="D109" s="39" t="s">
        <v>177</v>
      </c>
      <c r="E109" s="24">
        <v>13.8</v>
      </c>
      <c r="F109" s="24">
        <v>19.99</v>
      </c>
      <c r="G109" s="50">
        <f t="shared" si="92"/>
        <v>16.9915</v>
      </c>
      <c r="H109" s="25">
        <f t="shared" si="93"/>
        <v>14.1595833333333</v>
      </c>
      <c r="I109" s="50">
        <f t="shared" si="94"/>
        <v>-0.381253982300884</v>
      </c>
      <c r="J109" s="26">
        <f t="shared" si="95"/>
        <v>-0.0276271001667307</v>
      </c>
      <c r="K109" s="27">
        <f t="shared" si="96"/>
        <v>16.6583333333333</v>
      </c>
      <c r="L109" s="28">
        <f t="shared" si="97"/>
        <v>0.171585792896448</v>
      </c>
      <c r="M109" s="25">
        <f t="shared" si="98"/>
        <v>2.85833333333333</v>
      </c>
      <c r="N109" s="27">
        <f t="shared" si="99"/>
        <v>50.3628318584071</v>
      </c>
      <c r="O109" s="27">
        <f t="shared" si="100"/>
        <v>0.155</v>
      </c>
      <c r="P109" s="21">
        <v>50</v>
      </c>
      <c r="Q109" s="29">
        <v>8</v>
      </c>
      <c r="R109" s="30">
        <f t="shared" si="101"/>
        <v>0.144927536231884</v>
      </c>
      <c r="S109" s="26">
        <f t="shared" si="113"/>
        <v>0.100050025012506</v>
      </c>
      <c r="T109" s="30">
        <f t="shared" si="103"/>
        <v>0.217282608695652</v>
      </c>
      <c r="U109" s="30">
        <v>0.01</v>
      </c>
      <c r="V109" s="30">
        <f t="shared" si="104"/>
        <v>0.456185071181224</v>
      </c>
      <c r="W109" s="30">
        <f t="shared" si="105"/>
        <v>0.011231884057971</v>
      </c>
      <c r="X109" s="31">
        <v>0.188</v>
      </c>
      <c r="Y109" s="32">
        <v>2</v>
      </c>
      <c r="Z109" s="32">
        <f>F109*0.15</f>
        <v>2.9985</v>
      </c>
      <c r="AA109" s="32">
        <f t="shared" si="106"/>
        <v>0.138</v>
      </c>
      <c r="AB109" s="27">
        <f t="shared" si="107"/>
        <v>2.5944</v>
      </c>
      <c r="AC109" s="27">
        <v>49</v>
      </c>
      <c r="AD109" s="33">
        <f t="shared" si="108"/>
        <v>43.3628318584071</v>
      </c>
      <c r="AE109" s="29">
        <f t="shared" si="109"/>
        <v>0.875</v>
      </c>
      <c r="AF109" s="30">
        <f t="shared" si="110"/>
        <v>0.392779274079774</v>
      </c>
      <c r="AG109" s="30">
        <f t="shared" si="111"/>
        <v>0.0634057971014493</v>
      </c>
      <c r="AH109" s="29">
        <v>7</v>
      </c>
      <c r="AI109" s="30">
        <f t="shared" si="112"/>
        <v>0.208620780978725</v>
      </c>
      <c r="AJ109" s="30"/>
      <c r="AK109" s="30"/>
      <c r="AL109" s="30"/>
      <c r="AM109" s="30"/>
      <c r="AN109" s="34"/>
      <c r="AO109" s="34"/>
      <c r="AP109" s="34"/>
      <c r="AQ109" s="34"/>
      <c r="AR109" s="34"/>
      <c r="AS109" s="34"/>
      <c r="AT109" s="34" t="s">
        <v>156</v>
      </c>
      <c r="AU109" s="34" t="s">
        <v>156</v>
      </c>
      <c r="AV109" s="34" t="s">
        <v>156</v>
      </c>
      <c r="AW109" s="34" t="s">
        <v>156</v>
      </c>
      <c r="AX109" s="34" t="s">
        <v>156</v>
      </c>
      <c r="AY109" s="34" t="s">
        <v>156</v>
      </c>
      <c r="AZ109" s="34" t="s">
        <v>156</v>
      </c>
      <c r="BA109" s="34" t="s">
        <v>156</v>
      </c>
      <c r="BB109" s="34" t="s">
        <v>156</v>
      </c>
      <c r="BC109" s="34" t="s">
        <v>156</v>
      </c>
      <c r="BD109" s="34" t="s">
        <v>156</v>
      </c>
      <c r="BE109" s="34" t="s">
        <v>156</v>
      </c>
      <c r="BF109" s="34" t="s">
        <v>156</v>
      </c>
      <c r="BG109" s="34" t="s">
        <v>156</v>
      </c>
      <c r="BH109" s="34" t="s">
        <v>156</v>
      </c>
      <c r="BI109" s="34" t="s">
        <v>156</v>
      </c>
      <c r="BJ109" s="34" t="s">
        <v>156</v>
      </c>
      <c r="BK109" s="34" t="s">
        <v>156</v>
      </c>
      <c r="BL109" s="34" t="s">
        <v>156</v>
      </c>
      <c r="BM109" s="34" t="s">
        <v>156</v>
      </c>
      <c r="BN109" s="34" t="s">
        <v>156</v>
      </c>
      <c r="BO109" s="34" t="s">
        <v>156</v>
      </c>
      <c r="BP109" s="34" t="s">
        <v>156</v>
      </c>
      <c r="BQ109" s="34" t="s">
        <v>156</v>
      </c>
      <c r="BR109" s="35"/>
      <c r="BS109" s="20" t="s">
        <v>157</v>
      </c>
    </row>
    <row r="110" ht="16.5" spans="1:71">
      <c r="A110" s="21" t="s">
        <v>43</v>
      </c>
      <c r="B110" s="21"/>
      <c r="C110" s="21"/>
      <c r="D110" s="39" t="s">
        <v>174</v>
      </c>
      <c r="E110" s="24">
        <v>13.8</v>
      </c>
      <c r="F110" s="24">
        <v>19.99</v>
      </c>
      <c r="G110" s="50">
        <f t="shared" si="92"/>
        <v>19.99</v>
      </c>
      <c r="H110" s="25">
        <f t="shared" si="93"/>
        <v>16.6583333333333</v>
      </c>
      <c r="I110" s="50">
        <f t="shared" si="94"/>
        <v>2.48724601769911</v>
      </c>
      <c r="J110" s="26">
        <f t="shared" si="95"/>
        <v>0.180235218673849</v>
      </c>
      <c r="K110" s="27">
        <f t="shared" si="96"/>
        <v>16.6583333333333</v>
      </c>
      <c r="L110" s="28">
        <f t="shared" si="97"/>
        <v>0.171585792896448</v>
      </c>
      <c r="M110" s="25">
        <f t="shared" si="98"/>
        <v>2.85833333333333</v>
      </c>
      <c r="N110" s="27">
        <f t="shared" si="99"/>
        <v>50.3628318584071</v>
      </c>
      <c r="O110" s="27">
        <f t="shared" si="100"/>
        <v>0.285</v>
      </c>
      <c r="P110" s="21">
        <v>50</v>
      </c>
      <c r="Q110" s="29">
        <v>8</v>
      </c>
      <c r="R110" s="30">
        <f t="shared" si="101"/>
        <v>0.144927536231884</v>
      </c>
      <c r="S110" s="26">
        <f t="shared" si="113"/>
        <v>0.100050025012506</v>
      </c>
      <c r="T110" s="30">
        <f t="shared" si="103"/>
        <v>0</v>
      </c>
      <c r="U110" s="30">
        <v>0.01</v>
      </c>
      <c r="V110" s="30">
        <f t="shared" si="104"/>
        <v>0.456185071181224</v>
      </c>
      <c r="W110" s="30">
        <f t="shared" si="105"/>
        <v>0.0206521739130435</v>
      </c>
      <c r="X110" s="31">
        <v>0.188</v>
      </c>
      <c r="Y110" s="32">
        <v>2</v>
      </c>
      <c r="Z110" s="32">
        <v>0</v>
      </c>
      <c r="AA110" s="32">
        <f t="shared" si="106"/>
        <v>0.138</v>
      </c>
      <c r="AB110" s="27">
        <f t="shared" si="107"/>
        <v>2.5944</v>
      </c>
      <c r="AC110" s="27">
        <v>49</v>
      </c>
      <c r="AD110" s="33">
        <f t="shared" si="108"/>
        <v>43.3628318584071</v>
      </c>
      <c r="AE110" s="29">
        <f t="shared" si="109"/>
        <v>0.875</v>
      </c>
      <c r="AF110" s="30">
        <f t="shared" si="110"/>
        <v>0.392779274079774</v>
      </c>
      <c r="AG110" s="30">
        <f t="shared" si="111"/>
        <v>0.0634057971014493</v>
      </c>
      <c r="AH110" s="29">
        <v>7</v>
      </c>
      <c r="AI110" s="30">
        <f t="shared" si="112"/>
        <v>0.327327663831916</v>
      </c>
      <c r="AJ110" s="30"/>
      <c r="AK110" s="30"/>
      <c r="AL110" s="30"/>
      <c r="AM110" s="30"/>
      <c r="AN110" s="34"/>
      <c r="AO110" s="34"/>
      <c r="AP110" s="34"/>
      <c r="AQ110" s="34"/>
      <c r="AR110" s="34"/>
      <c r="AS110" s="34"/>
      <c r="AT110" s="34" t="s">
        <v>156</v>
      </c>
      <c r="AU110" s="34" t="s">
        <v>156</v>
      </c>
      <c r="AV110" s="34" t="s">
        <v>156</v>
      </c>
      <c r="AW110" s="34" t="s">
        <v>156</v>
      </c>
      <c r="AX110" s="34" t="s">
        <v>156</v>
      </c>
      <c r="AY110" s="34" t="s">
        <v>156</v>
      </c>
      <c r="AZ110" s="34" t="s">
        <v>156</v>
      </c>
      <c r="BA110" s="34" t="s">
        <v>156</v>
      </c>
      <c r="BB110" s="34" t="s">
        <v>156</v>
      </c>
      <c r="BC110" s="34" t="s">
        <v>156</v>
      </c>
      <c r="BD110" s="34" t="s">
        <v>156</v>
      </c>
      <c r="BE110" s="34" t="s">
        <v>156</v>
      </c>
      <c r="BF110" s="34" t="s">
        <v>156</v>
      </c>
      <c r="BG110" s="34" t="s">
        <v>156</v>
      </c>
      <c r="BH110" s="34" t="s">
        <v>156</v>
      </c>
      <c r="BI110" s="34" t="s">
        <v>156</v>
      </c>
      <c r="BJ110" s="34" t="s">
        <v>156</v>
      </c>
      <c r="BK110" s="34" t="s">
        <v>156</v>
      </c>
      <c r="BL110" s="34" t="s">
        <v>156</v>
      </c>
      <c r="BM110" s="34" t="s">
        <v>156</v>
      </c>
      <c r="BN110" s="34" t="s">
        <v>156</v>
      </c>
      <c r="BO110" s="34" t="s">
        <v>156</v>
      </c>
      <c r="BP110" s="34" t="s">
        <v>156</v>
      </c>
      <c r="BQ110" s="34" t="s">
        <v>156</v>
      </c>
      <c r="BR110" s="35"/>
      <c r="BS110" s="20" t="s">
        <v>157</v>
      </c>
    </row>
    <row r="111" ht="16.5" spans="1:71">
      <c r="A111" s="21" t="s">
        <v>43</v>
      </c>
      <c r="B111" s="21"/>
      <c r="C111" s="21"/>
      <c r="D111" s="39" t="s">
        <v>175</v>
      </c>
      <c r="E111" s="24">
        <v>13.8</v>
      </c>
      <c r="F111" s="24">
        <v>19.99</v>
      </c>
      <c r="G111" s="25">
        <f t="shared" si="92"/>
        <v>18.9905</v>
      </c>
      <c r="H111" s="25">
        <f t="shared" si="93"/>
        <v>15.8254166666667</v>
      </c>
      <c r="I111" s="25">
        <f t="shared" si="94"/>
        <v>1.48774601769912</v>
      </c>
      <c r="J111" s="26">
        <f t="shared" si="95"/>
        <v>0.107807682441965</v>
      </c>
      <c r="K111" s="27">
        <f t="shared" si="96"/>
        <v>16.6583333333333</v>
      </c>
      <c r="L111" s="28">
        <f t="shared" si="97"/>
        <v>0.171585792896448</v>
      </c>
      <c r="M111" s="25">
        <f t="shared" si="98"/>
        <v>2.85833333333333</v>
      </c>
      <c r="N111" s="27">
        <f t="shared" si="99"/>
        <v>50.3628318584071</v>
      </c>
      <c r="O111" s="27">
        <f t="shared" si="100"/>
        <v>0.285</v>
      </c>
      <c r="P111" s="21">
        <v>50</v>
      </c>
      <c r="Q111" s="29">
        <v>8</v>
      </c>
      <c r="R111" s="30">
        <f t="shared" si="101"/>
        <v>0.144927536231884</v>
      </c>
      <c r="S111" s="26">
        <f t="shared" si="113"/>
        <v>0.100050025012506</v>
      </c>
      <c r="T111" s="30">
        <f t="shared" si="103"/>
        <v>0.0724275362318841</v>
      </c>
      <c r="U111" s="30">
        <v>0.01</v>
      </c>
      <c r="V111" s="30">
        <f t="shared" si="104"/>
        <v>0.456185071181224</v>
      </c>
      <c r="W111" s="30">
        <f t="shared" si="105"/>
        <v>0.0206521739130435</v>
      </c>
      <c r="X111" s="31">
        <v>0.188</v>
      </c>
      <c r="Y111" s="32">
        <v>2</v>
      </c>
      <c r="Z111" s="32">
        <f>F111*0.05</f>
        <v>0.9995</v>
      </c>
      <c r="AA111" s="32">
        <f t="shared" si="106"/>
        <v>0.138</v>
      </c>
      <c r="AB111" s="27">
        <f t="shared" si="107"/>
        <v>2.5944</v>
      </c>
      <c r="AC111" s="27">
        <v>49</v>
      </c>
      <c r="AD111" s="33">
        <f t="shared" si="108"/>
        <v>43.3628318584071</v>
      </c>
      <c r="AE111" s="29">
        <f t="shared" si="109"/>
        <v>0.875</v>
      </c>
      <c r="AF111" s="30">
        <f t="shared" si="110"/>
        <v>0.392779274079774</v>
      </c>
      <c r="AG111" s="30">
        <f t="shared" si="111"/>
        <v>0.0634057971014493</v>
      </c>
      <c r="AH111" s="29">
        <v>7</v>
      </c>
      <c r="AI111" s="30">
        <f t="shared" si="112"/>
        <v>0.291923856665175</v>
      </c>
      <c r="AJ111" s="30"/>
      <c r="AK111" s="30"/>
      <c r="AL111" s="30"/>
      <c r="AM111" s="30"/>
      <c r="AN111" s="34"/>
      <c r="AO111" s="34"/>
      <c r="AP111" s="34"/>
      <c r="AQ111" s="34"/>
      <c r="AR111" s="34"/>
      <c r="AS111" s="34"/>
      <c r="AT111" s="34" t="s">
        <v>156</v>
      </c>
      <c r="AU111" s="34" t="s">
        <v>156</v>
      </c>
      <c r="AV111" s="34" t="s">
        <v>156</v>
      </c>
      <c r="AW111" s="34" t="s">
        <v>156</v>
      </c>
      <c r="AX111" s="34" t="s">
        <v>156</v>
      </c>
      <c r="AY111" s="34" t="s">
        <v>156</v>
      </c>
      <c r="AZ111" s="34" t="s">
        <v>156</v>
      </c>
      <c r="BA111" s="34" t="s">
        <v>156</v>
      </c>
      <c r="BB111" s="34" t="s">
        <v>156</v>
      </c>
      <c r="BC111" s="34" t="s">
        <v>156</v>
      </c>
      <c r="BD111" s="34" t="s">
        <v>156</v>
      </c>
      <c r="BE111" s="34" t="s">
        <v>156</v>
      </c>
      <c r="BF111" s="34" t="s">
        <v>156</v>
      </c>
      <c r="BG111" s="34" t="s">
        <v>156</v>
      </c>
      <c r="BH111" s="34" t="s">
        <v>156</v>
      </c>
      <c r="BI111" s="34" t="s">
        <v>156</v>
      </c>
      <c r="BJ111" s="34" t="s">
        <v>156</v>
      </c>
      <c r="BK111" s="34" t="s">
        <v>156</v>
      </c>
      <c r="BL111" s="34" t="s">
        <v>156</v>
      </c>
      <c r="BM111" s="34" t="s">
        <v>156</v>
      </c>
      <c r="BN111" s="34" t="s">
        <v>156</v>
      </c>
      <c r="BO111" s="34" t="s">
        <v>156</v>
      </c>
      <c r="BP111" s="34" t="s">
        <v>156</v>
      </c>
      <c r="BQ111" s="34" t="s">
        <v>156</v>
      </c>
      <c r="BR111" s="35"/>
      <c r="BS111" s="20" t="s">
        <v>157</v>
      </c>
    </row>
    <row r="112" ht="16.5" spans="1:71">
      <c r="A112" s="21" t="s">
        <v>43</v>
      </c>
      <c r="B112" s="21"/>
      <c r="C112" s="21"/>
      <c r="D112" s="39" t="s">
        <v>176</v>
      </c>
      <c r="E112" s="24">
        <v>13.8</v>
      </c>
      <c r="F112" s="24">
        <v>19.99</v>
      </c>
      <c r="G112" s="25">
        <f t="shared" si="92"/>
        <v>17.991</v>
      </c>
      <c r="H112" s="25">
        <f t="shared" si="93"/>
        <v>14.9925</v>
      </c>
      <c r="I112" s="25">
        <f t="shared" si="94"/>
        <v>0.488246017699115</v>
      </c>
      <c r="J112" s="26">
        <f t="shared" si="95"/>
        <v>0.0353801462100808</v>
      </c>
      <c r="K112" s="27">
        <f t="shared" si="96"/>
        <v>16.6583333333333</v>
      </c>
      <c r="L112" s="28">
        <f t="shared" si="97"/>
        <v>0.171585792896448</v>
      </c>
      <c r="M112" s="25">
        <f t="shared" si="98"/>
        <v>2.85833333333333</v>
      </c>
      <c r="N112" s="27">
        <f t="shared" si="99"/>
        <v>50.3628318584071</v>
      </c>
      <c r="O112" s="27">
        <f t="shared" si="100"/>
        <v>0.285</v>
      </c>
      <c r="P112" s="21">
        <v>50</v>
      </c>
      <c r="Q112" s="29">
        <v>8</v>
      </c>
      <c r="R112" s="30">
        <f t="shared" si="101"/>
        <v>0.144927536231884</v>
      </c>
      <c r="S112" s="26">
        <f t="shared" si="113"/>
        <v>0.100050025012506</v>
      </c>
      <c r="T112" s="30">
        <f t="shared" si="103"/>
        <v>0.144855072463768</v>
      </c>
      <c r="U112" s="30">
        <v>0.01</v>
      </c>
      <c r="V112" s="30">
        <f t="shared" si="104"/>
        <v>0.456185071181224</v>
      </c>
      <c r="W112" s="30">
        <f t="shared" si="105"/>
        <v>0.0206521739130435</v>
      </c>
      <c r="X112" s="31">
        <v>0.188</v>
      </c>
      <c r="Y112" s="32">
        <v>2</v>
      </c>
      <c r="Z112" s="32">
        <f>F112*0.1</f>
        <v>1.999</v>
      </c>
      <c r="AA112" s="32">
        <f t="shared" si="106"/>
        <v>0.138</v>
      </c>
      <c r="AB112" s="27">
        <f t="shared" si="107"/>
        <v>2.5944</v>
      </c>
      <c r="AC112" s="27">
        <v>49</v>
      </c>
      <c r="AD112" s="33">
        <f t="shared" si="108"/>
        <v>43.3628318584071</v>
      </c>
      <c r="AE112" s="29">
        <f t="shared" si="109"/>
        <v>0.875</v>
      </c>
      <c r="AF112" s="30">
        <f t="shared" si="110"/>
        <v>0.392779274079774</v>
      </c>
      <c r="AG112" s="30">
        <f t="shared" si="111"/>
        <v>0.0634057971014493</v>
      </c>
      <c r="AH112" s="29">
        <v>7</v>
      </c>
      <c r="AI112" s="30">
        <f t="shared" si="112"/>
        <v>0.252586293146573</v>
      </c>
      <c r="AJ112" s="30"/>
      <c r="AK112" s="30"/>
      <c r="AL112" s="30"/>
      <c r="AM112" s="30"/>
      <c r="AN112" s="34"/>
      <c r="AO112" s="34"/>
      <c r="AP112" s="34"/>
      <c r="AQ112" s="34"/>
      <c r="AR112" s="34"/>
      <c r="AS112" s="34"/>
      <c r="AT112" s="34" t="s">
        <v>156</v>
      </c>
      <c r="AU112" s="34" t="s">
        <v>156</v>
      </c>
      <c r="AV112" s="34" t="s">
        <v>156</v>
      </c>
      <c r="AW112" s="34" t="s">
        <v>156</v>
      </c>
      <c r="AX112" s="34" t="s">
        <v>156</v>
      </c>
      <c r="AY112" s="34" t="s">
        <v>156</v>
      </c>
      <c r="AZ112" s="34" t="s">
        <v>156</v>
      </c>
      <c r="BA112" s="34" t="s">
        <v>156</v>
      </c>
      <c r="BB112" s="34" t="s">
        <v>156</v>
      </c>
      <c r="BC112" s="34" t="s">
        <v>156</v>
      </c>
      <c r="BD112" s="34" t="s">
        <v>156</v>
      </c>
      <c r="BE112" s="34" t="s">
        <v>156</v>
      </c>
      <c r="BF112" s="34" t="s">
        <v>156</v>
      </c>
      <c r="BG112" s="34" t="s">
        <v>156</v>
      </c>
      <c r="BH112" s="34" t="s">
        <v>156</v>
      </c>
      <c r="BI112" s="34" t="s">
        <v>156</v>
      </c>
      <c r="BJ112" s="34" t="s">
        <v>156</v>
      </c>
      <c r="BK112" s="34" t="s">
        <v>156</v>
      </c>
      <c r="BL112" s="34" t="s">
        <v>156</v>
      </c>
      <c r="BM112" s="34" t="s">
        <v>156</v>
      </c>
      <c r="BN112" s="34" t="s">
        <v>156</v>
      </c>
      <c r="BO112" s="34" t="s">
        <v>156</v>
      </c>
      <c r="BP112" s="34" t="s">
        <v>156</v>
      </c>
      <c r="BQ112" s="34" t="s">
        <v>156</v>
      </c>
      <c r="BR112" s="35"/>
      <c r="BS112" s="20" t="s">
        <v>157</v>
      </c>
    </row>
    <row r="113" ht="16.5" spans="1:71">
      <c r="A113" s="21" t="s">
        <v>43</v>
      </c>
      <c r="B113" s="21"/>
      <c r="C113" s="21"/>
      <c r="D113" s="39" t="s">
        <v>177</v>
      </c>
      <c r="E113" s="24">
        <v>13.8</v>
      </c>
      <c r="F113" s="24">
        <v>19.99</v>
      </c>
      <c r="G113" s="50">
        <f t="shared" si="92"/>
        <v>16.9915</v>
      </c>
      <c r="H113" s="25">
        <f t="shared" si="93"/>
        <v>14.1595833333333</v>
      </c>
      <c r="I113" s="50">
        <f t="shared" si="94"/>
        <v>-0.511253982300885</v>
      </c>
      <c r="J113" s="26">
        <f t="shared" si="95"/>
        <v>-0.0370473900218032</v>
      </c>
      <c r="K113" s="27">
        <f t="shared" si="96"/>
        <v>16.6583333333333</v>
      </c>
      <c r="L113" s="28">
        <f t="shared" si="97"/>
        <v>0.171585792896448</v>
      </c>
      <c r="M113" s="25">
        <f t="shared" si="98"/>
        <v>2.85833333333333</v>
      </c>
      <c r="N113" s="27">
        <f t="shared" si="99"/>
        <v>50.3628318584071</v>
      </c>
      <c r="O113" s="27">
        <f t="shared" si="100"/>
        <v>0.285</v>
      </c>
      <c r="P113" s="21">
        <v>50</v>
      </c>
      <c r="Q113" s="29">
        <v>8</v>
      </c>
      <c r="R113" s="30">
        <f t="shared" si="101"/>
        <v>0.144927536231884</v>
      </c>
      <c r="S113" s="26">
        <f t="shared" si="113"/>
        <v>0.100050025012506</v>
      </c>
      <c r="T113" s="30">
        <f t="shared" si="103"/>
        <v>0.217282608695652</v>
      </c>
      <c r="U113" s="30">
        <v>0.01</v>
      </c>
      <c r="V113" s="30">
        <f t="shared" si="104"/>
        <v>0.456185071181224</v>
      </c>
      <c r="W113" s="30">
        <f t="shared" si="105"/>
        <v>0.0206521739130435</v>
      </c>
      <c r="X113" s="31">
        <v>0.188</v>
      </c>
      <c r="Y113" s="32">
        <v>2</v>
      </c>
      <c r="Z113" s="32">
        <f>F113*0.15</f>
        <v>2.9985</v>
      </c>
      <c r="AA113" s="32">
        <f t="shared" si="106"/>
        <v>0.138</v>
      </c>
      <c r="AB113" s="27">
        <f t="shared" si="107"/>
        <v>2.5944</v>
      </c>
      <c r="AC113" s="27">
        <v>49</v>
      </c>
      <c r="AD113" s="33">
        <f t="shared" si="108"/>
        <v>43.3628318584071</v>
      </c>
      <c r="AE113" s="29">
        <f t="shared" si="109"/>
        <v>0.875</v>
      </c>
      <c r="AF113" s="30">
        <f t="shared" si="110"/>
        <v>0.392779274079774</v>
      </c>
      <c r="AG113" s="30">
        <f t="shared" si="111"/>
        <v>0.0634057971014493</v>
      </c>
      <c r="AH113" s="29">
        <v>7</v>
      </c>
      <c r="AI113" s="30">
        <f t="shared" ref="AI113:AI125" si="114">(K113-E113+AB113)/(K113-Z113)</f>
        <v>0.3991800778438</v>
      </c>
      <c r="AJ113" s="30"/>
      <c r="AK113" s="30"/>
      <c r="AL113" s="30"/>
      <c r="AM113" s="30"/>
      <c r="AN113" s="34"/>
      <c r="AO113" s="34"/>
      <c r="AP113" s="34"/>
      <c r="AQ113" s="34"/>
      <c r="AR113" s="34"/>
      <c r="AS113" s="34"/>
      <c r="AT113" s="34" t="s">
        <v>156</v>
      </c>
      <c r="AU113" s="34" t="s">
        <v>156</v>
      </c>
      <c r="AV113" s="34" t="s">
        <v>156</v>
      </c>
      <c r="AW113" s="34" t="s">
        <v>156</v>
      </c>
      <c r="AX113" s="34" t="s">
        <v>156</v>
      </c>
      <c r="AY113" s="34" t="s">
        <v>156</v>
      </c>
      <c r="AZ113" s="34" t="s">
        <v>156</v>
      </c>
      <c r="BA113" s="34" t="s">
        <v>156</v>
      </c>
      <c r="BB113" s="34" t="s">
        <v>156</v>
      </c>
      <c r="BC113" s="34" t="s">
        <v>156</v>
      </c>
      <c r="BD113" s="34" t="s">
        <v>156</v>
      </c>
      <c r="BE113" s="34" t="s">
        <v>156</v>
      </c>
      <c r="BF113" s="34" t="s">
        <v>156</v>
      </c>
      <c r="BG113" s="34" t="s">
        <v>156</v>
      </c>
      <c r="BH113" s="34" t="s">
        <v>156</v>
      </c>
      <c r="BI113" s="34" t="s">
        <v>156</v>
      </c>
      <c r="BJ113" s="34" t="s">
        <v>156</v>
      </c>
      <c r="BK113" s="34" t="s">
        <v>156</v>
      </c>
      <c r="BL113" s="34" t="s">
        <v>156</v>
      </c>
      <c r="BM113" s="34" t="s">
        <v>156</v>
      </c>
      <c r="BN113" s="34" t="s">
        <v>156</v>
      </c>
      <c r="BO113" s="34" t="s">
        <v>156</v>
      </c>
      <c r="BP113" s="34" t="s">
        <v>156</v>
      </c>
      <c r="BQ113" s="34" t="s">
        <v>156</v>
      </c>
      <c r="BR113" s="35"/>
      <c r="BS113" s="20" t="s">
        <v>157</v>
      </c>
    </row>
    <row r="114" ht="16.5" spans="1:71">
      <c r="A114" s="21" t="s">
        <v>45</v>
      </c>
      <c r="B114" s="21"/>
      <c r="C114" s="21"/>
      <c r="D114" s="39" t="s">
        <v>174</v>
      </c>
      <c r="E114" s="24">
        <v>13.8</v>
      </c>
      <c r="F114" s="24">
        <v>19.99</v>
      </c>
      <c r="G114" s="50">
        <f t="shared" si="92"/>
        <v>19.99</v>
      </c>
      <c r="H114" s="25">
        <f t="shared" si="93"/>
        <v>16.6583333333333</v>
      </c>
      <c r="I114" s="50">
        <f t="shared" si="94"/>
        <v>2.46724601769911</v>
      </c>
      <c r="J114" s="26">
        <f t="shared" si="95"/>
        <v>0.17878594331153</v>
      </c>
      <c r="K114" s="27">
        <f t="shared" si="96"/>
        <v>16.6583333333333</v>
      </c>
      <c r="L114" s="28">
        <f t="shared" si="97"/>
        <v>0.171585792896448</v>
      </c>
      <c r="M114" s="25">
        <f t="shared" si="98"/>
        <v>2.85833333333333</v>
      </c>
      <c r="N114" s="27">
        <f t="shared" si="99"/>
        <v>50.3628318584071</v>
      </c>
      <c r="O114" s="27">
        <f t="shared" si="100"/>
        <v>0.305</v>
      </c>
      <c r="P114" s="21">
        <v>50</v>
      </c>
      <c r="Q114" s="29">
        <v>8</v>
      </c>
      <c r="R114" s="30">
        <f t="shared" si="101"/>
        <v>0.144927536231884</v>
      </c>
      <c r="S114" s="26">
        <f t="shared" si="113"/>
        <v>0.100050025012506</v>
      </c>
      <c r="T114" s="30">
        <f t="shared" si="103"/>
        <v>0</v>
      </c>
      <c r="U114" s="30">
        <v>0.01</v>
      </c>
      <c r="V114" s="30">
        <f t="shared" si="104"/>
        <v>0.456185071181224</v>
      </c>
      <c r="W114" s="30">
        <f t="shared" si="105"/>
        <v>0.0221014492753623</v>
      </c>
      <c r="X114" s="31">
        <v>0.188</v>
      </c>
      <c r="Y114" s="32">
        <v>2</v>
      </c>
      <c r="Z114" s="32">
        <v>0</v>
      </c>
      <c r="AA114" s="32">
        <f t="shared" si="106"/>
        <v>0.138</v>
      </c>
      <c r="AB114" s="27">
        <f t="shared" si="107"/>
        <v>2.5944</v>
      </c>
      <c r="AC114" s="27">
        <v>49</v>
      </c>
      <c r="AD114" s="33">
        <f t="shared" si="108"/>
        <v>43.3628318584071</v>
      </c>
      <c r="AE114" s="29">
        <f t="shared" si="109"/>
        <v>0.875</v>
      </c>
      <c r="AF114" s="30">
        <f t="shared" si="110"/>
        <v>0.392779274079774</v>
      </c>
      <c r="AG114" s="30">
        <f t="shared" si="111"/>
        <v>0.0634057971014493</v>
      </c>
      <c r="AH114" s="29">
        <v>7</v>
      </c>
      <c r="AI114" s="26">
        <f t="shared" si="114"/>
        <v>0.327327663831916</v>
      </c>
      <c r="AJ114" s="26"/>
      <c r="AK114" s="26"/>
      <c r="AL114" s="26"/>
      <c r="AM114" s="26"/>
      <c r="AN114" s="34"/>
      <c r="AO114" s="34"/>
      <c r="AP114" s="34"/>
      <c r="AQ114" s="34"/>
      <c r="AR114" s="34"/>
      <c r="AS114" s="34"/>
      <c r="AT114" s="34" t="s">
        <v>156</v>
      </c>
      <c r="AU114" s="34" t="s">
        <v>156</v>
      </c>
      <c r="AV114" s="34" t="s">
        <v>156</v>
      </c>
      <c r="AW114" s="34" t="s">
        <v>156</v>
      </c>
      <c r="AX114" s="34" t="s">
        <v>156</v>
      </c>
      <c r="AY114" s="34" t="s">
        <v>156</v>
      </c>
      <c r="AZ114" s="34" t="s">
        <v>156</v>
      </c>
      <c r="BA114" s="34" t="s">
        <v>156</v>
      </c>
      <c r="BB114" s="34" t="s">
        <v>156</v>
      </c>
      <c r="BC114" s="34" t="s">
        <v>156</v>
      </c>
      <c r="BD114" s="34" t="s">
        <v>156</v>
      </c>
      <c r="BE114" s="34" t="s">
        <v>156</v>
      </c>
      <c r="BF114" s="34" t="s">
        <v>156</v>
      </c>
      <c r="BG114" s="34" t="s">
        <v>156</v>
      </c>
      <c r="BH114" s="34" t="s">
        <v>156</v>
      </c>
      <c r="BI114" s="34" t="s">
        <v>156</v>
      </c>
      <c r="BJ114" s="34" t="s">
        <v>156</v>
      </c>
      <c r="BK114" s="34" t="s">
        <v>156</v>
      </c>
      <c r="BL114" s="34" t="s">
        <v>156</v>
      </c>
      <c r="BM114" s="34" t="s">
        <v>156</v>
      </c>
      <c r="BN114" s="34" t="s">
        <v>156</v>
      </c>
      <c r="BO114" s="34" t="s">
        <v>156</v>
      </c>
      <c r="BP114" s="34" t="s">
        <v>156</v>
      </c>
      <c r="BQ114" s="34" t="s">
        <v>156</v>
      </c>
      <c r="BR114" s="35"/>
      <c r="BS114" s="20" t="s">
        <v>157</v>
      </c>
    </row>
    <row r="115" ht="16.5" spans="1:71">
      <c r="A115" s="21" t="s">
        <v>45</v>
      </c>
      <c r="B115" s="21"/>
      <c r="C115" s="21"/>
      <c r="D115" s="39" t="s">
        <v>175</v>
      </c>
      <c r="E115" s="24">
        <v>13.8</v>
      </c>
      <c r="F115" s="24">
        <v>19.99</v>
      </c>
      <c r="G115" s="25">
        <f t="shared" si="92"/>
        <v>18.9905</v>
      </c>
      <c r="H115" s="25">
        <f t="shared" si="93"/>
        <v>15.8254166666667</v>
      </c>
      <c r="I115" s="25">
        <f t="shared" si="94"/>
        <v>1.46774601769912</v>
      </c>
      <c r="J115" s="26">
        <f t="shared" si="95"/>
        <v>0.106358407079646</v>
      </c>
      <c r="K115" s="27">
        <f t="shared" si="96"/>
        <v>16.6583333333333</v>
      </c>
      <c r="L115" s="28">
        <f t="shared" si="97"/>
        <v>0.171585792896448</v>
      </c>
      <c r="M115" s="25">
        <f t="shared" si="98"/>
        <v>2.85833333333333</v>
      </c>
      <c r="N115" s="27">
        <f t="shared" si="99"/>
        <v>50.3628318584071</v>
      </c>
      <c r="O115" s="27">
        <f t="shared" si="100"/>
        <v>0.305</v>
      </c>
      <c r="P115" s="21">
        <v>50</v>
      </c>
      <c r="Q115" s="29">
        <v>8</v>
      </c>
      <c r="R115" s="30">
        <f t="shared" si="101"/>
        <v>0.144927536231884</v>
      </c>
      <c r="S115" s="26">
        <f t="shared" si="113"/>
        <v>0.100050025012506</v>
      </c>
      <c r="T115" s="30">
        <f t="shared" si="103"/>
        <v>0.0724275362318841</v>
      </c>
      <c r="U115" s="30">
        <v>0.01</v>
      </c>
      <c r="V115" s="30">
        <f t="shared" si="104"/>
        <v>0.456185071181224</v>
      </c>
      <c r="W115" s="30">
        <f t="shared" si="105"/>
        <v>0.0221014492753623</v>
      </c>
      <c r="X115" s="31">
        <v>0.188</v>
      </c>
      <c r="Y115" s="32">
        <v>2</v>
      </c>
      <c r="Z115" s="32">
        <f>F115*0.05</f>
        <v>0.9995</v>
      </c>
      <c r="AA115" s="32">
        <f t="shared" si="106"/>
        <v>0.138</v>
      </c>
      <c r="AB115" s="27">
        <f t="shared" si="107"/>
        <v>2.5944</v>
      </c>
      <c r="AC115" s="27">
        <v>49</v>
      </c>
      <c r="AD115" s="33">
        <f t="shared" si="108"/>
        <v>43.3628318584071</v>
      </c>
      <c r="AE115" s="29">
        <f t="shared" si="109"/>
        <v>0.875</v>
      </c>
      <c r="AF115" s="30">
        <f t="shared" si="110"/>
        <v>0.392779274079774</v>
      </c>
      <c r="AG115" s="30">
        <f t="shared" si="111"/>
        <v>0.0634057971014493</v>
      </c>
      <c r="AH115" s="29">
        <v>7</v>
      </c>
      <c r="AI115" s="26">
        <f t="shared" si="114"/>
        <v>0.348220918970123</v>
      </c>
      <c r="AJ115" s="26"/>
      <c r="AK115" s="26"/>
      <c r="AL115" s="26"/>
      <c r="AM115" s="26"/>
      <c r="AN115" s="34"/>
      <c r="AO115" s="34"/>
      <c r="AP115" s="34"/>
      <c r="AQ115" s="34"/>
      <c r="AR115" s="34"/>
      <c r="AS115" s="34"/>
      <c r="AT115" s="34" t="s">
        <v>156</v>
      </c>
      <c r="AU115" s="34" t="s">
        <v>156</v>
      </c>
      <c r="AV115" s="34" t="s">
        <v>156</v>
      </c>
      <c r="AW115" s="34" t="s">
        <v>156</v>
      </c>
      <c r="AX115" s="34" t="s">
        <v>156</v>
      </c>
      <c r="AY115" s="34" t="s">
        <v>156</v>
      </c>
      <c r="AZ115" s="34" t="s">
        <v>156</v>
      </c>
      <c r="BA115" s="34" t="s">
        <v>156</v>
      </c>
      <c r="BB115" s="34" t="s">
        <v>156</v>
      </c>
      <c r="BC115" s="34" t="s">
        <v>156</v>
      </c>
      <c r="BD115" s="34" t="s">
        <v>156</v>
      </c>
      <c r="BE115" s="34" t="s">
        <v>156</v>
      </c>
      <c r="BF115" s="34" t="s">
        <v>156</v>
      </c>
      <c r="BG115" s="34" t="s">
        <v>156</v>
      </c>
      <c r="BH115" s="34" t="s">
        <v>156</v>
      </c>
      <c r="BI115" s="34" t="s">
        <v>156</v>
      </c>
      <c r="BJ115" s="34" t="s">
        <v>156</v>
      </c>
      <c r="BK115" s="34" t="s">
        <v>156</v>
      </c>
      <c r="BL115" s="34" t="s">
        <v>156</v>
      </c>
      <c r="BM115" s="34" t="s">
        <v>156</v>
      </c>
      <c r="BN115" s="34" t="s">
        <v>156</v>
      </c>
      <c r="BO115" s="34" t="s">
        <v>156</v>
      </c>
      <c r="BP115" s="34" t="s">
        <v>156</v>
      </c>
      <c r="BQ115" s="34" t="s">
        <v>156</v>
      </c>
      <c r="BR115" s="35"/>
      <c r="BS115" s="20" t="s">
        <v>157</v>
      </c>
    </row>
    <row r="116" ht="16.5" spans="1:71">
      <c r="A116" s="21" t="s">
        <v>45</v>
      </c>
      <c r="B116" s="21"/>
      <c r="C116" s="21"/>
      <c r="D116" s="39" t="s">
        <v>176</v>
      </c>
      <c r="E116" s="24">
        <v>13.8</v>
      </c>
      <c r="F116" s="24">
        <v>19.99</v>
      </c>
      <c r="G116" s="25">
        <f t="shared" si="92"/>
        <v>17.991</v>
      </c>
      <c r="H116" s="25">
        <f t="shared" si="93"/>
        <v>14.9925</v>
      </c>
      <c r="I116" s="25">
        <f t="shared" si="94"/>
        <v>0.468246017699115</v>
      </c>
      <c r="J116" s="26">
        <f t="shared" si="95"/>
        <v>0.0339308708477619</v>
      </c>
      <c r="K116" s="27">
        <f t="shared" si="96"/>
        <v>16.6583333333333</v>
      </c>
      <c r="L116" s="28">
        <f t="shared" si="97"/>
        <v>0.171585792896448</v>
      </c>
      <c r="M116" s="25">
        <f t="shared" si="98"/>
        <v>2.85833333333333</v>
      </c>
      <c r="N116" s="27">
        <f t="shared" si="99"/>
        <v>50.3628318584071</v>
      </c>
      <c r="O116" s="27">
        <f t="shared" si="100"/>
        <v>0.305</v>
      </c>
      <c r="P116" s="21">
        <v>50</v>
      </c>
      <c r="Q116" s="29">
        <v>8</v>
      </c>
      <c r="R116" s="30">
        <f t="shared" si="101"/>
        <v>0.144927536231884</v>
      </c>
      <c r="S116" s="26">
        <f t="shared" si="113"/>
        <v>0.100050025012506</v>
      </c>
      <c r="T116" s="30">
        <f t="shared" si="103"/>
        <v>0.144855072463768</v>
      </c>
      <c r="U116" s="30">
        <v>0.01</v>
      </c>
      <c r="V116" s="30">
        <f t="shared" si="104"/>
        <v>0.456185071181224</v>
      </c>
      <c r="W116" s="30">
        <f t="shared" si="105"/>
        <v>0.0221014492753623</v>
      </c>
      <c r="X116" s="31">
        <v>0.188</v>
      </c>
      <c r="Y116" s="32">
        <v>2</v>
      </c>
      <c r="Z116" s="32">
        <f>F116*0.1</f>
        <v>1.999</v>
      </c>
      <c r="AA116" s="32">
        <f t="shared" si="106"/>
        <v>0.138</v>
      </c>
      <c r="AB116" s="27">
        <f t="shared" si="107"/>
        <v>2.5944</v>
      </c>
      <c r="AC116" s="27">
        <v>49</v>
      </c>
      <c r="AD116" s="33">
        <f t="shared" si="108"/>
        <v>43.3628318584071</v>
      </c>
      <c r="AE116" s="29">
        <f t="shared" si="109"/>
        <v>0.875</v>
      </c>
      <c r="AF116" s="30">
        <f t="shared" si="110"/>
        <v>0.392779274079774</v>
      </c>
      <c r="AG116" s="30">
        <f t="shared" si="111"/>
        <v>0.0634057971014493</v>
      </c>
      <c r="AH116" s="29">
        <v>7</v>
      </c>
      <c r="AI116" s="26">
        <f t="shared" si="114"/>
        <v>0.37196325435445</v>
      </c>
      <c r="AJ116" s="26"/>
      <c r="AK116" s="26"/>
      <c r="AL116" s="26"/>
      <c r="AM116" s="26"/>
      <c r="AN116" s="34"/>
      <c r="AO116" s="34"/>
      <c r="AP116" s="34"/>
      <c r="AQ116" s="34"/>
      <c r="AR116" s="34"/>
      <c r="AS116" s="34"/>
      <c r="AT116" s="34" t="s">
        <v>156</v>
      </c>
      <c r="AU116" s="34" t="s">
        <v>156</v>
      </c>
      <c r="AV116" s="34" t="s">
        <v>156</v>
      </c>
      <c r="AW116" s="34" t="s">
        <v>156</v>
      </c>
      <c r="AX116" s="34" t="s">
        <v>156</v>
      </c>
      <c r="AY116" s="34" t="s">
        <v>156</v>
      </c>
      <c r="AZ116" s="34" t="s">
        <v>156</v>
      </c>
      <c r="BA116" s="34" t="s">
        <v>156</v>
      </c>
      <c r="BB116" s="34" t="s">
        <v>156</v>
      </c>
      <c r="BC116" s="34" t="s">
        <v>156</v>
      </c>
      <c r="BD116" s="34" t="s">
        <v>156</v>
      </c>
      <c r="BE116" s="34" t="s">
        <v>156</v>
      </c>
      <c r="BF116" s="34" t="s">
        <v>156</v>
      </c>
      <c r="BG116" s="34" t="s">
        <v>156</v>
      </c>
      <c r="BH116" s="34" t="s">
        <v>156</v>
      </c>
      <c r="BI116" s="34" t="s">
        <v>156</v>
      </c>
      <c r="BJ116" s="34" t="s">
        <v>156</v>
      </c>
      <c r="BK116" s="34" t="s">
        <v>156</v>
      </c>
      <c r="BL116" s="34" t="s">
        <v>156</v>
      </c>
      <c r="BM116" s="34" t="s">
        <v>156</v>
      </c>
      <c r="BN116" s="34" t="s">
        <v>156</v>
      </c>
      <c r="BO116" s="34" t="s">
        <v>156</v>
      </c>
      <c r="BP116" s="34" t="s">
        <v>156</v>
      </c>
      <c r="BQ116" s="34" t="s">
        <v>156</v>
      </c>
      <c r="BR116" s="35"/>
      <c r="BS116" s="20" t="s">
        <v>157</v>
      </c>
    </row>
    <row r="117" ht="16.5" spans="1:71">
      <c r="A117" s="21" t="s">
        <v>45</v>
      </c>
      <c r="B117" s="21"/>
      <c r="C117" s="21"/>
      <c r="D117" s="39" t="s">
        <v>177</v>
      </c>
      <c r="E117" s="24">
        <v>13.8</v>
      </c>
      <c r="F117" s="24">
        <v>19.99</v>
      </c>
      <c r="G117" s="50">
        <f t="shared" si="92"/>
        <v>16.9915</v>
      </c>
      <c r="H117" s="25">
        <f t="shared" si="93"/>
        <v>14.1595833333333</v>
      </c>
      <c r="I117" s="50">
        <f t="shared" si="94"/>
        <v>-0.531253982300885</v>
      </c>
      <c r="J117" s="26">
        <f t="shared" si="95"/>
        <v>-0.0384966653841221</v>
      </c>
      <c r="K117" s="27">
        <f t="shared" si="96"/>
        <v>16.6583333333333</v>
      </c>
      <c r="L117" s="28">
        <f t="shared" si="97"/>
        <v>0.171585792896448</v>
      </c>
      <c r="M117" s="25">
        <f t="shared" si="98"/>
        <v>2.85833333333333</v>
      </c>
      <c r="N117" s="27">
        <f t="shared" si="99"/>
        <v>50.3628318584071</v>
      </c>
      <c r="O117" s="27">
        <f t="shared" si="100"/>
        <v>0.305</v>
      </c>
      <c r="P117" s="21">
        <v>50</v>
      </c>
      <c r="Q117" s="29">
        <v>8</v>
      </c>
      <c r="R117" s="30">
        <f t="shared" si="101"/>
        <v>0.144927536231884</v>
      </c>
      <c r="S117" s="26">
        <f t="shared" si="113"/>
        <v>0.100050025012506</v>
      </c>
      <c r="T117" s="30">
        <f t="shared" si="103"/>
        <v>0.217282608695652</v>
      </c>
      <c r="U117" s="30">
        <v>0.01</v>
      </c>
      <c r="V117" s="30">
        <f t="shared" si="104"/>
        <v>0.456185071181224</v>
      </c>
      <c r="W117" s="30">
        <f t="shared" si="105"/>
        <v>0.0221014492753623</v>
      </c>
      <c r="X117" s="31">
        <v>0.188</v>
      </c>
      <c r="Y117" s="32">
        <v>2</v>
      </c>
      <c r="Z117" s="32">
        <f>F117*0.15</f>
        <v>2.9985</v>
      </c>
      <c r="AA117" s="32">
        <f t="shared" si="106"/>
        <v>0.138</v>
      </c>
      <c r="AB117" s="27">
        <f t="shared" si="107"/>
        <v>2.5944</v>
      </c>
      <c r="AC117" s="27">
        <v>49</v>
      </c>
      <c r="AD117" s="33">
        <f t="shared" si="108"/>
        <v>43.3628318584071</v>
      </c>
      <c r="AE117" s="29">
        <f t="shared" si="109"/>
        <v>0.875</v>
      </c>
      <c r="AF117" s="30">
        <f t="shared" si="110"/>
        <v>0.392779274079774</v>
      </c>
      <c r="AG117" s="30">
        <f t="shared" si="111"/>
        <v>0.0634057971014493</v>
      </c>
      <c r="AH117" s="29">
        <v>7</v>
      </c>
      <c r="AI117" s="26">
        <f t="shared" si="114"/>
        <v>0.3991800778438</v>
      </c>
      <c r="AJ117" s="26"/>
      <c r="AK117" s="26"/>
      <c r="AL117" s="26"/>
      <c r="AM117" s="26"/>
      <c r="AN117" s="34"/>
      <c r="AO117" s="34"/>
      <c r="AP117" s="34"/>
      <c r="AQ117" s="34"/>
      <c r="AR117" s="34"/>
      <c r="AS117" s="34"/>
      <c r="AT117" s="34" t="s">
        <v>156</v>
      </c>
      <c r="AU117" s="34" t="s">
        <v>156</v>
      </c>
      <c r="AV117" s="34" t="s">
        <v>156</v>
      </c>
      <c r="AW117" s="34" t="s">
        <v>156</v>
      </c>
      <c r="AX117" s="34" t="s">
        <v>156</v>
      </c>
      <c r="AY117" s="34" t="s">
        <v>156</v>
      </c>
      <c r="AZ117" s="34" t="s">
        <v>156</v>
      </c>
      <c r="BA117" s="34" t="s">
        <v>156</v>
      </c>
      <c r="BB117" s="34" t="s">
        <v>156</v>
      </c>
      <c r="BC117" s="34" t="s">
        <v>156</v>
      </c>
      <c r="BD117" s="34" t="s">
        <v>156</v>
      </c>
      <c r="BE117" s="34" t="s">
        <v>156</v>
      </c>
      <c r="BF117" s="34" t="s">
        <v>156</v>
      </c>
      <c r="BG117" s="34" t="s">
        <v>156</v>
      </c>
      <c r="BH117" s="34" t="s">
        <v>156</v>
      </c>
      <c r="BI117" s="34" t="s">
        <v>156</v>
      </c>
      <c r="BJ117" s="34" t="s">
        <v>156</v>
      </c>
      <c r="BK117" s="34" t="s">
        <v>156</v>
      </c>
      <c r="BL117" s="34" t="s">
        <v>156</v>
      </c>
      <c r="BM117" s="34" t="s">
        <v>156</v>
      </c>
      <c r="BN117" s="34" t="s">
        <v>156</v>
      </c>
      <c r="BO117" s="34" t="s">
        <v>156</v>
      </c>
      <c r="BP117" s="34" t="s">
        <v>156</v>
      </c>
      <c r="BQ117" s="34" t="s">
        <v>156</v>
      </c>
      <c r="BR117" s="35"/>
      <c r="BS117" s="20" t="s">
        <v>157</v>
      </c>
    </row>
    <row r="118" ht="16.5" spans="1:71">
      <c r="A118" s="21" t="s">
        <v>48</v>
      </c>
      <c r="B118" s="21"/>
      <c r="C118" s="21"/>
      <c r="D118" s="39" t="s">
        <v>174</v>
      </c>
      <c r="E118" s="24">
        <v>13.8</v>
      </c>
      <c r="F118" s="24">
        <v>19.99</v>
      </c>
      <c r="G118" s="25">
        <f t="shared" si="92"/>
        <v>19.99</v>
      </c>
      <c r="H118" s="25">
        <f t="shared" si="93"/>
        <v>16.6583333333333</v>
      </c>
      <c r="I118" s="25">
        <f t="shared" si="94"/>
        <v>2.38724601769912</v>
      </c>
      <c r="J118" s="26">
        <f t="shared" si="95"/>
        <v>0.172988841862255</v>
      </c>
      <c r="K118" s="27">
        <f t="shared" si="96"/>
        <v>16.6583333333333</v>
      </c>
      <c r="L118" s="28">
        <f t="shared" si="97"/>
        <v>0.171585792896448</v>
      </c>
      <c r="M118" s="25">
        <f t="shared" si="98"/>
        <v>2.85833333333333</v>
      </c>
      <c r="N118" s="27">
        <f t="shared" si="99"/>
        <v>50.3628318584071</v>
      </c>
      <c r="O118" s="27">
        <f t="shared" si="100"/>
        <v>0.385</v>
      </c>
      <c r="P118" s="21">
        <v>50</v>
      </c>
      <c r="Q118" s="29">
        <v>8</v>
      </c>
      <c r="R118" s="30">
        <f t="shared" si="101"/>
        <v>0.144927536231884</v>
      </c>
      <c r="S118" s="26">
        <f t="shared" si="113"/>
        <v>0.100050025012506</v>
      </c>
      <c r="T118" s="30">
        <f t="shared" si="103"/>
        <v>0</v>
      </c>
      <c r="U118" s="30">
        <v>0.01</v>
      </c>
      <c r="V118" s="30">
        <f t="shared" si="104"/>
        <v>0.456185071181224</v>
      </c>
      <c r="W118" s="30">
        <f t="shared" si="105"/>
        <v>0.0278985507246377</v>
      </c>
      <c r="X118" s="31">
        <v>0.188</v>
      </c>
      <c r="Y118" s="32">
        <v>2</v>
      </c>
      <c r="Z118" s="32">
        <v>0</v>
      </c>
      <c r="AA118" s="32">
        <f t="shared" si="106"/>
        <v>0.138</v>
      </c>
      <c r="AB118" s="27">
        <f t="shared" si="107"/>
        <v>2.5944</v>
      </c>
      <c r="AC118" s="27">
        <v>49</v>
      </c>
      <c r="AD118" s="33">
        <f t="shared" si="108"/>
        <v>43.3628318584071</v>
      </c>
      <c r="AE118" s="29">
        <f t="shared" si="109"/>
        <v>0.875</v>
      </c>
      <c r="AF118" s="30">
        <f t="shared" si="110"/>
        <v>0.392779274079774</v>
      </c>
      <c r="AG118" s="30">
        <f t="shared" si="111"/>
        <v>0.0634057971014493</v>
      </c>
      <c r="AH118" s="29">
        <v>7</v>
      </c>
      <c r="AI118" s="30">
        <f t="shared" si="114"/>
        <v>0.327327663831916</v>
      </c>
      <c r="AJ118" s="30"/>
      <c r="AK118" s="30"/>
      <c r="AL118" s="30"/>
      <c r="AM118" s="30"/>
      <c r="AN118" s="34"/>
      <c r="AO118" s="34"/>
      <c r="AP118" s="34"/>
      <c r="AQ118" s="34"/>
      <c r="AR118" s="34"/>
      <c r="AS118" s="34"/>
      <c r="AT118" s="34" t="s">
        <v>156</v>
      </c>
      <c r="AU118" s="34" t="s">
        <v>156</v>
      </c>
      <c r="AV118" s="34" t="s">
        <v>156</v>
      </c>
      <c r="AW118" s="34" t="s">
        <v>156</v>
      </c>
      <c r="AX118" s="34" t="s">
        <v>156</v>
      </c>
      <c r="AY118" s="34" t="s">
        <v>156</v>
      </c>
      <c r="AZ118" s="34" t="s">
        <v>156</v>
      </c>
      <c r="BA118" s="34" t="s">
        <v>156</v>
      </c>
      <c r="BB118" s="34" t="s">
        <v>156</v>
      </c>
      <c r="BC118" s="34" t="s">
        <v>156</v>
      </c>
      <c r="BD118" s="34" t="s">
        <v>156</v>
      </c>
      <c r="BE118" s="34" t="s">
        <v>156</v>
      </c>
      <c r="BF118" s="34" t="s">
        <v>156</v>
      </c>
      <c r="BG118" s="34" t="s">
        <v>156</v>
      </c>
      <c r="BH118" s="34" t="s">
        <v>156</v>
      </c>
      <c r="BI118" s="34" t="s">
        <v>156</v>
      </c>
      <c r="BJ118" s="34" t="s">
        <v>156</v>
      </c>
      <c r="BK118" s="34" t="s">
        <v>156</v>
      </c>
      <c r="BL118" s="34" t="s">
        <v>156</v>
      </c>
      <c r="BM118" s="34" t="s">
        <v>156</v>
      </c>
      <c r="BN118" s="34" t="s">
        <v>156</v>
      </c>
      <c r="BO118" s="34" t="s">
        <v>156</v>
      </c>
      <c r="BP118" s="34" t="s">
        <v>156</v>
      </c>
      <c r="BQ118" s="34" t="s">
        <v>156</v>
      </c>
      <c r="BR118" s="35"/>
      <c r="BS118" s="20" t="s">
        <v>157</v>
      </c>
    </row>
    <row r="119" ht="16.5" spans="1:71">
      <c r="A119" s="21" t="s">
        <v>48</v>
      </c>
      <c r="B119" s="21"/>
      <c r="C119" s="21"/>
      <c r="D119" s="39" t="s">
        <v>175</v>
      </c>
      <c r="E119" s="24">
        <v>13.8</v>
      </c>
      <c r="F119" s="24">
        <v>19.99</v>
      </c>
      <c r="G119" s="25">
        <f t="shared" si="92"/>
        <v>18.9905</v>
      </c>
      <c r="H119" s="25">
        <f t="shared" si="93"/>
        <v>15.8254166666667</v>
      </c>
      <c r="I119" s="25">
        <f t="shared" si="94"/>
        <v>1.38774601769912</v>
      </c>
      <c r="J119" s="26">
        <f t="shared" si="95"/>
        <v>0.100561305630371</v>
      </c>
      <c r="K119" s="27">
        <f t="shared" si="96"/>
        <v>16.6583333333333</v>
      </c>
      <c r="L119" s="28">
        <f t="shared" si="97"/>
        <v>0.171585792896448</v>
      </c>
      <c r="M119" s="25">
        <f t="shared" si="98"/>
        <v>2.85833333333333</v>
      </c>
      <c r="N119" s="27">
        <f t="shared" si="99"/>
        <v>50.3628318584071</v>
      </c>
      <c r="O119" s="27">
        <f t="shared" si="100"/>
        <v>0.385</v>
      </c>
      <c r="P119" s="21">
        <v>50</v>
      </c>
      <c r="Q119" s="29">
        <v>8</v>
      </c>
      <c r="R119" s="30">
        <f t="shared" si="101"/>
        <v>0.144927536231884</v>
      </c>
      <c r="S119" s="26">
        <f t="shared" si="113"/>
        <v>0.100050025012506</v>
      </c>
      <c r="T119" s="30">
        <f t="shared" si="103"/>
        <v>0.0724275362318841</v>
      </c>
      <c r="U119" s="30">
        <v>0.01</v>
      </c>
      <c r="V119" s="30">
        <f t="shared" si="104"/>
        <v>0.456185071181224</v>
      </c>
      <c r="W119" s="30">
        <f t="shared" si="105"/>
        <v>0.0278985507246377</v>
      </c>
      <c r="X119" s="31">
        <v>0.188</v>
      </c>
      <c r="Y119" s="32">
        <v>2</v>
      </c>
      <c r="Z119" s="32">
        <f>F119*0.05</f>
        <v>0.9995</v>
      </c>
      <c r="AA119" s="32">
        <f t="shared" si="106"/>
        <v>0.138</v>
      </c>
      <c r="AB119" s="27">
        <f t="shared" si="107"/>
        <v>2.5944</v>
      </c>
      <c r="AC119" s="27">
        <v>49</v>
      </c>
      <c r="AD119" s="33">
        <f t="shared" si="108"/>
        <v>43.3628318584071</v>
      </c>
      <c r="AE119" s="29">
        <f t="shared" si="109"/>
        <v>0.875</v>
      </c>
      <c r="AF119" s="30">
        <f t="shared" si="110"/>
        <v>0.392779274079774</v>
      </c>
      <c r="AG119" s="30">
        <f t="shared" si="111"/>
        <v>0.0634057971014493</v>
      </c>
      <c r="AH119" s="29">
        <v>7</v>
      </c>
      <c r="AI119" s="30">
        <f t="shared" si="114"/>
        <v>0.348220918970123</v>
      </c>
      <c r="AJ119" s="30"/>
      <c r="AK119" s="30"/>
      <c r="AL119" s="30"/>
      <c r="AM119" s="30"/>
      <c r="AN119" s="34"/>
      <c r="AO119" s="34"/>
      <c r="AP119" s="34"/>
      <c r="AQ119" s="34"/>
      <c r="AR119" s="34"/>
      <c r="AS119" s="34"/>
      <c r="AT119" s="34" t="s">
        <v>156</v>
      </c>
      <c r="AU119" s="34" t="s">
        <v>156</v>
      </c>
      <c r="AV119" s="34" t="s">
        <v>156</v>
      </c>
      <c r="AW119" s="34" t="s">
        <v>156</v>
      </c>
      <c r="AX119" s="34" t="s">
        <v>156</v>
      </c>
      <c r="AY119" s="34" t="s">
        <v>156</v>
      </c>
      <c r="AZ119" s="34" t="s">
        <v>156</v>
      </c>
      <c r="BA119" s="34" t="s">
        <v>156</v>
      </c>
      <c r="BB119" s="34" t="s">
        <v>156</v>
      </c>
      <c r="BC119" s="34" t="s">
        <v>156</v>
      </c>
      <c r="BD119" s="34" t="s">
        <v>156</v>
      </c>
      <c r="BE119" s="34" t="s">
        <v>156</v>
      </c>
      <c r="BF119" s="34" t="s">
        <v>156</v>
      </c>
      <c r="BG119" s="34" t="s">
        <v>156</v>
      </c>
      <c r="BH119" s="34" t="s">
        <v>156</v>
      </c>
      <c r="BI119" s="34" t="s">
        <v>156</v>
      </c>
      <c r="BJ119" s="34" t="s">
        <v>156</v>
      </c>
      <c r="BK119" s="34" t="s">
        <v>156</v>
      </c>
      <c r="BL119" s="34" t="s">
        <v>156</v>
      </c>
      <c r="BM119" s="34" t="s">
        <v>156</v>
      </c>
      <c r="BN119" s="34" t="s">
        <v>156</v>
      </c>
      <c r="BO119" s="34" t="s">
        <v>156</v>
      </c>
      <c r="BP119" s="34" t="s">
        <v>156</v>
      </c>
      <c r="BQ119" s="34" t="s">
        <v>156</v>
      </c>
      <c r="BR119" s="35"/>
      <c r="BS119" s="20" t="s">
        <v>157</v>
      </c>
    </row>
    <row r="120" ht="16.5" spans="1:71">
      <c r="A120" s="21" t="s">
        <v>48</v>
      </c>
      <c r="B120" s="21"/>
      <c r="C120" s="21"/>
      <c r="D120" s="39" t="s">
        <v>176</v>
      </c>
      <c r="E120" s="24">
        <v>13.8</v>
      </c>
      <c r="F120" s="24">
        <v>19.99</v>
      </c>
      <c r="G120" s="25">
        <f t="shared" si="92"/>
        <v>17.991</v>
      </c>
      <c r="H120" s="25">
        <f t="shared" si="93"/>
        <v>14.9925</v>
      </c>
      <c r="I120" s="25">
        <f t="shared" si="94"/>
        <v>0.388246017699115</v>
      </c>
      <c r="J120" s="26">
        <f t="shared" si="95"/>
        <v>0.0281337693984866</v>
      </c>
      <c r="K120" s="27">
        <f t="shared" si="96"/>
        <v>16.6583333333333</v>
      </c>
      <c r="L120" s="28">
        <f t="shared" si="97"/>
        <v>0.171585792896448</v>
      </c>
      <c r="M120" s="25">
        <f t="shared" si="98"/>
        <v>2.85833333333333</v>
      </c>
      <c r="N120" s="27">
        <f t="shared" si="99"/>
        <v>50.3628318584071</v>
      </c>
      <c r="O120" s="27">
        <f t="shared" si="100"/>
        <v>0.385</v>
      </c>
      <c r="P120" s="21">
        <v>50</v>
      </c>
      <c r="Q120" s="29">
        <v>8</v>
      </c>
      <c r="R120" s="30">
        <f t="shared" si="101"/>
        <v>0.144927536231884</v>
      </c>
      <c r="S120" s="26">
        <f t="shared" si="113"/>
        <v>0.100050025012506</v>
      </c>
      <c r="T120" s="30">
        <f t="shared" si="103"/>
        <v>0.144855072463768</v>
      </c>
      <c r="U120" s="30">
        <v>0.01</v>
      </c>
      <c r="V120" s="30">
        <f t="shared" si="104"/>
        <v>0.456185071181224</v>
      </c>
      <c r="W120" s="30">
        <f t="shared" si="105"/>
        <v>0.0278985507246377</v>
      </c>
      <c r="X120" s="31">
        <v>0.188</v>
      </c>
      <c r="Y120" s="32">
        <v>2</v>
      </c>
      <c r="Z120" s="32">
        <f>F120*0.1</f>
        <v>1.999</v>
      </c>
      <c r="AA120" s="32">
        <f t="shared" si="106"/>
        <v>0.138</v>
      </c>
      <c r="AB120" s="27">
        <f t="shared" si="107"/>
        <v>2.5944</v>
      </c>
      <c r="AC120" s="27">
        <v>49</v>
      </c>
      <c r="AD120" s="33">
        <f t="shared" si="108"/>
        <v>43.3628318584071</v>
      </c>
      <c r="AE120" s="29">
        <f t="shared" si="109"/>
        <v>0.875</v>
      </c>
      <c r="AF120" s="30">
        <f t="shared" si="110"/>
        <v>0.392779274079774</v>
      </c>
      <c r="AG120" s="30">
        <f t="shared" si="111"/>
        <v>0.0634057971014493</v>
      </c>
      <c r="AH120" s="29">
        <v>7</v>
      </c>
      <c r="AI120" s="30">
        <f t="shared" si="114"/>
        <v>0.37196325435445</v>
      </c>
      <c r="AJ120" s="30"/>
      <c r="AK120" s="30"/>
      <c r="AL120" s="30"/>
      <c r="AM120" s="30"/>
      <c r="AN120" s="34"/>
      <c r="AO120" s="34"/>
      <c r="AP120" s="34"/>
      <c r="AQ120" s="34"/>
      <c r="AR120" s="34"/>
      <c r="AS120" s="34"/>
      <c r="AT120" s="34" t="s">
        <v>156</v>
      </c>
      <c r="AU120" s="34" t="s">
        <v>156</v>
      </c>
      <c r="AV120" s="34" t="s">
        <v>156</v>
      </c>
      <c r="AW120" s="34" t="s">
        <v>156</v>
      </c>
      <c r="AX120" s="34" t="s">
        <v>156</v>
      </c>
      <c r="AY120" s="34" t="s">
        <v>156</v>
      </c>
      <c r="AZ120" s="34" t="s">
        <v>156</v>
      </c>
      <c r="BA120" s="34" t="s">
        <v>156</v>
      </c>
      <c r="BB120" s="34" t="s">
        <v>156</v>
      </c>
      <c r="BC120" s="34" t="s">
        <v>156</v>
      </c>
      <c r="BD120" s="34" t="s">
        <v>156</v>
      </c>
      <c r="BE120" s="34" t="s">
        <v>156</v>
      </c>
      <c r="BF120" s="34" t="s">
        <v>156</v>
      </c>
      <c r="BG120" s="34" t="s">
        <v>156</v>
      </c>
      <c r="BH120" s="34" t="s">
        <v>156</v>
      </c>
      <c r="BI120" s="34" t="s">
        <v>156</v>
      </c>
      <c r="BJ120" s="34" t="s">
        <v>156</v>
      </c>
      <c r="BK120" s="34" t="s">
        <v>156</v>
      </c>
      <c r="BL120" s="34" t="s">
        <v>156</v>
      </c>
      <c r="BM120" s="34" t="s">
        <v>156</v>
      </c>
      <c r="BN120" s="34" t="s">
        <v>156</v>
      </c>
      <c r="BO120" s="34" t="s">
        <v>156</v>
      </c>
      <c r="BP120" s="34" t="s">
        <v>156</v>
      </c>
      <c r="BQ120" s="34" t="s">
        <v>156</v>
      </c>
      <c r="BR120" s="35"/>
      <c r="BS120" s="20" t="s">
        <v>157</v>
      </c>
    </row>
    <row r="121" ht="16.5" spans="1:71">
      <c r="A121" s="21" t="s">
        <v>48</v>
      </c>
      <c r="B121" s="21"/>
      <c r="C121" s="21"/>
      <c r="D121" s="39" t="s">
        <v>177</v>
      </c>
      <c r="E121" s="24">
        <v>13.8</v>
      </c>
      <c r="F121" s="24">
        <v>19.99</v>
      </c>
      <c r="G121" s="50">
        <f t="shared" si="92"/>
        <v>16.9915</v>
      </c>
      <c r="H121" s="25">
        <f t="shared" si="93"/>
        <v>14.1595833333333</v>
      </c>
      <c r="I121" s="50">
        <f t="shared" si="94"/>
        <v>-0.611253982300884</v>
      </c>
      <c r="J121" s="26">
        <f t="shared" si="95"/>
        <v>-0.0442937668333974</v>
      </c>
      <c r="K121" s="27">
        <f t="shared" si="96"/>
        <v>16.6583333333333</v>
      </c>
      <c r="L121" s="28">
        <f t="shared" si="97"/>
        <v>0.171585792896448</v>
      </c>
      <c r="M121" s="25">
        <f t="shared" si="98"/>
        <v>2.85833333333333</v>
      </c>
      <c r="N121" s="27">
        <f t="shared" si="99"/>
        <v>50.3628318584071</v>
      </c>
      <c r="O121" s="27">
        <f t="shared" si="100"/>
        <v>0.385</v>
      </c>
      <c r="P121" s="21">
        <v>50</v>
      </c>
      <c r="Q121" s="29">
        <v>8</v>
      </c>
      <c r="R121" s="30">
        <f t="shared" si="101"/>
        <v>0.144927536231884</v>
      </c>
      <c r="S121" s="26">
        <f t="shared" si="113"/>
        <v>0.100050025012506</v>
      </c>
      <c r="T121" s="30">
        <f t="shared" si="103"/>
        <v>0.217282608695652</v>
      </c>
      <c r="U121" s="30">
        <v>0.01</v>
      </c>
      <c r="V121" s="30">
        <f t="shared" si="104"/>
        <v>0.456185071181224</v>
      </c>
      <c r="W121" s="30">
        <f t="shared" si="105"/>
        <v>0.0278985507246377</v>
      </c>
      <c r="X121" s="31">
        <v>0.188</v>
      </c>
      <c r="Y121" s="32">
        <v>2</v>
      </c>
      <c r="Z121" s="32">
        <f>F121*0.15</f>
        <v>2.9985</v>
      </c>
      <c r="AA121" s="32">
        <f t="shared" si="106"/>
        <v>0.138</v>
      </c>
      <c r="AB121" s="27">
        <f t="shared" si="107"/>
        <v>2.5944</v>
      </c>
      <c r="AC121" s="27">
        <v>49</v>
      </c>
      <c r="AD121" s="33">
        <f t="shared" si="108"/>
        <v>43.3628318584071</v>
      </c>
      <c r="AE121" s="29">
        <f t="shared" si="109"/>
        <v>0.875</v>
      </c>
      <c r="AF121" s="30">
        <f t="shared" si="110"/>
        <v>0.392779274079774</v>
      </c>
      <c r="AG121" s="30">
        <f t="shared" si="111"/>
        <v>0.0634057971014493</v>
      </c>
      <c r="AH121" s="29">
        <v>7</v>
      </c>
      <c r="AI121" s="30">
        <f t="shared" si="114"/>
        <v>0.3991800778438</v>
      </c>
      <c r="AJ121" s="30"/>
      <c r="AK121" s="30"/>
      <c r="AL121" s="30"/>
      <c r="AM121" s="30"/>
      <c r="AN121" s="34"/>
      <c r="AO121" s="34"/>
      <c r="AP121" s="34"/>
      <c r="AQ121" s="34"/>
      <c r="AR121" s="34"/>
      <c r="AS121" s="34"/>
      <c r="AT121" s="34" t="s">
        <v>156</v>
      </c>
      <c r="AU121" s="34" t="s">
        <v>156</v>
      </c>
      <c r="AV121" s="34" t="s">
        <v>156</v>
      </c>
      <c r="AW121" s="34" t="s">
        <v>156</v>
      </c>
      <c r="AX121" s="34" t="s">
        <v>156</v>
      </c>
      <c r="AY121" s="34" t="s">
        <v>156</v>
      </c>
      <c r="AZ121" s="34" t="s">
        <v>156</v>
      </c>
      <c r="BA121" s="34" t="s">
        <v>156</v>
      </c>
      <c r="BB121" s="34" t="s">
        <v>156</v>
      </c>
      <c r="BC121" s="34" t="s">
        <v>156</v>
      </c>
      <c r="BD121" s="34" t="s">
        <v>156</v>
      </c>
      <c r="BE121" s="34" t="s">
        <v>156</v>
      </c>
      <c r="BF121" s="34" t="s">
        <v>156</v>
      </c>
      <c r="BG121" s="34" t="s">
        <v>156</v>
      </c>
      <c r="BH121" s="34" t="s">
        <v>156</v>
      </c>
      <c r="BI121" s="34" t="s">
        <v>156</v>
      </c>
      <c r="BJ121" s="34" t="s">
        <v>156</v>
      </c>
      <c r="BK121" s="34" t="s">
        <v>156</v>
      </c>
      <c r="BL121" s="34" t="s">
        <v>156</v>
      </c>
      <c r="BM121" s="34" t="s">
        <v>156</v>
      </c>
      <c r="BN121" s="34" t="s">
        <v>156</v>
      </c>
      <c r="BO121" s="34" t="s">
        <v>156</v>
      </c>
      <c r="BP121" s="34" t="s">
        <v>156</v>
      </c>
      <c r="BQ121" s="34" t="s">
        <v>156</v>
      </c>
      <c r="BR121" s="35"/>
      <c r="BS121" s="20" t="s">
        <v>157</v>
      </c>
    </row>
    <row r="122" ht="16.5" spans="1:71">
      <c r="A122" s="21" t="s">
        <v>161</v>
      </c>
      <c r="B122" s="21"/>
      <c r="C122" s="21"/>
      <c r="D122" s="42" t="s">
        <v>178</v>
      </c>
      <c r="E122" s="24">
        <v>20.5</v>
      </c>
      <c r="F122" s="24">
        <v>29.99</v>
      </c>
      <c r="G122" s="25">
        <f t="shared" si="92"/>
        <v>29.99</v>
      </c>
      <c r="H122" s="25">
        <f t="shared" si="93"/>
        <v>24.9916666666667</v>
      </c>
      <c r="I122" s="25">
        <f t="shared" si="94"/>
        <v>9.81064601769912</v>
      </c>
      <c r="J122" s="26">
        <f t="shared" si="95"/>
        <v>0.478568098424347</v>
      </c>
      <c r="K122" s="27">
        <f t="shared" si="96"/>
        <v>24.9916666666667</v>
      </c>
      <c r="L122" s="28">
        <f t="shared" si="97"/>
        <v>0.179726575525175</v>
      </c>
      <c r="M122" s="25">
        <f t="shared" si="98"/>
        <v>4.49166666666667</v>
      </c>
      <c r="N122" s="27">
        <f t="shared" si="99"/>
        <v>50.3628318584071</v>
      </c>
      <c r="O122" s="27">
        <f t="shared" si="100"/>
        <v>0.335</v>
      </c>
      <c r="P122" s="21">
        <v>50</v>
      </c>
      <c r="Q122" s="29">
        <v>8</v>
      </c>
      <c r="R122" s="30">
        <f t="shared" si="101"/>
        <v>0</v>
      </c>
      <c r="S122" s="26">
        <f t="shared" si="113"/>
        <v>0</v>
      </c>
      <c r="T122" s="30">
        <f t="shared" si="103"/>
        <v>0</v>
      </c>
      <c r="U122" s="30">
        <v>0.01</v>
      </c>
      <c r="V122" s="30">
        <f t="shared" si="104"/>
        <v>0.307090438161019</v>
      </c>
      <c r="W122" s="30">
        <f t="shared" si="105"/>
        <v>0.0163414634146341</v>
      </c>
      <c r="X122" s="31">
        <v>0.188</v>
      </c>
      <c r="Y122" s="32">
        <v>0</v>
      </c>
      <c r="Z122" s="32">
        <f t="shared" ref="Z122:Z125" si="115">F122*0</f>
        <v>0</v>
      </c>
      <c r="AA122" s="32">
        <f t="shared" si="106"/>
        <v>0.205</v>
      </c>
      <c r="AB122" s="27">
        <f t="shared" si="107"/>
        <v>3.854</v>
      </c>
      <c r="AC122" s="27">
        <v>49</v>
      </c>
      <c r="AD122" s="33">
        <f t="shared" si="108"/>
        <v>43.3628318584071</v>
      </c>
      <c r="AE122" s="29">
        <f t="shared" si="109"/>
        <v>0.875</v>
      </c>
      <c r="AF122" s="30">
        <f t="shared" si="110"/>
        <v>0.26440751133175</v>
      </c>
      <c r="AG122" s="30">
        <f t="shared" si="111"/>
        <v>0.0426829268292683</v>
      </c>
      <c r="AH122" s="29">
        <v>7</v>
      </c>
      <c r="AI122" s="30">
        <f t="shared" si="114"/>
        <v>0.333937979326442</v>
      </c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 t="s">
        <v>156</v>
      </c>
      <c r="AU122" s="34" t="s">
        <v>156</v>
      </c>
      <c r="AV122" s="34" t="s">
        <v>156</v>
      </c>
      <c r="AW122" s="34" t="s">
        <v>156</v>
      </c>
      <c r="AX122" s="34" t="s">
        <v>156</v>
      </c>
      <c r="AY122" s="34" t="s">
        <v>156</v>
      </c>
      <c r="AZ122" s="34" t="s">
        <v>156</v>
      </c>
      <c r="BA122" s="34" t="s">
        <v>156</v>
      </c>
      <c r="BB122" s="34" t="s">
        <v>156</v>
      </c>
      <c r="BC122" s="34" t="s">
        <v>156</v>
      </c>
      <c r="BD122" s="34" t="s">
        <v>156</v>
      </c>
      <c r="BE122" s="34" t="s">
        <v>156</v>
      </c>
      <c r="BF122" s="34" t="s">
        <v>156</v>
      </c>
      <c r="BG122" s="34" t="s">
        <v>156</v>
      </c>
      <c r="BH122" s="34" t="s">
        <v>156</v>
      </c>
      <c r="BI122" s="34" t="s">
        <v>156</v>
      </c>
      <c r="BJ122" s="34" t="s">
        <v>156</v>
      </c>
      <c r="BK122" s="34" t="s">
        <v>156</v>
      </c>
      <c r="BL122" s="34" t="s">
        <v>156</v>
      </c>
      <c r="BM122" s="34" t="s">
        <v>156</v>
      </c>
      <c r="BN122" s="34" t="s">
        <v>156</v>
      </c>
      <c r="BO122" s="34" t="s">
        <v>156</v>
      </c>
      <c r="BP122" s="34" t="s">
        <v>156</v>
      </c>
      <c r="BQ122" s="34" t="s">
        <v>156</v>
      </c>
      <c r="BR122" s="44" t="e">
        <f>IF(E122&lt;#REF!,1,0)</f>
        <v>#REF!</v>
      </c>
      <c r="BS122" s="20" t="s">
        <v>157</v>
      </c>
    </row>
    <row r="123" ht="16.5" spans="1:71">
      <c r="A123" s="21" t="s">
        <v>163</v>
      </c>
      <c r="B123" s="21"/>
      <c r="C123" s="21"/>
      <c r="D123" s="42" t="s">
        <v>179</v>
      </c>
      <c r="E123" s="24">
        <v>20.5</v>
      </c>
      <c r="F123" s="24">
        <v>29.99</v>
      </c>
      <c r="G123" s="25">
        <f t="shared" si="92"/>
        <v>29.99</v>
      </c>
      <c r="H123" s="25">
        <f t="shared" si="93"/>
        <v>24.9916666666667</v>
      </c>
      <c r="I123" s="25">
        <f t="shared" si="94"/>
        <v>9.86464601769912</v>
      </c>
      <c r="J123" s="26">
        <f t="shared" si="95"/>
        <v>0.481202244765811</v>
      </c>
      <c r="K123" s="27">
        <f t="shared" si="96"/>
        <v>24.9916666666667</v>
      </c>
      <c r="L123" s="28">
        <f t="shared" si="97"/>
        <v>0.179726575525175</v>
      </c>
      <c r="M123" s="25">
        <f t="shared" si="98"/>
        <v>4.49166666666667</v>
      </c>
      <c r="N123" s="27">
        <f t="shared" si="99"/>
        <v>50.3628318584071</v>
      </c>
      <c r="O123" s="27">
        <f t="shared" si="100"/>
        <v>0.281</v>
      </c>
      <c r="P123" s="21">
        <v>50</v>
      </c>
      <c r="Q123" s="29">
        <v>8</v>
      </c>
      <c r="R123" s="30">
        <f t="shared" si="101"/>
        <v>0</v>
      </c>
      <c r="S123" s="26">
        <f t="shared" si="113"/>
        <v>0</v>
      </c>
      <c r="T123" s="30">
        <f t="shared" si="103"/>
        <v>0</v>
      </c>
      <c r="U123" s="30">
        <v>0.01</v>
      </c>
      <c r="V123" s="30">
        <f t="shared" si="104"/>
        <v>0.307090438161019</v>
      </c>
      <c r="W123" s="30">
        <f t="shared" si="105"/>
        <v>0.0137073170731707</v>
      </c>
      <c r="X123" s="31">
        <v>0.188</v>
      </c>
      <c r="Y123" s="32">
        <v>0</v>
      </c>
      <c r="Z123" s="32">
        <f t="shared" si="115"/>
        <v>0</v>
      </c>
      <c r="AA123" s="32">
        <f t="shared" si="106"/>
        <v>0.205</v>
      </c>
      <c r="AB123" s="27">
        <f t="shared" si="107"/>
        <v>3.854</v>
      </c>
      <c r="AC123" s="27">
        <v>49</v>
      </c>
      <c r="AD123" s="33">
        <f t="shared" si="108"/>
        <v>43.3628318584071</v>
      </c>
      <c r="AE123" s="29">
        <f t="shared" si="109"/>
        <v>0.875</v>
      </c>
      <c r="AF123" s="30">
        <f t="shared" si="110"/>
        <v>0.26440751133175</v>
      </c>
      <c r="AG123" s="30">
        <f t="shared" si="111"/>
        <v>0.0426829268292683</v>
      </c>
      <c r="AH123" s="29">
        <v>7</v>
      </c>
      <c r="AI123" s="30">
        <f t="shared" si="114"/>
        <v>0.333937979326442</v>
      </c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 t="s">
        <v>156</v>
      </c>
      <c r="AU123" s="34" t="s">
        <v>156</v>
      </c>
      <c r="AV123" s="34" t="s">
        <v>156</v>
      </c>
      <c r="AW123" s="34" t="s">
        <v>156</v>
      </c>
      <c r="AX123" s="34" t="s">
        <v>156</v>
      </c>
      <c r="AY123" s="34" t="s">
        <v>156</v>
      </c>
      <c r="AZ123" s="34" t="s">
        <v>156</v>
      </c>
      <c r="BA123" s="34" t="s">
        <v>156</v>
      </c>
      <c r="BB123" s="34" t="s">
        <v>156</v>
      </c>
      <c r="BC123" s="34" t="s">
        <v>156</v>
      </c>
      <c r="BD123" s="34" t="s">
        <v>156</v>
      </c>
      <c r="BE123" s="34" t="s">
        <v>156</v>
      </c>
      <c r="BF123" s="34" t="s">
        <v>156</v>
      </c>
      <c r="BG123" s="34" t="s">
        <v>156</v>
      </c>
      <c r="BH123" s="34" t="s">
        <v>156</v>
      </c>
      <c r="BI123" s="34" t="s">
        <v>156</v>
      </c>
      <c r="BJ123" s="34" t="s">
        <v>156</v>
      </c>
      <c r="BK123" s="34" t="s">
        <v>156</v>
      </c>
      <c r="BL123" s="34" t="s">
        <v>156</v>
      </c>
      <c r="BM123" s="34" t="s">
        <v>156</v>
      </c>
      <c r="BN123" s="34" t="s">
        <v>156</v>
      </c>
      <c r="BO123" s="34" t="s">
        <v>156</v>
      </c>
      <c r="BP123" s="34" t="s">
        <v>156</v>
      </c>
      <c r="BQ123" s="34" t="s">
        <v>156</v>
      </c>
      <c r="BR123" s="44" t="e">
        <f>IF(E123&lt;#REF!,1,0)</f>
        <v>#REF!</v>
      </c>
      <c r="BS123" s="20" t="s">
        <v>157</v>
      </c>
    </row>
    <row r="124" ht="16.5" spans="1:71">
      <c r="A124" s="21" t="s">
        <v>165</v>
      </c>
      <c r="B124" s="21"/>
      <c r="C124" s="21"/>
      <c r="D124" s="42" t="s">
        <v>180</v>
      </c>
      <c r="E124" s="24">
        <v>20.5</v>
      </c>
      <c r="F124" s="24">
        <v>29.99</v>
      </c>
      <c r="G124" s="25">
        <f t="shared" si="92"/>
        <v>29.99</v>
      </c>
      <c r="H124" s="25">
        <f t="shared" si="93"/>
        <v>24.9916666666667</v>
      </c>
      <c r="I124" s="25">
        <f t="shared" si="94"/>
        <v>9.78064601769912</v>
      </c>
      <c r="J124" s="26">
        <f t="shared" si="95"/>
        <v>0.477104683790201</v>
      </c>
      <c r="K124" s="27">
        <f t="shared" si="96"/>
        <v>24.9916666666667</v>
      </c>
      <c r="L124" s="28">
        <f t="shared" si="97"/>
        <v>0.179726575525175</v>
      </c>
      <c r="M124" s="25">
        <f t="shared" si="98"/>
        <v>4.49166666666667</v>
      </c>
      <c r="N124" s="27">
        <f t="shared" si="99"/>
        <v>50.3628318584071</v>
      </c>
      <c r="O124" s="27">
        <f t="shared" si="100"/>
        <v>0.365</v>
      </c>
      <c r="P124" s="21">
        <v>50</v>
      </c>
      <c r="Q124" s="29">
        <v>8</v>
      </c>
      <c r="R124" s="30">
        <f t="shared" si="101"/>
        <v>0</v>
      </c>
      <c r="S124" s="26">
        <f t="shared" si="113"/>
        <v>0</v>
      </c>
      <c r="T124" s="30">
        <f t="shared" si="103"/>
        <v>0</v>
      </c>
      <c r="U124" s="30">
        <v>0.01</v>
      </c>
      <c r="V124" s="30">
        <f t="shared" si="104"/>
        <v>0.307090438161019</v>
      </c>
      <c r="W124" s="30">
        <f t="shared" si="105"/>
        <v>0.0178048780487805</v>
      </c>
      <c r="X124" s="31">
        <v>0.188</v>
      </c>
      <c r="Y124" s="32">
        <v>0</v>
      </c>
      <c r="Z124" s="32">
        <f t="shared" si="115"/>
        <v>0</v>
      </c>
      <c r="AA124" s="32">
        <f t="shared" si="106"/>
        <v>0.205</v>
      </c>
      <c r="AB124" s="27">
        <f t="shared" si="107"/>
        <v>3.854</v>
      </c>
      <c r="AC124" s="27">
        <v>49</v>
      </c>
      <c r="AD124" s="33">
        <f t="shared" si="108"/>
        <v>43.3628318584071</v>
      </c>
      <c r="AE124" s="29">
        <f t="shared" si="109"/>
        <v>0.875</v>
      </c>
      <c r="AF124" s="30">
        <f t="shared" si="110"/>
        <v>0.26440751133175</v>
      </c>
      <c r="AG124" s="30">
        <f t="shared" si="111"/>
        <v>0.0426829268292683</v>
      </c>
      <c r="AH124" s="29">
        <v>7</v>
      </c>
      <c r="AI124" s="30">
        <f t="shared" si="114"/>
        <v>0.333937979326442</v>
      </c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 t="s">
        <v>156</v>
      </c>
      <c r="AU124" s="34" t="s">
        <v>156</v>
      </c>
      <c r="AV124" s="34" t="s">
        <v>156</v>
      </c>
      <c r="AW124" s="34" t="s">
        <v>156</v>
      </c>
      <c r="AX124" s="34" t="s">
        <v>156</v>
      </c>
      <c r="AY124" s="34" t="s">
        <v>156</v>
      </c>
      <c r="AZ124" s="34" t="s">
        <v>156</v>
      </c>
      <c r="BA124" s="34" t="s">
        <v>156</v>
      </c>
      <c r="BB124" s="34" t="s">
        <v>156</v>
      </c>
      <c r="BC124" s="34" t="s">
        <v>156</v>
      </c>
      <c r="BD124" s="34" t="s">
        <v>156</v>
      </c>
      <c r="BE124" s="34" t="s">
        <v>156</v>
      </c>
      <c r="BF124" s="34" t="s">
        <v>156</v>
      </c>
      <c r="BG124" s="34" t="s">
        <v>156</v>
      </c>
      <c r="BH124" s="34" t="s">
        <v>156</v>
      </c>
      <c r="BI124" s="34" t="s">
        <v>156</v>
      </c>
      <c r="BJ124" s="34" t="s">
        <v>156</v>
      </c>
      <c r="BK124" s="34" t="s">
        <v>156</v>
      </c>
      <c r="BL124" s="34" t="s">
        <v>156</v>
      </c>
      <c r="BM124" s="34" t="s">
        <v>156</v>
      </c>
      <c r="BN124" s="34" t="s">
        <v>156</v>
      </c>
      <c r="BO124" s="34" t="s">
        <v>156</v>
      </c>
      <c r="BP124" s="34" t="s">
        <v>156</v>
      </c>
      <c r="BQ124" s="34" t="s">
        <v>156</v>
      </c>
      <c r="BR124" s="44" t="e">
        <f>IF(E124&lt;#REF!,1,0)</f>
        <v>#REF!</v>
      </c>
      <c r="BS124" s="20" t="s">
        <v>157</v>
      </c>
    </row>
    <row r="125" ht="16.5" spans="1:71">
      <c r="A125" s="21" t="s">
        <v>167</v>
      </c>
      <c r="B125" s="21"/>
      <c r="C125" s="21"/>
      <c r="D125" s="42" t="s">
        <v>181</v>
      </c>
      <c r="E125" s="24">
        <v>20.5</v>
      </c>
      <c r="F125" s="24">
        <v>29.99</v>
      </c>
      <c r="G125" s="25">
        <f t="shared" si="92"/>
        <v>29.99</v>
      </c>
      <c r="H125" s="25">
        <f t="shared" si="93"/>
        <v>24.9916666666667</v>
      </c>
      <c r="I125" s="25">
        <f t="shared" si="94"/>
        <v>9.86064601769912</v>
      </c>
      <c r="J125" s="26">
        <f t="shared" si="95"/>
        <v>0.481007122814591</v>
      </c>
      <c r="K125" s="27">
        <f t="shared" si="96"/>
        <v>24.9916666666667</v>
      </c>
      <c r="L125" s="28">
        <f t="shared" si="97"/>
        <v>0.179726575525175</v>
      </c>
      <c r="M125" s="25">
        <f t="shared" si="98"/>
        <v>4.49166666666667</v>
      </c>
      <c r="N125" s="27">
        <f t="shared" si="99"/>
        <v>50.3628318584071</v>
      </c>
      <c r="O125" s="27">
        <f t="shared" si="100"/>
        <v>0.285</v>
      </c>
      <c r="P125" s="21">
        <v>50</v>
      </c>
      <c r="Q125" s="29">
        <v>8</v>
      </c>
      <c r="R125" s="30">
        <f t="shared" si="101"/>
        <v>0</v>
      </c>
      <c r="S125" s="26">
        <f t="shared" si="113"/>
        <v>0</v>
      </c>
      <c r="T125" s="30">
        <f t="shared" si="103"/>
        <v>0</v>
      </c>
      <c r="U125" s="30">
        <v>0.01</v>
      </c>
      <c r="V125" s="30">
        <f t="shared" si="104"/>
        <v>0.307090438161019</v>
      </c>
      <c r="W125" s="30">
        <f t="shared" si="105"/>
        <v>0.0139024390243902</v>
      </c>
      <c r="X125" s="31">
        <v>0.188</v>
      </c>
      <c r="Y125" s="32">
        <v>0</v>
      </c>
      <c r="Z125" s="32">
        <f t="shared" si="115"/>
        <v>0</v>
      </c>
      <c r="AA125" s="32">
        <f t="shared" si="106"/>
        <v>0.205</v>
      </c>
      <c r="AB125" s="27">
        <f t="shared" si="107"/>
        <v>3.854</v>
      </c>
      <c r="AC125" s="27">
        <v>49</v>
      </c>
      <c r="AD125" s="33">
        <f t="shared" si="108"/>
        <v>43.3628318584071</v>
      </c>
      <c r="AE125" s="29">
        <f t="shared" si="109"/>
        <v>0.875</v>
      </c>
      <c r="AF125" s="30">
        <f t="shared" si="110"/>
        <v>0.26440751133175</v>
      </c>
      <c r="AG125" s="30">
        <f t="shared" si="111"/>
        <v>0.0426829268292683</v>
      </c>
      <c r="AH125" s="29">
        <v>7</v>
      </c>
      <c r="AI125" s="30">
        <f t="shared" si="114"/>
        <v>0.333937979326442</v>
      </c>
      <c r="AJ125" s="30"/>
      <c r="AK125" s="30"/>
      <c r="AL125" s="30"/>
      <c r="AM125" s="30"/>
      <c r="AN125" s="34"/>
      <c r="AO125" s="34"/>
      <c r="AP125" s="34"/>
      <c r="AQ125" s="34"/>
      <c r="AR125" s="34"/>
      <c r="AS125" s="34"/>
      <c r="AT125" s="34" t="s">
        <v>156</v>
      </c>
      <c r="AU125" s="34" t="s">
        <v>156</v>
      </c>
      <c r="AV125" s="34" t="s">
        <v>156</v>
      </c>
      <c r="AW125" s="34" t="s">
        <v>156</v>
      </c>
      <c r="AX125" s="34" t="s">
        <v>156</v>
      </c>
      <c r="AY125" s="34" t="s">
        <v>156</v>
      </c>
      <c r="AZ125" s="34" t="s">
        <v>156</v>
      </c>
      <c r="BA125" s="34" t="s">
        <v>156</v>
      </c>
      <c r="BB125" s="34" t="s">
        <v>156</v>
      </c>
      <c r="BC125" s="34" t="s">
        <v>156</v>
      </c>
      <c r="BD125" s="34" t="s">
        <v>156</v>
      </c>
      <c r="BE125" s="34" t="s">
        <v>156</v>
      </c>
      <c r="BF125" s="34" t="s">
        <v>156</v>
      </c>
      <c r="BG125" s="34" t="s">
        <v>156</v>
      </c>
      <c r="BH125" s="34" t="s">
        <v>156</v>
      </c>
      <c r="BI125" s="34" t="s">
        <v>156</v>
      </c>
      <c r="BJ125" s="34" t="s">
        <v>156</v>
      </c>
      <c r="BK125" s="34" t="s">
        <v>156</v>
      </c>
      <c r="BL125" s="34" t="s">
        <v>156</v>
      </c>
      <c r="BM125" s="34" t="s">
        <v>156</v>
      </c>
      <c r="BN125" s="34" t="s">
        <v>156</v>
      </c>
      <c r="BO125" s="34" t="s">
        <v>156</v>
      </c>
      <c r="BP125" s="34" t="s">
        <v>156</v>
      </c>
      <c r="BQ125" s="34" t="s">
        <v>156</v>
      </c>
      <c r="BR125" s="44" t="e">
        <f>IF(E125&lt;#REF!,1,0)</f>
        <v>#REF!</v>
      </c>
      <c r="BS125" s="20" t="s">
        <v>157</v>
      </c>
    </row>
    <row r="126" ht="16.5" spans="1:71">
      <c r="A126" s="48"/>
      <c r="B126" s="48"/>
      <c r="C126" s="48"/>
      <c r="D126" s="48"/>
      <c r="E126" s="27"/>
      <c r="F126" s="43"/>
      <c r="G126" s="25">
        <f t="shared" si="92"/>
        <v>0</v>
      </c>
      <c r="H126" s="25"/>
      <c r="I126" s="25"/>
      <c r="J126" s="26"/>
      <c r="K126" s="27"/>
      <c r="L126" s="27"/>
      <c r="M126" s="27"/>
      <c r="N126" s="27"/>
      <c r="O126" s="27"/>
      <c r="P126" s="21"/>
      <c r="Q126" s="29"/>
      <c r="R126" s="30"/>
      <c r="S126" s="26"/>
      <c r="T126" s="30"/>
      <c r="U126" s="30"/>
      <c r="V126" s="30"/>
      <c r="W126" s="30"/>
      <c r="X126" s="31"/>
      <c r="Y126" s="32"/>
      <c r="Z126" s="32"/>
      <c r="AA126" s="32"/>
      <c r="AB126" s="27"/>
      <c r="AC126" s="27"/>
      <c r="AD126" s="33"/>
      <c r="AE126" s="29"/>
      <c r="AF126" s="30"/>
      <c r="AG126" s="30"/>
      <c r="AH126" s="29"/>
      <c r="AI126" s="30"/>
      <c r="AJ126" s="30"/>
      <c r="AK126" s="30"/>
      <c r="AL126" s="30"/>
      <c r="AM126" s="30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44"/>
      <c r="BS126" s="20"/>
    </row>
    <row r="127" ht="16.5" spans="1:71">
      <c r="A127" s="21" t="s">
        <v>37</v>
      </c>
      <c r="B127" s="21"/>
      <c r="C127" s="21"/>
      <c r="D127" s="39" t="s">
        <v>182</v>
      </c>
      <c r="E127" s="23">
        <v>24</v>
      </c>
      <c r="F127" s="38">
        <v>34.99</v>
      </c>
      <c r="G127" s="25">
        <f t="shared" si="92"/>
        <v>34.99</v>
      </c>
      <c r="H127" s="25">
        <f t="shared" ref="H127:H142" si="116">(F127-Z127)/1.2</f>
        <v>29.1583333333333</v>
      </c>
      <c r="I127" s="25">
        <f t="shared" ref="I127:I142" si="117">E127-N127/Q127-AB127-Y127-O127-Z127-AA127</f>
        <v>4.78749115044248</v>
      </c>
      <c r="J127" s="26">
        <f t="shared" ref="J127:J142" si="118">I127/E127</f>
        <v>0.199478797935103</v>
      </c>
      <c r="K127" s="27">
        <f t="shared" ref="K127:K142" si="119">F127/1.2</f>
        <v>29.1583333333333</v>
      </c>
      <c r="L127" s="28">
        <f t="shared" ref="L127:L142" si="120">(K127-E127)/K127</f>
        <v>0.176907687910832</v>
      </c>
      <c r="M127" s="25">
        <f t="shared" ref="M127:M142" si="121">F127/1.2-E127</f>
        <v>5.15833333333333</v>
      </c>
      <c r="N127" s="27">
        <f t="shared" ref="N127:N142" si="122">AD127+AH127</f>
        <v>96.5840707964602</v>
      </c>
      <c r="O127" s="27">
        <f t="shared" ref="O127:O142" si="123">IFERROR(IF(A127="UK",8.95/P127,IF(A127="DE",7.75/P127,IF(A127="FR",14.25/P127,IF(A127="IT",15.25/P127,IF(A127="ES",19.25/P127,IF(A127="NL",16.75/P127,IF(A127="PL",14.05/P127,IF(A127="SE",18.25/P127,IF(A127="BE",14.25/P127))))))))),0)</f>
        <v>0.3875</v>
      </c>
      <c r="P127" s="20">
        <v>20</v>
      </c>
      <c r="Q127" s="29">
        <v>8</v>
      </c>
      <c r="R127" s="30">
        <f t="shared" ref="R127:R142" si="124">Y127/E127</f>
        <v>0.0833333333333333</v>
      </c>
      <c r="S127" s="26">
        <f t="shared" ref="S127:S142" si="125">Y127/F127</f>
        <v>0.0571591883395256</v>
      </c>
      <c r="T127" s="30">
        <f t="shared" ref="T127:T142" si="126">Z127/E127</f>
        <v>0</v>
      </c>
      <c r="U127" s="30">
        <v>0.01</v>
      </c>
      <c r="V127" s="30">
        <f t="shared" ref="V127:V142" si="127">N127/(E127*Q127)</f>
        <v>0.50304203539823</v>
      </c>
      <c r="W127" s="30">
        <f t="shared" ref="W127:W142" si="128">O127/E127</f>
        <v>0.0161458333333333</v>
      </c>
      <c r="X127" s="31">
        <v>0.188</v>
      </c>
      <c r="Y127" s="32">
        <v>2</v>
      </c>
      <c r="Z127" s="32">
        <v>0</v>
      </c>
      <c r="AA127" s="32">
        <f t="shared" ref="AA127:AA142" si="129">E127*U127</f>
        <v>0.24</v>
      </c>
      <c r="AB127" s="27">
        <f t="shared" ref="AB127:AB142" si="130">E127*X127</f>
        <v>4.512</v>
      </c>
      <c r="AC127" s="27">
        <v>100.1</v>
      </c>
      <c r="AD127" s="33">
        <f t="shared" ref="AD127:AD142" si="131">AC127/1.13</f>
        <v>88.5840707964602</v>
      </c>
      <c r="AE127" s="29">
        <f t="shared" ref="AE127:AE142" si="132">AH127/Q127</f>
        <v>1</v>
      </c>
      <c r="AF127" s="30">
        <f t="shared" ref="AF127:AF142" si="133">AD127/(E127*Q127)</f>
        <v>0.461375368731563</v>
      </c>
      <c r="AG127" s="30">
        <f t="shared" ref="AG127:AG142" si="134">AE127/Q127/E127</f>
        <v>0.00520833333333333</v>
      </c>
      <c r="AH127" s="29">
        <v>8</v>
      </c>
      <c r="AI127" s="30">
        <f t="shared" ref="AI127:AI131" si="135">(H127-E127+AB127)/H127</f>
        <v>0.331649042583595</v>
      </c>
      <c r="AJ127" s="30"/>
      <c r="AK127" s="30"/>
      <c r="AL127" s="30"/>
      <c r="AM127" s="30"/>
      <c r="AN127" s="34"/>
      <c r="AO127" s="34"/>
      <c r="AP127" s="34"/>
      <c r="AQ127" s="34"/>
      <c r="AR127" s="34"/>
      <c r="AS127" s="34"/>
      <c r="AT127" s="34" t="s">
        <v>156</v>
      </c>
      <c r="AU127" s="34" t="s">
        <v>156</v>
      </c>
      <c r="AV127" s="34" t="s">
        <v>156</v>
      </c>
      <c r="AW127" s="34" t="s">
        <v>156</v>
      </c>
      <c r="AX127" s="34" t="s">
        <v>156</v>
      </c>
      <c r="AY127" s="34" t="s">
        <v>156</v>
      </c>
      <c r="AZ127" s="34" t="s">
        <v>156</v>
      </c>
      <c r="BA127" s="34" t="s">
        <v>156</v>
      </c>
      <c r="BB127" s="34" t="s">
        <v>156</v>
      </c>
      <c r="BC127" s="34" t="s">
        <v>156</v>
      </c>
      <c r="BD127" s="34" t="s">
        <v>156</v>
      </c>
      <c r="BE127" s="34" t="s">
        <v>156</v>
      </c>
      <c r="BF127" s="34" t="s">
        <v>156</v>
      </c>
      <c r="BG127" s="34" t="s">
        <v>156</v>
      </c>
      <c r="BH127" s="34" t="s">
        <v>156</v>
      </c>
      <c r="BI127" s="34" t="s">
        <v>156</v>
      </c>
      <c r="BJ127" s="34" t="s">
        <v>156</v>
      </c>
      <c r="BK127" s="34" t="s">
        <v>156</v>
      </c>
      <c r="BL127" s="34" t="s">
        <v>156</v>
      </c>
      <c r="BM127" s="34" t="s">
        <v>156</v>
      </c>
      <c r="BN127" s="34" t="s">
        <v>156</v>
      </c>
      <c r="BO127" s="34" t="s">
        <v>156</v>
      </c>
      <c r="BP127" s="34" t="s">
        <v>156</v>
      </c>
      <c r="BQ127" s="34" t="s">
        <v>156</v>
      </c>
      <c r="BR127" s="35"/>
      <c r="BS127" s="20" t="s">
        <v>157</v>
      </c>
    </row>
    <row r="128" ht="16.5" spans="1:71">
      <c r="A128" s="21" t="s">
        <v>37</v>
      </c>
      <c r="B128" s="21"/>
      <c r="C128" s="21"/>
      <c r="D128" s="39" t="s">
        <v>183</v>
      </c>
      <c r="E128" s="23">
        <v>24</v>
      </c>
      <c r="F128" s="24">
        <v>34.99</v>
      </c>
      <c r="G128" s="25">
        <f t="shared" si="92"/>
        <v>31.491</v>
      </c>
      <c r="H128" s="25">
        <f t="shared" si="116"/>
        <v>26.2425</v>
      </c>
      <c r="I128" s="36">
        <f t="shared" si="117"/>
        <v>1.28849115044248</v>
      </c>
      <c r="J128" s="26">
        <f t="shared" si="118"/>
        <v>0.0536871312684365</v>
      </c>
      <c r="K128" s="27">
        <f t="shared" si="119"/>
        <v>29.1583333333333</v>
      </c>
      <c r="L128" s="28">
        <f t="shared" si="120"/>
        <v>0.176907687910832</v>
      </c>
      <c r="M128" s="25">
        <f t="shared" si="121"/>
        <v>5.15833333333333</v>
      </c>
      <c r="N128" s="27">
        <f t="shared" si="122"/>
        <v>96.5840707964602</v>
      </c>
      <c r="O128" s="27">
        <f t="shared" si="123"/>
        <v>0.3875</v>
      </c>
      <c r="P128" s="21">
        <v>20</v>
      </c>
      <c r="Q128" s="29">
        <v>8</v>
      </c>
      <c r="R128" s="30">
        <f t="shared" si="124"/>
        <v>0.0833333333333333</v>
      </c>
      <c r="S128" s="26">
        <f t="shared" si="125"/>
        <v>0.0571591883395256</v>
      </c>
      <c r="T128" s="30">
        <f t="shared" si="126"/>
        <v>0.145791666666667</v>
      </c>
      <c r="U128" s="30">
        <v>0.01</v>
      </c>
      <c r="V128" s="30">
        <f t="shared" si="127"/>
        <v>0.50304203539823</v>
      </c>
      <c r="W128" s="30">
        <f t="shared" si="128"/>
        <v>0.0161458333333333</v>
      </c>
      <c r="X128" s="31">
        <v>0.188</v>
      </c>
      <c r="Y128" s="32">
        <v>2</v>
      </c>
      <c r="Z128" s="32">
        <f>F128*0.1</f>
        <v>3.499</v>
      </c>
      <c r="AA128" s="32">
        <f t="shared" si="129"/>
        <v>0.24</v>
      </c>
      <c r="AB128" s="27">
        <f t="shared" si="130"/>
        <v>4.512</v>
      </c>
      <c r="AC128" s="27">
        <v>100.1</v>
      </c>
      <c r="AD128" s="33">
        <f t="shared" si="131"/>
        <v>88.5840707964602</v>
      </c>
      <c r="AE128" s="29">
        <f t="shared" si="132"/>
        <v>1</v>
      </c>
      <c r="AF128" s="30">
        <f t="shared" si="133"/>
        <v>0.461375368731563</v>
      </c>
      <c r="AG128" s="30">
        <f t="shared" si="134"/>
        <v>0.00520833333333333</v>
      </c>
      <c r="AH128" s="29">
        <v>8</v>
      </c>
      <c r="AI128" s="30">
        <f t="shared" si="135"/>
        <v>0.257387825092884</v>
      </c>
      <c r="AJ128" s="30"/>
      <c r="AK128" s="30"/>
      <c r="AL128" s="30"/>
      <c r="AM128" s="30"/>
      <c r="AN128" s="34"/>
      <c r="AO128" s="34"/>
      <c r="AP128" s="34"/>
      <c r="AQ128" s="34"/>
      <c r="AR128" s="34"/>
      <c r="AS128" s="34"/>
      <c r="AT128" s="34" t="s">
        <v>156</v>
      </c>
      <c r="AU128" s="34" t="s">
        <v>156</v>
      </c>
      <c r="AV128" s="34" t="s">
        <v>156</v>
      </c>
      <c r="AW128" s="34" t="s">
        <v>156</v>
      </c>
      <c r="AX128" s="34" t="s">
        <v>156</v>
      </c>
      <c r="AY128" s="34" t="s">
        <v>156</v>
      </c>
      <c r="AZ128" s="34" t="s">
        <v>156</v>
      </c>
      <c r="BA128" s="34" t="s">
        <v>156</v>
      </c>
      <c r="BB128" s="34" t="s">
        <v>156</v>
      </c>
      <c r="BC128" s="34" t="s">
        <v>156</v>
      </c>
      <c r="BD128" s="34" t="s">
        <v>156</v>
      </c>
      <c r="BE128" s="34" t="s">
        <v>156</v>
      </c>
      <c r="BF128" s="34" t="s">
        <v>156</v>
      </c>
      <c r="BG128" s="34" t="s">
        <v>156</v>
      </c>
      <c r="BH128" s="34" t="s">
        <v>156</v>
      </c>
      <c r="BI128" s="34" t="s">
        <v>156</v>
      </c>
      <c r="BJ128" s="34" t="s">
        <v>156</v>
      </c>
      <c r="BK128" s="34" t="s">
        <v>156</v>
      </c>
      <c r="BL128" s="34" t="s">
        <v>156</v>
      </c>
      <c r="BM128" s="34" t="s">
        <v>156</v>
      </c>
      <c r="BN128" s="34" t="s">
        <v>156</v>
      </c>
      <c r="BO128" s="34" t="s">
        <v>156</v>
      </c>
      <c r="BP128" s="34" t="s">
        <v>156</v>
      </c>
      <c r="BQ128" s="34" t="s">
        <v>156</v>
      </c>
      <c r="BR128" s="35"/>
      <c r="BS128" s="20" t="s">
        <v>157</v>
      </c>
    </row>
    <row r="129" ht="16.5" spans="1:71">
      <c r="A129" s="21" t="s">
        <v>37</v>
      </c>
      <c r="B129" s="21"/>
      <c r="C129" s="21"/>
      <c r="D129" s="39" t="s">
        <v>184</v>
      </c>
      <c r="E129" s="23">
        <v>24</v>
      </c>
      <c r="F129" s="24">
        <v>34.99</v>
      </c>
      <c r="G129" s="25">
        <f t="shared" si="92"/>
        <v>29.7415</v>
      </c>
      <c r="H129" s="25">
        <f t="shared" si="116"/>
        <v>24.7845833333333</v>
      </c>
      <c r="I129" s="25">
        <f t="shared" si="117"/>
        <v>-0.461008849557523</v>
      </c>
      <c r="J129" s="26">
        <f t="shared" si="118"/>
        <v>-0.0192087020648968</v>
      </c>
      <c r="K129" s="27">
        <f t="shared" si="119"/>
        <v>29.1583333333333</v>
      </c>
      <c r="L129" s="28">
        <f t="shared" si="120"/>
        <v>0.176907687910832</v>
      </c>
      <c r="M129" s="25">
        <f t="shared" si="121"/>
        <v>5.15833333333333</v>
      </c>
      <c r="N129" s="27">
        <f t="shared" si="122"/>
        <v>96.5840707964602</v>
      </c>
      <c r="O129" s="27">
        <f t="shared" si="123"/>
        <v>0.3875</v>
      </c>
      <c r="P129" s="21">
        <v>20</v>
      </c>
      <c r="Q129" s="29">
        <v>8</v>
      </c>
      <c r="R129" s="30">
        <f t="shared" si="124"/>
        <v>0.0833333333333333</v>
      </c>
      <c r="S129" s="26">
        <f t="shared" si="125"/>
        <v>0.0571591883395256</v>
      </c>
      <c r="T129" s="30">
        <f t="shared" si="126"/>
        <v>0.2186875</v>
      </c>
      <c r="U129" s="30">
        <v>0.01</v>
      </c>
      <c r="V129" s="30">
        <f t="shared" si="127"/>
        <v>0.50304203539823</v>
      </c>
      <c r="W129" s="30">
        <f t="shared" si="128"/>
        <v>0.0161458333333333</v>
      </c>
      <c r="X129" s="31">
        <v>0.188</v>
      </c>
      <c r="Y129" s="32">
        <v>2</v>
      </c>
      <c r="Z129" s="32">
        <f>F129*0.15</f>
        <v>5.2485</v>
      </c>
      <c r="AA129" s="32">
        <f t="shared" si="129"/>
        <v>0.24</v>
      </c>
      <c r="AB129" s="27">
        <f t="shared" si="130"/>
        <v>4.512</v>
      </c>
      <c r="AC129" s="27">
        <v>100.1</v>
      </c>
      <c r="AD129" s="33">
        <f t="shared" si="131"/>
        <v>88.5840707964602</v>
      </c>
      <c r="AE129" s="29">
        <f t="shared" si="132"/>
        <v>1</v>
      </c>
      <c r="AF129" s="30">
        <f t="shared" si="133"/>
        <v>0.461375368731563</v>
      </c>
      <c r="AG129" s="30">
        <f t="shared" si="134"/>
        <v>0.00520833333333333</v>
      </c>
      <c r="AH129" s="29">
        <v>8</v>
      </c>
      <c r="AI129" s="30">
        <f t="shared" si="135"/>
        <v>0.213704755980701</v>
      </c>
      <c r="AJ129" s="30"/>
      <c r="AK129" s="30"/>
      <c r="AL129" s="30"/>
      <c r="AM129" s="30"/>
      <c r="AN129" s="34"/>
      <c r="AO129" s="34"/>
      <c r="AP129" s="34"/>
      <c r="AQ129" s="34"/>
      <c r="AR129" s="34"/>
      <c r="AS129" s="34"/>
      <c r="AT129" s="34" t="s">
        <v>156</v>
      </c>
      <c r="AU129" s="34" t="s">
        <v>156</v>
      </c>
      <c r="AV129" s="34" t="s">
        <v>156</v>
      </c>
      <c r="AW129" s="34" t="s">
        <v>156</v>
      </c>
      <c r="AX129" s="34" t="s">
        <v>156</v>
      </c>
      <c r="AY129" s="34" t="s">
        <v>156</v>
      </c>
      <c r="AZ129" s="34" t="s">
        <v>156</v>
      </c>
      <c r="BA129" s="34" t="s">
        <v>156</v>
      </c>
      <c r="BB129" s="34" t="s">
        <v>156</v>
      </c>
      <c r="BC129" s="34" t="s">
        <v>156</v>
      </c>
      <c r="BD129" s="34" t="s">
        <v>156</v>
      </c>
      <c r="BE129" s="34" t="s">
        <v>156</v>
      </c>
      <c r="BF129" s="34" t="s">
        <v>156</v>
      </c>
      <c r="BG129" s="34" t="s">
        <v>156</v>
      </c>
      <c r="BH129" s="34" t="s">
        <v>156</v>
      </c>
      <c r="BI129" s="34" t="s">
        <v>156</v>
      </c>
      <c r="BJ129" s="34" t="s">
        <v>156</v>
      </c>
      <c r="BK129" s="34" t="s">
        <v>156</v>
      </c>
      <c r="BL129" s="34" t="s">
        <v>156</v>
      </c>
      <c r="BM129" s="34" t="s">
        <v>156</v>
      </c>
      <c r="BN129" s="34" t="s">
        <v>156</v>
      </c>
      <c r="BO129" s="34" t="s">
        <v>156</v>
      </c>
      <c r="BP129" s="34" t="s">
        <v>156</v>
      </c>
      <c r="BQ129" s="34" t="s">
        <v>156</v>
      </c>
      <c r="BR129" s="35"/>
      <c r="BS129" s="20" t="s">
        <v>157</v>
      </c>
    </row>
    <row r="130" ht="16.5" spans="1:71">
      <c r="A130" s="21" t="s">
        <v>43</v>
      </c>
      <c r="B130" s="21"/>
      <c r="C130" s="21"/>
      <c r="D130" s="39" t="s">
        <v>182</v>
      </c>
      <c r="E130" s="23">
        <v>24</v>
      </c>
      <c r="F130" s="24">
        <v>34.99</v>
      </c>
      <c r="G130" s="25">
        <f t="shared" si="92"/>
        <v>34.99</v>
      </c>
      <c r="H130" s="25">
        <f t="shared" si="116"/>
        <v>29.1583333333333</v>
      </c>
      <c r="I130" s="25">
        <f t="shared" si="117"/>
        <v>4.46249115044248</v>
      </c>
      <c r="J130" s="26">
        <f t="shared" si="118"/>
        <v>0.185937131268437</v>
      </c>
      <c r="K130" s="27">
        <f t="shared" si="119"/>
        <v>29.1583333333333</v>
      </c>
      <c r="L130" s="28">
        <f t="shared" si="120"/>
        <v>0.176907687910832</v>
      </c>
      <c r="M130" s="25">
        <f t="shared" si="121"/>
        <v>5.15833333333333</v>
      </c>
      <c r="N130" s="27">
        <f t="shared" si="122"/>
        <v>96.5840707964602</v>
      </c>
      <c r="O130" s="27">
        <f t="shared" si="123"/>
        <v>0.7125</v>
      </c>
      <c r="P130" s="21">
        <v>20</v>
      </c>
      <c r="Q130" s="29">
        <v>8</v>
      </c>
      <c r="R130" s="30">
        <f t="shared" si="124"/>
        <v>0.0833333333333333</v>
      </c>
      <c r="S130" s="26">
        <f t="shared" si="125"/>
        <v>0.0571591883395256</v>
      </c>
      <c r="T130" s="30">
        <f t="shared" si="126"/>
        <v>0</v>
      </c>
      <c r="U130" s="30">
        <v>0.01</v>
      </c>
      <c r="V130" s="30">
        <f t="shared" si="127"/>
        <v>0.50304203539823</v>
      </c>
      <c r="W130" s="30">
        <f t="shared" si="128"/>
        <v>0.0296875</v>
      </c>
      <c r="X130" s="31">
        <v>0.188</v>
      </c>
      <c r="Y130" s="32">
        <v>2</v>
      </c>
      <c r="Z130" s="32">
        <v>0</v>
      </c>
      <c r="AA130" s="32">
        <f t="shared" si="129"/>
        <v>0.24</v>
      </c>
      <c r="AB130" s="27">
        <f t="shared" si="130"/>
        <v>4.512</v>
      </c>
      <c r="AC130" s="27">
        <v>100.1</v>
      </c>
      <c r="AD130" s="33">
        <f t="shared" si="131"/>
        <v>88.5840707964602</v>
      </c>
      <c r="AE130" s="29">
        <f t="shared" si="132"/>
        <v>1</v>
      </c>
      <c r="AF130" s="30">
        <f t="shared" si="133"/>
        <v>0.461375368731563</v>
      </c>
      <c r="AG130" s="30">
        <f t="shared" si="134"/>
        <v>0.00520833333333333</v>
      </c>
      <c r="AH130" s="29">
        <v>8</v>
      </c>
      <c r="AI130" s="30">
        <f t="shared" si="135"/>
        <v>0.331649042583595</v>
      </c>
      <c r="AJ130" s="30"/>
      <c r="AK130" s="30"/>
      <c r="AL130" s="30"/>
      <c r="AM130" s="30"/>
      <c r="AN130" s="34"/>
      <c r="AO130" s="34"/>
      <c r="AP130" s="34"/>
      <c r="AQ130" s="34"/>
      <c r="AR130" s="34"/>
      <c r="AS130" s="34"/>
      <c r="AT130" s="34" t="s">
        <v>156</v>
      </c>
      <c r="AU130" s="34" t="s">
        <v>156</v>
      </c>
      <c r="AV130" s="34" t="s">
        <v>156</v>
      </c>
      <c r="AW130" s="34" t="s">
        <v>156</v>
      </c>
      <c r="AX130" s="34" t="s">
        <v>156</v>
      </c>
      <c r="AY130" s="34" t="s">
        <v>156</v>
      </c>
      <c r="AZ130" s="34" t="s">
        <v>156</v>
      </c>
      <c r="BA130" s="34" t="s">
        <v>156</v>
      </c>
      <c r="BB130" s="34" t="s">
        <v>156</v>
      </c>
      <c r="BC130" s="34" t="s">
        <v>156</v>
      </c>
      <c r="BD130" s="34" t="s">
        <v>156</v>
      </c>
      <c r="BE130" s="34" t="s">
        <v>156</v>
      </c>
      <c r="BF130" s="34" t="s">
        <v>156</v>
      </c>
      <c r="BG130" s="34" t="s">
        <v>156</v>
      </c>
      <c r="BH130" s="34" t="s">
        <v>156</v>
      </c>
      <c r="BI130" s="34" t="s">
        <v>156</v>
      </c>
      <c r="BJ130" s="34" t="s">
        <v>156</v>
      </c>
      <c r="BK130" s="34" t="s">
        <v>156</v>
      </c>
      <c r="BL130" s="34" t="s">
        <v>156</v>
      </c>
      <c r="BM130" s="34" t="s">
        <v>156</v>
      </c>
      <c r="BN130" s="34" t="s">
        <v>156</v>
      </c>
      <c r="BO130" s="34" t="s">
        <v>156</v>
      </c>
      <c r="BP130" s="34" t="s">
        <v>156</v>
      </c>
      <c r="BQ130" s="34" t="s">
        <v>156</v>
      </c>
      <c r="BR130" s="35"/>
      <c r="BS130" s="20" t="s">
        <v>157</v>
      </c>
    </row>
    <row r="131" ht="16.5" spans="1:71">
      <c r="A131" s="21" t="s">
        <v>43</v>
      </c>
      <c r="B131" s="21"/>
      <c r="C131" s="21"/>
      <c r="D131" s="39" t="s">
        <v>183</v>
      </c>
      <c r="E131" s="23">
        <v>24</v>
      </c>
      <c r="F131" s="24">
        <v>34.99</v>
      </c>
      <c r="G131" s="25">
        <f t="shared" si="92"/>
        <v>31.491</v>
      </c>
      <c r="H131" s="25">
        <f t="shared" si="116"/>
        <v>26.2425</v>
      </c>
      <c r="I131" s="36">
        <f t="shared" si="117"/>
        <v>0.963491150442476</v>
      </c>
      <c r="J131" s="26">
        <f t="shared" si="118"/>
        <v>0.0401454646017698</v>
      </c>
      <c r="K131" s="27">
        <f t="shared" si="119"/>
        <v>29.1583333333333</v>
      </c>
      <c r="L131" s="28">
        <f t="shared" si="120"/>
        <v>0.176907687910832</v>
      </c>
      <c r="M131" s="25">
        <f t="shared" si="121"/>
        <v>5.15833333333333</v>
      </c>
      <c r="N131" s="27">
        <f t="shared" si="122"/>
        <v>96.5840707964602</v>
      </c>
      <c r="O131" s="27">
        <f t="shared" si="123"/>
        <v>0.7125</v>
      </c>
      <c r="P131" s="21">
        <v>20</v>
      </c>
      <c r="Q131" s="29">
        <v>8</v>
      </c>
      <c r="R131" s="30">
        <f t="shared" si="124"/>
        <v>0.0833333333333333</v>
      </c>
      <c r="S131" s="26">
        <f t="shared" si="125"/>
        <v>0.0571591883395256</v>
      </c>
      <c r="T131" s="30">
        <f t="shared" si="126"/>
        <v>0.145791666666667</v>
      </c>
      <c r="U131" s="30">
        <v>0.01</v>
      </c>
      <c r="V131" s="30">
        <f t="shared" si="127"/>
        <v>0.50304203539823</v>
      </c>
      <c r="W131" s="30">
        <f t="shared" si="128"/>
        <v>0.0296875</v>
      </c>
      <c r="X131" s="31">
        <v>0.188</v>
      </c>
      <c r="Y131" s="32">
        <v>2</v>
      </c>
      <c r="Z131" s="32">
        <f>F131*0.1</f>
        <v>3.499</v>
      </c>
      <c r="AA131" s="32">
        <f t="shared" si="129"/>
        <v>0.24</v>
      </c>
      <c r="AB131" s="27">
        <f t="shared" si="130"/>
        <v>4.512</v>
      </c>
      <c r="AC131" s="27">
        <v>100.1</v>
      </c>
      <c r="AD131" s="33">
        <f t="shared" si="131"/>
        <v>88.5840707964602</v>
      </c>
      <c r="AE131" s="29">
        <f t="shared" si="132"/>
        <v>1</v>
      </c>
      <c r="AF131" s="30">
        <f t="shared" si="133"/>
        <v>0.461375368731563</v>
      </c>
      <c r="AG131" s="30">
        <f t="shared" si="134"/>
        <v>0.00520833333333333</v>
      </c>
      <c r="AH131" s="29">
        <v>8</v>
      </c>
      <c r="AI131" s="30">
        <f t="shared" si="135"/>
        <v>0.257387825092884</v>
      </c>
      <c r="AJ131" s="30"/>
      <c r="AK131" s="30"/>
      <c r="AL131" s="30"/>
      <c r="AM131" s="30"/>
      <c r="AN131" s="34"/>
      <c r="AO131" s="34"/>
      <c r="AP131" s="34"/>
      <c r="AQ131" s="34"/>
      <c r="AR131" s="34"/>
      <c r="AS131" s="34"/>
      <c r="AT131" s="34" t="s">
        <v>156</v>
      </c>
      <c r="AU131" s="34" t="s">
        <v>156</v>
      </c>
      <c r="AV131" s="34" t="s">
        <v>156</v>
      </c>
      <c r="AW131" s="34" t="s">
        <v>156</v>
      </c>
      <c r="AX131" s="34" t="s">
        <v>156</v>
      </c>
      <c r="AY131" s="34" t="s">
        <v>156</v>
      </c>
      <c r="AZ131" s="34" t="s">
        <v>156</v>
      </c>
      <c r="BA131" s="34" t="s">
        <v>156</v>
      </c>
      <c r="BB131" s="34" t="s">
        <v>156</v>
      </c>
      <c r="BC131" s="34" t="s">
        <v>156</v>
      </c>
      <c r="BD131" s="34" t="s">
        <v>156</v>
      </c>
      <c r="BE131" s="34" t="s">
        <v>156</v>
      </c>
      <c r="BF131" s="34" t="s">
        <v>156</v>
      </c>
      <c r="BG131" s="34" t="s">
        <v>156</v>
      </c>
      <c r="BH131" s="34" t="s">
        <v>156</v>
      </c>
      <c r="BI131" s="34" t="s">
        <v>156</v>
      </c>
      <c r="BJ131" s="34" t="s">
        <v>156</v>
      </c>
      <c r="BK131" s="34" t="s">
        <v>156</v>
      </c>
      <c r="BL131" s="34" t="s">
        <v>156</v>
      </c>
      <c r="BM131" s="34" t="s">
        <v>156</v>
      </c>
      <c r="BN131" s="34" t="s">
        <v>156</v>
      </c>
      <c r="BO131" s="34" t="s">
        <v>156</v>
      </c>
      <c r="BP131" s="34" t="s">
        <v>156</v>
      </c>
      <c r="BQ131" s="34" t="s">
        <v>156</v>
      </c>
      <c r="BR131" s="35"/>
      <c r="BS131" s="20" t="s">
        <v>157</v>
      </c>
    </row>
    <row r="132" ht="16.5" spans="1:71">
      <c r="A132" s="21" t="s">
        <v>43</v>
      </c>
      <c r="B132" s="21"/>
      <c r="C132" s="21"/>
      <c r="D132" s="39" t="s">
        <v>184</v>
      </c>
      <c r="E132" s="23">
        <v>24</v>
      </c>
      <c r="F132" s="24">
        <v>34.99</v>
      </c>
      <c r="G132" s="25">
        <f t="shared" si="92"/>
        <v>29.7415</v>
      </c>
      <c r="H132" s="25">
        <f t="shared" si="116"/>
        <v>24.7845833333333</v>
      </c>
      <c r="I132" s="25">
        <f t="shared" si="117"/>
        <v>-0.786008849557523</v>
      </c>
      <c r="J132" s="26">
        <f t="shared" si="118"/>
        <v>-0.0327503687315635</v>
      </c>
      <c r="K132" s="27">
        <f t="shared" si="119"/>
        <v>29.1583333333333</v>
      </c>
      <c r="L132" s="28">
        <f t="shared" si="120"/>
        <v>0.176907687910832</v>
      </c>
      <c r="M132" s="25">
        <f t="shared" si="121"/>
        <v>5.15833333333333</v>
      </c>
      <c r="N132" s="27">
        <f t="shared" si="122"/>
        <v>96.5840707964602</v>
      </c>
      <c r="O132" s="27">
        <f t="shared" si="123"/>
        <v>0.7125</v>
      </c>
      <c r="P132" s="21">
        <v>20</v>
      </c>
      <c r="Q132" s="29">
        <v>8</v>
      </c>
      <c r="R132" s="30">
        <f t="shared" si="124"/>
        <v>0.0833333333333333</v>
      </c>
      <c r="S132" s="26">
        <f t="shared" si="125"/>
        <v>0.0571591883395256</v>
      </c>
      <c r="T132" s="30">
        <f t="shared" si="126"/>
        <v>0.2186875</v>
      </c>
      <c r="U132" s="30">
        <v>0.01</v>
      </c>
      <c r="V132" s="30">
        <f t="shared" si="127"/>
        <v>0.50304203539823</v>
      </c>
      <c r="W132" s="30">
        <f t="shared" si="128"/>
        <v>0.0296875</v>
      </c>
      <c r="X132" s="31">
        <v>0.188</v>
      </c>
      <c r="Y132" s="32">
        <v>2</v>
      </c>
      <c r="Z132" s="32">
        <f>F132*0.15</f>
        <v>5.2485</v>
      </c>
      <c r="AA132" s="32">
        <f t="shared" si="129"/>
        <v>0.24</v>
      </c>
      <c r="AB132" s="27">
        <f t="shared" si="130"/>
        <v>4.512</v>
      </c>
      <c r="AC132" s="27">
        <v>100.1</v>
      </c>
      <c r="AD132" s="33">
        <f t="shared" si="131"/>
        <v>88.5840707964602</v>
      </c>
      <c r="AE132" s="29">
        <f t="shared" si="132"/>
        <v>1</v>
      </c>
      <c r="AF132" s="30">
        <f t="shared" si="133"/>
        <v>0.461375368731563</v>
      </c>
      <c r="AG132" s="30">
        <f t="shared" si="134"/>
        <v>0.00520833333333333</v>
      </c>
      <c r="AH132" s="29">
        <v>8</v>
      </c>
      <c r="AI132" s="30">
        <f t="shared" ref="AI132:AI142" si="136">(K132-E132+AB132)/(K132-Z132)</f>
        <v>0.404450051931214</v>
      </c>
      <c r="AJ132" s="30"/>
      <c r="AK132" s="30"/>
      <c r="AL132" s="30"/>
      <c r="AM132" s="30"/>
      <c r="AN132" s="34"/>
      <c r="AO132" s="34"/>
      <c r="AP132" s="34"/>
      <c r="AQ132" s="34"/>
      <c r="AR132" s="34"/>
      <c r="AS132" s="34"/>
      <c r="AT132" s="34" t="s">
        <v>156</v>
      </c>
      <c r="AU132" s="34" t="s">
        <v>156</v>
      </c>
      <c r="AV132" s="34" t="s">
        <v>156</v>
      </c>
      <c r="AW132" s="34" t="s">
        <v>156</v>
      </c>
      <c r="AX132" s="34" t="s">
        <v>156</v>
      </c>
      <c r="AY132" s="34" t="s">
        <v>156</v>
      </c>
      <c r="AZ132" s="34" t="s">
        <v>156</v>
      </c>
      <c r="BA132" s="34" t="s">
        <v>156</v>
      </c>
      <c r="BB132" s="34" t="s">
        <v>156</v>
      </c>
      <c r="BC132" s="34" t="s">
        <v>156</v>
      </c>
      <c r="BD132" s="34" t="s">
        <v>156</v>
      </c>
      <c r="BE132" s="34" t="s">
        <v>156</v>
      </c>
      <c r="BF132" s="34" t="s">
        <v>156</v>
      </c>
      <c r="BG132" s="34" t="s">
        <v>156</v>
      </c>
      <c r="BH132" s="34" t="s">
        <v>156</v>
      </c>
      <c r="BI132" s="34" t="s">
        <v>156</v>
      </c>
      <c r="BJ132" s="34" t="s">
        <v>156</v>
      </c>
      <c r="BK132" s="34" t="s">
        <v>156</v>
      </c>
      <c r="BL132" s="34" t="s">
        <v>156</v>
      </c>
      <c r="BM132" s="34" t="s">
        <v>156</v>
      </c>
      <c r="BN132" s="34" t="s">
        <v>156</v>
      </c>
      <c r="BO132" s="34" t="s">
        <v>156</v>
      </c>
      <c r="BP132" s="34" t="s">
        <v>156</v>
      </c>
      <c r="BQ132" s="34" t="s">
        <v>156</v>
      </c>
      <c r="BR132" s="35"/>
      <c r="BS132" s="20" t="s">
        <v>157</v>
      </c>
    </row>
    <row r="133" ht="16.5" spans="1:71">
      <c r="A133" s="21" t="s">
        <v>45</v>
      </c>
      <c r="B133" s="21"/>
      <c r="C133" s="21"/>
      <c r="D133" s="39" t="s">
        <v>182</v>
      </c>
      <c r="E133" s="23">
        <v>24</v>
      </c>
      <c r="F133" s="24">
        <v>34.99</v>
      </c>
      <c r="G133" s="25">
        <f t="shared" si="92"/>
        <v>34.99</v>
      </c>
      <c r="H133" s="25">
        <f t="shared" si="116"/>
        <v>29.1583333333333</v>
      </c>
      <c r="I133" s="25">
        <f t="shared" si="117"/>
        <v>4.41249115044248</v>
      </c>
      <c r="J133" s="26">
        <f t="shared" si="118"/>
        <v>0.183853797935103</v>
      </c>
      <c r="K133" s="27">
        <f t="shared" si="119"/>
        <v>29.1583333333333</v>
      </c>
      <c r="L133" s="28">
        <f t="shared" si="120"/>
        <v>0.176907687910832</v>
      </c>
      <c r="M133" s="25">
        <f t="shared" si="121"/>
        <v>5.15833333333333</v>
      </c>
      <c r="N133" s="27">
        <f t="shared" si="122"/>
        <v>96.5840707964602</v>
      </c>
      <c r="O133" s="27">
        <f t="shared" si="123"/>
        <v>0.7625</v>
      </c>
      <c r="P133" s="21">
        <v>20</v>
      </c>
      <c r="Q133" s="29">
        <v>8</v>
      </c>
      <c r="R133" s="30">
        <f t="shared" si="124"/>
        <v>0.0833333333333333</v>
      </c>
      <c r="S133" s="26">
        <f t="shared" si="125"/>
        <v>0.0571591883395256</v>
      </c>
      <c r="T133" s="30">
        <f t="shared" si="126"/>
        <v>0</v>
      </c>
      <c r="U133" s="30">
        <v>0.01</v>
      </c>
      <c r="V133" s="30">
        <f t="shared" si="127"/>
        <v>0.50304203539823</v>
      </c>
      <c r="W133" s="30">
        <f t="shared" si="128"/>
        <v>0.0317708333333333</v>
      </c>
      <c r="X133" s="31">
        <v>0.188</v>
      </c>
      <c r="Y133" s="32">
        <v>2</v>
      </c>
      <c r="Z133" s="32">
        <v>0</v>
      </c>
      <c r="AA133" s="32">
        <f t="shared" si="129"/>
        <v>0.24</v>
      </c>
      <c r="AB133" s="27">
        <f t="shared" si="130"/>
        <v>4.512</v>
      </c>
      <c r="AC133" s="27">
        <v>100.1</v>
      </c>
      <c r="AD133" s="33">
        <f t="shared" si="131"/>
        <v>88.5840707964602</v>
      </c>
      <c r="AE133" s="29">
        <f t="shared" si="132"/>
        <v>1</v>
      </c>
      <c r="AF133" s="30">
        <f t="shared" si="133"/>
        <v>0.461375368731563</v>
      </c>
      <c r="AG133" s="30">
        <f t="shared" si="134"/>
        <v>0.00520833333333333</v>
      </c>
      <c r="AH133" s="29">
        <v>8</v>
      </c>
      <c r="AI133" s="26">
        <f t="shared" si="136"/>
        <v>0.331649042583595</v>
      </c>
      <c r="AJ133" s="26"/>
      <c r="AK133" s="26"/>
      <c r="AL133" s="26"/>
      <c r="AM133" s="26"/>
      <c r="AN133" s="34"/>
      <c r="AO133" s="34"/>
      <c r="AP133" s="34"/>
      <c r="AQ133" s="34"/>
      <c r="AR133" s="34"/>
      <c r="AS133" s="34"/>
      <c r="AT133" s="34" t="s">
        <v>156</v>
      </c>
      <c r="AU133" s="34" t="s">
        <v>156</v>
      </c>
      <c r="AV133" s="34" t="s">
        <v>156</v>
      </c>
      <c r="AW133" s="34" t="s">
        <v>156</v>
      </c>
      <c r="AX133" s="34" t="s">
        <v>156</v>
      </c>
      <c r="AY133" s="34" t="s">
        <v>156</v>
      </c>
      <c r="AZ133" s="34" t="s">
        <v>156</v>
      </c>
      <c r="BA133" s="34" t="s">
        <v>156</v>
      </c>
      <c r="BB133" s="34" t="s">
        <v>156</v>
      </c>
      <c r="BC133" s="34" t="s">
        <v>156</v>
      </c>
      <c r="BD133" s="34" t="s">
        <v>156</v>
      </c>
      <c r="BE133" s="34" t="s">
        <v>156</v>
      </c>
      <c r="BF133" s="34" t="s">
        <v>156</v>
      </c>
      <c r="BG133" s="34" t="s">
        <v>156</v>
      </c>
      <c r="BH133" s="34" t="s">
        <v>156</v>
      </c>
      <c r="BI133" s="34" t="s">
        <v>156</v>
      </c>
      <c r="BJ133" s="34" t="s">
        <v>156</v>
      </c>
      <c r="BK133" s="34" t="s">
        <v>156</v>
      </c>
      <c r="BL133" s="34" t="s">
        <v>156</v>
      </c>
      <c r="BM133" s="34" t="s">
        <v>156</v>
      </c>
      <c r="BN133" s="34" t="s">
        <v>156</v>
      </c>
      <c r="BO133" s="34" t="s">
        <v>156</v>
      </c>
      <c r="BP133" s="34" t="s">
        <v>156</v>
      </c>
      <c r="BQ133" s="34" t="s">
        <v>156</v>
      </c>
      <c r="BR133" s="35"/>
      <c r="BS133" s="20" t="s">
        <v>157</v>
      </c>
    </row>
    <row r="134" ht="16.5" spans="1:71">
      <c r="A134" s="21" t="s">
        <v>45</v>
      </c>
      <c r="B134" s="21"/>
      <c r="C134" s="21"/>
      <c r="D134" s="39" t="s">
        <v>183</v>
      </c>
      <c r="E134" s="23">
        <v>24</v>
      </c>
      <c r="F134" s="24">
        <v>34.99</v>
      </c>
      <c r="G134" s="25">
        <f t="shared" si="92"/>
        <v>31.491</v>
      </c>
      <c r="H134" s="25">
        <f t="shared" si="116"/>
        <v>26.2425</v>
      </c>
      <c r="I134" s="36">
        <f t="shared" si="117"/>
        <v>0.913491150442476</v>
      </c>
      <c r="J134" s="26">
        <f t="shared" si="118"/>
        <v>0.0380621312684365</v>
      </c>
      <c r="K134" s="27">
        <f t="shared" si="119"/>
        <v>29.1583333333333</v>
      </c>
      <c r="L134" s="28">
        <f t="shared" si="120"/>
        <v>0.176907687910832</v>
      </c>
      <c r="M134" s="25">
        <f t="shared" si="121"/>
        <v>5.15833333333333</v>
      </c>
      <c r="N134" s="27">
        <f t="shared" si="122"/>
        <v>96.5840707964602</v>
      </c>
      <c r="O134" s="27">
        <f t="shared" si="123"/>
        <v>0.7625</v>
      </c>
      <c r="P134" s="21">
        <v>20</v>
      </c>
      <c r="Q134" s="29">
        <v>8</v>
      </c>
      <c r="R134" s="30">
        <f t="shared" si="124"/>
        <v>0.0833333333333333</v>
      </c>
      <c r="S134" s="26">
        <f t="shared" si="125"/>
        <v>0.0571591883395256</v>
      </c>
      <c r="T134" s="30">
        <f t="shared" si="126"/>
        <v>0.145791666666667</v>
      </c>
      <c r="U134" s="30">
        <v>0.01</v>
      </c>
      <c r="V134" s="30">
        <f t="shared" si="127"/>
        <v>0.50304203539823</v>
      </c>
      <c r="W134" s="30">
        <f t="shared" si="128"/>
        <v>0.0317708333333333</v>
      </c>
      <c r="X134" s="31">
        <v>0.188</v>
      </c>
      <c r="Y134" s="32">
        <v>2</v>
      </c>
      <c r="Z134" s="32">
        <f>F134*0.1</f>
        <v>3.499</v>
      </c>
      <c r="AA134" s="32">
        <f t="shared" si="129"/>
        <v>0.24</v>
      </c>
      <c r="AB134" s="27">
        <f t="shared" si="130"/>
        <v>4.512</v>
      </c>
      <c r="AC134" s="27">
        <v>100.1</v>
      </c>
      <c r="AD134" s="33">
        <f t="shared" si="131"/>
        <v>88.5840707964602</v>
      </c>
      <c r="AE134" s="29">
        <f t="shared" si="132"/>
        <v>1</v>
      </c>
      <c r="AF134" s="30">
        <f t="shared" si="133"/>
        <v>0.461375368731563</v>
      </c>
      <c r="AG134" s="30">
        <f t="shared" si="134"/>
        <v>0.00520833333333333</v>
      </c>
      <c r="AH134" s="29">
        <v>8</v>
      </c>
      <c r="AI134" s="26">
        <f t="shared" si="136"/>
        <v>0.376873912026813</v>
      </c>
      <c r="AJ134" s="26"/>
      <c r="AK134" s="26"/>
      <c r="AL134" s="26"/>
      <c r="AM134" s="26"/>
      <c r="AN134" s="34"/>
      <c r="AO134" s="34"/>
      <c r="AP134" s="34"/>
      <c r="AQ134" s="34"/>
      <c r="AR134" s="34"/>
      <c r="AS134" s="34"/>
      <c r="AT134" s="34" t="s">
        <v>156</v>
      </c>
      <c r="AU134" s="34" t="s">
        <v>156</v>
      </c>
      <c r="AV134" s="34" t="s">
        <v>156</v>
      </c>
      <c r="AW134" s="34" t="s">
        <v>156</v>
      </c>
      <c r="AX134" s="34" t="s">
        <v>156</v>
      </c>
      <c r="AY134" s="34" t="s">
        <v>156</v>
      </c>
      <c r="AZ134" s="34" t="s">
        <v>156</v>
      </c>
      <c r="BA134" s="34" t="s">
        <v>156</v>
      </c>
      <c r="BB134" s="34" t="s">
        <v>156</v>
      </c>
      <c r="BC134" s="34" t="s">
        <v>156</v>
      </c>
      <c r="BD134" s="34" t="s">
        <v>156</v>
      </c>
      <c r="BE134" s="34" t="s">
        <v>156</v>
      </c>
      <c r="BF134" s="34" t="s">
        <v>156</v>
      </c>
      <c r="BG134" s="34" t="s">
        <v>156</v>
      </c>
      <c r="BH134" s="34" t="s">
        <v>156</v>
      </c>
      <c r="BI134" s="34" t="s">
        <v>156</v>
      </c>
      <c r="BJ134" s="34" t="s">
        <v>156</v>
      </c>
      <c r="BK134" s="34" t="s">
        <v>156</v>
      </c>
      <c r="BL134" s="34" t="s">
        <v>156</v>
      </c>
      <c r="BM134" s="34" t="s">
        <v>156</v>
      </c>
      <c r="BN134" s="34" t="s">
        <v>156</v>
      </c>
      <c r="BO134" s="34" t="s">
        <v>156</v>
      </c>
      <c r="BP134" s="34" t="s">
        <v>156</v>
      </c>
      <c r="BQ134" s="34" t="s">
        <v>156</v>
      </c>
      <c r="BR134" s="35"/>
      <c r="BS134" s="20" t="s">
        <v>157</v>
      </c>
    </row>
    <row r="135" ht="16.5" spans="1:71">
      <c r="A135" s="21" t="s">
        <v>45</v>
      </c>
      <c r="B135" s="21"/>
      <c r="C135" s="21"/>
      <c r="D135" s="39" t="s">
        <v>184</v>
      </c>
      <c r="E135" s="23">
        <v>24</v>
      </c>
      <c r="F135" s="24">
        <v>34.99</v>
      </c>
      <c r="G135" s="25">
        <f t="shared" si="92"/>
        <v>29.7415</v>
      </c>
      <c r="H135" s="25">
        <f t="shared" si="116"/>
        <v>24.7845833333333</v>
      </c>
      <c r="I135" s="25">
        <f t="shared" si="117"/>
        <v>-0.836008849557523</v>
      </c>
      <c r="J135" s="26">
        <f t="shared" si="118"/>
        <v>-0.0348337020648968</v>
      </c>
      <c r="K135" s="27">
        <f t="shared" si="119"/>
        <v>29.1583333333333</v>
      </c>
      <c r="L135" s="28">
        <f t="shared" si="120"/>
        <v>0.176907687910832</v>
      </c>
      <c r="M135" s="25">
        <f t="shared" si="121"/>
        <v>5.15833333333333</v>
      </c>
      <c r="N135" s="27">
        <f t="shared" si="122"/>
        <v>96.5840707964602</v>
      </c>
      <c r="O135" s="27">
        <f t="shared" si="123"/>
        <v>0.7625</v>
      </c>
      <c r="P135" s="21">
        <v>20</v>
      </c>
      <c r="Q135" s="29">
        <v>8</v>
      </c>
      <c r="R135" s="30">
        <f t="shared" si="124"/>
        <v>0.0833333333333333</v>
      </c>
      <c r="S135" s="26">
        <f t="shared" si="125"/>
        <v>0.0571591883395256</v>
      </c>
      <c r="T135" s="30">
        <f t="shared" si="126"/>
        <v>0.2186875</v>
      </c>
      <c r="U135" s="30">
        <v>0.01</v>
      </c>
      <c r="V135" s="30">
        <f t="shared" si="127"/>
        <v>0.50304203539823</v>
      </c>
      <c r="W135" s="30">
        <f t="shared" si="128"/>
        <v>0.0317708333333333</v>
      </c>
      <c r="X135" s="31">
        <v>0.188</v>
      </c>
      <c r="Y135" s="32">
        <v>2</v>
      </c>
      <c r="Z135" s="32">
        <f>F135*0.15</f>
        <v>5.2485</v>
      </c>
      <c r="AA135" s="32">
        <f t="shared" si="129"/>
        <v>0.24</v>
      </c>
      <c r="AB135" s="27">
        <f t="shared" si="130"/>
        <v>4.512</v>
      </c>
      <c r="AC135" s="27">
        <v>100.1</v>
      </c>
      <c r="AD135" s="33">
        <f t="shared" si="131"/>
        <v>88.5840707964602</v>
      </c>
      <c r="AE135" s="29">
        <f t="shared" si="132"/>
        <v>1</v>
      </c>
      <c r="AF135" s="30">
        <f t="shared" si="133"/>
        <v>0.461375368731563</v>
      </c>
      <c r="AG135" s="30">
        <f t="shared" si="134"/>
        <v>0.00520833333333333</v>
      </c>
      <c r="AH135" s="29">
        <v>8</v>
      </c>
      <c r="AI135" s="26">
        <f t="shared" si="136"/>
        <v>0.404450051931214</v>
      </c>
      <c r="AJ135" s="26"/>
      <c r="AK135" s="26"/>
      <c r="AL135" s="26"/>
      <c r="AM135" s="26"/>
      <c r="AN135" s="34"/>
      <c r="AO135" s="34"/>
      <c r="AP135" s="34"/>
      <c r="AQ135" s="34"/>
      <c r="AR135" s="34"/>
      <c r="AS135" s="34"/>
      <c r="AT135" s="34" t="s">
        <v>156</v>
      </c>
      <c r="AU135" s="34" t="s">
        <v>156</v>
      </c>
      <c r="AV135" s="34" t="s">
        <v>156</v>
      </c>
      <c r="AW135" s="34" t="s">
        <v>156</v>
      </c>
      <c r="AX135" s="34" t="s">
        <v>156</v>
      </c>
      <c r="AY135" s="34" t="s">
        <v>156</v>
      </c>
      <c r="AZ135" s="34" t="s">
        <v>156</v>
      </c>
      <c r="BA135" s="34" t="s">
        <v>156</v>
      </c>
      <c r="BB135" s="34" t="s">
        <v>156</v>
      </c>
      <c r="BC135" s="34" t="s">
        <v>156</v>
      </c>
      <c r="BD135" s="34" t="s">
        <v>156</v>
      </c>
      <c r="BE135" s="34" t="s">
        <v>156</v>
      </c>
      <c r="BF135" s="34" t="s">
        <v>156</v>
      </c>
      <c r="BG135" s="34" t="s">
        <v>156</v>
      </c>
      <c r="BH135" s="34" t="s">
        <v>156</v>
      </c>
      <c r="BI135" s="34" t="s">
        <v>156</v>
      </c>
      <c r="BJ135" s="34" t="s">
        <v>156</v>
      </c>
      <c r="BK135" s="34" t="s">
        <v>156</v>
      </c>
      <c r="BL135" s="34" t="s">
        <v>156</v>
      </c>
      <c r="BM135" s="34" t="s">
        <v>156</v>
      </c>
      <c r="BN135" s="34" t="s">
        <v>156</v>
      </c>
      <c r="BO135" s="34" t="s">
        <v>156</v>
      </c>
      <c r="BP135" s="34" t="s">
        <v>156</v>
      </c>
      <c r="BQ135" s="34" t="s">
        <v>156</v>
      </c>
      <c r="BR135" s="35"/>
      <c r="BS135" s="20" t="s">
        <v>157</v>
      </c>
    </row>
    <row r="136" ht="16.5" spans="1:71">
      <c r="A136" s="21" t="s">
        <v>48</v>
      </c>
      <c r="B136" s="21"/>
      <c r="C136" s="21"/>
      <c r="D136" s="39" t="s">
        <v>182</v>
      </c>
      <c r="E136" s="23">
        <v>24</v>
      </c>
      <c r="F136" s="24">
        <v>34.99</v>
      </c>
      <c r="G136" s="25">
        <f t="shared" si="92"/>
        <v>34.99</v>
      </c>
      <c r="H136" s="25">
        <f t="shared" si="116"/>
        <v>29.1583333333333</v>
      </c>
      <c r="I136" s="25">
        <f t="shared" si="117"/>
        <v>4.21249115044248</v>
      </c>
      <c r="J136" s="26">
        <f t="shared" si="118"/>
        <v>0.17552046460177</v>
      </c>
      <c r="K136" s="27">
        <f t="shared" si="119"/>
        <v>29.1583333333333</v>
      </c>
      <c r="L136" s="28">
        <f t="shared" si="120"/>
        <v>0.176907687910832</v>
      </c>
      <c r="M136" s="25">
        <f t="shared" si="121"/>
        <v>5.15833333333333</v>
      </c>
      <c r="N136" s="27">
        <f t="shared" si="122"/>
        <v>96.5840707964602</v>
      </c>
      <c r="O136" s="27">
        <f t="shared" si="123"/>
        <v>0.9625</v>
      </c>
      <c r="P136" s="21">
        <v>20</v>
      </c>
      <c r="Q136" s="29">
        <v>8</v>
      </c>
      <c r="R136" s="30">
        <f t="shared" si="124"/>
        <v>0.0833333333333333</v>
      </c>
      <c r="S136" s="26">
        <f t="shared" si="125"/>
        <v>0.0571591883395256</v>
      </c>
      <c r="T136" s="30">
        <f t="shared" si="126"/>
        <v>0</v>
      </c>
      <c r="U136" s="30">
        <v>0.01</v>
      </c>
      <c r="V136" s="30">
        <f t="shared" si="127"/>
        <v>0.50304203539823</v>
      </c>
      <c r="W136" s="30">
        <f t="shared" si="128"/>
        <v>0.0401041666666667</v>
      </c>
      <c r="X136" s="31">
        <v>0.188</v>
      </c>
      <c r="Y136" s="32">
        <v>2</v>
      </c>
      <c r="Z136" s="32">
        <v>0</v>
      </c>
      <c r="AA136" s="32">
        <f t="shared" si="129"/>
        <v>0.24</v>
      </c>
      <c r="AB136" s="27">
        <f t="shared" si="130"/>
        <v>4.512</v>
      </c>
      <c r="AC136" s="27">
        <v>100.1</v>
      </c>
      <c r="AD136" s="33">
        <f t="shared" si="131"/>
        <v>88.5840707964602</v>
      </c>
      <c r="AE136" s="29">
        <f t="shared" si="132"/>
        <v>1</v>
      </c>
      <c r="AF136" s="30">
        <f t="shared" si="133"/>
        <v>0.461375368731563</v>
      </c>
      <c r="AG136" s="30">
        <f t="shared" si="134"/>
        <v>0.00520833333333333</v>
      </c>
      <c r="AH136" s="29">
        <v>8</v>
      </c>
      <c r="AI136" s="30">
        <f t="shared" si="136"/>
        <v>0.331649042583595</v>
      </c>
      <c r="AJ136" s="30"/>
      <c r="AK136" s="30"/>
      <c r="AL136" s="30"/>
      <c r="AM136" s="30"/>
      <c r="AN136" s="34"/>
      <c r="AO136" s="34"/>
      <c r="AP136" s="34"/>
      <c r="AQ136" s="34"/>
      <c r="AR136" s="34"/>
      <c r="AS136" s="34"/>
      <c r="AT136" s="34" t="s">
        <v>156</v>
      </c>
      <c r="AU136" s="34" t="s">
        <v>156</v>
      </c>
      <c r="AV136" s="34" t="s">
        <v>156</v>
      </c>
      <c r="AW136" s="34" t="s">
        <v>156</v>
      </c>
      <c r="AX136" s="34" t="s">
        <v>156</v>
      </c>
      <c r="AY136" s="34" t="s">
        <v>156</v>
      </c>
      <c r="AZ136" s="34" t="s">
        <v>156</v>
      </c>
      <c r="BA136" s="34" t="s">
        <v>156</v>
      </c>
      <c r="BB136" s="34" t="s">
        <v>156</v>
      </c>
      <c r="BC136" s="34" t="s">
        <v>156</v>
      </c>
      <c r="BD136" s="34" t="s">
        <v>156</v>
      </c>
      <c r="BE136" s="34" t="s">
        <v>156</v>
      </c>
      <c r="BF136" s="34" t="s">
        <v>156</v>
      </c>
      <c r="BG136" s="34" t="s">
        <v>156</v>
      </c>
      <c r="BH136" s="34" t="s">
        <v>156</v>
      </c>
      <c r="BI136" s="34" t="s">
        <v>156</v>
      </c>
      <c r="BJ136" s="34" t="s">
        <v>156</v>
      </c>
      <c r="BK136" s="34" t="s">
        <v>156</v>
      </c>
      <c r="BL136" s="34" t="s">
        <v>156</v>
      </c>
      <c r="BM136" s="34" t="s">
        <v>156</v>
      </c>
      <c r="BN136" s="34" t="s">
        <v>156</v>
      </c>
      <c r="BO136" s="34" t="s">
        <v>156</v>
      </c>
      <c r="BP136" s="34" t="s">
        <v>156</v>
      </c>
      <c r="BQ136" s="34" t="s">
        <v>156</v>
      </c>
      <c r="BR136" s="35"/>
      <c r="BS136" s="20" t="s">
        <v>157</v>
      </c>
    </row>
    <row r="137" ht="16.5" spans="1:71">
      <c r="A137" s="21" t="s">
        <v>48</v>
      </c>
      <c r="B137" s="21"/>
      <c r="C137" s="21"/>
      <c r="D137" s="39" t="s">
        <v>183</v>
      </c>
      <c r="E137" s="23">
        <v>24</v>
      </c>
      <c r="F137" s="24">
        <v>34.99</v>
      </c>
      <c r="G137" s="25">
        <f t="shared" si="92"/>
        <v>31.491</v>
      </c>
      <c r="H137" s="25">
        <f t="shared" si="116"/>
        <v>26.2425</v>
      </c>
      <c r="I137" s="36">
        <f t="shared" si="117"/>
        <v>0.713491150442476</v>
      </c>
      <c r="J137" s="26">
        <f t="shared" si="118"/>
        <v>0.0297287979351032</v>
      </c>
      <c r="K137" s="27">
        <f t="shared" si="119"/>
        <v>29.1583333333333</v>
      </c>
      <c r="L137" s="28">
        <f t="shared" si="120"/>
        <v>0.176907687910832</v>
      </c>
      <c r="M137" s="25">
        <f t="shared" si="121"/>
        <v>5.15833333333333</v>
      </c>
      <c r="N137" s="27">
        <f t="shared" si="122"/>
        <v>96.5840707964602</v>
      </c>
      <c r="O137" s="27">
        <f t="shared" si="123"/>
        <v>0.9625</v>
      </c>
      <c r="P137" s="21">
        <v>20</v>
      </c>
      <c r="Q137" s="29">
        <v>8</v>
      </c>
      <c r="R137" s="30">
        <f t="shared" si="124"/>
        <v>0.0833333333333333</v>
      </c>
      <c r="S137" s="26">
        <f t="shared" si="125"/>
        <v>0.0571591883395256</v>
      </c>
      <c r="T137" s="30">
        <f t="shared" si="126"/>
        <v>0.145791666666667</v>
      </c>
      <c r="U137" s="30">
        <v>0.01</v>
      </c>
      <c r="V137" s="30">
        <f t="shared" si="127"/>
        <v>0.50304203539823</v>
      </c>
      <c r="W137" s="30">
        <f t="shared" si="128"/>
        <v>0.0401041666666667</v>
      </c>
      <c r="X137" s="31">
        <v>0.188</v>
      </c>
      <c r="Y137" s="32">
        <v>2</v>
      </c>
      <c r="Z137" s="32">
        <f>F137*0.1</f>
        <v>3.499</v>
      </c>
      <c r="AA137" s="32">
        <f t="shared" si="129"/>
        <v>0.24</v>
      </c>
      <c r="AB137" s="27">
        <f t="shared" si="130"/>
        <v>4.512</v>
      </c>
      <c r="AC137" s="27">
        <v>100.1</v>
      </c>
      <c r="AD137" s="33">
        <f t="shared" si="131"/>
        <v>88.5840707964602</v>
      </c>
      <c r="AE137" s="29">
        <f t="shared" si="132"/>
        <v>1</v>
      </c>
      <c r="AF137" s="30">
        <f t="shared" si="133"/>
        <v>0.461375368731563</v>
      </c>
      <c r="AG137" s="30">
        <f t="shared" si="134"/>
        <v>0.00520833333333333</v>
      </c>
      <c r="AH137" s="29">
        <v>8</v>
      </c>
      <c r="AI137" s="30">
        <f t="shared" si="136"/>
        <v>0.376873912026813</v>
      </c>
      <c r="AJ137" s="30"/>
      <c r="AK137" s="30"/>
      <c r="AL137" s="30"/>
      <c r="AM137" s="30"/>
      <c r="AN137" s="34"/>
      <c r="AO137" s="34"/>
      <c r="AP137" s="34"/>
      <c r="AQ137" s="34"/>
      <c r="AR137" s="34"/>
      <c r="AS137" s="34"/>
      <c r="AT137" s="34" t="s">
        <v>156</v>
      </c>
      <c r="AU137" s="34" t="s">
        <v>156</v>
      </c>
      <c r="AV137" s="34" t="s">
        <v>156</v>
      </c>
      <c r="AW137" s="34" t="s">
        <v>156</v>
      </c>
      <c r="AX137" s="34" t="s">
        <v>156</v>
      </c>
      <c r="AY137" s="34" t="s">
        <v>156</v>
      </c>
      <c r="AZ137" s="34" t="s">
        <v>156</v>
      </c>
      <c r="BA137" s="34" t="s">
        <v>156</v>
      </c>
      <c r="BB137" s="34" t="s">
        <v>156</v>
      </c>
      <c r="BC137" s="34" t="s">
        <v>156</v>
      </c>
      <c r="BD137" s="34" t="s">
        <v>156</v>
      </c>
      <c r="BE137" s="34" t="s">
        <v>156</v>
      </c>
      <c r="BF137" s="34" t="s">
        <v>156</v>
      </c>
      <c r="BG137" s="34" t="s">
        <v>156</v>
      </c>
      <c r="BH137" s="34" t="s">
        <v>156</v>
      </c>
      <c r="BI137" s="34" t="s">
        <v>156</v>
      </c>
      <c r="BJ137" s="34" t="s">
        <v>156</v>
      </c>
      <c r="BK137" s="34" t="s">
        <v>156</v>
      </c>
      <c r="BL137" s="34" t="s">
        <v>156</v>
      </c>
      <c r="BM137" s="34" t="s">
        <v>156</v>
      </c>
      <c r="BN137" s="34" t="s">
        <v>156</v>
      </c>
      <c r="BO137" s="34" t="s">
        <v>156</v>
      </c>
      <c r="BP137" s="34" t="s">
        <v>156</v>
      </c>
      <c r="BQ137" s="34" t="s">
        <v>156</v>
      </c>
      <c r="BR137" s="35"/>
      <c r="BS137" s="20" t="s">
        <v>157</v>
      </c>
    </row>
    <row r="138" ht="16.5" spans="1:71">
      <c r="A138" s="21" t="s">
        <v>48</v>
      </c>
      <c r="B138" s="21"/>
      <c r="C138" s="21"/>
      <c r="D138" s="39" t="s">
        <v>184</v>
      </c>
      <c r="E138" s="23">
        <v>24</v>
      </c>
      <c r="F138" s="24">
        <v>34.99</v>
      </c>
      <c r="G138" s="25">
        <f t="shared" si="92"/>
        <v>29.7415</v>
      </c>
      <c r="H138" s="25">
        <f t="shared" si="116"/>
        <v>24.7845833333333</v>
      </c>
      <c r="I138" s="25">
        <f t="shared" si="117"/>
        <v>-1.03600884955752</v>
      </c>
      <c r="J138" s="26">
        <f t="shared" si="118"/>
        <v>-0.0431670353982301</v>
      </c>
      <c r="K138" s="27">
        <f t="shared" si="119"/>
        <v>29.1583333333333</v>
      </c>
      <c r="L138" s="28">
        <f t="shared" si="120"/>
        <v>0.176907687910832</v>
      </c>
      <c r="M138" s="25">
        <f t="shared" si="121"/>
        <v>5.15833333333333</v>
      </c>
      <c r="N138" s="27">
        <f t="shared" si="122"/>
        <v>96.5840707964602</v>
      </c>
      <c r="O138" s="27">
        <f t="shared" si="123"/>
        <v>0.9625</v>
      </c>
      <c r="P138" s="21">
        <v>20</v>
      </c>
      <c r="Q138" s="29">
        <v>8</v>
      </c>
      <c r="R138" s="30">
        <f t="shared" si="124"/>
        <v>0.0833333333333333</v>
      </c>
      <c r="S138" s="26">
        <f t="shared" si="125"/>
        <v>0.0571591883395256</v>
      </c>
      <c r="T138" s="30">
        <f t="shared" si="126"/>
        <v>0.2186875</v>
      </c>
      <c r="U138" s="30">
        <v>0.01</v>
      </c>
      <c r="V138" s="30">
        <f t="shared" si="127"/>
        <v>0.50304203539823</v>
      </c>
      <c r="W138" s="30">
        <f t="shared" si="128"/>
        <v>0.0401041666666667</v>
      </c>
      <c r="X138" s="31">
        <v>0.188</v>
      </c>
      <c r="Y138" s="32">
        <v>2</v>
      </c>
      <c r="Z138" s="32">
        <f>F138*0.15</f>
        <v>5.2485</v>
      </c>
      <c r="AA138" s="32">
        <f t="shared" si="129"/>
        <v>0.24</v>
      </c>
      <c r="AB138" s="27">
        <f t="shared" si="130"/>
        <v>4.512</v>
      </c>
      <c r="AC138" s="27">
        <v>100.1</v>
      </c>
      <c r="AD138" s="33">
        <f t="shared" si="131"/>
        <v>88.5840707964602</v>
      </c>
      <c r="AE138" s="29">
        <f t="shared" si="132"/>
        <v>1</v>
      </c>
      <c r="AF138" s="30">
        <f t="shared" si="133"/>
        <v>0.461375368731563</v>
      </c>
      <c r="AG138" s="30">
        <f t="shared" si="134"/>
        <v>0.00520833333333333</v>
      </c>
      <c r="AH138" s="29">
        <v>8</v>
      </c>
      <c r="AI138" s="30">
        <f t="shared" si="136"/>
        <v>0.404450051931214</v>
      </c>
      <c r="AJ138" s="30"/>
      <c r="AK138" s="30"/>
      <c r="AL138" s="30"/>
      <c r="AM138" s="30"/>
      <c r="AN138" s="34"/>
      <c r="AO138" s="34"/>
      <c r="AP138" s="34"/>
      <c r="AQ138" s="34"/>
      <c r="AR138" s="34"/>
      <c r="AS138" s="34"/>
      <c r="AT138" s="34" t="s">
        <v>156</v>
      </c>
      <c r="AU138" s="34" t="s">
        <v>156</v>
      </c>
      <c r="AV138" s="34" t="s">
        <v>156</v>
      </c>
      <c r="AW138" s="34" t="s">
        <v>156</v>
      </c>
      <c r="AX138" s="34" t="s">
        <v>156</v>
      </c>
      <c r="AY138" s="34" t="s">
        <v>156</v>
      </c>
      <c r="AZ138" s="34" t="s">
        <v>156</v>
      </c>
      <c r="BA138" s="34" t="s">
        <v>156</v>
      </c>
      <c r="BB138" s="34" t="s">
        <v>156</v>
      </c>
      <c r="BC138" s="34" t="s">
        <v>156</v>
      </c>
      <c r="BD138" s="34" t="s">
        <v>156</v>
      </c>
      <c r="BE138" s="34" t="s">
        <v>156</v>
      </c>
      <c r="BF138" s="34" t="s">
        <v>156</v>
      </c>
      <c r="BG138" s="34" t="s">
        <v>156</v>
      </c>
      <c r="BH138" s="34" t="s">
        <v>156</v>
      </c>
      <c r="BI138" s="34" t="s">
        <v>156</v>
      </c>
      <c r="BJ138" s="34" t="s">
        <v>156</v>
      </c>
      <c r="BK138" s="34" t="s">
        <v>156</v>
      </c>
      <c r="BL138" s="34" t="s">
        <v>156</v>
      </c>
      <c r="BM138" s="34" t="s">
        <v>156</v>
      </c>
      <c r="BN138" s="34" t="s">
        <v>156</v>
      </c>
      <c r="BO138" s="34" t="s">
        <v>156</v>
      </c>
      <c r="BP138" s="34" t="s">
        <v>156</v>
      </c>
      <c r="BQ138" s="34" t="s">
        <v>156</v>
      </c>
      <c r="BR138" s="35"/>
      <c r="BS138" s="20" t="s">
        <v>157</v>
      </c>
    </row>
    <row r="139" ht="16.5" spans="1:71">
      <c r="A139" s="21" t="s">
        <v>161</v>
      </c>
      <c r="B139" s="21"/>
      <c r="C139" s="21"/>
      <c r="D139" s="42" t="s">
        <v>185</v>
      </c>
      <c r="E139" s="23">
        <v>37.8</v>
      </c>
      <c r="F139" s="38">
        <v>54.99</v>
      </c>
      <c r="G139" s="25">
        <f t="shared" si="92"/>
        <v>54.99</v>
      </c>
      <c r="H139" s="25">
        <f t="shared" si="116"/>
        <v>45.825</v>
      </c>
      <c r="I139" s="25">
        <f t="shared" si="117"/>
        <v>17.4050911504425</v>
      </c>
      <c r="J139" s="26">
        <f t="shared" si="118"/>
        <v>0.460452146837103</v>
      </c>
      <c r="K139" s="27">
        <f t="shared" si="119"/>
        <v>45.825</v>
      </c>
      <c r="L139" s="28">
        <f t="shared" si="120"/>
        <v>0.175122749590835</v>
      </c>
      <c r="M139" s="25">
        <f t="shared" si="121"/>
        <v>8.02500000000001</v>
      </c>
      <c r="N139" s="27">
        <f t="shared" si="122"/>
        <v>96.5840707964602</v>
      </c>
      <c r="O139" s="27">
        <f t="shared" si="123"/>
        <v>0.8375</v>
      </c>
      <c r="P139" s="21">
        <v>20</v>
      </c>
      <c r="Q139" s="29">
        <v>8</v>
      </c>
      <c r="R139" s="30">
        <f t="shared" si="124"/>
        <v>0</v>
      </c>
      <c r="S139" s="26">
        <f t="shared" si="125"/>
        <v>0</v>
      </c>
      <c r="T139" s="30">
        <f t="shared" si="126"/>
        <v>0</v>
      </c>
      <c r="U139" s="30">
        <v>0.01</v>
      </c>
      <c r="V139" s="30">
        <f t="shared" si="127"/>
        <v>0.319391768506813</v>
      </c>
      <c r="W139" s="30">
        <f t="shared" si="128"/>
        <v>0.0221560846560847</v>
      </c>
      <c r="X139" s="31">
        <v>0.188</v>
      </c>
      <c r="Y139" s="32">
        <v>0</v>
      </c>
      <c r="Z139" s="32">
        <f t="shared" ref="Z139:Z142" si="137">F139*0</f>
        <v>0</v>
      </c>
      <c r="AA139" s="32">
        <f t="shared" si="129"/>
        <v>0.378</v>
      </c>
      <c r="AB139" s="27">
        <f t="shared" si="130"/>
        <v>7.1064</v>
      </c>
      <c r="AC139" s="27">
        <v>100.1</v>
      </c>
      <c r="AD139" s="33">
        <f t="shared" si="131"/>
        <v>88.5840707964602</v>
      </c>
      <c r="AE139" s="29">
        <f t="shared" si="132"/>
        <v>1</v>
      </c>
      <c r="AF139" s="30">
        <f t="shared" si="133"/>
        <v>0.292936742051786</v>
      </c>
      <c r="AG139" s="30">
        <f t="shared" si="134"/>
        <v>0.00330687830687831</v>
      </c>
      <c r="AH139" s="29">
        <v>8</v>
      </c>
      <c r="AI139" s="30">
        <f t="shared" si="136"/>
        <v>0.330199672667758</v>
      </c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 t="s">
        <v>156</v>
      </c>
      <c r="AU139" s="34" t="s">
        <v>156</v>
      </c>
      <c r="AV139" s="34" t="s">
        <v>156</v>
      </c>
      <c r="AW139" s="34" t="s">
        <v>156</v>
      </c>
      <c r="AX139" s="34" t="s">
        <v>156</v>
      </c>
      <c r="AY139" s="34" t="s">
        <v>156</v>
      </c>
      <c r="AZ139" s="34" t="s">
        <v>156</v>
      </c>
      <c r="BA139" s="34" t="s">
        <v>156</v>
      </c>
      <c r="BB139" s="34" t="s">
        <v>156</v>
      </c>
      <c r="BC139" s="34" t="s">
        <v>156</v>
      </c>
      <c r="BD139" s="34" t="s">
        <v>156</v>
      </c>
      <c r="BE139" s="34" t="s">
        <v>156</v>
      </c>
      <c r="BF139" s="34" t="s">
        <v>156</v>
      </c>
      <c r="BG139" s="34" t="s">
        <v>156</v>
      </c>
      <c r="BH139" s="34" t="s">
        <v>156</v>
      </c>
      <c r="BI139" s="34" t="s">
        <v>156</v>
      </c>
      <c r="BJ139" s="34" t="s">
        <v>156</v>
      </c>
      <c r="BK139" s="34" t="s">
        <v>156</v>
      </c>
      <c r="BL139" s="34" t="s">
        <v>156</v>
      </c>
      <c r="BM139" s="34" t="s">
        <v>156</v>
      </c>
      <c r="BN139" s="34" t="s">
        <v>156</v>
      </c>
      <c r="BO139" s="34" t="s">
        <v>156</v>
      </c>
      <c r="BP139" s="34" t="s">
        <v>156</v>
      </c>
      <c r="BQ139" s="34" t="s">
        <v>156</v>
      </c>
      <c r="BR139" s="44" t="e">
        <f>IF(E139&lt;#REF!,1,0)</f>
        <v>#REF!</v>
      </c>
      <c r="BS139" s="20" t="s">
        <v>157</v>
      </c>
    </row>
    <row r="140" ht="16.5" spans="1:71">
      <c r="A140" s="21" t="s">
        <v>163</v>
      </c>
      <c r="B140" s="21"/>
      <c r="C140" s="21"/>
      <c r="D140" s="42" t="s">
        <v>186</v>
      </c>
      <c r="E140" s="23">
        <v>37.8</v>
      </c>
      <c r="F140" s="24">
        <v>54.99</v>
      </c>
      <c r="G140" s="25">
        <f t="shared" si="92"/>
        <v>54.99</v>
      </c>
      <c r="H140" s="25">
        <f t="shared" si="116"/>
        <v>45.825</v>
      </c>
      <c r="I140" s="25">
        <f t="shared" si="117"/>
        <v>17.5400911504425</v>
      </c>
      <c r="J140" s="26">
        <f t="shared" si="118"/>
        <v>0.464023575408531</v>
      </c>
      <c r="K140" s="27">
        <f t="shared" si="119"/>
        <v>45.825</v>
      </c>
      <c r="L140" s="28">
        <f t="shared" si="120"/>
        <v>0.175122749590835</v>
      </c>
      <c r="M140" s="25">
        <f t="shared" si="121"/>
        <v>8.02500000000001</v>
      </c>
      <c r="N140" s="27">
        <f t="shared" si="122"/>
        <v>96.5840707964602</v>
      </c>
      <c r="O140" s="27">
        <f t="shared" si="123"/>
        <v>0.7025</v>
      </c>
      <c r="P140" s="21">
        <v>20</v>
      </c>
      <c r="Q140" s="29">
        <v>8</v>
      </c>
      <c r="R140" s="30">
        <f t="shared" si="124"/>
        <v>0</v>
      </c>
      <c r="S140" s="26">
        <f t="shared" si="125"/>
        <v>0</v>
      </c>
      <c r="T140" s="30">
        <f t="shared" si="126"/>
        <v>0</v>
      </c>
      <c r="U140" s="30">
        <v>0.01</v>
      </c>
      <c r="V140" s="30">
        <f t="shared" si="127"/>
        <v>0.319391768506813</v>
      </c>
      <c r="W140" s="30">
        <f t="shared" si="128"/>
        <v>0.0185846560846561</v>
      </c>
      <c r="X140" s="31">
        <v>0.188</v>
      </c>
      <c r="Y140" s="32">
        <v>0</v>
      </c>
      <c r="Z140" s="32">
        <f t="shared" si="137"/>
        <v>0</v>
      </c>
      <c r="AA140" s="32">
        <f t="shared" si="129"/>
        <v>0.378</v>
      </c>
      <c r="AB140" s="27">
        <f t="shared" si="130"/>
        <v>7.1064</v>
      </c>
      <c r="AC140" s="27">
        <v>100.1</v>
      </c>
      <c r="AD140" s="33">
        <f t="shared" si="131"/>
        <v>88.5840707964602</v>
      </c>
      <c r="AE140" s="29">
        <f t="shared" si="132"/>
        <v>1</v>
      </c>
      <c r="AF140" s="30">
        <f t="shared" si="133"/>
        <v>0.292936742051786</v>
      </c>
      <c r="AG140" s="30">
        <f t="shared" si="134"/>
        <v>0.00330687830687831</v>
      </c>
      <c r="AH140" s="29">
        <v>8</v>
      </c>
      <c r="AI140" s="30">
        <f t="shared" si="136"/>
        <v>0.330199672667758</v>
      </c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 t="s">
        <v>156</v>
      </c>
      <c r="AU140" s="34" t="s">
        <v>156</v>
      </c>
      <c r="AV140" s="34" t="s">
        <v>156</v>
      </c>
      <c r="AW140" s="34" t="s">
        <v>156</v>
      </c>
      <c r="AX140" s="34" t="s">
        <v>156</v>
      </c>
      <c r="AY140" s="34" t="s">
        <v>156</v>
      </c>
      <c r="AZ140" s="34" t="s">
        <v>156</v>
      </c>
      <c r="BA140" s="34" t="s">
        <v>156</v>
      </c>
      <c r="BB140" s="34" t="s">
        <v>156</v>
      </c>
      <c r="BC140" s="34" t="s">
        <v>156</v>
      </c>
      <c r="BD140" s="34" t="s">
        <v>156</v>
      </c>
      <c r="BE140" s="34" t="s">
        <v>156</v>
      </c>
      <c r="BF140" s="34" t="s">
        <v>156</v>
      </c>
      <c r="BG140" s="34" t="s">
        <v>156</v>
      </c>
      <c r="BH140" s="34" t="s">
        <v>156</v>
      </c>
      <c r="BI140" s="34" t="s">
        <v>156</v>
      </c>
      <c r="BJ140" s="34" t="s">
        <v>156</v>
      </c>
      <c r="BK140" s="34" t="s">
        <v>156</v>
      </c>
      <c r="BL140" s="34" t="s">
        <v>156</v>
      </c>
      <c r="BM140" s="34" t="s">
        <v>156</v>
      </c>
      <c r="BN140" s="34" t="s">
        <v>156</v>
      </c>
      <c r="BO140" s="34" t="s">
        <v>156</v>
      </c>
      <c r="BP140" s="34" t="s">
        <v>156</v>
      </c>
      <c r="BQ140" s="34" t="s">
        <v>156</v>
      </c>
      <c r="BR140" s="44" t="e">
        <f>IF(E140&lt;#REF!,1,0)</f>
        <v>#REF!</v>
      </c>
      <c r="BS140" s="20" t="s">
        <v>157</v>
      </c>
    </row>
    <row r="141" ht="16.5" spans="1:71">
      <c r="A141" s="21" t="s">
        <v>165</v>
      </c>
      <c r="B141" s="21"/>
      <c r="C141" s="21"/>
      <c r="D141" s="42" t="s">
        <v>187</v>
      </c>
      <c r="E141" s="23">
        <v>37.8</v>
      </c>
      <c r="F141" s="24">
        <v>54.99</v>
      </c>
      <c r="G141" s="25">
        <f t="shared" si="92"/>
        <v>54.99</v>
      </c>
      <c r="H141" s="25">
        <f t="shared" si="116"/>
        <v>45.825</v>
      </c>
      <c r="I141" s="25">
        <f t="shared" si="117"/>
        <v>17.3300911504425</v>
      </c>
      <c r="J141" s="26">
        <f t="shared" si="118"/>
        <v>0.458468019852975</v>
      </c>
      <c r="K141" s="27">
        <f t="shared" si="119"/>
        <v>45.825</v>
      </c>
      <c r="L141" s="28">
        <f t="shared" si="120"/>
        <v>0.175122749590835</v>
      </c>
      <c r="M141" s="25">
        <f t="shared" si="121"/>
        <v>8.02500000000001</v>
      </c>
      <c r="N141" s="27">
        <f t="shared" si="122"/>
        <v>96.5840707964602</v>
      </c>
      <c r="O141" s="27">
        <f t="shared" si="123"/>
        <v>0.9125</v>
      </c>
      <c r="P141" s="21">
        <v>20</v>
      </c>
      <c r="Q141" s="29">
        <v>8</v>
      </c>
      <c r="R141" s="30">
        <f t="shared" si="124"/>
        <v>0</v>
      </c>
      <c r="S141" s="26">
        <f t="shared" si="125"/>
        <v>0</v>
      </c>
      <c r="T141" s="30">
        <f t="shared" si="126"/>
        <v>0</v>
      </c>
      <c r="U141" s="30">
        <v>0.01</v>
      </c>
      <c r="V141" s="30">
        <f t="shared" si="127"/>
        <v>0.319391768506813</v>
      </c>
      <c r="W141" s="30">
        <f t="shared" si="128"/>
        <v>0.0241402116402116</v>
      </c>
      <c r="X141" s="31">
        <v>0.188</v>
      </c>
      <c r="Y141" s="32">
        <v>0</v>
      </c>
      <c r="Z141" s="32">
        <f t="shared" si="137"/>
        <v>0</v>
      </c>
      <c r="AA141" s="32">
        <f t="shared" si="129"/>
        <v>0.378</v>
      </c>
      <c r="AB141" s="27">
        <f t="shared" si="130"/>
        <v>7.1064</v>
      </c>
      <c r="AC141" s="27">
        <v>100.1</v>
      </c>
      <c r="AD141" s="33">
        <f t="shared" si="131"/>
        <v>88.5840707964602</v>
      </c>
      <c r="AE141" s="29">
        <f t="shared" si="132"/>
        <v>1</v>
      </c>
      <c r="AF141" s="30">
        <f t="shared" si="133"/>
        <v>0.292936742051786</v>
      </c>
      <c r="AG141" s="30">
        <f t="shared" si="134"/>
        <v>0.00330687830687831</v>
      </c>
      <c r="AH141" s="29">
        <v>8</v>
      </c>
      <c r="AI141" s="30">
        <f t="shared" si="136"/>
        <v>0.330199672667758</v>
      </c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 t="s">
        <v>156</v>
      </c>
      <c r="AU141" s="34" t="s">
        <v>156</v>
      </c>
      <c r="AV141" s="34" t="s">
        <v>156</v>
      </c>
      <c r="AW141" s="34" t="s">
        <v>156</v>
      </c>
      <c r="AX141" s="34" t="s">
        <v>156</v>
      </c>
      <c r="AY141" s="34" t="s">
        <v>156</v>
      </c>
      <c r="AZ141" s="34" t="s">
        <v>156</v>
      </c>
      <c r="BA141" s="34" t="s">
        <v>156</v>
      </c>
      <c r="BB141" s="34" t="s">
        <v>156</v>
      </c>
      <c r="BC141" s="34" t="s">
        <v>156</v>
      </c>
      <c r="BD141" s="34" t="s">
        <v>156</v>
      </c>
      <c r="BE141" s="34" t="s">
        <v>156</v>
      </c>
      <c r="BF141" s="34" t="s">
        <v>156</v>
      </c>
      <c r="BG141" s="34" t="s">
        <v>156</v>
      </c>
      <c r="BH141" s="34" t="s">
        <v>156</v>
      </c>
      <c r="BI141" s="34" t="s">
        <v>156</v>
      </c>
      <c r="BJ141" s="34" t="s">
        <v>156</v>
      </c>
      <c r="BK141" s="34" t="s">
        <v>156</v>
      </c>
      <c r="BL141" s="34" t="s">
        <v>156</v>
      </c>
      <c r="BM141" s="34" t="s">
        <v>156</v>
      </c>
      <c r="BN141" s="34" t="s">
        <v>156</v>
      </c>
      <c r="BO141" s="34" t="s">
        <v>156</v>
      </c>
      <c r="BP141" s="34" t="s">
        <v>156</v>
      </c>
      <c r="BQ141" s="34" t="s">
        <v>156</v>
      </c>
      <c r="BR141" s="44" t="e">
        <f>IF(E141&lt;#REF!,1,0)</f>
        <v>#REF!</v>
      </c>
      <c r="BS141" s="20" t="s">
        <v>157</v>
      </c>
    </row>
    <row r="142" ht="16.5" spans="1:71">
      <c r="A142" s="21" t="s">
        <v>167</v>
      </c>
      <c r="B142" s="21"/>
      <c r="C142" s="21"/>
      <c r="D142" s="42" t="s">
        <v>188</v>
      </c>
      <c r="E142" s="23">
        <v>37.8</v>
      </c>
      <c r="F142" s="24">
        <v>54.99</v>
      </c>
      <c r="G142" s="25">
        <f t="shared" si="92"/>
        <v>54.99</v>
      </c>
      <c r="H142" s="25">
        <f t="shared" si="116"/>
        <v>45.825</v>
      </c>
      <c r="I142" s="25">
        <f t="shared" si="117"/>
        <v>17.5300911504425</v>
      </c>
      <c r="J142" s="26">
        <f t="shared" si="118"/>
        <v>0.463759025143981</v>
      </c>
      <c r="K142" s="27">
        <f t="shared" si="119"/>
        <v>45.825</v>
      </c>
      <c r="L142" s="28">
        <f t="shared" si="120"/>
        <v>0.175122749590835</v>
      </c>
      <c r="M142" s="25">
        <f t="shared" si="121"/>
        <v>8.02500000000001</v>
      </c>
      <c r="N142" s="27">
        <f t="shared" si="122"/>
        <v>96.5840707964602</v>
      </c>
      <c r="O142" s="27">
        <f t="shared" si="123"/>
        <v>0.7125</v>
      </c>
      <c r="P142" s="21">
        <v>20</v>
      </c>
      <c r="Q142" s="29">
        <v>8</v>
      </c>
      <c r="R142" s="30">
        <f t="shared" si="124"/>
        <v>0</v>
      </c>
      <c r="S142" s="26">
        <f t="shared" si="125"/>
        <v>0</v>
      </c>
      <c r="T142" s="30">
        <f t="shared" si="126"/>
        <v>0</v>
      </c>
      <c r="U142" s="30">
        <v>0.01</v>
      </c>
      <c r="V142" s="30">
        <f t="shared" si="127"/>
        <v>0.319391768506813</v>
      </c>
      <c r="W142" s="30">
        <f t="shared" si="128"/>
        <v>0.0188492063492064</v>
      </c>
      <c r="X142" s="31">
        <v>0.188</v>
      </c>
      <c r="Y142" s="32">
        <v>0</v>
      </c>
      <c r="Z142" s="32">
        <f t="shared" si="137"/>
        <v>0</v>
      </c>
      <c r="AA142" s="32">
        <f t="shared" si="129"/>
        <v>0.378</v>
      </c>
      <c r="AB142" s="27">
        <f t="shared" si="130"/>
        <v>7.1064</v>
      </c>
      <c r="AC142" s="27">
        <v>100.1</v>
      </c>
      <c r="AD142" s="33">
        <f t="shared" si="131"/>
        <v>88.5840707964602</v>
      </c>
      <c r="AE142" s="29">
        <f t="shared" si="132"/>
        <v>1</v>
      </c>
      <c r="AF142" s="30">
        <f t="shared" si="133"/>
        <v>0.292936742051786</v>
      </c>
      <c r="AG142" s="30">
        <f t="shared" si="134"/>
        <v>0.00330687830687831</v>
      </c>
      <c r="AH142" s="29">
        <v>8</v>
      </c>
      <c r="AI142" s="30">
        <f t="shared" si="136"/>
        <v>0.330199672667758</v>
      </c>
      <c r="AJ142" s="30"/>
      <c r="AK142" s="30"/>
      <c r="AL142" s="30"/>
      <c r="AM142" s="30"/>
      <c r="AN142" s="34"/>
      <c r="AO142" s="34"/>
      <c r="AP142" s="34"/>
      <c r="AQ142" s="34"/>
      <c r="AR142" s="34"/>
      <c r="AS142" s="34"/>
      <c r="AT142" s="34" t="s">
        <v>156</v>
      </c>
      <c r="AU142" s="34" t="s">
        <v>156</v>
      </c>
      <c r="AV142" s="34" t="s">
        <v>156</v>
      </c>
      <c r="AW142" s="34" t="s">
        <v>156</v>
      </c>
      <c r="AX142" s="34" t="s">
        <v>156</v>
      </c>
      <c r="AY142" s="34" t="s">
        <v>156</v>
      </c>
      <c r="AZ142" s="34" t="s">
        <v>156</v>
      </c>
      <c r="BA142" s="34" t="s">
        <v>156</v>
      </c>
      <c r="BB142" s="34" t="s">
        <v>156</v>
      </c>
      <c r="BC142" s="34" t="s">
        <v>156</v>
      </c>
      <c r="BD142" s="34" t="s">
        <v>156</v>
      </c>
      <c r="BE142" s="34" t="s">
        <v>156</v>
      </c>
      <c r="BF142" s="34" t="s">
        <v>156</v>
      </c>
      <c r="BG142" s="34" t="s">
        <v>156</v>
      </c>
      <c r="BH142" s="34" t="s">
        <v>156</v>
      </c>
      <c r="BI142" s="34" t="s">
        <v>156</v>
      </c>
      <c r="BJ142" s="34" t="s">
        <v>156</v>
      </c>
      <c r="BK142" s="34" t="s">
        <v>156</v>
      </c>
      <c r="BL142" s="34" t="s">
        <v>156</v>
      </c>
      <c r="BM142" s="34" t="s">
        <v>156</v>
      </c>
      <c r="BN142" s="34" t="s">
        <v>156</v>
      </c>
      <c r="BO142" s="34" t="s">
        <v>156</v>
      </c>
      <c r="BP142" s="34" t="s">
        <v>156</v>
      </c>
      <c r="BQ142" s="34" t="s">
        <v>156</v>
      </c>
      <c r="BR142" s="44" t="e">
        <f>IF(E142&lt;#REF!,1,0)</f>
        <v>#REF!</v>
      </c>
      <c r="BS142" s="20" t="s">
        <v>157</v>
      </c>
    </row>
    <row r="143" ht="16.5" spans="1:71">
      <c r="A143" s="48"/>
      <c r="B143" s="48"/>
      <c r="C143" s="48"/>
      <c r="D143" s="48"/>
      <c r="E143" s="27"/>
      <c r="F143" s="43"/>
      <c r="G143" s="25"/>
      <c r="H143" s="25"/>
      <c r="I143" s="25"/>
      <c r="J143" s="26"/>
      <c r="K143" s="27"/>
      <c r="L143" s="27"/>
      <c r="M143" s="27"/>
      <c r="N143" s="27"/>
      <c r="O143" s="27"/>
      <c r="P143" s="21"/>
      <c r="Q143" s="29"/>
      <c r="R143" s="30"/>
      <c r="S143" s="26"/>
      <c r="T143" s="30"/>
      <c r="U143" s="30"/>
      <c r="V143" s="30"/>
      <c r="W143" s="30"/>
      <c r="X143" s="31"/>
      <c r="Y143" s="32"/>
      <c r="Z143" s="32"/>
      <c r="AA143" s="32"/>
      <c r="AB143" s="27"/>
      <c r="AC143" s="27"/>
      <c r="AD143" s="33"/>
      <c r="AE143" s="29"/>
      <c r="AF143" s="30"/>
      <c r="AG143" s="30"/>
      <c r="AH143" s="29"/>
      <c r="AI143" s="30"/>
      <c r="AJ143" s="30"/>
      <c r="AK143" s="30"/>
      <c r="AL143" s="30"/>
      <c r="AM143" s="30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44"/>
      <c r="BS143" s="20"/>
    </row>
    <row r="144" ht="16.5" spans="1:71">
      <c r="A144" s="20" t="s">
        <v>50</v>
      </c>
      <c r="B144" s="21"/>
      <c r="C144" s="51"/>
      <c r="D144" s="39" t="s">
        <v>189</v>
      </c>
      <c r="E144" s="52">
        <v>51.5</v>
      </c>
      <c r="F144" s="53">
        <v>74.99</v>
      </c>
      <c r="G144" s="25">
        <f t="shared" ref="G144:G162" si="138">(F144-Z144)</f>
        <v>74.99</v>
      </c>
      <c r="H144" s="25">
        <f t="shared" ref="H144:H162" si="139">(F144-Z144)/1.2</f>
        <v>62.4916666666667</v>
      </c>
      <c r="I144" s="25">
        <f t="shared" ref="I144:I162" si="140">E144-N144/Q144-AB144-Y144-O144-Z144-AA144</f>
        <v>10.6198559488692</v>
      </c>
      <c r="J144" s="26">
        <f t="shared" ref="J144:J162" si="141">I144/E144</f>
        <v>0.206210795123674</v>
      </c>
      <c r="K144" s="27">
        <f t="shared" ref="K144:K162" si="142">F144/1.2</f>
        <v>62.4916666666667</v>
      </c>
      <c r="L144" s="28">
        <f t="shared" ref="L144:L162" si="143">(K144-E144)/K144</f>
        <v>0.175890118682491</v>
      </c>
      <c r="M144" s="25">
        <f t="shared" ref="M144:M162" si="144">F144/1.2-E144</f>
        <v>10.9916666666667</v>
      </c>
      <c r="N144" s="27">
        <f>AD144+AH145</f>
        <v>202.070796460177</v>
      </c>
      <c r="O144" s="27">
        <f t="shared" ref="O144:O162" si="145">IFERROR(IF(A144="UK",8.95/P144,IF(A144="DE",7.75/P144,IF(A144="FR",14.25/P144,IF(A144="IT",15.25/P144,IF(A144="ES",19.25/P144,IF(A144="NL",16.75/P144,IF(A144="PL",14.05/P144,IF(A144="SE",18.25/P144,IF(A144="BE",14.25/P144))))))))),0)</f>
        <v>0.745833333333333</v>
      </c>
      <c r="P144" s="20">
        <v>12</v>
      </c>
      <c r="Q144" s="29">
        <v>9</v>
      </c>
      <c r="R144" s="30">
        <f t="shared" ref="R144:R162" si="146">Y144/E144</f>
        <v>0.155339805825243</v>
      </c>
      <c r="S144" s="26">
        <f t="shared" ref="S144:S162" si="147">Y144/F144</f>
        <v>0.106680890785438</v>
      </c>
      <c r="T144" s="30">
        <f t="shared" ref="T144:T162" si="148">Z144/E144</f>
        <v>0</v>
      </c>
      <c r="U144" s="30">
        <v>0.01</v>
      </c>
      <c r="V144" s="30">
        <f t="shared" ref="V144:V162" si="149">N144/(E144*Q144)</f>
        <v>0.435967198403834</v>
      </c>
      <c r="W144" s="30">
        <f t="shared" ref="W144:W162" si="150">O144/E144</f>
        <v>0.0144822006472492</v>
      </c>
      <c r="X144" s="31">
        <v>0.178</v>
      </c>
      <c r="Y144" s="32">
        <v>8</v>
      </c>
      <c r="Z144" s="32">
        <v>0</v>
      </c>
      <c r="AA144" s="32">
        <f t="shared" ref="AA144:AA162" si="151">E144*U144</f>
        <v>0.515</v>
      </c>
      <c r="AB144" s="27">
        <f t="shared" ref="AB144:AB162" si="152">E144*X144</f>
        <v>9.167</v>
      </c>
      <c r="AC144" s="27">
        <v>208</v>
      </c>
      <c r="AD144" s="33">
        <f t="shared" ref="AD144:AD162" si="153">AC144/1.13</f>
        <v>184.070796460177</v>
      </c>
      <c r="AE144" s="29">
        <f>AH145/Q144</f>
        <v>2</v>
      </c>
      <c r="AF144" s="30">
        <f t="shared" ref="AF144:AF162" si="154">AD144/(E144*Q144)</f>
        <v>0.397132246947523</v>
      </c>
      <c r="AG144" s="30">
        <f t="shared" ref="AG144:AG162" si="155">AE144/Q144/E144</f>
        <v>0.00431499460625674</v>
      </c>
      <c r="AH144" s="29">
        <v>18</v>
      </c>
      <c r="AI144" s="30">
        <f t="shared" ref="AI144:AI151" si="156">(H144-E144+AB144)/H144</f>
        <v>0.322581677557008</v>
      </c>
      <c r="AJ144" s="30"/>
      <c r="AK144" s="30"/>
      <c r="AL144" s="30"/>
      <c r="AM144" s="30"/>
      <c r="AN144" s="34"/>
      <c r="AO144" s="34"/>
      <c r="AP144" s="34"/>
      <c r="AQ144" s="34"/>
      <c r="AR144" s="34"/>
      <c r="AS144" s="34"/>
      <c r="AT144" s="34" t="s">
        <v>156</v>
      </c>
      <c r="AU144" s="34" t="s">
        <v>156</v>
      </c>
      <c r="AV144" s="34" t="s">
        <v>156</v>
      </c>
      <c r="AW144" s="34" t="s">
        <v>156</v>
      </c>
      <c r="AX144" s="34" t="s">
        <v>156</v>
      </c>
      <c r="AY144" s="34" t="s">
        <v>156</v>
      </c>
      <c r="AZ144" s="34" t="s">
        <v>156</v>
      </c>
      <c r="BA144" s="34" t="s">
        <v>156</v>
      </c>
      <c r="BB144" s="34" t="s">
        <v>156</v>
      </c>
      <c r="BC144" s="34" t="s">
        <v>156</v>
      </c>
      <c r="BD144" s="34" t="s">
        <v>156</v>
      </c>
      <c r="BE144" s="34" t="s">
        <v>156</v>
      </c>
      <c r="BF144" s="34" t="s">
        <v>156</v>
      </c>
      <c r="BG144" s="34" t="s">
        <v>156</v>
      </c>
      <c r="BH144" s="34" t="s">
        <v>156</v>
      </c>
      <c r="BI144" s="34" t="s">
        <v>156</v>
      </c>
      <c r="BJ144" s="34" t="s">
        <v>156</v>
      </c>
      <c r="BK144" s="34" t="s">
        <v>156</v>
      </c>
      <c r="BL144" s="34" t="s">
        <v>156</v>
      </c>
      <c r="BM144" s="34" t="s">
        <v>156</v>
      </c>
      <c r="BN144" s="34" t="s">
        <v>156</v>
      </c>
      <c r="BO144" s="34" t="s">
        <v>156</v>
      </c>
      <c r="BP144" s="34" t="s">
        <v>156</v>
      </c>
      <c r="BQ144" s="34" t="s">
        <v>156</v>
      </c>
      <c r="BR144" s="35"/>
      <c r="BS144" s="20" t="s">
        <v>157</v>
      </c>
    </row>
    <row r="145" ht="16.5" spans="1:71">
      <c r="A145" s="20" t="s">
        <v>50</v>
      </c>
      <c r="B145" s="21"/>
      <c r="C145" s="51"/>
      <c r="D145" s="39" t="s">
        <v>190</v>
      </c>
      <c r="E145" s="52">
        <v>51.5</v>
      </c>
      <c r="F145" s="54">
        <v>74.99</v>
      </c>
      <c r="G145" s="25">
        <f t="shared" si="138"/>
        <v>67.491</v>
      </c>
      <c r="H145" s="25">
        <f t="shared" si="139"/>
        <v>56.2425</v>
      </c>
      <c r="I145" s="36">
        <f t="shared" si="140"/>
        <v>3.12085594886922</v>
      </c>
      <c r="J145" s="26">
        <f t="shared" si="141"/>
        <v>0.0605991446382373</v>
      </c>
      <c r="K145" s="27">
        <f t="shared" si="142"/>
        <v>62.4916666666667</v>
      </c>
      <c r="L145" s="28">
        <f t="shared" si="143"/>
        <v>0.175890118682491</v>
      </c>
      <c r="M145" s="25">
        <f t="shared" si="144"/>
        <v>10.9916666666667</v>
      </c>
      <c r="N145" s="27">
        <f t="shared" ref="N145:N162" si="157">AD145+AH145</f>
        <v>202.070796460177</v>
      </c>
      <c r="O145" s="27">
        <f t="shared" si="145"/>
        <v>0.745833333333333</v>
      </c>
      <c r="P145" s="21">
        <v>12</v>
      </c>
      <c r="Q145" s="29">
        <v>9</v>
      </c>
      <c r="R145" s="30">
        <f t="shared" si="146"/>
        <v>0.155339805825243</v>
      </c>
      <c r="S145" s="26">
        <f t="shared" si="147"/>
        <v>0.106680890785438</v>
      </c>
      <c r="T145" s="30">
        <f t="shared" si="148"/>
        <v>0.145611650485437</v>
      </c>
      <c r="U145" s="30">
        <v>0.01</v>
      </c>
      <c r="V145" s="30">
        <f t="shared" si="149"/>
        <v>0.435967198403834</v>
      </c>
      <c r="W145" s="30">
        <f t="shared" si="150"/>
        <v>0.0144822006472492</v>
      </c>
      <c r="X145" s="31">
        <v>0.178</v>
      </c>
      <c r="Y145" s="32">
        <v>8</v>
      </c>
      <c r="Z145" s="32">
        <f>F145*0.1</f>
        <v>7.499</v>
      </c>
      <c r="AA145" s="32">
        <f t="shared" si="151"/>
        <v>0.515</v>
      </c>
      <c r="AB145" s="27">
        <f t="shared" si="152"/>
        <v>9.167</v>
      </c>
      <c r="AC145" s="27">
        <v>208</v>
      </c>
      <c r="AD145" s="33">
        <f t="shared" si="153"/>
        <v>184.070796460177</v>
      </c>
      <c r="AE145" s="29">
        <f t="shared" ref="AE145:AE162" si="158">AH145/Q145</f>
        <v>2</v>
      </c>
      <c r="AF145" s="30">
        <f t="shared" si="154"/>
        <v>0.397132246947523</v>
      </c>
      <c r="AG145" s="30">
        <f t="shared" si="155"/>
        <v>0.00431499460625674</v>
      </c>
      <c r="AH145" s="29">
        <v>18</v>
      </c>
      <c r="AI145" s="30">
        <f t="shared" si="156"/>
        <v>0.247312975063342</v>
      </c>
      <c r="AJ145" s="30"/>
      <c r="AK145" s="30"/>
      <c r="AL145" s="30"/>
      <c r="AM145" s="30"/>
      <c r="AN145" s="34"/>
      <c r="AO145" s="34"/>
      <c r="AP145" s="34"/>
      <c r="AQ145" s="34"/>
      <c r="AR145" s="34"/>
      <c r="AS145" s="34"/>
      <c r="AT145" s="34" t="s">
        <v>156</v>
      </c>
      <c r="AU145" s="34" t="s">
        <v>156</v>
      </c>
      <c r="AV145" s="34" t="s">
        <v>156</v>
      </c>
      <c r="AW145" s="34" t="s">
        <v>156</v>
      </c>
      <c r="AX145" s="34" t="s">
        <v>156</v>
      </c>
      <c r="AY145" s="34" t="s">
        <v>156</v>
      </c>
      <c r="AZ145" s="34" t="s">
        <v>156</v>
      </c>
      <c r="BA145" s="34" t="s">
        <v>156</v>
      </c>
      <c r="BB145" s="34" t="s">
        <v>156</v>
      </c>
      <c r="BC145" s="34" t="s">
        <v>156</v>
      </c>
      <c r="BD145" s="34" t="s">
        <v>156</v>
      </c>
      <c r="BE145" s="34" t="s">
        <v>156</v>
      </c>
      <c r="BF145" s="34" t="s">
        <v>156</v>
      </c>
      <c r="BG145" s="34" t="s">
        <v>156</v>
      </c>
      <c r="BH145" s="34" t="s">
        <v>156</v>
      </c>
      <c r="BI145" s="34" t="s">
        <v>156</v>
      </c>
      <c r="BJ145" s="34" t="s">
        <v>156</v>
      </c>
      <c r="BK145" s="34" t="s">
        <v>156</v>
      </c>
      <c r="BL145" s="34" t="s">
        <v>156</v>
      </c>
      <c r="BM145" s="34" t="s">
        <v>156</v>
      </c>
      <c r="BN145" s="34" t="s">
        <v>156</v>
      </c>
      <c r="BO145" s="34" t="s">
        <v>156</v>
      </c>
      <c r="BP145" s="34" t="s">
        <v>156</v>
      </c>
      <c r="BQ145" s="34" t="s">
        <v>156</v>
      </c>
      <c r="BR145" s="35"/>
      <c r="BS145" s="20" t="s">
        <v>157</v>
      </c>
    </row>
    <row r="146" ht="16.5" spans="1:71">
      <c r="A146" s="20" t="s">
        <v>50</v>
      </c>
      <c r="B146" s="21"/>
      <c r="C146" s="51"/>
      <c r="D146" s="39" t="s">
        <v>191</v>
      </c>
      <c r="E146" s="52">
        <v>51.5</v>
      </c>
      <c r="F146" s="54">
        <v>74.99</v>
      </c>
      <c r="G146" s="25">
        <f t="shared" si="138"/>
        <v>63.7415</v>
      </c>
      <c r="H146" s="25">
        <f t="shared" si="139"/>
        <v>53.1179166666667</v>
      </c>
      <c r="I146" s="25">
        <f t="shared" si="140"/>
        <v>-0.628644051130779</v>
      </c>
      <c r="J146" s="26">
        <f t="shared" si="141"/>
        <v>-0.0122066806044811</v>
      </c>
      <c r="K146" s="27">
        <f t="shared" si="142"/>
        <v>62.4916666666667</v>
      </c>
      <c r="L146" s="28">
        <f t="shared" si="143"/>
        <v>0.175890118682491</v>
      </c>
      <c r="M146" s="25">
        <f t="shared" si="144"/>
        <v>10.9916666666667</v>
      </c>
      <c r="N146" s="27">
        <f t="shared" si="157"/>
        <v>202.070796460177</v>
      </c>
      <c r="O146" s="27">
        <f t="shared" si="145"/>
        <v>0.745833333333333</v>
      </c>
      <c r="P146" s="21">
        <v>12</v>
      </c>
      <c r="Q146" s="29">
        <v>9</v>
      </c>
      <c r="R146" s="30">
        <f t="shared" si="146"/>
        <v>0.155339805825243</v>
      </c>
      <c r="S146" s="26">
        <f t="shared" si="147"/>
        <v>0.106680890785438</v>
      </c>
      <c r="T146" s="30">
        <f t="shared" si="148"/>
        <v>0.218417475728155</v>
      </c>
      <c r="U146" s="30">
        <v>0.01</v>
      </c>
      <c r="V146" s="30">
        <f t="shared" si="149"/>
        <v>0.435967198403834</v>
      </c>
      <c r="W146" s="30">
        <f t="shared" si="150"/>
        <v>0.0144822006472492</v>
      </c>
      <c r="X146" s="31">
        <v>0.178</v>
      </c>
      <c r="Y146" s="32">
        <v>8</v>
      </c>
      <c r="Z146" s="32">
        <f>F146*0.15</f>
        <v>11.2485</v>
      </c>
      <c r="AA146" s="32">
        <f t="shared" si="151"/>
        <v>0.515</v>
      </c>
      <c r="AB146" s="27">
        <f t="shared" si="152"/>
        <v>9.167</v>
      </c>
      <c r="AC146" s="27">
        <v>208</v>
      </c>
      <c r="AD146" s="33">
        <f t="shared" si="153"/>
        <v>184.070796460177</v>
      </c>
      <c r="AE146" s="29">
        <f t="shared" si="158"/>
        <v>2</v>
      </c>
      <c r="AF146" s="30">
        <f t="shared" si="154"/>
        <v>0.397132246947523</v>
      </c>
      <c r="AG146" s="30">
        <f t="shared" si="155"/>
        <v>0.00431499460625674</v>
      </c>
      <c r="AH146" s="29">
        <v>18</v>
      </c>
      <c r="AI146" s="30">
        <f t="shared" si="156"/>
        <v>0.203037267714127</v>
      </c>
      <c r="AJ146" s="30"/>
      <c r="AK146" s="30"/>
      <c r="AL146" s="30"/>
      <c r="AM146" s="30"/>
      <c r="AN146" s="34"/>
      <c r="AO146" s="34"/>
      <c r="AP146" s="34"/>
      <c r="AQ146" s="34"/>
      <c r="AR146" s="34"/>
      <c r="AS146" s="34"/>
      <c r="AT146" s="34" t="s">
        <v>156</v>
      </c>
      <c r="AU146" s="34" t="s">
        <v>156</v>
      </c>
      <c r="AV146" s="34" t="s">
        <v>156</v>
      </c>
      <c r="AW146" s="34" t="s">
        <v>156</v>
      </c>
      <c r="AX146" s="34" t="s">
        <v>156</v>
      </c>
      <c r="AY146" s="34" t="s">
        <v>156</v>
      </c>
      <c r="AZ146" s="34" t="s">
        <v>156</v>
      </c>
      <c r="BA146" s="34" t="s">
        <v>156</v>
      </c>
      <c r="BB146" s="34" t="s">
        <v>156</v>
      </c>
      <c r="BC146" s="34" t="s">
        <v>156</v>
      </c>
      <c r="BD146" s="34" t="s">
        <v>156</v>
      </c>
      <c r="BE146" s="34" t="s">
        <v>156</v>
      </c>
      <c r="BF146" s="34" t="s">
        <v>156</v>
      </c>
      <c r="BG146" s="34" t="s">
        <v>156</v>
      </c>
      <c r="BH146" s="34" t="s">
        <v>156</v>
      </c>
      <c r="BI146" s="34" t="s">
        <v>156</v>
      </c>
      <c r="BJ146" s="34" t="s">
        <v>156</v>
      </c>
      <c r="BK146" s="34" t="s">
        <v>156</v>
      </c>
      <c r="BL146" s="34" t="s">
        <v>156</v>
      </c>
      <c r="BM146" s="34" t="s">
        <v>156</v>
      </c>
      <c r="BN146" s="34" t="s">
        <v>156</v>
      </c>
      <c r="BO146" s="34" t="s">
        <v>156</v>
      </c>
      <c r="BP146" s="34" t="s">
        <v>156</v>
      </c>
      <c r="BQ146" s="34" t="s">
        <v>156</v>
      </c>
      <c r="BR146" s="35"/>
      <c r="BS146" s="20" t="s">
        <v>157</v>
      </c>
    </row>
    <row r="147" ht="16.5" spans="1:71">
      <c r="A147" s="21" t="s">
        <v>37</v>
      </c>
      <c r="B147" s="21"/>
      <c r="C147" s="51"/>
      <c r="D147" s="39" t="s">
        <v>189</v>
      </c>
      <c r="E147" s="52">
        <v>56.5</v>
      </c>
      <c r="F147" s="53">
        <v>81.99</v>
      </c>
      <c r="G147" s="25">
        <f t="shared" si="138"/>
        <v>81.99</v>
      </c>
      <c r="H147" s="25">
        <f t="shared" si="139"/>
        <v>68.325</v>
      </c>
      <c r="I147" s="25">
        <f t="shared" si="140"/>
        <v>12.0333171091445</v>
      </c>
      <c r="J147" s="26">
        <f t="shared" si="141"/>
        <v>0.212979063878664</v>
      </c>
      <c r="K147" s="27">
        <f t="shared" si="142"/>
        <v>68.325</v>
      </c>
      <c r="L147" s="28">
        <f t="shared" si="143"/>
        <v>0.173069886571533</v>
      </c>
      <c r="M147" s="25">
        <f t="shared" si="144"/>
        <v>11.825</v>
      </c>
      <c r="N147" s="27">
        <f>AD147+AH148</f>
        <v>197.070796460177</v>
      </c>
      <c r="O147" s="27">
        <f t="shared" si="145"/>
        <v>0.645833333333333</v>
      </c>
      <c r="P147" s="20">
        <v>12</v>
      </c>
      <c r="Q147" s="29">
        <v>8</v>
      </c>
      <c r="R147" s="30">
        <f t="shared" si="146"/>
        <v>0.141592920353982</v>
      </c>
      <c r="S147" s="26">
        <f t="shared" si="147"/>
        <v>0.0975728747408221</v>
      </c>
      <c r="T147" s="30">
        <f t="shared" si="148"/>
        <v>0</v>
      </c>
      <c r="U147" s="30">
        <v>0.01</v>
      </c>
      <c r="V147" s="30">
        <f t="shared" si="149"/>
        <v>0.435997337301277</v>
      </c>
      <c r="W147" s="30">
        <f t="shared" si="150"/>
        <v>0.0114306784660767</v>
      </c>
      <c r="X147" s="31">
        <v>0.188</v>
      </c>
      <c r="Y147" s="32">
        <v>8</v>
      </c>
      <c r="Z147" s="32">
        <v>0</v>
      </c>
      <c r="AA147" s="32">
        <f t="shared" si="151"/>
        <v>0.565</v>
      </c>
      <c r="AB147" s="27">
        <f t="shared" si="152"/>
        <v>10.622</v>
      </c>
      <c r="AC147" s="27">
        <v>208</v>
      </c>
      <c r="AD147" s="33">
        <f t="shared" si="153"/>
        <v>184.070796460177</v>
      </c>
      <c r="AE147" s="29">
        <f>AH148/Q147</f>
        <v>1.625</v>
      </c>
      <c r="AF147" s="30">
        <f t="shared" si="154"/>
        <v>0.407236275354374</v>
      </c>
      <c r="AG147" s="30">
        <f t="shared" si="155"/>
        <v>0.00359513274336283</v>
      </c>
      <c r="AH147" s="29">
        <v>13</v>
      </c>
      <c r="AI147" s="30">
        <f t="shared" si="156"/>
        <v>0.328532747896085</v>
      </c>
      <c r="AJ147" s="30"/>
      <c r="AK147" s="30"/>
      <c r="AL147" s="30"/>
      <c r="AM147" s="30"/>
      <c r="AN147" s="34"/>
      <c r="AO147" s="34"/>
      <c r="AP147" s="34"/>
      <c r="AQ147" s="34"/>
      <c r="AR147" s="34"/>
      <c r="AS147" s="34"/>
      <c r="AT147" s="34" t="s">
        <v>156</v>
      </c>
      <c r="AU147" s="34" t="s">
        <v>156</v>
      </c>
      <c r="AV147" s="34" t="s">
        <v>156</v>
      </c>
      <c r="AW147" s="34" t="s">
        <v>156</v>
      </c>
      <c r="AX147" s="34" t="s">
        <v>156</v>
      </c>
      <c r="AY147" s="34" t="s">
        <v>156</v>
      </c>
      <c r="AZ147" s="34" t="s">
        <v>156</v>
      </c>
      <c r="BA147" s="34" t="s">
        <v>156</v>
      </c>
      <c r="BB147" s="34" t="s">
        <v>156</v>
      </c>
      <c r="BC147" s="34" t="s">
        <v>156</v>
      </c>
      <c r="BD147" s="34" t="s">
        <v>156</v>
      </c>
      <c r="BE147" s="34" t="s">
        <v>156</v>
      </c>
      <c r="BF147" s="34" t="s">
        <v>156</v>
      </c>
      <c r="BG147" s="34" t="s">
        <v>156</v>
      </c>
      <c r="BH147" s="34" t="s">
        <v>156</v>
      </c>
      <c r="BI147" s="34" t="s">
        <v>156</v>
      </c>
      <c r="BJ147" s="34" t="s">
        <v>156</v>
      </c>
      <c r="BK147" s="34" t="s">
        <v>156</v>
      </c>
      <c r="BL147" s="34" t="s">
        <v>156</v>
      </c>
      <c r="BM147" s="34" t="s">
        <v>156</v>
      </c>
      <c r="BN147" s="34" t="s">
        <v>156</v>
      </c>
      <c r="BO147" s="34" t="s">
        <v>156</v>
      </c>
      <c r="BP147" s="34" t="s">
        <v>156</v>
      </c>
      <c r="BQ147" s="34" t="s">
        <v>156</v>
      </c>
      <c r="BR147" s="35"/>
      <c r="BS147" s="20" t="s">
        <v>157</v>
      </c>
    </row>
    <row r="148" ht="16.5" spans="1:71">
      <c r="A148" s="21" t="s">
        <v>37</v>
      </c>
      <c r="B148" s="21"/>
      <c r="C148" s="51"/>
      <c r="D148" s="39" t="s">
        <v>190</v>
      </c>
      <c r="E148" s="52">
        <v>56.5</v>
      </c>
      <c r="F148" s="53">
        <v>81.99</v>
      </c>
      <c r="G148" s="25">
        <f t="shared" si="138"/>
        <v>73.791</v>
      </c>
      <c r="H148" s="25">
        <f t="shared" si="139"/>
        <v>61.4925</v>
      </c>
      <c r="I148" s="36">
        <f t="shared" si="140"/>
        <v>3.83431710914454</v>
      </c>
      <c r="J148" s="26">
        <f t="shared" si="141"/>
        <v>0.0678640196308768</v>
      </c>
      <c r="K148" s="27">
        <f t="shared" si="142"/>
        <v>68.325</v>
      </c>
      <c r="L148" s="28">
        <f t="shared" si="143"/>
        <v>0.173069886571533</v>
      </c>
      <c r="M148" s="25">
        <f t="shared" si="144"/>
        <v>11.825</v>
      </c>
      <c r="N148" s="27">
        <f t="shared" si="157"/>
        <v>197.070796460177</v>
      </c>
      <c r="O148" s="27">
        <f t="shared" si="145"/>
        <v>0.645833333333333</v>
      </c>
      <c r="P148" s="21">
        <v>12</v>
      </c>
      <c r="Q148" s="29">
        <v>8</v>
      </c>
      <c r="R148" s="30">
        <f t="shared" si="146"/>
        <v>0.141592920353982</v>
      </c>
      <c r="S148" s="26">
        <f t="shared" si="147"/>
        <v>0.0975728747408221</v>
      </c>
      <c r="T148" s="30">
        <f t="shared" si="148"/>
        <v>0.145115044247788</v>
      </c>
      <c r="U148" s="30">
        <v>0.01</v>
      </c>
      <c r="V148" s="30">
        <f t="shared" si="149"/>
        <v>0.435997337301277</v>
      </c>
      <c r="W148" s="30">
        <f t="shared" si="150"/>
        <v>0.0114306784660767</v>
      </c>
      <c r="X148" s="31">
        <v>0.188</v>
      </c>
      <c r="Y148" s="32">
        <v>8</v>
      </c>
      <c r="Z148" s="32">
        <f>F148*0.1</f>
        <v>8.199</v>
      </c>
      <c r="AA148" s="32">
        <f t="shared" si="151"/>
        <v>0.565</v>
      </c>
      <c r="AB148" s="27">
        <f t="shared" si="152"/>
        <v>10.622</v>
      </c>
      <c r="AC148" s="27">
        <v>208</v>
      </c>
      <c r="AD148" s="33">
        <f t="shared" si="153"/>
        <v>184.070796460177</v>
      </c>
      <c r="AE148" s="29">
        <f t="shared" si="158"/>
        <v>1.625</v>
      </c>
      <c r="AF148" s="30">
        <f t="shared" si="154"/>
        <v>0.407236275354374</v>
      </c>
      <c r="AG148" s="30">
        <f t="shared" si="155"/>
        <v>0.00359513274336283</v>
      </c>
      <c r="AH148" s="29">
        <v>13</v>
      </c>
      <c r="AI148" s="30">
        <f t="shared" si="156"/>
        <v>0.253925275440094</v>
      </c>
      <c r="AJ148" s="30"/>
      <c r="AK148" s="30"/>
      <c r="AL148" s="30"/>
      <c r="AM148" s="30"/>
      <c r="AN148" s="34"/>
      <c r="AO148" s="34"/>
      <c r="AP148" s="34"/>
      <c r="AQ148" s="34"/>
      <c r="AR148" s="34"/>
      <c r="AS148" s="34"/>
      <c r="AT148" s="34" t="s">
        <v>156</v>
      </c>
      <c r="AU148" s="34" t="s">
        <v>156</v>
      </c>
      <c r="AV148" s="34" t="s">
        <v>156</v>
      </c>
      <c r="AW148" s="34" t="s">
        <v>156</v>
      </c>
      <c r="AX148" s="34" t="s">
        <v>156</v>
      </c>
      <c r="AY148" s="34" t="s">
        <v>156</v>
      </c>
      <c r="AZ148" s="34" t="s">
        <v>156</v>
      </c>
      <c r="BA148" s="34" t="s">
        <v>156</v>
      </c>
      <c r="BB148" s="34" t="s">
        <v>156</v>
      </c>
      <c r="BC148" s="34" t="s">
        <v>156</v>
      </c>
      <c r="BD148" s="34" t="s">
        <v>156</v>
      </c>
      <c r="BE148" s="34" t="s">
        <v>156</v>
      </c>
      <c r="BF148" s="34" t="s">
        <v>156</v>
      </c>
      <c r="BG148" s="34" t="s">
        <v>156</v>
      </c>
      <c r="BH148" s="34" t="s">
        <v>156</v>
      </c>
      <c r="BI148" s="34" t="s">
        <v>156</v>
      </c>
      <c r="BJ148" s="34" t="s">
        <v>156</v>
      </c>
      <c r="BK148" s="34" t="s">
        <v>156</v>
      </c>
      <c r="BL148" s="34" t="s">
        <v>156</v>
      </c>
      <c r="BM148" s="34" t="s">
        <v>156</v>
      </c>
      <c r="BN148" s="34" t="s">
        <v>156</v>
      </c>
      <c r="BO148" s="34" t="s">
        <v>156</v>
      </c>
      <c r="BP148" s="34" t="s">
        <v>156</v>
      </c>
      <c r="BQ148" s="34" t="s">
        <v>156</v>
      </c>
      <c r="BR148" s="35"/>
      <c r="BS148" s="20" t="s">
        <v>157</v>
      </c>
    </row>
    <row r="149" ht="16.5" spans="1:71">
      <c r="A149" s="21" t="s">
        <v>37</v>
      </c>
      <c r="B149" s="21"/>
      <c r="C149" s="51"/>
      <c r="D149" s="39" t="s">
        <v>191</v>
      </c>
      <c r="E149" s="52">
        <v>56.5</v>
      </c>
      <c r="F149" s="53">
        <v>81.99</v>
      </c>
      <c r="G149" s="25">
        <f t="shared" si="138"/>
        <v>69.6915</v>
      </c>
      <c r="H149" s="25">
        <f t="shared" si="139"/>
        <v>58.07625</v>
      </c>
      <c r="I149" s="25">
        <f t="shared" si="140"/>
        <v>-0.265182890855459</v>
      </c>
      <c r="J149" s="26">
        <f t="shared" si="141"/>
        <v>-0.00469350249301697</v>
      </c>
      <c r="K149" s="27">
        <f t="shared" si="142"/>
        <v>68.325</v>
      </c>
      <c r="L149" s="28">
        <f t="shared" si="143"/>
        <v>0.173069886571533</v>
      </c>
      <c r="M149" s="25">
        <f t="shared" si="144"/>
        <v>11.825</v>
      </c>
      <c r="N149" s="27">
        <f t="shared" si="157"/>
        <v>197.070796460177</v>
      </c>
      <c r="O149" s="27">
        <f t="shared" si="145"/>
        <v>0.645833333333333</v>
      </c>
      <c r="P149" s="21">
        <v>12</v>
      </c>
      <c r="Q149" s="29">
        <v>8</v>
      </c>
      <c r="R149" s="30">
        <f t="shared" si="146"/>
        <v>0.141592920353982</v>
      </c>
      <c r="S149" s="26">
        <f t="shared" si="147"/>
        <v>0.0975728747408221</v>
      </c>
      <c r="T149" s="30">
        <f t="shared" si="148"/>
        <v>0.217672566371681</v>
      </c>
      <c r="U149" s="30">
        <v>0.01</v>
      </c>
      <c r="V149" s="30">
        <f t="shared" si="149"/>
        <v>0.435997337301277</v>
      </c>
      <c r="W149" s="30">
        <f t="shared" si="150"/>
        <v>0.0114306784660767</v>
      </c>
      <c r="X149" s="31">
        <v>0.188</v>
      </c>
      <c r="Y149" s="32">
        <v>8</v>
      </c>
      <c r="Z149" s="32">
        <f>F149*0.15</f>
        <v>12.2985</v>
      </c>
      <c r="AA149" s="32">
        <f t="shared" si="151"/>
        <v>0.565</v>
      </c>
      <c r="AB149" s="27">
        <f t="shared" si="152"/>
        <v>10.622</v>
      </c>
      <c r="AC149" s="27">
        <v>208</v>
      </c>
      <c r="AD149" s="33">
        <f t="shared" si="153"/>
        <v>184.070796460177</v>
      </c>
      <c r="AE149" s="29">
        <f t="shared" si="158"/>
        <v>1.625</v>
      </c>
      <c r="AF149" s="30">
        <f t="shared" si="154"/>
        <v>0.407236275354374</v>
      </c>
      <c r="AG149" s="30">
        <f t="shared" si="155"/>
        <v>0.00359513274336283</v>
      </c>
      <c r="AH149" s="29">
        <v>13</v>
      </c>
      <c r="AI149" s="30">
        <f t="shared" si="156"/>
        <v>0.21003852693657</v>
      </c>
      <c r="AJ149" s="30"/>
      <c r="AK149" s="30"/>
      <c r="AL149" s="30"/>
      <c r="AM149" s="30"/>
      <c r="AN149" s="34"/>
      <c r="AO149" s="34"/>
      <c r="AP149" s="34"/>
      <c r="AQ149" s="34"/>
      <c r="AR149" s="34"/>
      <c r="AS149" s="34"/>
      <c r="AT149" s="34" t="s">
        <v>156</v>
      </c>
      <c r="AU149" s="34" t="s">
        <v>156</v>
      </c>
      <c r="AV149" s="34" t="s">
        <v>156</v>
      </c>
      <c r="AW149" s="34" t="s">
        <v>156</v>
      </c>
      <c r="AX149" s="34" t="s">
        <v>156</v>
      </c>
      <c r="AY149" s="34" t="s">
        <v>156</v>
      </c>
      <c r="AZ149" s="34" t="s">
        <v>156</v>
      </c>
      <c r="BA149" s="34" t="s">
        <v>156</v>
      </c>
      <c r="BB149" s="34" t="s">
        <v>156</v>
      </c>
      <c r="BC149" s="34" t="s">
        <v>156</v>
      </c>
      <c r="BD149" s="34" t="s">
        <v>156</v>
      </c>
      <c r="BE149" s="34" t="s">
        <v>156</v>
      </c>
      <c r="BF149" s="34" t="s">
        <v>156</v>
      </c>
      <c r="BG149" s="34" t="s">
        <v>156</v>
      </c>
      <c r="BH149" s="34" t="s">
        <v>156</v>
      </c>
      <c r="BI149" s="34" t="s">
        <v>156</v>
      </c>
      <c r="BJ149" s="34" t="s">
        <v>156</v>
      </c>
      <c r="BK149" s="34" t="s">
        <v>156</v>
      </c>
      <c r="BL149" s="34" t="s">
        <v>156</v>
      </c>
      <c r="BM149" s="34" t="s">
        <v>156</v>
      </c>
      <c r="BN149" s="34" t="s">
        <v>156</v>
      </c>
      <c r="BO149" s="34" t="s">
        <v>156</v>
      </c>
      <c r="BP149" s="34" t="s">
        <v>156</v>
      </c>
      <c r="BQ149" s="34" t="s">
        <v>156</v>
      </c>
      <c r="BR149" s="35"/>
      <c r="BS149" s="20" t="s">
        <v>157</v>
      </c>
    </row>
    <row r="150" ht="16.5" spans="1:71">
      <c r="A150" s="21" t="s">
        <v>43</v>
      </c>
      <c r="B150" s="21"/>
      <c r="C150" s="51"/>
      <c r="D150" s="39" t="s">
        <v>189</v>
      </c>
      <c r="E150" s="52">
        <v>56.5</v>
      </c>
      <c r="F150" s="53">
        <v>81.99</v>
      </c>
      <c r="G150" s="25">
        <f t="shared" si="138"/>
        <v>81.99</v>
      </c>
      <c r="H150" s="25">
        <f t="shared" si="139"/>
        <v>68.325</v>
      </c>
      <c r="I150" s="25">
        <f t="shared" si="140"/>
        <v>11.4916504424779</v>
      </c>
      <c r="J150" s="26">
        <f t="shared" si="141"/>
        <v>0.203392043229697</v>
      </c>
      <c r="K150" s="27">
        <f t="shared" si="142"/>
        <v>68.325</v>
      </c>
      <c r="L150" s="28">
        <f t="shared" si="143"/>
        <v>0.173069886571533</v>
      </c>
      <c r="M150" s="25">
        <f t="shared" si="144"/>
        <v>11.825</v>
      </c>
      <c r="N150" s="27">
        <f t="shared" si="157"/>
        <v>197.070796460177</v>
      </c>
      <c r="O150" s="27">
        <f t="shared" si="145"/>
        <v>1.1875</v>
      </c>
      <c r="P150" s="21">
        <v>12</v>
      </c>
      <c r="Q150" s="29">
        <v>8</v>
      </c>
      <c r="R150" s="30">
        <f t="shared" si="146"/>
        <v>0.141592920353982</v>
      </c>
      <c r="S150" s="26">
        <f t="shared" si="147"/>
        <v>0.0975728747408221</v>
      </c>
      <c r="T150" s="30">
        <f t="shared" si="148"/>
        <v>0</v>
      </c>
      <c r="U150" s="30">
        <v>0.01</v>
      </c>
      <c r="V150" s="30">
        <f t="shared" si="149"/>
        <v>0.435997337301277</v>
      </c>
      <c r="W150" s="30">
        <f t="shared" si="150"/>
        <v>0.0210176991150442</v>
      </c>
      <c r="X150" s="31">
        <v>0.188</v>
      </c>
      <c r="Y150" s="32">
        <v>8</v>
      </c>
      <c r="Z150" s="32">
        <v>0</v>
      </c>
      <c r="AA150" s="32">
        <f t="shared" si="151"/>
        <v>0.565</v>
      </c>
      <c r="AB150" s="27">
        <f t="shared" si="152"/>
        <v>10.622</v>
      </c>
      <c r="AC150" s="27">
        <v>208</v>
      </c>
      <c r="AD150" s="33">
        <f t="shared" si="153"/>
        <v>184.070796460177</v>
      </c>
      <c r="AE150" s="29">
        <f t="shared" si="158"/>
        <v>1.625</v>
      </c>
      <c r="AF150" s="30">
        <f t="shared" si="154"/>
        <v>0.407236275354374</v>
      </c>
      <c r="AG150" s="30">
        <f t="shared" si="155"/>
        <v>0.00359513274336283</v>
      </c>
      <c r="AH150" s="29">
        <v>13</v>
      </c>
      <c r="AI150" s="30">
        <f t="shared" si="156"/>
        <v>0.328532747896085</v>
      </c>
      <c r="AJ150" s="30"/>
      <c r="AK150" s="30"/>
      <c r="AL150" s="30"/>
      <c r="AM150" s="30"/>
      <c r="AN150" s="34"/>
      <c r="AO150" s="34"/>
      <c r="AP150" s="34"/>
      <c r="AQ150" s="34"/>
      <c r="AR150" s="34"/>
      <c r="AS150" s="34"/>
      <c r="AT150" s="34" t="s">
        <v>156</v>
      </c>
      <c r="AU150" s="34" t="s">
        <v>156</v>
      </c>
      <c r="AV150" s="34" t="s">
        <v>156</v>
      </c>
      <c r="AW150" s="34" t="s">
        <v>156</v>
      </c>
      <c r="AX150" s="34" t="s">
        <v>156</v>
      </c>
      <c r="AY150" s="34" t="s">
        <v>156</v>
      </c>
      <c r="AZ150" s="34" t="s">
        <v>156</v>
      </c>
      <c r="BA150" s="34" t="s">
        <v>156</v>
      </c>
      <c r="BB150" s="34" t="s">
        <v>156</v>
      </c>
      <c r="BC150" s="34" t="s">
        <v>156</v>
      </c>
      <c r="BD150" s="34" t="s">
        <v>156</v>
      </c>
      <c r="BE150" s="34" t="s">
        <v>156</v>
      </c>
      <c r="BF150" s="34" t="s">
        <v>156</v>
      </c>
      <c r="BG150" s="34" t="s">
        <v>156</v>
      </c>
      <c r="BH150" s="34" t="s">
        <v>156</v>
      </c>
      <c r="BI150" s="34" t="s">
        <v>156</v>
      </c>
      <c r="BJ150" s="34" t="s">
        <v>156</v>
      </c>
      <c r="BK150" s="34" t="s">
        <v>156</v>
      </c>
      <c r="BL150" s="34" t="s">
        <v>156</v>
      </c>
      <c r="BM150" s="34" t="s">
        <v>156</v>
      </c>
      <c r="BN150" s="34" t="s">
        <v>156</v>
      </c>
      <c r="BO150" s="34" t="s">
        <v>156</v>
      </c>
      <c r="BP150" s="34" t="s">
        <v>156</v>
      </c>
      <c r="BQ150" s="34" t="s">
        <v>156</v>
      </c>
      <c r="BR150" s="35"/>
      <c r="BS150" s="20" t="s">
        <v>157</v>
      </c>
    </row>
    <row r="151" ht="16.5" spans="1:71">
      <c r="A151" s="21" t="s">
        <v>43</v>
      </c>
      <c r="B151" s="21"/>
      <c r="C151" s="51"/>
      <c r="D151" s="39" t="s">
        <v>190</v>
      </c>
      <c r="E151" s="52">
        <v>56.5</v>
      </c>
      <c r="F151" s="53">
        <v>81.99</v>
      </c>
      <c r="G151" s="25">
        <f t="shared" si="138"/>
        <v>73.791</v>
      </c>
      <c r="H151" s="25">
        <f t="shared" si="139"/>
        <v>61.4925</v>
      </c>
      <c r="I151" s="36">
        <f t="shared" si="140"/>
        <v>3.29265044247787</v>
      </c>
      <c r="J151" s="26">
        <f t="shared" si="141"/>
        <v>0.0582769989819093</v>
      </c>
      <c r="K151" s="27">
        <f t="shared" si="142"/>
        <v>68.325</v>
      </c>
      <c r="L151" s="28">
        <f t="shared" si="143"/>
        <v>0.173069886571533</v>
      </c>
      <c r="M151" s="25">
        <f t="shared" si="144"/>
        <v>11.825</v>
      </c>
      <c r="N151" s="27">
        <f t="shared" si="157"/>
        <v>197.070796460177</v>
      </c>
      <c r="O151" s="27">
        <f t="shared" si="145"/>
        <v>1.1875</v>
      </c>
      <c r="P151" s="21">
        <v>12</v>
      </c>
      <c r="Q151" s="29">
        <v>8</v>
      </c>
      <c r="R151" s="30">
        <f t="shared" si="146"/>
        <v>0.141592920353982</v>
      </c>
      <c r="S151" s="26">
        <f t="shared" si="147"/>
        <v>0.0975728747408221</v>
      </c>
      <c r="T151" s="30">
        <f t="shared" si="148"/>
        <v>0.145115044247788</v>
      </c>
      <c r="U151" s="30">
        <v>0.01</v>
      </c>
      <c r="V151" s="30">
        <f t="shared" si="149"/>
        <v>0.435997337301277</v>
      </c>
      <c r="W151" s="30">
        <f t="shared" si="150"/>
        <v>0.0210176991150442</v>
      </c>
      <c r="X151" s="31">
        <v>0.188</v>
      </c>
      <c r="Y151" s="32">
        <v>8</v>
      </c>
      <c r="Z151" s="32">
        <f>F151*0.1</f>
        <v>8.199</v>
      </c>
      <c r="AA151" s="32">
        <f t="shared" si="151"/>
        <v>0.565</v>
      </c>
      <c r="AB151" s="27">
        <f t="shared" si="152"/>
        <v>10.622</v>
      </c>
      <c r="AC151" s="27">
        <v>208</v>
      </c>
      <c r="AD151" s="33">
        <f t="shared" si="153"/>
        <v>184.070796460177</v>
      </c>
      <c r="AE151" s="29">
        <f t="shared" si="158"/>
        <v>1.625</v>
      </c>
      <c r="AF151" s="30">
        <f t="shared" si="154"/>
        <v>0.407236275354374</v>
      </c>
      <c r="AG151" s="30">
        <f t="shared" si="155"/>
        <v>0.00359513274336283</v>
      </c>
      <c r="AH151" s="29">
        <v>13</v>
      </c>
      <c r="AI151" s="30">
        <f t="shared" si="156"/>
        <v>0.253925275440094</v>
      </c>
      <c r="AJ151" s="30"/>
      <c r="AK151" s="30"/>
      <c r="AL151" s="30"/>
      <c r="AM151" s="30"/>
      <c r="AN151" s="34"/>
      <c r="AO151" s="34"/>
      <c r="AP151" s="34"/>
      <c r="AQ151" s="34"/>
      <c r="AR151" s="34"/>
      <c r="AS151" s="34"/>
      <c r="AT151" s="34" t="s">
        <v>156</v>
      </c>
      <c r="AU151" s="34" t="s">
        <v>156</v>
      </c>
      <c r="AV151" s="34" t="s">
        <v>156</v>
      </c>
      <c r="AW151" s="34" t="s">
        <v>156</v>
      </c>
      <c r="AX151" s="34" t="s">
        <v>156</v>
      </c>
      <c r="AY151" s="34" t="s">
        <v>156</v>
      </c>
      <c r="AZ151" s="34" t="s">
        <v>156</v>
      </c>
      <c r="BA151" s="34" t="s">
        <v>156</v>
      </c>
      <c r="BB151" s="34" t="s">
        <v>156</v>
      </c>
      <c r="BC151" s="34" t="s">
        <v>156</v>
      </c>
      <c r="BD151" s="34" t="s">
        <v>156</v>
      </c>
      <c r="BE151" s="34" t="s">
        <v>156</v>
      </c>
      <c r="BF151" s="34" t="s">
        <v>156</v>
      </c>
      <c r="BG151" s="34" t="s">
        <v>156</v>
      </c>
      <c r="BH151" s="34" t="s">
        <v>156</v>
      </c>
      <c r="BI151" s="34" t="s">
        <v>156</v>
      </c>
      <c r="BJ151" s="34" t="s">
        <v>156</v>
      </c>
      <c r="BK151" s="34" t="s">
        <v>156</v>
      </c>
      <c r="BL151" s="34" t="s">
        <v>156</v>
      </c>
      <c r="BM151" s="34" t="s">
        <v>156</v>
      </c>
      <c r="BN151" s="34" t="s">
        <v>156</v>
      </c>
      <c r="BO151" s="34" t="s">
        <v>156</v>
      </c>
      <c r="BP151" s="34" t="s">
        <v>156</v>
      </c>
      <c r="BQ151" s="34" t="s">
        <v>156</v>
      </c>
      <c r="BR151" s="35"/>
      <c r="BS151" s="20" t="s">
        <v>157</v>
      </c>
    </row>
    <row r="152" ht="16.5" spans="1:71">
      <c r="A152" s="21" t="s">
        <v>43</v>
      </c>
      <c r="B152" s="21"/>
      <c r="C152" s="51"/>
      <c r="D152" s="39" t="s">
        <v>191</v>
      </c>
      <c r="E152" s="52">
        <v>56.5</v>
      </c>
      <c r="F152" s="53">
        <v>81.99</v>
      </c>
      <c r="G152" s="25">
        <f t="shared" si="138"/>
        <v>69.6915</v>
      </c>
      <c r="H152" s="25">
        <f t="shared" si="139"/>
        <v>58.07625</v>
      </c>
      <c r="I152" s="25">
        <f t="shared" si="140"/>
        <v>-0.806849557522125</v>
      </c>
      <c r="J152" s="26">
        <f t="shared" si="141"/>
        <v>-0.0142805231419845</v>
      </c>
      <c r="K152" s="27">
        <f t="shared" si="142"/>
        <v>68.325</v>
      </c>
      <c r="L152" s="28">
        <f t="shared" si="143"/>
        <v>0.173069886571533</v>
      </c>
      <c r="M152" s="25">
        <f t="shared" si="144"/>
        <v>11.825</v>
      </c>
      <c r="N152" s="27">
        <f t="shared" si="157"/>
        <v>197.070796460177</v>
      </c>
      <c r="O152" s="27">
        <f t="shared" si="145"/>
        <v>1.1875</v>
      </c>
      <c r="P152" s="21">
        <v>12</v>
      </c>
      <c r="Q152" s="29">
        <v>8</v>
      </c>
      <c r="R152" s="30">
        <f t="shared" si="146"/>
        <v>0.141592920353982</v>
      </c>
      <c r="S152" s="26">
        <f t="shared" si="147"/>
        <v>0.0975728747408221</v>
      </c>
      <c r="T152" s="30">
        <f t="shared" si="148"/>
        <v>0.217672566371681</v>
      </c>
      <c r="U152" s="30">
        <v>0.01</v>
      </c>
      <c r="V152" s="30">
        <f t="shared" si="149"/>
        <v>0.435997337301277</v>
      </c>
      <c r="W152" s="30">
        <f t="shared" si="150"/>
        <v>0.0210176991150442</v>
      </c>
      <c r="X152" s="31">
        <v>0.188</v>
      </c>
      <c r="Y152" s="32">
        <v>8</v>
      </c>
      <c r="Z152" s="32">
        <f>F152*0.15</f>
        <v>12.2985</v>
      </c>
      <c r="AA152" s="32">
        <f t="shared" si="151"/>
        <v>0.565</v>
      </c>
      <c r="AB152" s="27">
        <f t="shared" si="152"/>
        <v>10.622</v>
      </c>
      <c r="AC152" s="27">
        <v>208</v>
      </c>
      <c r="AD152" s="33">
        <f t="shared" si="153"/>
        <v>184.070796460177</v>
      </c>
      <c r="AE152" s="29">
        <f t="shared" si="158"/>
        <v>1.625</v>
      </c>
      <c r="AF152" s="30">
        <f t="shared" si="154"/>
        <v>0.407236275354374</v>
      </c>
      <c r="AG152" s="30">
        <f t="shared" si="155"/>
        <v>0.00359513274336283</v>
      </c>
      <c r="AH152" s="29">
        <v>13</v>
      </c>
      <c r="AI152" s="30">
        <f t="shared" ref="AI152:AI162" si="159">(K152-E152+AB152)/(K152-Z152)</f>
        <v>0.400649692556201</v>
      </c>
      <c r="AJ152" s="30"/>
      <c r="AK152" s="30"/>
      <c r="AL152" s="30"/>
      <c r="AM152" s="30"/>
      <c r="AN152" s="34"/>
      <c r="AO152" s="34"/>
      <c r="AP152" s="34"/>
      <c r="AQ152" s="34"/>
      <c r="AR152" s="34"/>
      <c r="AS152" s="34"/>
      <c r="AT152" s="34" t="s">
        <v>156</v>
      </c>
      <c r="AU152" s="34" t="s">
        <v>156</v>
      </c>
      <c r="AV152" s="34" t="s">
        <v>156</v>
      </c>
      <c r="AW152" s="34" t="s">
        <v>156</v>
      </c>
      <c r="AX152" s="34" t="s">
        <v>156</v>
      </c>
      <c r="AY152" s="34" t="s">
        <v>156</v>
      </c>
      <c r="AZ152" s="34" t="s">
        <v>156</v>
      </c>
      <c r="BA152" s="34" t="s">
        <v>156</v>
      </c>
      <c r="BB152" s="34" t="s">
        <v>156</v>
      </c>
      <c r="BC152" s="34" t="s">
        <v>156</v>
      </c>
      <c r="BD152" s="34" t="s">
        <v>156</v>
      </c>
      <c r="BE152" s="34" t="s">
        <v>156</v>
      </c>
      <c r="BF152" s="34" t="s">
        <v>156</v>
      </c>
      <c r="BG152" s="34" t="s">
        <v>156</v>
      </c>
      <c r="BH152" s="34" t="s">
        <v>156</v>
      </c>
      <c r="BI152" s="34" t="s">
        <v>156</v>
      </c>
      <c r="BJ152" s="34" t="s">
        <v>156</v>
      </c>
      <c r="BK152" s="34" t="s">
        <v>156</v>
      </c>
      <c r="BL152" s="34" t="s">
        <v>156</v>
      </c>
      <c r="BM152" s="34" t="s">
        <v>156</v>
      </c>
      <c r="BN152" s="34" t="s">
        <v>156</v>
      </c>
      <c r="BO152" s="34" t="s">
        <v>156</v>
      </c>
      <c r="BP152" s="34" t="s">
        <v>156</v>
      </c>
      <c r="BQ152" s="34" t="s">
        <v>156</v>
      </c>
      <c r="BR152" s="35"/>
      <c r="BS152" s="20" t="s">
        <v>157</v>
      </c>
    </row>
    <row r="153" ht="16.5" spans="1:71">
      <c r="A153" s="21" t="s">
        <v>45</v>
      </c>
      <c r="B153" s="21"/>
      <c r="C153" s="51"/>
      <c r="D153" s="39" t="s">
        <v>189</v>
      </c>
      <c r="E153" s="52">
        <v>56.5</v>
      </c>
      <c r="F153" s="53">
        <v>81.99</v>
      </c>
      <c r="G153" s="25">
        <f t="shared" si="138"/>
        <v>81.99</v>
      </c>
      <c r="H153" s="25">
        <f t="shared" si="139"/>
        <v>68.325</v>
      </c>
      <c r="I153" s="25">
        <f t="shared" si="140"/>
        <v>11.4083171091445</v>
      </c>
      <c r="J153" s="26">
        <f t="shared" si="141"/>
        <v>0.20191711697601</v>
      </c>
      <c r="K153" s="27">
        <f t="shared" si="142"/>
        <v>68.325</v>
      </c>
      <c r="L153" s="28">
        <f t="shared" si="143"/>
        <v>0.173069886571533</v>
      </c>
      <c r="M153" s="25">
        <f t="shared" si="144"/>
        <v>11.825</v>
      </c>
      <c r="N153" s="27">
        <f t="shared" si="157"/>
        <v>197.070796460177</v>
      </c>
      <c r="O153" s="27">
        <f t="shared" si="145"/>
        <v>1.27083333333333</v>
      </c>
      <c r="P153" s="21">
        <v>12</v>
      </c>
      <c r="Q153" s="29">
        <v>8</v>
      </c>
      <c r="R153" s="30">
        <f t="shared" si="146"/>
        <v>0.141592920353982</v>
      </c>
      <c r="S153" s="26">
        <f t="shared" si="147"/>
        <v>0.0975728747408221</v>
      </c>
      <c r="T153" s="30">
        <f t="shared" si="148"/>
        <v>0</v>
      </c>
      <c r="U153" s="30">
        <v>0.01</v>
      </c>
      <c r="V153" s="30">
        <f t="shared" si="149"/>
        <v>0.435997337301277</v>
      </c>
      <c r="W153" s="30">
        <f t="shared" si="150"/>
        <v>0.0224926253687316</v>
      </c>
      <c r="X153" s="31">
        <v>0.188</v>
      </c>
      <c r="Y153" s="32">
        <v>8</v>
      </c>
      <c r="Z153" s="32">
        <v>0</v>
      </c>
      <c r="AA153" s="32">
        <f t="shared" si="151"/>
        <v>0.565</v>
      </c>
      <c r="AB153" s="27">
        <f t="shared" si="152"/>
        <v>10.622</v>
      </c>
      <c r="AC153" s="27">
        <v>208</v>
      </c>
      <c r="AD153" s="33">
        <f t="shared" si="153"/>
        <v>184.070796460177</v>
      </c>
      <c r="AE153" s="29">
        <f t="shared" si="158"/>
        <v>1.625</v>
      </c>
      <c r="AF153" s="30">
        <f t="shared" si="154"/>
        <v>0.407236275354374</v>
      </c>
      <c r="AG153" s="30">
        <f t="shared" si="155"/>
        <v>0.00359513274336283</v>
      </c>
      <c r="AH153" s="29">
        <v>13</v>
      </c>
      <c r="AI153" s="26">
        <f t="shared" si="159"/>
        <v>0.328532747896085</v>
      </c>
      <c r="AJ153" s="26"/>
      <c r="AK153" s="26"/>
      <c r="AL153" s="26"/>
      <c r="AM153" s="26"/>
      <c r="AN153" s="34"/>
      <c r="AO153" s="34"/>
      <c r="AP153" s="34"/>
      <c r="AQ153" s="34"/>
      <c r="AR153" s="34"/>
      <c r="AS153" s="34"/>
      <c r="AT153" s="34" t="s">
        <v>156</v>
      </c>
      <c r="AU153" s="34" t="s">
        <v>156</v>
      </c>
      <c r="AV153" s="34" t="s">
        <v>156</v>
      </c>
      <c r="AW153" s="34" t="s">
        <v>156</v>
      </c>
      <c r="AX153" s="34" t="s">
        <v>156</v>
      </c>
      <c r="AY153" s="34" t="s">
        <v>156</v>
      </c>
      <c r="AZ153" s="34" t="s">
        <v>156</v>
      </c>
      <c r="BA153" s="34" t="s">
        <v>156</v>
      </c>
      <c r="BB153" s="34" t="s">
        <v>156</v>
      </c>
      <c r="BC153" s="34" t="s">
        <v>156</v>
      </c>
      <c r="BD153" s="34" t="s">
        <v>156</v>
      </c>
      <c r="BE153" s="34" t="s">
        <v>156</v>
      </c>
      <c r="BF153" s="34" t="s">
        <v>156</v>
      </c>
      <c r="BG153" s="34" t="s">
        <v>156</v>
      </c>
      <c r="BH153" s="34" t="s">
        <v>156</v>
      </c>
      <c r="BI153" s="34" t="s">
        <v>156</v>
      </c>
      <c r="BJ153" s="34" t="s">
        <v>156</v>
      </c>
      <c r="BK153" s="34" t="s">
        <v>156</v>
      </c>
      <c r="BL153" s="34" t="s">
        <v>156</v>
      </c>
      <c r="BM153" s="34" t="s">
        <v>156</v>
      </c>
      <c r="BN153" s="34" t="s">
        <v>156</v>
      </c>
      <c r="BO153" s="34" t="s">
        <v>156</v>
      </c>
      <c r="BP153" s="34" t="s">
        <v>156</v>
      </c>
      <c r="BQ153" s="34" t="s">
        <v>156</v>
      </c>
      <c r="BR153" s="35"/>
      <c r="BS153" s="20" t="s">
        <v>157</v>
      </c>
    </row>
    <row r="154" ht="16.5" spans="1:71">
      <c r="A154" s="21" t="s">
        <v>45</v>
      </c>
      <c r="B154" s="21"/>
      <c r="C154" s="51"/>
      <c r="D154" s="39" t="s">
        <v>190</v>
      </c>
      <c r="E154" s="52">
        <v>56.5</v>
      </c>
      <c r="F154" s="53">
        <v>81.99</v>
      </c>
      <c r="G154" s="25">
        <f t="shared" si="138"/>
        <v>73.791</v>
      </c>
      <c r="H154" s="25">
        <f t="shared" si="139"/>
        <v>61.4925</v>
      </c>
      <c r="I154" s="36">
        <f t="shared" si="140"/>
        <v>3.20931710914454</v>
      </c>
      <c r="J154" s="26">
        <f t="shared" si="141"/>
        <v>0.056802072728222</v>
      </c>
      <c r="K154" s="27">
        <f t="shared" si="142"/>
        <v>68.325</v>
      </c>
      <c r="L154" s="28">
        <f t="shared" si="143"/>
        <v>0.173069886571533</v>
      </c>
      <c r="M154" s="25">
        <f t="shared" si="144"/>
        <v>11.825</v>
      </c>
      <c r="N154" s="27">
        <f t="shared" si="157"/>
        <v>197.070796460177</v>
      </c>
      <c r="O154" s="27">
        <f t="shared" si="145"/>
        <v>1.27083333333333</v>
      </c>
      <c r="P154" s="21">
        <v>12</v>
      </c>
      <c r="Q154" s="29">
        <v>8</v>
      </c>
      <c r="R154" s="30">
        <f t="shared" si="146"/>
        <v>0.141592920353982</v>
      </c>
      <c r="S154" s="26">
        <f t="shared" si="147"/>
        <v>0.0975728747408221</v>
      </c>
      <c r="T154" s="30">
        <f t="shared" si="148"/>
        <v>0.145115044247788</v>
      </c>
      <c r="U154" s="30">
        <v>0.01</v>
      </c>
      <c r="V154" s="30">
        <f t="shared" si="149"/>
        <v>0.435997337301277</v>
      </c>
      <c r="W154" s="30">
        <f t="shared" si="150"/>
        <v>0.0224926253687316</v>
      </c>
      <c r="X154" s="31">
        <v>0.188</v>
      </c>
      <c r="Y154" s="32">
        <v>8</v>
      </c>
      <c r="Z154" s="32">
        <f>F154*0.1</f>
        <v>8.199</v>
      </c>
      <c r="AA154" s="32">
        <f t="shared" si="151"/>
        <v>0.565</v>
      </c>
      <c r="AB154" s="27">
        <f t="shared" si="152"/>
        <v>10.622</v>
      </c>
      <c r="AC154" s="27">
        <v>208</v>
      </c>
      <c r="AD154" s="33">
        <f t="shared" si="153"/>
        <v>184.070796460177</v>
      </c>
      <c r="AE154" s="29">
        <f t="shared" si="158"/>
        <v>1.625</v>
      </c>
      <c r="AF154" s="30">
        <f t="shared" si="154"/>
        <v>0.407236275354374</v>
      </c>
      <c r="AG154" s="30">
        <f t="shared" si="155"/>
        <v>0.00359513274336283</v>
      </c>
      <c r="AH154" s="29">
        <v>13</v>
      </c>
      <c r="AI154" s="26">
        <f t="shared" si="159"/>
        <v>0.373332668063733</v>
      </c>
      <c r="AJ154" s="26"/>
      <c r="AK154" s="26"/>
      <c r="AL154" s="26"/>
      <c r="AM154" s="26"/>
      <c r="AN154" s="34"/>
      <c r="AO154" s="34"/>
      <c r="AP154" s="34"/>
      <c r="AQ154" s="34"/>
      <c r="AR154" s="34"/>
      <c r="AS154" s="34"/>
      <c r="AT154" s="34" t="s">
        <v>156</v>
      </c>
      <c r="AU154" s="34" t="s">
        <v>156</v>
      </c>
      <c r="AV154" s="34" t="s">
        <v>156</v>
      </c>
      <c r="AW154" s="34" t="s">
        <v>156</v>
      </c>
      <c r="AX154" s="34" t="s">
        <v>156</v>
      </c>
      <c r="AY154" s="34" t="s">
        <v>156</v>
      </c>
      <c r="AZ154" s="34" t="s">
        <v>156</v>
      </c>
      <c r="BA154" s="34" t="s">
        <v>156</v>
      </c>
      <c r="BB154" s="34" t="s">
        <v>156</v>
      </c>
      <c r="BC154" s="34" t="s">
        <v>156</v>
      </c>
      <c r="BD154" s="34" t="s">
        <v>156</v>
      </c>
      <c r="BE154" s="34" t="s">
        <v>156</v>
      </c>
      <c r="BF154" s="34" t="s">
        <v>156</v>
      </c>
      <c r="BG154" s="34" t="s">
        <v>156</v>
      </c>
      <c r="BH154" s="34" t="s">
        <v>156</v>
      </c>
      <c r="BI154" s="34" t="s">
        <v>156</v>
      </c>
      <c r="BJ154" s="34" t="s">
        <v>156</v>
      </c>
      <c r="BK154" s="34" t="s">
        <v>156</v>
      </c>
      <c r="BL154" s="34" t="s">
        <v>156</v>
      </c>
      <c r="BM154" s="34" t="s">
        <v>156</v>
      </c>
      <c r="BN154" s="34" t="s">
        <v>156</v>
      </c>
      <c r="BO154" s="34" t="s">
        <v>156</v>
      </c>
      <c r="BP154" s="34" t="s">
        <v>156</v>
      </c>
      <c r="BQ154" s="34" t="s">
        <v>156</v>
      </c>
      <c r="BR154" s="35"/>
      <c r="BS154" s="20" t="s">
        <v>157</v>
      </c>
    </row>
    <row r="155" ht="16.5" spans="1:71">
      <c r="A155" s="21" t="s">
        <v>45</v>
      </c>
      <c r="B155" s="21"/>
      <c r="C155" s="51"/>
      <c r="D155" s="39" t="s">
        <v>191</v>
      </c>
      <c r="E155" s="52">
        <v>56.5</v>
      </c>
      <c r="F155" s="53">
        <v>81.99</v>
      </c>
      <c r="G155" s="25">
        <f t="shared" si="138"/>
        <v>69.6915</v>
      </c>
      <c r="H155" s="25">
        <f t="shared" si="139"/>
        <v>58.07625</v>
      </c>
      <c r="I155" s="25">
        <f t="shared" si="140"/>
        <v>-0.890182890855459</v>
      </c>
      <c r="J155" s="26">
        <f t="shared" si="141"/>
        <v>-0.0157554493956718</v>
      </c>
      <c r="K155" s="27">
        <f t="shared" si="142"/>
        <v>68.325</v>
      </c>
      <c r="L155" s="28">
        <f t="shared" si="143"/>
        <v>0.173069886571533</v>
      </c>
      <c r="M155" s="25">
        <f t="shared" si="144"/>
        <v>11.825</v>
      </c>
      <c r="N155" s="27">
        <f t="shared" si="157"/>
        <v>197.070796460177</v>
      </c>
      <c r="O155" s="27">
        <f t="shared" si="145"/>
        <v>1.27083333333333</v>
      </c>
      <c r="P155" s="21">
        <v>12</v>
      </c>
      <c r="Q155" s="29">
        <v>8</v>
      </c>
      <c r="R155" s="30">
        <f t="shared" si="146"/>
        <v>0.141592920353982</v>
      </c>
      <c r="S155" s="26">
        <f t="shared" si="147"/>
        <v>0.0975728747408221</v>
      </c>
      <c r="T155" s="30">
        <f t="shared" si="148"/>
        <v>0.217672566371681</v>
      </c>
      <c r="U155" s="30">
        <v>0.01</v>
      </c>
      <c r="V155" s="30">
        <f t="shared" si="149"/>
        <v>0.435997337301277</v>
      </c>
      <c r="W155" s="30">
        <f t="shared" si="150"/>
        <v>0.0224926253687316</v>
      </c>
      <c r="X155" s="31">
        <v>0.188</v>
      </c>
      <c r="Y155" s="32">
        <v>8</v>
      </c>
      <c r="Z155" s="32">
        <f>F155*0.15</f>
        <v>12.2985</v>
      </c>
      <c r="AA155" s="32">
        <f t="shared" si="151"/>
        <v>0.565</v>
      </c>
      <c r="AB155" s="27">
        <f t="shared" si="152"/>
        <v>10.622</v>
      </c>
      <c r="AC155" s="27">
        <v>208</v>
      </c>
      <c r="AD155" s="33">
        <f t="shared" si="153"/>
        <v>184.070796460177</v>
      </c>
      <c r="AE155" s="29">
        <f t="shared" si="158"/>
        <v>1.625</v>
      </c>
      <c r="AF155" s="30">
        <f t="shared" si="154"/>
        <v>0.407236275354374</v>
      </c>
      <c r="AG155" s="30">
        <f t="shared" si="155"/>
        <v>0.00359513274336283</v>
      </c>
      <c r="AH155" s="29">
        <v>13</v>
      </c>
      <c r="AI155" s="26">
        <f t="shared" si="159"/>
        <v>0.400649692556201</v>
      </c>
      <c r="AJ155" s="26"/>
      <c r="AK155" s="26"/>
      <c r="AL155" s="26"/>
      <c r="AM155" s="26"/>
      <c r="AN155" s="34"/>
      <c r="AO155" s="34"/>
      <c r="AP155" s="34"/>
      <c r="AQ155" s="34"/>
      <c r="AR155" s="34"/>
      <c r="AS155" s="34"/>
      <c r="AT155" s="34" t="s">
        <v>156</v>
      </c>
      <c r="AU155" s="34" t="s">
        <v>156</v>
      </c>
      <c r="AV155" s="34" t="s">
        <v>156</v>
      </c>
      <c r="AW155" s="34" t="s">
        <v>156</v>
      </c>
      <c r="AX155" s="34" t="s">
        <v>156</v>
      </c>
      <c r="AY155" s="34" t="s">
        <v>156</v>
      </c>
      <c r="AZ155" s="34" t="s">
        <v>156</v>
      </c>
      <c r="BA155" s="34" t="s">
        <v>156</v>
      </c>
      <c r="BB155" s="34" t="s">
        <v>156</v>
      </c>
      <c r="BC155" s="34" t="s">
        <v>156</v>
      </c>
      <c r="BD155" s="34" t="s">
        <v>156</v>
      </c>
      <c r="BE155" s="34" t="s">
        <v>156</v>
      </c>
      <c r="BF155" s="34" t="s">
        <v>156</v>
      </c>
      <c r="BG155" s="34" t="s">
        <v>156</v>
      </c>
      <c r="BH155" s="34" t="s">
        <v>156</v>
      </c>
      <c r="BI155" s="34" t="s">
        <v>156</v>
      </c>
      <c r="BJ155" s="34" t="s">
        <v>156</v>
      </c>
      <c r="BK155" s="34" t="s">
        <v>156</v>
      </c>
      <c r="BL155" s="34" t="s">
        <v>156</v>
      </c>
      <c r="BM155" s="34" t="s">
        <v>156</v>
      </c>
      <c r="BN155" s="34" t="s">
        <v>156</v>
      </c>
      <c r="BO155" s="34" t="s">
        <v>156</v>
      </c>
      <c r="BP155" s="34" t="s">
        <v>156</v>
      </c>
      <c r="BQ155" s="34" t="s">
        <v>156</v>
      </c>
      <c r="BR155" s="35"/>
      <c r="BS155" s="20" t="s">
        <v>157</v>
      </c>
    </row>
    <row r="156" ht="16.5" spans="1:71">
      <c r="A156" s="21" t="s">
        <v>48</v>
      </c>
      <c r="B156" s="21"/>
      <c r="C156" s="51"/>
      <c r="D156" s="39" t="s">
        <v>189</v>
      </c>
      <c r="E156" s="52">
        <v>56.5</v>
      </c>
      <c r="F156" s="53">
        <v>81.99</v>
      </c>
      <c r="G156" s="25">
        <f t="shared" si="138"/>
        <v>81.99</v>
      </c>
      <c r="H156" s="25">
        <f t="shared" si="139"/>
        <v>68.325</v>
      </c>
      <c r="I156" s="25">
        <f t="shared" si="140"/>
        <v>11.0749837758112</v>
      </c>
      <c r="J156" s="26">
        <f t="shared" si="141"/>
        <v>0.19601741196126</v>
      </c>
      <c r="K156" s="27">
        <f t="shared" si="142"/>
        <v>68.325</v>
      </c>
      <c r="L156" s="28">
        <f t="shared" si="143"/>
        <v>0.173069886571533</v>
      </c>
      <c r="M156" s="25">
        <f t="shared" si="144"/>
        <v>11.825</v>
      </c>
      <c r="N156" s="27">
        <f t="shared" si="157"/>
        <v>197.070796460177</v>
      </c>
      <c r="O156" s="27">
        <f t="shared" si="145"/>
        <v>1.60416666666667</v>
      </c>
      <c r="P156" s="21">
        <v>12</v>
      </c>
      <c r="Q156" s="29">
        <v>8</v>
      </c>
      <c r="R156" s="30">
        <f t="shared" si="146"/>
        <v>0.141592920353982</v>
      </c>
      <c r="S156" s="26">
        <f t="shared" si="147"/>
        <v>0.0975728747408221</v>
      </c>
      <c r="T156" s="30">
        <f t="shared" si="148"/>
        <v>0</v>
      </c>
      <c r="U156" s="30">
        <v>0.01</v>
      </c>
      <c r="V156" s="30">
        <f t="shared" si="149"/>
        <v>0.435997337301277</v>
      </c>
      <c r="W156" s="30">
        <f t="shared" si="150"/>
        <v>0.0283923303834808</v>
      </c>
      <c r="X156" s="31">
        <v>0.188</v>
      </c>
      <c r="Y156" s="32">
        <v>8</v>
      </c>
      <c r="Z156" s="32">
        <v>0</v>
      </c>
      <c r="AA156" s="32">
        <f t="shared" si="151"/>
        <v>0.565</v>
      </c>
      <c r="AB156" s="27">
        <f t="shared" si="152"/>
        <v>10.622</v>
      </c>
      <c r="AC156" s="27">
        <v>208</v>
      </c>
      <c r="AD156" s="33">
        <f t="shared" si="153"/>
        <v>184.070796460177</v>
      </c>
      <c r="AE156" s="29">
        <f t="shared" si="158"/>
        <v>1.625</v>
      </c>
      <c r="AF156" s="30">
        <f t="shared" si="154"/>
        <v>0.407236275354374</v>
      </c>
      <c r="AG156" s="30">
        <f t="shared" si="155"/>
        <v>0.00359513274336283</v>
      </c>
      <c r="AH156" s="29">
        <v>13</v>
      </c>
      <c r="AI156" s="30">
        <f t="shared" si="159"/>
        <v>0.328532747896085</v>
      </c>
      <c r="AJ156" s="30"/>
      <c r="AK156" s="30"/>
      <c r="AL156" s="30"/>
      <c r="AM156" s="30"/>
      <c r="AN156" s="34"/>
      <c r="AO156" s="34"/>
      <c r="AP156" s="34"/>
      <c r="AQ156" s="34"/>
      <c r="AR156" s="34"/>
      <c r="AS156" s="34"/>
      <c r="AT156" s="34" t="s">
        <v>156</v>
      </c>
      <c r="AU156" s="34" t="s">
        <v>156</v>
      </c>
      <c r="AV156" s="34" t="s">
        <v>156</v>
      </c>
      <c r="AW156" s="34" t="s">
        <v>156</v>
      </c>
      <c r="AX156" s="34" t="s">
        <v>156</v>
      </c>
      <c r="AY156" s="34" t="s">
        <v>156</v>
      </c>
      <c r="AZ156" s="34" t="s">
        <v>156</v>
      </c>
      <c r="BA156" s="34" t="s">
        <v>156</v>
      </c>
      <c r="BB156" s="34" t="s">
        <v>156</v>
      </c>
      <c r="BC156" s="34" t="s">
        <v>156</v>
      </c>
      <c r="BD156" s="34" t="s">
        <v>156</v>
      </c>
      <c r="BE156" s="34" t="s">
        <v>156</v>
      </c>
      <c r="BF156" s="34" t="s">
        <v>156</v>
      </c>
      <c r="BG156" s="34" t="s">
        <v>156</v>
      </c>
      <c r="BH156" s="34" t="s">
        <v>156</v>
      </c>
      <c r="BI156" s="34" t="s">
        <v>156</v>
      </c>
      <c r="BJ156" s="34" t="s">
        <v>156</v>
      </c>
      <c r="BK156" s="34" t="s">
        <v>156</v>
      </c>
      <c r="BL156" s="34" t="s">
        <v>156</v>
      </c>
      <c r="BM156" s="34" t="s">
        <v>156</v>
      </c>
      <c r="BN156" s="34" t="s">
        <v>156</v>
      </c>
      <c r="BO156" s="34" t="s">
        <v>156</v>
      </c>
      <c r="BP156" s="34" t="s">
        <v>156</v>
      </c>
      <c r="BQ156" s="34" t="s">
        <v>156</v>
      </c>
      <c r="BR156" s="35"/>
      <c r="BS156" s="20" t="s">
        <v>157</v>
      </c>
    </row>
    <row r="157" ht="16.5" spans="1:71">
      <c r="A157" s="21" t="s">
        <v>48</v>
      </c>
      <c r="B157" s="21"/>
      <c r="C157" s="51"/>
      <c r="D157" s="39" t="s">
        <v>190</v>
      </c>
      <c r="E157" s="52">
        <v>56.5</v>
      </c>
      <c r="F157" s="53">
        <v>81.99</v>
      </c>
      <c r="G157" s="25">
        <f t="shared" si="138"/>
        <v>73.791</v>
      </c>
      <c r="H157" s="25">
        <f t="shared" si="139"/>
        <v>61.4925</v>
      </c>
      <c r="I157" s="36">
        <f t="shared" si="140"/>
        <v>2.87598377581121</v>
      </c>
      <c r="J157" s="26">
        <f t="shared" si="141"/>
        <v>0.0509023677134727</v>
      </c>
      <c r="K157" s="27">
        <f t="shared" si="142"/>
        <v>68.325</v>
      </c>
      <c r="L157" s="28">
        <f t="shared" si="143"/>
        <v>0.173069886571533</v>
      </c>
      <c r="M157" s="25">
        <f t="shared" si="144"/>
        <v>11.825</v>
      </c>
      <c r="N157" s="27">
        <f t="shared" si="157"/>
        <v>197.070796460177</v>
      </c>
      <c r="O157" s="27">
        <f t="shared" si="145"/>
        <v>1.60416666666667</v>
      </c>
      <c r="P157" s="21">
        <v>12</v>
      </c>
      <c r="Q157" s="29">
        <v>8</v>
      </c>
      <c r="R157" s="30">
        <f t="shared" si="146"/>
        <v>0.141592920353982</v>
      </c>
      <c r="S157" s="26">
        <f t="shared" si="147"/>
        <v>0.0975728747408221</v>
      </c>
      <c r="T157" s="30">
        <f t="shared" si="148"/>
        <v>0.145115044247788</v>
      </c>
      <c r="U157" s="30">
        <v>0.01</v>
      </c>
      <c r="V157" s="30">
        <f t="shared" si="149"/>
        <v>0.435997337301277</v>
      </c>
      <c r="W157" s="30">
        <f t="shared" si="150"/>
        <v>0.0283923303834808</v>
      </c>
      <c r="X157" s="31">
        <v>0.188</v>
      </c>
      <c r="Y157" s="32">
        <v>8</v>
      </c>
      <c r="Z157" s="32">
        <f>F157*0.1</f>
        <v>8.199</v>
      </c>
      <c r="AA157" s="32">
        <f t="shared" si="151"/>
        <v>0.565</v>
      </c>
      <c r="AB157" s="27">
        <f t="shared" si="152"/>
        <v>10.622</v>
      </c>
      <c r="AC157" s="27">
        <v>208</v>
      </c>
      <c r="AD157" s="33">
        <f t="shared" si="153"/>
        <v>184.070796460177</v>
      </c>
      <c r="AE157" s="29">
        <f t="shared" si="158"/>
        <v>1.625</v>
      </c>
      <c r="AF157" s="30">
        <f t="shared" si="154"/>
        <v>0.407236275354374</v>
      </c>
      <c r="AG157" s="30">
        <f t="shared" si="155"/>
        <v>0.00359513274336283</v>
      </c>
      <c r="AH157" s="29">
        <v>13</v>
      </c>
      <c r="AI157" s="30">
        <f t="shared" si="159"/>
        <v>0.373332668063733</v>
      </c>
      <c r="AJ157" s="30"/>
      <c r="AK157" s="30"/>
      <c r="AL157" s="30"/>
      <c r="AM157" s="30"/>
      <c r="AN157" s="34"/>
      <c r="AO157" s="34"/>
      <c r="AP157" s="34"/>
      <c r="AQ157" s="34"/>
      <c r="AR157" s="34"/>
      <c r="AS157" s="34"/>
      <c r="AT157" s="34" t="s">
        <v>156</v>
      </c>
      <c r="AU157" s="34" t="s">
        <v>156</v>
      </c>
      <c r="AV157" s="34" t="s">
        <v>156</v>
      </c>
      <c r="AW157" s="34" t="s">
        <v>156</v>
      </c>
      <c r="AX157" s="34" t="s">
        <v>156</v>
      </c>
      <c r="AY157" s="34" t="s">
        <v>156</v>
      </c>
      <c r="AZ157" s="34" t="s">
        <v>156</v>
      </c>
      <c r="BA157" s="34" t="s">
        <v>156</v>
      </c>
      <c r="BB157" s="34" t="s">
        <v>156</v>
      </c>
      <c r="BC157" s="34" t="s">
        <v>156</v>
      </c>
      <c r="BD157" s="34" t="s">
        <v>156</v>
      </c>
      <c r="BE157" s="34" t="s">
        <v>156</v>
      </c>
      <c r="BF157" s="34" t="s">
        <v>156</v>
      </c>
      <c r="BG157" s="34" t="s">
        <v>156</v>
      </c>
      <c r="BH157" s="34" t="s">
        <v>156</v>
      </c>
      <c r="BI157" s="34" t="s">
        <v>156</v>
      </c>
      <c r="BJ157" s="34" t="s">
        <v>156</v>
      </c>
      <c r="BK157" s="34" t="s">
        <v>156</v>
      </c>
      <c r="BL157" s="34" t="s">
        <v>156</v>
      </c>
      <c r="BM157" s="34" t="s">
        <v>156</v>
      </c>
      <c r="BN157" s="34" t="s">
        <v>156</v>
      </c>
      <c r="BO157" s="34" t="s">
        <v>156</v>
      </c>
      <c r="BP157" s="34" t="s">
        <v>156</v>
      </c>
      <c r="BQ157" s="34" t="s">
        <v>156</v>
      </c>
      <c r="BR157" s="35"/>
      <c r="BS157" s="20" t="s">
        <v>157</v>
      </c>
    </row>
    <row r="158" ht="16.5" spans="1:71">
      <c r="A158" s="21" t="s">
        <v>48</v>
      </c>
      <c r="B158" s="21"/>
      <c r="C158" s="51"/>
      <c r="D158" s="39" t="s">
        <v>191</v>
      </c>
      <c r="E158" s="52">
        <v>56.5</v>
      </c>
      <c r="F158" s="53">
        <v>81.99</v>
      </c>
      <c r="G158" s="25">
        <f t="shared" si="138"/>
        <v>69.6915</v>
      </c>
      <c r="H158" s="25">
        <f t="shared" si="139"/>
        <v>58.07625</v>
      </c>
      <c r="I158" s="25">
        <f t="shared" si="140"/>
        <v>-1.22351622418879</v>
      </c>
      <c r="J158" s="26">
        <f t="shared" si="141"/>
        <v>-0.0216551544104211</v>
      </c>
      <c r="K158" s="27">
        <f t="shared" si="142"/>
        <v>68.325</v>
      </c>
      <c r="L158" s="28">
        <f t="shared" si="143"/>
        <v>0.173069886571533</v>
      </c>
      <c r="M158" s="25">
        <f t="shared" si="144"/>
        <v>11.825</v>
      </c>
      <c r="N158" s="27">
        <f t="shared" si="157"/>
        <v>197.070796460177</v>
      </c>
      <c r="O158" s="27">
        <f t="shared" si="145"/>
        <v>1.60416666666667</v>
      </c>
      <c r="P158" s="21">
        <v>12</v>
      </c>
      <c r="Q158" s="29">
        <v>8</v>
      </c>
      <c r="R158" s="30">
        <f t="shared" si="146"/>
        <v>0.141592920353982</v>
      </c>
      <c r="S158" s="26">
        <f t="shared" si="147"/>
        <v>0.0975728747408221</v>
      </c>
      <c r="T158" s="30">
        <f t="shared" si="148"/>
        <v>0.217672566371681</v>
      </c>
      <c r="U158" s="30">
        <v>0.01</v>
      </c>
      <c r="V158" s="30">
        <f t="shared" si="149"/>
        <v>0.435997337301277</v>
      </c>
      <c r="W158" s="30">
        <f t="shared" si="150"/>
        <v>0.0283923303834808</v>
      </c>
      <c r="X158" s="31">
        <v>0.188</v>
      </c>
      <c r="Y158" s="32">
        <v>8</v>
      </c>
      <c r="Z158" s="32">
        <f>F158*0.15</f>
        <v>12.2985</v>
      </c>
      <c r="AA158" s="32">
        <f t="shared" si="151"/>
        <v>0.565</v>
      </c>
      <c r="AB158" s="27">
        <f t="shared" si="152"/>
        <v>10.622</v>
      </c>
      <c r="AC158" s="27">
        <v>208</v>
      </c>
      <c r="AD158" s="33">
        <f t="shared" si="153"/>
        <v>184.070796460177</v>
      </c>
      <c r="AE158" s="29">
        <f t="shared" si="158"/>
        <v>1.625</v>
      </c>
      <c r="AF158" s="30">
        <f t="shared" si="154"/>
        <v>0.407236275354374</v>
      </c>
      <c r="AG158" s="30">
        <f t="shared" si="155"/>
        <v>0.00359513274336283</v>
      </c>
      <c r="AH158" s="29">
        <v>13</v>
      </c>
      <c r="AI158" s="30">
        <f t="shared" si="159"/>
        <v>0.400649692556201</v>
      </c>
      <c r="AJ158" s="30"/>
      <c r="AK158" s="30"/>
      <c r="AL158" s="30"/>
      <c r="AM158" s="30"/>
      <c r="AN158" s="34"/>
      <c r="AO158" s="34"/>
      <c r="AP158" s="34"/>
      <c r="AQ158" s="34"/>
      <c r="AR158" s="34"/>
      <c r="AS158" s="34"/>
      <c r="AT158" s="34" t="s">
        <v>156</v>
      </c>
      <c r="AU158" s="34" t="s">
        <v>156</v>
      </c>
      <c r="AV158" s="34" t="s">
        <v>156</v>
      </c>
      <c r="AW158" s="34" t="s">
        <v>156</v>
      </c>
      <c r="AX158" s="34" t="s">
        <v>156</v>
      </c>
      <c r="AY158" s="34" t="s">
        <v>156</v>
      </c>
      <c r="AZ158" s="34" t="s">
        <v>156</v>
      </c>
      <c r="BA158" s="34" t="s">
        <v>156</v>
      </c>
      <c r="BB158" s="34" t="s">
        <v>156</v>
      </c>
      <c r="BC158" s="34" t="s">
        <v>156</v>
      </c>
      <c r="BD158" s="34" t="s">
        <v>156</v>
      </c>
      <c r="BE158" s="34" t="s">
        <v>156</v>
      </c>
      <c r="BF158" s="34" t="s">
        <v>156</v>
      </c>
      <c r="BG158" s="34" t="s">
        <v>156</v>
      </c>
      <c r="BH158" s="34" t="s">
        <v>156</v>
      </c>
      <c r="BI158" s="34" t="s">
        <v>156</v>
      </c>
      <c r="BJ158" s="34" t="s">
        <v>156</v>
      </c>
      <c r="BK158" s="34" t="s">
        <v>156</v>
      </c>
      <c r="BL158" s="34" t="s">
        <v>156</v>
      </c>
      <c r="BM158" s="34" t="s">
        <v>156</v>
      </c>
      <c r="BN158" s="34" t="s">
        <v>156</v>
      </c>
      <c r="BO158" s="34" t="s">
        <v>156</v>
      </c>
      <c r="BP158" s="34" t="s">
        <v>156</v>
      </c>
      <c r="BQ158" s="34" t="s">
        <v>156</v>
      </c>
      <c r="BR158" s="35"/>
      <c r="BS158" s="20" t="s">
        <v>157</v>
      </c>
    </row>
    <row r="159" ht="16.5" spans="1:71">
      <c r="A159" s="21" t="s">
        <v>161</v>
      </c>
      <c r="B159" s="21"/>
      <c r="C159" s="51"/>
      <c r="D159" s="42" t="s">
        <v>192</v>
      </c>
      <c r="E159" s="55">
        <v>68.5</v>
      </c>
      <c r="F159" s="38">
        <v>99.99</v>
      </c>
      <c r="G159" s="25">
        <f t="shared" si="138"/>
        <v>99.99</v>
      </c>
      <c r="H159" s="25">
        <f t="shared" si="139"/>
        <v>83.325</v>
      </c>
      <c r="I159" s="25">
        <f t="shared" si="140"/>
        <v>28.9073171091445</v>
      </c>
      <c r="J159" s="26">
        <f t="shared" si="141"/>
        <v>0.422004629330577</v>
      </c>
      <c r="K159" s="27">
        <f t="shared" si="142"/>
        <v>83.325</v>
      </c>
      <c r="L159" s="28">
        <f t="shared" si="143"/>
        <v>0.177917791779178</v>
      </c>
      <c r="M159" s="25">
        <f t="shared" si="144"/>
        <v>14.825</v>
      </c>
      <c r="N159" s="27">
        <f t="shared" si="157"/>
        <v>197.070796460177</v>
      </c>
      <c r="O159" s="27">
        <f t="shared" si="145"/>
        <v>1.39583333333333</v>
      </c>
      <c r="P159" s="21">
        <v>12</v>
      </c>
      <c r="Q159" s="29">
        <v>8</v>
      </c>
      <c r="R159" s="30">
        <f t="shared" si="146"/>
        <v>0</v>
      </c>
      <c r="S159" s="26">
        <f t="shared" si="147"/>
        <v>0</v>
      </c>
      <c r="T159" s="30">
        <f t="shared" si="148"/>
        <v>0</v>
      </c>
      <c r="U159" s="30">
        <v>0.01</v>
      </c>
      <c r="V159" s="30">
        <f t="shared" si="149"/>
        <v>0.359618241715651</v>
      </c>
      <c r="W159" s="30">
        <f t="shared" si="150"/>
        <v>0.0203771289537713</v>
      </c>
      <c r="X159" s="31">
        <v>0.188</v>
      </c>
      <c r="Y159" s="32">
        <v>0</v>
      </c>
      <c r="Z159" s="32">
        <f t="shared" ref="Z159:Z162" si="160">F159*0</f>
        <v>0</v>
      </c>
      <c r="AA159" s="32">
        <f t="shared" si="151"/>
        <v>0.685</v>
      </c>
      <c r="AB159" s="27">
        <f t="shared" si="152"/>
        <v>12.878</v>
      </c>
      <c r="AC159" s="27">
        <v>208</v>
      </c>
      <c r="AD159" s="33">
        <f t="shared" si="153"/>
        <v>184.070796460177</v>
      </c>
      <c r="AE159" s="29">
        <f t="shared" si="158"/>
        <v>1.625</v>
      </c>
      <c r="AF159" s="30">
        <f t="shared" si="154"/>
        <v>0.335895613978425</v>
      </c>
      <c r="AG159" s="30">
        <f t="shared" si="155"/>
        <v>0.00296532846715328</v>
      </c>
      <c r="AH159" s="29">
        <v>13</v>
      </c>
      <c r="AI159" s="30">
        <f t="shared" si="159"/>
        <v>0.332469246924692</v>
      </c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 t="s">
        <v>156</v>
      </c>
      <c r="AU159" s="34" t="s">
        <v>156</v>
      </c>
      <c r="AV159" s="34" t="s">
        <v>156</v>
      </c>
      <c r="AW159" s="34" t="s">
        <v>156</v>
      </c>
      <c r="AX159" s="34" t="s">
        <v>156</v>
      </c>
      <c r="AY159" s="34" t="s">
        <v>156</v>
      </c>
      <c r="AZ159" s="34" t="s">
        <v>156</v>
      </c>
      <c r="BA159" s="34" t="s">
        <v>156</v>
      </c>
      <c r="BB159" s="34" t="s">
        <v>156</v>
      </c>
      <c r="BC159" s="34" t="s">
        <v>156</v>
      </c>
      <c r="BD159" s="34" t="s">
        <v>156</v>
      </c>
      <c r="BE159" s="34" t="s">
        <v>156</v>
      </c>
      <c r="BF159" s="34" t="s">
        <v>156</v>
      </c>
      <c r="BG159" s="34" t="s">
        <v>156</v>
      </c>
      <c r="BH159" s="34" t="s">
        <v>156</v>
      </c>
      <c r="BI159" s="34" t="s">
        <v>156</v>
      </c>
      <c r="BJ159" s="34" t="s">
        <v>156</v>
      </c>
      <c r="BK159" s="34" t="s">
        <v>156</v>
      </c>
      <c r="BL159" s="34" t="s">
        <v>156</v>
      </c>
      <c r="BM159" s="34" t="s">
        <v>156</v>
      </c>
      <c r="BN159" s="34" t="s">
        <v>156</v>
      </c>
      <c r="BO159" s="34" t="s">
        <v>156</v>
      </c>
      <c r="BP159" s="34" t="s">
        <v>156</v>
      </c>
      <c r="BQ159" s="34" t="s">
        <v>156</v>
      </c>
      <c r="BR159" s="44" t="e">
        <f>IF(E159&lt;#REF!,1,0)</f>
        <v>#REF!</v>
      </c>
      <c r="BS159" s="20" t="s">
        <v>157</v>
      </c>
    </row>
    <row r="160" ht="16.5" spans="1:71">
      <c r="A160" s="21" t="s">
        <v>163</v>
      </c>
      <c r="B160" s="21"/>
      <c r="C160" s="51"/>
      <c r="D160" s="42" t="s">
        <v>193</v>
      </c>
      <c r="E160" s="55">
        <v>68.5</v>
      </c>
      <c r="F160" s="24">
        <v>99.99</v>
      </c>
      <c r="G160" s="25">
        <f t="shared" si="138"/>
        <v>99.99</v>
      </c>
      <c r="H160" s="25">
        <f t="shared" si="139"/>
        <v>83.325</v>
      </c>
      <c r="I160" s="25">
        <f t="shared" si="140"/>
        <v>29.1323171091445</v>
      </c>
      <c r="J160" s="26">
        <f t="shared" si="141"/>
        <v>0.425289300863424</v>
      </c>
      <c r="K160" s="27">
        <f t="shared" si="142"/>
        <v>83.325</v>
      </c>
      <c r="L160" s="28">
        <f t="shared" si="143"/>
        <v>0.177917791779178</v>
      </c>
      <c r="M160" s="25">
        <f t="shared" si="144"/>
        <v>14.825</v>
      </c>
      <c r="N160" s="27">
        <f t="shared" si="157"/>
        <v>197.070796460177</v>
      </c>
      <c r="O160" s="27">
        <f t="shared" si="145"/>
        <v>1.17083333333333</v>
      </c>
      <c r="P160" s="21">
        <v>12</v>
      </c>
      <c r="Q160" s="29">
        <v>8</v>
      </c>
      <c r="R160" s="30">
        <f t="shared" si="146"/>
        <v>0</v>
      </c>
      <c r="S160" s="26">
        <f t="shared" si="147"/>
        <v>0</v>
      </c>
      <c r="T160" s="30">
        <f t="shared" si="148"/>
        <v>0</v>
      </c>
      <c r="U160" s="30">
        <v>0.01</v>
      </c>
      <c r="V160" s="30">
        <f t="shared" si="149"/>
        <v>0.359618241715651</v>
      </c>
      <c r="W160" s="30">
        <f t="shared" si="150"/>
        <v>0.0170924574209246</v>
      </c>
      <c r="X160" s="31">
        <v>0.188</v>
      </c>
      <c r="Y160" s="32">
        <v>0</v>
      </c>
      <c r="Z160" s="32">
        <f t="shared" si="160"/>
        <v>0</v>
      </c>
      <c r="AA160" s="32">
        <f t="shared" si="151"/>
        <v>0.685</v>
      </c>
      <c r="AB160" s="27">
        <f t="shared" si="152"/>
        <v>12.878</v>
      </c>
      <c r="AC160" s="27">
        <v>208</v>
      </c>
      <c r="AD160" s="33">
        <f t="shared" si="153"/>
        <v>184.070796460177</v>
      </c>
      <c r="AE160" s="29">
        <f t="shared" si="158"/>
        <v>1.625</v>
      </c>
      <c r="AF160" s="30">
        <f t="shared" si="154"/>
        <v>0.335895613978425</v>
      </c>
      <c r="AG160" s="30">
        <f t="shared" si="155"/>
        <v>0.00296532846715328</v>
      </c>
      <c r="AH160" s="29">
        <v>13</v>
      </c>
      <c r="AI160" s="30">
        <f t="shared" si="159"/>
        <v>0.332469246924692</v>
      </c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 t="s">
        <v>156</v>
      </c>
      <c r="AU160" s="34" t="s">
        <v>156</v>
      </c>
      <c r="AV160" s="34" t="s">
        <v>156</v>
      </c>
      <c r="AW160" s="34" t="s">
        <v>156</v>
      </c>
      <c r="AX160" s="34" t="s">
        <v>156</v>
      </c>
      <c r="AY160" s="34" t="s">
        <v>156</v>
      </c>
      <c r="AZ160" s="34" t="s">
        <v>156</v>
      </c>
      <c r="BA160" s="34" t="s">
        <v>156</v>
      </c>
      <c r="BB160" s="34" t="s">
        <v>156</v>
      </c>
      <c r="BC160" s="34" t="s">
        <v>156</v>
      </c>
      <c r="BD160" s="34" t="s">
        <v>156</v>
      </c>
      <c r="BE160" s="34" t="s">
        <v>156</v>
      </c>
      <c r="BF160" s="34" t="s">
        <v>156</v>
      </c>
      <c r="BG160" s="34" t="s">
        <v>156</v>
      </c>
      <c r="BH160" s="34" t="s">
        <v>156</v>
      </c>
      <c r="BI160" s="34" t="s">
        <v>156</v>
      </c>
      <c r="BJ160" s="34" t="s">
        <v>156</v>
      </c>
      <c r="BK160" s="34" t="s">
        <v>156</v>
      </c>
      <c r="BL160" s="34" t="s">
        <v>156</v>
      </c>
      <c r="BM160" s="34" t="s">
        <v>156</v>
      </c>
      <c r="BN160" s="34" t="s">
        <v>156</v>
      </c>
      <c r="BO160" s="34" t="s">
        <v>156</v>
      </c>
      <c r="BP160" s="34" t="s">
        <v>156</v>
      </c>
      <c r="BQ160" s="34" t="s">
        <v>156</v>
      </c>
      <c r="BR160" s="44" t="e">
        <f>IF(E160&lt;#REF!,1,0)</f>
        <v>#REF!</v>
      </c>
      <c r="BS160" s="20" t="s">
        <v>157</v>
      </c>
    </row>
    <row r="161" ht="16.5" spans="1:71">
      <c r="A161" s="21" t="s">
        <v>165</v>
      </c>
      <c r="B161" s="21"/>
      <c r="C161" s="51"/>
      <c r="D161" s="42" t="s">
        <v>194</v>
      </c>
      <c r="E161" s="55">
        <v>68.5</v>
      </c>
      <c r="F161" s="24">
        <v>99.99</v>
      </c>
      <c r="G161" s="25">
        <f t="shared" si="138"/>
        <v>99.99</v>
      </c>
      <c r="H161" s="25">
        <f t="shared" si="139"/>
        <v>83.325</v>
      </c>
      <c r="I161" s="25">
        <f t="shared" si="140"/>
        <v>28.7823171091445</v>
      </c>
      <c r="J161" s="26">
        <f t="shared" si="141"/>
        <v>0.420179811812329</v>
      </c>
      <c r="K161" s="27">
        <f t="shared" si="142"/>
        <v>83.325</v>
      </c>
      <c r="L161" s="28">
        <f t="shared" si="143"/>
        <v>0.177917791779178</v>
      </c>
      <c r="M161" s="25">
        <f t="shared" si="144"/>
        <v>14.825</v>
      </c>
      <c r="N161" s="27">
        <f t="shared" si="157"/>
        <v>197.070796460177</v>
      </c>
      <c r="O161" s="27">
        <f t="shared" si="145"/>
        <v>1.52083333333333</v>
      </c>
      <c r="P161" s="21">
        <v>12</v>
      </c>
      <c r="Q161" s="29">
        <v>8</v>
      </c>
      <c r="R161" s="30">
        <f t="shared" si="146"/>
        <v>0</v>
      </c>
      <c r="S161" s="26">
        <f t="shared" si="147"/>
        <v>0</v>
      </c>
      <c r="T161" s="30">
        <f t="shared" si="148"/>
        <v>0</v>
      </c>
      <c r="U161" s="30">
        <v>0.01</v>
      </c>
      <c r="V161" s="30">
        <f t="shared" si="149"/>
        <v>0.359618241715651</v>
      </c>
      <c r="W161" s="30">
        <f t="shared" si="150"/>
        <v>0.0222019464720195</v>
      </c>
      <c r="X161" s="31">
        <v>0.188</v>
      </c>
      <c r="Y161" s="32">
        <v>0</v>
      </c>
      <c r="Z161" s="32">
        <f t="shared" si="160"/>
        <v>0</v>
      </c>
      <c r="AA161" s="32">
        <f t="shared" si="151"/>
        <v>0.685</v>
      </c>
      <c r="AB161" s="27">
        <f t="shared" si="152"/>
        <v>12.878</v>
      </c>
      <c r="AC161" s="27">
        <v>208</v>
      </c>
      <c r="AD161" s="33">
        <f t="shared" si="153"/>
        <v>184.070796460177</v>
      </c>
      <c r="AE161" s="29">
        <f t="shared" si="158"/>
        <v>1.625</v>
      </c>
      <c r="AF161" s="30">
        <f t="shared" si="154"/>
        <v>0.335895613978425</v>
      </c>
      <c r="AG161" s="30">
        <f t="shared" si="155"/>
        <v>0.00296532846715328</v>
      </c>
      <c r="AH161" s="29">
        <v>13</v>
      </c>
      <c r="AI161" s="30">
        <f t="shared" si="159"/>
        <v>0.332469246924692</v>
      </c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 t="s">
        <v>156</v>
      </c>
      <c r="AU161" s="34" t="s">
        <v>156</v>
      </c>
      <c r="AV161" s="34" t="s">
        <v>156</v>
      </c>
      <c r="AW161" s="34" t="s">
        <v>156</v>
      </c>
      <c r="AX161" s="34" t="s">
        <v>156</v>
      </c>
      <c r="AY161" s="34" t="s">
        <v>156</v>
      </c>
      <c r="AZ161" s="34" t="s">
        <v>156</v>
      </c>
      <c r="BA161" s="34" t="s">
        <v>156</v>
      </c>
      <c r="BB161" s="34" t="s">
        <v>156</v>
      </c>
      <c r="BC161" s="34" t="s">
        <v>156</v>
      </c>
      <c r="BD161" s="34" t="s">
        <v>156</v>
      </c>
      <c r="BE161" s="34" t="s">
        <v>156</v>
      </c>
      <c r="BF161" s="34" t="s">
        <v>156</v>
      </c>
      <c r="BG161" s="34" t="s">
        <v>156</v>
      </c>
      <c r="BH161" s="34" t="s">
        <v>156</v>
      </c>
      <c r="BI161" s="34" t="s">
        <v>156</v>
      </c>
      <c r="BJ161" s="34" t="s">
        <v>156</v>
      </c>
      <c r="BK161" s="34" t="s">
        <v>156</v>
      </c>
      <c r="BL161" s="34" t="s">
        <v>156</v>
      </c>
      <c r="BM161" s="34" t="s">
        <v>156</v>
      </c>
      <c r="BN161" s="34" t="s">
        <v>156</v>
      </c>
      <c r="BO161" s="34" t="s">
        <v>156</v>
      </c>
      <c r="BP161" s="34" t="s">
        <v>156</v>
      </c>
      <c r="BQ161" s="34" t="s">
        <v>156</v>
      </c>
      <c r="BR161" s="44" t="e">
        <f>IF(E161&lt;#REF!,1,0)</f>
        <v>#REF!</v>
      </c>
      <c r="BS161" s="20" t="s">
        <v>157</v>
      </c>
    </row>
    <row r="162" ht="16.5" spans="1:71">
      <c r="A162" s="21" t="s">
        <v>167</v>
      </c>
      <c r="B162" s="21"/>
      <c r="C162" s="51"/>
      <c r="D162" s="42" t="s">
        <v>195</v>
      </c>
      <c r="E162" s="55">
        <v>68.5</v>
      </c>
      <c r="F162" s="24">
        <v>99.99</v>
      </c>
      <c r="G162" s="25">
        <f t="shared" si="138"/>
        <v>99.99</v>
      </c>
      <c r="H162" s="25">
        <f t="shared" si="139"/>
        <v>83.325</v>
      </c>
      <c r="I162" s="25">
        <f t="shared" si="140"/>
        <v>29.1156504424779</v>
      </c>
      <c r="J162" s="26">
        <f t="shared" si="141"/>
        <v>0.425045991860991</v>
      </c>
      <c r="K162" s="27">
        <f t="shared" si="142"/>
        <v>83.325</v>
      </c>
      <c r="L162" s="28">
        <f t="shared" si="143"/>
        <v>0.177917791779178</v>
      </c>
      <c r="M162" s="25">
        <f t="shared" si="144"/>
        <v>14.825</v>
      </c>
      <c r="N162" s="27">
        <f t="shared" si="157"/>
        <v>197.070796460177</v>
      </c>
      <c r="O162" s="27">
        <f t="shared" si="145"/>
        <v>1.1875</v>
      </c>
      <c r="P162" s="21">
        <v>12</v>
      </c>
      <c r="Q162" s="29">
        <v>8</v>
      </c>
      <c r="R162" s="30">
        <f t="shared" si="146"/>
        <v>0</v>
      </c>
      <c r="S162" s="26">
        <f t="shared" si="147"/>
        <v>0</v>
      </c>
      <c r="T162" s="30">
        <f t="shared" si="148"/>
        <v>0</v>
      </c>
      <c r="U162" s="30">
        <v>0.01</v>
      </c>
      <c r="V162" s="30">
        <f t="shared" si="149"/>
        <v>0.359618241715651</v>
      </c>
      <c r="W162" s="30">
        <f t="shared" si="150"/>
        <v>0.0173357664233577</v>
      </c>
      <c r="X162" s="31">
        <v>0.188</v>
      </c>
      <c r="Y162" s="32">
        <v>0</v>
      </c>
      <c r="Z162" s="32">
        <f t="shared" si="160"/>
        <v>0</v>
      </c>
      <c r="AA162" s="32">
        <f t="shared" si="151"/>
        <v>0.685</v>
      </c>
      <c r="AB162" s="27">
        <f t="shared" si="152"/>
        <v>12.878</v>
      </c>
      <c r="AC162" s="27">
        <v>208</v>
      </c>
      <c r="AD162" s="33">
        <f t="shared" si="153"/>
        <v>184.070796460177</v>
      </c>
      <c r="AE162" s="29">
        <f t="shared" si="158"/>
        <v>1.625</v>
      </c>
      <c r="AF162" s="30">
        <f t="shared" si="154"/>
        <v>0.335895613978425</v>
      </c>
      <c r="AG162" s="30">
        <f t="shared" si="155"/>
        <v>0.00296532846715328</v>
      </c>
      <c r="AH162" s="29">
        <v>13</v>
      </c>
      <c r="AI162" s="30">
        <f t="shared" si="159"/>
        <v>0.332469246924692</v>
      </c>
      <c r="AJ162" s="30"/>
      <c r="AK162" s="30"/>
      <c r="AL162" s="30"/>
      <c r="AM162" s="30"/>
      <c r="AN162" s="34"/>
      <c r="AO162" s="34"/>
      <c r="AP162" s="34"/>
      <c r="AQ162" s="34"/>
      <c r="AR162" s="34"/>
      <c r="AS162" s="34"/>
      <c r="AT162" s="34" t="s">
        <v>156</v>
      </c>
      <c r="AU162" s="34" t="s">
        <v>156</v>
      </c>
      <c r="AV162" s="34" t="s">
        <v>156</v>
      </c>
      <c r="AW162" s="34" t="s">
        <v>156</v>
      </c>
      <c r="AX162" s="34" t="s">
        <v>156</v>
      </c>
      <c r="AY162" s="34" t="s">
        <v>156</v>
      </c>
      <c r="AZ162" s="34" t="s">
        <v>156</v>
      </c>
      <c r="BA162" s="34" t="s">
        <v>156</v>
      </c>
      <c r="BB162" s="34" t="s">
        <v>156</v>
      </c>
      <c r="BC162" s="34" t="s">
        <v>156</v>
      </c>
      <c r="BD162" s="34" t="s">
        <v>156</v>
      </c>
      <c r="BE162" s="34" t="s">
        <v>156</v>
      </c>
      <c r="BF162" s="34" t="s">
        <v>156</v>
      </c>
      <c r="BG162" s="34" t="s">
        <v>156</v>
      </c>
      <c r="BH162" s="34" t="s">
        <v>156</v>
      </c>
      <c r="BI162" s="34" t="s">
        <v>156</v>
      </c>
      <c r="BJ162" s="34" t="s">
        <v>156</v>
      </c>
      <c r="BK162" s="34" t="s">
        <v>156</v>
      </c>
      <c r="BL162" s="34" t="s">
        <v>156</v>
      </c>
      <c r="BM162" s="34" t="s">
        <v>156</v>
      </c>
      <c r="BN162" s="34" t="s">
        <v>156</v>
      </c>
      <c r="BO162" s="34" t="s">
        <v>156</v>
      </c>
      <c r="BP162" s="34" t="s">
        <v>156</v>
      </c>
      <c r="BQ162" s="34" t="s">
        <v>156</v>
      </c>
      <c r="BR162" s="44" t="e">
        <f>IF(E162&lt;#REF!,1,0)</f>
        <v>#REF!</v>
      </c>
      <c r="BS162" s="20" t="s">
        <v>157</v>
      </c>
    </row>
    <row r="163" ht="16.5" spans="1:71">
      <c r="A163" s="21"/>
      <c r="B163" s="21"/>
      <c r="C163" s="21"/>
      <c r="D163" s="56"/>
      <c r="E163" s="27"/>
      <c r="F163" s="43"/>
      <c r="G163" s="25"/>
      <c r="H163" s="25"/>
      <c r="I163" s="25"/>
      <c r="J163" s="26"/>
      <c r="K163" s="27"/>
      <c r="L163" s="28"/>
      <c r="M163" s="25"/>
      <c r="N163" s="27"/>
      <c r="O163" s="27"/>
      <c r="P163" s="20"/>
      <c r="Q163" s="29"/>
      <c r="R163" s="30"/>
      <c r="S163" s="26"/>
      <c r="T163" s="30"/>
      <c r="U163" s="30"/>
      <c r="V163" s="30"/>
      <c r="W163" s="30"/>
      <c r="X163" s="31"/>
      <c r="Y163" s="32"/>
      <c r="Z163" s="32"/>
      <c r="AA163" s="32"/>
      <c r="AB163" s="27"/>
      <c r="AC163" s="27"/>
      <c r="AD163" s="33"/>
      <c r="AE163" s="29"/>
      <c r="AF163" s="30"/>
      <c r="AG163" s="30"/>
      <c r="AH163" s="29"/>
      <c r="AI163" s="30"/>
      <c r="AJ163" s="30"/>
      <c r="AK163" s="30"/>
      <c r="AL163" s="30"/>
      <c r="AM163" s="30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44"/>
      <c r="BS163" s="20"/>
    </row>
    <row r="164" ht="16.5" spans="1:71">
      <c r="A164" s="21" t="s">
        <v>37</v>
      </c>
      <c r="B164" s="21"/>
      <c r="C164" s="51"/>
      <c r="D164" s="39" t="s">
        <v>196</v>
      </c>
      <c r="E164" s="55">
        <v>25.55</v>
      </c>
      <c r="F164" s="24">
        <v>36.99</v>
      </c>
      <c r="G164" s="25">
        <f t="shared" ref="G164:G179" si="161">(F164-Z164)</f>
        <v>36.99</v>
      </c>
      <c r="H164" s="25">
        <f t="shared" ref="H164:H179" si="162">(F164-Z164)/1.2</f>
        <v>30.825</v>
      </c>
      <c r="I164" s="25">
        <f t="shared" ref="I164:I179" si="163">E164-N164/Q164-AB164-Y164-O164-Z164-AA164</f>
        <v>6.33896135693215</v>
      </c>
      <c r="J164" s="26">
        <f t="shared" ref="J164:J179" si="164">I164/E164</f>
        <v>0.248100248803607</v>
      </c>
      <c r="K164" s="27">
        <f t="shared" ref="K164:K179" si="165">F164/1.2</f>
        <v>30.825</v>
      </c>
      <c r="L164" s="28">
        <f t="shared" ref="L164:L179" si="166">(K164-E164)/K164</f>
        <v>0.171127331711273</v>
      </c>
      <c r="M164" s="25">
        <f t="shared" ref="M164:M179" si="167">F164/1.2-E164</f>
        <v>5.275</v>
      </c>
      <c r="N164" s="27">
        <f>AD164+AH165</f>
        <v>79.1504424778761</v>
      </c>
      <c r="O164" s="27">
        <f t="shared" ref="O164:O179" si="168">IFERROR(IF(A164="UK",8.95/P164,IF(A164="DE",7.75/P164,IF(A164="FR",14.25/P164,IF(A164="IT",15.25/P164,IF(A164="ES",19.25/P164,IF(A164="NL",16.75/P164,IF(A164="PL",14.05/P164,IF(A164="SE",18.25/P164,IF(A164="BE",14.25/P164))))))))),0)</f>
        <v>0.258333333333333</v>
      </c>
      <c r="P164" s="20">
        <v>30</v>
      </c>
      <c r="Q164" s="29">
        <v>8</v>
      </c>
      <c r="R164" s="30">
        <f t="shared" ref="R164:R179" si="169">Y164/E164</f>
        <v>0.156555772994129</v>
      </c>
      <c r="S164" s="26">
        <f t="shared" ref="S164:S179" si="170">Y164/F164</f>
        <v>0.108137334414707</v>
      </c>
      <c r="T164" s="30">
        <f t="shared" ref="T164:T179" si="171">Z164/E164</f>
        <v>0</v>
      </c>
      <c r="U164" s="30">
        <v>0.01</v>
      </c>
      <c r="V164" s="30">
        <f t="shared" ref="V164:V179" si="172">N164/(E164*Q164)</f>
        <v>0.387233084529727</v>
      </c>
      <c r="W164" s="30">
        <f t="shared" ref="W164:W179" si="173">O164/E164</f>
        <v>0.0101108936725375</v>
      </c>
      <c r="X164" s="31">
        <v>0.188</v>
      </c>
      <c r="Y164" s="32">
        <v>4</v>
      </c>
      <c r="Z164" s="32">
        <v>0</v>
      </c>
      <c r="AA164" s="32">
        <f t="shared" ref="AA164:AA179" si="174">E164*U164</f>
        <v>0.2555</v>
      </c>
      <c r="AB164" s="27">
        <f t="shared" ref="AB164:AB179" si="175">E164*X164</f>
        <v>4.8034</v>
      </c>
      <c r="AC164" s="27">
        <v>80.4</v>
      </c>
      <c r="AD164" s="33">
        <f t="shared" ref="AD164:AD179" si="176">AC164/1.13</f>
        <v>71.1504424778761</v>
      </c>
      <c r="AE164" s="29">
        <f>AH165/Q164</f>
        <v>1</v>
      </c>
      <c r="AF164" s="30">
        <f t="shared" ref="AF164:AF179" si="177">AD164/(E164*Q164)</f>
        <v>0.348094141281194</v>
      </c>
      <c r="AG164" s="30">
        <f t="shared" ref="AG164:AG179" si="178">AE164/Q164/E164</f>
        <v>0.00489236790606654</v>
      </c>
      <c r="AH164" s="29">
        <v>8</v>
      </c>
      <c r="AI164" s="30">
        <f t="shared" ref="AI164:AI179" si="179">(H164-E164+AB164)/H164</f>
        <v>0.326955393349554</v>
      </c>
      <c r="AJ164" s="30"/>
      <c r="AK164" s="30"/>
      <c r="AL164" s="30"/>
      <c r="AM164" s="30"/>
      <c r="AN164" s="34"/>
      <c r="AO164" s="34"/>
      <c r="AP164" s="34"/>
      <c r="AQ164" s="34"/>
      <c r="AR164" s="34"/>
      <c r="AS164" s="34"/>
      <c r="AT164" s="34" t="s">
        <v>156</v>
      </c>
      <c r="AU164" s="34" t="s">
        <v>156</v>
      </c>
      <c r="AV164" s="34" t="s">
        <v>156</v>
      </c>
      <c r="AW164" s="34" t="s">
        <v>156</v>
      </c>
      <c r="AX164" s="34" t="s">
        <v>156</v>
      </c>
      <c r="AY164" s="34" t="s">
        <v>156</v>
      </c>
      <c r="AZ164" s="34" t="s">
        <v>156</v>
      </c>
      <c r="BA164" s="34" t="s">
        <v>156</v>
      </c>
      <c r="BB164" s="34" t="s">
        <v>156</v>
      </c>
      <c r="BC164" s="34" t="s">
        <v>156</v>
      </c>
      <c r="BD164" s="34" t="s">
        <v>156</v>
      </c>
      <c r="BE164" s="34" t="s">
        <v>156</v>
      </c>
      <c r="BF164" s="34" t="s">
        <v>156</v>
      </c>
      <c r="BG164" s="34" t="s">
        <v>156</v>
      </c>
      <c r="BH164" s="34" t="s">
        <v>156</v>
      </c>
      <c r="BI164" s="34" t="s">
        <v>156</v>
      </c>
      <c r="BJ164" s="34" t="s">
        <v>156</v>
      </c>
      <c r="BK164" s="34" t="s">
        <v>156</v>
      </c>
      <c r="BL164" s="34" t="s">
        <v>156</v>
      </c>
      <c r="BM164" s="34" t="s">
        <v>156</v>
      </c>
      <c r="BN164" s="34" t="s">
        <v>156</v>
      </c>
      <c r="BO164" s="34" t="s">
        <v>156</v>
      </c>
      <c r="BP164" s="34" t="s">
        <v>156</v>
      </c>
      <c r="BQ164" s="34" t="s">
        <v>156</v>
      </c>
      <c r="BR164" s="35"/>
      <c r="BS164" s="20" t="s">
        <v>157</v>
      </c>
    </row>
    <row r="165" ht="16.5" spans="1:71">
      <c r="A165" s="21" t="s">
        <v>37</v>
      </c>
      <c r="B165" s="21"/>
      <c r="C165" s="51"/>
      <c r="D165" s="39" t="s">
        <v>197</v>
      </c>
      <c r="E165" s="55">
        <v>25.55</v>
      </c>
      <c r="F165" s="24">
        <v>36.99</v>
      </c>
      <c r="G165" s="25">
        <f t="shared" si="161"/>
        <v>33.291</v>
      </c>
      <c r="H165" s="25">
        <f t="shared" si="162"/>
        <v>27.7425</v>
      </c>
      <c r="I165" s="36">
        <f t="shared" si="163"/>
        <v>2.63996135693215</v>
      </c>
      <c r="J165" s="26">
        <f t="shared" si="164"/>
        <v>0.103325297727286</v>
      </c>
      <c r="K165" s="27">
        <f t="shared" si="165"/>
        <v>30.825</v>
      </c>
      <c r="L165" s="28">
        <f t="shared" si="166"/>
        <v>0.171127331711273</v>
      </c>
      <c r="M165" s="25">
        <f t="shared" si="167"/>
        <v>5.275</v>
      </c>
      <c r="N165" s="27">
        <f t="shared" ref="N165:N179" si="180">AD165+AH165</f>
        <v>79.1504424778761</v>
      </c>
      <c r="O165" s="27">
        <f t="shared" si="168"/>
        <v>0.258333333333333</v>
      </c>
      <c r="P165" s="21">
        <v>30</v>
      </c>
      <c r="Q165" s="29">
        <v>8</v>
      </c>
      <c r="R165" s="30">
        <f t="shared" si="169"/>
        <v>0.156555772994129</v>
      </c>
      <c r="S165" s="26">
        <f t="shared" si="170"/>
        <v>0.108137334414707</v>
      </c>
      <c r="T165" s="30">
        <f t="shared" si="171"/>
        <v>0.144774951076321</v>
      </c>
      <c r="U165" s="30">
        <v>0.01</v>
      </c>
      <c r="V165" s="30">
        <f t="shared" si="172"/>
        <v>0.387233084529727</v>
      </c>
      <c r="W165" s="30">
        <f t="shared" si="173"/>
        <v>0.0101108936725375</v>
      </c>
      <c r="X165" s="31">
        <v>0.188</v>
      </c>
      <c r="Y165" s="32">
        <v>4</v>
      </c>
      <c r="Z165" s="32">
        <f>F165*0.1</f>
        <v>3.699</v>
      </c>
      <c r="AA165" s="32">
        <f t="shared" si="174"/>
        <v>0.2555</v>
      </c>
      <c r="AB165" s="27">
        <f t="shared" si="175"/>
        <v>4.8034</v>
      </c>
      <c r="AC165" s="27">
        <v>80.4</v>
      </c>
      <c r="AD165" s="33">
        <f t="shared" si="176"/>
        <v>71.1504424778761</v>
      </c>
      <c r="AE165" s="29">
        <f t="shared" ref="AE165:AE179" si="181">AH165/Q165</f>
        <v>1</v>
      </c>
      <c r="AF165" s="30">
        <f t="shared" si="177"/>
        <v>0.348094141281194</v>
      </c>
      <c r="AG165" s="30">
        <f t="shared" si="178"/>
        <v>0.00489236790606654</v>
      </c>
      <c r="AH165" s="29">
        <v>8</v>
      </c>
      <c r="AI165" s="30">
        <f t="shared" si="179"/>
        <v>0.252172659277282</v>
      </c>
      <c r="AJ165" s="30"/>
      <c r="AK165" s="30"/>
      <c r="AL165" s="30"/>
      <c r="AM165" s="30"/>
      <c r="AN165" s="34"/>
      <c r="AO165" s="34"/>
      <c r="AP165" s="34"/>
      <c r="AQ165" s="34"/>
      <c r="AR165" s="34"/>
      <c r="AS165" s="34"/>
      <c r="AT165" s="34" t="s">
        <v>156</v>
      </c>
      <c r="AU165" s="34" t="s">
        <v>156</v>
      </c>
      <c r="AV165" s="34" t="s">
        <v>156</v>
      </c>
      <c r="AW165" s="34" t="s">
        <v>156</v>
      </c>
      <c r="AX165" s="34" t="s">
        <v>156</v>
      </c>
      <c r="AY165" s="34" t="s">
        <v>156</v>
      </c>
      <c r="AZ165" s="34" t="s">
        <v>156</v>
      </c>
      <c r="BA165" s="34" t="s">
        <v>156</v>
      </c>
      <c r="BB165" s="34" t="s">
        <v>156</v>
      </c>
      <c r="BC165" s="34" t="s">
        <v>156</v>
      </c>
      <c r="BD165" s="34" t="s">
        <v>156</v>
      </c>
      <c r="BE165" s="34" t="s">
        <v>156</v>
      </c>
      <c r="BF165" s="34" t="s">
        <v>156</v>
      </c>
      <c r="BG165" s="34" t="s">
        <v>156</v>
      </c>
      <c r="BH165" s="34" t="s">
        <v>156</v>
      </c>
      <c r="BI165" s="34" t="s">
        <v>156</v>
      </c>
      <c r="BJ165" s="34" t="s">
        <v>156</v>
      </c>
      <c r="BK165" s="34" t="s">
        <v>156</v>
      </c>
      <c r="BL165" s="34" t="s">
        <v>156</v>
      </c>
      <c r="BM165" s="34" t="s">
        <v>156</v>
      </c>
      <c r="BN165" s="34" t="s">
        <v>156</v>
      </c>
      <c r="BO165" s="34" t="s">
        <v>156</v>
      </c>
      <c r="BP165" s="34" t="s">
        <v>156</v>
      </c>
      <c r="BQ165" s="34" t="s">
        <v>156</v>
      </c>
      <c r="BR165" s="35"/>
      <c r="BS165" s="20" t="s">
        <v>157</v>
      </c>
    </row>
    <row r="166" ht="16.5" spans="1:71">
      <c r="A166" s="21" t="s">
        <v>37</v>
      </c>
      <c r="B166" s="21"/>
      <c r="C166" s="51"/>
      <c r="D166" s="39" t="s">
        <v>198</v>
      </c>
      <c r="E166" s="55">
        <v>25.55</v>
      </c>
      <c r="F166" s="24">
        <v>36.99</v>
      </c>
      <c r="G166" s="25">
        <f t="shared" si="161"/>
        <v>31.4415</v>
      </c>
      <c r="H166" s="25">
        <f t="shared" si="162"/>
        <v>26.20125</v>
      </c>
      <c r="I166" s="25">
        <f t="shared" si="163"/>
        <v>0.790461356932153</v>
      </c>
      <c r="J166" s="26">
        <f t="shared" si="164"/>
        <v>0.0309378221891254</v>
      </c>
      <c r="K166" s="27">
        <f t="shared" si="165"/>
        <v>30.825</v>
      </c>
      <c r="L166" s="28">
        <f t="shared" si="166"/>
        <v>0.171127331711273</v>
      </c>
      <c r="M166" s="25">
        <f t="shared" si="167"/>
        <v>5.275</v>
      </c>
      <c r="N166" s="27">
        <f t="shared" si="180"/>
        <v>79.1504424778761</v>
      </c>
      <c r="O166" s="27">
        <f t="shared" si="168"/>
        <v>0.258333333333333</v>
      </c>
      <c r="P166" s="21">
        <v>30</v>
      </c>
      <c r="Q166" s="29">
        <v>8</v>
      </c>
      <c r="R166" s="30">
        <f t="shared" si="169"/>
        <v>0.156555772994129</v>
      </c>
      <c r="S166" s="26">
        <f t="shared" si="170"/>
        <v>0.108137334414707</v>
      </c>
      <c r="T166" s="30">
        <f t="shared" si="171"/>
        <v>0.217162426614481</v>
      </c>
      <c r="U166" s="30">
        <v>0.01</v>
      </c>
      <c r="V166" s="30">
        <f t="shared" si="172"/>
        <v>0.387233084529727</v>
      </c>
      <c r="W166" s="30">
        <f t="shared" si="173"/>
        <v>0.0101108936725375</v>
      </c>
      <c r="X166" s="31">
        <v>0.188</v>
      </c>
      <c r="Y166" s="32">
        <v>4</v>
      </c>
      <c r="Z166" s="32">
        <f>F166*0.15</f>
        <v>5.5485</v>
      </c>
      <c r="AA166" s="32">
        <f t="shared" si="174"/>
        <v>0.2555</v>
      </c>
      <c r="AB166" s="27">
        <f t="shared" si="175"/>
        <v>4.8034</v>
      </c>
      <c r="AC166" s="27">
        <v>80.4</v>
      </c>
      <c r="AD166" s="33">
        <f t="shared" si="176"/>
        <v>71.1504424778761</v>
      </c>
      <c r="AE166" s="29">
        <f t="shared" si="181"/>
        <v>1</v>
      </c>
      <c r="AF166" s="30">
        <f t="shared" si="177"/>
        <v>0.348094141281194</v>
      </c>
      <c r="AG166" s="30">
        <f t="shared" si="178"/>
        <v>0.00489236790606654</v>
      </c>
      <c r="AH166" s="29">
        <v>8</v>
      </c>
      <c r="AI166" s="30">
        <f t="shared" si="179"/>
        <v>0.208182815705358</v>
      </c>
      <c r="AJ166" s="30"/>
      <c r="AK166" s="30"/>
      <c r="AL166" s="30"/>
      <c r="AM166" s="30"/>
      <c r="AN166" s="34"/>
      <c r="AO166" s="34"/>
      <c r="AP166" s="34"/>
      <c r="AQ166" s="34"/>
      <c r="AR166" s="34"/>
      <c r="AS166" s="34"/>
      <c r="AT166" s="34" t="s">
        <v>156</v>
      </c>
      <c r="AU166" s="34" t="s">
        <v>156</v>
      </c>
      <c r="AV166" s="34" t="s">
        <v>156</v>
      </c>
      <c r="AW166" s="34" t="s">
        <v>156</v>
      </c>
      <c r="AX166" s="34" t="s">
        <v>156</v>
      </c>
      <c r="AY166" s="34" t="s">
        <v>156</v>
      </c>
      <c r="AZ166" s="34" t="s">
        <v>156</v>
      </c>
      <c r="BA166" s="34" t="s">
        <v>156</v>
      </c>
      <c r="BB166" s="34" t="s">
        <v>156</v>
      </c>
      <c r="BC166" s="34" t="s">
        <v>156</v>
      </c>
      <c r="BD166" s="34" t="s">
        <v>156</v>
      </c>
      <c r="BE166" s="34" t="s">
        <v>156</v>
      </c>
      <c r="BF166" s="34" t="s">
        <v>156</v>
      </c>
      <c r="BG166" s="34" t="s">
        <v>156</v>
      </c>
      <c r="BH166" s="34" t="s">
        <v>156</v>
      </c>
      <c r="BI166" s="34" t="s">
        <v>156</v>
      </c>
      <c r="BJ166" s="34" t="s">
        <v>156</v>
      </c>
      <c r="BK166" s="34" t="s">
        <v>156</v>
      </c>
      <c r="BL166" s="34" t="s">
        <v>156</v>
      </c>
      <c r="BM166" s="34" t="s">
        <v>156</v>
      </c>
      <c r="BN166" s="34" t="s">
        <v>156</v>
      </c>
      <c r="BO166" s="34" t="s">
        <v>156</v>
      </c>
      <c r="BP166" s="34" t="s">
        <v>156</v>
      </c>
      <c r="BQ166" s="34" t="s">
        <v>156</v>
      </c>
      <c r="BR166" s="35"/>
      <c r="BS166" s="20" t="s">
        <v>157</v>
      </c>
    </row>
    <row r="167" ht="16.5" spans="1:71">
      <c r="A167" s="21" t="s">
        <v>43</v>
      </c>
      <c r="B167" s="21"/>
      <c r="C167" s="51"/>
      <c r="D167" s="39" t="s">
        <v>196</v>
      </c>
      <c r="E167" s="55">
        <v>25.55</v>
      </c>
      <c r="F167" s="24">
        <v>36.99</v>
      </c>
      <c r="G167" s="25">
        <f t="shared" si="161"/>
        <v>36.99</v>
      </c>
      <c r="H167" s="25">
        <f t="shared" si="162"/>
        <v>30.825</v>
      </c>
      <c r="I167" s="25">
        <f t="shared" si="163"/>
        <v>6.12229469026549</v>
      </c>
      <c r="J167" s="26">
        <f t="shared" si="164"/>
        <v>0.239620144433091</v>
      </c>
      <c r="K167" s="27">
        <f t="shared" si="165"/>
        <v>30.825</v>
      </c>
      <c r="L167" s="28">
        <f t="shared" si="166"/>
        <v>0.171127331711273</v>
      </c>
      <c r="M167" s="25">
        <f t="shared" si="167"/>
        <v>5.275</v>
      </c>
      <c r="N167" s="27">
        <f t="shared" si="180"/>
        <v>79.1504424778761</v>
      </c>
      <c r="O167" s="27">
        <f t="shared" si="168"/>
        <v>0.475</v>
      </c>
      <c r="P167" s="21">
        <v>30</v>
      </c>
      <c r="Q167" s="29">
        <v>8</v>
      </c>
      <c r="R167" s="30">
        <f t="shared" si="169"/>
        <v>0.156555772994129</v>
      </c>
      <c r="S167" s="26">
        <f t="shared" si="170"/>
        <v>0.108137334414707</v>
      </c>
      <c r="T167" s="30">
        <f t="shared" si="171"/>
        <v>0</v>
      </c>
      <c r="U167" s="30">
        <v>0.01</v>
      </c>
      <c r="V167" s="30">
        <f t="shared" si="172"/>
        <v>0.387233084529727</v>
      </c>
      <c r="W167" s="30">
        <f t="shared" si="173"/>
        <v>0.0185909980430528</v>
      </c>
      <c r="X167" s="31">
        <v>0.188</v>
      </c>
      <c r="Y167" s="32">
        <v>4</v>
      </c>
      <c r="Z167" s="32">
        <v>0</v>
      </c>
      <c r="AA167" s="32">
        <f t="shared" si="174"/>
        <v>0.2555</v>
      </c>
      <c r="AB167" s="27">
        <f t="shared" si="175"/>
        <v>4.8034</v>
      </c>
      <c r="AC167" s="27">
        <v>80.4</v>
      </c>
      <c r="AD167" s="33">
        <f t="shared" si="176"/>
        <v>71.1504424778761</v>
      </c>
      <c r="AE167" s="29">
        <f t="shared" si="181"/>
        <v>1</v>
      </c>
      <c r="AF167" s="30">
        <f t="shared" si="177"/>
        <v>0.348094141281194</v>
      </c>
      <c r="AG167" s="30">
        <f t="shared" si="178"/>
        <v>0.00489236790606654</v>
      </c>
      <c r="AH167" s="29">
        <v>8</v>
      </c>
      <c r="AI167" s="30">
        <f t="shared" si="179"/>
        <v>0.326955393349554</v>
      </c>
      <c r="AJ167" s="30"/>
      <c r="AK167" s="30"/>
      <c r="AL167" s="30"/>
      <c r="AM167" s="30"/>
      <c r="AN167" s="34"/>
      <c r="AO167" s="34"/>
      <c r="AP167" s="34"/>
      <c r="AQ167" s="34"/>
      <c r="AR167" s="34"/>
      <c r="AS167" s="34"/>
      <c r="AT167" s="34" t="s">
        <v>156</v>
      </c>
      <c r="AU167" s="34" t="s">
        <v>156</v>
      </c>
      <c r="AV167" s="34" t="s">
        <v>156</v>
      </c>
      <c r="AW167" s="34" t="s">
        <v>156</v>
      </c>
      <c r="AX167" s="34" t="s">
        <v>156</v>
      </c>
      <c r="AY167" s="34" t="s">
        <v>156</v>
      </c>
      <c r="AZ167" s="34" t="s">
        <v>156</v>
      </c>
      <c r="BA167" s="34" t="s">
        <v>156</v>
      </c>
      <c r="BB167" s="34" t="s">
        <v>156</v>
      </c>
      <c r="BC167" s="34" t="s">
        <v>156</v>
      </c>
      <c r="BD167" s="34" t="s">
        <v>156</v>
      </c>
      <c r="BE167" s="34" t="s">
        <v>156</v>
      </c>
      <c r="BF167" s="34" t="s">
        <v>156</v>
      </c>
      <c r="BG167" s="34" t="s">
        <v>156</v>
      </c>
      <c r="BH167" s="34" t="s">
        <v>156</v>
      </c>
      <c r="BI167" s="34" t="s">
        <v>156</v>
      </c>
      <c r="BJ167" s="34" t="s">
        <v>156</v>
      </c>
      <c r="BK167" s="34" t="s">
        <v>156</v>
      </c>
      <c r="BL167" s="34" t="s">
        <v>156</v>
      </c>
      <c r="BM167" s="34" t="s">
        <v>156</v>
      </c>
      <c r="BN167" s="34" t="s">
        <v>156</v>
      </c>
      <c r="BO167" s="34" t="s">
        <v>156</v>
      </c>
      <c r="BP167" s="34" t="s">
        <v>156</v>
      </c>
      <c r="BQ167" s="34" t="s">
        <v>156</v>
      </c>
      <c r="BR167" s="35"/>
      <c r="BS167" s="20" t="s">
        <v>157</v>
      </c>
    </row>
    <row r="168" ht="16.5" spans="1:71">
      <c r="A168" s="21" t="s">
        <v>43</v>
      </c>
      <c r="B168" s="21"/>
      <c r="C168" s="51"/>
      <c r="D168" s="39" t="s">
        <v>197</v>
      </c>
      <c r="E168" s="55">
        <v>25.55</v>
      </c>
      <c r="F168" s="24">
        <v>36.99</v>
      </c>
      <c r="G168" s="25">
        <f t="shared" si="161"/>
        <v>33.291</v>
      </c>
      <c r="H168" s="25">
        <f t="shared" si="162"/>
        <v>27.7425</v>
      </c>
      <c r="I168" s="36">
        <f t="shared" si="163"/>
        <v>2.42329469026549</v>
      </c>
      <c r="J168" s="26">
        <f t="shared" si="164"/>
        <v>0.0948451933567705</v>
      </c>
      <c r="K168" s="27">
        <f t="shared" si="165"/>
        <v>30.825</v>
      </c>
      <c r="L168" s="28">
        <f t="shared" si="166"/>
        <v>0.171127331711273</v>
      </c>
      <c r="M168" s="25">
        <f t="shared" si="167"/>
        <v>5.275</v>
      </c>
      <c r="N168" s="27">
        <f t="shared" si="180"/>
        <v>79.1504424778761</v>
      </c>
      <c r="O168" s="27">
        <f t="shared" si="168"/>
        <v>0.475</v>
      </c>
      <c r="P168" s="21">
        <v>30</v>
      </c>
      <c r="Q168" s="29">
        <v>8</v>
      </c>
      <c r="R168" s="30">
        <f t="shared" si="169"/>
        <v>0.156555772994129</v>
      </c>
      <c r="S168" s="26">
        <f t="shared" si="170"/>
        <v>0.108137334414707</v>
      </c>
      <c r="T168" s="30">
        <f t="shared" si="171"/>
        <v>0.144774951076321</v>
      </c>
      <c r="U168" s="30">
        <v>0.01</v>
      </c>
      <c r="V168" s="30">
        <f t="shared" si="172"/>
        <v>0.387233084529727</v>
      </c>
      <c r="W168" s="30">
        <f t="shared" si="173"/>
        <v>0.0185909980430528</v>
      </c>
      <c r="X168" s="31">
        <v>0.188</v>
      </c>
      <c r="Y168" s="32">
        <v>4</v>
      </c>
      <c r="Z168" s="32">
        <f>F168*0.1</f>
        <v>3.699</v>
      </c>
      <c r="AA168" s="32">
        <f t="shared" si="174"/>
        <v>0.2555</v>
      </c>
      <c r="AB168" s="27">
        <f t="shared" si="175"/>
        <v>4.8034</v>
      </c>
      <c r="AC168" s="27">
        <v>80.4</v>
      </c>
      <c r="AD168" s="33">
        <f t="shared" si="176"/>
        <v>71.1504424778761</v>
      </c>
      <c r="AE168" s="29">
        <f t="shared" si="181"/>
        <v>1</v>
      </c>
      <c r="AF168" s="30">
        <f t="shared" si="177"/>
        <v>0.348094141281194</v>
      </c>
      <c r="AG168" s="30">
        <f t="shared" si="178"/>
        <v>0.00489236790606654</v>
      </c>
      <c r="AH168" s="29">
        <v>8</v>
      </c>
      <c r="AI168" s="30">
        <f t="shared" si="179"/>
        <v>0.252172659277282</v>
      </c>
      <c r="AJ168" s="30"/>
      <c r="AK168" s="30"/>
      <c r="AL168" s="30"/>
      <c r="AM168" s="30"/>
      <c r="AN168" s="34"/>
      <c r="AO168" s="34"/>
      <c r="AP168" s="34"/>
      <c r="AQ168" s="34"/>
      <c r="AR168" s="34"/>
      <c r="AS168" s="34"/>
      <c r="AT168" s="34" t="s">
        <v>156</v>
      </c>
      <c r="AU168" s="34" t="s">
        <v>156</v>
      </c>
      <c r="AV168" s="34" t="s">
        <v>156</v>
      </c>
      <c r="AW168" s="34" t="s">
        <v>156</v>
      </c>
      <c r="AX168" s="34" t="s">
        <v>156</v>
      </c>
      <c r="AY168" s="34" t="s">
        <v>156</v>
      </c>
      <c r="AZ168" s="34" t="s">
        <v>156</v>
      </c>
      <c r="BA168" s="34" t="s">
        <v>156</v>
      </c>
      <c r="BB168" s="34" t="s">
        <v>156</v>
      </c>
      <c r="BC168" s="34" t="s">
        <v>156</v>
      </c>
      <c r="BD168" s="34" t="s">
        <v>156</v>
      </c>
      <c r="BE168" s="34" t="s">
        <v>156</v>
      </c>
      <c r="BF168" s="34" t="s">
        <v>156</v>
      </c>
      <c r="BG168" s="34" t="s">
        <v>156</v>
      </c>
      <c r="BH168" s="34" t="s">
        <v>156</v>
      </c>
      <c r="BI168" s="34" t="s">
        <v>156</v>
      </c>
      <c r="BJ168" s="34" t="s">
        <v>156</v>
      </c>
      <c r="BK168" s="34" t="s">
        <v>156</v>
      </c>
      <c r="BL168" s="34" t="s">
        <v>156</v>
      </c>
      <c r="BM168" s="34" t="s">
        <v>156</v>
      </c>
      <c r="BN168" s="34" t="s">
        <v>156</v>
      </c>
      <c r="BO168" s="34" t="s">
        <v>156</v>
      </c>
      <c r="BP168" s="34" t="s">
        <v>156</v>
      </c>
      <c r="BQ168" s="34" t="s">
        <v>156</v>
      </c>
      <c r="BR168" s="35"/>
      <c r="BS168" s="20" t="s">
        <v>157</v>
      </c>
    </row>
    <row r="169" ht="16.5" spans="1:71">
      <c r="A169" s="21" t="s">
        <v>43</v>
      </c>
      <c r="B169" s="21"/>
      <c r="C169" s="51"/>
      <c r="D169" s="39" t="s">
        <v>198</v>
      </c>
      <c r="E169" s="55">
        <v>25.55</v>
      </c>
      <c r="F169" s="24">
        <v>36.99</v>
      </c>
      <c r="G169" s="25">
        <f t="shared" si="161"/>
        <v>31.4415</v>
      </c>
      <c r="H169" s="25">
        <f t="shared" si="162"/>
        <v>26.20125</v>
      </c>
      <c r="I169" s="25">
        <f t="shared" si="163"/>
        <v>0.573794690265487</v>
      </c>
      <c r="J169" s="26">
        <f t="shared" si="164"/>
        <v>0.0224577178186101</v>
      </c>
      <c r="K169" s="27">
        <f t="shared" si="165"/>
        <v>30.825</v>
      </c>
      <c r="L169" s="28">
        <f t="shared" si="166"/>
        <v>0.171127331711273</v>
      </c>
      <c r="M169" s="25">
        <f t="shared" si="167"/>
        <v>5.275</v>
      </c>
      <c r="N169" s="27">
        <f t="shared" si="180"/>
        <v>79.1504424778761</v>
      </c>
      <c r="O169" s="27">
        <f t="shared" si="168"/>
        <v>0.475</v>
      </c>
      <c r="P169" s="21">
        <v>30</v>
      </c>
      <c r="Q169" s="29">
        <v>8</v>
      </c>
      <c r="R169" s="30">
        <f t="shared" si="169"/>
        <v>0.156555772994129</v>
      </c>
      <c r="S169" s="26">
        <f t="shared" si="170"/>
        <v>0.108137334414707</v>
      </c>
      <c r="T169" s="30">
        <f t="shared" si="171"/>
        <v>0.217162426614481</v>
      </c>
      <c r="U169" s="30">
        <v>0.01</v>
      </c>
      <c r="V169" s="30">
        <f t="shared" si="172"/>
        <v>0.387233084529727</v>
      </c>
      <c r="W169" s="30">
        <f t="shared" si="173"/>
        <v>0.0185909980430528</v>
      </c>
      <c r="X169" s="31">
        <v>0.188</v>
      </c>
      <c r="Y169" s="32">
        <v>4</v>
      </c>
      <c r="Z169" s="32">
        <f>F169*0.15</f>
        <v>5.5485</v>
      </c>
      <c r="AA169" s="32">
        <f t="shared" si="174"/>
        <v>0.2555</v>
      </c>
      <c r="AB169" s="27">
        <f t="shared" si="175"/>
        <v>4.8034</v>
      </c>
      <c r="AC169" s="27">
        <v>80.4</v>
      </c>
      <c r="AD169" s="33">
        <f t="shared" si="176"/>
        <v>71.1504424778761</v>
      </c>
      <c r="AE169" s="29">
        <f t="shared" si="181"/>
        <v>1</v>
      </c>
      <c r="AF169" s="30">
        <f t="shared" si="177"/>
        <v>0.348094141281194</v>
      </c>
      <c r="AG169" s="30">
        <f t="shared" si="178"/>
        <v>0.00489236790606654</v>
      </c>
      <c r="AH169" s="29">
        <v>8</v>
      </c>
      <c r="AI169" s="30">
        <f t="shared" si="179"/>
        <v>0.208182815705358</v>
      </c>
      <c r="AJ169" s="30"/>
      <c r="AK169" s="30"/>
      <c r="AL169" s="30"/>
      <c r="AM169" s="30"/>
      <c r="AN169" s="34"/>
      <c r="AO169" s="34"/>
      <c r="AP169" s="34"/>
      <c r="AQ169" s="34"/>
      <c r="AR169" s="34"/>
      <c r="AS169" s="34"/>
      <c r="AT169" s="34" t="s">
        <v>156</v>
      </c>
      <c r="AU169" s="34" t="s">
        <v>156</v>
      </c>
      <c r="AV169" s="34" t="s">
        <v>156</v>
      </c>
      <c r="AW169" s="34" t="s">
        <v>156</v>
      </c>
      <c r="AX169" s="34" t="s">
        <v>156</v>
      </c>
      <c r="AY169" s="34" t="s">
        <v>156</v>
      </c>
      <c r="AZ169" s="34" t="s">
        <v>156</v>
      </c>
      <c r="BA169" s="34" t="s">
        <v>156</v>
      </c>
      <c r="BB169" s="34" t="s">
        <v>156</v>
      </c>
      <c r="BC169" s="34" t="s">
        <v>156</v>
      </c>
      <c r="BD169" s="34" t="s">
        <v>156</v>
      </c>
      <c r="BE169" s="34" t="s">
        <v>156</v>
      </c>
      <c r="BF169" s="34" t="s">
        <v>156</v>
      </c>
      <c r="BG169" s="34" t="s">
        <v>156</v>
      </c>
      <c r="BH169" s="34" t="s">
        <v>156</v>
      </c>
      <c r="BI169" s="34" t="s">
        <v>156</v>
      </c>
      <c r="BJ169" s="34" t="s">
        <v>156</v>
      </c>
      <c r="BK169" s="34" t="s">
        <v>156</v>
      </c>
      <c r="BL169" s="34" t="s">
        <v>156</v>
      </c>
      <c r="BM169" s="34" t="s">
        <v>156</v>
      </c>
      <c r="BN169" s="34" t="s">
        <v>156</v>
      </c>
      <c r="BO169" s="34" t="s">
        <v>156</v>
      </c>
      <c r="BP169" s="34" t="s">
        <v>156</v>
      </c>
      <c r="BQ169" s="34" t="s">
        <v>156</v>
      </c>
      <c r="BR169" s="35"/>
      <c r="BS169" s="20" t="s">
        <v>157</v>
      </c>
    </row>
    <row r="170" ht="16.5" spans="1:71">
      <c r="A170" s="21" t="s">
        <v>45</v>
      </c>
      <c r="B170" s="21"/>
      <c r="C170" s="51"/>
      <c r="D170" s="39" t="s">
        <v>196</v>
      </c>
      <c r="E170" s="55">
        <v>25.55</v>
      </c>
      <c r="F170" s="24">
        <v>36.99</v>
      </c>
      <c r="G170" s="25">
        <f t="shared" si="161"/>
        <v>36.99</v>
      </c>
      <c r="H170" s="25">
        <f t="shared" si="162"/>
        <v>30.825</v>
      </c>
      <c r="I170" s="25">
        <f t="shared" si="163"/>
        <v>6.08896135693215</v>
      </c>
      <c r="J170" s="26">
        <f t="shared" si="164"/>
        <v>0.238315512991474</v>
      </c>
      <c r="K170" s="27">
        <f t="shared" si="165"/>
        <v>30.825</v>
      </c>
      <c r="L170" s="28">
        <f t="shared" si="166"/>
        <v>0.171127331711273</v>
      </c>
      <c r="M170" s="25">
        <f t="shared" si="167"/>
        <v>5.275</v>
      </c>
      <c r="N170" s="27">
        <f t="shared" si="180"/>
        <v>79.1504424778761</v>
      </c>
      <c r="O170" s="27">
        <f t="shared" si="168"/>
        <v>0.508333333333333</v>
      </c>
      <c r="P170" s="21">
        <v>30</v>
      </c>
      <c r="Q170" s="29">
        <v>8</v>
      </c>
      <c r="R170" s="30">
        <f t="shared" si="169"/>
        <v>0.156555772994129</v>
      </c>
      <c r="S170" s="26">
        <f t="shared" si="170"/>
        <v>0.108137334414707</v>
      </c>
      <c r="T170" s="30">
        <f t="shared" si="171"/>
        <v>0</v>
      </c>
      <c r="U170" s="30">
        <v>0.01</v>
      </c>
      <c r="V170" s="30">
        <f t="shared" si="172"/>
        <v>0.387233084529727</v>
      </c>
      <c r="W170" s="30">
        <f t="shared" si="173"/>
        <v>0.0198956294846706</v>
      </c>
      <c r="X170" s="31">
        <v>0.188</v>
      </c>
      <c r="Y170" s="32">
        <v>4</v>
      </c>
      <c r="Z170" s="32">
        <v>0</v>
      </c>
      <c r="AA170" s="32">
        <f t="shared" si="174"/>
        <v>0.2555</v>
      </c>
      <c r="AB170" s="27">
        <f t="shared" si="175"/>
        <v>4.8034</v>
      </c>
      <c r="AC170" s="27">
        <v>80.4</v>
      </c>
      <c r="AD170" s="33">
        <f t="shared" si="176"/>
        <v>71.1504424778761</v>
      </c>
      <c r="AE170" s="29">
        <f t="shared" si="181"/>
        <v>1</v>
      </c>
      <c r="AF170" s="30">
        <f t="shared" si="177"/>
        <v>0.348094141281194</v>
      </c>
      <c r="AG170" s="30">
        <f t="shared" si="178"/>
        <v>0.00489236790606654</v>
      </c>
      <c r="AH170" s="29">
        <v>8</v>
      </c>
      <c r="AI170" s="26">
        <f t="shared" si="179"/>
        <v>0.326955393349554</v>
      </c>
      <c r="AJ170" s="26"/>
      <c r="AK170" s="26"/>
      <c r="AL170" s="26"/>
      <c r="AM170" s="26"/>
      <c r="AN170" s="34"/>
      <c r="AO170" s="34"/>
      <c r="AP170" s="34"/>
      <c r="AQ170" s="34"/>
      <c r="AR170" s="34"/>
      <c r="AS170" s="34"/>
      <c r="AT170" s="34" t="s">
        <v>156</v>
      </c>
      <c r="AU170" s="34" t="s">
        <v>156</v>
      </c>
      <c r="AV170" s="34" t="s">
        <v>156</v>
      </c>
      <c r="AW170" s="34" t="s">
        <v>156</v>
      </c>
      <c r="AX170" s="34" t="s">
        <v>156</v>
      </c>
      <c r="AY170" s="34" t="s">
        <v>156</v>
      </c>
      <c r="AZ170" s="34" t="s">
        <v>156</v>
      </c>
      <c r="BA170" s="34" t="s">
        <v>156</v>
      </c>
      <c r="BB170" s="34" t="s">
        <v>156</v>
      </c>
      <c r="BC170" s="34" t="s">
        <v>156</v>
      </c>
      <c r="BD170" s="34" t="s">
        <v>156</v>
      </c>
      <c r="BE170" s="34" t="s">
        <v>156</v>
      </c>
      <c r="BF170" s="34" t="s">
        <v>156</v>
      </c>
      <c r="BG170" s="34" t="s">
        <v>156</v>
      </c>
      <c r="BH170" s="34" t="s">
        <v>156</v>
      </c>
      <c r="BI170" s="34" t="s">
        <v>156</v>
      </c>
      <c r="BJ170" s="34" t="s">
        <v>156</v>
      </c>
      <c r="BK170" s="34" t="s">
        <v>156</v>
      </c>
      <c r="BL170" s="34" t="s">
        <v>156</v>
      </c>
      <c r="BM170" s="34" t="s">
        <v>156</v>
      </c>
      <c r="BN170" s="34" t="s">
        <v>156</v>
      </c>
      <c r="BO170" s="34" t="s">
        <v>156</v>
      </c>
      <c r="BP170" s="34" t="s">
        <v>156</v>
      </c>
      <c r="BQ170" s="34" t="s">
        <v>156</v>
      </c>
      <c r="BR170" s="35"/>
      <c r="BS170" s="20" t="s">
        <v>157</v>
      </c>
    </row>
    <row r="171" ht="16.5" spans="1:71">
      <c r="A171" s="21" t="s">
        <v>45</v>
      </c>
      <c r="B171" s="21"/>
      <c r="C171" s="51"/>
      <c r="D171" s="39" t="s">
        <v>197</v>
      </c>
      <c r="E171" s="55">
        <v>25.55</v>
      </c>
      <c r="F171" s="24">
        <v>36.99</v>
      </c>
      <c r="G171" s="25">
        <f t="shared" si="161"/>
        <v>33.291</v>
      </c>
      <c r="H171" s="25">
        <f t="shared" si="162"/>
        <v>27.7425</v>
      </c>
      <c r="I171" s="36">
        <f t="shared" si="163"/>
        <v>2.38996135693215</v>
      </c>
      <c r="J171" s="26">
        <f t="shared" si="164"/>
        <v>0.0935405619151528</v>
      </c>
      <c r="K171" s="27">
        <f t="shared" si="165"/>
        <v>30.825</v>
      </c>
      <c r="L171" s="28">
        <f t="shared" si="166"/>
        <v>0.171127331711273</v>
      </c>
      <c r="M171" s="25">
        <f t="shared" si="167"/>
        <v>5.275</v>
      </c>
      <c r="N171" s="27">
        <f t="shared" si="180"/>
        <v>79.1504424778761</v>
      </c>
      <c r="O171" s="27">
        <f t="shared" si="168"/>
        <v>0.508333333333333</v>
      </c>
      <c r="P171" s="21">
        <v>30</v>
      </c>
      <c r="Q171" s="29">
        <v>8</v>
      </c>
      <c r="R171" s="30">
        <f t="shared" si="169"/>
        <v>0.156555772994129</v>
      </c>
      <c r="S171" s="26">
        <f t="shared" si="170"/>
        <v>0.108137334414707</v>
      </c>
      <c r="T171" s="30">
        <f t="shared" si="171"/>
        <v>0.144774951076321</v>
      </c>
      <c r="U171" s="30">
        <v>0.01</v>
      </c>
      <c r="V171" s="30">
        <f t="shared" si="172"/>
        <v>0.387233084529727</v>
      </c>
      <c r="W171" s="30">
        <f t="shared" si="173"/>
        <v>0.0198956294846706</v>
      </c>
      <c r="X171" s="31">
        <v>0.188</v>
      </c>
      <c r="Y171" s="32">
        <v>4</v>
      </c>
      <c r="Z171" s="32">
        <f>F171*0.1</f>
        <v>3.699</v>
      </c>
      <c r="AA171" s="32">
        <f t="shared" si="174"/>
        <v>0.2555</v>
      </c>
      <c r="AB171" s="27">
        <f t="shared" si="175"/>
        <v>4.8034</v>
      </c>
      <c r="AC171" s="27">
        <v>80.4</v>
      </c>
      <c r="AD171" s="33">
        <f t="shared" si="176"/>
        <v>71.1504424778761</v>
      </c>
      <c r="AE171" s="29">
        <f t="shared" si="181"/>
        <v>1</v>
      </c>
      <c r="AF171" s="30">
        <f t="shared" si="177"/>
        <v>0.348094141281194</v>
      </c>
      <c r="AG171" s="30">
        <f t="shared" si="178"/>
        <v>0.00489236790606654</v>
      </c>
      <c r="AH171" s="29">
        <v>8</v>
      </c>
      <c r="AI171" s="26">
        <f t="shared" si="179"/>
        <v>0.252172659277282</v>
      </c>
      <c r="AJ171" s="26"/>
      <c r="AK171" s="26"/>
      <c r="AL171" s="26"/>
      <c r="AM171" s="26"/>
      <c r="AN171" s="34"/>
      <c r="AO171" s="34"/>
      <c r="AP171" s="34"/>
      <c r="AQ171" s="34"/>
      <c r="AR171" s="34"/>
      <c r="AS171" s="34"/>
      <c r="AT171" s="34" t="s">
        <v>156</v>
      </c>
      <c r="AU171" s="34" t="s">
        <v>156</v>
      </c>
      <c r="AV171" s="34" t="s">
        <v>156</v>
      </c>
      <c r="AW171" s="34" t="s">
        <v>156</v>
      </c>
      <c r="AX171" s="34" t="s">
        <v>156</v>
      </c>
      <c r="AY171" s="34" t="s">
        <v>156</v>
      </c>
      <c r="AZ171" s="34" t="s">
        <v>156</v>
      </c>
      <c r="BA171" s="34" t="s">
        <v>156</v>
      </c>
      <c r="BB171" s="34" t="s">
        <v>156</v>
      </c>
      <c r="BC171" s="34" t="s">
        <v>156</v>
      </c>
      <c r="BD171" s="34" t="s">
        <v>156</v>
      </c>
      <c r="BE171" s="34" t="s">
        <v>156</v>
      </c>
      <c r="BF171" s="34" t="s">
        <v>156</v>
      </c>
      <c r="BG171" s="34" t="s">
        <v>156</v>
      </c>
      <c r="BH171" s="34" t="s">
        <v>156</v>
      </c>
      <c r="BI171" s="34" t="s">
        <v>156</v>
      </c>
      <c r="BJ171" s="34" t="s">
        <v>156</v>
      </c>
      <c r="BK171" s="34" t="s">
        <v>156</v>
      </c>
      <c r="BL171" s="34" t="s">
        <v>156</v>
      </c>
      <c r="BM171" s="34" t="s">
        <v>156</v>
      </c>
      <c r="BN171" s="34" t="s">
        <v>156</v>
      </c>
      <c r="BO171" s="34" t="s">
        <v>156</v>
      </c>
      <c r="BP171" s="34" t="s">
        <v>156</v>
      </c>
      <c r="BQ171" s="34" t="s">
        <v>156</v>
      </c>
      <c r="BR171" s="35"/>
      <c r="BS171" s="20" t="s">
        <v>157</v>
      </c>
    </row>
    <row r="172" ht="16.5" spans="1:71">
      <c r="A172" s="21" t="s">
        <v>45</v>
      </c>
      <c r="B172" s="21"/>
      <c r="C172" s="51"/>
      <c r="D172" s="39" t="s">
        <v>198</v>
      </c>
      <c r="E172" s="55">
        <v>25.55</v>
      </c>
      <c r="F172" s="24">
        <v>36.99</v>
      </c>
      <c r="G172" s="25">
        <f t="shared" si="161"/>
        <v>31.4415</v>
      </c>
      <c r="H172" s="25">
        <f t="shared" si="162"/>
        <v>26.20125</v>
      </c>
      <c r="I172" s="25">
        <f t="shared" si="163"/>
        <v>0.540461356932154</v>
      </c>
      <c r="J172" s="26">
        <f t="shared" si="164"/>
        <v>0.0211530863769923</v>
      </c>
      <c r="K172" s="27">
        <f t="shared" si="165"/>
        <v>30.825</v>
      </c>
      <c r="L172" s="28">
        <f t="shared" si="166"/>
        <v>0.171127331711273</v>
      </c>
      <c r="M172" s="25">
        <f t="shared" si="167"/>
        <v>5.275</v>
      </c>
      <c r="N172" s="27">
        <f t="shared" si="180"/>
        <v>79.1504424778761</v>
      </c>
      <c r="O172" s="27">
        <f t="shared" si="168"/>
        <v>0.508333333333333</v>
      </c>
      <c r="P172" s="21">
        <v>30</v>
      </c>
      <c r="Q172" s="29">
        <v>8</v>
      </c>
      <c r="R172" s="30">
        <f t="shared" si="169"/>
        <v>0.156555772994129</v>
      </c>
      <c r="S172" s="26">
        <f t="shared" si="170"/>
        <v>0.108137334414707</v>
      </c>
      <c r="T172" s="30">
        <f t="shared" si="171"/>
        <v>0.217162426614481</v>
      </c>
      <c r="U172" s="30">
        <v>0.01</v>
      </c>
      <c r="V172" s="30">
        <f t="shared" si="172"/>
        <v>0.387233084529727</v>
      </c>
      <c r="W172" s="30">
        <f t="shared" si="173"/>
        <v>0.0198956294846706</v>
      </c>
      <c r="X172" s="31">
        <v>0.188</v>
      </c>
      <c r="Y172" s="32">
        <v>4</v>
      </c>
      <c r="Z172" s="32">
        <f>F172*0.15</f>
        <v>5.5485</v>
      </c>
      <c r="AA172" s="32">
        <f t="shared" si="174"/>
        <v>0.2555</v>
      </c>
      <c r="AB172" s="27">
        <f t="shared" si="175"/>
        <v>4.8034</v>
      </c>
      <c r="AC172" s="27">
        <v>80.4</v>
      </c>
      <c r="AD172" s="33">
        <f t="shared" si="176"/>
        <v>71.1504424778761</v>
      </c>
      <c r="AE172" s="29">
        <f t="shared" si="181"/>
        <v>1</v>
      </c>
      <c r="AF172" s="30">
        <f t="shared" si="177"/>
        <v>0.348094141281194</v>
      </c>
      <c r="AG172" s="30">
        <f t="shared" si="178"/>
        <v>0.00489236790606654</v>
      </c>
      <c r="AH172" s="29">
        <v>8</v>
      </c>
      <c r="AI172" s="26">
        <f t="shared" si="179"/>
        <v>0.208182815705358</v>
      </c>
      <c r="AJ172" s="26"/>
      <c r="AK172" s="26"/>
      <c r="AL172" s="26"/>
      <c r="AM172" s="26"/>
      <c r="AN172" s="34"/>
      <c r="AO172" s="34"/>
      <c r="AP172" s="34"/>
      <c r="AQ172" s="34"/>
      <c r="AR172" s="34"/>
      <c r="AS172" s="34"/>
      <c r="AT172" s="34" t="s">
        <v>156</v>
      </c>
      <c r="AU172" s="34" t="s">
        <v>156</v>
      </c>
      <c r="AV172" s="34" t="s">
        <v>156</v>
      </c>
      <c r="AW172" s="34" t="s">
        <v>156</v>
      </c>
      <c r="AX172" s="34" t="s">
        <v>156</v>
      </c>
      <c r="AY172" s="34" t="s">
        <v>156</v>
      </c>
      <c r="AZ172" s="34" t="s">
        <v>156</v>
      </c>
      <c r="BA172" s="34" t="s">
        <v>156</v>
      </c>
      <c r="BB172" s="34" t="s">
        <v>156</v>
      </c>
      <c r="BC172" s="34" t="s">
        <v>156</v>
      </c>
      <c r="BD172" s="34" t="s">
        <v>156</v>
      </c>
      <c r="BE172" s="34" t="s">
        <v>156</v>
      </c>
      <c r="BF172" s="34" t="s">
        <v>156</v>
      </c>
      <c r="BG172" s="34" t="s">
        <v>156</v>
      </c>
      <c r="BH172" s="34" t="s">
        <v>156</v>
      </c>
      <c r="BI172" s="34" t="s">
        <v>156</v>
      </c>
      <c r="BJ172" s="34" t="s">
        <v>156</v>
      </c>
      <c r="BK172" s="34" t="s">
        <v>156</v>
      </c>
      <c r="BL172" s="34" t="s">
        <v>156</v>
      </c>
      <c r="BM172" s="34" t="s">
        <v>156</v>
      </c>
      <c r="BN172" s="34" t="s">
        <v>156</v>
      </c>
      <c r="BO172" s="34" t="s">
        <v>156</v>
      </c>
      <c r="BP172" s="34" t="s">
        <v>156</v>
      </c>
      <c r="BQ172" s="34" t="s">
        <v>156</v>
      </c>
      <c r="BR172" s="35"/>
      <c r="BS172" s="20" t="s">
        <v>157</v>
      </c>
    </row>
    <row r="173" ht="16.5" spans="1:71">
      <c r="A173" s="21" t="s">
        <v>48</v>
      </c>
      <c r="B173" s="21"/>
      <c r="C173" s="51"/>
      <c r="D173" s="39" t="s">
        <v>196</v>
      </c>
      <c r="E173" s="55">
        <v>25.55</v>
      </c>
      <c r="F173" s="24">
        <v>36.99</v>
      </c>
      <c r="G173" s="25">
        <f t="shared" si="161"/>
        <v>36.99</v>
      </c>
      <c r="H173" s="25">
        <f t="shared" si="162"/>
        <v>30.825</v>
      </c>
      <c r="I173" s="25">
        <f t="shared" si="163"/>
        <v>5.95562802359882</v>
      </c>
      <c r="J173" s="26">
        <f t="shared" si="164"/>
        <v>0.233096987225003</v>
      </c>
      <c r="K173" s="27">
        <f t="shared" si="165"/>
        <v>30.825</v>
      </c>
      <c r="L173" s="28">
        <f t="shared" si="166"/>
        <v>0.171127331711273</v>
      </c>
      <c r="M173" s="25">
        <f t="shared" si="167"/>
        <v>5.275</v>
      </c>
      <c r="N173" s="27">
        <f t="shared" si="180"/>
        <v>79.1504424778761</v>
      </c>
      <c r="O173" s="27">
        <f t="shared" si="168"/>
        <v>0.641666666666667</v>
      </c>
      <c r="P173" s="21">
        <v>30</v>
      </c>
      <c r="Q173" s="29">
        <v>8</v>
      </c>
      <c r="R173" s="30">
        <f t="shared" si="169"/>
        <v>0.156555772994129</v>
      </c>
      <c r="S173" s="26">
        <f t="shared" si="170"/>
        <v>0.108137334414707</v>
      </c>
      <c r="T173" s="30">
        <f t="shared" si="171"/>
        <v>0</v>
      </c>
      <c r="U173" s="30">
        <v>0.01</v>
      </c>
      <c r="V173" s="30">
        <f t="shared" si="172"/>
        <v>0.387233084529727</v>
      </c>
      <c r="W173" s="30">
        <f t="shared" si="173"/>
        <v>0.0251141552511416</v>
      </c>
      <c r="X173" s="31">
        <v>0.188</v>
      </c>
      <c r="Y173" s="32">
        <v>4</v>
      </c>
      <c r="Z173" s="32">
        <v>0</v>
      </c>
      <c r="AA173" s="32">
        <f t="shared" si="174"/>
        <v>0.2555</v>
      </c>
      <c r="AB173" s="27">
        <f t="shared" si="175"/>
        <v>4.8034</v>
      </c>
      <c r="AC173" s="27">
        <v>80.4</v>
      </c>
      <c r="AD173" s="33">
        <f t="shared" si="176"/>
        <v>71.1504424778761</v>
      </c>
      <c r="AE173" s="29">
        <f t="shared" si="181"/>
        <v>1</v>
      </c>
      <c r="AF173" s="30">
        <f t="shared" si="177"/>
        <v>0.348094141281194</v>
      </c>
      <c r="AG173" s="30">
        <f t="shared" si="178"/>
        <v>0.00489236790606654</v>
      </c>
      <c r="AH173" s="29">
        <v>8</v>
      </c>
      <c r="AI173" s="30">
        <f t="shared" si="179"/>
        <v>0.326955393349554</v>
      </c>
      <c r="AJ173" s="30"/>
      <c r="AK173" s="30"/>
      <c r="AL173" s="30"/>
      <c r="AM173" s="30"/>
      <c r="AN173" s="34"/>
      <c r="AO173" s="34"/>
      <c r="AP173" s="34"/>
      <c r="AQ173" s="34"/>
      <c r="AR173" s="34"/>
      <c r="AS173" s="34"/>
      <c r="AT173" s="34" t="s">
        <v>156</v>
      </c>
      <c r="AU173" s="34" t="s">
        <v>156</v>
      </c>
      <c r="AV173" s="34" t="s">
        <v>156</v>
      </c>
      <c r="AW173" s="34" t="s">
        <v>156</v>
      </c>
      <c r="AX173" s="34" t="s">
        <v>156</v>
      </c>
      <c r="AY173" s="34" t="s">
        <v>156</v>
      </c>
      <c r="AZ173" s="34" t="s">
        <v>156</v>
      </c>
      <c r="BA173" s="34" t="s">
        <v>156</v>
      </c>
      <c r="BB173" s="34" t="s">
        <v>156</v>
      </c>
      <c r="BC173" s="34" t="s">
        <v>156</v>
      </c>
      <c r="BD173" s="34" t="s">
        <v>156</v>
      </c>
      <c r="BE173" s="34" t="s">
        <v>156</v>
      </c>
      <c r="BF173" s="34" t="s">
        <v>156</v>
      </c>
      <c r="BG173" s="34" t="s">
        <v>156</v>
      </c>
      <c r="BH173" s="34" t="s">
        <v>156</v>
      </c>
      <c r="BI173" s="34" t="s">
        <v>156</v>
      </c>
      <c r="BJ173" s="34" t="s">
        <v>156</v>
      </c>
      <c r="BK173" s="34" t="s">
        <v>156</v>
      </c>
      <c r="BL173" s="34" t="s">
        <v>156</v>
      </c>
      <c r="BM173" s="34" t="s">
        <v>156</v>
      </c>
      <c r="BN173" s="34" t="s">
        <v>156</v>
      </c>
      <c r="BO173" s="34" t="s">
        <v>156</v>
      </c>
      <c r="BP173" s="34" t="s">
        <v>156</v>
      </c>
      <c r="BQ173" s="34" t="s">
        <v>156</v>
      </c>
      <c r="BR173" s="35"/>
      <c r="BS173" s="20" t="s">
        <v>157</v>
      </c>
    </row>
    <row r="174" ht="16.5" spans="1:71">
      <c r="A174" s="21" t="s">
        <v>48</v>
      </c>
      <c r="B174" s="21"/>
      <c r="C174" s="51"/>
      <c r="D174" s="39" t="s">
        <v>197</v>
      </c>
      <c r="E174" s="55">
        <v>25.55</v>
      </c>
      <c r="F174" s="24">
        <v>36.99</v>
      </c>
      <c r="G174" s="25">
        <f t="shared" si="161"/>
        <v>33.291</v>
      </c>
      <c r="H174" s="25">
        <f t="shared" si="162"/>
        <v>27.7425</v>
      </c>
      <c r="I174" s="36">
        <f t="shared" si="163"/>
        <v>2.25662802359882</v>
      </c>
      <c r="J174" s="26">
        <f t="shared" si="164"/>
        <v>0.0883220361486818</v>
      </c>
      <c r="K174" s="27">
        <f t="shared" si="165"/>
        <v>30.825</v>
      </c>
      <c r="L174" s="28">
        <f t="shared" si="166"/>
        <v>0.171127331711273</v>
      </c>
      <c r="M174" s="25">
        <f t="shared" si="167"/>
        <v>5.275</v>
      </c>
      <c r="N174" s="27">
        <f t="shared" si="180"/>
        <v>79.1504424778761</v>
      </c>
      <c r="O174" s="27">
        <f t="shared" si="168"/>
        <v>0.641666666666667</v>
      </c>
      <c r="P174" s="21">
        <v>30</v>
      </c>
      <c r="Q174" s="29">
        <v>8</v>
      </c>
      <c r="R174" s="30">
        <f t="shared" si="169"/>
        <v>0.156555772994129</v>
      </c>
      <c r="S174" s="26">
        <f t="shared" si="170"/>
        <v>0.108137334414707</v>
      </c>
      <c r="T174" s="30">
        <f t="shared" si="171"/>
        <v>0.144774951076321</v>
      </c>
      <c r="U174" s="30">
        <v>0.01</v>
      </c>
      <c r="V174" s="30">
        <f t="shared" si="172"/>
        <v>0.387233084529727</v>
      </c>
      <c r="W174" s="30">
        <f t="shared" si="173"/>
        <v>0.0251141552511416</v>
      </c>
      <c r="X174" s="31">
        <v>0.188</v>
      </c>
      <c r="Y174" s="32">
        <v>4</v>
      </c>
      <c r="Z174" s="32">
        <f>F174*0.1</f>
        <v>3.699</v>
      </c>
      <c r="AA174" s="32">
        <f t="shared" si="174"/>
        <v>0.2555</v>
      </c>
      <c r="AB174" s="27">
        <f t="shared" si="175"/>
        <v>4.8034</v>
      </c>
      <c r="AC174" s="27">
        <v>80.4</v>
      </c>
      <c r="AD174" s="33">
        <f t="shared" si="176"/>
        <v>71.1504424778761</v>
      </c>
      <c r="AE174" s="29">
        <f t="shared" si="181"/>
        <v>1</v>
      </c>
      <c r="AF174" s="30">
        <f t="shared" si="177"/>
        <v>0.348094141281194</v>
      </c>
      <c r="AG174" s="30">
        <f t="shared" si="178"/>
        <v>0.00489236790606654</v>
      </c>
      <c r="AH174" s="29">
        <v>8</v>
      </c>
      <c r="AI174" s="30">
        <f t="shared" si="179"/>
        <v>0.252172659277282</v>
      </c>
      <c r="AJ174" s="30"/>
      <c r="AK174" s="30"/>
      <c r="AL174" s="30"/>
      <c r="AM174" s="30"/>
      <c r="AN174" s="34"/>
      <c r="AO174" s="34"/>
      <c r="AP174" s="34"/>
      <c r="AQ174" s="34"/>
      <c r="AR174" s="34"/>
      <c r="AS174" s="34"/>
      <c r="AT174" s="34" t="s">
        <v>156</v>
      </c>
      <c r="AU174" s="34" t="s">
        <v>156</v>
      </c>
      <c r="AV174" s="34" t="s">
        <v>156</v>
      </c>
      <c r="AW174" s="34" t="s">
        <v>156</v>
      </c>
      <c r="AX174" s="34" t="s">
        <v>156</v>
      </c>
      <c r="AY174" s="34" t="s">
        <v>156</v>
      </c>
      <c r="AZ174" s="34" t="s">
        <v>156</v>
      </c>
      <c r="BA174" s="34" t="s">
        <v>156</v>
      </c>
      <c r="BB174" s="34" t="s">
        <v>156</v>
      </c>
      <c r="BC174" s="34" t="s">
        <v>156</v>
      </c>
      <c r="BD174" s="34" t="s">
        <v>156</v>
      </c>
      <c r="BE174" s="34" t="s">
        <v>156</v>
      </c>
      <c r="BF174" s="34" t="s">
        <v>156</v>
      </c>
      <c r="BG174" s="34" t="s">
        <v>156</v>
      </c>
      <c r="BH174" s="34" t="s">
        <v>156</v>
      </c>
      <c r="BI174" s="34" t="s">
        <v>156</v>
      </c>
      <c r="BJ174" s="34" t="s">
        <v>156</v>
      </c>
      <c r="BK174" s="34" t="s">
        <v>156</v>
      </c>
      <c r="BL174" s="34" t="s">
        <v>156</v>
      </c>
      <c r="BM174" s="34" t="s">
        <v>156</v>
      </c>
      <c r="BN174" s="34" t="s">
        <v>156</v>
      </c>
      <c r="BO174" s="34" t="s">
        <v>156</v>
      </c>
      <c r="BP174" s="34" t="s">
        <v>156</v>
      </c>
      <c r="BQ174" s="34" t="s">
        <v>156</v>
      </c>
      <c r="BR174" s="35"/>
      <c r="BS174" s="20" t="s">
        <v>157</v>
      </c>
    </row>
    <row r="175" ht="16.5" spans="1:71">
      <c r="A175" s="21" t="s">
        <v>48</v>
      </c>
      <c r="B175" s="21"/>
      <c r="C175" s="51"/>
      <c r="D175" s="39" t="s">
        <v>198</v>
      </c>
      <c r="E175" s="55">
        <v>25.55</v>
      </c>
      <c r="F175" s="24">
        <v>36.99</v>
      </c>
      <c r="G175" s="25">
        <f t="shared" si="161"/>
        <v>31.4415</v>
      </c>
      <c r="H175" s="25">
        <f t="shared" si="162"/>
        <v>26.20125</v>
      </c>
      <c r="I175" s="25">
        <f t="shared" si="163"/>
        <v>0.40712802359882</v>
      </c>
      <c r="J175" s="26">
        <f t="shared" si="164"/>
        <v>0.0159345606105213</v>
      </c>
      <c r="K175" s="27">
        <f t="shared" si="165"/>
        <v>30.825</v>
      </c>
      <c r="L175" s="28">
        <f t="shared" si="166"/>
        <v>0.171127331711273</v>
      </c>
      <c r="M175" s="25">
        <f t="shared" si="167"/>
        <v>5.275</v>
      </c>
      <c r="N175" s="27">
        <f t="shared" si="180"/>
        <v>79.1504424778761</v>
      </c>
      <c r="O175" s="27">
        <f t="shared" si="168"/>
        <v>0.641666666666667</v>
      </c>
      <c r="P175" s="21">
        <v>30</v>
      </c>
      <c r="Q175" s="29">
        <v>8</v>
      </c>
      <c r="R175" s="30">
        <f t="shared" si="169"/>
        <v>0.156555772994129</v>
      </c>
      <c r="S175" s="26">
        <f t="shared" si="170"/>
        <v>0.108137334414707</v>
      </c>
      <c r="T175" s="30">
        <f t="shared" si="171"/>
        <v>0.217162426614481</v>
      </c>
      <c r="U175" s="30">
        <v>0.01</v>
      </c>
      <c r="V175" s="30">
        <f t="shared" si="172"/>
        <v>0.387233084529727</v>
      </c>
      <c r="W175" s="30">
        <f t="shared" si="173"/>
        <v>0.0251141552511416</v>
      </c>
      <c r="X175" s="31">
        <v>0.188</v>
      </c>
      <c r="Y175" s="32">
        <v>4</v>
      </c>
      <c r="Z175" s="32">
        <f>F175*0.15</f>
        <v>5.5485</v>
      </c>
      <c r="AA175" s="32">
        <f t="shared" si="174"/>
        <v>0.2555</v>
      </c>
      <c r="AB175" s="27">
        <f t="shared" si="175"/>
        <v>4.8034</v>
      </c>
      <c r="AC175" s="27">
        <v>80.4</v>
      </c>
      <c r="AD175" s="33">
        <f t="shared" si="176"/>
        <v>71.1504424778761</v>
      </c>
      <c r="AE175" s="29">
        <f t="shared" si="181"/>
        <v>1</v>
      </c>
      <c r="AF175" s="30">
        <f t="shared" si="177"/>
        <v>0.348094141281194</v>
      </c>
      <c r="AG175" s="30">
        <f t="shared" si="178"/>
        <v>0.00489236790606654</v>
      </c>
      <c r="AH175" s="29">
        <v>8</v>
      </c>
      <c r="AI175" s="30">
        <f t="shared" si="179"/>
        <v>0.208182815705358</v>
      </c>
      <c r="AJ175" s="30"/>
      <c r="AK175" s="30"/>
      <c r="AL175" s="30"/>
      <c r="AM175" s="30"/>
      <c r="AN175" s="34"/>
      <c r="AO175" s="34"/>
      <c r="AP175" s="34"/>
      <c r="AQ175" s="34"/>
      <c r="AR175" s="34"/>
      <c r="AS175" s="34"/>
      <c r="AT175" s="34" t="s">
        <v>156</v>
      </c>
      <c r="AU175" s="34" t="s">
        <v>156</v>
      </c>
      <c r="AV175" s="34" t="s">
        <v>156</v>
      </c>
      <c r="AW175" s="34" t="s">
        <v>156</v>
      </c>
      <c r="AX175" s="34" t="s">
        <v>156</v>
      </c>
      <c r="AY175" s="34" t="s">
        <v>156</v>
      </c>
      <c r="AZ175" s="34" t="s">
        <v>156</v>
      </c>
      <c r="BA175" s="34" t="s">
        <v>156</v>
      </c>
      <c r="BB175" s="34" t="s">
        <v>156</v>
      </c>
      <c r="BC175" s="34" t="s">
        <v>156</v>
      </c>
      <c r="BD175" s="34" t="s">
        <v>156</v>
      </c>
      <c r="BE175" s="34" t="s">
        <v>156</v>
      </c>
      <c r="BF175" s="34" t="s">
        <v>156</v>
      </c>
      <c r="BG175" s="34" t="s">
        <v>156</v>
      </c>
      <c r="BH175" s="34" t="s">
        <v>156</v>
      </c>
      <c r="BI175" s="34" t="s">
        <v>156</v>
      </c>
      <c r="BJ175" s="34" t="s">
        <v>156</v>
      </c>
      <c r="BK175" s="34" t="s">
        <v>156</v>
      </c>
      <c r="BL175" s="34" t="s">
        <v>156</v>
      </c>
      <c r="BM175" s="34" t="s">
        <v>156</v>
      </c>
      <c r="BN175" s="34" t="s">
        <v>156</v>
      </c>
      <c r="BO175" s="34" t="s">
        <v>156</v>
      </c>
      <c r="BP175" s="34" t="s">
        <v>156</v>
      </c>
      <c r="BQ175" s="34" t="s">
        <v>156</v>
      </c>
      <c r="BR175" s="35"/>
      <c r="BS175" s="20" t="s">
        <v>157</v>
      </c>
    </row>
    <row r="176" ht="16.5" spans="1:71">
      <c r="A176" s="21" t="s">
        <v>161</v>
      </c>
      <c r="B176" s="21"/>
      <c r="C176" s="51"/>
      <c r="D176" s="42" t="s">
        <v>199</v>
      </c>
      <c r="E176" s="55">
        <v>34</v>
      </c>
      <c r="F176" s="38">
        <v>49.99</v>
      </c>
      <c r="G176" s="25">
        <f t="shared" si="161"/>
        <v>49.99</v>
      </c>
      <c r="H176" s="25">
        <f t="shared" si="162"/>
        <v>41.6583333333333</v>
      </c>
      <c r="I176" s="25">
        <f t="shared" si="163"/>
        <v>16.8158613569322</v>
      </c>
      <c r="J176" s="26">
        <f t="shared" si="164"/>
        <v>0.494584157556828</v>
      </c>
      <c r="K176" s="27">
        <f t="shared" si="165"/>
        <v>41.6583333333333</v>
      </c>
      <c r="L176" s="28">
        <f t="shared" si="166"/>
        <v>0.183836767353471</v>
      </c>
      <c r="M176" s="25">
        <f t="shared" si="167"/>
        <v>7.65833333333334</v>
      </c>
      <c r="N176" s="27">
        <f t="shared" si="180"/>
        <v>79.1504424778761</v>
      </c>
      <c r="O176" s="27">
        <f t="shared" si="168"/>
        <v>0.558333333333333</v>
      </c>
      <c r="P176" s="21">
        <v>30</v>
      </c>
      <c r="Q176" s="29">
        <v>8</v>
      </c>
      <c r="R176" s="30">
        <f t="shared" si="169"/>
        <v>0</v>
      </c>
      <c r="S176" s="26">
        <f t="shared" si="170"/>
        <v>0</v>
      </c>
      <c r="T176" s="30">
        <f t="shared" si="171"/>
        <v>0</v>
      </c>
      <c r="U176" s="30">
        <v>0.01</v>
      </c>
      <c r="V176" s="30">
        <f t="shared" si="172"/>
        <v>0.290994273815721</v>
      </c>
      <c r="W176" s="30">
        <f t="shared" si="173"/>
        <v>0.016421568627451</v>
      </c>
      <c r="X176" s="31">
        <v>0.188</v>
      </c>
      <c r="Y176" s="32">
        <v>0</v>
      </c>
      <c r="Z176" s="32">
        <f t="shared" ref="Z176:Z179" si="182">F176*0</f>
        <v>0</v>
      </c>
      <c r="AA176" s="32">
        <f t="shared" si="174"/>
        <v>0.34</v>
      </c>
      <c r="AB176" s="27">
        <f t="shared" si="175"/>
        <v>6.392</v>
      </c>
      <c r="AC176" s="27">
        <v>80.4</v>
      </c>
      <c r="AD176" s="33">
        <f t="shared" si="176"/>
        <v>71.1504424778761</v>
      </c>
      <c r="AE176" s="29">
        <f t="shared" si="181"/>
        <v>1</v>
      </c>
      <c r="AF176" s="30">
        <f t="shared" si="177"/>
        <v>0.261582509109839</v>
      </c>
      <c r="AG176" s="30">
        <f t="shared" si="178"/>
        <v>0.00367647058823529</v>
      </c>
      <c r="AH176" s="29">
        <v>8</v>
      </c>
      <c r="AI176" s="30">
        <f t="shared" si="179"/>
        <v>0.337275455091018</v>
      </c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 t="s">
        <v>156</v>
      </c>
      <c r="AU176" s="34" t="s">
        <v>156</v>
      </c>
      <c r="AV176" s="34" t="s">
        <v>156</v>
      </c>
      <c r="AW176" s="34" t="s">
        <v>156</v>
      </c>
      <c r="AX176" s="34" t="s">
        <v>156</v>
      </c>
      <c r="AY176" s="34" t="s">
        <v>156</v>
      </c>
      <c r="AZ176" s="34" t="s">
        <v>156</v>
      </c>
      <c r="BA176" s="34" t="s">
        <v>156</v>
      </c>
      <c r="BB176" s="34" t="s">
        <v>156</v>
      </c>
      <c r="BC176" s="34" t="s">
        <v>156</v>
      </c>
      <c r="BD176" s="34" t="s">
        <v>156</v>
      </c>
      <c r="BE176" s="34" t="s">
        <v>156</v>
      </c>
      <c r="BF176" s="34" t="s">
        <v>156</v>
      </c>
      <c r="BG176" s="34" t="s">
        <v>156</v>
      </c>
      <c r="BH176" s="34" t="s">
        <v>156</v>
      </c>
      <c r="BI176" s="34" t="s">
        <v>156</v>
      </c>
      <c r="BJ176" s="34" t="s">
        <v>156</v>
      </c>
      <c r="BK176" s="34" t="s">
        <v>156</v>
      </c>
      <c r="BL176" s="34" t="s">
        <v>156</v>
      </c>
      <c r="BM176" s="34" t="s">
        <v>156</v>
      </c>
      <c r="BN176" s="34" t="s">
        <v>156</v>
      </c>
      <c r="BO176" s="34" t="s">
        <v>156</v>
      </c>
      <c r="BP176" s="34" t="s">
        <v>156</v>
      </c>
      <c r="BQ176" s="34" t="s">
        <v>156</v>
      </c>
      <c r="BR176" s="44" t="e">
        <f>IF(E176&lt;#REF!,1,0)</f>
        <v>#REF!</v>
      </c>
      <c r="BS176" s="20" t="s">
        <v>157</v>
      </c>
    </row>
    <row r="177" ht="16.5" spans="1:71">
      <c r="A177" s="21" t="s">
        <v>163</v>
      </c>
      <c r="B177" s="21"/>
      <c r="C177" s="51"/>
      <c r="D177" s="42" t="s">
        <v>200</v>
      </c>
      <c r="E177" s="55">
        <v>34</v>
      </c>
      <c r="F177" s="24">
        <v>49.99</v>
      </c>
      <c r="G177" s="25">
        <f t="shared" si="161"/>
        <v>49.99</v>
      </c>
      <c r="H177" s="25">
        <f t="shared" si="162"/>
        <v>41.6583333333333</v>
      </c>
      <c r="I177" s="25">
        <f t="shared" si="163"/>
        <v>16.9058613569322</v>
      </c>
      <c r="J177" s="26">
        <f t="shared" si="164"/>
        <v>0.497231216380357</v>
      </c>
      <c r="K177" s="27">
        <f t="shared" si="165"/>
        <v>41.6583333333333</v>
      </c>
      <c r="L177" s="28">
        <f t="shared" si="166"/>
        <v>0.183836767353471</v>
      </c>
      <c r="M177" s="25">
        <f t="shared" si="167"/>
        <v>7.65833333333334</v>
      </c>
      <c r="N177" s="27">
        <f t="shared" si="180"/>
        <v>79.1504424778761</v>
      </c>
      <c r="O177" s="27">
        <f t="shared" si="168"/>
        <v>0.468333333333333</v>
      </c>
      <c r="P177" s="21">
        <v>30</v>
      </c>
      <c r="Q177" s="29">
        <v>8</v>
      </c>
      <c r="R177" s="30">
        <f t="shared" si="169"/>
        <v>0</v>
      </c>
      <c r="S177" s="26">
        <f t="shared" si="170"/>
        <v>0</v>
      </c>
      <c r="T177" s="30">
        <f t="shared" si="171"/>
        <v>0</v>
      </c>
      <c r="U177" s="30">
        <v>0.01</v>
      </c>
      <c r="V177" s="30">
        <f t="shared" si="172"/>
        <v>0.290994273815721</v>
      </c>
      <c r="W177" s="30">
        <f t="shared" si="173"/>
        <v>0.0137745098039216</v>
      </c>
      <c r="X177" s="31">
        <v>0.188</v>
      </c>
      <c r="Y177" s="32">
        <v>0</v>
      </c>
      <c r="Z177" s="32">
        <f t="shared" si="182"/>
        <v>0</v>
      </c>
      <c r="AA177" s="32">
        <f t="shared" si="174"/>
        <v>0.34</v>
      </c>
      <c r="AB177" s="27">
        <f t="shared" si="175"/>
        <v>6.392</v>
      </c>
      <c r="AC177" s="27">
        <v>80.4</v>
      </c>
      <c r="AD177" s="33">
        <f t="shared" si="176"/>
        <v>71.1504424778761</v>
      </c>
      <c r="AE177" s="29">
        <f t="shared" si="181"/>
        <v>1</v>
      </c>
      <c r="AF177" s="30">
        <f t="shared" si="177"/>
        <v>0.261582509109839</v>
      </c>
      <c r="AG177" s="30">
        <f t="shared" si="178"/>
        <v>0.00367647058823529</v>
      </c>
      <c r="AH177" s="29">
        <v>8</v>
      </c>
      <c r="AI177" s="30">
        <f t="shared" si="179"/>
        <v>0.337275455091018</v>
      </c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 t="s">
        <v>156</v>
      </c>
      <c r="AU177" s="34" t="s">
        <v>156</v>
      </c>
      <c r="AV177" s="34" t="s">
        <v>156</v>
      </c>
      <c r="AW177" s="34" t="s">
        <v>156</v>
      </c>
      <c r="AX177" s="34" t="s">
        <v>156</v>
      </c>
      <c r="AY177" s="34" t="s">
        <v>156</v>
      </c>
      <c r="AZ177" s="34" t="s">
        <v>156</v>
      </c>
      <c r="BA177" s="34" t="s">
        <v>156</v>
      </c>
      <c r="BB177" s="34" t="s">
        <v>156</v>
      </c>
      <c r="BC177" s="34" t="s">
        <v>156</v>
      </c>
      <c r="BD177" s="34" t="s">
        <v>156</v>
      </c>
      <c r="BE177" s="34" t="s">
        <v>156</v>
      </c>
      <c r="BF177" s="34" t="s">
        <v>156</v>
      </c>
      <c r="BG177" s="34" t="s">
        <v>156</v>
      </c>
      <c r="BH177" s="34" t="s">
        <v>156</v>
      </c>
      <c r="BI177" s="34" t="s">
        <v>156</v>
      </c>
      <c r="BJ177" s="34" t="s">
        <v>156</v>
      </c>
      <c r="BK177" s="34" t="s">
        <v>156</v>
      </c>
      <c r="BL177" s="34" t="s">
        <v>156</v>
      </c>
      <c r="BM177" s="34" t="s">
        <v>156</v>
      </c>
      <c r="BN177" s="34" t="s">
        <v>156</v>
      </c>
      <c r="BO177" s="34" t="s">
        <v>156</v>
      </c>
      <c r="BP177" s="34" t="s">
        <v>156</v>
      </c>
      <c r="BQ177" s="34" t="s">
        <v>156</v>
      </c>
      <c r="BR177" s="44" t="e">
        <f>IF(E177&lt;#REF!,1,0)</f>
        <v>#REF!</v>
      </c>
      <c r="BS177" s="20" t="s">
        <v>157</v>
      </c>
    </row>
    <row r="178" ht="16.5" spans="1:71">
      <c r="A178" s="21" t="s">
        <v>165</v>
      </c>
      <c r="B178" s="21"/>
      <c r="C178" s="51"/>
      <c r="D178" s="42" t="s">
        <v>201</v>
      </c>
      <c r="E178" s="55">
        <v>34.5</v>
      </c>
      <c r="F178" s="38">
        <v>49.99</v>
      </c>
      <c r="G178" s="25">
        <f t="shared" si="161"/>
        <v>49.99</v>
      </c>
      <c r="H178" s="25">
        <f t="shared" si="162"/>
        <v>41.6583333333333</v>
      </c>
      <c r="I178" s="25">
        <f t="shared" si="163"/>
        <v>17.1668613569322</v>
      </c>
      <c r="J178" s="26">
        <f t="shared" si="164"/>
        <v>0.497590184258903</v>
      </c>
      <c r="K178" s="27">
        <f t="shared" si="165"/>
        <v>41.6583333333333</v>
      </c>
      <c r="L178" s="28">
        <f t="shared" si="166"/>
        <v>0.171834366873375</v>
      </c>
      <c r="M178" s="25">
        <f t="shared" si="167"/>
        <v>7.15833333333334</v>
      </c>
      <c r="N178" s="27">
        <f t="shared" si="180"/>
        <v>79.1504424778761</v>
      </c>
      <c r="O178" s="27">
        <f t="shared" si="168"/>
        <v>0.608333333333333</v>
      </c>
      <c r="P178" s="21">
        <v>30</v>
      </c>
      <c r="Q178" s="29">
        <v>8</v>
      </c>
      <c r="R178" s="30">
        <f t="shared" si="169"/>
        <v>0</v>
      </c>
      <c r="S178" s="26">
        <f t="shared" si="170"/>
        <v>0</v>
      </c>
      <c r="T178" s="30">
        <f t="shared" si="171"/>
        <v>0</v>
      </c>
      <c r="U178" s="30">
        <v>0.01</v>
      </c>
      <c r="V178" s="30">
        <f t="shared" si="172"/>
        <v>0.286776965499551</v>
      </c>
      <c r="W178" s="30">
        <f t="shared" si="173"/>
        <v>0.0176328502415459</v>
      </c>
      <c r="X178" s="31">
        <v>0.188</v>
      </c>
      <c r="Y178" s="32">
        <v>0</v>
      </c>
      <c r="Z178" s="32">
        <f t="shared" si="182"/>
        <v>0</v>
      </c>
      <c r="AA178" s="32">
        <f t="shared" si="174"/>
        <v>0.345</v>
      </c>
      <c r="AB178" s="27">
        <f t="shared" si="175"/>
        <v>6.486</v>
      </c>
      <c r="AC178" s="27">
        <v>80.4</v>
      </c>
      <c r="AD178" s="33">
        <f t="shared" si="176"/>
        <v>71.1504424778761</v>
      </c>
      <c r="AE178" s="29">
        <f t="shared" si="181"/>
        <v>1</v>
      </c>
      <c r="AF178" s="30">
        <f t="shared" si="177"/>
        <v>0.257791458253174</v>
      </c>
      <c r="AG178" s="30">
        <f t="shared" si="178"/>
        <v>0.0036231884057971</v>
      </c>
      <c r="AH178" s="29">
        <v>8</v>
      </c>
      <c r="AI178" s="30">
        <f t="shared" si="179"/>
        <v>0.32752950590118</v>
      </c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 t="s">
        <v>156</v>
      </c>
      <c r="AU178" s="34" t="s">
        <v>156</v>
      </c>
      <c r="AV178" s="34" t="s">
        <v>156</v>
      </c>
      <c r="AW178" s="34" t="s">
        <v>156</v>
      </c>
      <c r="AX178" s="34" t="s">
        <v>156</v>
      </c>
      <c r="AY178" s="34" t="s">
        <v>156</v>
      </c>
      <c r="AZ178" s="34" t="s">
        <v>156</v>
      </c>
      <c r="BA178" s="34" t="s">
        <v>156</v>
      </c>
      <c r="BB178" s="34" t="s">
        <v>156</v>
      </c>
      <c r="BC178" s="34" t="s">
        <v>156</v>
      </c>
      <c r="BD178" s="34" t="s">
        <v>156</v>
      </c>
      <c r="BE178" s="34" t="s">
        <v>156</v>
      </c>
      <c r="BF178" s="34" t="s">
        <v>156</v>
      </c>
      <c r="BG178" s="34" t="s">
        <v>156</v>
      </c>
      <c r="BH178" s="34" t="s">
        <v>156</v>
      </c>
      <c r="BI178" s="34" t="s">
        <v>156</v>
      </c>
      <c r="BJ178" s="34" t="s">
        <v>156</v>
      </c>
      <c r="BK178" s="34" t="s">
        <v>156</v>
      </c>
      <c r="BL178" s="34" t="s">
        <v>156</v>
      </c>
      <c r="BM178" s="34" t="s">
        <v>156</v>
      </c>
      <c r="BN178" s="34" t="s">
        <v>156</v>
      </c>
      <c r="BO178" s="34" t="s">
        <v>156</v>
      </c>
      <c r="BP178" s="34" t="s">
        <v>156</v>
      </c>
      <c r="BQ178" s="34" t="s">
        <v>156</v>
      </c>
      <c r="BR178" s="44" t="e">
        <f>IF(E178&lt;#REF!,1,0)</f>
        <v>#REF!</v>
      </c>
      <c r="BS178" s="20" t="s">
        <v>157</v>
      </c>
    </row>
    <row r="179" ht="16.5" spans="1:71">
      <c r="A179" s="21" t="s">
        <v>167</v>
      </c>
      <c r="B179" s="21"/>
      <c r="C179" s="51"/>
      <c r="D179" s="42" t="s">
        <v>202</v>
      </c>
      <c r="E179" s="55">
        <v>34</v>
      </c>
      <c r="F179" s="24">
        <v>49.99</v>
      </c>
      <c r="G179" s="25">
        <f t="shared" si="161"/>
        <v>49.99</v>
      </c>
      <c r="H179" s="25">
        <f t="shared" si="162"/>
        <v>41.6583333333333</v>
      </c>
      <c r="I179" s="25">
        <f t="shared" si="163"/>
        <v>16.8991946902655</v>
      </c>
      <c r="J179" s="26">
        <f t="shared" si="164"/>
        <v>0.497035137948985</v>
      </c>
      <c r="K179" s="27">
        <f t="shared" si="165"/>
        <v>41.6583333333333</v>
      </c>
      <c r="L179" s="28">
        <f t="shared" si="166"/>
        <v>0.183836767353471</v>
      </c>
      <c r="M179" s="25">
        <f t="shared" si="167"/>
        <v>7.65833333333334</v>
      </c>
      <c r="N179" s="27">
        <f t="shared" si="180"/>
        <v>79.1504424778761</v>
      </c>
      <c r="O179" s="27">
        <f t="shared" si="168"/>
        <v>0.475</v>
      </c>
      <c r="P179" s="21">
        <v>30</v>
      </c>
      <c r="Q179" s="29">
        <v>8</v>
      </c>
      <c r="R179" s="30">
        <f t="shared" si="169"/>
        <v>0</v>
      </c>
      <c r="S179" s="26">
        <f t="shared" si="170"/>
        <v>0</v>
      </c>
      <c r="T179" s="30">
        <f t="shared" si="171"/>
        <v>0</v>
      </c>
      <c r="U179" s="30">
        <v>0.01</v>
      </c>
      <c r="V179" s="30">
        <f t="shared" si="172"/>
        <v>0.290994273815721</v>
      </c>
      <c r="W179" s="30">
        <f t="shared" si="173"/>
        <v>0.0139705882352941</v>
      </c>
      <c r="X179" s="31">
        <v>0.188</v>
      </c>
      <c r="Y179" s="32">
        <v>0</v>
      </c>
      <c r="Z179" s="32">
        <f t="shared" si="182"/>
        <v>0</v>
      </c>
      <c r="AA179" s="32">
        <f t="shared" si="174"/>
        <v>0.34</v>
      </c>
      <c r="AB179" s="27">
        <f t="shared" si="175"/>
        <v>6.392</v>
      </c>
      <c r="AC179" s="27">
        <v>80.4</v>
      </c>
      <c r="AD179" s="33">
        <f t="shared" si="176"/>
        <v>71.1504424778761</v>
      </c>
      <c r="AE179" s="29">
        <f t="shared" si="181"/>
        <v>1</v>
      </c>
      <c r="AF179" s="30">
        <f t="shared" si="177"/>
        <v>0.261582509109839</v>
      </c>
      <c r="AG179" s="30">
        <f t="shared" si="178"/>
        <v>0.00367647058823529</v>
      </c>
      <c r="AH179" s="29">
        <v>8</v>
      </c>
      <c r="AI179" s="30">
        <f t="shared" si="179"/>
        <v>0.337275455091018</v>
      </c>
      <c r="AJ179" s="30"/>
      <c r="AK179" s="30"/>
      <c r="AL179" s="30"/>
      <c r="AM179" s="30"/>
      <c r="AN179" s="34"/>
      <c r="AO179" s="34"/>
      <c r="AP179" s="34"/>
      <c r="AQ179" s="34"/>
      <c r="AR179" s="34"/>
      <c r="AS179" s="34"/>
      <c r="AT179" s="34" t="s">
        <v>156</v>
      </c>
      <c r="AU179" s="34" t="s">
        <v>156</v>
      </c>
      <c r="AV179" s="34" t="s">
        <v>156</v>
      </c>
      <c r="AW179" s="34" t="s">
        <v>156</v>
      </c>
      <c r="AX179" s="34" t="s">
        <v>156</v>
      </c>
      <c r="AY179" s="34" t="s">
        <v>156</v>
      </c>
      <c r="AZ179" s="34" t="s">
        <v>156</v>
      </c>
      <c r="BA179" s="34" t="s">
        <v>156</v>
      </c>
      <c r="BB179" s="34" t="s">
        <v>156</v>
      </c>
      <c r="BC179" s="34" t="s">
        <v>156</v>
      </c>
      <c r="BD179" s="34" t="s">
        <v>156</v>
      </c>
      <c r="BE179" s="34" t="s">
        <v>156</v>
      </c>
      <c r="BF179" s="34" t="s">
        <v>156</v>
      </c>
      <c r="BG179" s="34" t="s">
        <v>156</v>
      </c>
      <c r="BH179" s="34" t="s">
        <v>156</v>
      </c>
      <c r="BI179" s="34" t="s">
        <v>156</v>
      </c>
      <c r="BJ179" s="34" t="s">
        <v>156</v>
      </c>
      <c r="BK179" s="34" t="s">
        <v>156</v>
      </c>
      <c r="BL179" s="34" t="s">
        <v>156</v>
      </c>
      <c r="BM179" s="34" t="s">
        <v>156</v>
      </c>
      <c r="BN179" s="34" t="s">
        <v>156</v>
      </c>
      <c r="BO179" s="34" t="s">
        <v>156</v>
      </c>
      <c r="BP179" s="34" t="s">
        <v>156</v>
      </c>
      <c r="BQ179" s="34" t="s">
        <v>156</v>
      </c>
      <c r="BR179" s="44" t="e">
        <f>IF(E179&lt;#REF!,1,0)</f>
        <v>#REF!</v>
      </c>
      <c r="BS179" s="20" t="s">
        <v>157</v>
      </c>
    </row>
    <row r="180" ht="16.5" spans="1:71">
      <c r="A180" s="21"/>
      <c r="B180" s="21"/>
      <c r="C180" s="21"/>
      <c r="D180" s="56"/>
      <c r="E180" s="27"/>
      <c r="F180" s="43"/>
      <c r="G180" s="25"/>
      <c r="H180" s="25"/>
      <c r="I180" s="25"/>
      <c r="J180" s="26"/>
      <c r="K180" s="27"/>
      <c r="L180" s="28"/>
      <c r="M180" s="25"/>
      <c r="N180" s="27"/>
      <c r="O180" s="27"/>
      <c r="P180" s="20"/>
      <c r="Q180" s="29"/>
      <c r="R180" s="30"/>
      <c r="S180" s="26"/>
      <c r="T180" s="30"/>
      <c r="U180" s="30"/>
      <c r="V180" s="30"/>
      <c r="W180" s="30"/>
      <c r="X180" s="31"/>
      <c r="Y180" s="32"/>
      <c r="Z180" s="32"/>
      <c r="AA180" s="32"/>
      <c r="AB180" s="27"/>
      <c r="AC180" s="27"/>
      <c r="AD180" s="33"/>
      <c r="AE180" s="29"/>
      <c r="AF180" s="30"/>
      <c r="AG180" s="30"/>
      <c r="AH180" s="29"/>
      <c r="AI180" s="30"/>
      <c r="AJ180" s="30"/>
      <c r="AK180" s="30"/>
      <c r="AL180" s="30"/>
      <c r="AM180" s="30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44"/>
      <c r="BS180" s="20"/>
    </row>
    <row r="181" ht="16.5" spans="1:71">
      <c r="A181" s="20" t="s">
        <v>50</v>
      </c>
      <c r="B181" s="21"/>
      <c r="C181" s="51"/>
      <c r="D181" s="39" t="s">
        <v>203</v>
      </c>
      <c r="E181" s="55">
        <v>10.3</v>
      </c>
      <c r="F181" s="38">
        <v>14.99</v>
      </c>
      <c r="G181" s="25">
        <f t="shared" ref="G181:G199" si="183">(F181-Z181)</f>
        <v>14.99</v>
      </c>
      <c r="H181" s="25">
        <f t="shared" ref="H181:H199" si="184">(F181-Z181)/1.2</f>
        <v>12.4916666666667</v>
      </c>
      <c r="I181" s="50">
        <f t="shared" ref="I181:I199" si="185">E181-N181/Q181-AB181-Y181-O181-Z181-AA181</f>
        <v>2.34930009832842</v>
      </c>
      <c r="J181" s="26">
        <f t="shared" ref="J181:J199" si="186">I181/E181</f>
        <v>0.228087388187225</v>
      </c>
      <c r="K181" s="27">
        <f t="shared" ref="K181:K199" si="187">F181/1.2</f>
        <v>12.4916666666667</v>
      </c>
      <c r="L181" s="28">
        <f t="shared" ref="L181:L199" si="188">(K181-E181)/K181</f>
        <v>0.175450300200133</v>
      </c>
      <c r="M181" s="25">
        <f t="shared" ref="M181:M199" si="189">F181/1.2-E181</f>
        <v>2.19166666666667</v>
      </c>
      <c r="N181" s="27">
        <f t="shared" ref="N181:N183" si="190">AD181+AH181</f>
        <v>30.0176991150442</v>
      </c>
      <c r="O181" s="27">
        <f t="shared" ref="O181:O199" si="191">IFERROR(IF(A181="UK",8.95/P181,IF(A181="DE",7.75/P181,IF(A181="FR",14.25/P181,IF(A181="IT",15.25/P181,IF(A181="ES",19.25/P181,IF(A181="NL",16.75/P181,IF(A181="PL",14.05/P181,IF(A181="SE",18.25/P181,IF(A181="BE",14.25/P181))))))))),0)</f>
        <v>0.179</v>
      </c>
      <c r="P181" s="20">
        <v>50</v>
      </c>
      <c r="Q181" s="29">
        <v>9</v>
      </c>
      <c r="R181" s="30">
        <f t="shared" ref="R181:R199" si="192">Y181/E181</f>
        <v>0.242718446601942</v>
      </c>
      <c r="S181" s="26">
        <f t="shared" ref="S181:S183" si="193">Y181/H181</f>
        <v>0.200133422281521</v>
      </c>
      <c r="T181" s="30">
        <f t="shared" ref="T181:T199" si="194">Z181/E181</f>
        <v>0</v>
      </c>
      <c r="U181" s="30">
        <v>0.01</v>
      </c>
      <c r="V181" s="30">
        <f t="shared" ref="V181:V199" si="195">N181/(E181*Q181)</f>
        <v>0.323815524434134</v>
      </c>
      <c r="W181" s="30">
        <f t="shared" ref="W181:W199" si="196">O181/E181</f>
        <v>0.017378640776699</v>
      </c>
      <c r="X181" s="31">
        <v>0.178</v>
      </c>
      <c r="Y181" s="32">
        <v>2.5</v>
      </c>
      <c r="Z181" s="32">
        <f>F181*0</f>
        <v>0</v>
      </c>
      <c r="AA181" s="32">
        <f t="shared" ref="AA181:AA199" si="197">E181*U181</f>
        <v>0.103</v>
      </c>
      <c r="AB181" s="27">
        <f t="shared" ref="AB181:AB199" si="198">E181*X181</f>
        <v>1.8334</v>
      </c>
      <c r="AC181" s="27">
        <v>29.4</v>
      </c>
      <c r="AD181" s="33">
        <f t="shared" ref="AD181:AD199" si="199">AC181/1.13</f>
        <v>26.0176991150442</v>
      </c>
      <c r="AE181" s="29">
        <f t="shared" ref="AE181:AE183" si="200">AH181/Q181</f>
        <v>0.444444444444444</v>
      </c>
      <c r="AF181" s="30">
        <f t="shared" ref="AF181:AF199" si="201">AD181/(E181*Q181)</f>
        <v>0.280665578371567</v>
      </c>
      <c r="AG181" s="30">
        <f t="shared" ref="AG181:AG183" si="202">AE181/E181</f>
        <v>0.0431499460625674</v>
      </c>
      <c r="AH181" s="29">
        <v>4</v>
      </c>
      <c r="AI181" s="30">
        <f t="shared" ref="AI181:AI188" si="203">(H181-E181+AB181)/H181</f>
        <v>0.32222014676451</v>
      </c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4" t="s">
        <v>156</v>
      </c>
      <c r="AU181" s="34" t="s">
        <v>156</v>
      </c>
      <c r="AV181" s="34" t="s">
        <v>156</v>
      </c>
      <c r="AW181" s="34" t="s">
        <v>156</v>
      </c>
      <c r="AX181" s="34" t="s">
        <v>156</v>
      </c>
      <c r="AY181" s="34" t="s">
        <v>156</v>
      </c>
      <c r="AZ181" s="34" t="s">
        <v>156</v>
      </c>
      <c r="BA181" s="34" t="s">
        <v>156</v>
      </c>
      <c r="BB181" s="34" t="s">
        <v>156</v>
      </c>
      <c r="BC181" s="34" t="s">
        <v>156</v>
      </c>
      <c r="BD181" s="34" t="s">
        <v>156</v>
      </c>
      <c r="BE181" s="34" t="s">
        <v>156</v>
      </c>
      <c r="BF181" s="34" t="s">
        <v>156</v>
      </c>
      <c r="BG181" s="34" t="s">
        <v>156</v>
      </c>
      <c r="BH181" s="34" t="s">
        <v>156</v>
      </c>
      <c r="BI181" s="34" t="s">
        <v>156</v>
      </c>
      <c r="BJ181" s="34" t="s">
        <v>156</v>
      </c>
      <c r="BK181" s="34" t="s">
        <v>156</v>
      </c>
      <c r="BL181" s="34" t="s">
        <v>156</v>
      </c>
      <c r="BM181" s="34" t="s">
        <v>156</v>
      </c>
      <c r="BN181" s="34" t="s">
        <v>156</v>
      </c>
      <c r="BO181" s="34" t="s">
        <v>156</v>
      </c>
      <c r="BP181" s="34" t="s">
        <v>156</v>
      </c>
      <c r="BQ181" s="34" t="s">
        <v>156</v>
      </c>
      <c r="BR181" s="35"/>
      <c r="BS181" s="20" t="s">
        <v>157</v>
      </c>
    </row>
    <row r="182" ht="16.5" spans="1:71">
      <c r="A182" s="20" t="s">
        <v>50</v>
      </c>
      <c r="B182" s="21"/>
      <c r="C182" s="51"/>
      <c r="D182" s="39" t="s">
        <v>204</v>
      </c>
      <c r="E182" s="55">
        <v>10.3</v>
      </c>
      <c r="F182" s="24">
        <v>14.99</v>
      </c>
      <c r="G182" s="25">
        <f t="shared" si="183"/>
        <v>14.2405</v>
      </c>
      <c r="H182" s="25">
        <f t="shared" si="184"/>
        <v>11.8670833333333</v>
      </c>
      <c r="I182" s="25">
        <f t="shared" si="185"/>
        <v>1.59980009832842</v>
      </c>
      <c r="J182" s="26">
        <f t="shared" si="186"/>
        <v>0.155320397895963</v>
      </c>
      <c r="K182" s="27">
        <f t="shared" si="187"/>
        <v>12.4916666666667</v>
      </c>
      <c r="L182" s="28">
        <f t="shared" si="188"/>
        <v>0.175450300200133</v>
      </c>
      <c r="M182" s="25">
        <f t="shared" si="189"/>
        <v>2.19166666666667</v>
      </c>
      <c r="N182" s="27">
        <f t="shared" si="190"/>
        <v>30.0176991150442</v>
      </c>
      <c r="O182" s="27">
        <f t="shared" si="191"/>
        <v>0.179</v>
      </c>
      <c r="P182" s="21">
        <v>50</v>
      </c>
      <c r="Q182" s="29">
        <v>9</v>
      </c>
      <c r="R182" s="30">
        <f t="shared" si="192"/>
        <v>0.242718446601942</v>
      </c>
      <c r="S182" s="26">
        <f t="shared" si="193"/>
        <v>0.210666760296338</v>
      </c>
      <c r="T182" s="30">
        <f t="shared" si="194"/>
        <v>0.0727669902912621</v>
      </c>
      <c r="U182" s="30">
        <v>0.01</v>
      </c>
      <c r="V182" s="30">
        <f t="shared" si="195"/>
        <v>0.323815524434134</v>
      </c>
      <c r="W182" s="30">
        <f t="shared" si="196"/>
        <v>0.017378640776699</v>
      </c>
      <c r="X182" s="31">
        <v>0.178</v>
      </c>
      <c r="Y182" s="32">
        <v>2.5</v>
      </c>
      <c r="Z182" s="32">
        <f>F182*0.05</f>
        <v>0.7495</v>
      </c>
      <c r="AA182" s="32">
        <f t="shared" si="197"/>
        <v>0.103</v>
      </c>
      <c r="AB182" s="27">
        <f t="shared" si="198"/>
        <v>1.8334</v>
      </c>
      <c r="AC182" s="27">
        <v>29.4</v>
      </c>
      <c r="AD182" s="33">
        <f t="shared" si="199"/>
        <v>26.0176991150442</v>
      </c>
      <c r="AE182" s="29">
        <f t="shared" si="200"/>
        <v>0.444444444444444</v>
      </c>
      <c r="AF182" s="30">
        <f t="shared" si="201"/>
        <v>0.280665578371567</v>
      </c>
      <c r="AG182" s="30">
        <f t="shared" si="202"/>
        <v>0.0431499460625674</v>
      </c>
      <c r="AH182" s="29">
        <v>4</v>
      </c>
      <c r="AI182" s="30">
        <f t="shared" si="203"/>
        <v>0.28654752291001</v>
      </c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4" t="s">
        <v>156</v>
      </c>
      <c r="AU182" s="34" t="s">
        <v>156</v>
      </c>
      <c r="AV182" s="34" t="s">
        <v>156</v>
      </c>
      <c r="AW182" s="34" t="s">
        <v>156</v>
      </c>
      <c r="AX182" s="34" t="s">
        <v>156</v>
      </c>
      <c r="AY182" s="34" t="s">
        <v>156</v>
      </c>
      <c r="AZ182" s="34" t="s">
        <v>156</v>
      </c>
      <c r="BA182" s="34" t="s">
        <v>156</v>
      </c>
      <c r="BB182" s="34" t="s">
        <v>156</v>
      </c>
      <c r="BC182" s="34" t="s">
        <v>156</v>
      </c>
      <c r="BD182" s="34" t="s">
        <v>156</v>
      </c>
      <c r="BE182" s="34" t="s">
        <v>156</v>
      </c>
      <c r="BF182" s="34" t="s">
        <v>156</v>
      </c>
      <c r="BG182" s="34" t="s">
        <v>156</v>
      </c>
      <c r="BH182" s="34" t="s">
        <v>156</v>
      </c>
      <c r="BI182" s="34" t="s">
        <v>156</v>
      </c>
      <c r="BJ182" s="34" t="s">
        <v>156</v>
      </c>
      <c r="BK182" s="34" t="s">
        <v>156</v>
      </c>
      <c r="BL182" s="34" t="s">
        <v>156</v>
      </c>
      <c r="BM182" s="34" t="s">
        <v>156</v>
      </c>
      <c r="BN182" s="34" t="s">
        <v>156</v>
      </c>
      <c r="BO182" s="34" t="s">
        <v>156</v>
      </c>
      <c r="BP182" s="34" t="s">
        <v>156</v>
      </c>
      <c r="BQ182" s="34" t="s">
        <v>156</v>
      </c>
      <c r="BR182" s="35"/>
      <c r="BS182" s="20" t="s">
        <v>157</v>
      </c>
    </row>
    <row r="183" ht="16.5" spans="1:71">
      <c r="A183" s="20" t="s">
        <v>50</v>
      </c>
      <c r="B183" s="21"/>
      <c r="C183" s="51"/>
      <c r="D183" s="39" t="s">
        <v>205</v>
      </c>
      <c r="E183" s="55">
        <v>10.3</v>
      </c>
      <c r="F183" s="24">
        <v>14.99</v>
      </c>
      <c r="G183" s="25">
        <f t="shared" si="183"/>
        <v>13.491</v>
      </c>
      <c r="H183" s="25">
        <f t="shared" si="184"/>
        <v>11.2425</v>
      </c>
      <c r="I183" s="25">
        <f t="shared" si="185"/>
        <v>0.850300098328418</v>
      </c>
      <c r="J183" s="26">
        <f t="shared" si="186"/>
        <v>0.0825534076047008</v>
      </c>
      <c r="K183" s="27">
        <f t="shared" si="187"/>
        <v>12.4916666666667</v>
      </c>
      <c r="L183" s="28">
        <f t="shared" si="188"/>
        <v>0.175450300200133</v>
      </c>
      <c r="M183" s="25">
        <f t="shared" si="189"/>
        <v>2.19166666666667</v>
      </c>
      <c r="N183" s="27">
        <f t="shared" si="190"/>
        <v>30.0176991150442</v>
      </c>
      <c r="O183" s="27">
        <f t="shared" si="191"/>
        <v>0.179</v>
      </c>
      <c r="P183" s="21">
        <v>50</v>
      </c>
      <c r="Q183" s="29">
        <v>9</v>
      </c>
      <c r="R183" s="30">
        <f t="shared" si="192"/>
        <v>0.242718446601942</v>
      </c>
      <c r="S183" s="26">
        <f t="shared" si="193"/>
        <v>0.22237046920169</v>
      </c>
      <c r="T183" s="30">
        <f t="shared" si="194"/>
        <v>0.145533980582524</v>
      </c>
      <c r="U183" s="30">
        <v>0.01</v>
      </c>
      <c r="V183" s="30">
        <f t="shared" si="195"/>
        <v>0.323815524434134</v>
      </c>
      <c r="W183" s="30">
        <f t="shared" si="196"/>
        <v>0.017378640776699</v>
      </c>
      <c r="X183" s="31">
        <v>0.178</v>
      </c>
      <c r="Y183" s="32">
        <v>2.5</v>
      </c>
      <c r="Z183" s="32">
        <f t="shared" ref="Z183:Z188" si="204">F183*0.1</f>
        <v>1.499</v>
      </c>
      <c r="AA183" s="32">
        <f t="shared" si="197"/>
        <v>0.103</v>
      </c>
      <c r="AB183" s="27">
        <f t="shared" si="198"/>
        <v>1.8334</v>
      </c>
      <c r="AC183" s="27">
        <v>29.4</v>
      </c>
      <c r="AD183" s="33">
        <f t="shared" si="199"/>
        <v>26.0176991150442</v>
      </c>
      <c r="AE183" s="29">
        <f t="shared" si="200"/>
        <v>0.444444444444444</v>
      </c>
      <c r="AF183" s="30">
        <f t="shared" si="201"/>
        <v>0.280665578371567</v>
      </c>
      <c r="AG183" s="30">
        <f t="shared" si="202"/>
        <v>0.0431499460625674</v>
      </c>
      <c r="AH183" s="29">
        <v>4</v>
      </c>
      <c r="AI183" s="30">
        <f t="shared" si="203"/>
        <v>0.246911274182788</v>
      </c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4" t="s">
        <v>156</v>
      </c>
      <c r="AU183" s="34" t="s">
        <v>156</v>
      </c>
      <c r="AV183" s="34" t="s">
        <v>156</v>
      </c>
      <c r="AW183" s="34" t="s">
        <v>156</v>
      </c>
      <c r="AX183" s="34" t="s">
        <v>156</v>
      </c>
      <c r="AY183" s="34" t="s">
        <v>156</v>
      </c>
      <c r="AZ183" s="34" t="s">
        <v>156</v>
      </c>
      <c r="BA183" s="34" t="s">
        <v>156</v>
      </c>
      <c r="BB183" s="34" t="s">
        <v>156</v>
      </c>
      <c r="BC183" s="34" t="s">
        <v>156</v>
      </c>
      <c r="BD183" s="34" t="s">
        <v>156</v>
      </c>
      <c r="BE183" s="34" t="s">
        <v>156</v>
      </c>
      <c r="BF183" s="34" t="s">
        <v>156</v>
      </c>
      <c r="BG183" s="34" t="s">
        <v>156</v>
      </c>
      <c r="BH183" s="34" t="s">
        <v>156</v>
      </c>
      <c r="BI183" s="34" t="s">
        <v>156</v>
      </c>
      <c r="BJ183" s="34" t="s">
        <v>156</v>
      </c>
      <c r="BK183" s="34" t="s">
        <v>156</v>
      </c>
      <c r="BL183" s="34" t="s">
        <v>156</v>
      </c>
      <c r="BM183" s="34" t="s">
        <v>156</v>
      </c>
      <c r="BN183" s="34" t="s">
        <v>156</v>
      </c>
      <c r="BO183" s="34" t="s">
        <v>156</v>
      </c>
      <c r="BP183" s="34" t="s">
        <v>156</v>
      </c>
      <c r="BQ183" s="34" t="s">
        <v>156</v>
      </c>
      <c r="BR183" s="35"/>
      <c r="BS183" s="20" t="s">
        <v>157</v>
      </c>
    </row>
    <row r="184" ht="16.5" spans="1:71">
      <c r="A184" s="21" t="s">
        <v>37</v>
      </c>
      <c r="B184" s="21"/>
      <c r="C184" s="51"/>
      <c r="D184" s="39" t="s">
        <v>203</v>
      </c>
      <c r="E184" s="55">
        <v>11.75</v>
      </c>
      <c r="F184" s="24">
        <v>16.99</v>
      </c>
      <c r="G184" s="25">
        <f t="shared" si="183"/>
        <v>16.99</v>
      </c>
      <c r="H184" s="25">
        <f t="shared" si="184"/>
        <v>14.1583333333333</v>
      </c>
      <c r="I184" s="25">
        <f t="shared" si="185"/>
        <v>3.13253761061947</v>
      </c>
      <c r="J184" s="26">
        <f t="shared" si="186"/>
        <v>0.266598945584636</v>
      </c>
      <c r="K184" s="27">
        <f t="shared" si="187"/>
        <v>14.1583333333333</v>
      </c>
      <c r="L184" s="28">
        <f t="shared" si="188"/>
        <v>0.170100058858152</v>
      </c>
      <c r="M184" s="25">
        <f t="shared" si="189"/>
        <v>2.40833333333333</v>
      </c>
      <c r="N184" s="27">
        <f>AD184+AH185</f>
        <v>30.0176991150442</v>
      </c>
      <c r="O184" s="27">
        <f t="shared" si="191"/>
        <v>0.03875</v>
      </c>
      <c r="P184" s="20">
        <v>200</v>
      </c>
      <c r="Q184" s="29">
        <v>8</v>
      </c>
      <c r="R184" s="30">
        <f t="shared" si="192"/>
        <v>0.212765957446809</v>
      </c>
      <c r="S184" s="26">
        <f t="shared" ref="S184:S199" si="205">Y184/F184</f>
        <v>0.147145379635079</v>
      </c>
      <c r="T184" s="30">
        <f t="shared" si="194"/>
        <v>0</v>
      </c>
      <c r="U184" s="30">
        <v>0.01</v>
      </c>
      <c r="V184" s="30">
        <f t="shared" si="195"/>
        <v>0.31933722462813</v>
      </c>
      <c r="W184" s="30">
        <f t="shared" si="196"/>
        <v>0.00329787234042553</v>
      </c>
      <c r="X184" s="31">
        <v>0.188</v>
      </c>
      <c r="Y184" s="32">
        <v>2.5</v>
      </c>
      <c r="Z184" s="32">
        <v>0</v>
      </c>
      <c r="AA184" s="32">
        <f t="shared" si="197"/>
        <v>0.1175</v>
      </c>
      <c r="AB184" s="27">
        <f t="shared" si="198"/>
        <v>2.209</v>
      </c>
      <c r="AC184" s="27">
        <v>29.4</v>
      </c>
      <c r="AD184" s="33">
        <f t="shared" si="199"/>
        <v>26.0176991150442</v>
      </c>
      <c r="AE184" s="29">
        <f>AH185/Q184</f>
        <v>0.5</v>
      </c>
      <c r="AF184" s="30">
        <f t="shared" si="201"/>
        <v>0.276784033138769</v>
      </c>
      <c r="AG184" s="30">
        <f t="shared" ref="AG184:AG199" si="206">AE184/Q184/E184</f>
        <v>0.00531914893617021</v>
      </c>
      <c r="AH184" s="29">
        <v>4</v>
      </c>
      <c r="AI184" s="30">
        <f t="shared" si="203"/>
        <v>0.326121247792819</v>
      </c>
      <c r="AJ184" s="30"/>
      <c r="AK184" s="30"/>
      <c r="AL184" s="30"/>
      <c r="AM184" s="30"/>
      <c r="AN184" s="34"/>
      <c r="AO184" s="34"/>
      <c r="AP184" s="34"/>
      <c r="AQ184" s="34"/>
      <c r="AR184" s="34"/>
      <c r="AS184" s="34"/>
      <c r="AT184" s="34" t="s">
        <v>156</v>
      </c>
      <c r="AU184" s="34" t="s">
        <v>156</v>
      </c>
      <c r="AV184" s="34" t="s">
        <v>156</v>
      </c>
      <c r="AW184" s="34" t="s">
        <v>156</v>
      </c>
      <c r="AX184" s="34" t="s">
        <v>156</v>
      </c>
      <c r="AY184" s="34" t="s">
        <v>156</v>
      </c>
      <c r="AZ184" s="34" t="s">
        <v>156</v>
      </c>
      <c r="BA184" s="34" t="s">
        <v>156</v>
      </c>
      <c r="BB184" s="34" t="s">
        <v>156</v>
      </c>
      <c r="BC184" s="34" t="s">
        <v>156</v>
      </c>
      <c r="BD184" s="34" t="s">
        <v>156</v>
      </c>
      <c r="BE184" s="34" t="s">
        <v>156</v>
      </c>
      <c r="BF184" s="34" t="s">
        <v>156</v>
      </c>
      <c r="BG184" s="34" t="s">
        <v>156</v>
      </c>
      <c r="BH184" s="34" t="s">
        <v>156</v>
      </c>
      <c r="BI184" s="34" t="s">
        <v>156</v>
      </c>
      <c r="BJ184" s="34" t="s">
        <v>156</v>
      </c>
      <c r="BK184" s="34" t="s">
        <v>156</v>
      </c>
      <c r="BL184" s="34" t="s">
        <v>156</v>
      </c>
      <c r="BM184" s="34" t="s">
        <v>156</v>
      </c>
      <c r="BN184" s="34" t="s">
        <v>156</v>
      </c>
      <c r="BO184" s="34" t="s">
        <v>156</v>
      </c>
      <c r="BP184" s="34" t="s">
        <v>156</v>
      </c>
      <c r="BQ184" s="34" t="s">
        <v>156</v>
      </c>
      <c r="BR184" s="35"/>
      <c r="BS184" s="20" t="s">
        <v>157</v>
      </c>
    </row>
    <row r="185" ht="16.5" spans="1:71">
      <c r="A185" s="21" t="s">
        <v>37</v>
      </c>
      <c r="B185" s="21"/>
      <c r="C185" s="45"/>
      <c r="D185" s="39" t="s">
        <v>204</v>
      </c>
      <c r="E185" s="55">
        <v>11.75</v>
      </c>
      <c r="F185" s="24">
        <v>16.99</v>
      </c>
      <c r="G185" s="25">
        <f t="shared" si="183"/>
        <v>15.291</v>
      </c>
      <c r="H185" s="25">
        <f t="shared" si="184"/>
        <v>12.7425</v>
      </c>
      <c r="I185" s="36">
        <f t="shared" si="185"/>
        <v>1.43353761061947</v>
      </c>
      <c r="J185" s="26">
        <f t="shared" si="186"/>
        <v>0.122003200903785</v>
      </c>
      <c r="K185" s="27">
        <f t="shared" si="187"/>
        <v>14.1583333333333</v>
      </c>
      <c r="L185" s="28">
        <f t="shared" si="188"/>
        <v>0.170100058858152</v>
      </c>
      <c r="M185" s="25">
        <f t="shared" si="189"/>
        <v>2.40833333333333</v>
      </c>
      <c r="N185" s="27">
        <f t="shared" ref="N185:N199" si="207">AD185+AH185</f>
        <v>30.0176991150442</v>
      </c>
      <c r="O185" s="27">
        <f t="shared" si="191"/>
        <v>0.03875</v>
      </c>
      <c r="P185" s="21">
        <v>200</v>
      </c>
      <c r="Q185" s="29">
        <v>8</v>
      </c>
      <c r="R185" s="30">
        <f t="shared" si="192"/>
        <v>0.212765957446809</v>
      </c>
      <c r="S185" s="26">
        <f t="shared" si="205"/>
        <v>0.147145379635079</v>
      </c>
      <c r="T185" s="30">
        <f t="shared" si="194"/>
        <v>0.144595744680851</v>
      </c>
      <c r="U185" s="30">
        <v>0.01</v>
      </c>
      <c r="V185" s="30">
        <f t="shared" si="195"/>
        <v>0.31933722462813</v>
      </c>
      <c r="W185" s="30">
        <f t="shared" si="196"/>
        <v>0.00329787234042553</v>
      </c>
      <c r="X185" s="31">
        <v>0.188</v>
      </c>
      <c r="Y185" s="32">
        <v>2.5</v>
      </c>
      <c r="Z185" s="32">
        <f t="shared" si="204"/>
        <v>1.699</v>
      </c>
      <c r="AA185" s="32">
        <f t="shared" si="197"/>
        <v>0.1175</v>
      </c>
      <c r="AB185" s="27">
        <f t="shared" si="198"/>
        <v>2.209</v>
      </c>
      <c r="AC185" s="27">
        <v>29.4</v>
      </c>
      <c r="AD185" s="33">
        <f t="shared" si="199"/>
        <v>26.0176991150442</v>
      </c>
      <c r="AE185" s="29">
        <f t="shared" ref="AE185:AE199" si="208">AH185/Q185</f>
        <v>0.5</v>
      </c>
      <c r="AF185" s="30">
        <f t="shared" si="201"/>
        <v>0.276784033138769</v>
      </c>
      <c r="AG185" s="30">
        <f t="shared" si="206"/>
        <v>0.00531914893617021</v>
      </c>
      <c r="AH185" s="29">
        <v>4</v>
      </c>
      <c r="AI185" s="30">
        <f t="shared" si="203"/>
        <v>0.25124583088091</v>
      </c>
      <c r="AJ185" s="30"/>
      <c r="AK185" s="30"/>
      <c r="AL185" s="30"/>
      <c r="AM185" s="30"/>
      <c r="AN185" s="34"/>
      <c r="AO185" s="34"/>
      <c r="AP185" s="34"/>
      <c r="AQ185" s="34"/>
      <c r="AR185" s="34"/>
      <c r="AS185" s="34"/>
      <c r="AT185" s="34" t="s">
        <v>156</v>
      </c>
      <c r="AU185" s="34" t="s">
        <v>156</v>
      </c>
      <c r="AV185" s="34" t="s">
        <v>156</v>
      </c>
      <c r="AW185" s="34" t="s">
        <v>156</v>
      </c>
      <c r="AX185" s="34" t="s">
        <v>156</v>
      </c>
      <c r="AY185" s="34" t="s">
        <v>156</v>
      </c>
      <c r="AZ185" s="34" t="s">
        <v>156</v>
      </c>
      <c r="BA185" s="34" t="s">
        <v>156</v>
      </c>
      <c r="BB185" s="34" t="s">
        <v>156</v>
      </c>
      <c r="BC185" s="34" t="s">
        <v>156</v>
      </c>
      <c r="BD185" s="34" t="s">
        <v>156</v>
      </c>
      <c r="BE185" s="34" t="s">
        <v>156</v>
      </c>
      <c r="BF185" s="34" t="s">
        <v>156</v>
      </c>
      <c r="BG185" s="34" t="s">
        <v>156</v>
      </c>
      <c r="BH185" s="34" t="s">
        <v>156</v>
      </c>
      <c r="BI185" s="34" t="s">
        <v>156</v>
      </c>
      <c r="BJ185" s="34" t="s">
        <v>156</v>
      </c>
      <c r="BK185" s="34" t="s">
        <v>156</v>
      </c>
      <c r="BL185" s="34" t="s">
        <v>156</v>
      </c>
      <c r="BM185" s="34" t="s">
        <v>156</v>
      </c>
      <c r="BN185" s="34" t="s">
        <v>156</v>
      </c>
      <c r="BO185" s="34" t="s">
        <v>156</v>
      </c>
      <c r="BP185" s="34" t="s">
        <v>156</v>
      </c>
      <c r="BQ185" s="34" t="s">
        <v>156</v>
      </c>
      <c r="BR185" s="35"/>
      <c r="BS185" s="20" t="s">
        <v>157</v>
      </c>
    </row>
    <row r="186" ht="16.5" spans="1:71">
      <c r="A186" s="21" t="s">
        <v>37</v>
      </c>
      <c r="B186" s="21"/>
      <c r="C186" s="45"/>
      <c r="D186" s="39" t="s">
        <v>205</v>
      </c>
      <c r="E186" s="55">
        <v>11.75</v>
      </c>
      <c r="F186" s="24">
        <v>16.99</v>
      </c>
      <c r="G186" s="25">
        <f t="shared" si="183"/>
        <v>14.4415</v>
      </c>
      <c r="H186" s="25">
        <f t="shared" si="184"/>
        <v>12.0345833333333</v>
      </c>
      <c r="I186" s="25">
        <f t="shared" si="185"/>
        <v>0.584037610619469</v>
      </c>
      <c r="J186" s="26">
        <f t="shared" si="186"/>
        <v>0.0497053285633591</v>
      </c>
      <c r="K186" s="27">
        <f t="shared" si="187"/>
        <v>14.1583333333333</v>
      </c>
      <c r="L186" s="28">
        <f t="shared" si="188"/>
        <v>0.170100058858152</v>
      </c>
      <c r="M186" s="25">
        <f t="shared" si="189"/>
        <v>2.40833333333333</v>
      </c>
      <c r="N186" s="27">
        <f t="shared" si="207"/>
        <v>30.0176991150442</v>
      </c>
      <c r="O186" s="27">
        <f t="shared" si="191"/>
        <v>0.03875</v>
      </c>
      <c r="P186" s="21">
        <v>200</v>
      </c>
      <c r="Q186" s="29">
        <v>8</v>
      </c>
      <c r="R186" s="30">
        <f t="shared" si="192"/>
        <v>0.212765957446809</v>
      </c>
      <c r="S186" s="26">
        <f t="shared" si="205"/>
        <v>0.147145379635079</v>
      </c>
      <c r="T186" s="30">
        <f t="shared" si="194"/>
        <v>0.216893617021277</v>
      </c>
      <c r="U186" s="30">
        <v>0.01</v>
      </c>
      <c r="V186" s="30">
        <f t="shared" si="195"/>
        <v>0.31933722462813</v>
      </c>
      <c r="W186" s="30">
        <f t="shared" si="196"/>
        <v>0.00329787234042553</v>
      </c>
      <c r="X186" s="31">
        <v>0.188</v>
      </c>
      <c r="Y186" s="32">
        <v>2.5</v>
      </c>
      <c r="Z186" s="32">
        <f>F186*0.15</f>
        <v>2.5485</v>
      </c>
      <c r="AA186" s="32">
        <f t="shared" si="197"/>
        <v>0.1175</v>
      </c>
      <c r="AB186" s="27">
        <f t="shared" si="198"/>
        <v>2.209</v>
      </c>
      <c r="AC186" s="27">
        <v>29.4</v>
      </c>
      <c r="AD186" s="33">
        <f t="shared" si="199"/>
        <v>26.0176991150442</v>
      </c>
      <c r="AE186" s="29">
        <f t="shared" si="208"/>
        <v>0.5</v>
      </c>
      <c r="AF186" s="30">
        <f t="shared" si="201"/>
        <v>0.276784033138769</v>
      </c>
      <c r="AG186" s="30">
        <f t="shared" si="206"/>
        <v>0.00531914893617021</v>
      </c>
      <c r="AH186" s="29">
        <v>4</v>
      </c>
      <c r="AI186" s="30">
        <f t="shared" si="203"/>
        <v>0.207201467991552</v>
      </c>
      <c r="AJ186" s="30"/>
      <c r="AK186" s="30"/>
      <c r="AL186" s="30"/>
      <c r="AM186" s="30"/>
      <c r="AN186" s="34"/>
      <c r="AO186" s="34"/>
      <c r="AP186" s="34"/>
      <c r="AQ186" s="34"/>
      <c r="AR186" s="34"/>
      <c r="AS186" s="34"/>
      <c r="AT186" s="34" t="s">
        <v>156</v>
      </c>
      <c r="AU186" s="34" t="s">
        <v>156</v>
      </c>
      <c r="AV186" s="34" t="s">
        <v>156</v>
      </c>
      <c r="AW186" s="34" t="s">
        <v>156</v>
      </c>
      <c r="AX186" s="34" t="s">
        <v>156</v>
      </c>
      <c r="AY186" s="34" t="s">
        <v>156</v>
      </c>
      <c r="AZ186" s="34" t="s">
        <v>156</v>
      </c>
      <c r="BA186" s="34" t="s">
        <v>156</v>
      </c>
      <c r="BB186" s="34" t="s">
        <v>156</v>
      </c>
      <c r="BC186" s="34" t="s">
        <v>156</v>
      </c>
      <c r="BD186" s="34" t="s">
        <v>156</v>
      </c>
      <c r="BE186" s="34" t="s">
        <v>156</v>
      </c>
      <c r="BF186" s="34" t="s">
        <v>156</v>
      </c>
      <c r="BG186" s="34" t="s">
        <v>156</v>
      </c>
      <c r="BH186" s="34" t="s">
        <v>156</v>
      </c>
      <c r="BI186" s="34" t="s">
        <v>156</v>
      </c>
      <c r="BJ186" s="34" t="s">
        <v>156</v>
      </c>
      <c r="BK186" s="34" t="s">
        <v>156</v>
      </c>
      <c r="BL186" s="34" t="s">
        <v>156</v>
      </c>
      <c r="BM186" s="34" t="s">
        <v>156</v>
      </c>
      <c r="BN186" s="34" t="s">
        <v>156</v>
      </c>
      <c r="BO186" s="34" t="s">
        <v>156</v>
      </c>
      <c r="BP186" s="34" t="s">
        <v>156</v>
      </c>
      <c r="BQ186" s="34" t="s">
        <v>156</v>
      </c>
      <c r="BR186" s="35"/>
      <c r="BS186" s="20" t="s">
        <v>157</v>
      </c>
    </row>
    <row r="187" ht="16.5" spans="1:71">
      <c r="A187" s="21" t="s">
        <v>43</v>
      </c>
      <c r="B187" s="21"/>
      <c r="C187" s="45"/>
      <c r="D187" s="39" t="s">
        <v>203</v>
      </c>
      <c r="E187" s="55">
        <v>11.75</v>
      </c>
      <c r="F187" s="24">
        <v>16.99</v>
      </c>
      <c r="G187" s="25">
        <f t="shared" si="183"/>
        <v>16.99</v>
      </c>
      <c r="H187" s="25">
        <f t="shared" si="184"/>
        <v>14.1583333333333</v>
      </c>
      <c r="I187" s="25">
        <f t="shared" si="185"/>
        <v>3.10003761061947</v>
      </c>
      <c r="J187" s="26">
        <f t="shared" si="186"/>
        <v>0.263832988137827</v>
      </c>
      <c r="K187" s="27">
        <f t="shared" si="187"/>
        <v>14.1583333333333</v>
      </c>
      <c r="L187" s="28">
        <f t="shared" si="188"/>
        <v>0.170100058858152</v>
      </c>
      <c r="M187" s="25">
        <f t="shared" si="189"/>
        <v>2.40833333333333</v>
      </c>
      <c r="N187" s="27">
        <f t="shared" si="207"/>
        <v>30.0176991150442</v>
      </c>
      <c r="O187" s="27">
        <f t="shared" si="191"/>
        <v>0.07125</v>
      </c>
      <c r="P187" s="21">
        <v>200</v>
      </c>
      <c r="Q187" s="29">
        <v>8</v>
      </c>
      <c r="R187" s="30">
        <f t="shared" si="192"/>
        <v>0.212765957446809</v>
      </c>
      <c r="S187" s="26">
        <f t="shared" si="205"/>
        <v>0.147145379635079</v>
      </c>
      <c r="T187" s="30">
        <f t="shared" si="194"/>
        <v>0</v>
      </c>
      <c r="U187" s="30">
        <v>0.01</v>
      </c>
      <c r="V187" s="30">
        <f t="shared" si="195"/>
        <v>0.31933722462813</v>
      </c>
      <c r="W187" s="30">
        <f t="shared" si="196"/>
        <v>0.00606382978723404</v>
      </c>
      <c r="X187" s="31">
        <v>0.188</v>
      </c>
      <c r="Y187" s="32">
        <v>2.5</v>
      </c>
      <c r="Z187" s="32">
        <v>0</v>
      </c>
      <c r="AA187" s="32">
        <f t="shared" si="197"/>
        <v>0.1175</v>
      </c>
      <c r="AB187" s="27">
        <f t="shared" si="198"/>
        <v>2.209</v>
      </c>
      <c r="AC187" s="27">
        <v>29.4</v>
      </c>
      <c r="AD187" s="33">
        <f t="shared" si="199"/>
        <v>26.0176991150442</v>
      </c>
      <c r="AE187" s="29">
        <f t="shared" si="208"/>
        <v>0.5</v>
      </c>
      <c r="AF187" s="30">
        <f t="shared" si="201"/>
        <v>0.276784033138769</v>
      </c>
      <c r="AG187" s="30">
        <f t="shared" si="206"/>
        <v>0.00531914893617021</v>
      </c>
      <c r="AH187" s="29">
        <v>4</v>
      </c>
      <c r="AI187" s="30">
        <f t="shared" si="203"/>
        <v>0.326121247792819</v>
      </c>
      <c r="AJ187" s="30"/>
      <c r="AK187" s="30"/>
      <c r="AL187" s="30"/>
      <c r="AM187" s="30"/>
      <c r="AN187" s="34"/>
      <c r="AO187" s="34"/>
      <c r="AP187" s="34"/>
      <c r="AQ187" s="34"/>
      <c r="AR187" s="34"/>
      <c r="AS187" s="34"/>
      <c r="AT187" s="34" t="s">
        <v>156</v>
      </c>
      <c r="AU187" s="34" t="s">
        <v>156</v>
      </c>
      <c r="AV187" s="34" t="s">
        <v>156</v>
      </c>
      <c r="AW187" s="34" t="s">
        <v>156</v>
      </c>
      <c r="AX187" s="34" t="s">
        <v>156</v>
      </c>
      <c r="AY187" s="34" t="s">
        <v>156</v>
      </c>
      <c r="AZ187" s="34" t="s">
        <v>156</v>
      </c>
      <c r="BA187" s="34" t="s">
        <v>156</v>
      </c>
      <c r="BB187" s="34" t="s">
        <v>156</v>
      </c>
      <c r="BC187" s="34" t="s">
        <v>156</v>
      </c>
      <c r="BD187" s="34" t="s">
        <v>156</v>
      </c>
      <c r="BE187" s="34" t="s">
        <v>156</v>
      </c>
      <c r="BF187" s="34" t="s">
        <v>156</v>
      </c>
      <c r="BG187" s="34" t="s">
        <v>156</v>
      </c>
      <c r="BH187" s="34" t="s">
        <v>156</v>
      </c>
      <c r="BI187" s="34" t="s">
        <v>156</v>
      </c>
      <c r="BJ187" s="34" t="s">
        <v>156</v>
      </c>
      <c r="BK187" s="34" t="s">
        <v>156</v>
      </c>
      <c r="BL187" s="34" t="s">
        <v>156</v>
      </c>
      <c r="BM187" s="34" t="s">
        <v>156</v>
      </c>
      <c r="BN187" s="34" t="s">
        <v>156</v>
      </c>
      <c r="BO187" s="34" t="s">
        <v>156</v>
      </c>
      <c r="BP187" s="34" t="s">
        <v>156</v>
      </c>
      <c r="BQ187" s="34" t="s">
        <v>156</v>
      </c>
      <c r="BR187" s="35"/>
      <c r="BS187" s="20" t="s">
        <v>157</v>
      </c>
    </row>
    <row r="188" ht="16.5" spans="1:71">
      <c r="A188" s="21" t="s">
        <v>43</v>
      </c>
      <c r="B188" s="21"/>
      <c r="C188" s="45"/>
      <c r="D188" s="39" t="s">
        <v>204</v>
      </c>
      <c r="E188" s="55">
        <v>11.75</v>
      </c>
      <c r="F188" s="24">
        <v>16.99</v>
      </c>
      <c r="G188" s="25">
        <f t="shared" si="183"/>
        <v>15.291</v>
      </c>
      <c r="H188" s="25">
        <f t="shared" si="184"/>
        <v>12.7425</v>
      </c>
      <c r="I188" s="36">
        <f t="shared" si="185"/>
        <v>1.40103761061947</v>
      </c>
      <c r="J188" s="26">
        <f t="shared" si="186"/>
        <v>0.119237243456976</v>
      </c>
      <c r="K188" s="27">
        <f t="shared" si="187"/>
        <v>14.1583333333333</v>
      </c>
      <c r="L188" s="28">
        <f t="shared" si="188"/>
        <v>0.170100058858152</v>
      </c>
      <c r="M188" s="25">
        <f t="shared" si="189"/>
        <v>2.40833333333333</v>
      </c>
      <c r="N188" s="27">
        <f t="shared" si="207"/>
        <v>30.0176991150442</v>
      </c>
      <c r="O188" s="27">
        <f t="shared" si="191"/>
        <v>0.07125</v>
      </c>
      <c r="P188" s="21">
        <v>200</v>
      </c>
      <c r="Q188" s="29">
        <v>8</v>
      </c>
      <c r="R188" s="30">
        <f t="shared" si="192"/>
        <v>0.212765957446809</v>
      </c>
      <c r="S188" s="26">
        <f t="shared" si="205"/>
        <v>0.147145379635079</v>
      </c>
      <c r="T188" s="30">
        <f t="shared" si="194"/>
        <v>0.144595744680851</v>
      </c>
      <c r="U188" s="30">
        <v>0.01</v>
      </c>
      <c r="V188" s="30">
        <f t="shared" si="195"/>
        <v>0.31933722462813</v>
      </c>
      <c r="W188" s="30">
        <f t="shared" si="196"/>
        <v>0.00606382978723404</v>
      </c>
      <c r="X188" s="31">
        <v>0.188</v>
      </c>
      <c r="Y188" s="32">
        <v>2.5</v>
      </c>
      <c r="Z188" s="32">
        <f t="shared" si="204"/>
        <v>1.699</v>
      </c>
      <c r="AA188" s="32">
        <f t="shared" si="197"/>
        <v>0.1175</v>
      </c>
      <c r="AB188" s="27">
        <f t="shared" si="198"/>
        <v>2.209</v>
      </c>
      <c r="AC188" s="27">
        <v>29.4</v>
      </c>
      <c r="AD188" s="33">
        <f t="shared" si="199"/>
        <v>26.0176991150442</v>
      </c>
      <c r="AE188" s="29">
        <f t="shared" si="208"/>
        <v>0.5</v>
      </c>
      <c r="AF188" s="30">
        <f t="shared" si="201"/>
        <v>0.276784033138769</v>
      </c>
      <c r="AG188" s="30">
        <f t="shared" si="206"/>
        <v>0.00531914893617021</v>
      </c>
      <c r="AH188" s="29">
        <v>4</v>
      </c>
      <c r="AI188" s="30">
        <f t="shared" si="203"/>
        <v>0.25124583088091</v>
      </c>
      <c r="AJ188" s="30"/>
      <c r="AK188" s="30"/>
      <c r="AL188" s="30"/>
      <c r="AM188" s="30"/>
      <c r="AN188" s="34"/>
      <c r="AO188" s="34"/>
      <c r="AP188" s="34"/>
      <c r="AQ188" s="34"/>
      <c r="AR188" s="34"/>
      <c r="AS188" s="34"/>
      <c r="AT188" s="34" t="s">
        <v>156</v>
      </c>
      <c r="AU188" s="34" t="s">
        <v>156</v>
      </c>
      <c r="AV188" s="34" t="s">
        <v>156</v>
      </c>
      <c r="AW188" s="34" t="s">
        <v>156</v>
      </c>
      <c r="AX188" s="34" t="s">
        <v>156</v>
      </c>
      <c r="AY188" s="34" t="s">
        <v>156</v>
      </c>
      <c r="AZ188" s="34" t="s">
        <v>156</v>
      </c>
      <c r="BA188" s="34" t="s">
        <v>156</v>
      </c>
      <c r="BB188" s="34" t="s">
        <v>156</v>
      </c>
      <c r="BC188" s="34" t="s">
        <v>156</v>
      </c>
      <c r="BD188" s="34" t="s">
        <v>156</v>
      </c>
      <c r="BE188" s="34" t="s">
        <v>156</v>
      </c>
      <c r="BF188" s="34" t="s">
        <v>156</v>
      </c>
      <c r="BG188" s="34" t="s">
        <v>156</v>
      </c>
      <c r="BH188" s="34" t="s">
        <v>156</v>
      </c>
      <c r="BI188" s="34" t="s">
        <v>156</v>
      </c>
      <c r="BJ188" s="34" t="s">
        <v>156</v>
      </c>
      <c r="BK188" s="34" t="s">
        <v>156</v>
      </c>
      <c r="BL188" s="34" t="s">
        <v>156</v>
      </c>
      <c r="BM188" s="34" t="s">
        <v>156</v>
      </c>
      <c r="BN188" s="34" t="s">
        <v>156</v>
      </c>
      <c r="BO188" s="34" t="s">
        <v>156</v>
      </c>
      <c r="BP188" s="34" t="s">
        <v>156</v>
      </c>
      <c r="BQ188" s="34" t="s">
        <v>156</v>
      </c>
      <c r="BR188" s="35"/>
      <c r="BS188" s="20" t="s">
        <v>157</v>
      </c>
    </row>
    <row r="189" ht="16.5" spans="1:71">
      <c r="A189" s="21" t="s">
        <v>43</v>
      </c>
      <c r="B189" s="21"/>
      <c r="C189" s="45"/>
      <c r="D189" s="39" t="s">
        <v>205</v>
      </c>
      <c r="E189" s="55">
        <v>11.75</v>
      </c>
      <c r="F189" s="24">
        <v>16.99</v>
      </c>
      <c r="G189" s="25">
        <f t="shared" si="183"/>
        <v>14.4415</v>
      </c>
      <c r="H189" s="25">
        <f t="shared" si="184"/>
        <v>12.0345833333333</v>
      </c>
      <c r="I189" s="25">
        <f t="shared" si="185"/>
        <v>0.551537610619469</v>
      </c>
      <c r="J189" s="26">
        <f t="shared" si="186"/>
        <v>0.0469393711165506</v>
      </c>
      <c r="K189" s="27">
        <f t="shared" si="187"/>
        <v>14.1583333333333</v>
      </c>
      <c r="L189" s="28">
        <f t="shared" si="188"/>
        <v>0.170100058858152</v>
      </c>
      <c r="M189" s="25">
        <f t="shared" si="189"/>
        <v>2.40833333333333</v>
      </c>
      <c r="N189" s="27">
        <f t="shared" si="207"/>
        <v>30.0176991150442</v>
      </c>
      <c r="O189" s="27">
        <f t="shared" si="191"/>
        <v>0.07125</v>
      </c>
      <c r="P189" s="21">
        <v>200</v>
      </c>
      <c r="Q189" s="29">
        <v>8</v>
      </c>
      <c r="R189" s="30">
        <f t="shared" si="192"/>
        <v>0.212765957446809</v>
      </c>
      <c r="S189" s="26">
        <f t="shared" si="205"/>
        <v>0.147145379635079</v>
      </c>
      <c r="T189" s="30">
        <f t="shared" si="194"/>
        <v>0.216893617021277</v>
      </c>
      <c r="U189" s="30">
        <v>0.01</v>
      </c>
      <c r="V189" s="30">
        <f t="shared" si="195"/>
        <v>0.31933722462813</v>
      </c>
      <c r="W189" s="30">
        <f t="shared" si="196"/>
        <v>0.00606382978723404</v>
      </c>
      <c r="X189" s="31">
        <v>0.188</v>
      </c>
      <c r="Y189" s="32">
        <v>2.5</v>
      </c>
      <c r="Z189" s="32">
        <f>F189*0.15</f>
        <v>2.5485</v>
      </c>
      <c r="AA189" s="32">
        <f t="shared" si="197"/>
        <v>0.1175</v>
      </c>
      <c r="AB189" s="27">
        <f t="shared" si="198"/>
        <v>2.209</v>
      </c>
      <c r="AC189" s="27">
        <v>29.4</v>
      </c>
      <c r="AD189" s="33">
        <f t="shared" si="199"/>
        <v>26.0176991150442</v>
      </c>
      <c r="AE189" s="29">
        <f t="shared" si="208"/>
        <v>0.5</v>
      </c>
      <c r="AF189" s="30">
        <f t="shared" si="201"/>
        <v>0.276784033138769</v>
      </c>
      <c r="AG189" s="30">
        <f t="shared" si="206"/>
        <v>0.00531914893617021</v>
      </c>
      <c r="AH189" s="29">
        <v>4</v>
      </c>
      <c r="AI189" s="30">
        <f t="shared" ref="AI189:AI199" si="209">(K189-E189+AB189)/(K189-Z189)</f>
        <v>0.397708838771731</v>
      </c>
      <c r="AJ189" s="30"/>
      <c r="AK189" s="30"/>
      <c r="AL189" s="30"/>
      <c r="AM189" s="30"/>
      <c r="AN189" s="34"/>
      <c r="AO189" s="34"/>
      <c r="AP189" s="34"/>
      <c r="AQ189" s="34"/>
      <c r="AR189" s="34"/>
      <c r="AS189" s="34"/>
      <c r="AT189" s="34" t="s">
        <v>156</v>
      </c>
      <c r="AU189" s="34" t="s">
        <v>156</v>
      </c>
      <c r="AV189" s="34" t="s">
        <v>156</v>
      </c>
      <c r="AW189" s="34" t="s">
        <v>156</v>
      </c>
      <c r="AX189" s="34" t="s">
        <v>156</v>
      </c>
      <c r="AY189" s="34" t="s">
        <v>156</v>
      </c>
      <c r="AZ189" s="34" t="s">
        <v>156</v>
      </c>
      <c r="BA189" s="34" t="s">
        <v>156</v>
      </c>
      <c r="BB189" s="34" t="s">
        <v>156</v>
      </c>
      <c r="BC189" s="34" t="s">
        <v>156</v>
      </c>
      <c r="BD189" s="34" t="s">
        <v>156</v>
      </c>
      <c r="BE189" s="34" t="s">
        <v>156</v>
      </c>
      <c r="BF189" s="34" t="s">
        <v>156</v>
      </c>
      <c r="BG189" s="34" t="s">
        <v>156</v>
      </c>
      <c r="BH189" s="34" t="s">
        <v>156</v>
      </c>
      <c r="BI189" s="34" t="s">
        <v>156</v>
      </c>
      <c r="BJ189" s="34" t="s">
        <v>156</v>
      </c>
      <c r="BK189" s="34" t="s">
        <v>156</v>
      </c>
      <c r="BL189" s="34" t="s">
        <v>156</v>
      </c>
      <c r="BM189" s="34" t="s">
        <v>156</v>
      </c>
      <c r="BN189" s="34" t="s">
        <v>156</v>
      </c>
      <c r="BO189" s="34" t="s">
        <v>156</v>
      </c>
      <c r="BP189" s="34" t="s">
        <v>156</v>
      </c>
      <c r="BQ189" s="34" t="s">
        <v>156</v>
      </c>
      <c r="BR189" s="35"/>
      <c r="BS189" s="20" t="s">
        <v>157</v>
      </c>
    </row>
    <row r="190" ht="16.5" spans="1:71">
      <c r="A190" s="21" t="s">
        <v>45</v>
      </c>
      <c r="B190" s="21"/>
      <c r="C190" s="45"/>
      <c r="D190" s="39" t="s">
        <v>203</v>
      </c>
      <c r="E190" s="55">
        <v>11.75</v>
      </c>
      <c r="F190" s="24">
        <v>16.99</v>
      </c>
      <c r="G190" s="25">
        <f t="shared" si="183"/>
        <v>16.99</v>
      </c>
      <c r="H190" s="25">
        <f t="shared" si="184"/>
        <v>14.1583333333333</v>
      </c>
      <c r="I190" s="25">
        <f t="shared" si="185"/>
        <v>3.09503761061947</v>
      </c>
      <c r="J190" s="26">
        <f t="shared" si="186"/>
        <v>0.263407456222933</v>
      </c>
      <c r="K190" s="27">
        <f t="shared" si="187"/>
        <v>14.1583333333333</v>
      </c>
      <c r="L190" s="28">
        <f t="shared" si="188"/>
        <v>0.170100058858152</v>
      </c>
      <c r="M190" s="25">
        <f t="shared" si="189"/>
        <v>2.40833333333333</v>
      </c>
      <c r="N190" s="27">
        <f t="shared" si="207"/>
        <v>30.0176991150442</v>
      </c>
      <c r="O190" s="27">
        <f t="shared" si="191"/>
        <v>0.07625</v>
      </c>
      <c r="P190" s="21">
        <v>200</v>
      </c>
      <c r="Q190" s="29">
        <v>8</v>
      </c>
      <c r="R190" s="30">
        <f t="shared" si="192"/>
        <v>0.212765957446809</v>
      </c>
      <c r="S190" s="26">
        <f t="shared" si="205"/>
        <v>0.147145379635079</v>
      </c>
      <c r="T190" s="30">
        <f t="shared" si="194"/>
        <v>0</v>
      </c>
      <c r="U190" s="30">
        <v>0.01</v>
      </c>
      <c r="V190" s="30">
        <f t="shared" si="195"/>
        <v>0.31933722462813</v>
      </c>
      <c r="W190" s="30">
        <f t="shared" si="196"/>
        <v>0.00648936170212766</v>
      </c>
      <c r="X190" s="31">
        <v>0.188</v>
      </c>
      <c r="Y190" s="32">
        <v>2.5</v>
      </c>
      <c r="Z190" s="32">
        <v>0</v>
      </c>
      <c r="AA190" s="32">
        <f t="shared" si="197"/>
        <v>0.1175</v>
      </c>
      <c r="AB190" s="27">
        <f t="shared" si="198"/>
        <v>2.209</v>
      </c>
      <c r="AC190" s="27">
        <v>29.4</v>
      </c>
      <c r="AD190" s="33">
        <f t="shared" si="199"/>
        <v>26.0176991150442</v>
      </c>
      <c r="AE190" s="29">
        <f t="shared" si="208"/>
        <v>0.5</v>
      </c>
      <c r="AF190" s="30">
        <f t="shared" si="201"/>
        <v>0.276784033138769</v>
      </c>
      <c r="AG190" s="30">
        <f t="shared" si="206"/>
        <v>0.00531914893617021</v>
      </c>
      <c r="AH190" s="29">
        <v>4</v>
      </c>
      <c r="AI190" s="26">
        <f t="shared" si="209"/>
        <v>0.326121247792819</v>
      </c>
      <c r="AJ190" s="26"/>
      <c r="AK190" s="26"/>
      <c r="AL190" s="26"/>
      <c r="AM190" s="26"/>
      <c r="AN190" s="34"/>
      <c r="AO190" s="34"/>
      <c r="AP190" s="34"/>
      <c r="AQ190" s="34"/>
      <c r="AR190" s="34"/>
      <c r="AS190" s="34"/>
      <c r="AT190" s="34" t="s">
        <v>156</v>
      </c>
      <c r="AU190" s="34" t="s">
        <v>156</v>
      </c>
      <c r="AV190" s="34" t="s">
        <v>156</v>
      </c>
      <c r="AW190" s="34" t="s">
        <v>156</v>
      </c>
      <c r="AX190" s="34" t="s">
        <v>156</v>
      </c>
      <c r="AY190" s="34" t="s">
        <v>156</v>
      </c>
      <c r="AZ190" s="34" t="s">
        <v>156</v>
      </c>
      <c r="BA190" s="34" t="s">
        <v>156</v>
      </c>
      <c r="BB190" s="34" t="s">
        <v>156</v>
      </c>
      <c r="BC190" s="34" t="s">
        <v>156</v>
      </c>
      <c r="BD190" s="34" t="s">
        <v>156</v>
      </c>
      <c r="BE190" s="34" t="s">
        <v>156</v>
      </c>
      <c r="BF190" s="34" t="s">
        <v>156</v>
      </c>
      <c r="BG190" s="34" t="s">
        <v>156</v>
      </c>
      <c r="BH190" s="34" t="s">
        <v>156</v>
      </c>
      <c r="BI190" s="34" t="s">
        <v>156</v>
      </c>
      <c r="BJ190" s="34" t="s">
        <v>156</v>
      </c>
      <c r="BK190" s="34" t="s">
        <v>156</v>
      </c>
      <c r="BL190" s="34" t="s">
        <v>156</v>
      </c>
      <c r="BM190" s="34" t="s">
        <v>156</v>
      </c>
      <c r="BN190" s="34" t="s">
        <v>156</v>
      </c>
      <c r="BO190" s="34" t="s">
        <v>156</v>
      </c>
      <c r="BP190" s="34" t="s">
        <v>156</v>
      </c>
      <c r="BQ190" s="34" t="s">
        <v>156</v>
      </c>
      <c r="BR190" s="35"/>
      <c r="BS190" s="20" t="s">
        <v>157</v>
      </c>
    </row>
    <row r="191" ht="16.5" spans="1:71">
      <c r="A191" s="21" t="s">
        <v>45</v>
      </c>
      <c r="B191" s="21"/>
      <c r="C191" s="45"/>
      <c r="D191" s="39" t="s">
        <v>204</v>
      </c>
      <c r="E191" s="55">
        <v>11.75</v>
      </c>
      <c r="F191" s="24">
        <v>16.99</v>
      </c>
      <c r="G191" s="25">
        <f t="shared" si="183"/>
        <v>15.291</v>
      </c>
      <c r="H191" s="25">
        <f t="shared" si="184"/>
        <v>12.7425</v>
      </c>
      <c r="I191" s="36">
        <f t="shared" si="185"/>
        <v>1.39603761061947</v>
      </c>
      <c r="J191" s="26">
        <f t="shared" si="186"/>
        <v>0.118811711542082</v>
      </c>
      <c r="K191" s="27">
        <f t="shared" si="187"/>
        <v>14.1583333333333</v>
      </c>
      <c r="L191" s="28">
        <f t="shared" si="188"/>
        <v>0.170100058858152</v>
      </c>
      <c r="M191" s="25">
        <f t="shared" si="189"/>
        <v>2.40833333333333</v>
      </c>
      <c r="N191" s="27">
        <f t="shared" si="207"/>
        <v>30.0176991150442</v>
      </c>
      <c r="O191" s="27">
        <f t="shared" si="191"/>
        <v>0.07625</v>
      </c>
      <c r="P191" s="21">
        <v>200</v>
      </c>
      <c r="Q191" s="29">
        <v>8</v>
      </c>
      <c r="R191" s="30">
        <f t="shared" si="192"/>
        <v>0.212765957446809</v>
      </c>
      <c r="S191" s="26">
        <f t="shared" si="205"/>
        <v>0.147145379635079</v>
      </c>
      <c r="T191" s="30">
        <f t="shared" si="194"/>
        <v>0.144595744680851</v>
      </c>
      <c r="U191" s="30">
        <v>0.01</v>
      </c>
      <c r="V191" s="30">
        <f t="shared" si="195"/>
        <v>0.31933722462813</v>
      </c>
      <c r="W191" s="30">
        <f t="shared" si="196"/>
        <v>0.00648936170212766</v>
      </c>
      <c r="X191" s="31">
        <v>0.188</v>
      </c>
      <c r="Y191" s="32">
        <v>2.5</v>
      </c>
      <c r="Z191" s="32">
        <f>F191*0.1</f>
        <v>1.699</v>
      </c>
      <c r="AA191" s="32">
        <f t="shared" si="197"/>
        <v>0.1175</v>
      </c>
      <c r="AB191" s="27">
        <f t="shared" si="198"/>
        <v>2.209</v>
      </c>
      <c r="AC191" s="27">
        <v>29.4</v>
      </c>
      <c r="AD191" s="33">
        <f t="shared" si="199"/>
        <v>26.0176991150442</v>
      </c>
      <c r="AE191" s="29">
        <f t="shared" si="208"/>
        <v>0.5</v>
      </c>
      <c r="AF191" s="30">
        <f t="shared" si="201"/>
        <v>0.276784033138769</v>
      </c>
      <c r="AG191" s="30">
        <f t="shared" si="206"/>
        <v>0.00531914893617021</v>
      </c>
      <c r="AH191" s="29">
        <v>4</v>
      </c>
      <c r="AI191" s="26">
        <f t="shared" si="209"/>
        <v>0.370592327037295</v>
      </c>
      <c r="AJ191" s="26"/>
      <c r="AK191" s="26"/>
      <c r="AL191" s="26"/>
      <c r="AM191" s="26"/>
      <c r="AN191" s="34"/>
      <c r="AO191" s="34"/>
      <c r="AP191" s="34"/>
      <c r="AQ191" s="34"/>
      <c r="AR191" s="34"/>
      <c r="AS191" s="34"/>
      <c r="AT191" s="34" t="s">
        <v>156</v>
      </c>
      <c r="AU191" s="34" t="s">
        <v>156</v>
      </c>
      <c r="AV191" s="34" t="s">
        <v>156</v>
      </c>
      <c r="AW191" s="34" t="s">
        <v>156</v>
      </c>
      <c r="AX191" s="34" t="s">
        <v>156</v>
      </c>
      <c r="AY191" s="34" t="s">
        <v>156</v>
      </c>
      <c r="AZ191" s="34" t="s">
        <v>156</v>
      </c>
      <c r="BA191" s="34" t="s">
        <v>156</v>
      </c>
      <c r="BB191" s="34" t="s">
        <v>156</v>
      </c>
      <c r="BC191" s="34" t="s">
        <v>156</v>
      </c>
      <c r="BD191" s="34" t="s">
        <v>156</v>
      </c>
      <c r="BE191" s="34" t="s">
        <v>156</v>
      </c>
      <c r="BF191" s="34" t="s">
        <v>156</v>
      </c>
      <c r="BG191" s="34" t="s">
        <v>156</v>
      </c>
      <c r="BH191" s="34" t="s">
        <v>156</v>
      </c>
      <c r="BI191" s="34" t="s">
        <v>156</v>
      </c>
      <c r="BJ191" s="34" t="s">
        <v>156</v>
      </c>
      <c r="BK191" s="34" t="s">
        <v>156</v>
      </c>
      <c r="BL191" s="34" t="s">
        <v>156</v>
      </c>
      <c r="BM191" s="34" t="s">
        <v>156</v>
      </c>
      <c r="BN191" s="34" t="s">
        <v>156</v>
      </c>
      <c r="BO191" s="34" t="s">
        <v>156</v>
      </c>
      <c r="BP191" s="34" t="s">
        <v>156</v>
      </c>
      <c r="BQ191" s="34" t="s">
        <v>156</v>
      </c>
      <c r="BR191" s="35"/>
      <c r="BS191" s="20" t="s">
        <v>157</v>
      </c>
    </row>
    <row r="192" ht="16.5" spans="1:71">
      <c r="A192" s="21" t="s">
        <v>45</v>
      </c>
      <c r="B192" s="21"/>
      <c r="C192" s="45"/>
      <c r="D192" s="39" t="s">
        <v>205</v>
      </c>
      <c r="E192" s="55">
        <v>11.75</v>
      </c>
      <c r="F192" s="24">
        <v>16.99</v>
      </c>
      <c r="G192" s="25">
        <f t="shared" si="183"/>
        <v>14.4415</v>
      </c>
      <c r="H192" s="25">
        <f t="shared" si="184"/>
        <v>12.0345833333333</v>
      </c>
      <c r="I192" s="25">
        <f t="shared" si="185"/>
        <v>0.546537610619469</v>
      </c>
      <c r="J192" s="26">
        <f t="shared" si="186"/>
        <v>0.0465138392016569</v>
      </c>
      <c r="K192" s="27">
        <f t="shared" si="187"/>
        <v>14.1583333333333</v>
      </c>
      <c r="L192" s="28">
        <f t="shared" si="188"/>
        <v>0.170100058858152</v>
      </c>
      <c r="M192" s="25">
        <f t="shared" si="189"/>
        <v>2.40833333333333</v>
      </c>
      <c r="N192" s="27">
        <f t="shared" si="207"/>
        <v>30.0176991150442</v>
      </c>
      <c r="O192" s="27">
        <f t="shared" si="191"/>
        <v>0.07625</v>
      </c>
      <c r="P192" s="21">
        <v>200</v>
      </c>
      <c r="Q192" s="29">
        <v>8</v>
      </c>
      <c r="R192" s="30">
        <f t="shared" si="192"/>
        <v>0.212765957446809</v>
      </c>
      <c r="S192" s="26">
        <f t="shared" si="205"/>
        <v>0.147145379635079</v>
      </c>
      <c r="T192" s="30">
        <f t="shared" si="194"/>
        <v>0.216893617021277</v>
      </c>
      <c r="U192" s="30">
        <v>0.01</v>
      </c>
      <c r="V192" s="30">
        <f t="shared" si="195"/>
        <v>0.31933722462813</v>
      </c>
      <c r="W192" s="30">
        <f t="shared" si="196"/>
        <v>0.00648936170212766</v>
      </c>
      <c r="X192" s="31">
        <v>0.188</v>
      </c>
      <c r="Y192" s="32">
        <v>2.5</v>
      </c>
      <c r="Z192" s="32">
        <f>F192*0.15</f>
        <v>2.5485</v>
      </c>
      <c r="AA192" s="32">
        <f t="shared" si="197"/>
        <v>0.1175</v>
      </c>
      <c r="AB192" s="27">
        <f t="shared" si="198"/>
        <v>2.209</v>
      </c>
      <c r="AC192" s="27">
        <v>29.4</v>
      </c>
      <c r="AD192" s="33">
        <f t="shared" si="199"/>
        <v>26.0176991150442</v>
      </c>
      <c r="AE192" s="29">
        <f t="shared" si="208"/>
        <v>0.5</v>
      </c>
      <c r="AF192" s="30">
        <f t="shared" si="201"/>
        <v>0.276784033138769</v>
      </c>
      <c r="AG192" s="30">
        <f t="shared" si="206"/>
        <v>0.00531914893617021</v>
      </c>
      <c r="AH192" s="29">
        <v>4</v>
      </c>
      <c r="AI192" s="26">
        <f t="shared" si="209"/>
        <v>0.397708838771731</v>
      </c>
      <c r="AJ192" s="26"/>
      <c r="AK192" s="26"/>
      <c r="AL192" s="26"/>
      <c r="AM192" s="26"/>
      <c r="AN192" s="34"/>
      <c r="AO192" s="34"/>
      <c r="AP192" s="34"/>
      <c r="AQ192" s="34"/>
      <c r="AR192" s="34"/>
      <c r="AS192" s="34"/>
      <c r="AT192" s="34" t="s">
        <v>156</v>
      </c>
      <c r="AU192" s="34" t="s">
        <v>156</v>
      </c>
      <c r="AV192" s="34" t="s">
        <v>156</v>
      </c>
      <c r="AW192" s="34" t="s">
        <v>156</v>
      </c>
      <c r="AX192" s="34" t="s">
        <v>156</v>
      </c>
      <c r="AY192" s="34" t="s">
        <v>156</v>
      </c>
      <c r="AZ192" s="34" t="s">
        <v>156</v>
      </c>
      <c r="BA192" s="34" t="s">
        <v>156</v>
      </c>
      <c r="BB192" s="34" t="s">
        <v>156</v>
      </c>
      <c r="BC192" s="34" t="s">
        <v>156</v>
      </c>
      <c r="BD192" s="34" t="s">
        <v>156</v>
      </c>
      <c r="BE192" s="34" t="s">
        <v>156</v>
      </c>
      <c r="BF192" s="34" t="s">
        <v>156</v>
      </c>
      <c r="BG192" s="34" t="s">
        <v>156</v>
      </c>
      <c r="BH192" s="34" t="s">
        <v>156</v>
      </c>
      <c r="BI192" s="34" t="s">
        <v>156</v>
      </c>
      <c r="BJ192" s="34" t="s">
        <v>156</v>
      </c>
      <c r="BK192" s="34" t="s">
        <v>156</v>
      </c>
      <c r="BL192" s="34" t="s">
        <v>156</v>
      </c>
      <c r="BM192" s="34" t="s">
        <v>156</v>
      </c>
      <c r="BN192" s="34" t="s">
        <v>156</v>
      </c>
      <c r="BO192" s="34" t="s">
        <v>156</v>
      </c>
      <c r="BP192" s="34" t="s">
        <v>156</v>
      </c>
      <c r="BQ192" s="34" t="s">
        <v>156</v>
      </c>
      <c r="BR192" s="35"/>
      <c r="BS192" s="20" t="s">
        <v>157</v>
      </c>
    </row>
    <row r="193" ht="16.5" spans="1:71">
      <c r="A193" s="21" t="s">
        <v>48</v>
      </c>
      <c r="B193" s="21"/>
      <c r="C193" s="45"/>
      <c r="D193" s="39" t="s">
        <v>203</v>
      </c>
      <c r="E193" s="55">
        <v>11.75</v>
      </c>
      <c r="F193" s="24">
        <v>16.99</v>
      </c>
      <c r="G193" s="25">
        <f t="shared" si="183"/>
        <v>16.99</v>
      </c>
      <c r="H193" s="25">
        <f t="shared" si="184"/>
        <v>14.1583333333333</v>
      </c>
      <c r="I193" s="25">
        <f t="shared" si="185"/>
        <v>3.07503761061947</v>
      </c>
      <c r="J193" s="26">
        <f t="shared" si="186"/>
        <v>0.261705328563359</v>
      </c>
      <c r="K193" s="27">
        <f t="shared" si="187"/>
        <v>14.1583333333333</v>
      </c>
      <c r="L193" s="28">
        <f t="shared" si="188"/>
        <v>0.170100058858152</v>
      </c>
      <c r="M193" s="25">
        <f t="shared" si="189"/>
        <v>2.40833333333333</v>
      </c>
      <c r="N193" s="27">
        <f t="shared" si="207"/>
        <v>30.0176991150442</v>
      </c>
      <c r="O193" s="27">
        <f t="shared" si="191"/>
        <v>0.09625</v>
      </c>
      <c r="P193" s="21">
        <v>200</v>
      </c>
      <c r="Q193" s="29">
        <v>8</v>
      </c>
      <c r="R193" s="30">
        <f t="shared" si="192"/>
        <v>0.212765957446809</v>
      </c>
      <c r="S193" s="26">
        <f t="shared" si="205"/>
        <v>0.147145379635079</v>
      </c>
      <c r="T193" s="30">
        <f t="shared" si="194"/>
        <v>0</v>
      </c>
      <c r="U193" s="30">
        <v>0.01</v>
      </c>
      <c r="V193" s="30">
        <f t="shared" si="195"/>
        <v>0.31933722462813</v>
      </c>
      <c r="W193" s="30">
        <f t="shared" si="196"/>
        <v>0.00819148936170213</v>
      </c>
      <c r="X193" s="31">
        <v>0.188</v>
      </c>
      <c r="Y193" s="32">
        <v>2.5</v>
      </c>
      <c r="Z193" s="32">
        <v>0</v>
      </c>
      <c r="AA193" s="32">
        <f t="shared" si="197"/>
        <v>0.1175</v>
      </c>
      <c r="AB193" s="27">
        <f t="shared" si="198"/>
        <v>2.209</v>
      </c>
      <c r="AC193" s="27">
        <v>29.4</v>
      </c>
      <c r="AD193" s="33">
        <f t="shared" si="199"/>
        <v>26.0176991150442</v>
      </c>
      <c r="AE193" s="29">
        <f t="shared" si="208"/>
        <v>0.5</v>
      </c>
      <c r="AF193" s="30">
        <f t="shared" si="201"/>
        <v>0.276784033138769</v>
      </c>
      <c r="AG193" s="30">
        <f t="shared" si="206"/>
        <v>0.00531914893617021</v>
      </c>
      <c r="AH193" s="29">
        <v>4</v>
      </c>
      <c r="AI193" s="30">
        <f t="shared" si="209"/>
        <v>0.326121247792819</v>
      </c>
      <c r="AJ193" s="30"/>
      <c r="AK193" s="30"/>
      <c r="AL193" s="30"/>
      <c r="AM193" s="30"/>
      <c r="AN193" s="34"/>
      <c r="AO193" s="34"/>
      <c r="AP193" s="34"/>
      <c r="AQ193" s="34"/>
      <c r="AR193" s="34"/>
      <c r="AS193" s="34"/>
      <c r="AT193" s="34" t="s">
        <v>156</v>
      </c>
      <c r="AU193" s="34" t="s">
        <v>156</v>
      </c>
      <c r="AV193" s="34" t="s">
        <v>156</v>
      </c>
      <c r="AW193" s="34" t="s">
        <v>156</v>
      </c>
      <c r="AX193" s="34" t="s">
        <v>156</v>
      </c>
      <c r="AY193" s="34" t="s">
        <v>156</v>
      </c>
      <c r="AZ193" s="34" t="s">
        <v>156</v>
      </c>
      <c r="BA193" s="34" t="s">
        <v>156</v>
      </c>
      <c r="BB193" s="34" t="s">
        <v>156</v>
      </c>
      <c r="BC193" s="34" t="s">
        <v>156</v>
      </c>
      <c r="BD193" s="34" t="s">
        <v>156</v>
      </c>
      <c r="BE193" s="34" t="s">
        <v>156</v>
      </c>
      <c r="BF193" s="34" t="s">
        <v>156</v>
      </c>
      <c r="BG193" s="34" t="s">
        <v>156</v>
      </c>
      <c r="BH193" s="34" t="s">
        <v>156</v>
      </c>
      <c r="BI193" s="34" t="s">
        <v>156</v>
      </c>
      <c r="BJ193" s="34" t="s">
        <v>156</v>
      </c>
      <c r="BK193" s="34" t="s">
        <v>156</v>
      </c>
      <c r="BL193" s="34" t="s">
        <v>156</v>
      </c>
      <c r="BM193" s="34" t="s">
        <v>156</v>
      </c>
      <c r="BN193" s="34" t="s">
        <v>156</v>
      </c>
      <c r="BO193" s="34" t="s">
        <v>156</v>
      </c>
      <c r="BP193" s="34" t="s">
        <v>156</v>
      </c>
      <c r="BQ193" s="34" t="s">
        <v>156</v>
      </c>
      <c r="BR193" s="35"/>
      <c r="BS193" s="20" t="s">
        <v>157</v>
      </c>
    </row>
    <row r="194" ht="16.5" spans="1:71">
      <c r="A194" s="21" t="s">
        <v>48</v>
      </c>
      <c r="B194" s="21"/>
      <c r="C194" s="45"/>
      <c r="D194" s="39" t="s">
        <v>204</v>
      </c>
      <c r="E194" s="55">
        <v>11.75</v>
      </c>
      <c r="F194" s="24">
        <v>16.99</v>
      </c>
      <c r="G194" s="25">
        <f t="shared" si="183"/>
        <v>15.291</v>
      </c>
      <c r="H194" s="25">
        <f t="shared" si="184"/>
        <v>12.7425</v>
      </c>
      <c r="I194" s="36">
        <f t="shared" si="185"/>
        <v>1.37603761061947</v>
      </c>
      <c r="J194" s="26">
        <f t="shared" si="186"/>
        <v>0.117109583882508</v>
      </c>
      <c r="K194" s="27">
        <f t="shared" si="187"/>
        <v>14.1583333333333</v>
      </c>
      <c r="L194" s="28">
        <f t="shared" si="188"/>
        <v>0.170100058858152</v>
      </c>
      <c r="M194" s="25">
        <f t="shared" si="189"/>
        <v>2.40833333333333</v>
      </c>
      <c r="N194" s="27">
        <f t="shared" si="207"/>
        <v>30.0176991150442</v>
      </c>
      <c r="O194" s="27">
        <f t="shared" si="191"/>
        <v>0.09625</v>
      </c>
      <c r="P194" s="21">
        <v>200</v>
      </c>
      <c r="Q194" s="29">
        <v>8</v>
      </c>
      <c r="R194" s="30">
        <f t="shared" si="192"/>
        <v>0.212765957446809</v>
      </c>
      <c r="S194" s="26">
        <f t="shared" si="205"/>
        <v>0.147145379635079</v>
      </c>
      <c r="T194" s="30">
        <f t="shared" si="194"/>
        <v>0.144595744680851</v>
      </c>
      <c r="U194" s="30">
        <v>0.01</v>
      </c>
      <c r="V194" s="30">
        <f t="shared" si="195"/>
        <v>0.31933722462813</v>
      </c>
      <c r="W194" s="30">
        <f t="shared" si="196"/>
        <v>0.00819148936170213</v>
      </c>
      <c r="X194" s="31">
        <v>0.188</v>
      </c>
      <c r="Y194" s="32">
        <v>2.5</v>
      </c>
      <c r="Z194" s="32">
        <f>F194*0.1</f>
        <v>1.699</v>
      </c>
      <c r="AA194" s="32">
        <f t="shared" si="197"/>
        <v>0.1175</v>
      </c>
      <c r="AB194" s="27">
        <f t="shared" si="198"/>
        <v>2.209</v>
      </c>
      <c r="AC194" s="27">
        <v>29.4</v>
      </c>
      <c r="AD194" s="33">
        <f t="shared" si="199"/>
        <v>26.0176991150442</v>
      </c>
      <c r="AE194" s="29">
        <f t="shared" si="208"/>
        <v>0.5</v>
      </c>
      <c r="AF194" s="30">
        <f t="shared" si="201"/>
        <v>0.276784033138769</v>
      </c>
      <c r="AG194" s="30">
        <f t="shared" si="206"/>
        <v>0.00531914893617021</v>
      </c>
      <c r="AH194" s="29">
        <v>4</v>
      </c>
      <c r="AI194" s="30">
        <f t="shared" si="209"/>
        <v>0.370592327037295</v>
      </c>
      <c r="AJ194" s="30"/>
      <c r="AK194" s="30"/>
      <c r="AL194" s="30"/>
      <c r="AM194" s="30"/>
      <c r="AN194" s="34"/>
      <c r="AO194" s="34"/>
      <c r="AP194" s="34"/>
      <c r="AQ194" s="34"/>
      <c r="AR194" s="34"/>
      <c r="AS194" s="34"/>
      <c r="AT194" s="34" t="s">
        <v>156</v>
      </c>
      <c r="AU194" s="34" t="s">
        <v>156</v>
      </c>
      <c r="AV194" s="34" t="s">
        <v>156</v>
      </c>
      <c r="AW194" s="34" t="s">
        <v>156</v>
      </c>
      <c r="AX194" s="34" t="s">
        <v>156</v>
      </c>
      <c r="AY194" s="34" t="s">
        <v>156</v>
      </c>
      <c r="AZ194" s="34" t="s">
        <v>156</v>
      </c>
      <c r="BA194" s="34" t="s">
        <v>156</v>
      </c>
      <c r="BB194" s="34" t="s">
        <v>156</v>
      </c>
      <c r="BC194" s="34" t="s">
        <v>156</v>
      </c>
      <c r="BD194" s="34" t="s">
        <v>156</v>
      </c>
      <c r="BE194" s="34" t="s">
        <v>156</v>
      </c>
      <c r="BF194" s="34" t="s">
        <v>156</v>
      </c>
      <c r="BG194" s="34" t="s">
        <v>156</v>
      </c>
      <c r="BH194" s="34" t="s">
        <v>156</v>
      </c>
      <c r="BI194" s="34" t="s">
        <v>156</v>
      </c>
      <c r="BJ194" s="34" t="s">
        <v>156</v>
      </c>
      <c r="BK194" s="34" t="s">
        <v>156</v>
      </c>
      <c r="BL194" s="34" t="s">
        <v>156</v>
      </c>
      <c r="BM194" s="34" t="s">
        <v>156</v>
      </c>
      <c r="BN194" s="34" t="s">
        <v>156</v>
      </c>
      <c r="BO194" s="34" t="s">
        <v>156</v>
      </c>
      <c r="BP194" s="34" t="s">
        <v>156</v>
      </c>
      <c r="BQ194" s="34" t="s">
        <v>156</v>
      </c>
      <c r="BR194" s="35"/>
      <c r="BS194" s="20" t="s">
        <v>157</v>
      </c>
    </row>
    <row r="195" ht="16.5" spans="1:71">
      <c r="A195" s="21" t="s">
        <v>48</v>
      </c>
      <c r="B195" s="21"/>
      <c r="C195" s="45"/>
      <c r="D195" s="39" t="s">
        <v>205</v>
      </c>
      <c r="E195" s="55">
        <v>11.75</v>
      </c>
      <c r="F195" s="24">
        <v>16.99</v>
      </c>
      <c r="G195" s="25">
        <f t="shared" si="183"/>
        <v>14.4415</v>
      </c>
      <c r="H195" s="25">
        <f t="shared" si="184"/>
        <v>12.0345833333333</v>
      </c>
      <c r="I195" s="25">
        <f t="shared" si="185"/>
        <v>0.526537610619469</v>
      </c>
      <c r="J195" s="26">
        <f t="shared" si="186"/>
        <v>0.0448117115420825</v>
      </c>
      <c r="K195" s="27">
        <f t="shared" si="187"/>
        <v>14.1583333333333</v>
      </c>
      <c r="L195" s="28">
        <f t="shared" si="188"/>
        <v>0.170100058858152</v>
      </c>
      <c r="M195" s="25">
        <f t="shared" si="189"/>
        <v>2.40833333333333</v>
      </c>
      <c r="N195" s="27">
        <f t="shared" si="207"/>
        <v>30.0176991150442</v>
      </c>
      <c r="O195" s="27">
        <f t="shared" si="191"/>
        <v>0.09625</v>
      </c>
      <c r="P195" s="21">
        <v>200</v>
      </c>
      <c r="Q195" s="29">
        <v>8</v>
      </c>
      <c r="R195" s="30">
        <f t="shared" si="192"/>
        <v>0.212765957446809</v>
      </c>
      <c r="S195" s="26">
        <f t="shared" si="205"/>
        <v>0.147145379635079</v>
      </c>
      <c r="T195" s="30">
        <f t="shared" si="194"/>
        <v>0.216893617021277</v>
      </c>
      <c r="U195" s="30">
        <v>0.01</v>
      </c>
      <c r="V195" s="30">
        <f t="shared" si="195"/>
        <v>0.31933722462813</v>
      </c>
      <c r="W195" s="30">
        <f t="shared" si="196"/>
        <v>0.00819148936170213</v>
      </c>
      <c r="X195" s="31">
        <v>0.188</v>
      </c>
      <c r="Y195" s="32">
        <v>2.5</v>
      </c>
      <c r="Z195" s="32">
        <f>F195*0.15</f>
        <v>2.5485</v>
      </c>
      <c r="AA195" s="32">
        <f t="shared" si="197"/>
        <v>0.1175</v>
      </c>
      <c r="AB195" s="27">
        <f t="shared" si="198"/>
        <v>2.209</v>
      </c>
      <c r="AC195" s="27">
        <v>29.4</v>
      </c>
      <c r="AD195" s="33">
        <f t="shared" si="199"/>
        <v>26.0176991150442</v>
      </c>
      <c r="AE195" s="29">
        <f t="shared" si="208"/>
        <v>0.5</v>
      </c>
      <c r="AF195" s="30">
        <f t="shared" si="201"/>
        <v>0.276784033138769</v>
      </c>
      <c r="AG195" s="30">
        <f t="shared" si="206"/>
        <v>0.00531914893617021</v>
      </c>
      <c r="AH195" s="29">
        <v>4</v>
      </c>
      <c r="AI195" s="30">
        <f t="shared" si="209"/>
        <v>0.397708838771731</v>
      </c>
      <c r="AJ195" s="30"/>
      <c r="AK195" s="30"/>
      <c r="AL195" s="30"/>
      <c r="AM195" s="30"/>
      <c r="AN195" s="34"/>
      <c r="AO195" s="34"/>
      <c r="AP195" s="34"/>
      <c r="AQ195" s="34"/>
      <c r="AR195" s="34"/>
      <c r="AS195" s="34"/>
      <c r="AT195" s="34" t="s">
        <v>156</v>
      </c>
      <c r="AU195" s="34" t="s">
        <v>156</v>
      </c>
      <c r="AV195" s="34" t="s">
        <v>156</v>
      </c>
      <c r="AW195" s="34" t="s">
        <v>156</v>
      </c>
      <c r="AX195" s="34" t="s">
        <v>156</v>
      </c>
      <c r="AY195" s="34" t="s">
        <v>156</v>
      </c>
      <c r="AZ195" s="34" t="s">
        <v>156</v>
      </c>
      <c r="BA195" s="34" t="s">
        <v>156</v>
      </c>
      <c r="BB195" s="34" t="s">
        <v>156</v>
      </c>
      <c r="BC195" s="34" t="s">
        <v>156</v>
      </c>
      <c r="BD195" s="34" t="s">
        <v>156</v>
      </c>
      <c r="BE195" s="34" t="s">
        <v>156</v>
      </c>
      <c r="BF195" s="34" t="s">
        <v>156</v>
      </c>
      <c r="BG195" s="34" t="s">
        <v>156</v>
      </c>
      <c r="BH195" s="34" t="s">
        <v>156</v>
      </c>
      <c r="BI195" s="34" t="s">
        <v>156</v>
      </c>
      <c r="BJ195" s="34" t="s">
        <v>156</v>
      </c>
      <c r="BK195" s="34" t="s">
        <v>156</v>
      </c>
      <c r="BL195" s="34" t="s">
        <v>156</v>
      </c>
      <c r="BM195" s="34" t="s">
        <v>156</v>
      </c>
      <c r="BN195" s="34" t="s">
        <v>156</v>
      </c>
      <c r="BO195" s="34" t="s">
        <v>156</v>
      </c>
      <c r="BP195" s="34" t="s">
        <v>156</v>
      </c>
      <c r="BQ195" s="34" t="s">
        <v>156</v>
      </c>
      <c r="BR195" s="35"/>
      <c r="BS195" s="20" t="s">
        <v>157</v>
      </c>
    </row>
    <row r="196" ht="16.5" spans="1:71">
      <c r="A196" s="21" t="s">
        <v>161</v>
      </c>
      <c r="B196" s="21"/>
      <c r="C196" s="45"/>
      <c r="D196" s="42" t="s">
        <v>206</v>
      </c>
      <c r="E196" s="55">
        <v>15</v>
      </c>
      <c r="F196" s="38">
        <v>21.99</v>
      </c>
      <c r="G196" s="25">
        <f t="shared" si="183"/>
        <v>21.99</v>
      </c>
      <c r="H196" s="25">
        <f t="shared" si="184"/>
        <v>18.325</v>
      </c>
      <c r="I196" s="25">
        <f t="shared" si="185"/>
        <v>8.19403761061947</v>
      </c>
      <c r="J196" s="26">
        <f t="shared" si="186"/>
        <v>0.546269174041298</v>
      </c>
      <c r="K196" s="27">
        <f t="shared" si="187"/>
        <v>18.325</v>
      </c>
      <c r="L196" s="28">
        <f t="shared" si="188"/>
        <v>0.181446111869031</v>
      </c>
      <c r="M196" s="25">
        <f t="shared" si="189"/>
        <v>3.325</v>
      </c>
      <c r="N196" s="27">
        <f t="shared" si="207"/>
        <v>30.0176991150442</v>
      </c>
      <c r="O196" s="27">
        <f t="shared" si="191"/>
        <v>0.08375</v>
      </c>
      <c r="P196" s="21">
        <v>200</v>
      </c>
      <c r="Q196" s="29">
        <v>8</v>
      </c>
      <c r="R196" s="30">
        <f t="shared" si="192"/>
        <v>0</v>
      </c>
      <c r="S196" s="26">
        <f t="shared" si="205"/>
        <v>0</v>
      </c>
      <c r="T196" s="30">
        <f t="shared" si="194"/>
        <v>0</v>
      </c>
      <c r="U196" s="30">
        <v>0.01</v>
      </c>
      <c r="V196" s="30">
        <f t="shared" si="195"/>
        <v>0.250147492625369</v>
      </c>
      <c r="W196" s="30">
        <f t="shared" si="196"/>
        <v>0.00558333333333333</v>
      </c>
      <c r="X196" s="31">
        <v>0.188</v>
      </c>
      <c r="Y196" s="32">
        <v>0</v>
      </c>
      <c r="Z196" s="32">
        <f t="shared" ref="Z196:Z199" si="210">F196*0</f>
        <v>0</v>
      </c>
      <c r="AA196" s="32">
        <f t="shared" si="197"/>
        <v>0.15</v>
      </c>
      <c r="AB196" s="27">
        <f t="shared" si="198"/>
        <v>2.82</v>
      </c>
      <c r="AC196" s="27">
        <v>29.4</v>
      </c>
      <c r="AD196" s="33">
        <f t="shared" si="199"/>
        <v>26.0176991150442</v>
      </c>
      <c r="AE196" s="29">
        <f t="shared" si="208"/>
        <v>0.5</v>
      </c>
      <c r="AF196" s="30">
        <f t="shared" si="201"/>
        <v>0.216814159292035</v>
      </c>
      <c r="AG196" s="30">
        <f t="shared" si="206"/>
        <v>0.00416666666666667</v>
      </c>
      <c r="AH196" s="29">
        <v>4</v>
      </c>
      <c r="AI196" s="30">
        <f t="shared" si="209"/>
        <v>0.335334242837653</v>
      </c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 t="s">
        <v>156</v>
      </c>
      <c r="AU196" s="34" t="s">
        <v>156</v>
      </c>
      <c r="AV196" s="34" t="s">
        <v>156</v>
      </c>
      <c r="AW196" s="34" t="s">
        <v>156</v>
      </c>
      <c r="AX196" s="34" t="s">
        <v>156</v>
      </c>
      <c r="AY196" s="34" t="s">
        <v>156</v>
      </c>
      <c r="AZ196" s="34" t="s">
        <v>156</v>
      </c>
      <c r="BA196" s="34" t="s">
        <v>156</v>
      </c>
      <c r="BB196" s="34" t="s">
        <v>156</v>
      </c>
      <c r="BC196" s="34" t="s">
        <v>156</v>
      </c>
      <c r="BD196" s="34" t="s">
        <v>156</v>
      </c>
      <c r="BE196" s="34" t="s">
        <v>156</v>
      </c>
      <c r="BF196" s="34" t="s">
        <v>156</v>
      </c>
      <c r="BG196" s="34" t="s">
        <v>156</v>
      </c>
      <c r="BH196" s="34" t="s">
        <v>156</v>
      </c>
      <c r="BI196" s="34" t="s">
        <v>156</v>
      </c>
      <c r="BJ196" s="34" t="s">
        <v>156</v>
      </c>
      <c r="BK196" s="34" t="s">
        <v>156</v>
      </c>
      <c r="BL196" s="34" t="s">
        <v>156</v>
      </c>
      <c r="BM196" s="34" t="s">
        <v>156</v>
      </c>
      <c r="BN196" s="34" t="s">
        <v>156</v>
      </c>
      <c r="BO196" s="34" t="s">
        <v>156</v>
      </c>
      <c r="BP196" s="34" t="s">
        <v>156</v>
      </c>
      <c r="BQ196" s="34" t="s">
        <v>156</v>
      </c>
      <c r="BR196" s="44" t="e">
        <f>IF(E196&lt;#REF!,1,0)</f>
        <v>#REF!</v>
      </c>
      <c r="BS196" s="20" t="s">
        <v>157</v>
      </c>
    </row>
    <row r="197" ht="16.5" spans="1:71">
      <c r="A197" s="21" t="s">
        <v>163</v>
      </c>
      <c r="B197" s="21"/>
      <c r="C197" s="45"/>
      <c r="D197" s="42" t="s">
        <v>207</v>
      </c>
      <c r="E197" s="55">
        <v>15</v>
      </c>
      <c r="F197" s="24">
        <v>21.99</v>
      </c>
      <c r="G197" s="25">
        <f t="shared" si="183"/>
        <v>21.99</v>
      </c>
      <c r="H197" s="25">
        <f t="shared" si="184"/>
        <v>18.325</v>
      </c>
      <c r="I197" s="25">
        <f t="shared" si="185"/>
        <v>8.20753761061947</v>
      </c>
      <c r="J197" s="26">
        <f t="shared" si="186"/>
        <v>0.547169174041298</v>
      </c>
      <c r="K197" s="27">
        <f t="shared" si="187"/>
        <v>18.325</v>
      </c>
      <c r="L197" s="28">
        <f t="shared" si="188"/>
        <v>0.181446111869031</v>
      </c>
      <c r="M197" s="25">
        <f t="shared" si="189"/>
        <v>3.325</v>
      </c>
      <c r="N197" s="27">
        <f t="shared" si="207"/>
        <v>30.0176991150442</v>
      </c>
      <c r="O197" s="27">
        <f t="shared" si="191"/>
        <v>0.07025</v>
      </c>
      <c r="P197" s="21">
        <v>200</v>
      </c>
      <c r="Q197" s="29">
        <v>8</v>
      </c>
      <c r="R197" s="30">
        <f t="shared" si="192"/>
        <v>0</v>
      </c>
      <c r="S197" s="26">
        <f t="shared" si="205"/>
        <v>0</v>
      </c>
      <c r="T197" s="30">
        <f t="shared" si="194"/>
        <v>0</v>
      </c>
      <c r="U197" s="30">
        <v>0.01</v>
      </c>
      <c r="V197" s="30">
        <f t="shared" si="195"/>
        <v>0.250147492625369</v>
      </c>
      <c r="W197" s="30">
        <f t="shared" si="196"/>
        <v>0.00468333333333333</v>
      </c>
      <c r="X197" s="31">
        <v>0.188</v>
      </c>
      <c r="Y197" s="32">
        <v>0</v>
      </c>
      <c r="Z197" s="32">
        <f t="shared" si="210"/>
        <v>0</v>
      </c>
      <c r="AA197" s="32">
        <f t="shared" si="197"/>
        <v>0.15</v>
      </c>
      <c r="AB197" s="27">
        <f t="shared" si="198"/>
        <v>2.82</v>
      </c>
      <c r="AC197" s="27">
        <v>29.4</v>
      </c>
      <c r="AD197" s="33">
        <f t="shared" si="199"/>
        <v>26.0176991150442</v>
      </c>
      <c r="AE197" s="29">
        <f t="shared" si="208"/>
        <v>0.5</v>
      </c>
      <c r="AF197" s="30">
        <f t="shared" si="201"/>
        <v>0.216814159292035</v>
      </c>
      <c r="AG197" s="30">
        <f t="shared" si="206"/>
        <v>0.00416666666666667</v>
      </c>
      <c r="AH197" s="29">
        <v>4</v>
      </c>
      <c r="AI197" s="30">
        <f t="shared" si="209"/>
        <v>0.335334242837653</v>
      </c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 t="s">
        <v>156</v>
      </c>
      <c r="AU197" s="34" t="s">
        <v>156</v>
      </c>
      <c r="AV197" s="34" t="s">
        <v>156</v>
      </c>
      <c r="AW197" s="34" t="s">
        <v>156</v>
      </c>
      <c r="AX197" s="34" t="s">
        <v>156</v>
      </c>
      <c r="AY197" s="34" t="s">
        <v>156</v>
      </c>
      <c r="AZ197" s="34" t="s">
        <v>156</v>
      </c>
      <c r="BA197" s="34" t="s">
        <v>156</v>
      </c>
      <c r="BB197" s="34" t="s">
        <v>156</v>
      </c>
      <c r="BC197" s="34" t="s">
        <v>156</v>
      </c>
      <c r="BD197" s="34" t="s">
        <v>156</v>
      </c>
      <c r="BE197" s="34" t="s">
        <v>156</v>
      </c>
      <c r="BF197" s="34" t="s">
        <v>156</v>
      </c>
      <c r="BG197" s="34" t="s">
        <v>156</v>
      </c>
      <c r="BH197" s="34" t="s">
        <v>156</v>
      </c>
      <c r="BI197" s="34" t="s">
        <v>156</v>
      </c>
      <c r="BJ197" s="34" t="s">
        <v>156</v>
      </c>
      <c r="BK197" s="34" t="s">
        <v>156</v>
      </c>
      <c r="BL197" s="34" t="s">
        <v>156</v>
      </c>
      <c r="BM197" s="34" t="s">
        <v>156</v>
      </c>
      <c r="BN197" s="34" t="s">
        <v>156</v>
      </c>
      <c r="BO197" s="34" t="s">
        <v>156</v>
      </c>
      <c r="BP197" s="34" t="s">
        <v>156</v>
      </c>
      <c r="BQ197" s="34" t="s">
        <v>156</v>
      </c>
      <c r="BR197" s="44" t="e">
        <f>IF(E197&lt;#REF!,1,0)</f>
        <v>#REF!</v>
      </c>
      <c r="BS197" s="20" t="s">
        <v>157</v>
      </c>
    </row>
    <row r="198" ht="16.5" spans="1:71">
      <c r="A198" s="21" t="s">
        <v>165</v>
      </c>
      <c r="B198" s="21"/>
      <c r="C198" s="45"/>
      <c r="D198" s="42" t="s">
        <v>208</v>
      </c>
      <c r="E198" s="55">
        <v>15</v>
      </c>
      <c r="F198" s="24">
        <v>21.99</v>
      </c>
      <c r="G198" s="25">
        <f t="shared" si="183"/>
        <v>21.99</v>
      </c>
      <c r="H198" s="25">
        <f t="shared" si="184"/>
        <v>18.325</v>
      </c>
      <c r="I198" s="25">
        <f t="shared" si="185"/>
        <v>8.18653761061947</v>
      </c>
      <c r="J198" s="26">
        <f t="shared" si="186"/>
        <v>0.545769174041298</v>
      </c>
      <c r="K198" s="27">
        <f t="shared" si="187"/>
        <v>18.325</v>
      </c>
      <c r="L198" s="28">
        <f t="shared" si="188"/>
        <v>0.181446111869031</v>
      </c>
      <c r="M198" s="25">
        <f t="shared" si="189"/>
        <v>3.325</v>
      </c>
      <c r="N198" s="27">
        <f t="shared" si="207"/>
        <v>30.0176991150442</v>
      </c>
      <c r="O198" s="27">
        <f t="shared" si="191"/>
        <v>0.09125</v>
      </c>
      <c r="P198" s="21">
        <v>200</v>
      </c>
      <c r="Q198" s="29">
        <v>8</v>
      </c>
      <c r="R198" s="30">
        <f t="shared" si="192"/>
        <v>0</v>
      </c>
      <c r="S198" s="26">
        <f t="shared" si="205"/>
        <v>0</v>
      </c>
      <c r="T198" s="30">
        <f t="shared" si="194"/>
        <v>0</v>
      </c>
      <c r="U198" s="30">
        <v>0.01</v>
      </c>
      <c r="V198" s="30">
        <f t="shared" si="195"/>
        <v>0.250147492625369</v>
      </c>
      <c r="W198" s="30">
        <f t="shared" si="196"/>
        <v>0.00608333333333333</v>
      </c>
      <c r="X198" s="31">
        <v>0.188</v>
      </c>
      <c r="Y198" s="32">
        <v>0</v>
      </c>
      <c r="Z198" s="32">
        <f t="shared" si="210"/>
        <v>0</v>
      </c>
      <c r="AA198" s="32">
        <f t="shared" si="197"/>
        <v>0.15</v>
      </c>
      <c r="AB198" s="27">
        <f t="shared" si="198"/>
        <v>2.82</v>
      </c>
      <c r="AC198" s="27">
        <v>29.4</v>
      </c>
      <c r="AD198" s="33">
        <f t="shared" si="199"/>
        <v>26.0176991150442</v>
      </c>
      <c r="AE198" s="29">
        <f t="shared" si="208"/>
        <v>0.5</v>
      </c>
      <c r="AF198" s="30">
        <f t="shared" si="201"/>
        <v>0.216814159292035</v>
      </c>
      <c r="AG198" s="30">
        <f t="shared" si="206"/>
        <v>0.00416666666666667</v>
      </c>
      <c r="AH198" s="29">
        <v>4</v>
      </c>
      <c r="AI198" s="30">
        <f t="shared" si="209"/>
        <v>0.335334242837653</v>
      </c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 t="s">
        <v>156</v>
      </c>
      <c r="AU198" s="34" t="s">
        <v>156</v>
      </c>
      <c r="AV198" s="34" t="s">
        <v>156</v>
      </c>
      <c r="AW198" s="34" t="s">
        <v>156</v>
      </c>
      <c r="AX198" s="34" t="s">
        <v>156</v>
      </c>
      <c r="AY198" s="34" t="s">
        <v>156</v>
      </c>
      <c r="AZ198" s="34" t="s">
        <v>156</v>
      </c>
      <c r="BA198" s="34" t="s">
        <v>156</v>
      </c>
      <c r="BB198" s="34" t="s">
        <v>156</v>
      </c>
      <c r="BC198" s="34" t="s">
        <v>156</v>
      </c>
      <c r="BD198" s="34" t="s">
        <v>156</v>
      </c>
      <c r="BE198" s="34" t="s">
        <v>156</v>
      </c>
      <c r="BF198" s="34" t="s">
        <v>156</v>
      </c>
      <c r="BG198" s="34" t="s">
        <v>156</v>
      </c>
      <c r="BH198" s="34" t="s">
        <v>156</v>
      </c>
      <c r="BI198" s="34" t="s">
        <v>156</v>
      </c>
      <c r="BJ198" s="34" t="s">
        <v>156</v>
      </c>
      <c r="BK198" s="34" t="s">
        <v>156</v>
      </c>
      <c r="BL198" s="34" t="s">
        <v>156</v>
      </c>
      <c r="BM198" s="34" t="s">
        <v>156</v>
      </c>
      <c r="BN198" s="34" t="s">
        <v>156</v>
      </c>
      <c r="BO198" s="34" t="s">
        <v>156</v>
      </c>
      <c r="BP198" s="34" t="s">
        <v>156</v>
      </c>
      <c r="BQ198" s="34" t="s">
        <v>156</v>
      </c>
      <c r="BR198" s="44" t="e">
        <f>IF(E198&lt;#REF!,1,0)</f>
        <v>#REF!</v>
      </c>
      <c r="BS198" s="20" t="s">
        <v>157</v>
      </c>
    </row>
    <row r="199" ht="16.5" spans="1:71">
      <c r="A199" s="21" t="s">
        <v>167</v>
      </c>
      <c r="B199" s="21"/>
      <c r="C199" s="45"/>
      <c r="D199" s="42" t="s">
        <v>209</v>
      </c>
      <c r="E199" s="55">
        <v>15</v>
      </c>
      <c r="F199" s="24">
        <v>21.99</v>
      </c>
      <c r="G199" s="25">
        <f t="shared" si="183"/>
        <v>21.99</v>
      </c>
      <c r="H199" s="25">
        <f t="shared" si="184"/>
        <v>18.325</v>
      </c>
      <c r="I199" s="25">
        <f t="shared" si="185"/>
        <v>8.20653761061947</v>
      </c>
      <c r="J199" s="26">
        <f t="shared" si="186"/>
        <v>0.547102507374631</v>
      </c>
      <c r="K199" s="27">
        <f t="shared" si="187"/>
        <v>18.325</v>
      </c>
      <c r="L199" s="28">
        <f t="shared" si="188"/>
        <v>0.181446111869031</v>
      </c>
      <c r="M199" s="25">
        <f t="shared" si="189"/>
        <v>3.325</v>
      </c>
      <c r="N199" s="27">
        <f t="shared" si="207"/>
        <v>30.0176991150442</v>
      </c>
      <c r="O199" s="27">
        <f t="shared" si="191"/>
        <v>0.07125</v>
      </c>
      <c r="P199" s="21">
        <v>200</v>
      </c>
      <c r="Q199" s="29">
        <v>8</v>
      </c>
      <c r="R199" s="30">
        <f t="shared" si="192"/>
        <v>0</v>
      </c>
      <c r="S199" s="26">
        <f t="shared" si="205"/>
        <v>0</v>
      </c>
      <c r="T199" s="30">
        <f t="shared" si="194"/>
        <v>0</v>
      </c>
      <c r="U199" s="30">
        <v>0.01</v>
      </c>
      <c r="V199" s="30">
        <f t="shared" si="195"/>
        <v>0.250147492625369</v>
      </c>
      <c r="W199" s="30">
        <f t="shared" si="196"/>
        <v>0.00475</v>
      </c>
      <c r="X199" s="31">
        <v>0.188</v>
      </c>
      <c r="Y199" s="32">
        <v>0</v>
      </c>
      <c r="Z199" s="32">
        <f t="shared" si="210"/>
        <v>0</v>
      </c>
      <c r="AA199" s="32">
        <f t="shared" si="197"/>
        <v>0.15</v>
      </c>
      <c r="AB199" s="27">
        <f t="shared" si="198"/>
        <v>2.82</v>
      </c>
      <c r="AC199" s="27">
        <v>29.4</v>
      </c>
      <c r="AD199" s="33">
        <f t="shared" si="199"/>
        <v>26.0176991150442</v>
      </c>
      <c r="AE199" s="29">
        <f t="shared" si="208"/>
        <v>0.5</v>
      </c>
      <c r="AF199" s="30">
        <f t="shared" si="201"/>
        <v>0.216814159292035</v>
      </c>
      <c r="AG199" s="30">
        <f t="shared" si="206"/>
        <v>0.00416666666666667</v>
      </c>
      <c r="AH199" s="29">
        <v>4</v>
      </c>
      <c r="AI199" s="30">
        <f t="shared" si="209"/>
        <v>0.335334242837653</v>
      </c>
      <c r="AJ199" s="30"/>
      <c r="AK199" s="30"/>
      <c r="AL199" s="30"/>
      <c r="AM199" s="30"/>
      <c r="AN199" s="34"/>
      <c r="AO199" s="34"/>
      <c r="AP199" s="34"/>
      <c r="AQ199" s="34"/>
      <c r="AR199" s="34"/>
      <c r="AS199" s="34"/>
      <c r="AT199" s="34" t="s">
        <v>156</v>
      </c>
      <c r="AU199" s="34" t="s">
        <v>156</v>
      </c>
      <c r="AV199" s="34" t="s">
        <v>156</v>
      </c>
      <c r="AW199" s="34" t="s">
        <v>156</v>
      </c>
      <c r="AX199" s="34" t="s">
        <v>156</v>
      </c>
      <c r="AY199" s="34" t="s">
        <v>156</v>
      </c>
      <c r="AZ199" s="34" t="s">
        <v>156</v>
      </c>
      <c r="BA199" s="34" t="s">
        <v>156</v>
      </c>
      <c r="BB199" s="34" t="s">
        <v>156</v>
      </c>
      <c r="BC199" s="34" t="s">
        <v>156</v>
      </c>
      <c r="BD199" s="34" t="s">
        <v>156</v>
      </c>
      <c r="BE199" s="34" t="s">
        <v>156</v>
      </c>
      <c r="BF199" s="34" t="s">
        <v>156</v>
      </c>
      <c r="BG199" s="34" t="s">
        <v>156</v>
      </c>
      <c r="BH199" s="34" t="s">
        <v>156</v>
      </c>
      <c r="BI199" s="34" t="s">
        <v>156</v>
      </c>
      <c r="BJ199" s="34" t="s">
        <v>156</v>
      </c>
      <c r="BK199" s="34" t="s">
        <v>156</v>
      </c>
      <c r="BL199" s="34" t="s">
        <v>156</v>
      </c>
      <c r="BM199" s="34" t="s">
        <v>156</v>
      </c>
      <c r="BN199" s="34" t="s">
        <v>156</v>
      </c>
      <c r="BO199" s="34" t="s">
        <v>156</v>
      </c>
      <c r="BP199" s="34" t="s">
        <v>156</v>
      </c>
      <c r="BQ199" s="34" t="s">
        <v>156</v>
      </c>
      <c r="BR199" s="44" t="e">
        <f>IF(E199&lt;#REF!,1,0)</f>
        <v>#REF!</v>
      </c>
      <c r="BS199" s="20" t="s">
        <v>157</v>
      </c>
    </row>
    <row r="200" ht="16.5" spans="1:71">
      <c r="A200" s="21"/>
      <c r="B200" s="21"/>
      <c r="C200" s="21"/>
      <c r="D200" s="56"/>
      <c r="E200" s="27"/>
      <c r="F200" s="43"/>
      <c r="G200" s="25"/>
      <c r="H200" s="25"/>
      <c r="I200" s="25"/>
      <c r="J200" s="26"/>
      <c r="K200" s="27"/>
      <c r="L200" s="28"/>
      <c r="M200" s="25"/>
      <c r="N200" s="27"/>
      <c r="O200" s="27"/>
      <c r="P200" s="20"/>
      <c r="Q200" s="29"/>
      <c r="R200" s="30"/>
      <c r="S200" s="26"/>
      <c r="T200" s="30"/>
      <c r="U200" s="30"/>
      <c r="V200" s="30"/>
      <c r="W200" s="30"/>
      <c r="X200" s="31"/>
      <c r="Y200" s="32"/>
      <c r="Z200" s="32"/>
      <c r="AA200" s="32"/>
      <c r="AB200" s="27"/>
      <c r="AC200" s="27"/>
      <c r="AD200" s="33"/>
      <c r="AE200" s="29"/>
      <c r="AF200" s="30"/>
      <c r="AG200" s="30"/>
      <c r="AH200" s="29"/>
      <c r="AI200" s="30"/>
      <c r="AJ200" s="30"/>
      <c r="AK200" s="30"/>
      <c r="AL200" s="30"/>
      <c r="AM200" s="30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44"/>
      <c r="BS200" s="20"/>
    </row>
    <row r="201" ht="16.5" spans="1:71">
      <c r="A201" s="21" t="s">
        <v>50</v>
      </c>
      <c r="B201" s="21"/>
      <c r="C201" s="21"/>
      <c r="D201" s="56" t="s">
        <v>210</v>
      </c>
      <c r="E201" s="27">
        <v>100</v>
      </c>
      <c r="F201" s="43">
        <v>139.99</v>
      </c>
      <c r="G201" s="25">
        <f t="shared" ref="G201:G211" si="211">(F201-Z201)</f>
        <v>134.99</v>
      </c>
      <c r="H201" s="25"/>
      <c r="I201" s="25">
        <f t="shared" ref="I201:I205" si="212">E201-N201/Q201-AB201-Y201-O201-Z201-AA201</f>
        <v>27.0348581467985</v>
      </c>
      <c r="J201" s="26">
        <f t="shared" ref="J201:J205" si="213">I201/E201</f>
        <v>0.270348581467985</v>
      </c>
      <c r="K201" s="27">
        <f t="shared" ref="K201:K205" si="214">F201/1.2</f>
        <v>116.658333333333</v>
      </c>
      <c r="L201" s="28">
        <f t="shared" ref="L201:L205" si="215">(K201-E201)/K201</f>
        <v>0.142795913993857</v>
      </c>
      <c r="M201" s="25">
        <f t="shared" ref="M201:M205" si="216">F201/1.2-E201</f>
        <v>16.6583333333333</v>
      </c>
      <c r="N201" s="27">
        <f t="shared" ref="N201:N205" si="217">AD201+AH201</f>
        <v>330.884955752212</v>
      </c>
      <c r="O201" s="27">
        <f t="shared" ref="O201:O205" si="218">IFERROR(IF(A201="UK",8.95/P201,IF(A201="DE",7.75/P201,IF(A201="FR",14.25/P201,IF(A201="IT",15.25/P201,IF(A201="ES",19.25/P201,IF(A201="NL",16.75/P201,IF(A201="PL",14.05/P201,IF(A201="SE",18.25/P201,IF(A201="BE",14.25/P201))))))))),0)</f>
        <v>2.2375</v>
      </c>
      <c r="P201" s="20">
        <v>4</v>
      </c>
      <c r="Q201" s="29">
        <v>8.5</v>
      </c>
      <c r="R201" s="30">
        <v>0.1</v>
      </c>
      <c r="S201" s="26">
        <f t="shared" ref="S201:S205" si="219">Y201/F201</f>
        <v>0.0714336738338453</v>
      </c>
      <c r="T201" s="30">
        <v>0.05</v>
      </c>
      <c r="U201" s="30">
        <v>0.01</v>
      </c>
      <c r="V201" s="30">
        <f t="shared" ref="V201:V205" si="220">N201/(E201*Q201)</f>
        <v>0.389276418532015</v>
      </c>
      <c r="W201" s="30">
        <f t="shared" ref="W201:W205" si="221">O201/E201</f>
        <v>0.022375</v>
      </c>
      <c r="X201" s="31">
        <v>0.158</v>
      </c>
      <c r="Y201" s="32">
        <f t="shared" ref="Y201:Y205" si="222">E201*R201</f>
        <v>10</v>
      </c>
      <c r="Z201" s="32">
        <f t="shared" ref="Z201:Z205" si="223">E201*T201</f>
        <v>5</v>
      </c>
      <c r="AA201" s="32">
        <f t="shared" ref="AA201:AA205" si="224">E201*U201</f>
        <v>1</v>
      </c>
      <c r="AB201" s="27">
        <f t="shared" ref="AB201:AB205" si="225">E201*X201</f>
        <v>15.8</v>
      </c>
      <c r="AC201" s="27">
        <v>340</v>
      </c>
      <c r="AD201" s="33">
        <f t="shared" ref="AD201:AD205" si="226">AC201/1.13</f>
        <v>300.884955752212</v>
      </c>
      <c r="AE201" s="29">
        <f t="shared" ref="AE201:AE205" si="227">30/7.4</f>
        <v>4.05405405405405</v>
      </c>
      <c r="AF201" s="30">
        <f t="shared" ref="AF201:AF205" si="228">AD201/(E201*Q201)</f>
        <v>0.353982300884956</v>
      </c>
      <c r="AG201" s="30">
        <f t="shared" ref="AG201:AG205" si="229">AE201/Q201/E201</f>
        <v>0.00476947535771065</v>
      </c>
      <c r="AH201" s="29">
        <v>30</v>
      </c>
      <c r="AI201" s="30">
        <f t="shared" ref="AI201:AI205" si="230">(K201-E201+AB201-Z201)/K201</f>
        <v>0.23537395528252</v>
      </c>
      <c r="AJ201" s="30"/>
      <c r="AK201" s="30"/>
      <c r="AL201" s="30"/>
      <c r="AM201" s="30"/>
      <c r="AN201" s="34"/>
      <c r="AO201" s="34"/>
      <c r="AP201" s="34"/>
      <c r="AQ201" s="34"/>
      <c r="AR201" s="34"/>
      <c r="AS201" s="34"/>
      <c r="AT201" s="34" t="s">
        <v>156</v>
      </c>
      <c r="AU201" s="34" t="s">
        <v>156</v>
      </c>
      <c r="AV201" s="34" t="s">
        <v>156</v>
      </c>
      <c r="AW201" s="34" t="s">
        <v>156</v>
      </c>
      <c r="AX201" s="34" t="s">
        <v>156</v>
      </c>
      <c r="AY201" s="34" t="s">
        <v>156</v>
      </c>
      <c r="AZ201" s="34" t="s">
        <v>156</v>
      </c>
      <c r="BA201" s="34" t="s">
        <v>156</v>
      </c>
      <c r="BB201" s="34" t="s">
        <v>156</v>
      </c>
      <c r="BC201" s="34" t="s">
        <v>156</v>
      </c>
      <c r="BD201" s="34" t="s">
        <v>156</v>
      </c>
      <c r="BE201" s="34" t="s">
        <v>156</v>
      </c>
      <c r="BF201" s="34" t="s">
        <v>156</v>
      </c>
      <c r="BG201" s="34" t="s">
        <v>156</v>
      </c>
      <c r="BH201" s="34" t="s">
        <v>156</v>
      </c>
      <c r="BI201" s="34" t="s">
        <v>156</v>
      </c>
      <c r="BJ201" s="34" t="s">
        <v>156</v>
      </c>
      <c r="BK201" s="34" t="s">
        <v>156</v>
      </c>
      <c r="BL201" s="34" t="s">
        <v>156</v>
      </c>
      <c r="BM201" s="34" t="s">
        <v>156</v>
      </c>
      <c r="BN201" s="34" t="s">
        <v>156</v>
      </c>
      <c r="BO201" s="34" t="s">
        <v>156</v>
      </c>
      <c r="BP201" s="34" t="s">
        <v>156</v>
      </c>
      <c r="BQ201" s="34" t="s">
        <v>156</v>
      </c>
      <c r="BR201" s="44" t="e">
        <f>IF(#REF!&lt;E201,1,0)</f>
        <v>#REF!</v>
      </c>
      <c r="BS201" s="20" t="s">
        <v>157</v>
      </c>
    </row>
    <row r="202" ht="16.5" spans="1:71">
      <c r="A202" s="21" t="s">
        <v>37</v>
      </c>
      <c r="B202" s="21"/>
      <c r="C202" s="21"/>
      <c r="D202" s="57" t="s">
        <v>210</v>
      </c>
      <c r="E202" s="27">
        <v>108</v>
      </c>
      <c r="F202" s="43">
        <v>149.99</v>
      </c>
      <c r="G202" s="25">
        <f t="shared" si="211"/>
        <v>144.59</v>
      </c>
      <c r="H202" s="25"/>
      <c r="I202" s="25">
        <f t="shared" si="212"/>
        <v>25.7623167902416</v>
      </c>
      <c r="J202" s="26">
        <f t="shared" si="213"/>
        <v>0.238539970280015</v>
      </c>
      <c r="K202" s="27">
        <f t="shared" si="214"/>
        <v>124.991666666667</v>
      </c>
      <c r="L202" s="28">
        <f t="shared" si="215"/>
        <v>0.135942396159744</v>
      </c>
      <c r="M202" s="25">
        <f t="shared" si="216"/>
        <v>16.9916666666667</v>
      </c>
      <c r="N202" s="27">
        <f t="shared" si="217"/>
        <v>330.884955752212</v>
      </c>
      <c r="O202" s="27">
        <f t="shared" si="218"/>
        <v>1.9375</v>
      </c>
      <c r="P202" s="21">
        <v>4</v>
      </c>
      <c r="Q202" s="29">
        <v>7.4</v>
      </c>
      <c r="R202" s="30">
        <v>0.1</v>
      </c>
      <c r="S202" s="26">
        <f t="shared" si="219"/>
        <v>0.0720048003200213</v>
      </c>
      <c r="T202" s="30">
        <v>0.05</v>
      </c>
      <c r="U202" s="30">
        <v>0.01</v>
      </c>
      <c r="V202" s="30">
        <f t="shared" si="220"/>
        <v>0.414020214905171</v>
      </c>
      <c r="W202" s="30">
        <f t="shared" si="221"/>
        <v>0.0179398148148148</v>
      </c>
      <c r="X202" s="31">
        <v>0.1695</v>
      </c>
      <c r="Y202" s="32">
        <f t="shared" si="222"/>
        <v>10.8</v>
      </c>
      <c r="Z202" s="32">
        <f t="shared" si="223"/>
        <v>5.4</v>
      </c>
      <c r="AA202" s="32">
        <f t="shared" si="224"/>
        <v>1.08</v>
      </c>
      <c r="AB202" s="27">
        <f t="shared" si="225"/>
        <v>18.306</v>
      </c>
      <c r="AC202" s="27">
        <v>340</v>
      </c>
      <c r="AD202" s="33">
        <f t="shared" si="226"/>
        <v>300.884955752212</v>
      </c>
      <c r="AE202" s="29">
        <f t="shared" si="227"/>
        <v>4.05405405405405</v>
      </c>
      <c r="AF202" s="30">
        <f t="shared" si="228"/>
        <v>0.376482677367633</v>
      </c>
      <c r="AG202" s="30">
        <f t="shared" si="229"/>
        <v>0.00507264020777534</v>
      </c>
      <c r="AH202" s="29">
        <v>30</v>
      </c>
      <c r="AI202" s="30">
        <f t="shared" si="230"/>
        <v>0.239197279818655</v>
      </c>
      <c r="AJ202" s="30"/>
      <c r="AK202" s="30"/>
      <c r="AL202" s="30"/>
      <c r="AM202" s="30"/>
      <c r="AN202" s="34"/>
      <c r="AO202" s="34"/>
      <c r="AP202" s="34"/>
      <c r="AQ202" s="34"/>
      <c r="AR202" s="34"/>
      <c r="AS202" s="34"/>
      <c r="AT202" s="34" t="s">
        <v>156</v>
      </c>
      <c r="AU202" s="34" t="s">
        <v>156</v>
      </c>
      <c r="AV202" s="34" t="s">
        <v>156</v>
      </c>
      <c r="AW202" s="34" t="s">
        <v>156</v>
      </c>
      <c r="AX202" s="34" t="s">
        <v>156</v>
      </c>
      <c r="AY202" s="34" t="s">
        <v>156</v>
      </c>
      <c r="AZ202" s="34" t="s">
        <v>156</v>
      </c>
      <c r="BA202" s="34" t="s">
        <v>156</v>
      </c>
      <c r="BB202" s="34" t="s">
        <v>156</v>
      </c>
      <c r="BC202" s="34" t="s">
        <v>156</v>
      </c>
      <c r="BD202" s="34" t="s">
        <v>156</v>
      </c>
      <c r="BE202" s="34" t="s">
        <v>156</v>
      </c>
      <c r="BF202" s="34" t="s">
        <v>156</v>
      </c>
      <c r="BG202" s="34" t="s">
        <v>156</v>
      </c>
      <c r="BH202" s="34" t="s">
        <v>156</v>
      </c>
      <c r="BI202" s="34" t="s">
        <v>156</v>
      </c>
      <c r="BJ202" s="34" t="s">
        <v>156</v>
      </c>
      <c r="BK202" s="34" t="s">
        <v>156</v>
      </c>
      <c r="BL202" s="34" t="s">
        <v>156</v>
      </c>
      <c r="BM202" s="34" t="s">
        <v>156</v>
      </c>
      <c r="BN202" s="34" t="s">
        <v>156</v>
      </c>
      <c r="BO202" s="34" t="s">
        <v>156</v>
      </c>
      <c r="BP202" s="34" t="s">
        <v>156</v>
      </c>
      <c r="BQ202" s="34" t="s">
        <v>156</v>
      </c>
      <c r="BR202" s="44" t="e">
        <f>IF(#REF!&lt;E202,1,0)</f>
        <v>#REF!</v>
      </c>
      <c r="BS202" s="20" t="s">
        <v>157</v>
      </c>
    </row>
    <row r="203" ht="16.5" spans="1:71">
      <c r="A203" s="21" t="s">
        <v>43</v>
      </c>
      <c r="B203" s="21"/>
      <c r="C203" s="21"/>
      <c r="D203" s="57" t="s">
        <v>210</v>
      </c>
      <c r="E203" s="27">
        <v>108</v>
      </c>
      <c r="F203" s="43">
        <v>149.99</v>
      </c>
      <c r="G203" s="25">
        <f t="shared" si="211"/>
        <v>144.59</v>
      </c>
      <c r="H203" s="25"/>
      <c r="I203" s="25">
        <f t="shared" si="212"/>
        <v>21.0593167902416</v>
      </c>
      <c r="J203" s="26">
        <f t="shared" si="213"/>
        <v>0.194993673983718</v>
      </c>
      <c r="K203" s="27">
        <f t="shared" si="214"/>
        <v>124.991666666667</v>
      </c>
      <c r="L203" s="28">
        <f t="shared" si="215"/>
        <v>0.135942396159744</v>
      </c>
      <c r="M203" s="25">
        <f t="shared" si="216"/>
        <v>16.9916666666667</v>
      </c>
      <c r="N203" s="27">
        <f t="shared" si="217"/>
        <v>330.884955752212</v>
      </c>
      <c r="O203" s="27">
        <f t="shared" si="218"/>
        <v>3.5625</v>
      </c>
      <c r="P203" s="21">
        <v>4</v>
      </c>
      <c r="Q203" s="29">
        <v>7.4</v>
      </c>
      <c r="R203" s="30">
        <v>0.1</v>
      </c>
      <c r="S203" s="26">
        <f t="shared" si="219"/>
        <v>0.0720048003200213</v>
      </c>
      <c r="T203" s="30">
        <v>0.05</v>
      </c>
      <c r="U203" s="30">
        <v>0.01</v>
      </c>
      <c r="V203" s="30">
        <f t="shared" si="220"/>
        <v>0.414020214905171</v>
      </c>
      <c r="W203" s="30">
        <f t="shared" si="221"/>
        <v>0.0329861111111111</v>
      </c>
      <c r="X203" s="31">
        <v>0.198</v>
      </c>
      <c r="Y203" s="32">
        <f t="shared" si="222"/>
        <v>10.8</v>
      </c>
      <c r="Z203" s="32">
        <f t="shared" si="223"/>
        <v>5.4</v>
      </c>
      <c r="AA203" s="32">
        <f t="shared" si="224"/>
        <v>1.08</v>
      </c>
      <c r="AB203" s="27">
        <f t="shared" si="225"/>
        <v>21.384</v>
      </c>
      <c r="AC203" s="27">
        <v>340</v>
      </c>
      <c r="AD203" s="33">
        <f t="shared" si="226"/>
        <v>300.884955752212</v>
      </c>
      <c r="AE203" s="29">
        <f t="shared" si="227"/>
        <v>4.05405405405405</v>
      </c>
      <c r="AF203" s="30">
        <f t="shared" si="228"/>
        <v>0.376482677367633</v>
      </c>
      <c r="AG203" s="30">
        <f t="shared" si="229"/>
        <v>0.00507264020777534</v>
      </c>
      <c r="AH203" s="29">
        <v>30</v>
      </c>
      <c r="AI203" s="30">
        <f t="shared" si="230"/>
        <v>0.263822921528102</v>
      </c>
      <c r="AJ203" s="30"/>
      <c r="AK203" s="30"/>
      <c r="AL203" s="30"/>
      <c r="AM203" s="30"/>
      <c r="AN203" s="34"/>
      <c r="AO203" s="34"/>
      <c r="AP203" s="34"/>
      <c r="AQ203" s="34"/>
      <c r="AR203" s="34"/>
      <c r="AS203" s="34"/>
      <c r="AT203" s="34" t="s">
        <v>156</v>
      </c>
      <c r="AU203" s="34" t="s">
        <v>156</v>
      </c>
      <c r="AV203" s="34" t="s">
        <v>156</v>
      </c>
      <c r="AW203" s="34" t="s">
        <v>156</v>
      </c>
      <c r="AX203" s="34" t="s">
        <v>156</v>
      </c>
      <c r="AY203" s="34" t="s">
        <v>156</v>
      </c>
      <c r="AZ203" s="34" t="s">
        <v>156</v>
      </c>
      <c r="BA203" s="34" t="s">
        <v>156</v>
      </c>
      <c r="BB203" s="34" t="s">
        <v>156</v>
      </c>
      <c r="BC203" s="34" t="s">
        <v>156</v>
      </c>
      <c r="BD203" s="34" t="s">
        <v>156</v>
      </c>
      <c r="BE203" s="34" t="s">
        <v>156</v>
      </c>
      <c r="BF203" s="34" t="s">
        <v>156</v>
      </c>
      <c r="BG203" s="34" t="s">
        <v>156</v>
      </c>
      <c r="BH203" s="34" t="s">
        <v>156</v>
      </c>
      <c r="BI203" s="34" t="s">
        <v>156</v>
      </c>
      <c r="BJ203" s="34" t="s">
        <v>156</v>
      </c>
      <c r="BK203" s="34" t="s">
        <v>156</v>
      </c>
      <c r="BL203" s="34" t="s">
        <v>156</v>
      </c>
      <c r="BM203" s="34" t="s">
        <v>156</v>
      </c>
      <c r="BN203" s="34" t="s">
        <v>156</v>
      </c>
      <c r="BO203" s="34" t="s">
        <v>156</v>
      </c>
      <c r="BP203" s="34" t="s">
        <v>156</v>
      </c>
      <c r="BQ203" s="34" t="s">
        <v>156</v>
      </c>
      <c r="BR203" s="44" t="e">
        <f>IF(#REF!&lt;E203,1,0)</f>
        <v>#REF!</v>
      </c>
      <c r="BS203" s="20" t="s">
        <v>157</v>
      </c>
    </row>
    <row r="204" ht="16.5" spans="1:71">
      <c r="A204" s="21" t="s">
        <v>45</v>
      </c>
      <c r="B204" s="21"/>
      <c r="C204" s="21"/>
      <c r="D204" s="57" t="s">
        <v>210</v>
      </c>
      <c r="E204" s="27">
        <v>108</v>
      </c>
      <c r="F204" s="43">
        <v>149.99</v>
      </c>
      <c r="G204" s="25">
        <f t="shared" si="211"/>
        <v>144.59</v>
      </c>
      <c r="H204" s="25"/>
      <c r="I204" s="25">
        <f t="shared" si="212"/>
        <v>22.2565167902416</v>
      </c>
      <c r="J204" s="26">
        <f t="shared" si="213"/>
        <v>0.206078859168903</v>
      </c>
      <c r="K204" s="27">
        <f t="shared" si="214"/>
        <v>124.991666666667</v>
      </c>
      <c r="L204" s="28">
        <f t="shared" si="215"/>
        <v>0.135942396159744</v>
      </c>
      <c r="M204" s="25">
        <f t="shared" si="216"/>
        <v>16.9916666666667</v>
      </c>
      <c r="N204" s="27">
        <f t="shared" si="217"/>
        <v>330.884955752212</v>
      </c>
      <c r="O204" s="27">
        <f t="shared" si="218"/>
        <v>3.8125</v>
      </c>
      <c r="P204" s="21">
        <v>4</v>
      </c>
      <c r="Q204" s="29">
        <v>7.4</v>
      </c>
      <c r="R204" s="30">
        <v>0.1</v>
      </c>
      <c r="S204" s="26">
        <f t="shared" si="219"/>
        <v>0.0720048003200213</v>
      </c>
      <c r="T204" s="30">
        <v>0.05</v>
      </c>
      <c r="U204" s="30">
        <v>0.01</v>
      </c>
      <c r="V204" s="30">
        <f t="shared" si="220"/>
        <v>0.414020214905171</v>
      </c>
      <c r="W204" s="30">
        <f t="shared" si="221"/>
        <v>0.0353009259259259</v>
      </c>
      <c r="X204" s="31">
        <v>0.1846</v>
      </c>
      <c r="Y204" s="32">
        <f t="shared" si="222"/>
        <v>10.8</v>
      </c>
      <c r="Z204" s="32">
        <f t="shared" si="223"/>
        <v>5.4</v>
      </c>
      <c r="AA204" s="32">
        <f t="shared" si="224"/>
        <v>1.08</v>
      </c>
      <c r="AB204" s="27">
        <f t="shared" si="225"/>
        <v>19.9368</v>
      </c>
      <c r="AC204" s="27">
        <v>340</v>
      </c>
      <c r="AD204" s="33">
        <f t="shared" si="226"/>
        <v>300.884955752212</v>
      </c>
      <c r="AE204" s="29">
        <f t="shared" si="227"/>
        <v>4.05405405405405</v>
      </c>
      <c r="AF204" s="30">
        <f t="shared" si="228"/>
        <v>0.376482677367633</v>
      </c>
      <c r="AG204" s="30">
        <f t="shared" si="229"/>
        <v>0.00507264020777534</v>
      </c>
      <c r="AH204" s="29">
        <v>30</v>
      </c>
      <c r="AI204" s="30">
        <f t="shared" si="230"/>
        <v>0.252244549636643</v>
      </c>
      <c r="AJ204" s="30"/>
      <c r="AK204" s="30"/>
      <c r="AL204" s="30"/>
      <c r="AM204" s="30"/>
      <c r="AN204" s="34"/>
      <c r="AO204" s="34"/>
      <c r="AP204" s="34"/>
      <c r="AQ204" s="34"/>
      <c r="AR204" s="34"/>
      <c r="AS204" s="34"/>
      <c r="AT204" s="34" t="s">
        <v>156</v>
      </c>
      <c r="AU204" s="34" t="s">
        <v>156</v>
      </c>
      <c r="AV204" s="34" t="s">
        <v>156</v>
      </c>
      <c r="AW204" s="34" t="s">
        <v>156</v>
      </c>
      <c r="AX204" s="34" t="s">
        <v>156</v>
      </c>
      <c r="AY204" s="34" t="s">
        <v>156</v>
      </c>
      <c r="AZ204" s="34" t="s">
        <v>156</v>
      </c>
      <c r="BA204" s="34" t="s">
        <v>156</v>
      </c>
      <c r="BB204" s="34" t="s">
        <v>156</v>
      </c>
      <c r="BC204" s="34" t="s">
        <v>156</v>
      </c>
      <c r="BD204" s="34" t="s">
        <v>156</v>
      </c>
      <c r="BE204" s="34" t="s">
        <v>156</v>
      </c>
      <c r="BF204" s="34" t="s">
        <v>156</v>
      </c>
      <c r="BG204" s="34" t="s">
        <v>156</v>
      </c>
      <c r="BH204" s="34" t="s">
        <v>156</v>
      </c>
      <c r="BI204" s="34" t="s">
        <v>156</v>
      </c>
      <c r="BJ204" s="34" t="s">
        <v>156</v>
      </c>
      <c r="BK204" s="34" t="s">
        <v>156</v>
      </c>
      <c r="BL204" s="34" t="s">
        <v>156</v>
      </c>
      <c r="BM204" s="34" t="s">
        <v>156</v>
      </c>
      <c r="BN204" s="34" t="s">
        <v>156</v>
      </c>
      <c r="BO204" s="34" t="s">
        <v>156</v>
      </c>
      <c r="BP204" s="34" t="s">
        <v>156</v>
      </c>
      <c r="BQ204" s="34" t="s">
        <v>156</v>
      </c>
      <c r="BR204" s="44" t="e">
        <f>IF(#REF!&lt;E204,1,0)</f>
        <v>#REF!</v>
      </c>
      <c r="BS204" s="20" t="s">
        <v>157</v>
      </c>
    </row>
    <row r="205" ht="16.5" spans="1:71">
      <c r="A205" s="21" t="s">
        <v>48</v>
      </c>
      <c r="B205" s="21"/>
      <c r="C205" s="21"/>
      <c r="D205" s="57" t="s">
        <v>210</v>
      </c>
      <c r="E205" s="27">
        <v>108</v>
      </c>
      <c r="F205" s="43">
        <v>149.99</v>
      </c>
      <c r="G205" s="25">
        <f t="shared" si="211"/>
        <v>144.59</v>
      </c>
      <c r="H205" s="25"/>
      <c r="I205" s="25">
        <f t="shared" si="212"/>
        <v>23.4165167902416</v>
      </c>
      <c r="J205" s="26">
        <f t="shared" si="213"/>
        <v>0.216819599909644</v>
      </c>
      <c r="K205" s="27">
        <f t="shared" si="214"/>
        <v>124.991666666667</v>
      </c>
      <c r="L205" s="28">
        <f t="shared" si="215"/>
        <v>0.135942396159744</v>
      </c>
      <c r="M205" s="25">
        <f t="shared" si="216"/>
        <v>16.9916666666667</v>
      </c>
      <c r="N205" s="27">
        <f t="shared" si="217"/>
        <v>330.884955752212</v>
      </c>
      <c r="O205" s="27">
        <f t="shared" si="218"/>
        <v>4.8125</v>
      </c>
      <c r="P205" s="21">
        <v>4</v>
      </c>
      <c r="Q205" s="29">
        <v>7.4</v>
      </c>
      <c r="R205" s="30">
        <v>0.1</v>
      </c>
      <c r="S205" s="26">
        <f t="shared" si="219"/>
        <v>0.0720048003200213</v>
      </c>
      <c r="T205" s="30">
        <v>0.05</v>
      </c>
      <c r="U205" s="30">
        <v>0.01</v>
      </c>
      <c r="V205" s="30">
        <f t="shared" si="220"/>
        <v>0.414020214905171</v>
      </c>
      <c r="W205" s="30">
        <f t="shared" si="221"/>
        <v>0.0445601851851852</v>
      </c>
      <c r="X205" s="31">
        <v>0.1646</v>
      </c>
      <c r="Y205" s="32">
        <f t="shared" si="222"/>
        <v>10.8</v>
      </c>
      <c r="Z205" s="32">
        <f t="shared" si="223"/>
        <v>5.4</v>
      </c>
      <c r="AA205" s="32">
        <f t="shared" si="224"/>
        <v>1.08</v>
      </c>
      <c r="AB205" s="27">
        <f t="shared" si="225"/>
        <v>17.7768</v>
      </c>
      <c r="AC205" s="27">
        <v>340</v>
      </c>
      <c r="AD205" s="33">
        <f t="shared" si="226"/>
        <v>300.884955752212</v>
      </c>
      <c r="AE205" s="29">
        <f t="shared" si="227"/>
        <v>4.05405405405405</v>
      </c>
      <c r="AF205" s="30">
        <f t="shared" si="228"/>
        <v>0.376482677367633</v>
      </c>
      <c r="AG205" s="30">
        <f t="shared" si="229"/>
        <v>0.00507264020777534</v>
      </c>
      <c r="AH205" s="29">
        <v>30</v>
      </c>
      <c r="AI205" s="30">
        <f t="shared" si="230"/>
        <v>0.234963397559837</v>
      </c>
      <c r="AJ205" s="30"/>
      <c r="AK205" s="30"/>
      <c r="AL205" s="30"/>
      <c r="AM205" s="30"/>
      <c r="AN205" s="34"/>
      <c r="AO205" s="34"/>
      <c r="AP205" s="34"/>
      <c r="AQ205" s="34"/>
      <c r="AR205" s="34"/>
      <c r="AS205" s="34"/>
      <c r="AT205" s="34" t="s">
        <v>156</v>
      </c>
      <c r="AU205" s="34" t="s">
        <v>156</v>
      </c>
      <c r="AV205" s="34" t="s">
        <v>156</v>
      </c>
      <c r="AW205" s="34" t="s">
        <v>156</v>
      </c>
      <c r="AX205" s="34" t="s">
        <v>156</v>
      </c>
      <c r="AY205" s="34" t="s">
        <v>156</v>
      </c>
      <c r="AZ205" s="34" t="s">
        <v>156</v>
      </c>
      <c r="BA205" s="34" t="s">
        <v>156</v>
      </c>
      <c r="BB205" s="34" t="s">
        <v>156</v>
      </c>
      <c r="BC205" s="34" t="s">
        <v>156</v>
      </c>
      <c r="BD205" s="34" t="s">
        <v>156</v>
      </c>
      <c r="BE205" s="34" t="s">
        <v>156</v>
      </c>
      <c r="BF205" s="34" t="s">
        <v>156</v>
      </c>
      <c r="BG205" s="34" t="s">
        <v>156</v>
      </c>
      <c r="BH205" s="34" t="s">
        <v>156</v>
      </c>
      <c r="BI205" s="34" t="s">
        <v>156</v>
      </c>
      <c r="BJ205" s="34" t="s">
        <v>156</v>
      </c>
      <c r="BK205" s="34" t="s">
        <v>156</v>
      </c>
      <c r="BL205" s="34" t="s">
        <v>156</v>
      </c>
      <c r="BM205" s="34" t="s">
        <v>156</v>
      </c>
      <c r="BN205" s="34" t="s">
        <v>156</v>
      </c>
      <c r="BO205" s="34" t="s">
        <v>156</v>
      </c>
      <c r="BP205" s="34" t="s">
        <v>156</v>
      </c>
      <c r="BQ205" s="34" t="s">
        <v>156</v>
      </c>
      <c r="BR205" s="44" t="e">
        <f>IF(#REF!&lt;E205,1,0)</f>
        <v>#REF!</v>
      </c>
      <c r="BS205" s="20" t="s">
        <v>157</v>
      </c>
    </row>
    <row r="206" ht="16.5" spans="1:71">
      <c r="G206" s="25">
        <f t="shared" si="211"/>
        <v>0</v>
      </c>
      <c r="H206" s="48"/>
      <c r="N206" s="27"/>
      <c r="S206" s="48"/>
      <c r="AE206" s="49"/>
      <c r="AI206" s="48"/>
      <c r="BS206" s="48" t="s">
        <v>157</v>
      </c>
    </row>
    <row r="207" ht="16.5" spans="1:71">
      <c r="A207" s="21" t="s">
        <v>50</v>
      </c>
      <c r="B207" s="21"/>
      <c r="C207" s="21"/>
      <c r="D207" s="56" t="s">
        <v>211</v>
      </c>
      <c r="E207" s="27">
        <v>85</v>
      </c>
      <c r="F207" s="43">
        <v>119.99</v>
      </c>
      <c r="G207" s="25">
        <f t="shared" si="211"/>
        <v>115.74</v>
      </c>
      <c r="H207" s="25"/>
      <c r="I207" s="25">
        <f t="shared" ref="I207:I211" si="231">E207-N207/Q207-AB207-Y207-O207-Z207-AA207</f>
        <v>21.0439545375672</v>
      </c>
      <c r="J207" s="26">
        <f t="shared" ref="J207:J211" si="232">I207/E207</f>
        <v>0.247575935736085</v>
      </c>
      <c r="K207" s="27">
        <f t="shared" ref="K207:K211" si="233">F207/1.2</f>
        <v>99.9916666666667</v>
      </c>
      <c r="L207" s="28">
        <f t="shared" ref="L207:L211" si="234">(K207-E207)/K207</f>
        <v>0.149929160763397</v>
      </c>
      <c r="M207" s="25">
        <f t="shared" ref="M207:M211" si="235">F207/1.2-E207</f>
        <v>14.9916666666667</v>
      </c>
      <c r="N207" s="27">
        <f t="shared" ref="N207:N211" si="236">AD207+AH207</f>
        <v>266.838053097345</v>
      </c>
      <c r="O207" s="27">
        <f t="shared" ref="O207:O211" si="237">IFERROR(IF(A207="UK",8.95/P207,IF(A207="DE",7.75/P207,IF(A207="FR",14.25/P207,IF(A207="IT",15.25/P207,IF(A207="ES",19.25/P207,IF(A207="NL",16.75/P207,IF(A207="PL",14.05/P207,IF(A207="SE",18.25/P207,IF(A207="BE",14.25/P207))))))))),0)</f>
        <v>2.98333333333333</v>
      </c>
      <c r="P207" s="20">
        <v>3</v>
      </c>
      <c r="Q207" s="29">
        <v>8.5</v>
      </c>
      <c r="R207" s="30">
        <v>0.13</v>
      </c>
      <c r="S207" s="26">
        <f t="shared" ref="S207:S211" si="238">Y207/F207</f>
        <v>0.0920910075839653</v>
      </c>
      <c r="T207" s="30">
        <v>0.05</v>
      </c>
      <c r="U207" s="30">
        <v>0.01</v>
      </c>
      <c r="V207" s="30">
        <f t="shared" ref="V207:V211" si="239">N207/(E207*Q207)</f>
        <v>0.369326025048229</v>
      </c>
      <c r="W207" s="30">
        <f t="shared" ref="W207:W211" si="240">O207/E207</f>
        <v>0.0350980392156863</v>
      </c>
      <c r="X207" s="31">
        <v>0.158</v>
      </c>
      <c r="Y207" s="32">
        <f t="shared" ref="Y207:Y211" si="241">E207*R207</f>
        <v>11.05</v>
      </c>
      <c r="Z207" s="32">
        <f t="shared" ref="Z207:Z211" si="242">E207*T207</f>
        <v>4.25</v>
      </c>
      <c r="AA207" s="32">
        <f t="shared" ref="AA207:AA211" si="243">E207*U207</f>
        <v>0.85</v>
      </c>
      <c r="AB207" s="27">
        <f t="shared" ref="AB207:AB211" si="244">E207*X207</f>
        <v>13.43</v>
      </c>
      <c r="AC207" s="27">
        <v>270</v>
      </c>
      <c r="AD207" s="33">
        <f t="shared" ref="AD207:AD211" si="245">AC207/1.13</f>
        <v>238.938053097345</v>
      </c>
      <c r="AE207" s="29">
        <f>30/8.5</f>
        <v>3.52941176470588</v>
      </c>
      <c r="AF207" s="30">
        <f t="shared" ref="AF207:AF211" si="246">AD207/(E207*Q207)</f>
        <v>0.330710108093211</v>
      </c>
      <c r="AG207" s="30">
        <f t="shared" ref="AG207:AG211" si="247">AE207/Q207/E207</f>
        <v>0.00488499898229188</v>
      </c>
      <c r="AH207" s="29">
        <v>27.9</v>
      </c>
      <c r="AI207" s="30">
        <f t="shared" ref="AI207:AI211" si="248">(K207-E207+AB207-Z207)/K207</f>
        <v>0.24173681140095</v>
      </c>
      <c r="AJ207" s="30"/>
      <c r="AK207" s="30"/>
      <c r="AL207" s="30"/>
      <c r="AM207" s="30"/>
      <c r="AN207" s="34"/>
      <c r="AO207" s="34"/>
      <c r="AP207" s="34"/>
      <c r="AQ207" s="34"/>
      <c r="AR207" s="34"/>
      <c r="AS207" s="34"/>
      <c r="AT207" s="34" t="s">
        <v>156</v>
      </c>
      <c r="AU207" s="34" t="s">
        <v>156</v>
      </c>
      <c r="AV207" s="34" t="s">
        <v>156</v>
      </c>
      <c r="AW207" s="34" t="s">
        <v>156</v>
      </c>
      <c r="AX207" s="34" t="s">
        <v>156</v>
      </c>
      <c r="AY207" s="34" t="s">
        <v>156</v>
      </c>
      <c r="AZ207" s="34" t="s">
        <v>156</v>
      </c>
      <c r="BA207" s="34" t="s">
        <v>156</v>
      </c>
      <c r="BB207" s="34" t="s">
        <v>156</v>
      </c>
      <c r="BC207" s="34" t="s">
        <v>156</v>
      </c>
      <c r="BD207" s="34" t="s">
        <v>156</v>
      </c>
      <c r="BE207" s="34" t="s">
        <v>156</v>
      </c>
      <c r="BF207" s="34" t="s">
        <v>156</v>
      </c>
      <c r="BG207" s="34" t="s">
        <v>156</v>
      </c>
      <c r="BH207" s="34" t="s">
        <v>156</v>
      </c>
      <c r="BI207" s="34" t="s">
        <v>156</v>
      </c>
      <c r="BJ207" s="34" t="s">
        <v>156</v>
      </c>
      <c r="BK207" s="34" t="s">
        <v>156</v>
      </c>
      <c r="BL207" s="34" t="s">
        <v>156</v>
      </c>
      <c r="BM207" s="34" t="s">
        <v>156</v>
      </c>
      <c r="BN207" s="34" t="s">
        <v>156</v>
      </c>
      <c r="BO207" s="34" t="s">
        <v>156</v>
      </c>
      <c r="BP207" s="34" t="s">
        <v>156</v>
      </c>
      <c r="BQ207" s="34" t="s">
        <v>156</v>
      </c>
      <c r="BR207" s="44" t="e">
        <f>IF(#REF!&lt;E207,1,0)</f>
        <v>#REF!</v>
      </c>
      <c r="BS207" s="20" t="s">
        <v>157</v>
      </c>
    </row>
    <row r="208" ht="16.5" spans="1:71">
      <c r="A208" s="21" t="s">
        <v>37</v>
      </c>
      <c r="B208" s="21"/>
      <c r="C208" s="21"/>
      <c r="D208" s="56" t="s">
        <v>211</v>
      </c>
      <c r="E208" s="27">
        <v>84</v>
      </c>
      <c r="F208" s="43">
        <v>119</v>
      </c>
      <c r="G208" s="25">
        <f t="shared" si="211"/>
        <v>114.8</v>
      </c>
      <c r="H208" s="25"/>
      <c r="I208" s="25">
        <f t="shared" si="231"/>
        <v>15.1594703021606</v>
      </c>
      <c r="J208" s="26">
        <f t="shared" si="232"/>
        <v>0.180469884549531</v>
      </c>
      <c r="K208" s="27">
        <f t="shared" si="233"/>
        <v>99.1666666666667</v>
      </c>
      <c r="L208" s="28">
        <f t="shared" si="234"/>
        <v>0.152941176470588</v>
      </c>
      <c r="M208" s="25">
        <f t="shared" si="235"/>
        <v>15.1666666666667</v>
      </c>
      <c r="N208" s="27">
        <f t="shared" si="236"/>
        <v>266.838053097345</v>
      </c>
      <c r="O208" s="27">
        <f t="shared" si="237"/>
        <v>2.58333333333333</v>
      </c>
      <c r="P208" s="21">
        <v>3</v>
      </c>
      <c r="Q208" s="29">
        <v>7.4</v>
      </c>
      <c r="R208" s="30">
        <v>0.13</v>
      </c>
      <c r="S208" s="26">
        <f t="shared" si="238"/>
        <v>0.0917647058823529</v>
      </c>
      <c r="T208" s="30">
        <v>0.05</v>
      </c>
      <c r="U208" s="30">
        <v>0.01</v>
      </c>
      <c r="V208" s="30">
        <f t="shared" si="239"/>
        <v>0.429276147196501</v>
      </c>
      <c r="W208" s="30">
        <f t="shared" si="240"/>
        <v>0.0307539682539683</v>
      </c>
      <c r="X208" s="31">
        <v>0.1695</v>
      </c>
      <c r="Y208" s="32">
        <f t="shared" si="241"/>
        <v>10.92</v>
      </c>
      <c r="Z208" s="32">
        <f t="shared" si="242"/>
        <v>4.2</v>
      </c>
      <c r="AA208" s="32">
        <f t="shared" si="243"/>
        <v>0.84</v>
      </c>
      <c r="AB208" s="27">
        <f t="shared" si="244"/>
        <v>14.238</v>
      </c>
      <c r="AC208" s="27">
        <v>270</v>
      </c>
      <c r="AD208" s="33">
        <f t="shared" si="245"/>
        <v>238.938053097345</v>
      </c>
      <c r="AE208" s="29">
        <f t="shared" ref="AE208:AE211" si="249">27.9/7.4</f>
        <v>3.77027027027027</v>
      </c>
      <c r="AF208" s="30">
        <f t="shared" si="246"/>
        <v>0.384391977312331</v>
      </c>
      <c r="AG208" s="30">
        <f t="shared" si="247"/>
        <v>0.00606542836272566</v>
      </c>
      <c r="AH208" s="29">
        <v>27.9</v>
      </c>
      <c r="AI208" s="30">
        <f t="shared" si="248"/>
        <v>0.254164705882353</v>
      </c>
      <c r="AJ208" s="30"/>
      <c r="AK208" s="30"/>
      <c r="AL208" s="30"/>
      <c r="AM208" s="30"/>
      <c r="AN208" s="34"/>
      <c r="AO208" s="34"/>
      <c r="AP208" s="34"/>
      <c r="AQ208" s="34"/>
      <c r="AR208" s="34"/>
      <c r="AS208" s="34"/>
      <c r="AT208" s="34" t="s">
        <v>156</v>
      </c>
      <c r="AU208" s="34" t="s">
        <v>156</v>
      </c>
      <c r="AV208" s="34" t="s">
        <v>156</v>
      </c>
      <c r="AW208" s="34" t="s">
        <v>156</v>
      </c>
      <c r="AX208" s="34" t="s">
        <v>156</v>
      </c>
      <c r="AY208" s="34" t="s">
        <v>156</v>
      </c>
      <c r="AZ208" s="34" t="s">
        <v>156</v>
      </c>
      <c r="BA208" s="34" t="s">
        <v>156</v>
      </c>
      <c r="BB208" s="34" t="s">
        <v>156</v>
      </c>
      <c r="BC208" s="34" t="s">
        <v>156</v>
      </c>
      <c r="BD208" s="34" t="s">
        <v>156</v>
      </c>
      <c r="BE208" s="34" t="s">
        <v>156</v>
      </c>
      <c r="BF208" s="34" t="s">
        <v>156</v>
      </c>
      <c r="BG208" s="34" t="s">
        <v>156</v>
      </c>
      <c r="BH208" s="34" t="s">
        <v>156</v>
      </c>
      <c r="BI208" s="34" t="s">
        <v>156</v>
      </c>
      <c r="BJ208" s="34" t="s">
        <v>156</v>
      </c>
      <c r="BK208" s="34" t="s">
        <v>156</v>
      </c>
      <c r="BL208" s="34" t="s">
        <v>156</v>
      </c>
      <c r="BM208" s="34" t="s">
        <v>156</v>
      </c>
      <c r="BN208" s="34" t="s">
        <v>156</v>
      </c>
      <c r="BO208" s="34" t="s">
        <v>156</v>
      </c>
      <c r="BP208" s="34" t="s">
        <v>156</v>
      </c>
      <c r="BQ208" s="34" t="s">
        <v>156</v>
      </c>
      <c r="BR208" s="44" t="e">
        <f>IF(#REF!&lt;E208,1,0)</f>
        <v>#REF!</v>
      </c>
      <c r="BS208" s="20" t="s">
        <v>157</v>
      </c>
    </row>
    <row r="209" ht="16.5" spans="1:71">
      <c r="A209" s="21" t="s">
        <v>43</v>
      </c>
      <c r="B209" s="21"/>
      <c r="C209" s="21"/>
      <c r="D209" s="56" t="s">
        <v>211</v>
      </c>
      <c r="E209" s="27">
        <v>93</v>
      </c>
      <c r="F209" s="43">
        <v>129.99</v>
      </c>
      <c r="G209" s="25">
        <f t="shared" si="211"/>
        <v>125.34</v>
      </c>
      <c r="H209" s="25"/>
      <c r="I209" s="25">
        <f t="shared" si="231"/>
        <v>16.1068036354939</v>
      </c>
      <c r="J209" s="26">
        <f t="shared" si="232"/>
        <v>0.173191436940795</v>
      </c>
      <c r="K209" s="27">
        <f t="shared" si="233"/>
        <v>108.325</v>
      </c>
      <c r="L209" s="28">
        <f t="shared" si="234"/>
        <v>0.141472420955458</v>
      </c>
      <c r="M209" s="25">
        <f t="shared" si="235"/>
        <v>15.325</v>
      </c>
      <c r="N209" s="27">
        <f t="shared" si="236"/>
        <v>266.838053097345</v>
      </c>
      <c r="O209" s="27">
        <f t="shared" si="237"/>
        <v>4.75</v>
      </c>
      <c r="P209" s="21">
        <v>3</v>
      </c>
      <c r="Q209" s="29">
        <v>7.4</v>
      </c>
      <c r="R209" s="30">
        <v>0.13</v>
      </c>
      <c r="S209" s="26">
        <f t="shared" si="238"/>
        <v>0.093007154396492</v>
      </c>
      <c r="T209" s="30">
        <v>0.05</v>
      </c>
      <c r="U209" s="30">
        <v>0.01</v>
      </c>
      <c r="V209" s="30">
        <f t="shared" si="239"/>
        <v>0.387733294242001</v>
      </c>
      <c r="W209" s="30">
        <f t="shared" si="240"/>
        <v>0.0510752688172043</v>
      </c>
      <c r="X209" s="31">
        <v>0.198</v>
      </c>
      <c r="Y209" s="32">
        <f t="shared" si="241"/>
        <v>12.09</v>
      </c>
      <c r="Z209" s="32">
        <f t="shared" si="242"/>
        <v>4.65</v>
      </c>
      <c r="AA209" s="32">
        <f t="shared" si="243"/>
        <v>0.93</v>
      </c>
      <c r="AB209" s="27">
        <f t="shared" si="244"/>
        <v>18.414</v>
      </c>
      <c r="AC209" s="27">
        <v>270</v>
      </c>
      <c r="AD209" s="33">
        <f t="shared" si="245"/>
        <v>238.938053097345</v>
      </c>
      <c r="AE209" s="29">
        <f t="shared" si="249"/>
        <v>3.77027027027027</v>
      </c>
      <c r="AF209" s="30">
        <f t="shared" si="246"/>
        <v>0.347192753701461</v>
      </c>
      <c r="AG209" s="30">
        <f t="shared" si="247"/>
        <v>0.00547845142439737</v>
      </c>
      <c r="AH209" s="29">
        <v>27.9</v>
      </c>
      <c r="AI209" s="30">
        <f t="shared" si="248"/>
        <v>0.26853450265405</v>
      </c>
      <c r="AJ209" s="30"/>
      <c r="AK209" s="30"/>
      <c r="AL209" s="30"/>
      <c r="AM209" s="30"/>
      <c r="AN209" s="34"/>
      <c r="AO209" s="34"/>
      <c r="AP209" s="34"/>
      <c r="AQ209" s="34"/>
      <c r="AR209" s="34"/>
      <c r="AS209" s="34"/>
      <c r="AT209" s="34" t="s">
        <v>156</v>
      </c>
      <c r="AU209" s="34" t="s">
        <v>156</v>
      </c>
      <c r="AV209" s="34" t="s">
        <v>156</v>
      </c>
      <c r="AW209" s="34" t="s">
        <v>156</v>
      </c>
      <c r="AX209" s="34" t="s">
        <v>156</v>
      </c>
      <c r="AY209" s="34" t="s">
        <v>156</v>
      </c>
      <c r="AZ209" s="34" t="s">
        <v>156</v>
      </c>
      <c r="BA209" s="34" t="s">
        <v>156</v>
      </c>
      <c r="BB209" s="34" t="s">
        <v>156</v>
      </c>
      <c r="BC209" s="34" t="s">
        <v>156</v>
      </c>
      <c r="BD209" s="34" t="s">
        <v>156</v>
      </c>
      <c r="BE209" s="34" t="s">
        <v>156</v>
      </c>
      <c r="BF209" s="34" t="s">
        <v>156</v>
      </c>
      <c r="BG209" s="34" t="s">
        <v>156</v>
      </c>
      <c r="BH209" s="34" t="s">
        <v>156</v>
      </c>
      <c r="BI209" s="34" t="s">
        <v>156</v>
      </c>
      <c r="BJ209" s="34" t="s">
        <v>156</v>
      </c>
      <c r="BK209" s="34" t="s">
        <v>156</v>
      </c>
      <c r="BL209" s="34" t="s">
        <v>156</v>
      </c>
      <c r="BM209" s="34" t="s">
        <v>156</v>
      </c>
      <c r="BN209" s="34" t="s">
        <v>156</v>
      </c>
      <c r="BO209" s="34" t="s">
        <v>156</v>
      </c>
      <c r="BP209" s="34" t="s">
        <v>156</v>
      </c>
      <c r="BQ209" s="34" t="s">
        <v>156</v>
      </c>
      <c r="BR209" s="44" t="e">
        <f>IF(#REF!&lt;E209,1,0)</f>
        <v>#REF!</v>
      </c>
      <c r="BS209" s="20" t="s">
        <v>157</v>
      </c>
    </row>
    <row r="210" ht="16.5" spans="1:71">
      <c r="A210" s="21" t="s">
        <v>45</v>
      </c>
      <c r="B210" s="21"/>
      <c r="C210" s="21"/>
      <c r="D210" s="56" t="s">
        <v>211</v>
      </c>
      <c r="E210" s="27">
        <v>93</v>
      </c>
      <c r="F210" s="43">
        <v>129.99</v>
      </c>
      <c r="G210" s="25">
        <f t="shared" si="211"/>
        <v>125.34</v>
      </c>
      <c r="H210" s="25"/>
      <c r="I210" s="25">
        <f t="shared" si="231"/>
        <v>17.0196703021606</v>
      </c>
      <c r="J210" s="26">
        <f t="shared" si="232"/>
        <v>0.183007207550114</v>
      </c>
      <c r="K210" s="27">
        <f t="shared" si="233"/>
        <v>108.325</v>
      </c>
      <c r="L210" s="28">
        <f t="shared" si="234"/>
        <v>0.141472420955458</v>
      </c>
      <c r="M210" s="25">
        <f t="shared" si="235"/>
        <v>15.325</v>
      </c>
      <c r="N210" s="27">
        <f t="shared" si="236"/>
        <v>266.838053097345</v>
      </c>
      <c r="O210" s="27">
        <f t="shared" si="237"/>
        <v>5.08333333333333</v>
      </c>
      <c r="P210" s="21">
        <v>3</v>
      </c>
      <c r="Q210" s="29">
        <v>7.4</v>
      </c>
      <c r="R210" s="30">
        <v>0.13</v>
      </c>
      <c r="S210" s="26">
        <f t="shared" si="238"/>
        <v>0.093007154396492</v>
      </c>
      <c r="T210" s="30">
        <v>0.05</v>
      </c>
      <c r="U210" s="30">
        <v>0.01</v>
      </c>
      <c r="V210" s="30">
        <f t="shared" si="239"/>
        <v>0.387733294242001</v>
      </c>
      <c r="W210" s="30">
        <f t="shared" si="240"/>
        <v>0.0546594982078853</v>
      </c>
      <c r="X210" s="31">
        <v>0.1846</v>
      </c>
      <c r="Y210" s="32">
        <f t="shared" si="241"/>
        <v>12.09</v>
      </c>
      <c r="Z210" s="32">
        <f t="shared" si="242"/>
        <v>4.65</v>
      </c>
      <c r="AA210" s="32">
        <f t="shared" si="243"/>
        <v>0.93</v>
      </c>
      <c r="AB210" s="27">
        <f t="shared" si="244"/>
        <v>17.1678</v>
      </c>
      <c r="AC210" s="27">
        <v>270</v>
      </c>
      <c r="AD210" s="33">
        <f t="shared" si="245"/>
        <v>238.938053097345</v>
      </c>
      <c r="AE210" s="29">
        <f t="shared" si="249"/>
        <v>3.77027027027027</v>
      </c>
      <c r="AF210" s="30">
        <f t="shared" si="246"/>
        <v>0.347192753701461</v>
      </c>
      <c r="AG210" s="30">
        <f t="shared" si="247"/>
        <v>0.00547845142439737</v>
      </c>
      <c r="AH210" s="29">
        <v>27.9</v>
      </c>
      <c r="AI210" s="30">
        <f t="shared" si="248"/>
        <v>0.257030233094854</v>
      </c>
      <c r="AJ210" s="30"/>
      <c r="AK210" s="30"/>
      <c r="AL210" s="30"/>
      <c r="AM210" s="30"/>
      <c r="AN210" s="34"/>
      <c r="AO210" s="34"/>
      <c r="AP210" s="34"/>
      <c r="AQ210" s="34"/>
      <c r="AR210" s="34"/>
      <c r="AS210" s="34"/>
      <c r="AT210" s="34" t="s">
        <v>156</v>
      </c>
      <c r="AU210" s="34" t="s">
        <v>156</v>
      </c>
      <c r="AV210" s="34" t="s">
        <v>156</v>
      </c>
      <c r="AW210" s="34" t="s">
        <v>156</v>
      </c>
      <c r="AX210" s="34" t="s">
        <v>156</v>
      </c>
      <c r="AY210" s="34" t="s">
        <v>156</v>
      </c>
      <c r="AZ210" s="34" t="s">
        <v>156</v>
      </c>
      <c r="BA210" s="34" t="s">
        <v>156</v>
      </c>
      <c r="BB210" s="34" t="s">
        <v>156</v>
      </c>
      <c r="BC210" s="34" t="s">
        <v>156</v>
      </c>
      <c r="BD210" s="34" t="s">
        <v>156</v>
      </c>
      <c r="BE210" s="34" t="s">
        <v>156</v>
      </c>
      <c r="BF210" s="34" t="s">
        <v>156</v>
      </c>
      <c r="BG210" s="34" t="s">
        <v>156</v>
      </c>
      <c r="BH210" s="34" t="s">
        <v>156</v>
      </c>
      <c r="BI210" s="34" t="s">
        <v>156</v>
      </c>
      <c r="BJ210" s="34" t="s">
        <v>156</v>
      </c>
      <c r="BK210" s="34" t="s">
        <v>156</v>
      </c>
      <c r="BL210" s="34" t="s">
        <v>156</v>
      </c>
      <c r="BM210" s="34" t="s">
        <v>156</v>
      </c>
      <c r="BN210" s="34" t="s">
        <v>156</v>
      </c>
      <c r="BO210" s="34" t="s">
        <v>156</v>
      </c>
      <c r="BP210" s="34" t="s">
        <v>156</v>
      </c>
      <c r="BQ210" s="34" t="s">
        <v>156</v>
      </c>
      <c r="BR210" s="44" t="e">
        <f>IF(#REF!&lt;E210,1,0)</f>
        <v>#REF!</v>
      </c>
      <c r="BS210" s="20" t="s">
        <v>157</v>
      </c>
    </row>
    <row r="211" ht="16.5" spans="1:71">
      <c r="A211" s="21" t="s">
        <v>48</v>
      </c>
      <c r="B211" s="21"/>
      <c r="C211" s="21"/>
      <c r="D211" s="56" t="s">
        <v>211</v>
      </c>
      <c r="E211" s="27">
        <v>93</v>
      </c>
      <c r="F211" s="43">
        <v>129.99</v>
      </c>
      <c r="G211" s="25">
        <f t="shared" si="211"/>
        <v>125.34</v>
      </c>
      <c r="H211" s="25"/>
      <c r="I211" s="25">
        <f t="shared" si="231"/>
        <v>17.5463369688272</v>
      </c>
      <c r="J211" s="26">
        <f t="shared" si="232"/>
        <v>0.18867028998739</v>
      </c>
      <c r="K211" s="27">
        <f t="shared" si="233"/>
        <v>108.325</v>
      </c>
      <c r="L211" s="28">
        <f t="shared" si="234"/>
        <v>0.141472420955458</v>
      </c>
      <c r="M211" s="25">
        <f t="shared" si="235"/>
        <v>15.325</v>
      </c>
      <c r="N211" s="27">
        <f t="shared" si="236"/>
        <v>266.838053097345</v>
      </c>
      <c r="O211" s="27">
        <f t="shared" si="237"/>
        <v>6.41666666666667</v>
      </c>
      <c r="P211" s="21">
        <v>3</v>
      </c>
      <c r="Q211" s="29">
        <v>7.4</v>
      </c>
      <c r="R211" s="30">
        <v>0.13</v>
      </c>
      <c r="S211" s="26">
        <f t="shared" si="238"/>
        <v>0.093007154396492</v>
      </c>
      <c r="T211" s="30">
        <v>0.05</v>
      </c>
      <c r="U211" s="30">
        <v>0.01</v>
      </c>
      <c r="V211" s="30">
        <f t="shared" si="239"/>
        <v>0.387733294242001</v>
      </c>
      <c r="W211" s="30">
        <f t="shared" si="240"/>
        <v>0.0689964157706093</v>
      </c>
      <c r="X211" s="31">
        <v>0.1646</v>
      </c>
      <c r="Y211" s="32">
        <f t="shared" si="241"/>
        <v>12.09</v>
      </c>
      <c r="Z211" s="32">
        <f t="shared" si="242"/>
        <v>4.65</v>
      </c>
      <c r="AA211" s="32">
        <f t="shared" si="243"/>
        <v>0.93</v>
      </c>
      <c r="AB211" s="27">
        <f t="shared" si="244"/>
        <v>15.3078</v>
      </c>
      <c r="AC211" s="27">
        <v>270</v>
      </c>
      <c r="AD211" s="33">
        <f t="shared" si="245"/>
        <v>238.938053097345</v>
      </c>
      <c r="AE211" s="29">
        <f t="shared" si="249"/>
        <v>3.77027027027027</v>
      </c>
      <c r="AF211" s="30">
        <f t="shared" si="246"/>
        <v>0.347192753701461</v>
      </c>
      <c r="AG211" s="30">
        <f t="shared" si="247"/>
        <v>0.00547845142439737</v>
      </c>
      <c r="AH211" s="29">
        <v>27.9</v>
      </c>
      <c r="AI211" s="30">
        <f t="shared" si="248"/>
        <v>0.239859681513963</v>
      </c>
      <c r="AJ211" s="30"/>
      <c r="AK211" s="30"/>
      <c r="AL211" s="30"/>
      <c r="AM211" s="30"/>
      <c r="AN211" s="34"/>
      <c r="AO211" s="34"/>
      <c r="AP211" s="34"/>
      <c r="AQ211" s="34"/>
      <c r="AR211" s="34"/>
      <c r="AS211" s="34"/>
      <c r="AT211" s="34" t="s">
        <v>156</v>
      </c>
      <c r="AU211" s="34" t="s">
        <v>156</v>
      </c>
      <c r="AV211" s="34" t="s">
        <v>156</v>
      </c>
      <c r="AW211" s="34" t="s">
        <v>156</v>
      </c>
      <c r="AX211" s="34" t="s">
        <v>156</v>
      </c>
      <c r="AY211" s="34" t="s">
        <v>156</v>
      </c>
      <c r="AZ211" s="34" t="s">
        <v>156</v>
      </c>
      <c r="BA211" s="34" t="s">
        <v>156</v>
      </c>
      <c r="BB211" s="34" t="s">
        <v>156</v>
      </c>
      <c r="BC211" s="34" t="s">
        <v>156</v>
      </c>
      <c r="BD211" s="34" t="s">
        <v>156</v>
      </c>
      <c r="BE211" s="34" t="s">
        <v>156</v>
      </c>
      <c r="BF211" s="34" t="s">
        <v>156</v>
      </c>
      <c r="BG211" s="34" t="s">
        <v>156</v>
      </c>
      <c r="BH211" s="34" t="s">
        <v>156</v>
      </c>
      <c r="BI211" s="34" t="s">
        <v>156</v>
      </c>
      <c r="BJ211" s="34" t="s">
        <v>156</v>
      </c>
      <c r="BK211" s="34" t="s">
        <v>156</v>
      </c>
      <c r="BL211" s="34" t="s">
        <v>156</v>
      </c>
      <c r="BM211" s="34" t="s">
        <v>156</v>
      </c>
      <c r="BN211" s="34" t="s">
        <v>156</v>
      </c>
      <c r="BO211" s="34" t="s">
        <v>156</v>
      </c>
      <c r="BP211" s="34" t="s">
        <v>156</v>
      </c>
      <c r="BQ211" s="34" t="s">
        <v>156</v>
      </c>
      <c r="BR211" s="44" t="e">
        <f>IF(#REF!&lt;E211,1,0)</f>
        <v>#REF!</v>
      </c>
      <c r="BS211" s="20" t="s">
        <v>157</v>
      </c>
    </row>
    <row r="212" ht="16.5" spans="1:71">
      <c r="A212" s="21"/>
      <c r="B212" s="21"/>
      <c r="C212" s="21"/>
      <c r="D212" s="57"/>
      <c r="E212" s="27"/>
      <c r="F212" s="43"/>
      <c r="G212" s="25"/>
      <c r="H212" s="25"/>
      <c r="I212" s="25"/>
      <c r="J212" s="26"/>
      <c r="K212" s="27"/>
      <c r="L212" s="27"/>
      <c r="M212" s="27"/>
      <c r="N212" s="27"/>
      <c r="O212" s="27"/>
      <c r="P212" s="21"/>
      <c r="Q212" s="29"/>
      <c r="R212" s="30"/>
      <c r="S212" s="26"/>
      <c r="T212" s="30"/>
      <c r="U212" s="30"/>
      <c r="V212" s="30"/>
      <c r="W212" s="30"/>
      <c r="X212" s="31"/>
      <c r="Y212" s="32"/>
      <c r="Z212" s="32"/>
      <c r="AA212" s="32"/>
      <c r="AB212" s="27"/>
      <c r="AC212" s="27"/>
      <c r="AD212" s="33"/>
      <c r="AE212" s="29"/>
      <c r="AF212" s="30"/>
      <c r="AG212" s="30"/>
      <c r="AH212" s="29"/>
      <c r="AI212" s="30"/>
      <c r="AJ212" s="30"/>
      <c r="AK212" s="30"/>
      <c r="AL212" s="30"/>
      <c r="AM212" s="30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44"/>
      <c r="BS212" s="20" t="s">
        <v>157</v>
      </c>
    </row>
    <row r="213" spans="1:71">
      <c r="S213" s="48"/>
      <c r="AE213" s="49"/>
      <c r="AI213" s="48"/>
    </row>
    <row r="214" ht="16.5" spans="1:71">
      <c r="A214" s="20" t="s">
        <v>50</v>
      </c>
      <c r="B214" s="21"/>
      <c r="C214" s="21"/>
      <c r="D214" s="37" t="s">
        <v>155</v>
      </c>
      <c r="E214" s="23">
        <v>70</v>
      </c>
      <c r="F214" s="38">
        <v>99</v>
      </c>
      <c r="G214" s="25">
        <f t="shared" ref="G214:G237" si="250">(F214-Z214)</f>
        <v>99</v>
      </c>
      <c r="H214" s="25">
        <f t="shared" ref="H214:H237" si="251">(F214-Z214)/1.2</f>
        <v>82.5</v>
      </c>
      <c r="I214" s="25">
        <f t="shared" ref="I214:I237" si="252">E214-N214/Q214-AB214-Y214-O214-Z214-AA214</f>
        <v>19.4466371681416</v>
      </c>
      <c r="J214" s="26">
        <f t="shared" ref="J214:J237" si="253">I214/E214</f>
        <v>0.277809102402023</v>
      </c>
      <c r="K214" s="27">
        <f t="shared" ref="K214:K237" si="254">F214/1.2</f>
        <v>82.5</v>
      </c>
      <c r="L214" s="28">
        <f t="shared" ref="L214:L237" si="255">(K214-E214)/K214</f>
        <v>0.151515151515152</v>
      </c>
      <c r="M214" s="25">
        <f t="shared" ref="M214:M237" si="256">F214/1.2-E214</f>
        <v>12.5</v>
      </c>
      <c r="N214" s="27">
        <f t="shared" ref="N214:N237" si="257">AD214+AH214</f>
        <v>219.690265486726</v>
      </c>
      <c r="O214" s="27">
        <f t="shared" ref="O214:O237" si="258">IFERROR(IF(A214="UK",8.95/P214,IF(A214="DE",7.75/P214,IF(A214="FR",14.25/P214,IF(A214="IT",15.25/P214,IF(A214="ES",19.25/P214,IF(A214="NL",16.75/P214,IF(A214="PL",14.05/P214,IF(A214="SE",18.25/P214,IF(A214="BE",14.25/P214))))))))),0)</f>
        <v>2.98333333333333</v>
      </c>
      <c r="P214" s="21">
        <v>3</v>
      </c>
      <c r="Q214" s="29">
        <v>9</v>
      </c>
      <c r="R214" s="30">
        <f t="shared" ref="R214:R237" si="259">Y214/E214</f>
        <v>0.142857142857143</v>
      </c>
      <c r="S214" s="26">
        <f t="shared" ref="S214:S217" si="260">Y214/H214</f>
        <v>0.121212121212121</v>
      </c>
      <c r="T214" s="30">
        <f t="shared" ref="T214:T237" si="261">Z214/E214</f>
        <v>0</v>
      </c>
      <c r="U214" s="30">
        <v>0.01</v>
      </c>
      <c r="V214" s="30">
        <f t="shared" ref="V214:V237" si="262">N214/(E214*Q214)</f>
        <v>0.348714707121787</v>
      </c>
      <c r="W214" s="30">
        <f t="shared" ref="W214:W237" si="263">O214/E214</f>
        <v>0.0426190476190476</v>
      </c>
      <c r="X214" s="31">
        <v>0.178</v>
      </c>
      <c r="Y214" s="32">
        <v>10</v>
      </c>
      <c r="Z214" s="32">
        <f>F214*0</f>
        <v>0</v>
      </c>
      <c r="AA214" s="32">
        <f t="shared" ref="AA214:AA237" si="264">E214*U214</f>
        <v>0.7</v>
      </c>
      <c r="AB214" s="27">
        <f t="shared" ref="AB214:AB237" si="265">E214*X214</f>
        <v>12.46</v>
      </c>
      <c r="AC214" s="27">
        <v>220</v>
      </c>
      <c r="AD214" s="33">
        <f t="shared" ref="AD214:AD237" si="266">AC214/1.13</f>
        <v>194.690265486726</v>
      </c>
      <c r="AE214" s="29">
        <f t="shared" ref="AE214:AE237" si="267">AH214/Q214</f>
        <v>2.77777777777778</v>
      </c>
      <c r="AF214" s="30">
        <f t="shared" ref="AF214:AF237" si="268">AD214/(E214*Q214)</f>
        <v>0.309032167439247</v>
      </c>
      <c r="AG214" s="30">
        <f t="shared" ref="AG214:AG237" si="269">AE214/E214</f>
        <v>0.0396825396825397</v>
      </c>
      <c r="AH214" s="29">
        <v>25</v>
      </c>
      <c r="AI214" s="30">
        <f t="shared" ref="AI214:AI224" si="270">(H214-E214+AB214)/H214</f>
        <v>0.302545454545455</v>
      </c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4" t="s">
        <v>156</v>
      </c>
      <c r="AU214" s="34" t="s">
        <v>156</v>
      </c>
      <c r="AV214" s="34" t="s">
        <v>156</v>
      </c>
      <c r="AW214" s="34" t="s">
        <v>156</v>
      </c>
      <c r="AX214" s="34" t="s">
        <v>156</v>
      </c>
      <c r="AY214" s="34" t="s">
        <v>156</v>
      </c>
      <c r="AZ214" s="34" t="s">
        <v>156</v>
      </c>
      <c r="BA214" s="34" t="s">
        <v>156</v>
      </c>
      <c r="BB214" s="34" t="s">
        <v>156</v>
      </c>
      <c r="BC214" s="34" t="s">
        <v>156</v>
      </c>
      <c r="BD214" s="34" t="s">
        <v>156</v>
      </c>
      <c r="BE214" s="34" t="s">
        <v>156</v>
      </c>
      <c r="BF214" s="34" t="s">
        <v>156</v>
      </c>
      <c r="BG214" s="34" t="s">
        <v>156</v>
      </c>
      <c r="BH214" s="34" t="s">
        <v>156</v>
      </c>
      <c r="BI214" s="34" t="s">
        <v>156</v>
      </c>
      <c r="BJ214" s="34" t="s">
        <v>156</v>
      </c>
      <c r="BK214" s="34" t="s">
        <v>156</v>
      </c>
      <c r="BL214" s="34" t="s">
        <v>156</v>
      </c>
      <c r="BM214" s="34" t="s">
        <v>156</v>
      </c>
      <c r="BN214" s="34" t="s">
        <v>156</v>
      </c>
      <c r="BO214" s="34" t="s">
        <v>156</v>
      </c>
      <c r="BP214" s="34" t="s">
        <v>156</v>
      </c>
      <c r="BQ214" s="34" t="s">
        <v>156</v>
      </c>
      <c r="BR214" s="35"/>
      <c r="BS214" s="20" t="s">
        <v>157</v>
      </c>
    </row>
    <row r="215" ht="16.5" spans="1:71">
      <c r="A215" s="20" t="s">
        <v>50</v>
      </c>
      <c r="B215" s="21"/>
      <c r="C215" s="21"/>
      <c r="D215" s="37" t="s">
        <v>158</v>
      </c>
      <c r="E215" s="23">
        <v>82</v>
      </c>
      <c r="F215" s="24">
        <v>119.99</v>
      </c>
      <c r="G215" s="25">
        <f t="shared" si="250"/>
        <v>113.9905</v>
      </c>
      <c r="H215" s="25">
        <f t="shared" si="251"/>
        <v>94.9920833333333</v>
      </c>
      <c r="I215" s="25">
        <f t="shared" si="252"/>
        <v>23.1911371681416</v>
      </c>
      <c r="J215" s="26">
        <f t="shared" si="253"/>
        <v>0.282818745952946</v>
      </c>
      <c r="K215" s="27">
        <f t="shared" si="254"/>
        <v>99.9916666666667</v>
      </c>
      <c r="L215" s="28">
        <f t="shared" si="255"/>
        <v>0.179931660971748</v>
      </c>
      <c r="M215" s="25">
        <f t="shared" si="256"/>
        <v>17.9916666666667</v>
      </c>
      <c r="N215" s="27">
        <f t="shared" si="257"/>
        <v>219.690265486726</v>
      </c>
      <c r="O215" s="27">
        <f t="shared" si="258"/>
        <v>2.98333333333333</v>
      </c>
      <c r="P215" s="21">
        <v>3</v>
      </c>
      <c r="Q215" s="29">
        <v>9</v>
      </c>
      <c r="R215" s="30">
        <f t="shared" si="259"/>
        <v>0.121951219512195</v>
      </c>
      <c r="S215" s="26">
        <f t="shared" si="260"/>
        <v>0.105271930555616</v>
      </c>
      <c r="T215" s="30">
        <f t="shared" si="261"/>
        <v>0.0731646341463415</v>
      </c>
      <c r="U215" s="30">
        <v>0.01</v>
      </c>
      <c r="V215" s="30">
        <f t="shared" si="262"/>
        <v>0.297683286567379</v>
      </c>
      <c r="W215" s="30">
        <f t="shared" si="263"/>
        <v>0.0363821138211382</v>
      </c>
      <c r="X215" s="31">
        <v>0.178</v>
      </c>
      <c r="Y215" s="32">
        <v>10</v>
      </c>
      <c r="Z215" s="32">
        <f>F215*0.05</f>
        <v>5.9995</v>
      </c>
      <c r="AA215" s="32">
        <f t="shared" si="264"/>
        <v>0.82</v>
      </c>
      <c r="AB215" s="27">
        <f t="shared" si="265"/>
        <v>14.596</v>
      </c>
      <c r="AC215" s="27">
        <v>220</v>
      </c>
      <c r="AD215" s="33">
        <f t="shared" si="266"/>
        <v>194.690265486726</v>
      </c>
      <c r="AE215" s="29">
        <f t="shared" si="267"/>
        <v>2.77777777777778</v>
      </c>
      <c r="AF215" s="30">
        <f t="shared" si="268"/>
        <v>0.263807947813991</v>
      </c>
      <c r="AG215" s="30">
        <f t="shared" si="269"/>
        <v>0.0338753387533875</v>
      </c>
      <c r="AH215" s="29">
        <v>25</v>
      </c>
      <c r="AI215" s="30">
        <f t="shared" si="270"/>
        <v>0.290425079282923</v>
      </c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4" t="s">
        <v>156</v>
      </c>
      <c r="AU215" s="34" t="s">
        <v>156</v>
      </c>
      <c r="AV215" s="34" t="s">
        <v>156</v>
      </c>
      <c r="AW215" s="34" t="s">
        <v>156</v>
      </c>
      <c r="AX215" s="34" t="s">
        <v>156</v>
      </c>
      <c r="AY215" s="34" t="s">
        <v>156</v>
      </c>
      <c r="AZ215" s="34" t="s">
        <v>156</v>
      </c>
      <c r="BA215" s="34" t="s">
        <v>156</v>
      </c>
      <c r="BB215" s="34" t="s">
        <v>156</v>
      </c>
      <c r="BC215" s="34" t="s">
        <v>156</v>
      </c>
      <c r="BD215" s="34" t="s">
        <v>156</v>
      </c>
      <c r="BE215" s="34" t="s">
        <v>156</v>
      </c>
      <c r="BF215" s="34" t="s">
        <v>156</v>
      </c>
      <c r="BG215" s="34" t="s">
        <v>156</v>
      </c>
      <c r="BH215" s="34" t="s">
        <v>156</v>
      </c>
      <c r="BI215" s="34" t="s">
        <v>156</v>
      </c>
      <c r="BJ215" s="34" t="s">
        <v>156</v>
      </c>
      <c r="BK215" s="34" t="s">
        <v>156</v>
      </c>
      <c r="BL215" s="34" t="s">
        <v>156</v>
      </c>
      <c r="BM215" s="34" t="s">
        <v>156</v>
      </c>
      <c r="BN215" s="34" t="s">
        <v>156</v>
      </c>
      <c r="BO215" s="34" t="s">
        <v>156</v>
      </c>
      <c r="BP215" s="34" t="s">
        <v>156</v>
      </c>
      <c r="BQ215" s="34" t="s">
        <v>156</v>
      </c>
      <c r="BR215" s="35"/>
      <c r="BS215" s="20" t="s">
        <v>157</v>
      </c>
    </row>
    <row r="216" ht="16.5" spans="1:71">
      <c r="A216" s="20" t="s">
        <v>50</v>
      </c>
      <c r="B216" s="21"/>
      <c r="C216" s="21"/>
      <c r="D216" s="37" t="s">
        <v>159</v>
      </c>
      <c r="E216" s="23">
        <v>82</v>
      </c>
      <c r="F216" s="24">
        <v>119.99</v>
      </c>
      <c r="G216" s="25">
        <f t="shared" si="250"/>
        <v>107.991</v>
      </c>
      <c r="H216" s="25">
        <f t="shared" si="251"/>
        <v>89.9925</v>
      </c>
      <c r="I216" s="25">
        <f t="shared" si="252"/>
        <v>17.1916371681416</v>
      </c>
      <c r="J216" s="26">
        <f t="shared" si="253"/>
        <v>0.209654111806605</v>
      </c>
      <c r="K216" s="27">
        <f t="shared" si="254"/>
        <v>99.9916666666667</v>
      </c>
      <c r="L216" s="28">
        <f t="shared" si="255"/>
        <v>0.179931660971748</v>
      </c>
      <c r="M216" s="25">
        <f t="shared" si="256"/>
        <v>17.9916666666667</v>
      </c>
      <c r="N216" s="27">
        <f t="shared" si="257"/>
        <v>219.690265486726</v>
      </c>
      <c r="O216" s="27">
        <f t="shared" si="258"/>
        <v>2.98333333333333</v>
      </c>
      <c r="P216" s="21">
        <v>3</v>
      </c>
      <c r="Q216" s="29">
        <v>9</v>
      </c>
      <c r="R216" s="30">
        <f t="shared" si="259"/>
        <v>0.121951219512195</v>
      </c>
      <c r="S216" s="26">
        <f t="shared" si="260"/>
        <v>0.11112037114204</v>
      </c>
      <c r="T216" s="30">
        <f t="shared" si="261"/>
        <v>0.146329268292683</v>
      </c>
      <c r="U216" s="30">
        <v>0.01</v>
      </c>
      <c r="V216" s="30">
        <f t="shared" si="262"/>
        <v>0.297683286567379</v>
      </c>
      <c r="W216" s="30">
        <f t="shared" si="263"/>
        <v>0.0363821138211382</v>
      </c>
      <c r="X216" s="31">
        <v>0.178</v>
      </c>
      <c r="Y216" s="32">
        <v>10</v>
      </c>
      <c r="Z216" s="32">
        <f>F216*0.1</f>
        <v>11.999</v>
      </c>
      <c r="AA216" s="32">
        <f t="shared" si="264"/>
        <v>0.82</v>
      </c>
      <c r="AB216" s="27">
        <f t="shared" si="265"/>
        <v>14.596</v>
      </c>
      <c r="AC216" s="27">
        <v>220</v>
      </c>
      <c r="AD216" s="33">
        <f t="shared" si="266"/>
        <v>194.690265486726</v>
      </c>
      <c r="AE216" s="29">
        <f t="shared" si="267"/>
        <v>2.77777777777778</v>
      </c>
      <c r="AF216" s="30">
        <f t="shared" si="268"/>
        <v>0.263807947813991</v>
      </c>
      <c r="AG216" s="30">
        <f t="shared" si="269"/>
        <v>0.0338753387533875</v>
      </c>
      <c r="AH216" s="29">
        <v>25</v>
      </c>
      <c r="AI216" s="30">
        <f t="shared" si="270"/>
        <v>0.251004250354196</v>
      </c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4" t="s">
        <v>156</v>
      </c>
      <c r="AU216" s="34" t="s">
        <v>156</v>
      </c>
      <c r="AV216" s="34" t="s">
        <v>156</v>
      </c>
      <c r="AW216" s="34" t="s">
        <v>156</v>
      </c>
      <c r="AX216" s="34" t="s">
        <v>156</v>
      </c>
      <c r="AY216" s="34" t="s">
        <v>156</v>
      </c>
      <c r="AZ216" s="34" t="s">
        <v>156</v>
      </c>
      <c r="BA216" s="34" t="s">
        <v>156</v>
      </c>
      <c r="BB216" s="34" t="s">
        <v>156</v>
      </c>
      <c r="BC216" s="34" t="s">
        <v>156</v>
      </c>
      <c r="BD216" s="34" t="s">
        <v>156</v>
      </c>
      <c r="BE216" s="34" t="s">
        <v>156</v>
      </c>
      <c r="BF216" s="34" t="s">
        <v>156</v>
      </c>
      <c r="BG216" s="34" t="s">
        <v>156</v>
      </c>
      <c r="BH216" s="34" t="s">
        <v>156</v>
      </c>
      <c r="BI216" s="34" t="s">
        <v>156</v>
      </c>
      <c r="BJ216" s="34" t="s">
        <v>156</v>
      </c>
      <c r="BK216" s="34" t="s">
        <v>156</v>
      </c>
      <c r="BL216" s="34" t="s">
        <v>156</v>
      </c>
      <c r="BM216" s="34" t="s">
        <v>156</v>
      </c>
      <c r="BN216" s="34" t="s">
        <v>156</v>
      </c>
      <c r="BO216" s="34" t="s">
        <v>156</v>
      </c>
      <c r="BP216" s="34" t="s">
        <v>156</v>
      </c>
      <c r="BQ216" s="34" t="s">
        <v>156</v>
      </c>
      <c r="BR216" s="35"/>
      <c r="BS216" s="20" t="s">
        <v>157</v>
      </c>
    </row>
    <row r="217" ht="16.5" spans="1:71">
      <c r="A217" s="20" t="s">
        <v>50</v>
      </c>
      <c r="B217" s="21"/>
      <c r="C217" s="21"/>
      <c r="D217" s="37" t="s">
        <v>160</v>
      </c>
      <c r="E217" s="23">
        <v>82</v>
      </c>
      <c r="F217" s="24">
        <v>119.99</v>
      </c>
      <c r="G217" s="25">
        <f t="shared" si="250"/>
        <v>101.9915</v>
      </c>
      <c r="H217" s="25">
        <f t="shared" si="251"/>
        <v>84.9929166666667</v>
      </c>
      <c r="I217" s="25">
        <f t="shared" si="252"/>
        <v>11.1921371681416</v>
      </c>
      <c r="J217" s="26">
        <f t="shared" si="253"/>
        <v>0.136489477660263</v>
      </c>
      <c r="K217" s="27">
        <f t="shared" si="254"/>
        <v>99.9916666666667</v>
      </c>
      <c r="L217" s="28">
        <f t="shared" si="255"/>
        <v>0.179931660971748</v>
      </c>
      <c r="M217" s="25">
        <f t="shared" si="256"/>
        <v>17.9916666666667</v>
      </c>
      <c r="N217" s="27">
        <f t="shared" si="257"/>
        <v>219.690265486726</v>
      </c>
      <c r="O217" s="27">
        <f t="shared" si="258"/>
        <v>2.98333333333333</v>
      </c>
      <c r="P217" s="21">
        <v>3</v>
      </c>
      <c r="Q217" s="29">
        <v>9</v>
      </c>
      <c r="R217" s="30">
        <f t="shared" si="259"/>
        <v>0.121951219512195</v>
      </c>
      <c r="S217" s="26">
        <f t="shared" si="260"/>
        <v>0.11765686356216</v>
      </c>
      <c r="T217" s="30">
        <f t="shared" si="261"/>
        <v>0.219493902439024</v>
      </c>
      <c r="U217" s="30">
        <v>0.01</v>
      </c>
      <c r="V217" s="30">
        <f t="shared" si="262"/>
        <v>0.297683286567379</v>
      </c>
      <c r="W217" s="30">
        <f t="shared" si="263"/>
        <v>0.0363821138211382</v>
      </c>
      <c r="X217" s="31">
        <v>0.178</v>
      </c>
      <c r="Y217" s="32">
        <v>10</v>
      </c>
      <c r="Z217" s="32">
        <f>F217*0.15</f>
        <v>17.9985</v>
      </c>
      <c r="AA217" s="32">
        <f t="shared" si="264"/>
        <v>0.82</v>
      </c>
      <c r="AB217" s="27">
        <f t="shared" si="265"/>
        <v>14.596</v>
      </c>
      <c r="AC217" s="27">
        <v>220</v>
      </c>
      <c r="AD217" s="33">
        <f t="shared" si="266"/>
        <v>194.690265486726</v>
      </c>
      <c r="AE217" s="29">
        <f t="shared" si="267"/>
        <v>2.77777777777778</v>
      </c>
      <c r="AF217" s="30">
        <f t="shared" si="268"/>
        <v>0.263807947813991</v>
      </c>
      <c r="AG217" s="30">
        <f t="shared" si="269"/>
        <v>0.0338753387533875</v>
      </c>
      <c r="AH217" s="29">
        <v>25</v>
      </c>
      <c r="AI217" s="30">
        <f t="shared" si="270"/>
        <v>0.20694567684562</v>
      </c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4" t="s">
        <v>156</v>
      </c>
      <c r="AU217" s="34" t="s">
        <v>156</v>
      </c>
      <c r="AV217" s="34" t="s">
        <v>156</v>
      </c>
      <c r="AW217" s="34" t="s">
        <v>156</v>
      </c>
      <c r="AX217" s="34" t="s">
        <v>156</v>
      </c>
      <c r="AY217" s="34" t="s">
        <v>156</v>
      </c>
      <c r="AZ217" s="34" t="s">
        <v>156</v>
      </c>
      <c r="BA217" s="34" t="s">
        <v>156</v>
      </c>
      <c r="BB217" s="34" t="s">
        <v>156</v>
      </c>
      <c r="BC217" s="34" t="s">
        <v>156</v>
      </c>
      <c r="BD217" s="34" t="s">
        <v>156</v>
      </c>
      <c r="BE217" s="34" t="s">
        <v>156</v>
      </c>
      <c r="BF217" s="34" t="s">
        <v>156</v>
      </c>
      <c r="BG217" s="34" t="s">
        <v>156</v>
      </c>
      <c r="BH217" s="34" t="s">
        <v>156</v>
      </c>
      <c r="BI217" s="34" t="s">
        <v>156</v>
      </c>
      <c r="BJ217" s="34" t="s">
        <v>156</v>
      </c>
      <c r="BK217" s="34" t="s">
        <v>156</v>
      </c>
      <c r="BL217" s="34" t="s">
        <v>156</v>
      </c>
      <c r="BM217" s="34" t="s">
        <v>156</v>
      </c>
      <c r="BN217" s="34" t="s">
        <v>156</v>
      </c>
      <c r="BO217" s="34" t="s">
        <v>156</v>
      </c>
      <c r="BP217" s="34" t="s">
        <v>156</v>
      </c>
      <c r="BQ217" s="34" t="s">
        <v>156</v>
      </c>
      <c r="BR217" s="35"/>
      <c r="BS217" s="20" t="s">
        <v>157</v>
      </c>
    </row>
    <row r="218" ht="16.5" spans="1:71">
      <c r="A218" s="21" t="s">
        <v>37</v>
      </c>
      <c r="B218" s="21"/>
      <c r="C218" s="21"/>
      <c r="D218" s="37" t="s">
        <v>155</v>
      </c>
      <c r="E218" s="23">
        <v>89</v>
      </c>
      <c r="F218" s="24">
        <v>129.99</v>
      </c>
      <c r="G218" s="25">
        <f t="shared" si="250"/>
        <v>129.99</v>
      </c>
      <c r="H218" s="25">
        <f t="shared" si="251"/>
        <v>108.325</v>
      </c>
      <c r="I218" s="25">
        <f t="shared" si="252"/>
        <v>30.708383480826</v>
      </c>
      <c r="J218" s="26">
        <f t="shared" si="253"/>
        <v>0.345038016638494</v>
      </c>
      <c r="K218" s="27">
        <f t="shared" si="254"/>
        <v>108.325</v>
      </c>
      <c r="L218" s="28">
        <f t="shared" si="255"/>
        <v>0.178398338333718</v>
      </c>
      <c r="M218" s="25">
        <f t="shared" si="256"/>
        <v>19.325</v>
      </c>
      <c r="N218" s="27">
        <f t="shared" si="257"/>
        <v>224.690265486726</v>
      </c>
      <c r="O218" s="27">
        <f t="shared" si="258"/>
        <v>2.58333333333333</v>
      </c>
      <c r="P218" s="21">
        <v>3</v>
      </c>
      <c r="Q218" s="29">
        <v>8</v>
      </c>
      <c r="R218" s="30">
        <f t="shared" si="259"/>
        <v>0.112359550561798</v>
      </c>
      <c r="S218" s="26">
        <f t="shared" ref="S218:S237" si="271">Y218/F218</f>
        <v>0.0769289945380414</v>
      </c>
      <c r="T218" s="30">
        <f t="shared" si="261"/>
        <v>0</v>
      </c>
      <c r="U218" s="30">
        <v>0.01</v>
      </c>
      <c r="V218" s="30">
        <f t="shared" si="262"/>
        <v>0.315576215571244</v>
      </c>
      <c r="W218" s="30">
        <f t="shared" si="263"/>
        <v>0.0290262172284644</v>
      </c>
      <c r="X218" s="31">
        <v>0.188</v>
      </c>
      <c r="Y218" s="32">
        <v>10</v>
      </c>
      <c r="Z218" s="32">
        <v>0</v>
      </c>
      <c r="AA218" s="32">
        <f t="shared" si="264"/>
        <v>0.89</v>
      </c>
      <c r="AB218" s="27">
        <f t="shared" si="265"/>
        <v>16.732</v>
      </c>
      <c r="AC218" s="27">
        <v>220</v>
      </c>
      <c r="AD218" s="33">
        <f t="shared" si="266"/>
        <v>194.690265486726</v>
      </c>
      <c r="AE218" s="29">
        <f t="shared" si="267"/>
        <v>3.75</v>
      </c>
      <c r="AF218" s="30">
        <f t="shared" si="268"/>
        <v>0.27344138411057</v>
      </c>
      <c r="AG218" s="30">
        <f t="shared" si="269"/>
        <v>0.0421348314606742</v>
      </c>
      <c r="AH218" s="29">
        <v>30</v>
      </c>
      <c r="AI218" s="30">
        <f t="shared" si="270"/>
        <v>0.332859450726979</v>
      </c>
      <c r="AJ218" s="30"/>
      <c r="AK218" s="30"/>
      <c r="AL218" s="30"/>
      <c r="AM218" s="30"/>
      <c r="AN218" s="34"/>
      <c r="AO218" s="34"/>
      <c r="AP218" s="34"/>
      <c r="AQ218" s="34"/>
      <c r="AR218" s="34"/>
      <c r="AS218" s="34"/>
      <c r="AT218" s="34" t="s">
        <v>156</v>
      </c>
      <c r="AU218" s="34" t="s">
        <v>156</v>
      </c>
      <c r="AV218" s="34" t="s">
        <v>156</v>
      </c>
      <c r="AW218" s="34" t="s">
        <v>156</v>
      </c>
      <c r="AX218" s="34" t="s">
        <v>156</v>
      </c>
      <c r="AY218" s="34" t="s">
        <v>156</v>
      </c>
      <c r="AZ218" s="34" t="s">
        <v>156</v>
      </c>
      <c r="BA218" s="34" t="s">
        <v>156</v>
      </c>
      <c r="BB218" s="34" t="s">
        <v>156</v>
      </c>
      <c r="BC218" s="34" t="s">
        <v>156</v>
      </c>
      <c r="BD218" s="34" t="s">
        <v>156</v>
      </c>
      <c r="BE218" s="34" t="s">
        <v>156</v>
      </c>
      <c r="BF218" s="34" t="s">
        <v>156</v>
      </c>
      <c r="BG218" s="34" t="s">
        <v>156</v>
      </c>
      <c r="BH218" s="34" t="s">
        <v>156</v>
      </c>
      <c r="BI218" s="34" t="s">
        <v>156</v>
      </c>
      <c r="BJ218" s="34" t="s">
        <v>156</v>
      </c>
      <c r="BK218" s="34" t="s">
        <v>156</v>
      </c>
      <c r="BL218" s="34" t="s">
        <v>156</v>
      </c>
      <c r="BM218" s="34" t="s">
        <v>156</v>
      </c>
      <c r="BN218" s="34" t="s">
        <v>156</v>
      </c>
      <c r="BO218" s="34" t="s">
        <v>156</v>
      </c>
      <c r="BP218" s="34" t="s">
        <v>156</v>
      </c>
      <c r="BQ218" s="34" t="s">
        <v>156</v>
      </c>
      <c r="BR218" s="35"/>
      <c r="BS218" s="20" t="s">
        <v>157</v>
      </c>
    </row>
    <row r="219" ht="16.5" spans="1:71">
      <c r="A219" s="21" t="s">
        <v>37</v>
      </c>
      <c r="B219" s="21"/>
      <c r="C219" s="21"/>
      <c r="D219" s="37" t="s">
        <v>158</v>
      </c>
      <c r="E219" s="23">
        <v>89</v>
      </c>
      <c r="F219" s="24">
        <v>129.99</v>
      </c>
      <c r="G219" s="25">
        <f t="shared" si="250"/>
        <v>123.4905</v>
      </c>
      <c r="H219" s="25">
        <f t="shared" si="251"/>
        <v>102.90875</v>
      </c>
      <c r="I219" s="25">
        <f t="shared" si="252"/>
        <v>24.208883480826</v>
      </c>
      <c r="J219" s="26">
        <f t="shared" si="253"/>
        <v>0.272009926750853</v>
      </c>
      <c r="K219" s="27">
        <f t="shared" si="254"/>
        <v>108.325</v>
      </c>
      <c r="L219" s="28">
        <f t="shared" si="255"/>
        <v>0.178398338333718</v>
      </c>
      <c r="M219" s="25">
        <f t="shared" si="256"/>
        <v>19.325</v>
      </c>
      <c r="N219" s="27">
        <f t="shared" si="257"/>
        <v>224.690265486726</v>
      </c>
      <c r="O219" s="27">
        <f t="shared" si="258"/>
        <v>2.58333333333333</v>
      </c>
      <c r="P219" s="21">
        <v>3</v>
      </c>
      <c r="Q219" s="29">
        <v>8</v>
      </c>
      <c r="R219" s="30">
        <f t="shared" si="259"/>
        <v>0.112359550561798</v>
      </c>
      <c r="S219" s="26">
        <f t="shared" si="271"/>
        <v>0.0769289945380414</v>
      </c>
      <c r="T219" s="30">
        <f t="shared" si="261"/>
        <v>0.0730280898876405</v>
      </c>
      <c r="U219" s="30">
        <v>0.01</v>
      </c>
      <c r="V219" s="30">
        <f t="shared" si="262"/>
        <v>0.315576215571244</v>
      </c>
      <c r="W219" s="30">
        <f t="shared" si="263"/>
        <v>0.0290262172284644</v>
      </c>
      <c r="X219" s="31">
        <v>0.188</v>
      </c>
      <c r="Y219" s="32">
        <v>10</v>
      </c>
      <c r="Z219" s="32">
        <f>F219*0.05</f>
        <v>6.4995</v>
      </c>
      <c r="AA219" s="32">
        <f t="shared" si="264"/>
        <v>0.89</v>
      </c>
      <c r="AB219" s="27">
        <f t="shared" si="265"/>
        <v>16.732</v>
      </c>
      <c r="AC219" s="27">
        <v>220</v>
      </c>
      <c r="AD219" s="33">
        <f t="shared" si="266"/>
        <v>194.690265486726</v>
      </c>
      <c r="AE219" s="29">
        <f t="shared" si="267"/>
        <v>3.75</v>
      </c>
      <c r="AF219" s="30">
        <f t="shared" si="268"/>
        <v>0.27344138411057</v>
      </c>
      <c r="AG219" s="30">
        <f t="shared" si="269"/>
        <v>0.0421348314606742</v>
      </c>
      <c r="AH219" s="29">
        <v>30</v>
      </c>
      <c r="AI219" s="30">
        <f t="shared" si="270"/>
        <v>0.297746790238925</v>
      </c>
      <c r="AJ219" s="30"/>
      <c r="AK219" s="30"/>
      <c r="AL219" s="30"/>
      <c r="AM219" s="30"/>
      <c r="AN219" s="34"/>
      <c r="AO219" s="34"/>
      <c r="AP219" s="34"/>
      <c r="AQ219" s="34"/>
      <c r="AR219" s="34"/>
      <c r="AS219" s="34"/>
      <c r="AT219" s="34" t="s">
        <v>156</v>
      </c>
      <c r="AU219" s="34" t="s">
        <v>156</v>
      </c>
      <c r="AV219" s="34" t="s">
        <v>156</v>
      </c>
      <c r="AW219" s="34" t="s">
        <v>156</v>
      </c>
      <c r="AX219" s="34" t="s">
        <v>156</v>
      </c>
      <c r="AY219" s="34" t="s">
        <v>156</v>
      </c>
      <c r="AZ219" s="34" t="s">
        <v>156</v>
      </c>
      <c r="BA219" s="34" t="s">
        <v>156</v>
      </c>
      <c r="BB219" s="34" t="s">
        <v>156</v>
      </c>
      <c r="BC219" s="34" t="s">
        <v>156</v>
      </c>
      <c r="BD219" s="34" t="s">
        <v>156</v>
      </c>
      <c r="BE219" s="34" t="s">
        <v>156</v>
      </c>
      <c r="BF219" s="34" t="s">
        <v>156</v>
      </c>
      <c r="BG219" s="34" t="s">
        <v>156</v>
      </c>
      <c r="BH219" s="34" t="s">
        <v>156</v>
      </c>
      <c r="BI219" s="34" t="s">
        <v>156</v>
      </c>
      <c r="BJ219" s="34" t="s">
        <v>156</v>
      </c>
      <c r="BK219" s="34" t="s">
        <v>156</v>
      </c>
      <c r="BL219" s="34" t="s">
        <v>156</v>
      </c>
      <c r="BM219" s="34" t="s">
        <v>156</v>
      </c>
      <c r="BN219" s="34" t="s">
        <v>156</v>
      </c>
      <c r="BO219" s="34" t="s">
        <v>156</v>
      </c>
      <c r="BP219" s="34" t="s">
        <v>156</v>
      </c>
      <c r="BQ219" s="34" t="s">
        <v>156</v>
      </c>
      <c r="BR219" s="35"/>
      <c r="BS219" s="20" t="s">
        <v>157</v>
      </c>
    </row>
    <row r="220" ht="16.5" spans="1:71">
      <c r="A220" s="21" t="s">
        <v>37</v>
      </c>
      <c r="B220" s="21"/>
      <c r="C220" s="21"/>
      <c r="D220" s="37" t="s">
        <v>159</v>
      </c>
      <c r="E220" s="23">
        <v>89</v>
      </c>
      <c r="F220" s="24">
        <v>129.99</v>
      </c>
      <c r="G220" s="25">
        <f t="shared" si="250"/>
        <v>116.991</v>
      </c>
      <c r="H220" s="25">
        <f t="shared" si="251"/>
        <v>97.4925</v>
      </c>
      <c r="I220" s="25">
        <f t="shared" si="252"/>
        <v>17.709383480826</v>
      </c>
      <c r="J220" s="26">
        <f t="shared" si="253"/>
        <v>0.198981836863213</v>
      </c>
      <c r="K220" s="27">
        <f t="shared" si="254"/>
        <v>108.325</v>
      </c>
      <c r="L220" s="28">
        <f t="shared" si="255"/>
        <v>0.178398338333718</v>
      </c>
      <c r="M220" s="25">
        <f t="shared" si="256"/>
        <v>19.325</v>
      </c>
      <c r="N220" s="27">
        <f t="shared" si="257"/>
        <v>224.690265486726</v>
      </c>
      <c r="O220" s="27">
        <f t="shared" si="258"/>
        <v>2.58333333333333</v>
      </c>
      <c r="P220" s="21">
        <v>3</v>
      </c>
      <c r="Q220" s="29">
        <v>8</v>
      </c>
      <c r="R220" s="30">
        <f t="shared" si="259"/>
        <v>0.112359550561798</v>
      </c>
      <c r="S220" s="26">
        <f t="shared" si="271"/>
        <v>0.0769289945380414</v>
      </c>
      <c r="T220" s="30">
        <f t="shared" si="261"/>
        <v>0.146056179775281</v>
      </c>
      <c r="U220" s="30">
        <v>0.01</v>
      </c>
      <c r="V220" s="30">
        <f t="shared" si="262"/>
        <v>0.315576215571244</v>
      </c>
      <c r="W220" s="30">
        <f t="shared" si="263"/>
        <v>0.0290262172284644</v>
      </c>
      <c r="X220" s="31">
        <v>0.188</v>
      </c>
      <c r="Y220" s="32">
        <v>10</v>
      </c>
      <c r="Z220" s="32">
        <f>F220*0.1</f>
        <v>12.999</v>
      </c>
      <c r="AA220" s="32">
        <f t="shared" si="264"/>
        <v>0.89</v>
      </c>
      <c r="AB220" s="27">
        <f t="shared" si="265"/>
        <v>16.732</v>
      </c>
      <c r="AC220" s="27">
        <v>220</v>
      </c>
      <c r="AD220" s="33">
        <f t="shared" si="266"/>
        <v>194.690265486726</v>
      </c>
      <c r="AE220" s="29">
        <f t="shared" si="267"/>
        <v>3.75</v>
      </c>
      <c r="AF220" s="30">
        <f t="shared" si="268"/>
        <v>0.27344138411057</v>
      </c>
      <c r="AG220" s="30">
        <f t="shared" si="269"/>
        <v>0.0421348314606742</v>
      </c>
      <c r="AH220" s="29">
        <v>30</v>
      </c>
      <c r="AI220" s="30">
        <f t="shared" si="270"/>
        <v>0.258732723029977</v>
      </c>
      <c r="AJ220" s="30"/>
      <c r="AK220" s="30"/>
      <c r="AL220" s="30"/>
      <c r="AM220" s="30"/>
      <c r="AN220" s="34"/>
      <c r="AO220" s="34"/>
      <c r="AP220" s="34"/>
      <c r="AQ220" s="34"/>
      <c r="AR220" s="34"/>
      <c r="AS220" s="34"/>
      <c r="AT220" s="34" t="s">
        <v>156</v>
      </c>
      <c r="AU220" s="34" t="s">
        <v>156</v>
      </c>
      <c r="AV220" s="34" t="s">
        <v>156</v>
      </c>
      <c r="AW220" s="34" t="s">
        <v>156</v>
      </c>
      <c r="AX220" s="34" t="s">
        <v>156</v>
      </c>
      <c r="AY220" s="34" t="s">
        <v>156</v>
      </c>
      <c r="AZ220" s="34" t="s">
        <v>156</v>
      </c>
      <c r="BA220" s="34" t="s">
        <v>156</v>
      </c>
      <c r="BB220" s="34" t="s">
        <v>156</v>
      </c>
      <c r="BC220" s="34" t="s">
        <v>156</v>
      </c>
      <c r="BD220" s="34" t="s">
        <v>156</v>
      </c>
      <c r="BE220" s="34" t="s">
        <v>156</v>
      </c>
      <c r="BF220" s="34" t="s">
        <v>156</v>
      </c>
      <c r="BG220" s="34" t="s">
        <v>156</v>
      </c>
      <c r="BH220" s="34" t="s">
        <v>156</v>
      </c>
      <c r="BI220" s="34" t="s">
        <v>156</v>
      </c>
      <c r="BJ220" s="34" t="s">
        <v>156</v>
      </c>
      <c r="BK220" s="34" t="s">
        <v>156</v>
      </c>
      <c r="BL220" s="34" t="s">
        <v>156</v>
      </c>
      <c r="BM220" s="34" t="s">
        <v>156</v>
      </c>
      <c r="BN220" s="34" t="s">
        <v>156</v>
      </c>
      <c r="BO220" s="34" t="s">
        <v>156</v>
      </c>
      <c r="BP220" s="34" t="s">
        <v>156</v>
      </c>
      <c r="BQ220" s="34" t="s">
        <v>156</v>
      </c>
      <c r="BR220" s="35"/>
      <c r="BS220" s="20" t="s">
        <v>157</v>
      </c>
    </row>
    <row r="221" ht="16.5" spans="1:71">
      <c r="A221" s="21" t="s">
        <v>37</v>
      </c>
      <c r="B221" s="21"/>
      <c r="C221" s="21"/>
      <c r="D221" s="37" t="s">
        <v>160</v>
      </c>
      <c r="E221" s="23">
        <v>89</v>
      </c>
      <c r="F221" s="24">
        <v>129.99</v>
      </c>
      <c r="G221" s="25">
        <f t="shared" si="250"/>
        <v>110.4915</v>
      </c>
      <c r="H221" s="25">
        <f t="shared" si="251"/>
        <v>92.07625</v>
      </c>
      <c r="I221" s="25">
        <f t="shared" si="252"/>
        <v>11.209883480826</v>
      </c>
      <c r="J221" s="26">
        <f t="shared" si="253"/>
        <v>0.125953746975573</v>
      </c>
      <c r="K221" s="27">
        <f t="shared" si="254"/>
        <v>108.325</v>
      </c>
      <c r="L221" s="28">
        <f t="shared" si="255"/>
        <v>0.178398338333718</v>
      </c>
      <c r="M221" s="25">
        <f t="shared" si="256"/>
        <v>19.325</v>
      </c>
      <c r="N221" s="27">
        <f t="shared" si="257"/>
        <v>224.690265486726</v>
      </c>
      <c r="O221" s="27">
        <f t="shared" si="258"/>
        <v>2.58333333333333</v>
      </c>
      <c r="P221" s="21">
        <v>3</v>
      </c>
      <c r="Q221" s="29">
        <v>8</v>
      </c>
      <c r="R221" s="30">
        <f t="shared" si="259"/>
        <v>0.112359550561798</v>
      </c>
      <c r="S221" s="26">
        <f t="shared" si="271"/>
        <v>0.0769289945380414</v>
      </c>
      <c r="T221" s="30">
        <f t="shared" si="261"/>
        <v>0.219084269662921</v>
      </c>
      <c r="U221" s="30">
        <v>0.01</v>
      </c>
      <c r="V221" s="30">
        <f t="shared" si="262"/>
        <v>0.315576215571244</v>
      </c>
      <c r="W221" s="30">
        <f t="shared" si="263"/>
        <v>0.0290262172284644</v>
      </c>
      <c r="X221" s="31">
        <v>0.188</v>
      </c>
      <c r="Y221" s="32">
        <v>10</v>
      </c>
      <c r="Z221" s="32">
        <f>F221*0.15</f>
        <v>19.4985</v>
      </c>
      <c r="AA221" s="32">
        <f t="shared" si="264"/>
        <v>0.89</v>
      </c>
      <c r="AB221" s="27">
        <f t="shared" si="265"/>
        <v>16.732</v>
      </c>
      <c r="AC221" s="27">
        <v>220</v>
      </c>
      <c r="AD221" s="33">
        <f t="shared" si="266"/>
        <v>194.690265486726</v>
      </c>
      <c r="AE221" s="29">
        <f t="shared" si="267"/>
        <v>3.75</v>
      </c>
      <c r="AF221" s="30">
        <f t="shared" si="268"/>
        <v>0.27344138411057</v>
      </c>
      <c r="AG221" s="30">
        <f t="shared" si="269"/>
        <v>0.0421348314606742</v>
      </c>
      <c r="AH221" s="29">
        <v>30</v>
      </c>
      <c r="AI221" s="30">
        <f t="shared" si="270"/>
        <v>0.215128765561152</v>
      </c>
      <c r="AJ221" s="30"/>
      <c r="AK221" s="30"/>
      <c r="AL221" s="30"/>
      <c r="AM221" s="30"/>
      <c r="AN221" s="34"/>
      <c r="AO221" s="34"/>
      <c r="AP221" s="34"/>
      <c r="AQ221" s="34"/>
      <c r="AR221" s="34"/>
      <c r="AS221" s="34"/>
      <c r="AT221" s="34" t="s">
        <v>156</v>
      </c>
      <c r="AU221" s="34" t="s">
        <v>156</v>
      </c>
      <c r="AV221" s="34" t="s">
        <v>156</v>
      </c>
      <c r="AW221" s="34" t="s">
        <v>156</v>
      </c>
      <c r="AX221" s="34" t="s">
        <v>156</v>
      </c>
      <c r="AY221" s="34" t="s">
        <v>156</v>
      </c>
      <c r="AZ221" s="34" t="s">
        <v>156</v>
      </c>
      <c r="BA221" s="34" t="s">
        <v>156</v>
      </c>
      <c r="BB221" s="34" t="s">
        <v>156</v>
      </c>
      <c r="BC221" s="34" t="s">
        <v>156</v>
      </c>
      <c r="BD221" s="34" t="s">
        <v>156</v>
      </c>
      <c r="BE221" s="34" t="s">
        <v>156</v>
      </c>
      <c r="BF221" s="34" t="s">
        <v>156</v>
      </c>
      <c r="BG221" s="34" t="s">
        <v>156</v>
      </c>
      <c r="BH221" s="34" t="s">
        <v>156</v>
      </c>
      <c r="BI221" s="34" t="s">
        <v>156</v>
      </c>
      <c r="BJ221" s="34" t="s">
        <v>156</v>
      </c>
      <c r="BK221" s="34" t="s">
        <v>156</v>
      </c>
      <c r="BL221" s="34" t="s">
        <v>156</v>
      </c>
      <c r="BM221" s="34" t="s">
        <v>156</v>
      </c>
      <c r="BN221" s="34" t="s">
        <v>156</v>
      </c>
      <c r="BO221" s="34" t="s">
        <v>156</v>
      </c>
      <c r="BP221" s="34" t="s">
        <v>156</v>
      </c>
      <c r="BQ221" s="34" t="s">
        <v>156</v>
      </c>
      <c r="BR221" s="35"/>
      <c r="BS221" s="20" t="s">
        <v>157</v>
      </c>
    </row>
    <row r="222" ht="16.5" spans="1:71">
      <c r="A222" s="21" t="s">
        <v>43</v>
      </c>
      <c r="B222" s="21"/>
      <c r="C222" s="21"/>
      <c r="D222" s="37" t="s">
        <v>155</v>
      </c>
      <c r="E222" s="23">
        <v>93</v>
      </c>
      <c r="F222" s="24">
        <v>134.99</v>
      </c>
      <c r="G222" s="25">
        <f t="shared" si="250"/>
        <v>134.99</v>
      </c>
      <c r="H222" s="25">
        <f t="shared" si="251"/>
        <v>112.491666666667</v>
      </c>
      <c r="I222" s="25">
        <f t="shared" si="252"/>
        <v>31.7497168141593</v>
      </c>
      <c r="J222" s="26">
        <f t="shared" si="253"/>
        <v>0.341394804453326</v>
      </c>
      <c r="K222" s="27">
        <f t="shared" si="254"/>
        <v>112.491666666667</v>
      </c>
      <c r="L222" s="28">
        <f t="shared" si="255"/>
        <v>0.173272094229202</v>
      </c>
      <c r="M222" s="25">
        <f t="shared" si="256"/>
        <v>19.4916666666667</v>
      </c>
      <c r="N222" s="27">
        <f t="shared" si="257"/>
        <v>224.690265486726</v>
      </c>
      <c r="O222" s="27">
        <f t="shared" si="258"/>
        <v>4.75</v>
      </c>
      <c r="P222" s="21">
        <v>3</v>
      </c>
      <c r="Q222" s="29">
        <v>8</v>
      </c>
      <c r="R222" s="30">
        <f t="shared" si="259"/>
        <v>0.10752688172043</v>
      </c>
      <c r="S222" s="26">
        <f t="shared" si="271"/>
        <v>0.0740795614489962</v>
      </c>
      <c r="T222" s="30">
        <f t="shared" si="261"/>
        <v>0</v>
      </c>
      <c r="U222" s="30">
        <v>0.01</v>
      </c>
      <c r="V222" s="30">
        <f t="shared" si="262"/>
        <v>0.30200304500904</v>
      </c>
      <c r="W222" s="30">
        <f t="shared" si="263"/>
        <v>0.0510752688172043</v>
      </c>
      <c r="X222" s="31">
        <v>0.188</v>
      </c>
      <c r="Y222" s="32">
        <v>10</v>
      </c>
      <c r="Z222" s="32">
        <v>0</v>
      </c>
      <c r="AA222" s="32">
        <f t="shared" si="264"/>
        <v>0.93</v>
      </c>
      <c r="AB222" s="27">
        <f t="shared" si="265"/>
        <v>17.484</v>
      </c>
      <c r="AC222" s="27">
        <v>220</v>
      </c>
      <c r="AD222" s="33">
        <f t="shared" si="266"/>
        <v>194.690265486726</v>
      </c>
      <c r="AE222" s="29">
        <f t="shared" si="267"/>
        <v>3.75</v>
      </c>
      <c r="AF222" s="30">
        <f t="shared" si="268"/>
        <v>0.261680464363879</v>
      </c>
      <c r="AG222" s="30">
        <f t="shared" si="269"/>
        <v>0.0403225806451613</v>
      </c>
      <c r="AH222" s="29">
        <v>30</v>
      </c>
      <c r="AI222" s="30">
        <f t="shared" si="270"/>
        <v>0.328696940514112</v>
      </c>
      <c r="AJ222" s="30"/>
      <c r="AK222" s="30"/>
      <c r="AL222" s="30"/>
      <c r="AM222" s="30"/>
      <c r="AN222" s="34"/>
      <c r="AO222" s="34"/>
      <c r="AP222" s="34"/>
      <c r="AQ222" s="34"/>
      <c r="AR222" s="34"/>
      <c r="AS222" s="34"/>
      <c r="AT222" s="34" t="s">
        <v>156</v>
      </c>
      <c r="AU222" s="34" t="s">
        <v>156</v>
      </c>
      <c r="AV222" s="34" t="s">
        <v>156</v>
      </c>
      <c r="AW222" s="34" t="s">
        <v>156</v>
      </c>
      <c r="AX222" s="34" t="s">
        <v>156</v>
      </c>
      <c r="AY222" s="34" t="s">
        <v>156</v>
      </c>
      <c r="AZ222" s="34" t="s">
        <v>156</v>
      </c>
      <c r="BA222" s="34" t="s">
        <v>156</v>
      </c>
      <c r="BB222" s="34" t="s">
        <v>156</v>
      </c>
      <c r="BC222" s="34" t="s">
        <v>156</v>
      </c>
      <c r="BD222" s="34" t="s">
        <v>156</v>
      </c>
      <c r="BE222" s="34" t="s">
        <v>156</v>
      </c>
      <c r="BF222" s="34" t="s">
        <v>156</v>
      </c>
      <c r="BG222" s="34" t="s">
        <v>156</v>
      </c>
      <c r="BH222" s="34" t="s">
        <v>156</v>
      </c>
      <c r="BI222" s="34" t="s">
        <v>156</v>
      </c>
      <c r="BJ222" s="34" t="s">
        <v>156</v>
      </c>
      <c r="BK222" s="34" t="s">
        <v>156</v>
      </c>
      <c r="BL222" s="34" t="s">
        <v>156</v>
      </c>
      <c r="BM222" s="34" t="s">
        <v>156</v>
      </c>
      <c r="BN222" s="34" t="s">
        <v>156</v>
      </c>
      <c r="BO222" s="34" t="s">
        <v>156</v>
      </c>
      <c r="BP222" s="34" t="s">
        <v>156</v>
      </c>
      <c r="BQ222" s="34" t="s">
        <v>156</v>
      </c>
      <c r="BR222" s="35"/>
      <c r="BS222" s="20" t="s">
        <v>157</v>
      </c>
    </row>
    <row r="223" ht="16.5" spans="1:71">
      <c r="A223" s="21" t="s">
        <v>43</v>
      </c>
      <c r="B223" s="21"/>
      <c r="C223" s="21"/>
      <c r="D223" s="37" t="s">
        <v>158</v>
      </c>
      <c r="E223" s="23">
        <v>93</v>
      </c>
      <c r="F223" s="24">
        <v>134.99</v>
      </c>
      <c r="G223" s="25">
        <f t="shared" si="250"/>
        <v>128.2405</v>
      </c>
      <c r="H223" s="25">
        <f t="shared" si="251"/>
        <v>106.867083333333</v>
      </c>
      <c r="I223" s="25">
        <f t="shared" si="252"/>
        <v>25.0002168141593</v>
      </c>
      <c r="J223" s="26">
        <f t="shared" si="253"/>
        <v>0.268819535636121</v>
      </c>
      <c r="K223" s="27">
        <f t="shared" si="254"/>
        <v>112.491666666667</v>
      </c>
      <c r="L223" s="28">
        <f t="shared" si="255"/>
        <v>0.173272094229202</v>
      </c>
      <c r="M223" s="25">
        <f t="shared" si="256"/>
        <v>19.4916666666667</v>
      </c>
      <c r="N223" s="27">
        <f t="shared" si="257"/>
        <v>224.690265486726</v>
      </c>
      <c r="O223" s="27">
        <f t="shared" si="258"/>
        <v>4.75</v>
      </c>
      <c r="P223" s="21">
        <v>3</v>
      </c>
      <c r="Q223" s="29">
        <v>8</v>
      </c>
      <c r="R223" s="30">
        <f t="shared" si="259"/>
        <v>0.10752688172043</v>
      </c>
      <c r="S223" s="26">
        <f t="shared" si="271"/>
        <v>0.0740795614489962</v>
      </c>
      <c r="T223" s="30">
        <f t="shared" si="261"/>
        <v>0.0725752688172043</v>
      </c>
      <c r="U223" s="30">
        <v>0.01</v>
      </c>
      <c r="V223" s="30">
        <f t="shared" si="262"/>
        <v>0.30200304500904</v>
      </c>
      <c r="W223" s="30">
        <f t="shared" si="263"/>
        <v>0.0510752688172043</v>
      </c>
      <c r="X223" s="31">
        <v>0.188</v>
      </c>
      <c r="Y223" s="32">
        <v>10</v>
      </c>
      <c r="Z223" s="32">
        <f>F223*0.05</f>
        <v>6.7495</v>
      </c>
      <c r="AA223" s="32">
        <f t="shared" si="264"/>
        <v>0.93</v>
      </c>
      <c r="AB223" s="27">
        <f t="shared" si="265"/>
        <v>17.484</v>
      </c>
      <c r="AC223" s="27">
        <v>220</v>
      </c>
      <c r="AD223" s="33">
        <f t="shared" si="266"/>
        <v>194.690265486726</v>
      </c>
      <c r="AE223" s="29">
        <f t="shared" si="267"/>
        <v>3.75</v>
      </c>
      <c r="AF223" s="30">
        <f t="shared" si="268"/>
        <v>0.261680464363879</v>
      </c>
      <c r="AG223" s="30">
        <f t="shared" si="269"/>
        <v>0.0403225806451613</v>
      </c>
      <c r="AH223" s="29">
        <v>30</v>
      </c>
      <c r="AI223" s="30">
        <f t="shared" si="270"/>
        <v>0.293365200541171</v>
      </c>
      <c r="AJ223" s="30"/>
      <c r="AK223" s="30"/>
      <c r="AL223" s="30"/>
      <c r="AM223" s="30"/>
      <c r="AN223" s="34"/>
      <c r="AO223" s="34"/>
      <c r="AP223" s="34"/>
      <c r="AQ223" s="34"/>
      <c r="AR223" s="34"/>
      <c r="AS223" s="34"/>
      <c r="AT223" s="34" t="s">
        <v>156</v>
      </c>
      <c r="AU223" s="34" t="s">
        <v>156</v>
      </c>
      <c r="AV223" s="34" t="s">
        <v>156</v>
      </c>
      <c r="AW223" s="34" t="s">
        <v>156</v>
      </c>
      <c r="AX223" s="34" t="s">
        <v>156</v>
      </c>
      <c r="AY223" s="34" t="s">
        <v>156</v>
      </c>
      <c r="AZ223" s="34" t="s">
        <v>156</v>
      </c>
      <c r="BA223" s="34" t="s">
        <v>156</v>
      </c>
      <c r="BB223" s="34" t="s">
        <v>156</v>
      </c>
      <c r="BC223" s="34" t="s">
        <v>156</v>
      </c>
      <c r="BD223" s="34" t="s">
        <v>156</v>
      </c>
      <c r="BE223" s="34" t="s">
        <v>156</v>
      </c>
      <c r="BF223" s="34" t="s">
        <v>156</v>
      </c>
      <c r="BG223" s="34" t="s">
        <v>156</v>
      </c>
      <c r="BH223" s="34" t="s">
        <v>156</v>
      </c>
      <c r="BI223" s="34" t="s">
        <v>156</v>
      </c>
      <c r="BJ223" s="34" t="s">
        <v>156</v>
      </c>
      <c r="BK223" s="34" t="s">
        <v>156</v>
      </c>
      <c r="BL223" s="34" t="s">
        <v>156</v>
      </c>
      <c r="BM223" s="34" t="s">
        <v>156</v>
      </c>
      <c r="BN223" s="34" t="s">
        <v>156</v>
      </c>
      <c r="BO223" s="34" t="s">
        <v>156</v>
      </c>
      <c r="BP223" s="34" t="s">
        <v>156</v>
      </c>
      <c r="BQ223" s="34" t="s">
        <v>156</v>
      </c>
      <c r="BR223" s="35"/>
      <c r="BS223" s="20" t="s">
        <v>157</v>
      </c>
    </row>
    <row r="224" ht="16.5" spans="1:71">
      <c r="A224" s="21" t="s">
        <v>43</v>
      </c>
      <c r="B224" s="21"/>
      <c r="C224" s="21"/>
      <c r="D224" s="37" t="s">
        <v>159</v>
      </c>
      <c r="E224" s="23">
        <v>93</v>
      </c>
      <c r="F224" s="24">
        <v>134.99</v>
      </c>
      <c r="G224" s="25">
        <f t="shared" si="250"/>
        <v>121.491</v>
      </c>
      <c r="H224" s="25">
        <f t="shared" si="251"/>
        <v>101.2425</v>
      </c>
      <c r="I224" s="25">
        <f t="shared" si="252"/>
        <v>18.2507168141593</v>
      </c>
      <c r="J224" s="26">
        <f t="shared" si="253"/>
        <v>0.196244266818917</v>
      </c>
      <c r="K224" s="27">
        <f t="shared" si="254"/>
        <v>112.491666666667</v>
      </c>
      <c r="L224" s="28">
        <f t="shared" si="255"/>
        <v>0.173272094229202</v>
      </c>
      <c r="M224" s="25">
        <f t="shared" si="256"/>
        <v>19.4916666666667</v>
      </c>
      <c r="N224" s="27">
        <f t="shared" si="257"/>
        <v>224.690265486726</v>
      </c>
      <c r="O224" s="27">
        <f t="shared" si="258"/>
        <v>4.75</v>
      </c>
      <c r="P224" s="21">
        <v>3</v>
      </c>
      <c r="Q224" s="29">
        <v>8</v>
      </c>
      <c r="R224" s="30">
        <f t="shared" si="259"/>
        <v>0.10752688172043</v>
      </c>
      <c r="S224" s="26">
        <f t="shared" si="271"/>
        <v>0.0740795614489962</v>
      </c>
      <c r="T224" s="30">
        <f t="shared" si="261"/>
        <v>0.145150537634409</v>
      </c>
      <c r="U224" s="30">
        <v>0.01</v>
      </c>
      <c r="V224" s="30">
        <f t="shared" si="262"/>
        <v>0.30200304500904</v>
      </c>
      <c r="W224" s="30">
        <f t="shared" si="263"/>
        <v>0.0510752688172043</v>
      </c>
      <c r="X224" s="31">
        <v>0.188</v>
      </c>
      <c r="Y224" s="32">
        <v>10</v>
      </c>
      <c r="Z224" s="32">
        <f>F224*0.1</f>
        <v>13.499</v>
      </c>
      <c r="AA224" s="32">
        <f t="shared" si="264"/>
        <v>0.93</v>
      </c>
      <c r="AB224" s="27">
        <f t="shared" si="265"/>
        <v>17.484</v>
      </c>
      <c r="AC224" s="27">
        <v>220</v>
      </c>
      <c r="AD224" s="33">
        <f t="shared" si="266"/>
        <v>194.690265486726</v>
      </c>
      <c r="AE224" s="29">
        <f t="shared" si="267"/>
        <v>3.75</v>
      </c>
      <c r="AF224" s="30">
        <f t="shared" si="268"/>
        <v>0.261680464363879</v>
      </c>
      <c r="AG224" s="30">
        <f t="shared" si="269"/>
        <v>0.0403225806451613</v>
      </c>
      <c r="AH224" s="29">
        <v>30</v>
      </c>
      <c r="AI224" s="30">
        <f t="shared" si="270"/>
        <v>0.254107711682347</v>
      </c>
      <c r="AJ224" s="30"/>
      <c r="AK224" s="30"/>
      <c r="AL224" s="30"/>
      <c r="AM224" s="30"/>
      <c r="AN224" s="34"/>
      <c r="AO224" s="34"/>
      <c r="AP224" s="34"/>
      <c r="AQ224" s="34"/>
      <c r="AR224" s="34"/>
      <c r="AS224" s="34"/>
      <c r="AT224" s="34" t="s">
        <v>156</v>
      </c>
      <c r="AU224" s="34" t="s">
        <v>156</v>
      </c>
      <c r="AV224" s="34" t="s">
        <v>156</v>
      </c>
      <c r="AW224" s="34" t="s">
        <v>156</v>
      </c>
      <c r="AX224" s="34" t="s">
        <v>156</v>
      </c>
      <c r="AY224" s="34" t="s">
        <v>156</v>
      </c>
      <c r="AZ224" s="34" t="s">
        <v>156</v>
      </c>
      <c r="BA224" s="34" t="s">
        <v>156</v>
      </c>
      <c r="BB224" s="34" t="s">
        <v>156</v>
      </c>
      <c r="BC224" s="34" t="s">
        <v>156</v>
      </c>
      <c r="BD224" s="34" t="s">
        <v>156</v>
      </c>
      <c r="BE224" s="34" t="s">
        <v>156</v>
      </c>
      <c r="BF224" s="34" t="s">
        <v>156</v>
      </c>
      <c r="BG224" s="34" t="s">
        <v>156</v>
      </c>
      <c r="BH224" s="34" t="s">
        <v>156</v>
      </c>
      <c r="BI224" s="34" t="s">
        <v>156</v>
      </c>
      <c r="BJ224" s="34" t="s">
        <v>156</v>
      </c>
      <c r="BK224" s="34" t="s">
        <v>156</v>
      </c>
      <c r="BL224" s="34" t="s">
        <v>156</v>
      </c>
      <c r="BM224" s="34" t="s">
        <v>156</v>
      </c>
      <c r="BN224" s="34" t="s">
        <v>156</v>
      </c>
      <c r="BO224" s="34" t="s">
        <v>156</v>
      </c>
      <c r="BP224" s="34" t="s">
        <v>156</v>
      </c>
      <c r="BQ224" s="34" t="s">
        <v>156</v>
      </c>
      <c r="BR224" s="35"/>
      <c r="BS224" s="20" t="s">
        <v>157</v>
      </c>
    </row>
    <row r="225" ht="16.5" spans="1:71">
      <c r="A225" s="21" t="s">
        <v>43</v>
      </c>
      <c r="B225" s="21"/>
      <c r="C225" s="21"/>
      <c r="D225" s="37" t="s">
        <v>160</v>
      </c>
      <c r="E225" s="23">
        <v>93</v>
      </c>
      <c r="F225" s="24">
        <v>134.99</v>
      </c>
      <c r="G225" s="25">
        <f t="shared" si="250"/>
        <v>114.7415</v>
      </c>
      <c r="H225" s="25">
        <f t="shared" si="251"/>
        <v>95.6179166666667</v>
      </c>
      <c r="I225" s="25">
        <f t="shared" si="252"/>
        <v>11.5012168141593</v>
      </c>
      <c r="J225" s="26">
        <f t="shared" si="253"/>
        <v>0.123668998001713</v>
      </c>
      <c r="K225" s="27">
        <f t="shared" si="254"/>
        <v>112.491666666667</v>
      </c>
      <c r="L225" s="28">
        <f t="shared" si="255"/>
        <v>0.173272094229202</v>
      </c>
      <c r="M225" s="25">
        <f t="shared" si="256"/>
        <v>19.4916666666667</v>
      </c>
      <c r="N225" s="27">
        <f t="shared" si="257"/>
        <v>224.690265486726</v>
      </c>
      <c r="O225" s="27">
        <f t="shared" si="258"/>
        <v>4.75</v>
      </c>
      <c r="P225" s="21">
        <v>3</v>
      </c>
      <c r="Q225" s="29">
        <v>8</v>
      </c>
      <c r="R225" s="30">
        <f t="shared" si="259"/>
        <v>0.10752688172043</v>
      </c>
      <c r="S225" s="26">
        <f t="shared" si="271"/>
        <v>0.0740795614489962</v>
      </c>
      <c r="T225" s="30">
        <f t="shared" si="261"/>
        <v>0.217725806451613</v>
      </c>
      <c r="U225" s="30">
        <v>0.01</v>
      </c>
      <c r="V225" s="30">
        <f t="shared" si="262"/>
        <v>0.30200304500904</v>
      </c>
      <c r="W225" s="30">
        <f t="shared" si="263"/>
        <v>0.0510752688172043</v>
      </c>
      <c r="X225" s="31">
        <v>0.188</v>
      </c>
      <c r="Y225" s="32">
        <v>10</v>
      </c>
      <c r="Z225" s="32">
        <f>F225*0.15</f>
        <v>20.2485</v>
      </c>
      <c r="AA225" s="32">
        <f t="shared" si="264"/>
        <v>0.93</v>
      </c>
      <c r="AB225" s="27">
        <f t="shared" si="265"/>
        <v>17.484</v>
      </c>
      <c r="AC225" s="27">
        <v>220</v>
      </c>
      <c r="AD225" s="33">
        <f t="shared" si="266"/>
        <v>194.690265486726</v>
      </c>
      <c r="AE225" s="29">
        <f t="shared" si="267"/>
        <v>3.75</v>
      </c>
      <c r="AF225" s="30">
        <f t="shared" si="268"/>
        <v>0.261680464363879</v>
      </c>
      <c r="AG225" s="30">
        <f t="shared" si="269"/>
        <v>0.0403225806451613</v>
      </c>
      <c r="AH225" s="29">
        <v>30</v>
      </c>
      <c r="AI225" s="30">
        <f t="shared" ref="AI225:AI237" si="272">(K225-E225+AB225)/(K225-Z225)</f>
        <v>0.400849927456234</v>
      </c>
      <c r="AJ225" s="30"/>
      <c r="AK225" s="30"/>
      <c r="AL225" s="30"/>
      <c r="AM225" s="30"/>
      <c r="AN225" s="34"/>
      <c r="AO225" s="34"/>
      <c r="AP225" s="34"/>
      <c r="AQ225" s="34"/>
      <c r="AR225" s="34"/>
      <c r="AS225" s="34"/>
      <c r="AT225" s="34" t="s">
        <v>156</v>
      </c>
      <c r="AU225" s="34" t="s">
        <v>156</v>
      </c>
      <c r="AV225" s="34" t="s">
        <v>156</v>
      </c>
      <c r="AW225" s="34" t="s">
        <v>156</v>
      </c>
      <c r="AX225" s="34" t="s">
        <v>156</v>
      </c>
      <c r="AY225" s="34" t="s">
        <v>156</v>
      </c>
      <c r="AZ225" s="34" t="s">
        <v>156</v>
      </c>
      <c r="BA225" s="34" t="s">
        <v>156</v>
      </c>
      <c r="BB225" s="34" t="s">
        <v>156</v>
      </c>
      <c r="BC225" s="34" t="s">
        <v>156</v>
      </c>
      <c r="BD225" s="34" t="s">
        <v>156</v>
      </c>
      <c r="BE225" s="34" t="s">
        <v>156</v>
      </c>
      <c r="BF225" s="34" t="s">
        <v>156</v>
      </c>
      <c r="BG225" s="34" t="s">
        <v>156</v>
      </c>
      <c r="BH225" s="34" t="s">
        <v>156</v>
      </c>
      <c r="BI225" s="34" t="s">
        <v>156</v>
      </c>
      <c r="BJ225" s="34" t="s">
        <v>156</v>
      </c>
      <c r="BK225" s="34" t="s">
        <v>156</v>
      </c>
      <c r="BL225" s="34" t="s">
        <v>156</v>
      </c>
      <c r="BM225" s="34" t="s">
        <v>156</v>
      </c>
      <c r="BN225" s="34" t="s">
        <v>156</v>
      </c>
      <c r="BO225" s="34" t="s">
        <v>156</v>
      </c>
      <c r="BP225" s="34" t="s">
        <v>156</v>
      </c>
      <c r="BQ225" s="34" t="s">
        <v>156</v>
      </c>
      <c r="BR225" s="35"/>
      <c r="BS225" s="20" t="s">
        <v>157</v>
      </c>
    </row>
    <row r="226" ht="16.5" spans="1:71">
      <c r="A226" s="21" t="s">
        <v>45</v>
      </c>
      <c r="B226" s="21"/>
      <c r="C226" s="21"/>
      <c r="D226" s="37" t="s">
        <v>155</v>
      </c>
      <c r="E226" s="23">
        <v>93</v>
      </c>
      <c r="F226" s="24">
        <v>134.99</v>
      </c>
      <c r="G226" s="25">
        <f t="shared" si="250"/>
        <v>134.99</v>
      </c>
      <c r="H226" s="25">
        <f t="shared" si="251"/>
        <v>112.491666666667</v>
      </c>
      <c r="I226" s="25">
        <f t="shared" si="252"/>
        <v>31.4163834808259</v>
      </c>
      <c r="J226" s="26">
        <f t="shared" si="253"/>
        <v>0.337810575062645</v>
      </c>
      <c r="K226" s="27">
        <f t="shared" si="254"/>
        <v>112.491666666667</v>
      </c>
      <c r="L226" s="28">
        <f t="shared" si="255"/>
        <v>0.173272094229202</v>
      </c>
      <c r="M226" s="25">
        <f t="shared" si="256"/>
        <v>19.4916666666667</v>
      </c>
      <c r="N226" s="27">
        <f t="shared" si="257"/>
        <v>224.690265486726</v>
      </c>
      <c r="O226" s="27">
        <f t="shared" si="258"/>
        <v>5.08333333333333</v>
      </c>
      <c r="P226" s="21">
        <v>3</v>
      </c>
      <c r="Q226" s="29">
        <v>8</v>
      </c>
      <c r="R226" s="30">
        <f t="shared" si="259"/>
        <v>0.10752688172043</v>
      </c>
      <c r="S226" s="26">
        <f t="shared" si="271"/>
        <v>0.0740795614489962</v>
      </c>
      <c r="T226" s="30">
        <f t="shared" si="261"/>
        <v>0</v>
      </c>
      <c r="U226" s="30">
        <v>0.01</v>
      </c>
      <c r="V226" s="30">
        <f t="shared" si="262"/>
        <v>0.30200304500904</v>
      </c>
      <c r="W226" s="30">
        <f t="shared" si="263"/>
        <v>0.0546594982078853</v>
      </c>
      <c r="X226" s="31">
        <v>0.188</v>
      </c>
      <c r="Y226" s="32">
        <v>10</v>
      </c>
      <c r="Z226" s="32">
        <v>0</v>
      </c>
      <c r="AA226" s="32">
        <f t="shared" si="264"/>
        <v>0.93</v>
      </c>
      <c r="AB226" s="27">
        <f t="shared" si="265"/>
        <v>17.484</v>
      </c>
      <c r="AC226" s="27">
        <v>220</v>
      </c>
      <c r="AD226" s="33">
        <f t="shared" si="266"/>
        <v>194.690265486726</v>
      </c>
      <c r="AE226" s="29">
        <f t="shared" si="267"/>
        <v>3.75</v>
      </c>
      <c r="AF226" s="30">
        <f t="shared" si="268"/>
        <v>0.261680464363879</v>
      </c>
      <c r="AG226" s="30">
        <f t="shared" si="269"/>
        <v>0.0403225806451613</v>
      </c>
      <c r="AH226" s="29">
        <v>30</v>
      </c>
      <c r="AI226" s="26">
        <f t="shared" si="272"/>
        <v>0.328696940514112</v>
      </c>
      <c r="AJ226" s="26"/>
      <c r="AK226" s="26"/>
      <c r="AL226" s="26"/>
      <c r="AM226" s="26"/>
      <c r="AN226" s="34"/>
      <c r="AO226" s="34"/>
      <c r="AP226" s="34"/>
      <c r="AQ226" s="34"/>
      <c r="AR226" s="34"/>
      <c r="AS226" s="34"/>
      <c r="AT226" s="34" t="s">
        <v>156</v>
      </c>
      <c r="AU226" s="34" t="s">
        <v>156</v>
      </c>
      <c r="AV226" s="34" t="s">
        <v>156</v>
      </c>
      <c r="AW226" s="34" t="s">
        <v>156</v>
      </c>
      <c r="AX226" s="34" t="s">
        <v>156</v>
      </c>
      <c r="AY226" s="34" t="s">
        <v>156</v>
      </c>
      <c r="AZ226" s="34" t="s">
        <v>156</v>
      </c>
      <c r="BA226" s="34" t="s">
        <v>156</v>
      </c>
      <c r="BB226" s="34" t="s">
        <v>156</v>
      </c>
      <c r="BC226" s="34" t="s">
        <v>156</v>
      </c>
      <c r="BD226" s="34" t="s">
        <v>156</v>
      </c>
      <c r="BE226" s="34" t="s">
        <v>156</v>
      </c>
      <c r="BF226" s="34" t="s">
        <v>156</v>
      </c>
      <c r="BG226" s="34" t="s">
        <v>156</v>
      </c>
      <c r="BH226" s="34" t="s">
        <v>156</v>
      </c>
      <c r="BI226" s="34" t="s">
        <v>156</v>
      </c>
      <c r="BJ226" s="34" t="s">
        <v>156</v>
      </c>
      <c r="BK226" s="34" t="s">
        <v>156</v>
      </c>
      <c r="BL226" s="34" t="s">
        <v>156</v>
      </c>
      <c r="BM226" s="34" t="s">
        <v>156</v>
      </c>
      <c r="BN226" s="34" t="s">
        <v>156</v>
      </c>
      <c r="BO226" s="34" t="s">
        <v>156</v>
      </c>
      <c r="BP226" s="34" t="s">
        <v>156</v>
      </c>
      <c r="BQ226" s="34" t="s">
        <v>156</v>
      </c>
      <c r="BR226" s="35"/>
      <c r="BS226" s="20" t="s">
        <v>157</v>
      </c>
    </row>
    <row r="227" ht="16.5" spans="1:71">
      <c r="A227" s="21" t="s">
        <v>45</v>
      </c>
      <c r="B227" s="21"/>
      <c r="C227" s="21"/>
      <c r="D227" s="37" t="s">
        <v>158</v>
      </c>
      <c r="E227" s="23">
        <v>93</v>
      </c>
      <c r="F227" s="24">
        <v>134.99</v>
      </c>
      <c r="G227" s="25">
        <f t="shared" si="250"/>
        <v>128.2405</v>
      </c>
      <c r="H227" s="25">
        <f t="shared" si="251"/>
        <v>106.867083333333</v>
      </c>
      <c r="I227" s="25">
        <f t="shared" si="252"/>
        <v>24.6668834808259</v>
      </c>
      <c r="J227" s="26">
        <f t="shared" si="253"/>
        <v>0.26523530624544</v>
      </c>
      <c r="K227" s="27">
        <f t="shared" si="254"/>
        <v>112.491666666667</v>
      </c>
      <c r="L227" s="28">
        <f t="shared" si="255"/>
        <v>0.173272094229202</v>
      </c>
      <c r="M227" s="25">
        <f t="shared" si="256"/>
        <v>19.4916666666667</v>
      </c>
      <c r="N227" s="27">
        <f t="shared" si="257"/>
        <v>224.690265486726</v>
      </c>
      <c r="O227" s="27">
        <f t="shared" si="258"/>
        <v>5.08333333333333</v>
      </c>
      <c r="P227" s="21">
        <v>3</v>
      </c>
      <c r="Q227" s="29">
        <v>8</v>
      </c>
      <c r="R227" s="30">
        <f t="shared" si="259"/>
        <v>0.10752688172043</v>
      </c>
      <c r="S227" s="26">
        <f t="shared" si="271"/>
        <v>0.0740795614489962</v>
      </c>
      <c r="T227" s="30">
        <f t="shared" si="261"/>
        <v>0.0725752688172043</v>
      </c>
      <c r="U227" s="30">
        <v>0.01</v>
      </c>
      <c r="V227" s="30">
        <f t="shared" si="262"/>
        <v>0.30200304500904</v>
      </c>
      <c r="W227" s="30">
        <f t="shared" si="263"/>
        <v>0.0546594982078853</v>
      </c>
      <c r="X227" s="31">
        <v>0.188</v>
      </c>
      <c r="Y227" s="32">
        <v>10</v>
      </c>
      <c r="Z227" s="32">
        <f>F227*0.05</f>
        <v>6.7495</v>
      </c>
      <c r="AA227" s="32">
        <f t="shared" si="264"/>
        <v>0.93</v>
      </c>
      <c r="AB227" s="27">
        <f t="shared" si="265"/>
        <v>17.484</v>
      </c>
      <c r="AC227" s="27">
        <v>220</v>
      </c>
      <c r="AD227" s="33">
        <f t="shared" si="266"/>
        <v>194.690265486726</v>
      </c>
      <c r="AE227" s="29">
        <f t="shared" si="267"/>
        <v>3.75</v>
      </c>
      <c r="AF227" s="30">
        <f t="shared" si="268"/>
        <v>0.261680464363879</v>
      </c>
      <c r="AG227" s="30">
        <f t="shared" si="269"/>
        <v>0.0403225806451613</v>
      </c>
      <c r="AH227" s="29">
        <v>30</v>
      </c>
      <c r="AI227" s="26">
        <f t="shared" si="272"/>
        <v>0.349677596291609</v>
      </c>
      <c r="AJ227" s="26"/>
      <c r="AK227" s="26"/>
      <c r="AL227" s="26"/>
      <c r="AM227" s="26"/>
      <c r="AN227" s="34"/>
      <c r="AO227" s="34"/>
      <c r="AP227" s="34"/>
      <c r="AQ227" s="34"/>
      <c r="AR227" s="34"/>
      <c r="AS227" s="34"/>
      <c r="AT227" s="34" t="s">
        <v>156</v>
      </c>
      <c r="AU227" s="34" t="s">
        <v>156</v>
      </c>
      <c r="AV227" s="34" t="s">
        <v>156</v>
      </c>
      <c r="AW227" s="34" t="s">
        <v>156</v>
      </c>
      <c r="AX227" s="34" t="s">
        <v>156</v>
      </c>
      <c r="AY227" s="34" t="s">
        <v>156</v>
      </c>
      <c r="AZ227" s="34" t="s">
        <v>156</v>
      </c>
      <c r="BA227" s="34" t="s">
        <v>156</v>
      </c>
      <c r="BB227" s="34" t="s">
        <v>156</v>
      </c>
      <c r="BC227" s="34" t="s">
        <v>156</v>
      </c>
      <c r="BD227" s="34" t="s">
        <v>156</v>
      </c>
      <c r="BE227" s="34" t="s">
        <v>156</v>
      </c>
      <c r="BF227" s="34" t="s">
        <v>156</v>
      </c>
      <c r="BG227" s="34" t="s">
        <v>156</v>
      </c>
      <c r="BH227" s="34" t="s">
        <v>156</v>
      </c>
      <c r="BI227" s="34" t="s">
        <v>156</v>
      </c>
      <c r="BJ227" s="34" t="s">
        <v>156</v>
      </c>
      <c r="BK227" s="34" t="s">
        <v>156</v>
      </c>
      <c r="BL227" s="34" t="s">
        <v>156</v>
      </c>
      <c r="BM227" s="34" t="s">
        <v>156</v>
      </c>
      <c r="BN227" s="34" t="s">
        <v>156</v>
      </c>
      <c r="BO227" s="34" t="s">
        <v>156</v>
      </c>
      <c r="BP227" s="34" t="s">
        <v>156</v>
      </c>
      <c r="BQ227" s="34" t="s">
        <v>156</v>
      </c>
      <c r="BR227" s="35"/>
      <c r="BS227" s="20" t="s">
        <v>157</v>
      </c>
    </row>
    <row r="228" ht="16.5" spans="1:71">
      <c r="A228" s="21" t="s">
        <v>45</v>
      </c>
      <c r="B228" s="21"/>
      <c r="C228" s="21"/>
      <c r="D228" s="37" t="s">
        <v>159</v>
      </c>
      <c r="E228" s="23">
        <v>93</v>
      </c>
      <c r="F228" s="24">
        <v>134.99</v>
      </c>
      <c r="G228" s="25">
        <f t="shared" si="250"/>
        <v>121.491</v>
      </c>
      <c r="H228" s="25">
        <f t="shared" si="251"/>
        <v>101.2425</v>
      </c>
      <c r="I228" s="25">
        <f t="shared" si="252"/>
        <v>17.9173834808259</v>
      </c>
      <c r="J228" s="26">
        <f t="shared" si="253"/>
        <v>0.192660037428236</v>
      </c>
      <c r="K228" s="27">
        <f t="shared" si="254"/>
        <v>112.491666666667</v>
      </c>
      <c r="L228" s="28">
        <f t="shared" si="255"/>
        <v>0.173272094229202</v>
      </c>
      <c r="M228" s="25">
        <f t="shared" si="256"/>
        <v>19.4916666666667</v>
      </c>
      <c r="N228" s="27">
        <f t="shared" si="257"/>
        <v>224.690265486726</v>
      </c>
      <c r="O228" s="27">
        <f t="shared" si="258"/>
        <v>5.08333333333333</v>
      </c>
      <c r="P228" s="21">
        <v>3</v>
      </c>
      <c r="Q228" s="29">
        <v>8</v>
      </c>
      <c r="R228" s="30">
        <f t="shared" si="259"/>
        <v>0.10752688172043</v>
      </c>
      <c r="S228" s="26">
        <f t="shared" si="271"/>
        <v>0.0740795614489962</v>
      </c>
      <c r="T228" s="30">
        <f t="shared" si="261"/>
        <v>0.145150537634409</v>
      </c>
      <c r="U228" s="30">
        <v>0.01</v>
      </c>
      <c r="V228" s="30">
        <f t="shared" si="262"/>
        <v>0.30200304500904</v>
      </c>
      <c r="W228" s="30">
        <f t="shared" si="263"/>
        <v>0.0546594982078853</v>
      </c>
      <c r="X228" s="31">
        <v>0.188</v>
      </c>
      <c r="Y228" s="32">
        <v>10</v>
      </c>
      <c r="Z228" s="32">
        <f>F228*0.1</f>
        <v>13.499</v>
      </c>
      <c r="AA228" s="32">
        <f t="shared" si="264"/>
        <v>0.93</v>
      </c>
      <c r="AB228" s="27">
        <f t="shared" si="265"/>
        <v>17.484</v>
      </c>
      <c r="AC228" s="27">
        <v>220</v>
      </c>
      <c r="AD228" s="33">
        <f t="shared" si="266"/>
        <v>194.690265486726</v>
      </c>
      <c r="AE228" s="29">
        <f t="shared" si="267"/>
        <v>3.75</v>
      </c>
      <c r="AF228" s="30">
        <f t="shared" si="268"/>
        <v>0.261680464363879</v>
      </c>
      <c r="AG228" s="30">
        <f t="shared" si="269"/>
        <v>0.0403225806451613</v>
      </c>
      <c r="AH228" s="29">
        <v>30</v>
      </c>
      <c r="AI228" s="26">
        <f t="shared" si="272"/>
        <v>0.373519250584218</v>
      </c>
      <c r="AJ228" s="26"/>
      <c r="AK228" s="26"/>
      <c r="AL228" s="26"/>
      <c r="AM228" s="26"/>
      <c r="AN228" s="34"/>
      <c r="AO228" s="34"/>
      <c r="AP228" s="34"/>
      <c r="AQ228" s="34"/>
      <c r="AR228" s="34"/>
      <c r="AS228" s="34"/>
      <c r="AT228" s="34" t="s">
        <v>156</v>
      </c>
      <c r="AU228" s="34" t="s">
        <v>156</v>
      </c>
      <c r="AV228" s="34" t="s">
        <v>156</v>
      </c>
      <c r="AW228" s="34" t="s">
        <v>156</v>
      </c>
      <c r="AX228" s="34" t="s">
        <v>156</v>
      </c>
      <c r="AY228" s="34" t="s">
        <v>156</v>
      </c>
      <c r="AZ228" s="34" t="s">
        <v>156</v>
      </c>
      <c r="BA228" s="34" t="s">
        <v>156</v>
      </c>
      <c r="BB228" s="34" t="s">
        <v>156</v>
      </c>
      <c r="BC228" s="34" t="s">
        <v>156</v>
      </c>
      <c r="BD228" s="34" t="s">
        <v>156</v>
      </c>
      <c r="BE228" s="34" t="s">
        <v>156</v>
      </c>
      <c r="BF228" s="34" t="s">
        <v>156</v>
      </c>
      <c r="BG228" s="34" t="s">
        <v>156</v>
      </c>
      <c r="BH228" s="34" t="s">
        <v>156</v>
      </c>
      <c r="BI228" s="34" t="s">
        <v>156</v>
      </c>
      <c r="BJ228" s="34" t="s">
        <v>156</v>
      </c>
      <c r="BK228" s="34" t="s">
        <v>156</v>
      </c>
      <c r="BL228" s="34" t="s">
        <v>156</v>
      </c>
      <c r="BM228" s="34" t="s">
        <v>156</v>
      </c>
      <c r="BN228" s="34" t="s">
        <v>156</v>
      </c>
      <c r="BO228" s="34" t="s">
        <v>156</v>
      </c>
      <c r="BP228" s="34" t="s">
        <v>156</v>
      </c>
      <c r="BQ228" s="34" t="s">
        <v>156</v>
      </c>
      <c r="BR228" s="35"/>
      <c r="BS228" s="20" t="s">
        <v>157</v>
      </c>
    </row>
    <row r="229" ht="16.5" spans="1:71">
      <c r="A229" s="21" t="s">
        <v>45</v>
      </c>
      <c r="B229" s="21"/>
      <c r="C229" s="21"/>
      <c r="D229" s="37" t="s">
        <v>160</v>
      </c>
      <c r="E229" s="23">
        <v>93</v>
      </c>
      <c r="F229" s="24">
        <v>134.99</v>
      </c>
      <c r="G229" s="25">
        <f t="shared" si="250"/>
        <v>114.7415</v>
      </c>
      <c r="H229" s="25">
        <f t="shared" si="251"/>
        <v>95.6179166666667</v>
      </c>
      <c r="I229" s="25">
        <f t="shared" si="252"/>
        <v>11.1678834808259</v>
      </c>
      <c r="J229" s="26">
        <f t="shared" si="253"/>
        <v>0.120084768611032</v>
      </c>
      <c r="K229" s="27">
        <f t="shared" si="254"/>
        <v>112.491666666667</v>
      </c>
      <c r="L229" s="28">
        <f t="shared" si="255"/>
        <v>0.173272094229202</v>
      </c>
      <c r="M229" s="25">
        <f t="shared" si="256"/>
        <v>19.4916666666667</v>
      </c>
      <c r="N229" s="27">
        <f t="shared" si="257"/>
        <v>224.690265486726</v>
      </c>
      <c r="O229" s="27">
        <f t="shared" si="258"/>
        <v>5.08333333333333</v>
      </c>
      <c r="P229" s="21">
        <v>3</v>
      </c>
      <c r="Q229" s="29">
        <v>8</v>
      </c>
      <c r="R229" s="30">
        <f t="shared" si="259"/>
        <v>0.10752688172043</v>
      </c>
      <c r="S229" s="26">
        <f t="shared" si="271"/>
        <v>0.0740795614489962</v>
      </c>
      <c r="T229" s="30">
        <f t="shared" si="261"/>
        <v>0.217725806451613</v>
      </c>
      <c r="U229" s="30">
        <v>0.01</v>
      </c>
      <c r="V229" s="30">
        <f t="shared" si="262"/>
        <v>0.30200304500904</v>
      </c>
      <c r="W229" s="30">
        <f t="shared" si="263"/>
        <v>0.0546594982078853</v>
      </c>
      <c r="X229" s="31">
        <v>0.188</v>
      </c>
      <c r="Y229" s="32">
        <v>10</v>
      </c>
      <c r="Z229" s="32">
        <f>F229*0.15</f>
        <v>20.2485</v>
      </c>
      <c r="AA229" s="32">
        <f t="shared" si="264"/>
        <v>0.93</v>
      </c>
      <c r="AB229" s="27">
        <f t="shared" si="265"/>
        <v>17.484</v>
      </c>
      <c r="AC229" s="27">
        <v>220</v>
      </c>
      <c r="AD229" s="33">
        <f t="shared" si="266"/>
        <v>194.690265486726</v>
      </c>
      <c r="AE229" s="29">
        <f t="shared" si="267"/>
        <v>3.75</v>
      </c>
      <c r="AF229" s="30">
        <f t="shared" si="268"/>
        <v>0.261680464363879</v>
      </c>
      <c r="AG229" s="30">
        <f t="shared" si="269"/>
        <v>0.0403225806451613</v>
      </c>
      <c r="AH229" s="29">
        <v>30</v>
      </c>
      <c r="AI229" s="26">
        <f t="shared" si="272"/>
        <v>0.400849927456234</v>
      </c>
      <c r="AJ229" s="26"/>
      <c r="AK229" s="26"/>
      <c r="AL229" s="26"/>
      <c r="AM229" s="26"/>
      <c r="AN229" s="34"/>
      <c r="AO229" s="34"/>
      <c r="AP229" s="34"/>
      <c r="AQ229" s="34"/>
      <c r="AR229" s="34"/>
      <c r="AS229" s="34"/>
      <c r="AT229" s="34" t="s">
        <v>156</v>
      </c>
      <c r="AU229" s="34" t="s">
        <v>156</v>
      </c>
      <c r="AV229" s="34" t="s">
        <v>156</v>
      </c>
      <c r="AW229" s="34" t="s">
        <v>156</v>
      </c>
      <c r="AX229" s="34" t="s">
        <v>156</v>
      </c>
      <c r="AY229" s="34" t="s">
        <v>156</v>
      </c>
      <c r="AZ229" s="34" t="s">
        <v>156</v>
      </c>
      <c r="BA229" s="34" t="s">
        <v>156</v>
      </c>
      <c r="BB229" s="34" t="s">
        <v>156</v>
      </c>
      <c r="BC229" s="34" t="s">
        <v>156</v>
      </c>
      <c r="BD229" s="34" t="s">
        <v>156</v>
      </c>
      <c r="BE229" s="34" t="s">
        <v>156</v>
      </c>
      <c r="BF229" s="34" t="s">
        <v>156</v>
      </c>
      <c r="BG229" s="34" t="s">
        <v>156</v>
      </c>
      <c r="BH229" s="34" t="s">
        <v>156</v>
      </c>
      <c r="BI229" s="34" t="s">
        <v>156</v>
      </c>
      <c r="BJ229" s="34" t="s">
        <v>156</v>
      </c>
      <c r="BK229" s="34" t="s">
        <v>156</v>
      </c>
      <c r="BL229" s="34" t="s">
        <v>156</v>
      </c>
      <c r="BM229" s="34" t="s">
        <v>156</v>
      </c>
      <c r="BN229" s="34" t="s">
        <v>156</v>
      </c>
      <c r="BO229" s="34" t="s">
        <v>156</v>
      </c>
      <c r="BP229" s="34" t="s">
        <v>156</v>
      </c>
      <c r="BQ229" s="34" t="s">
        <v>156</v>
      </c>
      <c r="BR229" s="35"/>
      <c r="BS229" s="20" t="s">
        <v>157</v>
      </c>
    </row>
    <row r="230" ht="16.5" spans="1:71">
      <c r="A230" s="21" t="s">
        <v>48</v>
      </c>
      <c r="B230" s="21"/>
      <c r="C230" s="21"/>
      <c r="D230" s="37" t="s">
        <v>155</v>
      </c>
      <c r="E230" s="23">
        <v>93</v>
      </c>
      <c r="F230" s="24">
        <v>134.99</v>
      </c>
      <c r="G230" s="25">
        <f t="shared" si="250"/>
        <v>134.99</v>
      </c>
      <c r="H230" s="25">
        <f t="shared" si="251"/>
        <v>112.491666666667</v>
      </c>
      <c r="I230" s="25">
        <f t="shared" si="252"/>
        <v>30.0830501474926</v>
      </c>
      <c r="J230" s="26">
        <f t="shared" si="253"/>
        <v>0.323473657499921</v>
      </c>
      <c r="K230" s="27">
        <f t="shared" si="254"/>
        <v>112.491666666667</v>
      </c>
      <c r="L230" s="28">
        <f t="shared" si="255"/>
        <v>0.173272094229202</v>
      </c>
      <c r="M230" s="25">
        <f t="shared" si="256"/>
        <v>19.4916666666667</v>
      </c>
      <c r="N230" s="27">
        <f t="shared" si="257"/>
        <v>224.690265486726</v>
      </c>
      <c r="O230" s="27">
        <f t="shared" si="258"/>
        <v>6.41666666666667</v>
      </c>
      <c r="P230" s="21">
        <v>3</v>
      </c>
      <c r="Q230" s="29">
        <v>8</v>
      </c>
      <c r="R230" s="30">
        <f t="shared" si="259"/>
        <v>0.10752688172043</v>
      </c>
      <c r="S230" s="26">
        <f t="shared" si="271"/>
        <v>0.0740795614489962</v>
      </c>
      <c r="T230" s="30">
        <f t="shared" si="261"/>
        <v>0</v>
      </c>
      <c r="U230" s="30">
        <v>0.01</v>
      </c>
      <c r="V230" s="30">
        <f t="shared" si="262"/>
        <v>0.30200304500904</v>
      </c>
      <c r="W230" s="30">
        <f t="shared" si="263"/>
        <v>0.0689964157706093</v>
      </c>
      <c r="X230" s="31">
        <v>0.188</v>
      </c>
      <c r="Y230" s="32">
        <v>10</v>
      </c>
      <c r="Z230" s="32">
        <v>0</v>
      </c>
      <c r="AA230" s="32">
        <f t="shared" si="264"/>
        <v>0.93</v>
      </c>
      <c r="AB230" s="27">
        <f t="shared" si="265"/>
        <v>17.484</v>
      </c>
      <c r="AC230" s="27">
        <v>220</v>
      </c>
      <c r="AD230" s="33">
        <f t="shared" si="266"/>
        <v>194.690265486726</v>
      </c>
      <c r="AE230" s="29">
        <f t="shared" si="267"/>
        <v>3.75</v>
      </c>
      <c r="AF230" s="30">
        <f t="shared" si="268"/>
        <v>0.261680464363879</v>
      </c>
      <c r="AG230" s="30">
        <f t="shared" si="269"/>
        <v>0.0403225806451613</v>
      </c>
      <c r="AH230" s="29">
        <v>30</v>
      </c>
      <c r="AI230" s="30">
        <f t="shared" si="272"/>
        <v>0.328696940514112</v>
      </c>
      <c r="AJ230" s="30"/>
      <c r="AK230" s="30"/>
      <c r="AL230" s="30"/>
      <c r="AM230" s="30"/>
      <c r="AN230" s="34"/>
      <c r="AO230" s="34"/>
      <c r="AP230" s="34"/>
      <c r="AQ230" s="34"/>
      <c r="AR230" s="34"/>
      <c r="AS230" s="34"/>
      <c r="AT230" s="34" t="s">
        <v>156</v>
      </c>
      <c r="AU230" s="34" t="s">
        <v>156</v>
      </c>
      <c r="AV230" s="34" t="s">
        <v>156</v>
      </c>
      <c r="AW230" s="34" t="s">
        <v>156</v>
      </c>
      <c r="AX230" s="34" t="s">
        <v>156</v>
      </c>
      <c r="AY230" s="34" t="s">
        <v>156</v>
      </c>
      <c r="AZ230" s="34" t="s">
        <v>156</v>
      </c>
      <c r="BA230" s="34" t="s">
        <v>156</v>
      </c>
      <c r="BB230" s="34" t="s">
        <v>156</v>
      </c>
      <c r="BC230" s="34" t="s">
        <v>156</v>
      </c>
      <c r="BD230" s="34" t="s">
        <v>156</v>
      </c>
      <c r="BE230" s="34" t="s">
        <v>156</v>
      </c>
      <c r="BF230" s="34" t="s">
        <v>156</v>
      </c>
      <c r="BG230" s="34" t="s">
        <v>156</v>
      </c>
      <c r="BH230" s="34" t="s">
        <v>156</v>
      </c>
      <c r="BI230" s="34" t="s">
        <v>156</v>
      </c>
      <c r="BJ230" s="34" t="s">
        <v>156</v>
      </c>
      <c r="BK230" s="34" t="s">
        <v>156</v>
      </c>
      <c r="BL230" s="34" t="s">
        <v>156</v>
      </c>
      <c r="BM230" s="34" t="s">
        <v>156</v>
      </c>
      <c r="BN230" s="34" t="s">
        <v>156</v>
      </c>
      <c r="BO230" s="34" t="s">
        <v>156</v>
      </c>
      <c r="BP230" s="34" t="s">
        <v>156</v>
      </c>
      <c r="BQ230" s="34" t="s">
        <v>156</v>
      </c>
      <c r="BR230" s="35"/>
      <c r="BS230" s="20" t="s">
        <v>157</v>
      </c>
    </row>
    <row r="231" ht="16.5" spans="1:71">
      <c r="A231" s="21" t="s">
        <v>48</v>
      </c>
      <c r="B231" s="21"/>
      <c r="C231" s="21"/>
      <c r="D231" s="37" t="s">
        <v>158</v>
      </c>
      <c r="E231" s="23">
        <v>93</v>
      </c>
      <c r="F231" s="24">
        <v>134.99</v>
      </c>
      <c r="G231" s="25">
        <f t="shared" si="250"/>
        <v>128.2405</v>
      </c>
      <c r="H231" s="25">
        <f t="shared" si="251"/>
        <v>106.867083333333</v>
      </c>
      <c r="I231" s="25">
        <f t="shared" si="252"/>
        <v>23.3335501474926</v>
      </c>
      <c r="J231" s="26">
        <f t="shared" si="253"/>
        <v>0.250898388682716</v>
      </c>
      <c r="K231" s="27">
        <f t="shared" si="254"/>
        <v>112.491666666667</v>
      </c>
      <c r="L231" s="28">
        <f t="shared" si="255"/>
        <v>0.173272094229202</v>
      </c>
      <c r="M231" s="25">
        <f t="shared" si="256"/>
        <v>19.4916666666667</v>
      </c>
      <c r="N231" s="27">
        <f t="shared" si="257"/>
        <v>224.690265486726</v>
      </c>
      <c r="O231" s="27">
        <f t="shared" si="258"/>
        <v>6.41666666666667</v>
      </c>
      <c r="P231" s="21">
        <v>3</v>
      </c>
      <c r="Q231" s="29">
        <v>8</v>
      </c>
      <c r="R231" s="30">
        <f t="shared" si="259"/>
        <v>0.10752688172043</v>
      </c>
      <c r="S231" s="26">
        <f t="shared" si="271"/>
        <v>0.0740795614489962</v>
      </c>
      <c r="T231" s="30">
        <f t="shared" si="261"/>
        <v>0.0725752688172043</v>
      </c>
      <c r="U231" s="30">
        <v>0.01</v>
      </c>
      <c r="V231" s="30">
        <f t="shared" si="262"/>
        <v>0.30200304500904</v>
      </c>
      <c r="W231" s="30">
        <f t="shared" si="263"/>
        <v>0.0689964157706093</v>
      </c>
      <c r="X231" s="31">
        <v>0.188</v>
      </c>
      <c r="Y231" s="32">
        <v>10</v>
      </c>
      <c r="Z231" s="32">
        <f>F231*0.05</f>
        <v>6.7495</v>
      </c>
      <c r="AA231" s="32">
        <f t="shared" si="264"/>
        <v>0.93</v>
      </c>
      <c r="AB231" s="27">
        <f t="shared" si="265"/>
        <v>17.484</v>
      </c>
      <c r="AC231" s="27">
        <v>220</v>
      </c>
      <c r="AD231" s="33">
        <f t="shared" si="266"/>
        <v>194.690265486726</v>
      </c>
      <c r="AE231" s="29">
        <f t="shared" si="267"/>
        <v>3.75</v>
      </c>
      <c r="AF231" s="30">
        <f t="shared" si="268"/>
        <v>0.261680464363879</v>
      </c>
      <c r="AG231" s="30">
        <f t="shared" si="269"/>
        <v>0.0403225806451613</v>
      </c>
      <c r="AH231" s="29">
        <v>30</v>
      </c>
      <c r="AI231" s="30">
        <f t="shared" si="272"/>
        <v>0.349677596291609</v>
      </c>
      <c r="AJ231" s="30"/>
      <c r="AK231" s="30"/>
      <c r="AL231" s="30"/>
      <c r="AM231" s="30"/>
      <c r="AN231" s="34"/>
      <c r="AO231" s="34"/>
      <c r="AP231" s="34"/>
      <c r="AQ231" s="34"/>
      <c r="AR231" s="34"/>
      <c r="AS231" s="34"/>
      <c r="AT231" s="34" t="s">
        <v>156</v>
      </c>
      <c r="AU231" s="34" t="s">
        <v>156</v>
      </c>
      <c r="AV231" s="34" t="s">
        <v>156</v>
      </c>
      <c r="AW231" s="34" t="s">
        <v>156</v>
      </c>
      <c r="AX231" s="34" t="s">
        <v>156</v>
      </c>
      <c r="AY231" s="34" t="s">
        <v>156</v>
      </c>
      <c r="AZ231" s="34" t="s">
        <v>156</v>
      </c>
      <c r="BA231" s="34" t="s">
        <v>156</v>
      </c>
      <c r="BB231" s="34" t="s">
        <v>156</v>
      </c>
      <c r="BC231" s="34" t="s">
        <v>156</v>
      </c>
      <c r="BD231" s="34" t="s">
        <v>156</v>
      </c>
      <c r="BE231" s="34" t="s">
        <v>156</v>
      </c>
      <c r="BF231" s="34" t="s">
        <v>156</v>
      </c>
      <c r="BG231" s="34" t="s">
        <v>156</v>
      </c>
      <c r="BH231" s="34" t="s">
        <v>156</v>
      </c>
      <c r="BI231" s="34" t="s">
        <v>156</v>
      </c>
      <c r="BJ231" s="34" t="s">
        <v>156</v>
      </c>
      <c r="BK231" s="34" t="s">
        <v>156</v>
      </c>
      <c r="BL231" s="34" t="s">
        <v>156</v>
      </c>
      <c r="BM231" s="34" t="s">
        <v>156</v>
      </c>
      <c r="BN231" s="34" t="s">
        <v>156</v>
      </c>
      <c r="BO231" s="34" t="s">
        <v>156</v>
      </c>
      <c r="BP231" s="34" t="s">
        <v>156</v>
      </c>
      <c r="BQ231" s="34" t="s">
        <v>156</v>
      </c>
      <c r="BR231" s="35"/>
      <c r="BS231" s="20" t="s">
        <v>157</v>
      </c>
    </row>
    <row r="232" ht="16.5" spans="1:71">
      <c r="A232" s="21" t="s">
        <v>48</v>
      </c>
      <c r="B232" s="21"/>
      <c r="C232" s="21"/>
      <c r="D232" s="37" t="s">
        <v>159</v>
      </c>
      <c r="E232" s="23">
        <v>93</v>
      </c>
      <c r="F232" s="24">
        <v>134.99</v>
      </c>
      <c r="G232" s="25">
        <f t="shared" si="250"/>
        <v>121.491</v>
      </c>
      <c r="H232" s="25">
        <f t="shared" si="251"/>
        <v>101.2425</v>
      </c>
      <c r="I232" s="25">
        <f t="shared" si="252"/>
        <v>16.5840501474926</v>
      </c>
      <c r="J232" s="26">
        <f t="shared" si="253"/>
        <v>0.178323119865512</v>
      </c>
      <c r="K232" s="27">
        <f t="shared" si="254"/>
        <v>112.491666666667</v>
      </c>
      <c r="L232" s="28">
        <f t="shared" si="255"/>
        <v>0.173272094229202</v>
      </c>
      <c r="M232" s="25">
        <f t="shared" si="256"/>
        <v>19.4916666666667</v>
      </c>
      <c r="N232" s="27">
        <f t="shared" si="257"/>
        <v>224.690265486726</v>
      </c>
      <c r="O232" s="27">
        <f t="shared" si="258"/>
        <v>6.41666666666667</v>
      </c>
      <c r="P232" s="21">
        <v>3</v>
      </c>
      <c r="Q232" s="29">
        <v>8</v>
      </c>
      <c r="R232" s="30">
        <f t="shared" si="259"/>
        <v>0.10752688172043</v>
      </c>
      <c r="S232" s="26">
        <f t="shared" si="271"/>
        <v>0.0740795614489962</v>
      </c>
      <c r="T232" s="30">
        <f t="shared" si="261"/>
        <v>0.145150537634409</v>
      </c>
      <c r="U232" s="30">
        <v>0.01</v>
      </c>
      <c r="V232" s="30">
        <f t="shared" si="262"/>
        <v>0.30200304500904</v>
      </c>
      <c r="W232" s="30">
        <f t="shared" si="263"/>
        <v>0.0689964157706093</v>
      </c>
      <c r="X232" s="31">
        <v>0.188</v>
      </c>
      <c r="Y232" s="32">
        <v>10</v>
      </c>
      <c r="Z232" s="32">
        <f>F232*0.1</f>
        <v>13.499</v>
      </c>
      <c r="AA232" s="32">
        <f t="shared" si="264"/>
        <v>0.93</v>
      </c>
      <c r="AB232" s="27">
        <f t="shared" si="265"/>
        <v>17.484</v>
      </c>
      <c r="AC232" s="27">
        <v>220</v>
      </c>
      <c r="AD232" s="33">
        <f t="shared" si="266"/>
        <v>194.690265486726</v>
      </c>
      <c r="AE232" s="29">
        <f t="shared" si="267"/>
        <v>3.75</v>
      </c>
      <c r="AF232" s="30">
        <f t="shared" si="268"/>
        <v>0.261680464363879</v>
      </c>
      <c r="AG232" s="30">
        <f t="shared" si="269"/>
        <v>0.0403225806451613</v>
      </c>
      <c r="AH232" s="29">
        <v>30</v>
      </c>
      <c r="AI232" s="30">
        <f t="shared" si="272"/>
        <v>0.373519250584218</v>
      </c>
      <c r="AJ232" s="30"/>
      <c r="AK232" s="30"/>
      <c r="AL232" s="30"/>
      <c r="AM232" s="30"/>
      <c r="AN232" s="34"/>
      <c r="AO232" s="34"/>
      <c r="AP232" s="34"/>
      <c r="AQ232" s="34"/>
      <c r="AR232" s="34"/>
      <c r="AS232" s="34"/>
      <c r="AT232" s="34" t="s">
        <v>156</v>
      </c>
      <c r="AU232" s="34" t="s">
        <v>156</v>
      </c>
      <c r="AV232" s="34" t="s">
        <v>156</v>
      </c>
      <c r="AW232" s="34" t="s">
        <v>156</v>
      </c>
      <c r="AX232" s="34" t="s">
        <v>156</v>
      </c>
      <c r="AY232" s="34" t="s">
        <v>156</v>
      </c>
      <c r="AZ232" s="34" t="s">
        <v>156</v>
      </c>
      <c r="BA232" s="34" t="s">
        <v>156</v>
      </c>
      <c r="BB232" s="34" t="s">
        <v>156</v>
      </c>
      <c r="BC232" s="34" t="s">
        <v>156</v>
      </c>
      <c r="BD232" s="34" t="s">
        <v>156</v>
      </c>
      <c r="BE232" s="34" t="s">
        <v>156</v>
      </c>
      <c r="BF232" s="34" t="s">
        <v>156</v>
      </c>
      <c r="BG232" s="34" t="s">
        <v>156</v>
      </c>
      <c r="BH232" s="34" t="s">
        <v>156</v>
      </c>
      <c r="BI232" s="34" t="s">
        <v>156</v>
      </c>
      <c r="BJ232" s="34" t="s">
        <v>156</v>
      </c>
      <c r="BK232" s="34" t="s">
        <v>156</v>
      </c>
      <c r="BL232" s="34" t="s">
        <v>156</v>
      </c>
      <c r="BM232" s="34" t="s">
        <v>156</v>
      </c>
      <c r="BN232" s="34" t="s">
        <v>156</v>
      </c>
      <c r="BO232" s="34" t="s">
        <v>156</v>
      </c>
      <c r="BP232" s="34" t="s">
        <v>156</v>
      </c>
      <c r="BQ232" s="34" t="s">
        <v>156</v>
      </c>
      <c r="BR232" s="35"/>
      <c r="BS232" s="20" t="s">
        <v>157</v>
      </c>
    </row>
    <row r="233" ht="16.5" spans="1:71">
      <c r="A233" s="21" t="s">
        <v>48</v>
      </c>
      <c r="B233" s="21"/>
      <c r="C233" s="21"/>
      <c r="D233" s="37" t="s">
        <v>160</v>
      </c>
      <c r="E233" s="23">
        <v>93</v>
      </c>
      <c r="F233" s="24">
        <v>134.99</v>
      </c>
      <c r="G233" s="25">
        <f t="shared" si="250"/>
        <v>114.7415</v>
      </c>
      <c r="H233" s="25">
        <f t="shared" si="251"/>
        <v>95.6179166666667</v>
      </c>
      <c r="I233" s="25">
        <f t="shared" si="252"/>
        <v>9.83455014749262</v>
      </c>
      <c r="J233" s="26">
        <f t="shared" si="253"/>
        <v>0.105747851048308</v>
      </c>
      <c r="K233" s="27">
        <f t="shared" si="254"/>
        <v>112.491666666667</v>
      </c>
      <c r="L233" s="28">
        <f t="shared" si="255"/>
        <v>0.173272094229202</v>
      </c>
      <c r="M233" s="25">
        <f t="shared" si="256"/>
        <v>19.4916666666667</v>
      </c>
      <c r="N233" s="27">
        <f t="shared" si="257"/>
        <v>224.690265486726</v>
      </c>
      <c r="O233" s="27">
        <f t="shared" si="258"/>
        <v>6.41666666666667</v>
      </c>
      <c r="P233" s="21">
        <v>3</v>
      </c>
      <c r="Q233" s="29">
        <v>8</v>
      </c>
      <c r="R233" s="30">
        <f t="shared" si="259"/>
        <v>0.10752688172043</v>
      </c>
      <c r="S233" s="26">
        <f t="shared" si="271"/>
        <v>0.0740795614489962</v>
      </c>
      <c r="T233" s="30">
        <f t="shared" si="261"/>
        <v>0.217725806451613</v>
      </c>
      <c r="U233" s="30">
        <v>0.01</v>
      </c>
      <c r="V233" s="30">
        <f t="shared" si="262"/>
        <v>0.30200304500904</v>
      </c>
      <c r="W233" s="30">
        <f t="shared" si="263"/>
        <v>0.0689964157706093</v>
      </c>
      <c r="X233" s="31">
        <v>0.188</v>
      </c>
      <c r="Y233" s="32">
        <v>10</v>
      </c>
      <c r="Z233" s="32">
        <f>F233*0.15</f>
        <v>20.2485</v>
      </c>
      <c r="AA233" s="32">
        <f t="shared" si="264"/>
        <v>0.93</v>
      </c>
      <c r="AB233" s="27">
        <f t="shared" si="265"/>
        <v>17.484</v>
      </c>
      <c r="AC233" s="27">
        <v>220</v>
      </c>
      <c r="AD233" s="33">
        <f t="shared" si="266"/>
        <v>194.690265486726</v>
      </c>
      <c r="AE233" s="29">
        <f t="shared" si="267"/>
        <v>3.75</v>
      </c>
      <c r="AF233" s="30">
        <f t="shared" si="268"/>
        <v>0.261680464363879</v>
      </c>
      <c r="AG233" s="30">
        <f t="shared" si="269"/>
        <v>0.0403225806451613</v>
      </c>
      <c r="AH233" s="29">
        <v>30</v>
      </c>
      <c r="AI233" s="30">
        <f t="shared" si="272"/>
        <v>0.400849927456234</v>
      </c>
      <c r="AJ233" s="30"/>
      <c r="AK233" s="30"/>
      <c r="AL233" s="30"/>
      <c r="AM233" s="30"/>
      <c r="AN233" s="34"/>
      <c r="AO233" s="34"/>
      <c r="AP233" s="34"/>
      <c r="AQ233" s="34"/>
      <c r="AR233" s="34"/>
      <c r="AS233" s="34"/>
      <c r="AT233" s="34" t="s">
        <v>156</v>
      </c>
      <c r="AU233" s="34" t="s">
        <v>156</v>
      </c>
      <c r="AV233" s="34" t="s">
        <v>156</v>
      </c>
      <c r="AW233" s="34" t="s">
        <v>156</v>
      </c>
      <c r="AX233" s="34" t="s">
        <v>156</v>
      </c>
      <c r="AY233" s="34" t="s">
        <v>156</v>
      </c>
      <c r="AZ233" s="34" t="s">
        <v>156</v>
      </c>
      <c r="BA233" s="34" t="s">
        <v>156</v>
      </c>
      <c r="BB233" s="34" t="s">
        <v>156</v>
      </c>
      <c r="BC233" s="34" t="s">
        <v>156</v>
      </c>
      <c r="BD233" s="34" t="s">
        <v>156</v>
      </c>
      <c r="BE233" s="34" t="s">
        <v>156</v>
      </c>
      <c r="BF233" s="34" t="s">
        <v>156</v>
      </c>
      <c r="BG233" s="34" t="s">
        <v>156</v>
      </c>
      <c r="BH233" s="34" t="s">
        <v>156</v>
      </c>
      <c r="BI233" s="34" t="s">
        <v>156</v>
      </c>
      <c r="BJ233" s="34" t="s">
        <v>156</v>
      </c>
      <c r="BK233" s="34" t="s">
        <v>156</v>
      </c>
      <c r="BL233" s="34" t="s">
        <v>156</v>
      </c>
      <c r="BM233" s="34" t="s">
        <v>156</v>
      </c>
      <c r="BN233" s="34" t="s">
        <v>156</v>
      </c>
      <c r="BO233" s="34" t="s">
        <v>156</v>
      </c>
      <c r="BP233" s="34" t="s">
        <v>156</v>
      </c>
      <c r="BQ233" s="34" t="s">
        <v>156</v>
      </c>
      <c r="BR233" s="35"/>
      <c r="BS233" s="20" t="s">
        <v>157</v>
      </c>
    </row>
    <row r="234" ht="16.5" spans="1:71">
      <c r="A234" s="21" t="s">
        <v>161</v>
      </c>
      <c r="B234" s="21"/>
      <c r="C234" s="21"/>
      <c r="D234" s="58" t="s">
        <v>162</v>
      </c>
      <c r="E234" s="23">
        <v>89</v>
      </c>
      <c r="F234" s="24">
        <v>129.99</v>
      </c>
      <c r="G234" s="25">
        <f t="shared" si="250"/>
        <v>129.99</v>
      </c>
      <c r="H234" s="25">
        <f t="shared" si="251"/>
        <v>108.325</v>
      </c>
      <c r="I234" s="25">
        <f t="shared" si="252"/>
        <v>37.708383480826</v>
      </c>
      <c r="J234" s="26">
        <f t="shared" si="253"/>
        <v>0.423689702031752</v>
      </c>
      <c r="K234" s="27">
        <f t="shared" si="254"/>
        <v>108.325</v>
      </c>
      <c r="L234" s="28">
        <f t="shared" si="255"/>
        <v>0.178398338333718</v>
      </c>
      <c r="M234" s="25">
        <f t="shared" si="256"/>
        <v>19.325</v>
      </c>
      <c r="N234" s="27">
        <f t="shared" si="257"/>
        <v>224.690265486726</v>
      </c>
      <c r="O234" s="27">
        <f t="shared" si="258"/>
        <v>5.58333333333333</v>
      </c>
      <c r="P234" s="21">
        <v>3</v>
      </c>
      <c r="Q234" s="29">
        <v>8</v>
      </c>
      <c r="R234" s="30">
        <f t="shared" si="259"/>
        <v>0</v>
      </c>
      <c r="S234" s="26">
        <f t="shared" si="271"/>
        <v>0</v>
      </c>
      <c r="T234" s="30">
        <f t="shared" si="261"/>
        <v>0</v>
      </c>
      <c r="U234" s="30">
        <v>0.01</v>
      </c>
      <c r="V234" s="30">
        <f t="shared" si="262"/>
        <v>0.315576215571244</v>
      </c>
      <c r="W234" s="30">
        <f t="shared" si="263"/>
        <v>0.0627340823970037</v>
      </c>
      <c r="X234" s="31">
        <v>0.188</v>
      </c>
      <c r="Y234" s="32">
        <v>0</v>
      </c>
      <c r="Z234" s="32">
        <f t="shared" ref="Z234:Z237" si="273">F234*0</f>
        <v>0</v>
      </c>
      <c r="AA234" s="32">
        <f t="shared" si="264"/>
        <v>0.89</v>
      </c>
      <c r="AB234" s="27">
        <f t="shared" si="265"/>
        <v>16.732</v>
      </c>
      <c r="AC234" s="27">
        <v>220</v>
      </c>
      <c r="AD234" s="33">
        <f t="shared" si="266"/>
        <v>194.690265486726</v>
      </c>
      <c r="AE234" s="29">
        <f t="shared" si="267"/>
        <v>3.75</v>
      </c>
      <c r="AF234" s="30">
        <f t="shared" si="268"/>
        <v>0.27344138411057</v>
      </c>
      <c r="AG234" s="30">
        <f t="shared" si="269"/>
        <v>0.0421348314606742</v>
      </c>
      <c r="AH234" s="29">
        <v>30</v>
      </c>
      <c r="AI234" s="30">
        <f t="shared" si="272"/>
        <v>0.332859450726979</v>
      </c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 t="s">
        <v>156</v>
      </c>
      <c r="AU234" s="34" t="s">
        <v>156</v>
      </c>
      <c r="AV234" s="34" t="s">
        <v>156</v>
      </c>
      <c r="AW234" s="34" t="s">
        <v>156</v>
      </c>
      <c r="AX234" s="34" t="s">
        <v>156</v>
      </c>
      <c r="AY234" s="34" t="s">
        <v>156</v>
      </c>
      <c r="AZ234" s="34" t="s">
        <v>156</v>
      </c>
      <c r="BA234" s="34" t="s">
        <v>156</v>
      </c>
      <c r="BB234" s="34" t="s">
        <v>156</v>
      </c>
      <c r="BC234" s="34" t="s">
        <v>156</v>
      </c>
      <c r="BD234" s="34" t="s">
        <v>156</v>
      </c>
      <c r="BE234" s="34" t="s">
        <v>156</v>
      </c>
      <c r="BF234" s="34" t="s">
        <v>156</v>
      </c>
      <c r="BG234" s="34" t="s">
        <v>156</v>
      </c>
      <c r="BH234" s="34" t="s">
        <v>156</v>
      </c>
      <c r="BI234" s="34" t="s">
        <v>156</v>
      </c>
      <c r="BJ234" s="34" t="s">
        <v>156</v>
      </c>
      <c r="BK234" s="34" t="s">
        <v>156</v>
      </c>
      <c r="BL234" s="34" t="s">
        <v>156</v>
      </c>
      <c r="BM234" s="34" t="s">
        <v>156</v>
      </c>
      <c r="BN234" s="34" t="s">
        <v>156</v>
      </c>
      <c r="BO234" s="34" t="s">
        <v>156</v>
      </c>
      <c r="BP234" s="34" t="s">
        <v>156</v>
      </c>
      <c r="BQ234" s="34" t="s">
        <v>156</v>
      </c>
      <c r="BR234" s="44" t="e">
        <f>IF(E234&lt;#REF!,1,0)</f>
        <v>#REF!</v>
      </c>
      <c r="BS234" s="20" t="s">
        <v>157</v>
      </c>
    </row>
    <row r="235" ht="16.5" spans="1:71">
      <c r="A235" s="21" t="s">
        <v>163</v>
      </c>
      <c r="B235" s="21"/>
      <c r="C235" s="21"/>
      <c r="D235" s="58" t="s">
        <v>164</v>
      </c>
      <c r="E235" s="23">
        <v>89</v>
      </c>
      <c r="F235" s="24">
        <v>129.99</v>
      </c>
      <c r="G235" s="25">
        <f t="shared" si="250"/>
        <v>129.99</v>
      </c>
      <c r="H235" s="25">
        <f t="shared" si="251"/>
        <v>108.325</v>
      </c>
      <c r="I235" s="25">
        <f t="shared" si="252"/>
        <v>38.6083834808259</v>
      </c>
      <c r="J235" s="26">
        <f t="shared" si="253"/>
        <v>0.433802061582314</v>
      </c>
      <c r="K235" s="27">
        <f t="shared" si="254"/>
        <v>108.325</v>
      </c>
      <c r="L235" s="28">
        <f t="shared" si="255"/>
        <v>0.178398338333718</v>
      </c>
      <c r="M235" s="25">
        <f t="shared" si="256"/>
        <v>19.325</v>
      </c>
      <c r="N235" s="27">
        <f t="shared" si="257"/>
        <v>224.690265486726</v>
      </c>
      <c r="O235" s="27">
        <f t="shared" si="258"/>
        <v>4.68333333333333</v>
      </c>
      <c r="P235" s="21">
        <v>3</v>
      </c>
      <c r="Q235" s="29">
        <v>8</v>
      </c>
      <c r="R235" s="30">
        <f t="shared" si="259"/>
        <v>0</v>
      </c>
      <c r="S235" s="26">
        <f t="shared" si="271"/>
        <v>0</v>
      </c>
      <c r="T235" s="30">
        <f t="shared" si="261"/>
        <v>0</v>
      </c>
      <c r="U235" s="30">
        <v>0.01</v>
      </c>
      <c r="V235" s="30">
        <f t="shared" si="262"/>
        <v>0.315576215571244</v>
      </c>
      <c r="W235" s="30">
        <f t="shared" si="263"/>
        <v>0.0526217228464419</v>
      </c>
      <c r="X235" s="31">
        <v>0.188</v>
      </c>
      <c r="Y235" s="32">
        <v>0</v>
      </c>
      <c r="Z235" s="32">
        <f t="shared" si="273"/>
        <v>0</v>
      </c>
      <c r="AA235" s="32">
        <f t="shared" si="264"/>
        <v>0.89</v>
      </c>
      <c r="AB235" s="27">
        <f t="shared" si="265"/>
        <v>16.732</v>
      </c>
      <c r="AC235" s="27">
        <v>220</v>
      </c>
      <c r="AD235" s="33">
        <f t="shared" si="266"/>
        <v>194.690265486726</v>
      </c>
      <c r="AE235" s="29">
        <f t="shared" si="267"/>
        <v>3.75</v>
      </c>
      <c r="AF235" s="30">
        <f t="shared" si="268"/>
        <v>0.27344138411057</v>
      </c>
      <c r="AG235" s="30">
        <f t="shared" si="269"/>
        <v>0.0421348314606742</v>
      </c>
      <c r="AH235" s="29">
        <v>30</v>
      </c>
      <c r="AI235" s="30">
        <f t="shared" si="272"/>
        <v>0.332859450726979</v>
      </c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 t="s">
        <v>156</v>
      </c>
      <c r="AU235" s="34" t="s">
        <v>156</v>
      </c>
      <c r="AV235" s="34" t="s">
        <v>156</v>
      </c>
      <c r="AW235" s="34" t="s">
        <v>156</v>
      </c>
      <c r="AX235" s="34" t="s">
        <v>156</v>
      </c>
      <c r="AY235" s="34" t="s">
        <v>156</v>
      </c>
      <c r="AZ235" s="34" t="s">
        <v>156</v>
      </c>
      <c r="BA235" s="34" t="s">
        <v>156</v>
      </c>
      <c r="BB235" s="34" t="s">
        <v>156</v>
      </c>
      <c r="BC235" s="34" t="s">
        <v>156</v>
      </c>
      <c r="BD235" s="34" t="s">
        <v>156</v>
      </c>
      <c r="BE235" s="34" t="s">
        <v>156</v>
      </c>
      <c r="BF235" s="34" t="s">
        <v>156</v>
      </c>
      <c r="BG235" s="34" t="s">
        <v>156</v>
      </c>
      <c r="BH235" s="34" t="s">
        <v>156</v>
      </c>
      <c r="BI235" s="34" t="s">
        <v>156</v>
      </c>
      <c r="BJ235" s="34" t="s">
        <v>156</v>
      </c>
      <c r="BK235" s="34" t="s">
        <v>156</v>
      </c>
      <c r="BL235" s="34" t="s">
        <v>156</v>
      </c>
      <c r="BM235" s="34" t="s">
        <v>156</v>
      </c>
      <c r="BN235" s="34" t="s">
        <v>156</v>
      </c>
      <c r="BO235" s="34" t="s">
        <v>156</v>
      </c>
      <c r="BP235" s="34" t="s">
        <v>156</v>
      </c>
      <c r="BQ235" s="34" t="s">
        <v>156</v>
      </c>
      <c r="BR235" s="44" t="e">
        <f>IF(E235&lt;#REF!,1,0)</f>
        <v>#REF!</v>
      </c>
      <c r="BS235" s="20" t="s">
        <v>157</v>
      </c>
    </row>
    <row r="236" ht="16.5" spans="1:71">
      <c r="A236" s="21" t="s">
        <v>165</v>
      </c>
      <c r="B236" s="21"/>
      <c r="C236" s="21"/>
      <c r="D236" s="58" t="s">
        <v>166</v>
      </c>
      <c r="E236" s="23">
        <v>89</v>
      </c>
      <c r="F236" s="24">
        <v>129.99</v>
      </c>
      <c r="G236" s="25">
        <f t="shared" si="250"/>
        <v>129.99</v>
      </c>
      <c r="H236" s="25">
        <f t="shared" si="251"/>
        <v>108.325</v>
      </c>
      <c r="I236" s="25">
        <f t="shared" si="252"/>
        <v>37.208383480826</v>
      </c>
      <c r="J236" s="26">
        <f t="shared" si="253"/>
        <v>0.418071724503662</v>
      </c>
      <c r="K236" s="27">
        <f t="shared" si="254"/>
        <v>108.325</v>
      </c>
      <c r="L236" s="28">
        <f t="shared" si="255"/>
        <v>0.178398338333718</v>
      </c>
      <c r="M236" s="25">
        <f t="shared" si="256"/>
        <v>19.325</v>
      </c>
      <c r="N236" s="27">
        <f t="shared" si="257"/>
        <v>224.690265486726</v>
      </c>
      <c r="O236" s="27">
        <f t="shared" si="258"/>
        <v>6.08333333333333</v>
      </c>
      <c r="P236" s="21">
        <v>3</v>
      </c>
      <c r="Q236" s="29">
        <v>8</v>
      </c>
      <c r="R236" s="30">
        <f t="shared" si="259"/>
        <v>0</v>
      </c>
      <c r="S236" s="26">
        <f t="shared" si="271"/>
        <v>0</v>
      </c>
      <c r="T236" s="30">
        <f t="shared" si="261"/>
        <v>0</v>
      </c>
      <c r="U236" s="30">
        <v>0.01</v>
      </c>
      <c r="V236" s="30">
        <f t="shared" si="262"/>
        <v>0.315576215571244</v>
      </c>
      <c r="W236" s="30">
        <f t="shared" si="263"/>
        <v>0.0683520599250936</v>
      </c>
      <c r="X236" s="31">
        <v>0.188</v>
      </c>
      <c r="Y236" s="32">
        <v>0</v>
      </c>
      <c r="Z236" s="32">
        <f t="shared" si="273"/>
        <v>0</v>
      </c>
      <c r="AA236" s="32">
        <f t="shared" si="264"/>
        <v>0.89</v>
      </c>
      <c r="AB236" s="27">
        <f t="shared" si="265"/>
        <v>16.732</v>
      </c>
      <c r="AC236" s="27">
        <v>220</v>
      </c>
      <c r="AD236" s="33">
        <f t="shared" si="266"/>
        <v>194.690265486726</v>
      </c>
      <c r="AE236" s="29">
        <f t="shared" si="267"/>
        <v>3.75</v>
      </c>
      <c r="AF236" s="30">
        <f t="shared" si="268"/>
        <v>0.27344138411057</v>
      </c>
      <c r="AG236" s="30">
        <f t="shared" si="269"/>
        <v>0.0421348314606742</v>
      </c>
      <c r="AH236" s="29">
        <v>30</v>
      </c>
      <c r="AI236" s="30">
        <f t="shared" si="272"/>
        <v>0.332859450726979</v>
      </c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 t="s">
        <v>156</v>
      </c>
      <c r="AU236" s="34" t="s">
        <v>156</v>
      </c>
      <c r="AV236" s="34" t="s">
        <v>156</v>
      </c>
      <c r="AW236" s="34" t="s">
        <v>156</v>
      </c>
      <c r="AX236" s="34" t="s">
        <v>156</v>
      </c>
      <c r="AY236" s="34" t="s">
        <v>156</v>
      </c>
      <c r="AZ236" s="34" t="s">
        <v>156</v>
      </c>
      <c r="BA236" s="34" t="s">
        <v>156</v>
      </c>
      <c r="BB236" s="34" t="s">
        <v>156</v>
      </c>
      <c r="BC236" s="34" t="s">
        <v>156</v>
      </c>
      <c r="BD236" s="34" t="s">
        <v>156</v>
      </c>
      <c r="BE236" s="34" t="s">
        <v>156</v>
      </c>
      <c r="BF236" s="34" t="s">
        <v>156</v>
      </c>
      <c r="BG236" s="34" t="s">
        <v>156</v>
      </c>
      <c r="BH236" s="34" t="s">
        <v>156</v>
      </c>
      <c r="BI236" s="34" t="s">
        <v>156</v>
      </c>
      <c r="BJ236" s="34" t="s">
        <v>156</v>
      </c>
      <c r="BK236" s="34" t="s">
        <v>156</v>
      </c>
      <c r="BL236" s="34" t="s">
        <v>156</v>
      </c>
      <c r="BM236" s="34" t="s">
        <v>156</v>
      </c>
      <c r="BN236" s="34" t="s">
        <v>156</v>
      </c>
      <c r="BO236" s="34" t="s">
        <v>156</v>
      </c>
      <c r="BP236" s="34" t="s">
        <v>156</v>
      </c>
      <c r="BQ236" s="34" t="s">
        <v>156</v>
      </c>
      <c r="BR236" s="44" t="e">
        <f>IF(E236&lt;#REF!,1,0)</f>
        <v>#REF!</v>
      </c>
      <c r="BS236" s="20" t="s">
        <v>157</v>
      </c>
    </row>
    <row r="237" ht="16.5" spans="1:71">
      <c r="A237" s="21" t="s">
        <v>167</v>
      </c>
      <c r="B237" s="21"/>
      <c r="C237" s="21"/>
      <c r="D237" s="58" t="s">
        <v>168</v>
      </c>
      <c r="E237" s="23">
        <v>89</v>
      </c>
      <c r="F237" s="24">
        <v>129.99</v>
      </c>
      <c r="G237" s="25">
        <f t="shared" si="250"/>
        <v>129.99</v>
      </c>
      <c r="H237" s="25">
        <f t="shared" si="251"/>
        <v>108.325</v>
      </c>
      <c r="I237" s="25">
        <f t="shared" si="252"/>
        <v>38.5417168141593</v>
      </c>
      <c r="J237" s="26">
        <f t="shared" si="253"/>
        <v>0.433052997911902</v>
      </c>
      <c r="K237" s="27">
        <f t="shared" si="254"/>
        <v>108.325</v>
      </c>
      <c r="L237" s="28">
        <f t="shared" si="255"/>
        <v>0.178398338333718</v>
      </c>
      <c r="M237" s="25">
        <f t="shared" si="256"/>
        <v>19.325</v>
      </c>
      <c r="N237" s="27">
        <f t="shared" si="257"/>
        <v>224.690265486726</v>
      </c>
      <c r="O237" s="27">
        <f t="shared" si="258"/>
        <v>4.75</v>
      </c>
      <c r="P237" s="21">
        <v>3</v>
      </c>
      <c r="Q237" s="29">
        <v>8</v>
      </c>
      <c r="R237" s="30">
        <f t="shared" si="259"/>
        <v>0</v>
      </c>
      <c r="S237" s="26">
        <f t="shared" si="271"/>
        <v>0</v>
      </c>
      <c r="T237" s="30">
        <f t="shared" si="261"/>
        <v>0</v>
      </c>
      <c r="U237" s="30">
        <v>0.01</v>
      </c>
      <c r="V237" s="30">
        <f t="shared" si="262"/>
        <v>0.315576215571244</v>
      </c>
      <c r="W237" s="30">
        <f t="shared" si="263"/>
        <v>0.0533707865168539</v>
      </c>
      <c r="X237" s="31">
        <v>0.188</v>
      </c>
      <c r="Y237" s="32">
        <v>0</v>
      </c>
      <c r="Z237" s="32">
        <f t="shared" si="273"/>
        <v>0</v>
      </c>
      <c r="AA237" s="32">
        <f t="shared" si="264"/>
        <v>0.89</v>
      </c>
      <c r="AB237" s="27">
        <f t="shared" si="265"/>
        <v>16.732</v>
      </c>
      <c r="AC237" s="27">
        <v>220</v>
      </c>
      <c r="AD237" s="33">
        <f t="shared" si="266"/>
        <v>194.690265486726</v>
      </c>
      <c r="AE237" s="29">
        <f t="shared" si="267"/>
        <v>3.75</v>
      </c>
      <c r="AF237" s="30">
        <f t="shared" si="268"/>
        <v>0.27344138411057</v>
      </c>
      <c r="AG237" s="30">
        <f t="shared" si="269"/>
        <v>0.0421348314606742</v>
      </c>
      <c r="AH237" s="29">
        <v>30</v>
      </c>
      <c r="AI237" s="30">
        <f t="shared" si="272"/>
        <v>0.332859450726979</v>
      </c>
      <c r="AJ237" s="30"/>
      <c r="AK237" s="30"/>
      <c r="AL237" s="30"/>
      <c r="AM237" s="30"/>
      <c r="AN237" s="34"/>
      <c r="AO237" s="34"/>
      <c r="AP237" s="34"/>
      <c r="AQ237" s="34"/>
      <c r="AR237" s="34"/>
      <c r="AS237" s="34"/>
      <c r="AT237" s="34" t="s">
        <v>156</v>
      </c>
      <c r="AU237" s="34" t="s">
        <v>156</v>
      </c>
      <c r="AV237" s="34" t="s">
        <v>156</v>
      </c>
      <c r="AW237" s="34" t="s">
        <v>156</v>
      </c>
      <c r="AX237" s="34" t="s">
        <v>156</v>
      </c>
      <c r="AY237" s="34" t="s">
        <v>156</v>
      </c>
      <c r="AZ237" s="34" t="s">
        <v>156</v>
      </c>
      <c r="BA237" s="34" t="s">
        <v>156</v>
      </c>
      <c r="BB237" s="34" t="s">
        <v>156</v>
      </c>
      <c r="BC237" s="34" t="s">
        <v>156</v>
      </c>
      <c r="BD237" s="34" t="s">
        <v>156</v>
      </c>
      <c r="BE237" s="34" t="s">
        <v>156</v>
      </c>
      <c r="BF237" s="34" t="s">
        <v>156</v>
      </c>
      <c r="BG237" s="34" t="s">
        <v>156</v>
      </c>
      <c r="BH237" s="34" t="s">
        <v>156</v>
      </c>
      <c r="BI237" s="34" t="s">
        <v>156</v>
      </c>
      <c r="BJ237" s="34" t="s">
        <v>156</v>
      </c>
      <c r="BK237" s="34" t="s">
        <v>156</v>
      </c>
      <c r="BL237" s="34" t="s">
        <v>156</v>
      </c>
      <c r="BM237" s="34" t="s">
        <v>156</v>
      </c>
      <c r="BN237" s="34" t="s">
        <v>156</v>
      </c>
      <c r="BO237" s="34" t="s">
        <v>156</v>
      </c>
      <c r="BP237" s="34" t="s">
        <v>156</v>
      </c>
      <c r="BQ237" s="34" t="s">
        <v>156</v>
      </c>
      <c r="BR237" s="44" t="e">
        <f>IF(E237&lt;#REF!,1,0)</f>
        <v>#REF!</v>
      </c>
      <c r="BS237" s="20" t="s">
        <v>157</v>
      </c>
    </row>
    <row r="238" spans="1:71">
      <c r="G238" s="48"/>
      <c r="H238" s="48"/>
      <c r="S238" s="48"/>
      <c r="AE238" s="49"/>
      <c r="AI238" s="48"/>
    </row>
    <row r="239" ht="16.5" spans="1:71">
      <c r="A239" s="20" t="s">
        <v>50</v>
      </c>
      <c r="B239" s="21"/>
      <c r="C239" s="51"/>
      <c r="D239" s="59" t="s">
        <v>212</v>
      </c>
      <c r="E239" s="55">
        <v>8.9</v>
      </c>
      <c r="F239" s="24">
        <v>12.99</v>
      </c>
      <c r="G239" s="25">
        <f t="shared" ref="G239:G257" si="274">(F239-Z239)</f>
        <v>12.99</v>
      </c>
      <c r="H239" s="25">
        <f t="shared" ref="H239:H257" si="275">(F239-Z239)/1.2</f>
        <v>10.825</v>
      </c>
      <c r="I239" s="25">
        <f t="shared" ref="I239:I257" si="276">E239-N239/Q239-AB239-Y239-O239-Z239-AA239</f>
        <v>2.34565140117994</v>
      </c>
      <c r="J239" s="26">
        <f t="shared" ref="J239:J257" si="277">I239/E239</f>
        <v>0.263556337211229</v>
      </c>
      <c r="K239" s="27">
        <f t="shared" ref="K239:K257" si="278">F239/1.2</f>
        <v>10.825</v>
      </c>
      <c r="L239" s="28">
        <f t="shared" ref="L239:L257" si="279">(K239-E239)/K239</f>
        <v>0.177829099307159</v>
      </c>
      <c r="M239" s="25">
        <f t="shared" ref="M239:M257" si="280">F239/1.2-E239</f>
        <v>1.925</v>
      </c>
      <c r="N239" s="27">
        <f>AD239+AH240</f>
        <v>19.7522123893805</v>
      </c>
      <c r="O239" s="27">
        <f t="shared" ref="O239:O257" si="281">IFERROR(IF(A239="UK",8.95/P239,IF(A239="DE",7.75/P239,IF(A239="FR",14.25/P239,IF(A239="IT",15.25/P239,IF(A239="ES",19.25/P239,IF(A239="NL",16.75/P239,IF(A239="PL",14.05/P239,IF(A239="SE",18.25/P239,IF(A239="BE",14.25/P239))))))))),0)</f>
        <v>0.186458333333333</v>
      </c>
      <c r="P239" s="20">
        <v>48</v>
      </c>
      <c r="Q239" s="29">
        <v>9</v>
      </c>
      <c r="R239" s="30">
        <f t="shared" ref="R239:R257" si="282">Y239/E239</f>
        <v>0.280898876404494</v>
      </c>
      <c r="S239" s="26">
        <f t="shared" ref="S239:S257" si="283">Y239/F239</f>
        <v>0.192455735180908</v>
      </c>
      <c r="T239" s="30">
        <f t="shared" ref="T239:T257" si="284">Z239/E239</f>
        <v>0</v>
      </c>
      <c r="U239" s="30">
        <v>0.01</v>
      </c>
      <c r="V239" s="30">
        <f t="shared" ref="V239:V257" si="285">N239/(E239*Q239)</f>
        <v>0.246594411852441</v>
      </c>
      <c r="W239" s="30">
        <f t="shared" ref="W239:W257" si="286">O239/E239</f>
        <v>0.0209503745318352</v>
      </c>
      <c r="X239" s="31">
        <v>0.178</v>
      </c>
      <c r="Y239" s="32">
        <v>2.5</v>
      </c>
      <c r="Z239" s="32">
        <v>0</v>
      </c>
      <c r="AA239" s="32">
        <f t="shared" ref="AA239:AA257" si="287">E239*U239</f>
        <v>0.089</v>
      </c>
      <c r="AB239" s="27">
        <f t="shared" ref="AB239:AB257" si="288">E239*X239</f>
        <v>1.5842</v>
      </c>
      <c r="AC239" s="27">
        <v>17.8</v>
      </c>
      <c r="AD239" s="33">
        <f t="shared" ref="AD239:AD257" si="289">AC239/1.13</f>
        <v>15.7522123893805</v>
      </c>
      <c r="AE239" s="29">
        <f>AH240/Q239</f>
        <v>0.444444444444444</v>
      </c>
      <c r="AF239" s="30">
        <f t="shared" ref="AF239:AF257" si="290">AD239/(E239*Q239)</f>
        <v>0.196656833824975</v>
      </c>
      <c r="AG239" s="30">
        <f t="shared" ref="AG239:AG257" si="291">AE239/Q239/E239</f>
        <v>0.00554861978082952</v>
      </c>
      <c r="AH239" s="29">
        <v>4</v>
      </c>
      <c r="AI239" s="30">
        <f t="shared" ref="AI239:AI257" si="292">(H239-E239+AB239)/H239</f>
        <v>0.324175519630485</v>
      </c>
      <c r="AJ239" s="30"/>
      <c r="AK239" s="30"/>
      <c r="AL239" s="30"/>
      <c r="AM239" s="30"/>
      <c r="AN239" s="34"/>
      <c r="AO239" s="34"/>
      <c r="AP239" s="34"/>
      <c r="AQ239" s="34"/>
      <c r="AR239" s="34"/>
      <c r="AS239" s="34"/>
      <c r="AT239" s="34" t="s">
        <v>156</v>
      </c>
      <c r="AU239" s="34" t="s">
        <v>156</v>
      </c>
      <c r="AV239" s="34" t="s">
        <v>156</v>
      </c>
      <c r="AW239" s="34" t="s">
        <v>156</v>
      </c>
      <c r="AX239" s="34" t="s">
        <v>156</v>
      </c>
      <c r="AY239" s="34" t="s">
        <v>156</v>
      </c>
      <c r="AZ239" s="34" t="s">
        <v>156</v>
      </c>
      <c r="BA239" s="34" t="s">
        <v>156</v>
      </c>
      <c r="BB239" s="34" t="s">
        <v>156</v>
      </c>
      <c r="BC239" s="34" t="s">
        <v>156</v>
      </c>
      <c r="BD239" s="34" t="s">
        <v>156</v>
      </c>
      <c r="BE239" s="34" t="s">
        <v>156</v>
      </c>
      <c r="BF239" s="34" t="s">
        <v>156</v>
      </c>
      <c r="BG239" s="34" t="s">
        <v>156</v>
      </c>
      <c r="BH239" s="34" t="s">
        <v>156</v>
      </c>
      <c r="BI239" s="34" t="s">
        <v>156</v>
      </c>
      <c r="BJ239" s="34" t="s">
        <v>156</v>
      </c>
      <c r="BK239" s="34" t="s">
        <v>156</v>
      </c>
      <c r="BL239" s="34" t="s">
        <v>156</v>
      </c>
      <c r="BM239" s="34" t="s">
        <v>156</v>
      </c>
      <c r="BN239" s="34" t="s">
        <v>156</v>
      </c>
      <c r="BO239" s="34" t="s">
        <v>156</v>
      </c>
      <c r="BP239" s="34" t="s">
        <v>156</v>
      </c>
      <c r="BQ239" s="34" t="s">
        <v>156</v>
      </c>
      <c r="BR239" s="35"/>
      <c r="BS239" s="20" t="s">
        <v>157</v>
      </c>
    </row>
    <row r="240" ht="16.5" spans="1:71">
      <c r="A240" s="20" t="s">
        <v>50</v>
      </c>
      <c r="B240" s="21"/>
      <c r="C240" s="45"/>
      <c r="D240" s="59" t="s">
        <v>213</v>
      </c>
      <c r="E240" s="55">
        <v>8.9</v>
      </c>
      <c r="F240" s="24">
        <v>12.99</v>
      </c>
      <c r="G240" s="25">
        <f t="shared" si="274"/>
        <v>11.691</v>
      </c>
      <c r="H240" s="25">
        <f t="shared" si="275"/>
        <v>9.7425</v>
      </c>
      <c r="I240" s="36">
        <f t="shared" si="276"/>
        <v>1.04665140117994</v>
      </c>
      <c r="J240" s="26">
        <f t="shared" si="277"/>
        <v>0.117601281031454</v>
      </c>
      <c r="K240" s="27">
        <f t="shared" si="278"/>
        <v>10.825</v>
      </c>
      <c r="L240" s="28">
        <f t="shared" si="279"/>
        <v>0.177829099307159</v>
      </c>
      <c r="M240" s="25">
        <f t="shared" si="280"/>
        <v>1.925</v>
      </c>
      <c r="N240" s="27">
        <f t="shared" ref="N240:N257" si="293">AD240+AH240</f>
        <v>19.7522123893805</v>
      </c>
      <c r="O240" s="27">
        <f t="shared" si="281"/>
        <v>0.186458333333333</v>
      </c>
      <c r="P240" s="21">
        <v>48</v>
      </c>
      <c r="Q240" s="29">
        <v>9</v>
      </c>
      <c r="R240" s="30">
        <f t="shared" si="282"/>
        <v>0.280898876404494</v>
      </c>
      <c r="S240" s="26">
        <f t="shared" si="283"/>
        <v>0.192455735180908</v>
      </c>
      <c r="T240" s="30">
        <f t="shared" si="284"/>
        <v>0.145955056179775</v>
      </c>
      <c r="U240" s="30">
        <v>0.01</v>
      </c>
      <c r="V240" s="30">
        <f t="shared" si="285"/>
        <v>0.246594411852441</v>
      </c>
      <c r="W240" s="30">
        <f t="shared" si="286"/>
        <v>0.0209503745318352</v>
      </c>
      <c r="X240" s="31">
        <v>0.178</v>
      </c>
      <c r="Y240" s="32">
        <v>2.5</v>
      </c>
      <c r="Z240" s="32">
        <f>F240*0.1</f>
        <v>1.299</v>
      </c>
      <c r="AA240" s="32">
        <f t="shared" si="287"/>
        <v>0.089</v>
      </c>
      <c r="AB240" s="27">
        <f t="shared" si="288"/>
        <v>1.5842</v>
      </c>
      <c r="AC240" s="27">
        <v>17.8</v>
      </c>
      <c r="AD240" s="33">
        <f t="shared" si="289"/>
        <v>15.7522123893805</v>
      </c>
      <c r="AE240" s="29">
        <f t="shared" ref="AE240:AE257" si="294">AH240/Q240</f>
        <v>0.444444444444444</v>
      </c>
      <c r="AF240" s="30">
        <f t="shared" si="290"/>
        <v>0.196656833824975</v>
      </c>
      <c r="AG240" s="30">
        <f t="shared" si="291"/>
        <v>0.00554861978082952</v>
      </c>
      <c r="AH240" s="29">
        <v>4</v>
      </c>
      <c r="AI240" s="30">
        <f t="shared" si="292"/>
        <v>0.249083910700539</v>
      </c>
      <c r="AJ240" s="30"/>
      <c r="AK240" s="30"/>
      <c r="AL240" s="30"/>
      <c r="AM240" s="30"/>
      <c r="AN240" s="34"/>
      <c r="AO240" s="34"/>
      <c r="AP240" s="34"/>
      <c r="AQ240" s="34"/>
      <c r="AR240" s="34"/>
      <c r="AS240" s="34"/>
      <c r="AT240" s="34" t="s">
        <v>156</v>
      </c>
      <c r="AU240" s="34" t="s">
        <v>156</v>
      </c>
      <c r="AV240" s="34" t="s">
        <v>156</v>
      </c>
      <c r="AW240" s="34" t="s">
        <v>156</v>
      </c>
      <c r="AX240" s="34" t="s">
        <v>156</v>
      </c>
      <c r="AY240" s="34" t="s">
        <v>156</v>
      </c>
      <c r="AZ240" s="34" t="s">
        <v>156</v>
      </c>
      <c r="BA240" s="34" t="s">
        <v>156</v>
      </c>
      <c r="BB240" s="34" t="s">
        <v>156</v>
      </c>
      <c r="BC240" s="34" t="s">
        <v>156</v>
      </c>
      <c r="BD240" s="34" t="s">
        <v>156</v>
      </c>
      <c r="BE240" s="34" t="s">
        <v>156</v>
      </c>
      <c r="BF240" s="34" t="s">
        <v>156</v>
      </c>
      <c r="BG240" s="34" t="s">
        <v>156</v>
      </c>
      <c r="BH240" s="34" t="s">
        <v>156</v>
      </c>
      <c r="BI240" s="34" t="s">
        <v>156</v>
      </c>
      <c r="BJ240" s="34" t="s">
        <v>156</v>
      </c>
      <c r="BK240" s="34" t="s">
        <v>156</v>
      </c>
      <c r="BL240" s="34" t="s">
        <v>156</v>
      </c>
      <c r="BM240" s="34" t="s">
        <v>156</v>
      </c>
      <c r="BN240" s="34" t="s">
        <v>156</v>
      </c>
      <c r="BO240" s="34" t="s">
        <v>156</v>
      </c>
      <c r="BP240" s="34" t="s">
        <v>156</v>
      </c>
      <c r="BQ240" s="34" t="s">
        <v>156</v>
      </c>
      <c r="BR240" s="35"/>
      <c r="BS240" s="20" t="s">
        <v>157</v>
      </c>
    </row>
    <row r="241" ht="16.5" spans="1:71">
      <c r="A241" s="20" t="s">
        <v>50</v>
      </c>
      <c r="B241" s="21"/>
      <c r="C241" s="45"/>
      <c r="D241" s="59" t="s">
        <v>214</v>
      </c>
      <c r="E241" s="55">
        <v>8.9</v>
      </c>
      <c r="F241" s="24">
        <v>12.99</v>
      </c>
      <c r="G241" s="25">
        <f t="shared" si="274"/>
        <v>11.0415</v>
      </c>
      <c r="H241" s="25">
        <f t="shared" si="275"/>
        <v>9.20125</v>
      </c>
      <c r="I241" s="25">
        <f t="shared" si="276"/>
        <v>0.397151401179941</v>
      </c>
      <c r="J241" s="26">
        <f t="shared" si="277"/>
        <v>0.0446237529415665</v>
      </c>
      <c r="K241" s="27">
        <f t="shared" si="278"/>
        <v>10.825</v>
      </c>
      <c r="L241" s="28">
        <f t="shared" si="279"/>
        <v>0.177829099307159</v>
      </c>
      <c r="M241" s="25">
        <f t="shared" si="280"/>
        <v>1.925</v>
      </c>
      <c r="N241" s="27">
        <f t="shared" si="293"/>
        <v>19.7522123893805</v>
      </c>
      <c r="O241" s="27">
        <f t="shared" si="281"/>
        <v>0.186458333333333</v>
      </c>
      <c r="P241" s="21">
        <v>48</v>
      </c>
      <c r="Q241" s="29">
        <v>9</v>
      </c>
      <c r="R241" s="30">
        <f t="shared" si="282"/>
        <v>0.280898876404494</v>
      </c>
      <c r="S241" s="26">
        <f t="shared" si="283"/>
        <v>0.192455735180908</v>
      </c>
      <c r="T241" s="30">
        <f t="shared" si="284"/>
        <v>0.218932584269663</v>
      </c>
      <c r="U241" s="30">
        <v>0.01</v>
      </c>
      <c r="V241" s="30">
        <f t="shared" si="285"/>
        <v>0.246594411852441</v>
      </c>
      <c r="W241" s="30">
        <f t="shared" si="286"/>
        <v>0.0209503745318352</v>
      </c>
      <c r="X241" s="31">
        <v>0.178</v>
      </c>
      <c r="Y241" s="32">
        <v>2.5</v>
      </c>
      <c r="Z241" s="32">
        <f>F241*0.15</f>
        <v>1.9485</v>
      </c>
      <c r="AA241" s="32">
        <f t="shared" si="287"/>
        <v>0.089</v>
      </c>
      <c r="AB241" s="27">
        <f t="shared" si="288"/>
        <v>1.5842</v>
      </c>
      <c r="AC241" s="27">
        <v>17.8</v>
      </c>
      <c r="AD241" s="33">
        <f t="shared" si="289"/>
        <v>15.7522123893805</v>
      </c>
      <c r="AE241" s="29">
        <f t="shared" si="294"/>
        <v>0.444444444444444</v>
      </c>
      <c r="AF241" s="30">
        <f t="shared" si="290"/>
        <v>0.196656833824975</v>
      </c>
      <c r="AG241" s="30">
        <f t="shared" si="291"/>
        <v>0.00554861978082952</v>
      </c>
      <c r="AH241" s="29">
        <v>4</v>
      </c>
      <c r="AI241" s="30">
        <f t="shared" si="292"/>
        <v>0.204912376035865</v>
      </c>
      <c r="AJ241" s="30"/>
      <c r="AK241" s="30"/>
      <c r="AL241" s="30"/>
      <c r="AM241" s="30"/>
      <c r="AN241" s="34"/>
      <c r="AO241" s="34"/>
      <c r="AP241" s="34"/>
      <c r="AQ241" s="34"/>
      <c r="AR241" s="34"/>
      <c r="AS241" s="34"/>
      <c r="AT241" s="34" t="s">
        <v>156</v>
      </c>
      <c r="AU241" s="34" t="s">
        <v>156</v>
      </c>
      <c r="AV241" s="34" t="s">
        <v>156</v>
      </c>
      <c r="AW241" s="34" t="s">
        <v>156</v>
      </c>
      <c r="AX241" s="34" t="s">
        <v>156</v>
      </c>
      <c r="AY241" s="34" t="s">
        <v>156</v>
      </c>
      <c r="AZ241" s="34" t="s">
        <v>156</v>
      </c>
      <c r="BA241" s="34" t="s">
        <v>156</v>
      </c>
      <c r="BB241" s="34" t="s">
        <v>156</v>
      </c>
      <c r="BC241" s="34" t="s">
        <v>156</v>
      </c>
      <c r="BD241" s="34" t="s">
        <v>156</v>
      </c>
      <c r="BE241" s="34" t="s">
        <v>156</v>
      </c>
      <c r="BF241" s="34" t="s">
        <v>156</v>
      </c>
      <c r="BG241" s="34" t="s">
        <v>156</v>
      </c>
      <c r="BH241" s="34" t="s">
        <v>156</v>
      </c>
      <c r="BI241" s="34" t="s">
        <v>156</v>
      </c>
      <c r="BJ241" s="34" t="s">
        <v>156</v>
      </c>
      <c r="BK241" s="34" t="s">
        <v>156</v>
      </c>
      <c r="BL241" s="34" t="s">
        <v>156</v>
      </c>
      <c r="BM241" s="34" t="s">
        <v>156</v>
      </c>
      <c r="BN241" s="34" t="s">
        <v>156</v>
      </c>
      <c r="BO241" s="34" t="s">
        <v>156</v>
      </c>
      <c r="BP241" s="34" t="s">
        <v>156</v>
      </c>
      <c r="BQ241" s="34" t="s">
        <v>156</v>
      </c>
      <c r="BR241" s="35"/>
      <c r="BS241" s="20" t="s">
        <v>157</v>
      </c>
    </row>
    <row r="242" ht="16.5" spans="1:71">
      <c r="A242" s="21" t="s">
        <v>37</v>
      </c>
      <c r="B242" s="21"/>
      <c r="C242" s="45"/>
      <c r="D242" s="60" t="s">
        <v>212</v>
      </c>
      <c r="E242" s="55">
        <v>9.6</v>
      </c>
      <c r="F242" s="38">
        <v>13.99</v>
      </c>
      <c r="G242" s="25">
        <f t="shared" si="274"/>
        <v>13.99</v>
      </c>
      <c r="H242" s="25">
        <f t="shared" si="275"/>
        <v>11.6583333333333</v>
      </c>
      <c r="I242" s="25">
        <f t="shared" si="276"/>
        <v>2.5687151179941</v>
      </c>
      <c r="J242" s="26">
        <f t="shared" si="277"/>
        <v>0.267574491457719</v>
      </c>
      <c r="K242" s="27">
        <f t="shared" si="278"/>
        <v>11.6583333333333</v>
      </c>
      <c r="L242" s="28">
        <f t="shared" si="279"/>
        <v>0.176554681915654</v>
      </c>
      <c r="M242" s="25">
        <f t="shared" si="280"/>
        <v>2.05833333333333</v>
      </c>
      <c r="N242" s="27">
        <f>AD242+AH243</f>
        <v>19.7522123893805</v>
      </c>
      <c r="O242" s="27">
        <f t="shared" si="281"/>
        <v>0.161458333333333</v>
      </c>
      <c r="P242" s="21">
        <v>48</v>
      </c>
      <c r="Q242" s="29">
        <v>8</v>
      </c>
      <c r="R242" s="30">
        <f t="shared" si="282"/>
        <v>0.260416666666667</v>
      </c>
      <c r="S242" s="26">
        <f t="shared" si="283"/>
        <v>0.178699070764832</v>
      </c>
      <c r="T242" s="30">
        <f t="shared" si="284"/>
        <v>0</v>
      </c>
      <c r="U242" s="30">
        <v>0.01</v>
      </c>
      <c r="V242" s="30">
        <f t="shared" si="285"/>
        <v>0.257190265486726</v>
      </c>
      <c r="W242" s="30">
        <f t="shared" si="286"/>
        <v>0.0168185763888889</v>
      </c>
      <c r="X242" s="31">
        <v>0.188</v>
      </c>
      <c r="Y242" s="32">
        <v>2.5</v>
      </c>
      <c r="Z242" s="32">
        <v>0</v>
      </c>
      <c r="AA242" s="32">
        <f t="shared" si="287"/>
        <v>0.096</v>
      </c>
      <c r="AB242" s="27">
        <f t="shared" si="288"/>
        <v>1.8048</v>
      </c>
      <c r="AC242" s="27">
        <v>17.8</v>
      </c>
      <c r="AD242" s="33">
        <f t="shared" si="289"/>
        <v>15.7522123893805</v>
      </c>
      <c r="AE242" s="29">
        <f>AH243/Q242</f>
        <v>0.5</v>
      </c>
      <c r="AF242" s="30">
        <f t="shared" si="290"/>
        <v>0.205106932153392</v>
      </c>
      <c r="AG242" s="30">
        <f t="shared" si="291"/>
        <v>0.00651041666666667</v>
      </c>
      <c r="AH242" s="29">
        <v>4</v>
      </c>
      <c r="AI242" s="30">
        <f t="shared" si="292"/>
        <v>0.331362401715511</v>
      </c>
      <c r="AJ242" s="30"/>
      <c r="AK242" s="30"/>
      <c r="AL242" s="30"/>
      <c r="AM242" s="30"/>
      <c r="AN242" s="34"/>
      <c r="AO242" s="34"/>
      <c r="AP242" s="34"/>
      <c r="AQ242" s="34"/>
      <c r="AR242" s="34"/>
      <c r="AS242" s="34"/>
      <c r="AT242" s="34" t="s">
        <v>156</v>
      </c>
      <c r="AU242" s="34" t="s">
        <v>156</v>
      </c>
      <c r="AV242" s="34" t="s">
        <v>156</v>
      </c>
      <c r="AW242" s="34" t="s">
        <v>156</v>
      </c>
      <c r="AX242" s="34" t="s">
        <v>156</v>
      </c>
      <c r="AY242" s="34" t="s">
        <v>156</v>
      </c>
      <c r="AZ242" s="34" t="s">
        <v>156</v>
      </c>
      <c r="BA242" s="34" t="s">
        <v>156</v>
      </c>
      <c r="BB242" s="34" t="s">
        <v>156</v>
      </c>
      <c r="BC242" s="34" t="s">
        <v>156</v>
      </c>
      <c r="BD242" s="34" t="s">
        <v>156</v>
      </c>
      <c r="BE242" s="34" t="s">
        <v>156</v>
      </c>
      <c r="BF242" s="34" t="s">
        <v>156</v>
      </c>
      <c r="BG242" s="34" t="s">
        <v>156</v>
      </c>
      <c r="BH242" s="34" t="s">
        <v>156</v>
      </c>
      <c r="BI242" s="34" t="s">
        <v>156</v>
      </c>
      <c r="BJ242" s="34" t="s">
        <v>156</v>
      </c>
      <c r="BK242" s="34" t="s">
        <v>156</v>
      </c>
      <c r="BL242" s="34" t="s">
        <v>156</v>
      </c>
      <c r="BM242" s="34" t="s">
        <v>156</v>
      </c>
      <c r="BN242" s="34" t="s">
        <v>156</v>
      </c>
      <c r="BO242" s="34" t="s">
        <v>156</v>
      </c>
      <c r="BP242" s="34" t="s">
        <v>156</v>
      </c>
      <c r="BQ242" s="34" t="s">
        <v>156</v>
      </c>
      <c r="BR242" s="35"/>
      <c r="BS242" s="20" t="s">
        <v>157</v>
      </c>
    </row>
    <row r="243" ht="16.5" spans="1:71">
      <c r="A243" s="21" t="s">
        <v>37</v>
      </c>
      <c r="B243" s="21"/>
      <c r="C243" s="45"/>
      <c r="D243" s="60" t="s">
        <v>213</v>
      </c>
      <c r="E243" s="55">
        <v>9.6</v>
      </c>
      <c r="F243" s="24">
        <v>13.99</v>
      </c>
      <c r="G243" s="25">
        <f t="shared" si="274"/>
        <v>12.591</v>
      </c>
      <c r="H243" s="25">
        <f t="shared" si="275"/>
        <v>10.4925</v>
      </c>
      <c r="I243" s="36">
        <f t="shared" si="276"/>
        <v>1.1697151179941</v>
      </c>
      <c r="J243" s="26">
        <f t="shared" si="277"/>
        <v>0.121845324791052</v>
      </c>
      <c r="K243" s="27">
        <f t="shared" si="278"/>
        <v>11.6583333333333</v>
      </c>
      <c r="L243" s="28">
        <f t="shared" si="279"/>
        <v>0.176554681915654</v>
      </c>
      <c r="M243" s="25">
        <f t="shared" si="280"/>
        <v>2.05833333333333</v>
      </c>
      <c r="N243" s="27">
        <f t="shared" si="293"/>
        <v>19.7522123893805</v>
      </c>
      <c r="O243" s="27">
        <f t="shared" si="281"/>
        <v>0.161458333333333</v>
      </c>
      <c r="P243" s="21">
        <v>48</v>
      </c>
      <c r="Q243" s="29">
        <v>8</v>
      </c>
      <c r="R243" s="30">
        <f t="shared" si="282"/>
        <v>0.260416666666667</v>
      </c>
      <c r="S243" s="26">
        <f t="shared" si="283"/>
        <v>0.178699070764832</v>
      </c>
      <c r="T243" s="30">
        <f t="shared" si="284"/>
        <v>0.145729166666667</v>
      </c>
      <c r="U243" s="30">
        <v>0.01</v>
      </c>
      <c r="V243" s="30">
        <f t="shared" si="285"/>
        <v>0.257190265486726</v>
      </c>
      <c r="W243" s="30">
        <f t="shared" si="286"/>
        <v>0.0168185763888889</v>
      </c>
      <c r="X243" s="31">
        <v>0.188</v>
      </c>
      <c r="Y243" s="32">
        <v>2.5</v>
      </c>
      <c r="Z243" s="32">
        <f>F243*0.1</f>
        <v>1.399</v>
      </c>
      <c r="AA243" s="32">
        <f t="shared" si="287"/>
        <v>0.096</v>
      </c>
      <c r="AB243" s="27">
        <f t="shared" si="288"/>
        <v>1.8048</v>
      </c>
      <c r="AC243" s="27">
        <v>17.8</v>
      </c>
      <c r="AD243" s="33">
        <f t="shared" si="289"/>
        <v>15.7522123893805</v>
      </c>
      <c r="AE243" s="29">
        <f t="shared" si="294"/>
        <v>0.5</v>
      </c>
      <c r="AF243" s="30">
        <f t="shared" si="290"/>
        <v>0.205106932153392</v>
      </c>
      <c r="AG243" s="30">
        <f t="shared" si="291"/>
        <v>0.00651041666666667</v>
      </c>
      <c r="AH243" s="29">
        <v>4</v>
      </c>
      <c r="AI243" s="30">
        <f t="shared" si="292"/>
        <v>0.257069335239457</v>
      </c>
      <c r="AJ243" s="30"/>
      <c r="AK243" s="30"/>
      <c r="AL243" s="30"/>
      <c r="AM243" s="30"/>
      <c r="AN243" s="34"/>
      <c r="AO243" s="34"/>
      <c r="AP243" s="34"/>
      <c r="AQ243" s="34"/>
      <c r="AR243" s="34"/>
      <c r="AS243" s="34"/>
      <c r="AT243" s="34" t="s">
        <v>156</v>
      </c>
      <c r="AU243" s="34" t="s">
        <v>156</v>
      </c>
      <c r="AV243" s="34" t="s">
        <v>156</v>
      </c>
      <c r="AW243" s="34" t="s">
        <v>156</v>
      </c>
      <c r="AX243" s="34" t="s">
        <v>156</v>
      </c>
      <c r="AY243" s="34" t="s">
        <v>156</v>
      </c>
      <c r="AZ243" s="34" t="s">
        <v>156</v>
      </c>
      <c r="BA243" s="34" t="s">
        <v>156</v>
      </c>
      <c r="BB243" s="34" t="s">
        <v>156</v>
      </c>
      <c r="BC243" s="34" t="s">
        <v>156</v>
      </c>
      <c r="BD243" s="34" t="s">
        <v>156</v>
      </c>
      <c r="BE243" s="34" t="s">
        <v>156</v>
      </c>
      <c r="BF243" s="34" t="s">
        <v>156</v>
      </c>
      <c r="BG243" s="34" t="s">
        <v>156</v>
      </c>
      <c r="BH243" s="34" t="s">
        <v>156</v>
      </c>
      <c r="BI243" s="34" t="s">
        <v>156</v>
      </c>
      <c r="BJ243" s="34" t="s">
        <v>156</v>
      </c>
      <c r="BK243" s="34" t="s">
        <v>156</v>
      </c>
      <c r="BL243" s="34" t="s">
        <v>156</v>
      </c>
      <c r="BM243" s="34" t="s">
        <v>156</v>
      </c>
      <c r="BN243" s="34" t="s">
        <v>156</v>
      </c>
      <c r="BO243" s="34" t="s">
        <v>156</v>
      </c>
      <c r="BP243" s="34" t="s">
        <v>156</v>
      </c>
      <c r="BQ243" s="34" t="s">
        <v>156</v>
      </c>
      <c r="BR243" s="35"/>
      <c r="BS243" s="20" t="s">
        <v>157</v>
      </c>
    </row>
    <row r="244" ht="16.5" spans="1:71">
      <c r="A244" s="21" t="s">
        <v>37</v>
      </c>
      <c r="B244" s="21"/>
      <c r="C244" s="45"/>
      <c r="D244" s="60" t="s">
        <v>214</v>
      </c>
      <c r="E244" s="55">
        <v>9.6</v>
      </c>
      <c r="F244" s="24">
        <v>13.99</v>
      </c>
      <c r="G244" s="25">
        <f t="shared" si="274"/>
        <v>11.8915</v>
      </c>
      <c r="H244" s="25">
        <f t="shared" si="275"/>
        <v>9.90958333333333</v>
      </c>
      <c r="I244" s="25">
        <f t="shared" si="276"/>
        <v>0.4702151179941</v>
      </c>
      <c r="J244" s="26">
        <f t="shared" si="277"/>
        <v>0.0489807414577187</v>
      </c>
      <c r="K244" s="27">
        <f t="shared" si="278"/>
        <v>11.6583333333333</v>
      </c>
      <c r="L244" s="28">
        <f t="shared" si="279"/>
        <v>0.176554681915654</v>
      </c>
      <c r="M244" s="25">
        <f t="shared" si="280"/>
        <v>2.05833333333333</v>
      </c>
      <c r="N244" s="27">
        <f t="shared" si="293"/>
        <v>19.7522123893805</v>
      </c>
      <c r="O244" s="27">
        <f t="shared" si="281"/>
        <v>0.161458333333333</v>
      </c>
      <c r="P244" s="21">
        <v>48</v>
      </c>
      <c r="Q244" s="29">
        <v>8</v>
      </c>
      <c r="R244" s="30">
        <f t="shared" si="282"/>
        <v>0.260416666666667</v>
      </c>
      <c r="S244" s="26">
        <f t="shared" si="283"/>
        <v>0.178699070764832</v>
      </c>
      <c r="T244" s="30">
        <f t="shared" si="284"/>
        <v>0.21859375</v>
      </c>
      <c r="U244" s="30">
        <v>0.01</v>
      </c>
      <c r="V244" s="30">
        <f t="shared" si="285"/>
        <v>0.257190265486726</v>
      </c>
      <c r="W244" s="30">
        <f t="shared" si="286"/>
        <v>0.0168185763888889</v>
      </c>
      <c r="X244" s="31">
        <v>0.188</v>
      </c>
      <c r="Y244" s="32">
        <v>2.5</v>
      </c>
      <c r="Z244" s="32">
        <f>F244*0.15</f>
        <v>2.0985</v>
      </c>
      <c r="AA244" s="32">
        <f t="shared" si="287"/>
        <v>0.096</v>
      </c>
      <c r="AB244" s="27">
        <f t="shared" si="288"/>
        <v>1.8048</v>
      </c>
      <c r="AC244" s="27">
        <v>17.8</v>
      </c>
      <c r="AD244" s="33">
        <f t="shared" si="289"/>
        <v>15.7522123893805</v>
      </c>
      <c r="AE244" s="29">
        <f t="shared" si="294"/>
        <v>0.5</v>
      </c>
      <c r="AF244" s="30">
        <f t="shared" si="290"/>
        <v>0.205106932153392</v>
      </c>
      <c r="AG244" s="30">
        <f t="shared" si="291"/>
        <v>0.00651041666666667</v>
      </c>
      <c r="AH244" s="29">
        <v>4</v>
      </c>
      <c r="AI244" s="30">
        <f t="shared" si="292"/>
        <v>0.213367531430013</v>
      </c>
      <c r="AJ244" s="30"/>
      <c r="AK244" s="30"/>
      <c r="AL244" s="30"/>
      <c r="AM244" s="30"/>
      <c r="AN244" s="34"/>
      <c r="AO244" s="34"/>
      <c r="AP244" s="34"/>
      <c r="AQ244" s="34"/>
      <c r="AR244" s="34"/>
      <c r="AS244" s="34"/>
      <c r="AT244" s="34" t="s">
        <v>156</v>
      </c>
      <c r="AU244" s="34" t="s">
        <v>156</v>
      </c>
      <c r="AV244" s="34" t="s">
        <v>156</v>
      </c>
      <c r="AW244" s="34" t="s">
        <v>156</v>
      </c>
      <c r="AX244" s="34" t="s">
        <v>156</v>
      </c>
      <c r="AY244" s="34" t="s">
        <v>156</v>
      </c>
      <c r="AZ244" s="34" t="s">
        <v>156</v>
      </c>
      <c r="BA244" s="34" t="s">
        <v>156</v>
      </c>
      <c r="BB244" s="34" t="s">
        <v>156</v>
      </c>
      <c r="BC244" s="34" t="s">
        <v>156</v>
      </c>
      <c r="BD244" s="34" t="s">
        <v>156</v>
      </c>
      <c r="BE244" s="34" t="s">
        <v>156</v>
      </c>
      <c r="BF244" s="34" t="s">
        <v>156</v>
      </c>
      <c r="BG244" s="34" t="s">
        <v>156</v>
      </c>
      <c r="BH244" s="34" t="s">
        <v>156</v>
      </c>
      <c r="BI244" s="34" t="s">
        <v>156</v>
      </c>
      <c r="BJ244" s="34" t="s">
        <v>156</v>
      </c>
      <c r="BK244" s="34" t="s">
        <v>156</v>
      </c>
      <c r="BL244" s="34" t="s">
        <v>156</v>
      </c>
      <c r="BM244" s="34" t="s">
        <v>156</v>
      </c>
      <c r="BN244" s="34" t="s">
        <v>156</v>
      </c>
      <c r="BO244" s="34" t="s">
        <v>156</v>
      </c>
      <c r="BP244" s="34" t="s">
        <v>156</v>
      </c>
      <c r="BQ244" s="34" t="s">
        <v>156</v>
      </c>
      <c r="BR244" s="35"/>
      <c r="BS244" s="20" t="s">
        <v>157</v>
      </c>
    </row>
    <row r="245" ht="16.5" spans="1:71">
      <c r="A245" s="21" t="s">
        <v>43</v>
      </c>
      <c r="B245" s="21"/>
      <c r="C245" s="45"/>
      <c r="D245" s="60" t="s">
        <v>212</v>
      </c>
      <c r="E245" s="55">
        <v>9.6</v>
      </c>
      <c r="F245" s="24">
        <v>13.99</v>
      </c>
      <c r="G245" s="25">
        <f t="shared" si="274"/>
        <v>13.99</v>
      </c>
      <c r="H245" s="25">
        <f t="shared" si="275"/>
        <v>11.6583333333333</v>
      </c>
      <c r="I245" s="25">
        <f t="shared" si="276"/>
        <v>2.43329845132743</v>
      </c>
      <c r="J245" s="26">
        <f t="shared" si="277"/>
        <v>0.253468588679941</v>
      </c>
      <c r="K245" s="27">
        <f t="shared" si="278"/>
        <v>11.6583333333333</v>
      </c>
      <c r="L245" s="28">
        <f t="shared" si="279"/>
        <v>0.176554681915654</v>
      </c>
      <c r="M245" s="25">
        <f t="shared" si="280"/>
        <v>2.05833333333333</v>
      </c>
      <c r="N245" s="27">
        <f t="shared" si="293"/>
        <v>19.7522123893805</v>
      </c>
      <c r="O245" s="27">
        <f t="shared" si="281"/>
        <v>0.296875</v>
      </c>
      <c r="P245" s="21">
        <v>48</v>
      </c>
      <c r="Q245" s="29">
        <v>8</v>
      </c>
      <c r="R245" s="30">
        <f t="shared" si="282"/>
        <v>0.260416666666667</v>
      </c>
      <c r="S245" s="26">
        <f t="shared" si="283"/>
        <v>0.178699070764832</v>
      </c>
      <c r="T245" s="30">
        <f t="shared" si="284"/>
        <v>0</v>
      </c>
      <c r="U245" s="30">
        <v>0.01</v>
      </c>
      <c r="V245" s="30">
        <f t="shared" si="285"/>
        <v>0.257190265486726</v>
      </c>
      <c r="W245" s="30">
        <f t="shared" si="286"/>
        <v>0.0309244791666667</v>
      </c>
      <c r="X245" s="31">
        <v>0.188</v>
      </c>
      <c r="Y245" s="32">
        <v>2.5</v>
      </c>
      <c r="Z245" s="32">
        <v>0</v>
      </c>
      <c r="AA245" s="32">
        <f t="shared" si="287"/>
        <v>0.096</v>
      </c>
      <c r="AB245" s="27">
        <f t="shared" si="288"/>
        <v>1.8048</v>
      </c>
      <c r="AC245" s="27">
        <v>17.8</v>
      </c>
      <c r="AD245" s="33">
        <f t="shared" si="289"/>
        <v>15.7522123893805</v>
      </c>
      <c r="AE245" s="29">
        <f t="shared" si="294"/>
        <v>0.5</v>
      </c>
      <c r="AF245" s="30">
        <f t="shared" si="290"/>
        <v>0.205106932153392</v>
      </c>
      <c r="AG245" s="30">
        <f t="shared" si="291"/>
        <v>0.00651041666666667</v>
      </c>
      <c r="AH245" s="29">
        <v>4</v>
      </c>
      <c r="AI245" s="30">
        <f t="shared" si="292"/>
        <v>0.331362401715511</v>
      </c>
      <c r="AJ245" s="30"/>
      <c r="AK245" s="30"/>
      <c r="AL245" s="30"/>
      <c r="AM245" s="30"/>
      <c r="AN245" s="34"/>
      <c r="AO245" s="34"/>
      <c r="AP245" s="34"/>
      <c r="AQ245" s="34"/>
      <c r="AR245" s="34"/>
      <c r="AS245" s="34"/>
      <c r="AT245" s="34" t="s">
        <v>156</v>
      </c>
      <c r="AU245" s="34" t="s">
        <v>156</v>
      </c>
      <c r="AV245" s="34" t="s">
        <v>156</v>
      </c>
      <c r="AW245" s="34" t="s">
        <v>156</v>
      </c>
      <c r="AX245" s="34" t="s">
        <v>156</v>
      </c>
      <c r="AY245" s="34" t="s">
        <v>156</v>
      </c>
      <c r="AZ245" s="34" t="s">
        <v>156</v>
      </c>
      <c r="BA245" s="34" t="s">
        <v>156</v>
      </c>
      <c r="BB245" s="34" t="s">
        <v>156</v>
      </c>
      <c r="BC245" s="34" t="s">
        <v>156</v>
      </c>
      <c r="BD245" s="34" t="s">
        <v>156</v>
      </c>
      <c r="BE245" s="34" t="s">
        <v>156</v>
      </c>
      <c r="BF245" s="34" t="s">
        <v>156</v>
      </c>
      <c r="BG245" s="34" t="s">
        <v>156</v>
      </c>
      <c r="BH245" s="34" t="s">
        <v>156</v>
      </c>
      <c r="BI245" s="34" t="s">
        <v>156</v>
      </c>
      <c r="BJ245" s="34" t="s">
        <v>156</v>
      </c>
      <c r="BK245" s="34" t="s">
        <v>156</v>
      </c>
      <c r="BL245" s="34" t="s">
        <v>156</v>
      </c>
      <c r="BM245" s="34" t="s">
        <v>156</v>
      </c>
      <c r="BN245" s="34" t="s">
        <v>156</v>
      </c>
      <c r="BO245" s="34" t="s">
        <v>156</v>
      </c>
      <c r="BP245" s="34" t="s">
        <v>156</v>
      </c>
      <c r="BQ245" s="34" t="s">
        <v>156</v>
      </c>
      <c r="BR245" s="35"/>
      <c r="BS245" s="20" t="s">
        <v>157</v>
      </c>
    </row>
    <row r="246" ht="16.5" spans="1:71">
      <c r="A246" s="21" t="s">
        <v>43</v>
      </c>
      <c r="B246" s="21"/>
      <c r="C246" s="45"/>
      <c r="D246" s="60" t="s">
        <v>213</v>
      </c>
      <c r="E246" s="55">
        <v>9.6</v>
      </c>
      <c r="F246" s="24">
        <v>13.99</v>
      </c>
      <c r="G246" s="25">
        <f t="shared" si="274"/>
        <v>12.591</v>
      </c>
      <c r="H246" s="25">
        <f t="shared" si="275"/>
        <v>10.4925</v>
      </c>
      <c r="I246" s="36">
        <f t="shared" si="276"/>
        <v>1.03429845132743</v>
      </c>
      <c r="J246" s="26">
        <f t="shared" si="277"/>
        <v>0.107739422013274</v>
      </c>
      <c r="K246" s="27">
        <f t="shared" si="278"/>
        <v>11.6583333333333</v>
      </c>
      <c r="L246" s="28">
        <f t="shared" si="279"/>
        <v>0.176554681915654</v>
      </c>
      <c r="M246" s="25">
        <f t="shared" si="280"/>
        <v>2.05833333333333</v>
      </c>
      <c r="N246" s="27">
        <f t="shared" si="293"/>
        <v>19.7522123893805</v>
      </c>
      <c r="O246" s="27">
        <f t="shared" si="281"/>
        <v>0.296875</v>
      </c>
      <c r="P246" s="21">
        <v>48</v>
      </c>
      <c r="Q246" s="29">
        <v>8</v>
      </c>
      <c r="R246" s="30">
        <f t="shared" si="282"/>
        <v>0.260416666666667</v>
      </c>
      <c r="S246" s="26">
        <f t="shared" si="283"/>
        <v>0.178699070764832</v>
      </c>
      <c r="T246" s="30">
        <f t="shared" si="284"/>
        <v>0.145729166666667</v>
      </c>
      <c r="U246" s="30">
        <v>0.01</v>
      </c>
      <c r="V246" s="30">
        <f t="shared" si="285"/>
        <v>0.257190265486726</v>
      </c>
      <c r="W246" s="30">
        <f t="shared" si="286"/>
        <v>0.0309244791666667</v>
      </c>
      <c r="X246" s="31">
        <v>0.188</v>
      </c>
      <c r="Y246" s="32">
        <v>2.5</v>
      </c>
      <c r="Z246" s="32">
        <f>F246*0.1</f>
        <v>1.399</v>
      </c>
      <c r="AA246" s="32">
        <f t="shared" si="287"/>
        <v>0.096</v>
      </c>
      <c r="AB246" s="27">
        <f t="shared" si="288"/>
        <v>1.8048</v>
      </c>
      <c r="AC246" s="27">
        <v>17.8</v>
      </c>
      <c r="AD246" s="33">
        <f t="shared" si="289"/>
        <v>15.7522123893805</v>
      </c>
      <c r="AE246" s="29">
        <f t="shared" si="294"/>
        <v>0.5</v>
      </c>
      <c r="AF246" s="30">
        <f t="shared" si="290"/>
        <v>0.205106932153392</v>
      </c>
      <c r="AG246" s="30">
        <f t="shared" si="291"/>
        <v>0.00651041666666667</v>
      </c>
      <c r="AH246" s="29">
        <v>4</v>
      </c>
      <c r="AI246" s="30">
        <f t="shared" si="292"/>
        <v>0.257069335239457</v>
      </c>
      <c r="AJ246" s="30"/>
      <c r="AK246" s="30"/>
      <c r="AL246" s="30"/>
      <c r="AM246" s="30"/>
      <c r="AN246" s="34"/>
      <c r="AO246" s="34"/>
      <c r="AP246" s="34"/>
      <c r="AQ246" s="34"/>
      <c r="AR246" s="34"/>
      <c r="AS246" s="34"/>
      <c r="AT246" s="34" t="s">
        <v>156</v>
      </c>
      <c r="AU246" s="34" t="s">
        <v>156</v>
      </c>
      <c r="AV246" s="34" t="s">
        <v>156</v>
      </c>
      <c r="AW246" s="34" t="s">
        <v>156</v>
      </c>
      <c r="AX246" s="34" t="s">
        <v>156</v>
      </c>
      <c r="AY246" s="34" t="s">
        <v>156</v>
      </c>
      <c r="AZ246" s="34" t="s">
        <v>156</v>
      </c>
      <c r="BA246" s="34" t="s">
        <v>156</v>
      </c>
      <c r="BB246" s="34" t="s">
        <v>156</v>
      </c>
      <c r="BC246" s="34" t="s">
        <v>156</v>
      </c>
      <c r="BD246" s="34" t="s">
        <v>156</v>
      </c>
      <c r="BE246" s="34" t="s">
        <v>156</v>
      </c>
      <c r="BF246" s="34" t="s">
        <v>156</v>
      </c>
      <c r="BG246" s="34" t="s">
        <v>156</v>
      </c>
      <c r="BH246" s="34" t="s">
        <v>156</v>
      </c>
      <c r="BI246" s="34" t="s">
        <v>156</v>
      </c>
      <c r="BJ246" s="34" t="s">
        <v>156</v>
      </c>
      <c r="BK246" s="34" t="s">
        <v>156</v>
      </c>
      <c r="BL246" s="34" t="s">
        <v>156</v>
      </c>
      <c r="BM246" s="34" t="s">
        <v>156</v>
      </c>
      <c r="BN246" s="34" t="s">
        <v>156</v>
      </c>
      <c r="BO246" s="34" t="s">
        <v>156</v>
      </c>
      <c r="BP246" s="34" t="s">
        <v>156</v>
      </c>
      <c r="BQ246" s="34" t="s">
        <v>156</v>
      </c>
      <c r="BR246" s="35"/>
      <c r="BS246" s="20" t="s">
        <v>157</v>
      </c>
    </row>
    <row r="247" ht="16.5" spans="1:71">
      <c r="A247" s="21" t="s">
        <v>43</v>
      </c>
      <c r="B247" s="21"/>
      <c r="C247" s="45"/>
      <c r="D247" s="60" t="s">
        <v>214</v>
      </c>
      <c r="E247" s="55">
        <v>9.6</v>
      </c>
      <c r="F247" s="24">
        <v>13.99</v>
      </c>
      <c r="G247" s="25">
        <f t="shared" si="274"/>
        <v>11.8915</v>
      </c>
      <c r="H247" s="25">
        <f t="shared" si="275"/>
        <v>9.90958333333333</v>
      </c>
      <c r="I247" s="25">
        <f t="shared" si="276"/>
        <v>0.334798451327433</v>
      </c>
      <c r="J247" s="26">
        <f t="shared" si="277"/>
        <v>0.0348748386799409</v>
      </c>
      <c r="K247" s="27">
        <f t="shared" si="278"/>
        <v>11.6583333333333</v>
      </c>
      <c r="L247" s="28">
        <f t="shared" si="279"/>
        <v>0.176554681915654</v>
      </c>
      <c r="M247" s="25">
        <f t="shared" si="280"/>
        <v>2.05833333333333</v>
      </c>
      <c r="N247" s="27">
        <f t="shared" si="293"/>
        <v>19.7522123893805</v>
      </c>
      <c r="O247" s="27">
        <f t="shared" si="281"/>
        <v>0.296875</v>
      </c>
      <c r="P247" s="21">
        <v>48</v>
      </c>
      <c r="Q247" s="29">
        <v>8</v>
      </c>
      <c r="R247" s="30">
        <f t="shared" si="282"/>
        <v>0.260416666666667</v>
      </c>
      <c r="S247" s="26">
        <f t="shared" si="283"/>
        <v>0.178699070764832</v>
      </c>
      <c r="T247" s="30">
        <f t="shared" si="284"/>
        <v>0.21859375</v>
      </c>
      <c r="U247" s="30">
        <v>0.01</v>
      </c>
      <c r="V247" s="30">
        <f t="shared" si="285"/>
        <v>0.257190265486726</v>
      </c>
      <c r="W247" s="30">
        <f t="shared" si="286"/>
        <v>0.0309244791666667</v>
      </c>
      <c r="X247" s="31">
        <v>0.188</v>
      </c>
      <c r="Y247" s="32">
        <v>2.5</v>
      </c>
      <c r="Z247" s="32">
        <f>F247*0.15</f>
        <v>2.0985</v>
      </c>
      <c r="AA247" s="32">
        <f t="shared" si="287"/>
        <v>0.096</v>
      </c>
      <c r="AB247" s="27">
        <f t="shared" si="288"/>
        <v>1.8048</v>
      </c>
      <c r="AC247" s="27">
        <v>17.8</v>
      </c>
      <c r="AD247" s="33">
        <f t="shared" si="289"/>
        <v>15.7522123893805</v>
      </c>
      <c r="AE247" s="29">
        <f t="shared" si="294"/>
        <v>0.5</v>
      </c>
      <c r="AF247" s="30">
        <f t="shared" si="290"/>
        <v>0.205106932153392</v>
      </c>
      <c r="AG247" s="30">
        <f t="shared" si="291"/>
        <v>0.00651041666666667</v>
      </c>
      <c r="AH247" s="29">
        <v>4</v>
      </c>
      <c r="AI247" s="30">
        <f t="shared" si="292"/>
        <v>0.213367531430013</v>
      </c>
      <c r="AJ247" s="30"/>
      <c r="AK247" s="30"/>
      <c r="AL247" s="30"/>
      <c r="AM247" s="30"/>
      <c r="AN247" s="34"/>
      <c r="AO247" s="34"/>
      <c r="AP247" s="34"/>
      <c r="AQ247" s="34"/>
      <c r="AR247" s="34"/>
      <c r="AS247" s="34"/>
      <c r="AT247" s="34" t="s">
        <v>156</v>
      </c>
      <c r="AU247" s="34" t="s">
        <v>156</v>
      </c>
      <c r="AV247" s="34" t="s">
        <v>156</v>
      </c>
      <c r="AW247" s="34" t="s">
        <v>156</v>
      </c>
      <c r="AX247" s="34" t="s">
        <v>156</v>
      </c>
      <c r="AY247" s="34" t="s">
        <v>156</v>
      </c>
      <c r="AZ247" s="34" t="s">
        <v>156</v>
      </c>
      <c r="BA247" s="34" t="s">
        <v>156</v>
      </c>
      <c r="BB247" s="34" t="s">
        <v>156</v>
      </c>
      <c r="BC247" s="34" t="s">
        <v>156</v>
      </c>
      <c r="BD247" s="34" t="s">
        <v>156</v>
      </c>
      <c r="BE247" s="34" t="s">
        <v>156</v>
      </c>
      <c r="BF247" s="34" t="s">
        <v>156</v>
      </c>
      <c r="BG247" s="34" t="s">
        <v>156</v>
      </c>
      <c r="BH247" s="34" t="s">
        <v>156</v>
      </c>
      <c r="BI247" s="34" t="s">
        <v>156</v>
      </c>
      <c r="BJ247" s="34" t="s">
        <v>156</v>
      </c>
      <c r="BK247" s="34" t="s">
        <v>156</v>
      </c>
      <c r="BL247" s="34" t="s">
        <v>156</v>
      </c>
      <c r="BM247" s="34" t="s">
        <v>156</v>
      </c>
      <c r="BN247" s="34" t="s">
        <v>156</v>
      </c>
      <c r="BO247" s="34" t="s">
        <v>156</v>
      </c>
      <c r="BP247" s="34" t="s">
        <v>156</v>
      </c>
      <c r="BQ247" s="34" t="s">
        <v>156</v>
      </c>
      <c r="BR247" s="35"/>
      <c r="BS247" s="20" t="s">
        <v>157</v>
      </c>
    </row>
    <row r="248" ht="16.5" spans="1:71">
      <c r="A248" s="21" t="s">
        <v>45</v>
      </c>
      <c r="B248" s="21"/>
      <c r="C248" s="45"/>
      <c r="D248" s="60" t="s">
        <v>212</v>
      </c>
      <c r="E248" s="55">
        <v>9.6</v>
      </c>
      <c r="F248" s="24">
        <v>13.99</v>
      </c>
      <c r="G248" s="25">
        <f t="shared" si="274"/>
        <v>13.99</v>
      </c>
      <c r="H248" s="25">
        <f t="shared" si="275"/>
        <v>11.6583333333333</v>
      </c>
      <c r="I248" s="25">
        <f t="shared" si="276"/>
        <v>2.4124651179941</v>
      </c>
      <c r="J248" s="26">
        <f t="shared" si="277"/>
        <v>0.251298449791052</v>
      </c>
      <c r="K248" s="27">
        <f t="shared" si="278"/>
        <v>11.6583333333333</v>
      </c>
      <c r="L248" s="28">
        <f t="shared" si="279"/>
        <v>0.176554681915654</v>
      </c>
      <c r="M248" s="25">
        <f t="shared" si="280"/>
        <v>2.05833333333333</v>
      </c>
      <c r="N248" s="27">
        <f t="shared" si="293"/>
        <v>19.7522123893805</v>
      </c>
      <c r="O248" s="27">
        <f t="shared" si="281"/>
        <v>0.317708333333333</v>
      </c>
      <c r="P248" s="21">
        <v>48</v>
      </c>
      <c r="Q248" s="29">
        <v>8</v>
      </c>
      <c r="R248" s="30">
        <f t="shared" si="282"/>
        <v>0.260416666666667</v>
      </c>
      <c r="S248" s="26">
        <f t="shared" si="283"/>
        <v>0.178699070764832</v>
      </c>
      <c r="T248" s="30">
        <f t="shared" si="284"/>
        <v>0</v>
      </c>
      <c r="U248" s="30">
        <v>0.01</v>
      </c>
      <c r="V248" s="30">
        <f t="shared" si="285"/>
        <v>0.257190265486726</v>
      </c>
      <c r="W248" s="30">
        <f t="shared" si="286"/>
        <v>0.0330946180555556</v>
      </c>
      <c r="X248" s="31">
        <v>0.188</v>
      </c>
      <c r="Y248" s="32">
        <v>2.5</v>
      </c>
      <c r="Z248" s="32">
        <v>0</v>
      </c>
      <c r="AA248" s="32">
        <f t="shared" si="287"/>
        <v>0.096</v>
      </c>
      <c r="AB248" s="27">
        <f t="shared" si="288"/>
        <v>1.8048</v>
      </c>
      <c r="AC248" s="27">
        <v>17.8</v>
      </c>
      <c r="AD248" s="33">
        <f t="shared" si="289"/>
        <v>15.7522123893805</v>
      </c>
      <c r="AE248" s="29">
        <f t="shared" si="294"/>
        <v>0.5</v>
      </c>
      <c r="AF248" s="30">
        <f t="shared" si="290"/>
        <v>0.205106932153392</v>
      </c>
      <c r="AG248" s="30">
        <f t="shared" si="291"/>
        <v>0.00651041666666667</v>
      </c>
      <c r="AH248" s="29">
        <v>4</v>
      </c>
      <c r="AI248" s="26">
        <f t="shared" si="292"/>
        <v>0.331362401715511</v>
      </c>
      <c r="AJ248" s="26"/>
      <c r="AK248" s="26"/>
      <c r="AL248" s="26"/>
      <c r="AM248" s="26"/>
      <c r="AN248" s="34"/>
      <c r="AO248" s="34"/>
      <c r="AP248" s="34"/>
      <c r="AQ248" s="34"/>
      <c r="AR248" s="34"/>
      <c r="AS248" s="34"/>
      <c r="AT248" s="34" t="s">
        <v>156</v>
      </c>
      <c r="AU248" s="34" t="s">
        <v>156</v>
      </c>
      <c r="AV248" s="34" t="s">
        <v>156</v>
      </c>
      <c r="AW248" s="34" t="s">
        <v>156</v>
      </c>
      <c r="AX248" s="34" t="s">
        <v>156</v>
      </c>
      <c r="AY248" s="34" t="s">
        <v>156</v>
      </c>
      <c r="AZ248" s="34" t="s">
        <v>156</v>
      </c>
      <c r="BA248" s="34" t="s">
        <v>156</v>
      </c>
      <c r="BB248" s="34" t="s">
        <v>156</v>
      </c>
      <c r="BC248" s="34" t="s">
        <v>156</v>
      </c>
      <c r="BD248" s="34" t="s">
        <v>156</v>
      </c>
      <c r="BE248" s="34" t="s">
        <v>156</v>
      </c>
      <c r="BF248" s="34" t="s">
        <v>156</v>
      </c>
      <c r="BG248" s="34" t="s">
        <v>156</v>
      </c>
      <c r="BH248" s="34" t="s">
        <v>156</v>
      </c>
      <c r="BI248" s="34" t="s">
        <v>156</v>
      </c>
      <c r="BJ248" s="34" t="s">
        <v>156</v>
      </c>
      <c r="BK248" s="34" t="s">
        <v>156</v>
      </c>
      <c r="BL248" s="34" t="s">
        <v>156</v>
      </c>
      <c r="BM248" s="34" t="s">
        <v>156</v>
      </c>
      <c r="BN248" s="34" t="s">
        <v>156</v>
      </c>
      <c r="BO248" s="34" t="s">
        <v>156</v>
      </c>
      <c r="BP248" s="34" t="s">
        <v>156</v>
      </c>
      <c r="BQ248" s="34" t="s">
        <v>156</v>
      </c>
      <c r="BR248" s="35"/>
      <c r="BS248" s="20" t="s">
        <v>157</v>
      </c>
    </row>
    <row r="249" ht="16.5" spans="1:71">
      <c r="A249" s="21" t="s">
        <v>45</v>
      </c>
      <c r="B249" s="21"/>
      <c r="C249" s="45"/>
      <c r="D249" s="60" t="s">
        <v>213</v>
      </c>
      <c r="E249" s="55">
        <v>9.6</v>
      </c>
      <c r="F249" s="24">
        <v>13.99</v>
      </c>
      <c r="G249" s="25">
        <f t="shared" si="274"/>
        <v>12.591</v>
      </c>
      <c r="H249" s="25">
        <f t="shared" si="275"/>
        <v>10.4925</v>
      </c>
      <c r="I249" s="36">
        <f t="shared" si="276"/>
        <v>1.0134651179941</v>
      </c>
      <c r="J249" s="26">
        <f t="shared" si="277"/>
        <v>0.105569283124385</v>
      </c>
      <c r="K249" s="27">
        <f t="shared" si="278"/>
        <v>11.6583333333333</v>
      </c>
      <c r="L249" s="28">
        <f t="shared" si="279"/>
        <v>0.176554681915654</v>
      </c>
      <c r="M249" s="25">
        <f t="shared" si="280"/>
        <v>2.05833333333333</v>
      </c>
      <c r="N249" s="27">
        <f t="shared" si="293"/>
        <v>19.7522123893805</v>
      </c>
      <c r="O249" s="27">
        <f t="shared" si="281"/>
        <v>0.317708333333333</v>
      </c>
      <c r="P249" s="21">
        <v>48</v>
      </c>
      <c r="Q249" s="29">
        <v>8</v>
      </c>
      <c r="R249" s="30">
        <f t="shared" si="282"/>
        <v>0.260416666666667</v>
      </c>
      <c r="S249" s="26">
        <f t="shared" si="283"/>
        <v>0.178699070764832</v>
      </c>
      <c r="T249" s="30">
        <f t="shared" si="284"/>
        <v>0.145729166666667</v>
      </c>
      <c r="U249" s="30">
        <v>0.01</v>
      </c>
      <c r="V249" s="30">
        <f t="shared" si="285"/>
        <v>0.257190265486726</v>
      </c>
      <c r="W249" s="30">
        <f t="shared" si="286"/>
        <v>0.0330946180555556</v>
      </c>
      <c r="X249" s="31">
        <v>0.188</v>
      </c>
      <c r="Y249" s="32">
        <v>2.5</v>
      </c>
      <c r="Z249" s="32">
        <f>F249*0.1</f>
        <v>1.399</v>
      </c>
      <c r="AA249" s="32">
        <f t="shared" si="287"/>
        <v>0.096</v>
      </c>
      <c r="AB249" s="27">
        <f t="shared" si="288"/>
        <v>1.8048</v>
      </c>
      <c r="AC249" s="27">
        <v>17.8</v>
      </c>
      <c r="AD249" s="33">
        <f t="shared" si="289"/>
        <v>15.7522123893805</v>
      </c>
      <c r="AE249" s="29">
        <f t="shared" si="294"/>
        <v>0.5</v>
      </c>
      <c r="AF249" s="30">
        <f t="shared" si="290"/>
        <v>0.205106932153392</v>
      </c>
      <c r="AG249" s="30">
        <f t="shared" si="291"/>
        <v>0.00651041666666667</v>
      </c>
      <c r="AH249" s="29">
        <v>4</v>
      </c>
      <c r="AI249" s="26">
        <f t="shared" si="292"/>
        <v>0.257069335239457</v>
      </c>
      <c r="AJ249" s="26"/>
      <c r="AK249" s="26"/>
      <c r="AL249" s="26"/>
      <c r="AM249" s="26"/>
      <c r="AN249" s="34"/>
      <c r="AO249" s="34"/>
      <c r="AP249" s="34"/>
      <c r="AQ249" s="34"/>
      <c r="AR249" s="34"/>
      <c r="AS249" s="34"/>
      <c r="AT249" s="34" t="s">
        <v>156</v>
      </c>
      <c r="AU249" s="34" t="s">
        <v>156</v>
      </c>
      <c r="AV249" s="34" t="s">
        <v>156</v>
      </c>
      <c r="AW249" s="34" t="s">
        <v>156</v>
      </c>
      <c r="AX249" s="34" t="s">
        <v>156</v>
      </c>
      <c r="AY249" s="34" t="s">
        <v>156</v>
      </c>
      <c r="AZ249" s="34" t="s">
        <v>156</v>
      </c>
      <c r="BA249" s="34" t="s">
        <v>156</v>
      </c>
      <c r="BB249" s="34" t="s">
        <v>156</v>
      </c>
      <c r="BC249" s="34" t="s">
        <v>156</v>
      </c>
      <c r="BD249" s="34" t="s">
        <v>156</v>
      </c>
      <c r="BE249" s="34" t="s">
        <v>156</v>
      </c>
      <c r="BF249" s="34" t="s">
        <v>156</v>
      </c>
      <c r="BG249" s="34" t="s">
        <v>156</v>
      </c>
      <c r="BH249" s="34" t="s">
        <v>156</v>
      </c>
      <c r="BI249" s="34" t="s">
        <v>156</v>
      </c>
      <c r="BJ249" s="34" t="s">
        <v>156</v>
      </c>
      <c r="BK249" s="34" t="s">
        <v>156</v>
      </c>
      <c r="BL249" s="34" t="s">
        <v>156</v>
      </c>
      <c r="BM249" s="34" t="s">
        <v>156</v>
      </c>
      <c r="BN249" s="34" t="s">
        <v>156</v>
      </c>
      <c r="BO249" s="34" t="s">
        <v>156</v>
      </c>
      <c r="BP249" s="34" t="s">
        <v>156</v>
      </c>
      <c r="BQ249" s="34" t="s">
        <v>156</v>
      </c>
      <c r="BR249" s="35"/>
      <c r="BS249" s="20" t="s">
        <v>157</v>
      </c>
    </row>
    <row r="250" ht="16.5" spans="1:71">
      <c r="A250" s="21" t="s">
        <v>45</v>
      </c>
      <c r="B250" s="21"/>
      <c r="C250" s="45"/>
      <c r="D250" s="60" t="s">
        <v>214</v>
      </c>
      <c r="E250" s="55">
        <v>9.6</v>
      </c>
      <c r="F250" s="24">
        <v>13.99</v>
      </c>
      <c r="G250" s="25">
        <f t="shared" si="274"/>
        <v>11.8915</v>
      </c>
      <c r="H250" s="25">
        <f t="shared" si="275"/>
        <v>9.90958333333333</v>
      </c>
      <c r="I250" s="25">
        <f t="shared" si="276"/>
        <v>0.3139651179941</v>
      </c>
      <c r="J250" s="26">
        <f t="shared" si="277"/>
        <v>0.032704699791052</v>
      </c>
      <c r="K250" s="27">
        <f t="shared" si="278"/>
        <v>11.6583333333333</v>
      </c>
      <c r="L250" s="28">
        <f t="shared" si="279"/>
        <v>0.176554681915654</v>
      </c>
      <c r="M250" s="25">
        <f t="shared" si="280"/>
        <v>2.05833333333333</v>
      </c>
      <c r="N250" s="27">
        <f t="shared" si="293"/>
        <v>19.7522123893805</v>
      </c>
      <c r="O250" s="27">
        <f t="shared" si="281"/>
        <v>0.317708333333333</v>
      </c>
      <c r="P250" s="21">
        <v>48</v>
      </c>
      <c r="Q250" s="29">
        <v>8</v>
      </c>
      <c r="R250" s="30">
        <f t="shared" si="282"/>
        <v>0.260416666666667</v>
      </c>
      <c r="S250" s="26">
        <f t="shared" si="283"/>
        <v>0.178699070764832</v>
      </c>
      <c r="T250" s="30">
        <f t="shared" si="284"/>
        <v>0.21859375</v>
      </c>
      <c r="U250" s="30">
        <v>0.01</v>
      </c>
      <c r="V250" s="30">
        <f t="shared" si="285"/>
        <v>0.257190265486726</v>
      </c>
      <c r="W250" s="30">
        <f t="shared" si="286"/>
        <v>0.0330946180555556</v>
      </c>
      <c r="X250" s="31">
        <v>0.188</v>
      </c>
      <c r="Y250" s="32">
        <v>2.5</v>
      </c>
      <c r="Z250" s="32">
        <f>F250*0.15</f>
        <v>2.0985</v>
      </c>
      <c r="AA250" s="32">
        <f t="shared" si="287"/>
        <v>0.096</v>
      </c>
      <c r="AB250" s="27">
        <f t="shared" si="288"/>
        <v>1.8048</v>
      </c>
      <c r="AC250" s="27">
        <v>17.8</v>
      </c>
      <c r="AD250" s="33">
        <f t="shared" si="289"/>
        <v>15.7522123893805</v>
      </c>
      <c r="AE250" s="29">
        <f t="shared" si="294"/>
        <v>0.5</v>
      </c>
      <c r="AF250" s="30">
        <f t="shared" si="290"/>
        <v>0.205106932153392</v>
      </c>
      <c r="AG250" s="30">
        <f t="shared" si="291"/>
        <v>0.00651041666666667</v>
      </c>
      <c r="AH250" s="29">
        <v>4</v>
      </c>
      <c r="AI250" s="26">
        <f t="shared" si="292"/>
        <v>0.213367531430013</v>
      </c>
      <c r="AJ250" s="26"/>
      <c r="AK250" s="26"/>
      <c r="AL250" s="26"/>
      <c r="AM250" s="26"/>
      <c r="AN250" s="34"/>
      <c r="AO250" s="34"/>
      <c r="AP250" s="34"/>
      <c r="AQ250" s="34"/>
      <c r="AR250" s="34"/>
      <c r="AS250" s="34"/>
      <c r="AT250" s="34" t="s">
        <v>156</v>
      </c>
      <c r="AU250" s="34" t="s">
        <v>156</v>
      </c>
      <c r="AV250" s="34" t="s">
        <v>156</v>
      </c>
      <c r="AW250" s="34" t="s">
        <v>156</v>
      </c>
      <c r="AX250" s="34" t="s">
        <v>156</v>
      </c>
      <c r="AY250" s="34" t="s">
        <v>156</v>
      </c>
      <c r="AZ250" s="34" t="s">
        <v>156</v>
      </c>
      <c r="BA250" s="34" t="s">
        <v>156</v>
      </c>
      <c r="BB250" s="34" t="s">
        <v>156</v>
      </c>
      <c r="BC250" s="34" t="s">
        <v>156</v>
      </c>
      <c r="BD250" s="34" t="s">
        <v>156</v>
      </c>
      <c r="BE250" s="34" t="s">
        <v>156</v>
      </c>
      <c r="BF250" s="34" t="s">
        <v>156</v>
      </c>
      <c r="BG250" s="34" t="s">
        <v>156</v>
      </c>
      <c r="BH250" s="34" t="s">
        <v>156</v>
      </c>
      <c r="BI250" s="34" t="s">
        <v>156</v>
      </c>
      <c r="BJ250" s="34" t="s">
        <v>156</v>
      </c>
      <c r="BK250" s="34" t="s">
        <v>156</v>
      </c>
      <c r="BL250" s="34" t="s">
        <v>156</v>
      </c>
      <c r="BM250" s="34" t="s">
        <v>156</v>
      </c>
      <c r="BN250" s="34" t="s">
        <v>156</v>
      </c>
      <c r="BO250" s="34" t="s">
        <v>156</v>
      </c>
      <c r="BP250" s="34" t="s">
        <v>156</v>
      </c>
      <c r="BQ250" s="34" t="s">
        <v>156</v>
      </c>
      <c r="BR250" s="35"/>
      <c r="BS250" s="20" t="s">
        <v>157</v>
      </c>
    </row>
    <row r="251" ht="16.5" spans="1:71">
      <c r="A251" s="21" t="s">
        <v>48</v>
      </c>
      <c r="B251" s="21"/>
      <c r="C251" s="45"/>
      <c r="D251" s="60" t="s">
        <v>212</v>
      </c>
      <c r="E251" s="55">
        <v>9.6</v>
      </c>
      <c r="F251" s="24">
        <v>13.99</v>
      </c>
      <c r="G251" s="25">
        <f t="shared" si="274"/>
        <v>13.99</v>
      </c>
      <c r="H251" s="25">
        <f t="shared" si="275"/>
        <v>11.6583333333333</v>
      </c>
      <c r="I251" s="25">
        <f t="shared" si="276"/>
        <v>2.32913178466077</v>
      </c>
      <c r="J251" s="26">
        <f t="shared" si="277"/>
        <v>0.242617894235497</v>
      </c>
      <c r="K251" s="27">
        <f t="shared" si="278"/>
        <v>11.6583333333333</v>
      </c>
      <c r="L251" s="28">
        <f t="shared" si="279"/>
        <v>0.176554681915654</v>
      </c>
      <c r="M251" s="25">
        <f t="shared" si="280"/>
        <v>2.05833333333333</v>
      </c>
      <c r="N251" s="27">
        <f t="shared" si="293"/>
        <v>19.7522123893805</v>
      </c>
      <c r="O251" s="27">
        <f t="shared" si="281"/>
        <v>0.401041666666667</v>
      </c>
      <c r="P251" s="21">
        <v>48</v>
      </c>
      <c r="Q251" s="29">
        <v>8</v>
      </c>
      <c r="R251" s="30">
        <f t="shared" si="282"/>
        <v>0.260416666666667</v>
      </c>
      <c r="S251" s="26">
        <f t="shared" si="283"/>
        <v>0.178699070764832</v>
      </c>
      <c r="T251" s="30">
        <f t="shared" si="284"/>
        <v>0</v>
      </c>
      <c r="U251" s="30">
        <v>0.01</v>
      </c>
      <c r="V251" s="30">
        <f t="shared" si="285"/>
        <v>0.257190265486726</v>
      </c>
      <c r="W251" s="30">
        <f t="shared" si="286"/>
        <v>0.0417751736111111</v>
      </c>
      <c r="X251" s="31">
        <v>0.188</v>
      </c>
      <c r="Y251" s="32">
        <v>2.5</v>
      </c>
      <c r="Z251" s="32">
        <v>0</v>
      </c>
      <c r="AA251" s="32">
        <f t="shared" si="287"/>
        <v>0.096</v>
      </c>
      <c r="AB251" s="27">
        <f t="shared" si="288"/>
        <v>1.8048</v>
      </c>
      <c r="AC251" s="27">
        <v>17.8</v>
      </c>
      <c r="AD251" s="33">
        <f t="shared" si="289"/>
        <v>15.7522123893805</v>
      </c>
      <c r="AE251" s="29">
        <f t="shared" si="294"/>
        <v>0.5</v>
      </c>
      <c r="AF251" s="30">
        <f t="shared" si="290"/>
        <v>0.205106932153392</v>
      </c>
      <c r="AG251" s="30">
        <f t="shared" si="291"/>
        <v>0.00651041666666667</v>
      </c>
      <c r="AH251" s="29">
        <v>4</v>
      </c>
      <c r="AI251" s="30">
        <f t="shared" si="292"/>
        <v>0.331362401715511</v>
      </c>
      <c r="AJ251" s="30"/>
      <c r="AK251" s="30"/>
      <c r="AL251" s="30"/>
      <c r="AM251" s="30"/>
      <c r="AN251" s="34"/>
      <c r="AO251" s="34"/>
      <c r="AP251" s="34"/>
      <c r="AQ251" s="34"/>
      <c r="AR251" s="34"/>
      <c r="AS251" s="34"/>
      <c r="AT251" s="34" t="s">
        <v>156</v>
      </c>
      <c r="AU251" s="34" t="s">
        <v>156</v>
      </c>
      <c r="AV251" s="34" t="s">
        <v>156</v>
      </c>
      <c r="AW251" s="34" t="s">
        <v>156</v>
      </c>
      <c r="AX251" s="34" t="s">
        <v>156</v>
      </c>
      <c r="AY251" s="34" t="s">
        <v>156</v>
      </c>
      <c r="AZ251" s="34" t="s">
        <v>156</v>
      </c>
      <c r="BA251" s="34" t="s">
        <v>156</v>
      </c>
      <c r="BB251" s="34" t="s">
        <v>156</v>
      </c>
      <c r="BC251" s="34" t="s">
        <v>156</v>
      </c>
      <c r="BD251" s="34" t="s">
        <v>156</v>
      </c>
      <c r="BE251" s="34" t="s">
        <v>156</v>
      </c>
      <c r="BF251" s="34" t="s">
        <v>156</v>
      </c>
      <c r="BG251" s="34" t="s">
        <v>156</v>
      </c>
      <c r="BH251" s="34" t="s">
        <v>156</v>
      </c>
      <c r="BI251" s="34" t="s">
        <v>156</v>
      </c>
      <c r="BJ251" s="34" t="s">
        <v>156</v>
      </c>
      <c r="BK251" s="34" t="s">
        <v>156</v>
      </c>
      <c r="BL251" s="34" t="s">
        <v>156</v>
      </c>
      <c r="BM251" s="34" t="s">
        <v>156</v>
      </c>
      <c r="BN251" s="34" t="s">
        <v>156</v>
      </c>
      <c r="BO251" s="34" t="s">
        <v>156</v>
      </c>
      <c r="BP251" s="34" t="s">
        <v>156</v>
      </c>
      <c r="BQ251" s="34" t="s">
        <v>156</v>
      </c>
      <c r="BR251" s="35"/>
      <c r="BS251" s="20" t="s">
        <v>157</v>
      </c>
    </row>
    <row r="252" ht="16.5" spans="1:71">
      <c r="A252" s="21" t="s">
        <v>48</v>
      </c>
      <c r="B252" s="21"/>
      <c r="C252" s="45"/>
      <c r="D252" s="60" t="s">
        <v>213</v>
      </c>
      <c r="E252" s="55">
        <v>9.6</v>
      </c>
      <c r="F252" s="24">
        <v>13.99</v>
      </c>
      <c r="G252" s="25">
        <f t="shared" si="274"/>
        <v>12.591</v>
      </c>
      <c r="H252" s="25">
        <f t="shared" si="275"/>
        <v>10.4925</v>
      </c>
      <c r="I252" s="36">
        <f t="shared" si="276"/>
        <v>0.930131784660767</v>
      </c>
      <c r="J252" s="26">
        <f t="shared" si="277"/>
        <v>0.0968887275688299</v>
      </c>
      <c r="K252" s="27">
        <f t="shared" si="278"/>
        <v>11.6583333333333</v>
      </c>
      <c r="L252" s="28">
        <f t="shared" si="279"/>
        <v>0.176554681915654</v>
      </c>
      <c r="M252" s="25">
        <f t="shared" si="280"/>
        <v>2.05833333333333</v>
      </c>
      <c r="N252" s="27">
        <f t="shared" si="293"/>
        <v>19.7522123893805</v>
      </c>
      <c r="O252" s="27">
        <f t="shared" si="281"/>
        <v>0.401041666666667</v>
      </c>
      <c r="P252" s="21">
        <v>48</v>
      </c>
      <c r="Q252" s="29">
        <v>8</v>
      </c>
      <c r="R252" s="30">
        <f t="shared" si="282"/>
        <v>0.260416666666667</v>
      </c>
      <c r="S252" s="26">
        <f t="shared" si="283"/>
        <v>0.178699070764832</v>
      </c>
      <c r="T252" s="30">
        <f t="shared" si="284"/>
        <v>0.145729166666667</v>
      </c>
      <c r="U252" s="30">
        <v>0.01</v>
      </c>
      <c r="V252" s="30">
        <f t="shared" si="285"/>
        <v>0.257190265486726</v>
      </c>
      <c r="W252" s="30">
        <f t="shared" si="286"/>
        <v>0.0417751736111111</v>
      </c>
      <c r="X252" s="31">
        <v>0.188</v>
      </c>
      <c r="Y252" s="32">
        <v>2.5</v>
      </c>
      <c r="Z252" s="32">
        <f>F252*0.1</f>
        <v>1.399</v>
      </c>
      <c r="AA252" s="32">
        <f t="shared" si="287"/>
        <v>0.096</v>
      </c>
      <c r="AB252" s="27">
        <f t="shared" si="288"/>
        <v>1.8048</v>
      </c>
      <c r="AC252" s="27">
        <v>17.8</v>
      </c>
      <c r="AD252" s="33">
        <f t="shared" si="289"/>
        <v>15.7522123893805</v>
      </c>
      <c r="AE252" s="29">
        <f t="shared" si="294"/>
        <v>0.5</v>
      </c>
      <c r="AF252" s="30">
        <f t="shared" si="290"/>
        <v>0.205106932153392</v>
      </c>
      <c r="AG252" s="30">
        <f t="shared" si="291"/>
        <v>0.00651041666666667</v>
      </c>
      <c r="AH252" s="29">
        <v>4</v>
      </c>
      <c r="AI252" s="30">
        <f t="shared" si="292"/>
        <v>0.257069335239457</v>
      </c>
      <c r="AJ252" s="30"/>
      <c r="AK252" s="30"/>
      <c r="AL252" s="30"/>
      <c r="AM252" s="30"/>
      <c r="AN252" s="34"/>
      <c r="AO252" s="34"/>
      <c r="AP252" s="34"/>
      <c r="AQ252" s="34"/>
      <c r="AR252" s="34"/>
      <c r="AS252" s="34"/>
      <c r="AT252" s="34" t="s">
        <v>156</v>
      </c>
      <c r="AU252" s="34" t="s">
        <v>156</v>
      </c>
      <c r="AV252" s="34" t="s">
        <v>156</v>
      </c>
      <c r="AW252" s="34" t="s">
        <v>156</v>
      </c>
      <c r="AX252" s="34" t="s">
        <v>156</v>
      </c>
      <c r="AY252" s="34" t="s">
        <v>156</v>
      </c>
      <c r="AZ252" s="34" t="s">
        <v>156</v>
      </c>
      <c r="BA252" s="34" t="s">
        <v>156</v>
      </c>
      <c r="BB252" s="34" t="s">
        <v>156</v>
      </c>
      <c r="BC252" s="34" t="s">
        <v>156</v>
      </c>
      <c r="BD252" s="34" t="s">
        <v>156</v>
      </c>
      <c r="BE252" s="34" t="s">
        <v>156</v>
      </c>
      <c r="BF252" s="34" t="s">
        <v>156</v>
      </c>
      <c r="BG252" s="34" t="s">
        <v>156</v>
      </c>
      <c r="BH252" s="34" t="s">
        <v>156</v>
      </c>
      <c r="BI252" s="34" t="s">
        <v>156</v>
      </c>
      <c r="BJ252" s="34" t="s">
        <v>156</v>
      </c>
      <c r="BK252" s="34" t="s">
        <v>156</v>
      </c>
      <c r="BL252" s="34" t="s">
        <v>156</v>
      </c>
      <c r="BM252" s="34" t="s">
        <v>156</v>
      </c>
      <c r="BN252" s="34" t="s">
        <v>156</v>
      </c>
      <c r="BO252" s="34" t="s">
        <v>156</v>
      </c>
      <c r="BP252" s="34" t="s">
        <v>156</v>
      </c>
      <c r="BQ252" s="34" t="s">
        <v>156</v>
      </c>
      <c r="BR252" s="35"/>
      <c r="BS252" s="20" t="s">
        <v>157</v>
      </c>
    </row>
    <row r="253" ht="16.5" spans="1:71">
      <c r="A253" s="21" t="s">
        <v>48</v>
      </c>
      <c r="B253" s="21"/>
      <c r="C253" s="45"/>
      <c r="D253" s="60" t="s">
        <v>214</v>
      </c>
      <c r="E253" s="55">
        <v>9.6</v>
      </c>
      <c r="F253" s="24">
        <v>13.99</v>
      </c>
      <c r="G253" s="25">
        <f t="shared" si="274"/>
        <v>11.8915</v>
      </c>
      <c r="H253" s="25">
        <f t="shared" si="275"/>
        <v>9.90958333333333</v>
      </c>
      <c r="I253" s="25">
        <f t="shared" si="276"/>
        <v>0.230631784660766</v>
      </c>
      <c r="J253" s="26">
        <f t="shared" si="277"/>
        <v>0.0240241442354965</v>
      </c>
      <c r="K253" s="27">
        <f t="shared" si="278"/>
        <v>11.6583333333333</v>
      </c>
      <c r="L253" s="28">
        <f t="shared" si="279"/>
        <v>0.176554681915654</v>
      </c>
      <c r="M253" s="25">
        <f t="shared" si="280"/>
        <v>2.05833333333333</v>
      </c>
      <c r="N253" s="27">
        <f t="shared" si="293"/>
        <v>19.7522123893805</v>
      </c>
      <c r="O253" s="27">
        <f t="shared" si="281"/>
        <v>0.401041666666667</v>
      </c>
      <c r="P253" s="21">
        <v>48</v>
      </c>
      <c r="Q253" s="29">
        <v>8</v>
      </c>
      <c r="R253" s="30">
        <f t="shared" si="282"/>
        <v>0.260416666666667</v>
      </c>
      <c r="S253" s="26">
        <f t="shared" si="283"/>
        <v>0.178699070764832</v>
      </c>
      <c r="T253" s="30">
        <f t="shared" si="284"/>
        <v>0.21859375</v>
      </c>
      <c r="U253" s="30">
        <v>0.01</v>
      </c>
      <c r="V253" s="30">
        <f t="shared" si="285"/>
        <v>0.257190265486726</v>
      </c>
      <c r="W253" s="30">
        <f t="shared" si="286"/>
        <v>0.0417751736111111</v>
      </c>
      <c r="X253" s="31">
        <v>0.188</v>
      </c>
      <c r="Y253" s="32">
        <v>2.5</v>
      </c>
      <c r="Z253" s="32">
        <f>F253*0.15</f>
        <v>2.0985</v>
      </c>
      <c r="AA253" s="32">
        <f t="shared" si="287"/>
        <v>0.096</v>
      </c>
      <c r="AB253" s="27">
        <f t="shared" si="288"/>
        <v>1.8048</v>
      </c>
      <c r="AC253" s="27">
        <v>17.8</v>
      </c>
      <c r="AD253" s="33">
        <f t="shared" si="289"/>
        <v>15.7522123893805</v>
      </c>
      <c r="AE253" s="29">
        <f t="shared" si="294"/>
        <v>0.5</v>
      </c>
      <c r="AF253" s="30">
        <f t="shared" si="290"/>
        <v>0.205106932153392</v>
      </c>
      <c r="AG253" s="30">
        <f t="shared" si="291"/>
        <v>0.00651041666666667</v>
      </c>
      <c r="AH253" s="29">
        <v>4</v>
      </c>
      <c r="AI253" s="30">
        <f t="shared" si="292"/>
        <v>0.213367531430013</v>
      </c>
      <c r="AJ253" s="30"/>
      <c r="AK253" s="30"/>
      <c r="AL253" s="30"/>
      <c r="AM253" s="30"/>
      <c r="AN253" s="34"/>
      <c r="AO253" s="34"/>
      <c r="AP253" s="34"/>
      <c r="AQ253" s="34"/>
      <c r="AR253" s="34"/>
      <c r="AS253" s="34"/>
      <c r="AT253" s="34" t="s">
        <v>156</v>
      </c>
      <c r="AU253" s="34" t="s">
        <v>156</v>
      </c>
      <c r="AV253" s="34" t="s">
        <v>156</v>
      </c>
      <c r="AW253" s="34" t="s">
        <v>156</v>
      </c>
      <c r="AX253" s="34" t="s">
        <v>156</v>
      </c>
      <c r="AY253" s="34" t="s">
        <v>156</v>
      </c>
      <c r="AZ253" s="34" t="s">
        <v>156</v>
      </c>
      <c r="BA253" s="34" t="s">
        <v>156</v>
      </c>
      <c r="BB253" s="34" t="s">
        <v>156</v>
      </c>
      <c r="BC253" s="34" t="s">
        <v>156</v>
      </c>
      <c r="BD253" s="34" t="s">
        <v>156</v>
      </c>
      <c r="BE253" s="34" t="s">
        <v>156</v>
      </c>
      <c r="BF253" s="34" t="s">
        <v>156</v>
      </c>
      <c r="BG253" s="34" t="s">
        <v>156</v>
      </c>
      <c r="BH253" s="34" t="s">
        <v>156</v>
      </c>
      <c r="BI253" s="34" t="s">
        <v>156</v>
      </c>
      <c r="BJ253" s="34" t="s">
        <v>156</v>
      </c>
      <c r="BK253" s="34" t="s">
        <v>156</v>
      </c>
      <c r="BL253" s="34" t="s">
        <v>156</v>
      </c>
      <c r="BM253" s="34" t="s">
        <v>156</v>
      </c>
      <c r="BN253" s="34" t="s">
        <v>156</v>
      </c>
      <c r="BO253" s="34" t="s">
        <v>156</v>
      </c>
      <c r="BP253" s="34" t="s">
        <v>156</v>
      </c>
      <c r="BQ253" s="34" t="s">
        <v>156</v>
      </c>
      <c r="BR253" s="35"/>
      <c r="BS253" s="20" t="s">
        <v>157</v>
      </c>
    </row>
    <row r="254" ht="16.5" spans="1:71">
      <c r="A254" s="21" t="s">
        <v>161</v>
      </c>
      <c r="B254" s="21"/>
      <c r="C254" s="45"/>
      <c r="D254" s="42" t="s">
        <v>215</v>
      </c>
      <c r="E254" s="55">
        <v>10.3</v>
      </c>
      <c r="F254" s="38">
        <v>14.99</v>
      </c>
      <c r="G254" s="25">
        <f t="shared" si="274"/>
        <v>14.99</v>
      </c>
      <c r="H254" s="25">
        <f t="shared" si="275"/>
        <v>12.4916666666667</v>
      </c>
      <c r="I254" s="25">
        <f t="shared" si="276"/>
        <v>2.9426151179941</v>
      </c>
      <c r="J254" s="26">
        <f t="shared" si="277"/>
        <v>0.285690788154767</v>
      </c>
      <c r="K254" s="27">
        <f t="shared" si="278"/>
        <v>12.4916666666667</v>
      </c>
      <c r="L254" s="28">
        <f t="shared" si="279"/>
        <v>0.175450300200133</v>
      </c>
      <c r="M254" s="25">
        <f t="shared" si="280"/>
        <v>2.19166666666667</v>
      </c>
      <c r="N254" s="27">
        <f t="shared" si="293"/>
        <v>19.7522123893805</v>
      </c>
      <c r="O254" s="27">
        <f t="shared" si="281"/>
        <v>0.348958333333333</v>
      </c>
      <c r="P254" s="21">
        <v>48</v>
      </c>
      <c r="Q254" s="29">
        <v>8</v>
      </c>
      <c r="R254" s="30">
        <f t="shared" si="282"/>
        <v>0.242718446601942</v>
      </c>
      <c r="S254" s="26">
        <f t="shared" si="283"/>
        <v>0.166777851901268</v>
      </c>
      <c r="T254" s="30">
        <f t="shared" si="284"/>
        <v>0</v>
      </c>
      <c r="U254" s="30">
        <v>0.01</v>
      </c>
      <c r="V254" s="30">
        <f t="shared" si="285"/>
        <v>0.239711315405104</v>
      </c>
      <c r="W254" s="30">
        <f t="shared" si="286"/>
        <v>0.0338794498381877</v>
      </c>
      <c r="X254" s="31">
        <v>0.188</v>
      </c>
      <c r="Y254" s="32">
        <v>2.5</v>
      </c>
      <c r="Z254" s="32">
        <f t="shared" ref="Z254:Z257" si="295">F254*0</f>
        <v>0</v>
      </c>
      <c r="AA254" s="32">
        <f t="shared" si="287"/>
        <v>0.103</v>
      </c>
      <c r="AB254" s="27">
        <f t="shared" si="288"/>
        <v>1.9364</v>
      </c>
      <c r="AC254" s="27">
        <v>17.8</v>
      </c>
      <c r="AD254" s="33">
        <f t="shared" si="289"/>
        <v>15.7522123893805</v>
      </c>
      <c r="AE254" s="29">
        <f t="shared" si="294"/>
        <v>0.5</v>
      </c>
      <c r="AF254" s="30">
        <f t="shared" si="290"/>
        <v>0.191167626084715</v>
      </c>
      <c r="AG254" s="30">
        <f t="shared" si="291"/>
        <v>0.00606796116504854</v>
      </c>
      <c r="AH254" s="29">
        <v>4</v>
      </c>
      <c r="AI254" s="30">
        <f t="shared" si="292"/>
        <v>0.330465643762508</v>
      </c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 t="s">
        <v>156</v>
      </c>
      <c r="AU254" s="34" t="s">
        <v>156</v>
      </c>
      <c r="AV254" s="34" t="s">
        <v>156</v>
      </c>
      <c r="AW254" s="34" t="s">
        <v>156</v>
      </c>
      <c r="AX254" s="34" t="s">
        <v>156</v>
      </c>
      <c r="AY254" s="34" t="s">
        <v>156</v>
      </c>
      <c r="AZ254" s="34" t="s">
        <v>156</v>
      </c>
      <c r="BA254" s="34" t="s">
        <v>156</v>
      </c>
      <c r="BB254" s="34" t="s">
        <v>156</v>
      </c>
      <c r="BC254" s="34" t="s">
        <v>156</v>
      </c>
      <c r="BD254" s="34" t="s">
        <v>156</v>
      </c>
      <c r="BE254" s="34" t="s">
        <v>156</v>
      </c>
      <c r="BF254" s="34" t="s">
        <v>156</v>
      </c>
      <c r="BG254" s="34" t="s">
        <v>156</v>
      </c>
      <c r="BH254" s="34" t="s">
        <v>156</v>
      </c>
      <c r="BI254" s="34" t="s">
        <v>156</v>
      </c>
      <c r="BJ254" s="34" t="s">
        <v>156</v>
      </c>
      <c r="BK254" s="34" t="s">
        <v>156</v>
      </c>
      <c r="BL254" s="34" t="s">
        <v>156</v>
      </c>
      <c r="BM254" s="34" t="s">
        <v>156</v>
      </c>
      <c r="BN254" s="34" t="s">
        <v>156</v>
      </c>
      <c r="BO254" s="34" t="s">
        <v>156</v>
      </c>
      <c r="BP254" s="34" t="s">
        <v>156</v>
      </c>
      <c r="BQ254" s="34" t="s">
        <v>156</v>
      </c>
      <c r="BR254" s="44" t="e">
        <f>IF(E254&lt;#REF!,1,0)</f>
        <v>#REF!</v>
      </c>
      <c r="BS254" s="20" t="s">
        <v>157</v>
      </c>
    </row>
    <row r="255" ht="16.5" spans="1:71">
      <c r="A255" s="21" t="s">
        <v>163</v>
      </c>
      <c r="B255" s="21"/>
      <c r="C255" s="45"/>
      <c r="D255" s="42" t="s">
        <v>216</v>
      </c>
      <c r="E255" s="55">
        <v>11</v>
      </c>
      <c r="F255" s="38">
        <v>15.99</v>
      </c>
      <c r="G255" s="25">
        <f t="shared" si="274"/>
        <v>15.99</v>
      </c>
      <c r="H255" s="25">
        <f t="shared" si="275"/>
        <v>13.325</v>
      </c>
      <c r="I255" s="25">
        <f t="shared" si="276"/>
        <v>3.5602651179941</v>
      </c>
      <c r="J255" s="26">
        <f t="shared" si="277"/>
        <v>0.323660465272191</v>
      </c>
      <c r="K255" s="27">
        <f t="shared" si="278"/>
        <v>13.325</v>
      </c>
      <c r="L255" s="28">
        <f t="shared" si="279"/>
        <v>0.174484052532833</v>
      </c>
      <c r="M255" s="25">
        <f t="shared" si="280"/>
        <v>2.325</v>
      </c>
      <c r="N255" s="27">
        <f t="shared" si="293"/>
        <v>19.7522123893805</v>
      </c>
      <c r="O255" s="27">
        <f t="shared" si="281"/>
        <v>0.292708333333333</v>
      </c>
      <c r="P255" s="21">
        <v>48</v>
      </c>
      <c r="Q255" s="29">
        <v>8</v>
      </c>
      <c r="R255" s="30">
        <f t="shared" si="282"/>
        <v>0.227272727272727</v>
      </c>
      <c r="S255" s="26">
        <f t="shared" si="283"/>
        <v>0.156347717323327</v>
      </c>
      <c r="T255" s="30">
        <f t="shared" si="284"/>
        <v>0</v>
      </c>
      <c r="U255" s="30">
        <v>0.01</v>
      </c>
      <c r="V255" s="30">
        <f t="shared" si="285"/>
        <v>0.224456958970233</v>
      </c>
      <c r="W255" s="30">
        <f t="shared" si="286"/>
        <v>0.0266098484848485</v>
      </c>
      <c r="X255" s="31">
        <v>0.188</v>
      </c>
      <c r="Y255" s="32">
        <v>2.5</v>
      </c>
      <c r="Z255" s="32">
        <f t="shared" si="295"/>
        <v>0</v>
      </c>
      <c r="AA255" s="32">
        <f t="shared" si="287"/>
        <v>0.11</v>
      </c>
      <c r="AB255" s="27">
        <f t="shared" si="288"/>
        <v>2.068</v>
      </c>
      <c r="AC255" s="27">
        <v>17.8</v>
      </c>
      <c r="AD255" s="33">
        <f t="shared" si="289"/>
        <v>15.7522123893805</v>
      </c>
      <c r="AE255" s="29">
        <f t="shared" si="294"/>
        <v>0.5</v>
      </c>
      <c r="AF255" s="30">
        <f t="shared" si="290"/>
        <v>0.179002413515688</v>
      </c>
      <c r="AG255" s="30">
        <f t="shared" si="291"/>
        <v>0.00568181818181818</v>
      </c>
      <c r="AH255" s="29">
        <v>4</v>
      </c>
      <c r="AI255" s="30">
        <f t="shared" si="292"/>
        <v>0.32968105065666</v>
      </c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 t="s">
        <v>156</v>
      </c>
      <c r="AU255" s="34" t="s">
        <v>156</v>
      </c>
      <c r="AV255" s="34" t="s">
        <v>156</v>
      </c>
      <c r="AW255" s="34" t="s">
        <v>156</v>
      </c>
      <c r="AX255" s="34" t="s">
        <v>156</v>
      </c>
      <c r="AY255" s="34" t="s">
        <v>156</v>
      </c>
      <c r="AZ255" s="34" t="s">
        <v>156</v>
      </c>
      <c r="BA255" s="34" t="s">
        <v>156</v>
      </c>
      <c r="BB255" s="34" t="s">
        <v>156</v>
      </c>
      <c r="BC255" s="34" t="s">
        <v>156</v>
      </c>
      <c r="BD255" s="34" t="s">
        <v>156</v>
      </c>
      <c r="BE255" s="34" t="s">
        <v>156</v>
      </c>
      <c r="BF255" s="34" t="s">
        <v>156</v>
      </c>
      <c r="BG255" s="34" t="s">
        <v>156</v>
      </c>
      <c r="BH255" s="34" t="s">
        <v>156</v>
      </c>
      <c r="BI255" s="34" t="s">
        <v>156</v>
      </c>
      <c r="BJ255" s="34" t="s">
        <v>156</v>
      </c>
      <c r="BK255" s="34" t="s">
        <v>156</v>
      </c>
      <c r="BL255" s="34" t="s">
        <v>156</v>
      </c>
      <c r="BM255" s="34" t="s">
        <v>156</v>
      </c>
      <c r="BN255" s="34" t="s">
        <v>156</v>
      </c>
      <c r="BO255" s="34" t="s">
        <v>156</v>
      </c>
      <c r="BP255" s="34" t="s">
        <v>156</v>
      </c>
      <c r="BQ255" s="34" t="s">
        <v>156</v>
      </c>
      <c r="BR255" s="44" t="e">
        <f>IF(E255&lt;#REF!,1,0)</f>
        <v>#REF!</v>
      </c>
      <c r="BS255" s="20" t="s">
        <v>157</v>
      </c>
    </row>
    <row r="256" ht="16.5" spans="1:71">
      <c r="A256" s="21" t="s">
        <v>165</v>
      </c>
      <c r="B256" s="21"/>
      <c r="C256" s="45"/>
      <c r="D256" s="42" t="s">
        <v>217</v>
      </c>
      <c r="E256" s="55">
        <v>11</v>
      </c>
      <c r="F256" s="24">
        <v>15.99</v>
      </c>
      <c r="G256" s="25">
        <f t="shared" si="274"/>
        <v>15.99</v>
      </c>
      <c r="H256" s="25">
        <f t="shared" si="275"/>
        <v>13.325</v>
      </c>
      <c r="I256" s="25">
        <f t="shared" si="276"/>
        <v>3.4727651179941</v>
      </c>
      <c r="J256" s="26">
        <f t="shared" si="277"/>
        <v>0.315705919817646</v>
      </c>
      <c r="K256" s="27">
        <f t="shared" si="278"/>
        <v>13.325</v>
      </c>
      <c r="L256" s="28">
        <f t="shared" si="279"/>
        <v>0.174484052532833</v>
      </c>
      <c r="M256" s="25">
        <f t="shared" si="280"/>
        <v>2.325</v>
      </c>
      <c r="N256" s="27">
        <f t="shared" si="293"/>
        <v>19.7522123893805</v>
      </c>
      <c r="O256" s="27">
        <f t="shared" si="281"/>
        <v>0.380208333333333</v>
      </c>
      <c r="P256" s="21">
        <v>48</v>
      </c>
      <c r="Q256" s="29">
        <v>8</v>
      </c>
      <c r="R256" s="30">
        <f t="shared" si="282"/>
        <v>0.227272727272727</v>
      </c>
      <c r="S256" s="26">
        <f t="shared" si="283"/>
        <v>0.156347717323327</v>
      </c>
      <c r="T256" s="30">
        <f t="shared" si="284"/>
        <v>0</v>
      </c>
      <c r="U256" s="30">
        <v>0.01</v>
      </c>
      <c r="V256" s="30">
        <f t="shared" si="285"/>
        <v>0.224456958970233</v>
      </c>
      <c r="W256" s="30">
        <f t="shared" si="286"/>
        <v>0.0345643939393939</v>
      </c>
      <c r="X256" s="31">
        <v>0.188</v>
      </c>
      <c r="Y256" s="32">
        <v>2.5</v>
      </c>
      <c r="Z256" s="32">
        <f t="shared" si="295"/>
        <v>0</v>
      </c>
      <c r="AA256" s="32">
        <f t="shared" si="287"/>
        <v>0.11</v>
      </c>
      <c r="AB256" s="27">
        <f t="shared" si="288"/>
        <v>2.068</v>
      </c>
      <c r="AC256" s="27">
        <v>17.8</v>
      </c>
      <c r="AD256" s="33">
        <f t="shared" si="289"/>
        <v>15.7522123893805</v>
      </c>
      <c r="AE256" s="29">
        <f t="shared" si="294"/>
        <v>0.5</v>
      </c>
      <c r="AF256" s="30">
        <f t="shared" si="290"/>
        <v>0.179002413515688</v>
      </c>
      <c r="AG256" s="30">
        <f t="shared" si="291"/>
        <v>0.00568181818181818</v>
      </c>
      <c r="AH256" s="29">
        <v>4</v>
      </c>
      <c r="AI256" s="30">
        <f t="shared" si="292"/>
        <v>0.32968105065666</v>
      </c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 t="s">
        <v>156</v>
      </c>
      <c r="AU256" s="34" t="s">
        <v>156</v>
      </c>
      <c r="AV256" s="34" t="s">
        <v>156</v>
      </c>
      <c r="AW256" s="34" t="s">
        <v>156</v>
      </c>
      <c r="AX256" s="34" t="s">
        <v>156</v>
      </c>
      <c r="AY256" s="34" t="s">
        <v>156</v>
      </c>
      <c r="AZ256" s="34" t="s">
        <v>156</v>
      </c>
      <c r="BA256" s="34" t="s">
        <v>156</v>
      </c>
      <c r="BB256" s="34" t="s">
        <v>156</v>
      </c>
      <c r="BC256" s="34" t="s">
        <v>156</v>
      </c>
      <c r="BD256" s="34" t="s">
        <v>156</v>
      </c>
      <c r="BE256" s="34" t="s">
        <v>156</v>
      </c>
      <c r="BF256" s="34" t="s">
        <v>156</v>
      </c>
      <c r="BG256" s="34" t="s">
        <v>156</v>
      </c>
      <c r="BH256" s="34" t="s">
        <v>156</v>
      </c>
      <c r="BI256" s="34" t="s">
        <v>156</v>
      </c>
      <c r="BJ256" s="34" t="s">
        <v>156</v>
      </c>
      <c r="BK256" s="34" t="s">
        <v>156</v>
      </c>
      <c r="BL256" s="34" t="s">
        <v>156</v>
      </c>
      <c r="BM256" s="34" t="s">
        <v>156</v>
      </c>
      <c r="BN256" s="34" t="s">
        <v>156</v>
      </c>
      <c r="BO256" s="34" t="s">
        <v>156</v>
      </c>
      <c r="BP256" s="34" t="s">
        <v>156</v>
      </c>
      <c r="BQ256" s="34" t="s">
        <v>156</v>
      </c>
      <c r="BR256" s="44" t="e">
        <f>IF(E256&lt;#REF!,1,0)</f>
        <v>#REF!</v>
      </c>
      <c r="BS256" s="20" t="s">
        <v>157</v>
      </c>
    </row>
    <row r="257" ht="16.5" spans="1:71">
      <c r="A257" s="21" t="s">
        <v>167</v>
      </c>
      <c r="B257" s="21"/>
      <c r="C257" s="45"/>
      <c r="D257" s="42" t="s">
        <v>218</v>
      </c>
      <c r="E257" s="55">
        <v>10.3</v>
      </c>
      <c r="F257" s="24">
        <v>14.99</v>
      </c>
      <c r="G257" s="25">
        <f t="shared" si="274"/>
        <v>14.99</v>
      </c>
      <c r="H257" s="25">
        <f t="shared" si="275"/>
        <v>12.4916666666667</v>
      </c>
      <c r="I257" s="25">
        <f t="shared" si="276"/>
        <v>2.99469845132743</v>
      </c>
      <c r="J257" s="26">
        <f t="shared" si="277"/>
        <v>0.290747422458974</v>
      </c>
      <c r="K257" s="27">
        <f t="shared" si="278"/>
        <v>12.4916666666667</v>
      </c>
      <c r="L257" s="28">
        <f t="shared" si="279"/>
        <v>0.175450300200133</v>
      </c>
      <c r="M257" s="25">
        <f t="shared" si="280"/>
        <v>2.19166666666667</v>
      </c>
      <c r="N257" s="27">
        <f t="shared" si="293"/>
        <v>19.7522123893805</v>
      </c>
      <c r="O257" s="27">
        <f t="shared" si="281"/>
        <v>0.296875</v>
      </c>
      <c r="P257" s="21">
        <v>48</v>
      </c>
      <c r="Q257" s="29">
        <v>8</v>
      </c>
      <c r="R257" s="30">
        <f t="shared" si="282"/>
        <v>0.242718446601942</v>
      </c>
      <c r="S257" s="26">
        <f t="shared" si="283"/>
        <v>0.166777851901268</v>
      </c>
      <c r="T257" s="30">
        <f t="shared" si="284"/>
        <v>0</v>
      </c>
      <c r="U257" s="30">
        <v>0.01</v>
      </c>
      <c r="V257" s="30">
        <f t="shared" si="285"/>
        <v>0.239711315405104</v>
      </c>
      <c r="W257" s="30">
        <f t="shared" si="286"/>
        <v>0.0288228155339806</v>
      </c>
      <c r="X257" s="31">
        <v>0.188</v>
      </c>
      <c r="Y257" s="32">
        <v>2.5</v>
      </c>
      <c r="Z257" s="32">
        <f t="shared" si="295"/>
        <v>0</v>
      </c>
      <c r="AA257" s="32">
        <f t="shared" si="287"/>
        <v>0.103</v>
      </c>
      <c r="AB257" s="27">
        <f t="shared" si="288"/>
        <v>1.9364</v>
      </c>
      <c r="AC257" s="27">
        <v>17.8</v>
      </c>
      <c r="AD257" s="33">
        <f t="shared" si="289"/>
        <v>15.7522123893805</v>
      </c>
      <c r="AE257" s="29">
        <f t="shared" si="294"/>
        <v>0.5</v>
      </c>
      <c r="AF257" s="30">
        <f t="shared" si="290"/>
        <v>0.191167626084715</v>
      </c>
      <c r="AG257" s="30">
        <f t="shared" si="291"/>
        <v>0.00606796116504854</v>
      </c>
      <c r="AH257" s="29">
        <v>4</v>
      </c>
      <c r="AI257" s="30">
        <f t="shared" si="292"/>
        <v>0.330465643762508</v>
      </c>
      <c r="AJ257" s="30"/>
      <c r="AK257" s="30"/>
      <c r="AL257" s="30"/>
      <c r="AM257" s="30"/>
      <c r="AN257" s="34"/>
      <c r="AO257" s="34"/>
      <c r="AP257" s="34"/>
      <c r="AQ257" s="34"/>
      <c r="AR257" s="34"/>
      <c r="AS257" s="34"/>
      <c r="AT257" s="34" t="s">
        <v>156</v>
      </c>
      <c r="AU257" s="34" t="s">
        <v>156</v>
      </c>
      <c r="AV257" s="34" t="s">
        <v>156</v>
      </c>
      <c r="AW257" s="34" t="s">
        <v>156</v>
      </c>
      <c r="AX257" s="34" t="s">
        <v>156</v>
      </c>
      <c r="AY257" s="34" t="s">
        <v>156</v>
      </c>
      <c r="AZ257" s="34" t="s">
        <v>156</v>
      </c>
      <c r="BA257" s="34" t="s">
        <v>156</v>
      </c>
      <c r="BB257" s="34" t="s">
        <v>156</v>
      </c>
      <c r="BC257" s="34" t="s">
        <v>156</v>
      </c>
      <c r="BD257" s="34" t="s">
        <v>156</v>
      </c>
      <c r="BE257" s="34" t="s">
        <v>156</v>
      </c>
      <c r="BF257" s="34" t="s">
        <v>156</v>
      </c>
      <c r="BG257" s="34" t="s">
        <v>156</v>
      </c>
      <c r="BH257" s="34" t="s">
        <v>156</v>
      </c>
      <c r="BI257" s="34" t="s">
        <v>156</v>
      </c>
      <c r="BJ257" s="34" t="s">
        <v>156</v>
      </c>
      <c r="BK257" s="34" t="s">
        <v>156</v>
      </c>
      <c r="BL257" s="34" t="s">
        <v>156</v>
      </c>
      <c r="BM257" s="34" t="s">
        <v>156</v>
      </c>
      <c r="BN257" s="34" t="s">
        <v>156</v>
      </c>
      <c r="BO257" s="34" t="s">
        <v>156</v>
      </c>
      <c r="BP257" s="34" t="s">
        <v>156</v>
      </c>
      <c r="BQ257" s="34" t="s">
        <v>156</v>
      </c>
      <c r="BR257" s="44" t="e">
        <f>IF(E257&lt;#REF!,1,0)</f>
        <v>#REF!</v>
      </c>
      <c r="BS257" s="20" t="s">
        <v>157</v>
      </c>
    </row>
    <row r="258" ht="16.5" spans="1:71">
      <c r="A258" s="20"/>
      <c r="B258" s="21"/>
      <c r="C258" s="45"/>
      <c r="D258" s="58"/>
      <c r="E258" s="55"/>
      <c r="F258" s="38"/>
      <c r="G258" s="25"/>
      <c r="H258" s="25"/>
      <c r="I258" s="25"/>
      <c r="J258" s="26"/>
      <c r="K258" s="27"/>
      <c r="L258" s="28"/>
      <c r="M258" s="25"/>
      <c r="N258" s="27"/>
      <c r="O258" s="27"/>
      <c r="P258" s="20"/>
      <c r="Q258" s="29"/>
      <c r="R258" s="30"/>
      <c r="S258" s="26"/>
      <c r="T258" s="30"/>
      <c r="U258" s="30"/>
      <c r="V258" s="30"/>
      <c r="W258" s="30"/>
      <c r="X258" s="31"/>
      <c r="Y258" s="32"/>
      <c r="Z258" s="32"/>
      <c r="AA258" s="32"/>
      <c r="AB258" s="27"/>
      <c r="AC258" s="27"/>
      <c r="AD258" s="33"/>
      <c r="AE258" s="29"/>
      <c r="AF258" s="30"/>
      <c r="AG258" s="30"/>
      <c r="AH258" s="29"/>
      <c r="AI258" s="30"/>
      <c r="AJ258" s="30"/>
      <c r="AK258" s="30"/>
      <c r="AL258" s="30"/>
      <c r="AM258" s="30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5"/>
      <c r="BS258" s="20"/>
    </row>
    <row r="259" ht="16.5" spans="1:71">
      <c r="A259" s="20" t="s">
        <v>50</v>
      </c>
      <c r="B259" s="21"/>
      <c r="C259" s="51"/>
      <c r="D259" s="59" t="s">
        <v>219</v>
      </c>
      <c r="E259" s="55">
        <v>11</v>
      </c>
      <c r="F259" s="38">
        <v>15.99</v>
      </c>
      <c r="G259" s="25">
        <f t="shared" ref="G259:G277" si="296">(F259-Z259)</f>
        <v>15.99</v>
      </c>
      <c r="H259" s="25">
        <f t="shared" ref="H259:H277" si="297">(F259-Z259)/1.2</f>
        <v>13.325</v>
      </c>
      <c r="I259" s="25">
        <f t="shared" ref="I259:I277" si="298">E259-N259/Q259-AB259-Y259-O259-Z259-AA259</f>
        <v>2.92934267453294</v>
      </c>
      <c r="J259" s="26">
        <f t="shared" ref="J259:J277" si="299">I259/E259</f>
        <v>0.266303879502995</v>
      </c>
      <c r="K259" s="27">
        <f t="shared" ref="K259:K277" si="300">F259/1.2</f>
        <v>13.325</v>
      </c>
      <c r="L259" s="28">
        <f t="shared" ref="L259:L277" si="301">(K259-E259)/K259</f>
        <v>0.174484052532833</v>
      </c>
      <c r="M259" s="25">
        <f t="shared" ref="M259:M277" si="302">F259/1.2-E259</f>
        <v>2.325</v>
      </c>
      <c r="N259" s="27">
        <f>AD259+AH260</f>
        <v>25.6814159292035</v>
      </c>
      <c r="O259" s="27">
        <f t="shared" ref="O259:O277" si="303">IFERROR(IF(A259="UK",8.95/P259,IF(A259="DE",7.75/P259,IF(A259="FR",14.25/P259,IF(A259="IT",15.25/P259,IF(A259="ES",19.25/P259,IF(A259="NL",16.75/P259,IF(A259="PL",14.05/P259,IF(A259="SE",18.25/P259,IF(A259="BE",14.25/P259))))))))),0)</f>
        <v>0.149166666666667</v>
      </c>
      <c r="P259" s="20">
        <v>60</v>
      </c>
      <c r="Q259" s="29">
        <v>9</v>
      </c>
      <c r="R259" s="30">
        <f t="shared" ref="R259:R277" si="304">Y259/E259</f>
        <v>0.272727272727273</v>
      </c>
      <c r="S259" s="26">
        <f t="shared" ref="S259:S277" si="305">Y259/F259</f>
        <v>0.187617260787992</v>
      </c>
      <c r="T259" s="30">
        <f t="shared" ref="T259:T277" si="306">Z259/E259</f>
        <v>0</v>
      </c>
      <c r="U259" s="30">
        <v>0.01</v>
      </c>
      <c r="V259" s="30">
        <f t="shared" ref="V259:V277" si="307">N259/(E259*Q259)</f>
        <v>0.259408241709127</v>
      </c>
      <c r="W259" s="30">
        <f t="shared" ref="W259:W277" si="308">O259/E259</f>
        <v>0.0135606060606061</v>
      </c>
      <c r="X259" s="31">
        <v>0.178</v>
      </c>
      <c r="Y259" s="32">
        <v>3</v>
      </c>
      <c r="Z259" s="32">
        <v>0</v>
      </c>
      <c r="AA259" s="32">
        <f t="shared" ref="AA259:AA277" si="309">E259*U259</f>
        <v>0.11</v>
      </c>
      <c r="AB259" s="27">
        <f t="shared" ref="AB259:AB277" si="310">E259*X259</f>
        <v>1.958</v>
      </c>
      <c r="AC259" s="27">
        <v>24.5</v>
      </c>
      <c r="AD259" s="33">
        <f t="shared" ref="AD259:AD277" si="311">AC259/1.13</f>
        <v>21.6814159292035</v>
      </c>
      <c r="AE259" s="29">
        <f>AH260/Q259</f>
        <v>0.444444444444444</v>
      </c>
      <c r="AF259" s="30">
        <f t="shared" ref="AF259:AF277" si="312">AD259/(E259*Q259)</f>
        <v>0.219004201305086</v>
      </c>
      <c r="AG259" s="30">
        <f t="shared" ref="AG259:AG277" si="313">AE259/Q259/E259</f>
        <v>0.00448933782267116</v>
      </c>
      <c r="AH259" s="29">
        <v>4</v>
      </c>
      <c r="AI259" s="30">
        <f t="shared" ref="AI259:AI277" si="314">(H259-E259+AB259)/H259</f>
        <v>0.321425891181989</v>
      </c>
      <c r="AJ259" s="30"/>
      <c r="AK259" s="30"/>
      <c r="AL259" s="30"/>
      <c r="AM259" s="30"/>
      <c r="AN259" s="34"/>
      <c r="AO259" s="34"/>
      <c r="AP259" s="34"/>
      <c r="AQ259" s="34"/>
      <c r="AR259" s="34"/>
      <c r="AS259" s="34"/>
      <c r="AT259" s="34" t="s">
        <v>156</v>
      </c>
      <c r="AU259" s="34" t="s">
        <v>156</v>
      </c>
      <c r="AV259" s="34" t="s">
        <v>156</v>
      </c>
      <c r="AW259" s="34" t="s">
        <v>156</v>
      </c>
      <c r="AX259" s="34" t="s">
        <v>156</v>
      </c>
      <c r="AY259" s="34" t="s">
        <v>156</v>
      </c>
      <c r="AZ259" s="34" t="s">
        <v>156</v>
      </c>
      <c r="BA259" s="34" t="s">
        <v>156</v>
      </c>
      <c r="BB259" s="34" t="s">
        <v>156</v>
      </c>
      <c r="BC259" s="34" t="s">
        <v>156</v>
      </c>
      <c r="BD259" s="34" t="s">
        <v>156</v>
      </c>
      <c r="BE259" s="34" t="s">
        <v>156</v>
      </c>
      <c r="BF259" s="34" t="s">
        <v>156</v>
      </c>
      <c r="BG259" s="34" t="s">
        <v>156</v>
      </c>
      <c r="BH259" s="34" t="s">
        <v>156</v>
      </c>
      <c r="BI259" s="34" t="s">
        <v>156</v>
      </c>
      <c r="BJ259" s="34" t="s">
        <v>156</v>
      </c>
      <c r="BK259" s="34" t="s">
        <v>156</v>
      </c>
      <c r="BL259" s="34" t="s">
        <v>156</v>
      </c>
      <c r="BM259" s="34" t="s">
        <v>156</v>
      </c>
      <c r="BN259" s="34" t="s">
        <v>156</v>
      </c>
      <c r="BO259" s="34" t="s">
        <v>156</v>
      </c>
      <c r="BP259" s="34" t="s">
        <v>156</v>
      </c>
      <c r="BQ259" s="34" t="s">
        <v>156</v>
      </c>
      <c r="BR259" s="35"/>
      <c r="BS259" s="20" t="s">
        <v>157</v>
      </c>
    </row>
    <row r="260" ht="16.5" spans="1:71">
      <c r="A260" s="20" t="s">
        <v>50</v>
      </c>
      <c r="B260" s="21"/>
      <c r="C260" s="45"/>
      <c r="D260" s="59" t="s">
        <v>220</v>
      </c>
      <c r="E260" s="55">
        <v>11</v>
      </c>
      <c r="F260" s="24">
        <v>15.99</v>
      </c>
      <c r="G260" s="25">
        <f t="shared" si="296"/>
        <v>14.391</v>
      </c>
      <c r="H260" s="25">
        <f t="shared" si="297"/>
        <v>11.9925</v>
      </c>
      <c r="I260" s="36">
        <f t="shared" si="298"/>
        <v>1.33034267453294</v>
      </c>
      <c r="J260" s="26">
        <f t="shared" si="299"/>
        <v>0.120940243139358</v>
      </c>
      <c r="K260" s="27">
        <f t="shared" si="300"/>
        <v>13.325</v>
      </c>
      <c r="L260" s="28">
        <f t="shared" si="301"/>
        <v>0.174484052532833</v>
      </c>
      <c r="M260" s="25">
        <f t="shared" si="302"/>
        <v>2.325</v>
      </c>
      <c r="N260" s="27">
        <f t="shared" ref="N260:N277" si="315">AD260+AH260</f>
        <v>25.6814159292035</v>
      </c>
      <c r="O260" s="27">
        <f t="shared" si="303"/>
        <v>0.149166666666667</v>
      </c>
      <c r="P260" s="21">
        <v>60</v>
      </c>
      <c r="Q260" s="29">
        <v>9</v>
      </c>
      <c r="R260" s="30">
        <f t="shared" si="304"/>
        <v>0.272727272727273</v>
      </c>
      <c r="S260" s="26">
        <f t="shared" si="305"/>
        <v>0.187617260787992</v>
      </c>
      <c r="T260" s="30">
        <f t="shared" si="306"/>
        <v>0.145363636363636</v>
      </c>
      <c r="U260" s="30">
        <v>0.01</v>
      </c>
      <c r="V260" s="30">
        <f t="shared" si="307"/>
        <v>0.259408241709127</v>
      </c>
      <c r="W260" s="30">
        <f t="shared" si="308"/>
        <v>0.0135606060606061</v>
      </c>
      <c r="X260" s="31">
        <v>0.178</v>
      </c>
      <c r="Y260" s="32">
        <v>3</v>
      </c>
      <c r="Z260" s="32">
        <f>F260*0.1</f>
        <v>1.599</v>
      </c>
      <c r="AA260" s="32">
        <f t="shared" si="309"/>
        <v>0.11</v>
      </c>
      <c r="AB260" s="27">
        <f t="shared" si="310"/>
        <v>1.958</v>
      </c>
      <c r="AC260" s="27">
        <v>24.5</v>
      </c>
      <c r="AD260" s="33">
        <f t="shared" si="311"/>
        <v>21.6814159292035</v>
      </c>
      <c r="AE260" s="29">
        <f t="shared" ref="AE260:AE277" si="316">AH260/Q260</f>
        <v>0.444444444444444</v>
      </c>
      <c r="AF260" s="30">
        <f t="shared" si="312"/>
        <v>0.219004201305086</v>
      </c>
      <c r="AG260" s="30">
        <f t="shared" si="313"/>
        <v>0.00448933782267116</v>
      </c>
      <c r="AH260" s="29">
        <v>4</v>
      </c>
      <c r="AI260" s="30">
        <f t="shared" si="314"/>
        <v>0.246028767979987</v>
      </c>
      <c r="AJ260" s="30"/>
      <c r="AK260" s="30"/>
      <c r="AL260" s="30"/>
      <c r="AM260" s="30"/>
      <c r="AN260" s="34"/>
      <c r="AO260" s="34"/>
      <c r="AP260" s="34"/>
      <c r="AQ260" s="34"/>
      <c r="AR260" s="34"/>
      <c r="AS260" s="34"/>
      <c r="AT260" s="34" t="s">
        <v>156</v>
      </c>
      <c r="AU260" s="34" t="s">
        <v>156</v>
      </c>
      <c r="AV260" s="34" t="s">
        <v>156</v>
      </c>
      <c r="AW260" s="34" t="s">
        <v>156</v>
      </c>
      <c r="AX260" s="34" t="s">
        <v>156</v>
      </c>
      <c r="AY260" s="34" t="s">
        <v>156</v>
      </c>
      <c r="AZ260" s="34" t="s">
        <v>156</v>
      </c>
      <c r="BA260" s="34" t="s">
        <v>156</v>
      </c>
      <c r="BB260" s="34" t="s">
        <v>156</v>
      </c>
      <c r="BC260" s="34" t="s">
        <v>156</v>
      </c>
      <c r="BD260" s="34" t="s">
        <v>156</v>
      </c>
      <c r="BE260" s="34" t="s">
        <v>156</v>
      </c>
      <c r="BF260" s="34" t="s">
        <v>156</v>
      </c>
      <c r="BG260" s="34" t="s">
        <v>156</v>
      </c>
      <c r="BH260" s="34" t="s">
        <v>156</v>
      </c>
      <c r="BI260" s="34" t="s">
        <v>156</v>
      </c>
      <c r="BJ260" s="34" t="s">
        <v>156</v>
      </c>
      <c r="BK260" s="34" t="s">
        <v>156</v>
      </c>
      <c r="BL260" s="34" t="s">
        <v>156</v>
      </c>
      <c r="BM260" s="34" t="s">
        <v>156</v>
      </c>
      <c r="BN260" s="34" t="s">
        <v>156</v>
      </c>
      <c r="BO260" s="34" t="s">
        <v>156</v>
      </c>
      <c r="BP260" s="34" t="s">
        <v>156</v>
      </c>
      <c r="BQ260" s="34" t="s">
        <v>156</v>
      </c>
      <c r="BR260" s="35"/>
      <c r="BS260" s="20" t="s">
        <v>157</v>
      </c>
    </row>
    <row r="261" ht="16.5" spans="1:71">
      <c r="A261" s="20" t="s">
        <v>50</v>
      </c>
      <c r="B261" s="21"/>
      <c r="C261" s="45"/>
      <c r="D261" s="59" t="s">
        <v>221</v>
      </c>
      <c r="E261" s="55">
        <v>11</v>
      </c>
      <c r="F261" s="24">
        <v>15.99</v>
      </c>
      <c r="G261" s="25">
        <f t="shared" si="296"/>
        <v>13.5915</v>
      </c>
      <c r="H261" s="25">
        <f t="shared" si="297"/>
        <v>11.32625</v>
      </c>
      <c r="I261" s="25">
        <f t="shared" si="298"/>
        <v>0.530842674532941</v>
      </c>
      <c r="J261" s="26">
        <f t="shared" si="299"/>
        <v>0.0482584249575401</v>
      </c>
      <c r="K261" s="27">
        <f t="shared" si="300"/>
        <v>13.325</v>
      </c>
      <c r="L261" s="28">
        <f t="shared" si="301"/>
        <v>0.174484052532833</v>
      </c>
      <c r="M261" s="25">
        <f t="shared" si="302"/>
        <v>2.325</v>
      </c>
      <c r="N261" s="27">
        <f t="shared" si="315"/>
        <v>25.6814159292035</v>
      </c>
      <c r="O261" s="27">
        <f t="shared" si="303"/>
        <v>0.149166666666667</v>
      </c>
      <c r="P261" s="21">
        <v>60</v>
      </c>
      <c r="Q261" s="29">
        <v>9</v>
      </c>
      <c r="R261" s="30">
        <f t="shared" si="304"/>
        <v>0.272727272727273</v>
      </c>
      <c r="S261" s="26">
        <f t="shared" si="305"/>
        <v>0.187617260787992</v>
      </c>
      <c r="T261" s="30">
        <f t="shared" si="306"/>
        <v>0.218045454545455</v>
      </c>
      <c r="U261" s="30">
        <v>0.01</v>
      </c>
      <c r="V261" s="30">
        <f t="shared" si="307"/>
        <v>0.259408241709127</v>
      </c>
      <c r="W261" s="30">
        <f t="shared" si="308"/>
        <v>0.0135606060606061</v>
      </c>
      <c r="X261" s="31">
        <v>0.178</v>
      </c>
      <c r="Y261" s="32">
        <v>3</v>
      </c>
      <c r="Z261" s="32">
        <f>F261*0.15</f>
        <v>2.3985</v>
      </c>
      <c r="AA261" s="32">
        <f t="shared" si="309"/>
        <v>0.11</v>
      </c>
      <c r="AB261" s="27">
        <f t="shared" si="310"/>
        <v>1.958</v>
      </c>
      <c r="AC261" s="27">
        <v>24.5</v>
      </c>
      <c r="AD261" s="33">
        <f t="shared" si="311"/>
        <v>21.6814159292035</v>
      </c>
      <c r="AE261" s="29">
        <f t="shared" si="316"/>
        <v>0.444444444444444</v>
      </c>
      <c r="AF261" s="30">
        <f t="shared" si="312"/>
        <v>0.219004201305086</v>
      </c>
      <c r="AG261" s="30">
        <f t="shared" si="313"/>
        <v>0.00448933782267116</v>
      </c>
      <c r="AH261" s="29">
        <v>4</v>
      </c>
      <c r="AI261" s="30">
        <f t="shared" si="314"/>
        <v>0.201677519037634</v>
      </c>
      <c r="AJ261" s="30"/>
      <c r="AK261" s="30"/>
      <c r="AL261" s="30"/>
      <c r="AM261" s="30"/>
      <c r="AN261" s="34"/>
      <c r="AO261" s="34"/>
      <c r="AP261" s="34"/>
      <c r="AQ261" s="34"/>
      <c r="AR261" s="34"/>
      <c r="AS261" s="34"/>
      <c r="AT261" s="34" t="s">
        <v>156</v>
      </c>
      <c r="AU261" s="34" t="s">
        <v>156</v>
      </c>
      <c r="AV261" s="34" t="s">
        <v>156</v>
      </c>
      <c r="AW261" s="34" t="s">
        <v>156</v>
      </c>
      <c r="AX261" s="34" t="s">
        <v>156</v>
      </c>
      <c r="AY261" s="34" t="s">
        <v>156</v>
      </c>
      <c r="AZ261" s="34" t="s">
        <v>156</v>
      </c>
      <c r="BA261" s="34" t="s">
        <v>156</v>
      </c>
      <c r="BB261" s="34" t="s">
        <v>156</v>
      </c>
      <c r="BC261" s="34" t="s">
        <v>156</v>
      </c>
      <c r="BD261" s="34" t="s">
        <v>156</v>
      </c>
      <c r="BE261" s="34" t="s">
        <v>156</v>
      </c>
      <c r="BF261" s="34" t="s">
        <v>156</v>
      </c>
      <c r="BG261" s="34" t="s">
        <v>156</v>
      </c>
      <c r="BH261" s="34" t="s">
        <v>156</v>
      </c>
      <c r="BI261" s="34" t="s">
        <v>156</v>
      </c>
      <c r="BJ261" s="34" t="s">
        <v>156</v>
      </c>
      <c r="BK261" s="34" t="s">
        <v>156</v>
      </c>
      <c r="BL261" s="34" t="s">
        <v>156</v>
      </c>
      <c r="BM261" s="34" t="s">
        <v>156</v>
      </c>
      <c r="BN261" s="34" t="s">
        <v>156</v>
      </c>
      <c r="BO261" s="34" t="s">
        <v>156</v>
      </c>
      <c r="BP261" s="34" t="s">
        <v>156</v>
      </c>
      <c r="BQ261" s="34" t="s">
        <v>156</v>
      </c>
      <c r="BR261" s="35"/>
      <c r="BS261" s="20" t="s">
        <v>157</v>
      </c>
    </row>
    <row r="262" ht="16.5" spans="1:71">
      <c r="A262" s="21" t="s">
        <v>37</v>
      </c>
      <c r="B262" s="21"/>
      <c r="C262" s="45"/>
      <c r="D262" s="60" t="s">
        <v>219</v>
      </c>
      <c r="E262" s="55">
        <v>11.7</v>
      </c>
      <c r="F262" s="38">
        <v>16.99</v>
      </c>
      <c r="G262" s="25">
        <f t="shared" si="296"/>
        <v>16.99</v>
      </c>
      <c r="H262" s="25">
        <f t="shared" si="297"/>
        <v>14.1583333333333</v>
      </c>
      <c r="I262" s="25">
        <f t="shared" si="298"/>
        <v>3.04405634218289</v>
      </c>
      <c r="J262" s="26">
        <f t="shared" si="299"/>
        <v>0.260175755742127</v>
      </c>
      <c r="K262" s="27">
        <f t="shared" si="300"/>
        <v>14.1583333333333</v>
      </c>
      <c r="L262" s="28">
        <f t="shared" si="301"/>
        <v>0.173631547969394</v>
      </c>
      <c r="M262" s="25">
        <f t="shared" si="302"/>
        <v>2.45833333333333</v>
      </c>
      <c r="N262" s="27">
        <f>AD262+AH263</f>
        <v>25.6814159292035</v>
      </c>
      <c r="O262" s="27">
        <f t="shared" si="303"/>
        <v>0.129166666666667</v>
      </c>
      <c r="P262" s="21">
        <v>60</v>
      </c>
      <c r="Q262" s="29">
        <v>8</v>
      </c>
      <c r="R262" s="30">
        <f t="shared" si="304"/>
        <v>0.256410256410256</v>
      </c>
      <c r="S262" s="26">
        <f t="shared" si="305"/>
        <v>0.176574455562095</v>
      </c>
      <c r="T262" s="30">
        <f t="shared" si="306"/>
        <v>0</v>
      </c>
      <c r="U262" s="30">
        <v>0.01</v>
      </c>
      <c r="V262" s="30">
        <f t="shared" si="307"/>
        <v>0.27437410180773</v>
      </c>
      <c r="W262" s="30">
        <f t="shared" si="308"/>
        <v>0.011039886039886</v>
      </c>
      <c r="X262" s="31">
        <v>0.188</v>
      </c>
      <c r="Y262" s="32">
        <v>3</v>
      </c>
      <c r="Z262" s="32">
        <v>0</v>
      </c>
      <c r="AA262" s="32">
        <f t="shared" si="309"/>
        <v>0.117</v>
      </c>
      <c r="AB262" s="27">
        <f t="shared" si="310"/>
        <v>2.1996</v>
      </c>
      <c r="AC262" s="27">
        <v>24.5</v>
      </c>
      <c r="AD262" s="33">
        <f t="shared" si="311"/>
        <v>21.6814159292035</v>
      </c>
      <c r="AE262" s="29">
        <f>AH263/Q262</f>
        <v>0.5</v>
      </c>
      <c r="AF262" s="30">
        <f t="shared" si="312"/>
        <v>0.231639059072687</v>
      </c>
      <c r="AG262" s="30">
        <f t="shared" si="313"/>
        <v>0.00534188034188034</v>
      </c>
      <c r="AH262" s="29">
        <v>4</v>
      </c>
      <c r="AI262" s="30">
        <f t="shared" si="314"/>
        <v>0.328988816951148</v>
      </c>
      <c r="AJ262" s="30"/>
      <c r="AK262" s="30"/>
      <c r="AL262" s="30"/>
      <c r="AM262" s="30"/>
      <c r="AN262" s="34"/>
      <c r="AO262" s="34"/>
      <c r="AP262" s="34"/>
      <c r="AQ262" s="34"/>
      <c r="AR262" s="34"/>
      <c r="AS262" s="34"/>
      <c r="AT262" s="34" t="s">
        <v>156</v>
      </c>
      <c r="AU262" s="34" t="s">
        <v>156</v>
      </c>
      <c r="AV262" s="34" t="s">
        <v>156</v>
      </c>
      <c r="AW262" s="34" t="s">
        <v>156</v>
      </c>
      <c r="AX262" s="34" t="s">
        <v>156</v>
      </c>
      <c r="AY262" s="34" t="s">
        <v>156</v>
      </c>
      <c r="AZ262" s="34" t="s">
        <v>156</v>
      </c>
      <c r="BA262" s="34" t="s">
        <v>156</v>
      </c>
      <c r="BB262" s="34" t="s">
        <v>156</v>
      </c>
      <c r="BC262" s="34" t="s">
        <v>156</v>
      </c>
      <c r="BD262" s="34" t="s">
        <v>156</v>
      </c>
      <c r="BE262" s="34" t="s">
        <v>156</v>
      </c>
      <c r="BF262" s="34" t="s">
        <v>156</v>
      </c>
      <c r="BG262" s="34" t="s">
        <v>156</v>
      </c>
      <c r="BH262" s="34" t="s">
        <v>156</v>
      </c>
      <c r="BI262" s="34" t="s">
        <v>156</v>
      </c>
      <c r="BJ262" s="34" t="s">
        <v>156</v>
      </c>
      <c r="BK262" s="34" t="s">
        <v>156</v>
      </c>
      <c r="BL262" s="34" t="s">
        <v>156</v>
      </c>
      <c r="BM262" s="34" t="s">
        <v>156</v>
      </c>
      <c r="BN262" s="34" t="s">
        <v>156</v>
      </c>
      <c r="BO262" s="34" t="s">
        <v>156</v>
      </c>
      <c r="BP262" s="34" t="s">
        <v>156</v>
      </c>
      <c r="BQ262" s="34" t="s">
        <v>156</v>
      </c>
      <c r="BR262" s="35"/>
      <c r="BS262" s="20" t="s">
        <v>157</v>
      </c>
    </row>
    <row r="263" ht="16.5" spans="1:71">
      <c r="A263" s="21" t="s">
        <v>37</v>
      </c>
      <c r="B263" s="21"/>
      <c r="C263" s="45"/>
      <c r="D263" s="60" t="s">
        <v>220</v>
      </c>
      <c r="E263" s="55">
        <v>11.7</v>
      </c>
      <c r="F263" s="24">
        <v>16.99</v>
      </c>
      <c r="G263" s="25">
        <f t="shared" si="296"/>
        <v>15.291</v>
      </c>
      <c r="H263" s="25">
        <f t="shared" si="297"/>
        <v>12.7425</v>
      </c>
      <c r="I263" s="36">
        <f t="shared" si="298"/>
        <v>1.34505634218289</v>
      </c>
      <c r="J263" s="26">
        <f t="shared" si="299"/>
        <v>0.114962080528452</v>
      </c>
      <c r="K263" s="27">
        <f t="shared" si="300"/>
        <v>14.1583333333333</v>
      </c>
      <c r="L263" s="28">
        <f t="shared" si="301"/>
        <v>0.173631547969394</v>
      </c>
      <c r="M263" s="25">
        <f t="shared" si="302"/>
        <v>2.45833333333333</v>
      </c>
      <c r="N263" s="27">
        <f t="shared" si="315"/>
        <v>25.6814159292035</v>
      </c>
      <c r="O263" s="27">
        <f t="shared" si="303"/>
        <v>0.129166666666667</v>
      </c>
      <c r="P263" s="21">
        <v>60</v>
      </c>
      <c r="Q263" s="29">
        <v>8</v>
      </c>
      <c r="R263" s="30">
        <f t="shared" si="304"/>
        <v>0.256410256410256</v>
      </c>
      <c r="S263" s="26">
        <f t="shared" si="305"/>
        <v>0.176574455562095</v>
      </c>
      <c r="T263" s="30">
        <f t="shared" si="306"/>
        <v>0.145213675213675</v>
      </c>
      <c r="U263" s="30">
        <v>0.01</v>
      </c>
      <c r="V263" s="30">
        <f t="shared" si="307"/>
        <v>0.27437410180773</v>
      </c>
      <c r="W263" s="30">
        <f t="shared" si="308"/>
        <v>0.011039886039886</v>
      </c>
      <c r="X263" s="31">
        <v>0.188</v>
      </c>
      <c r="Y263" s="32">
        <v>3</v>
      </c>
      <c r="Z263" s="32">
        <f>F263*0.1</f>
        <v>1.699</v>
      </c>
      <c r="AA263" s="32">
        <f t="shared" si="309"/>
        <v>0.117</v>
      </c>
      <c r="AB263" s="27">
        <f t="shared" si="310"/>
        <v>2.1996</v>
      </c>
      <c r="AC263" s="27">
        <v>24.5</v>
      </c>
      <c r="AD263" s="33">
        <f t="shared" si="311"/>
        <v>21.6814159292035</v>
      </c>
      <c r="AE263" s="29">
        <f t="shared" si="316"/>
        <v>0.5</v>
      </c>
      <c r="AF263" s="30">
        <f t="shared" si="312"/>
        <v>0.231639059072687</v>
      </c>
      <c r="AG263" s="30">
        <f t="shared" si="313"/>
        <v>0.00534188034188034</v>
      </c>
      <c r="AH263" s="29">
        <v>4</v>
      </c>
      <c r="AI263" s="30">
        <f t="shared" si="314"/>
        <v>0.254432018834609</v>
      </c>
      <c r="AJ263" s="30"/>
      <c r="AK263" s="30"/>
      <c r="AL263" s="30"/>
      <c r="AM263" s="30"/>
      <c r="AN263" s="34"/>
      <c r="AO263" s="34"/>
      <c r="AP263" s="34"/>
      <c r="AQ263" s="34"/>
      <c r="AR263" s="34"/>
      <c r="AS263" s="34"/>
      <c r="AT263" s="34" t="s">
        <v>156</v>
      </c>
      <c r="AU263" s="34" t="s">
        <v>156</v>
      </c>
      <c r="AV263" s="34" t="s">
        <v>156</v>
      </c>
      <c r="AW263" s="34" t="s">
        <v>156</v>
      </c>
      <c r="AX263" s="34" t="s">
        <v>156</v>
      </c>
      <c r="AY263" s="34" t="s">
        <v>156</v>
      </c>
      <c r="AZ263" s="34" t="s">
        <v>156</v>
      </c>
      <c r="BA263" s="34" t="s">
        <v>156</v>
      </c>
      <c r="BB263" s="34" t="s">
        <v>156</v>
      </c>
      <c r="BC263" s="34" t="s">
        <v>156</v>
      </c>
      <c r="BD263" s="34" t="s">
        <v>156</v>
      </c>
      <c r="BE263" s="34" t="s">
        <v>156</v>
      </c>
      <c r="BF263" s="34" t="s">
        <v>156</v>
      </c>
      <c r="BG263" s="34" t="s">
        <v>156</v>
      </c>
      <c r="BH263" s="34" t="s">
        <v>156</v>
      </c>
      <c r="BI263" s="34" t="s">
        <v>156</v>
      </c>
      <c r="BJ263" s="34" t="s">
        <v>156</v>
      </c>
      <c r="BK263" s="34" t="s">
        <v>156</v>
      </c>
      <c r="BL263" s="34" t="s">
        <v>156</v>
      </c>
      <c r="BM263" s="34" t="s">
        <v>156</v>
      </c>
      <c r="BN263" s="34" t="s">
        <v>156</v>
      </c>
      <c r="BO263" s="34" t="s">
        <v>156</v>
      </c>
      <c r="BP263" s="34" t="s">
        <v>156</v>
      </c>
      <c r="BQ263" s="34" t="s">
        <v>156</v>
      </c>
      <c r="BR263" s="35"/>
      <c r="BS263" s="20" t="s">
        <v>157</v>
      </c>
    </row>
    <row r="264" ht="16.5" spans="1:71">
      <c r="A264" s="21" t="s">
        <v>37</v>
      </c>
      <c r="B264" s="21"/>
      <c r="C264" s="45"/>
      <c r="D264" s="60" t="s">
        <v>221</v>
      </c>
      <c r="E264" s="55">
        <v>11.7</v>
      </c>
      <c r="F264" s="24">
        <v>16.99</v>
      </c>
      <c r="G264" s="25">
        <f t="shared" si="296"/>
        <v>14.4415</v>
      </c>
      <c r="H264" s="25">
        <f t="shared" si="297"/>
        <v>12.0345833333333</v>
      </c>
      <c r="I264" s="25">
        <f t="shared" si="298"/>
        <v>0.49555634218289</v>
      </c>
      <c r="J264" s="26">
        <f t="shared" si="299"/>
        <v>0.0423552429216145</v>
      </c>
      <c r="K264" s="27">
        <f t="shared" si="300"/>
        <v>14.1583333333333</v>
      </c>
      <c r="L264" s="28">
        <f t="shared" si="301"/>
        <v>0.173631547969394</v>
      </c>
      <c r="M264" s="25">
        <f t="shared" si="302"/>
        <v>2.45833333333333</v>
      </c>
      <c r="N264" s="27">
        <f t="shared" si="315"/>
        <v>25.6814159292035</v>
      </c>
      <c r="O264" s="27">
        <f t="shared" si="303"/>
        <v>0.129166666666667</v>
      </c>
      <c r="P264" s="21">
        <v>60</v>
      </c>
      <c r="Q264" s="29">
        <v>8</v>
      </c>
      <c r="R264" s="30">
        <f t="shared" si="304"/>
        <v>0.256410256410256</v>
      </c>
      <c r="S264" s="26">
        <f t="shared" si="305"/>
        <v>0.176574455562095</v>
      </c>
      <c r="T264" s="30">
        <f t="shared" si="306"/>
        <v>0.217820512820513</v>
      </c>
      <c r="U264" s="30">
        <v>0.01</v>
      </c>
      <c r="V264" s="30">
        <f t="shared" si="307"/>
        <v>0.27437410180773</v>
      </c>
      <c r="W264" s="30">
        <f t="shared" si="308"/>
        <v>0.011039886039886</v>
      </c>
      <c r="X264" s="31">
        <v>0.188</v>
      </c>
      <c r="Y264" s="32">
        <v>3</v>
      </c>
      <c r="Z264" s="32">
        <f>F264*0.15</f>
        <v>2.5485</v>
      </c>
      <c r="AA264" s="32">
        <f t="shared" si="309"/>
        <v>0.117</v>
      </c>
      <c r="AB264" s="27">
        <f t="shared" si="310"/>
        <v>2.1996</v>
      </c>
      <c r="AC264" s="27">
        <v>24.5</v>
      </c>
      <c r="AD264" s="33">
        <f t="shared" si="311"/>
        <v>21.6814159292035</v>
      </c>
      <c r="AE264" s="29">
        <f t="shared" si="316"/>
        <v>0.5</v>
      </c>
      <c r="AF264" s="30">
        <f t="shared" si="312"/>
        <v>0.231639059072687</v>
      </c>
      <c r="AG264" s="30">
        <f t="shared" si="313"/>
        <v>0.00534188034188034</v>
      </c>
      <c r="AH264" s="29">
        <v>4</v>
      </c>
      <c r="AI264" s="30">
        <f t="shared" si="314"/>
        <v>0.210575078766056</v>
      </c>
      <c r="AJ264" s="30"/>
      <c r="AK264" s="30"/>
      <c r="AL264" s="30"/>
      <c r="AM264" s="30"/>
      <c r="AN264" s="34"/>
      <c r="AO264" s="34"/>
      <c r="AP264" s="34"/>
      <c r="AQ264" s="34"/>
      <c r="AR264" s="34"/>
      <c r="AS264" s="34"/>
      <c r="AT264" s="34" t="s">
        <v>156</v>
      </c>
      <c r="AU264" s="34" t="s">
        <v>156</v>
      </c>
      <c r="AV264" s="34" t="s">
        <v>156</v>
      </c>
      <c r="AW264" s="34" t="s">
        <v>156</v>
      </c>
      <c r="AX264" s="34" t="s">
        <v>156</v>
      </c>
      <c r="AY264" s="34" t="s">
        <v>156</v>
      </c>
      <c r="AZ264" s="34" t="s">
        <v>156</v>
      </c>
      <c r="BA264" s="34" t="s">
        <v>156</v>
      </c>
      <c r="BB264" s="34" t="s">
        <v>156</v>
      </c>
      <c r="BC264" s="34" t="s">
        <v>156</v>
      </c>
      <c r="BD264" s="34" t="s">
        <v>156</v>
      </c>
      <c r="BE264" s="34" t="s">
        <v>156</v>
      </c>
      <c r="BF264" s="34" t="s">
        <v>156</v>
      </c>
      <c r="BG264" s="34" t="s">
        <v>156</v>
      </c>
      <c r="BH264" s="34" t="s">
        <v>156</v>
      </c>
      <c r="BI264" s="34" t="s">
        <v>156</v>
      </c>
      <c r="BJ264" s="34" t="s">
        <v>156</v>
      </c>
      <c r="BK264" s="34" t="s">
        <v>156</v>
      </c>
      <c r="BL264" s="34" t="s">
        <v>156</v>
      </c>
      <c r="BM264" s="34" t="s">
        <v>156</v>
      </c>
      <c r="BN264" s="34" t="s">
        <v>156</v>
      </c>
      <c r="BO264" s="34" t="s">
        <v>156</v>
      </c>
      <c r="BP264" s="34" t="s">
        <v>156</v>
      </c>
      <c r="BQ264" s="34" t="s">
        <v>156</v>
      </c>
      <c r="BR264" s="35"/>
      <c r="BS264" s="20" t="s">
        <v>157</v>
      </c>
    </row>
    <row r="265" ht="16.5" spans="1:71">
      <c r="A265" s="21" t="s">
        <v>43</v>
      </c>
      <c r="B265" s="21"/>
      <c r="C265" s="45"/>
      <c r="D265" s="60" t="s">
        <v>219</v>
      </c>
      <c r="E265" s="55">
        <v>11.7</v>
      </c>
      <c r="F265" s="24">
        <v>16.99</v>
      </c>
      <c r="G265" s="25">
        <f t="shared" si="296"/>
        <v>16.99</v>
      </c>
      <c r="H265" s="25">
        <f t="shared" si="297"/>
        <v>14.1583333333333</v>
      </c>
      <c r="I265" s="25">
        <f t="shared" si="298"/>
        <v>2.93572300884956</v>
      </c>
      <c r="J265" s="26">
        <f t="shared" si="299"/>
        <v>0.250916496482868</v>
      </c>
      <c r="K265" s="27">
        <f t="shared" si="300"/>
        <v>14.1583333333333</v>
      </c>
      <c r="L265" s="28">
        <f t="shared" si="301"/>
        <v>0.173631547969394</v>
      </c>
      <c r="M265" s="25">
        <f t="shared" si="302"/>
        <v>2.45833333333333</v>
      </c>
      <c r="N265" s="27">
        <f t="shared" si="315"/>
        <v>25.6814159292035</v>
      </c>
      <c r="O265" s="27">
        <f t="shared" si="303"/>
        <v>0.2375</v>
      </c>
      <c r="P265" s="21">
        <v>60</v>
      </c>
      <c r="Q265" s="29">
        <v>8</v>
      </c>
      <c r="R265" s="30">
        <f t="shared" si="304"/>
        <v>0.256410256410256</v>
      </c>
      <c r="S265" s="26">
        <f t="shared" si="305"/>
        <v>0.176574455562095</v>
      </c>
      <c r="T265" s="30">
        <f t="shared" si="306"/>
        <v>0</v>
      </c>
      <c r="U265" s="30">
        <v>0.01</v>
      </c>
      <c r="V265" s="30">
        <f t="shared" si="307"/>
        <v>0.27437410180773</v>
      </c>
      <c r="W265" s="30">
        <f t="shared" si="308"/>
        <v>0.0202991452991453</v>
      </c>
      <c r="X265" s="31">
        <v>0.188</v>
      </c>
      <c r="Y265" s="32">
        <v>3</v>
      </c>
      <c r="Z265" s="32">
        <v>0</v>
      </c>
      <c r="AA265" s="32">
        <f t="shared" si="309"/>
        <v>0.117</v>
      </c>
      <c r="AB265" s="27">
        <f t="shared" si="310"/>
        <v>2.1996</v>
      </c>
      <c r="AC265" s="27">
        <v>24.5</v>
      </c>
      <c r="AD265" s="33">
        <f t="shared" si="311"/>
        <v>21.6814159292035</v>
      </c>
      <c r="AE265" s="29">
        <f t="shared" si="316"/>
        <v>0.5</v>
      </c>
      <c r="AF265" s="30">
        <f t="shared" si="312"/>
        <v>0.231639059072687</v>
      </c>
      <c r="AG265" s="30">
        <f t="shared" si="313"/>
        <v>0.00534188034188034</v>
      </c>
      <c r="AH265" s="29">
        <v>4</v>
      </c>
      <c r="AI265" s="30">
        <f t="shared" si="314"/>
        <v>0.328988816951148</v>
      </c>
      <c r="AJ265" s="30"/>
      <c r="AK265" s="30"/>
      <c r="AL265" s="30"/>
      <c r="AM265" s="30"/>
      <c r="AN265" s="34"/>
      <c r="AO265" s="34"/>
      <c r="AP265" s="34"/>
      <c r="AQ265" s="34"/>
      <c r="AR265" s="34"/>
      <c r="AS265" s="34"/>
      <c r="AT265" s="34" t="s">
        <v>156</v>
      </c>
      <c r="AU265" s="34" t="s">
        <v>156</v>
      </c>
      <c r="AV265" s="34" t="s">
        <v>156</v>
      </c>
      <c r="AW265" s="34" t="s">
        <v>156</v>
      </c>
      <c r="AX265" s="34" t="s">
        <v>156</v>
      </c>
      <c r="AY265" s="34" t="s">
        <v>156</v>
      </c>
      <c r="AZ265" s="34" t="s">
        <v>156</v>
      </c>
      <c r="BA265" s="34" t="s">
        <v>156</v>
      </c>
      <c r="BB265" s="34" t="s">
        <v>156</v>
      </c>
      <c r="BC265" s="34" t="s">
        <v>156</v>
      </c>
      <c r="BD265" s="34" t="s">
        <v>156</v>
      </c>
      <c r="BE265" s="34" t="s">
        <v>156</v>
      </c>
      <c r="BF265" s="34" t="s">
        <v>156</v>
      </c>
      <c r="BG265" s="34" t="s">
        <v>156</v>
      </c>
      <c r="BH265" s="34" t="s">
        <v>156</v>
      </c>
      <c r="BI265" s="34" t="s">
        <v>156</v>
      </c>
      <c r="BJ265" s="34" t="s">
        <v>156</v>
      </c>
      <c r="BK265" s="34" t="s">
        <v>156</v>
      </c>
      <c r="BL265" s="34" t="s">
        <v>156</v>
      </c>
      <c r="BM265" s="34" t="s">
        <v>156</v>
      </c>
      <c r="BN265" s="34" t="s">
        <v>156</v>
      </c>
      <c r="BO265" s="34" t="s">
        <v>156</v>
      </c>
      <c r="BP265" s="34" t="s">
        <v>156</v>
      </c>
      <c r="BQ265" s="34" t="s">
        <v>156</v>
      </c>
      <c r="BR265" s="35"/>
      <c r="BS265" s="20" t="s">
        <v>157</v>
      </c>
    </row>
    <row r="266" ht="16.5" spans="1:71">
      <c r="A266" s="21" t="s">
        <v>43</v>
      </c>
      <c r="B266" s="21"/>
      <c r="C266" s="45"/>
      <c r="D266" s="60" t="s">
        <v>220</v>
      </c>
      <c r="E266" s="55">
        <v>11.7</v>
      </c>
      <c r="F266" s="24">
        <v>16.99</v>
      </c>
      <c r="G266" s="25">
        <f t="shared" si="296"/>
        <v>15.291</v>
      </c>
      <c r="H266" s="25">
        <f t="shared" si="297"/>
        <v>12.7425</v>
      </c>
      <c r="I266" s="36">
        <f t="shared" si="298"/>
        <v>1.23672300884956</v>
      </c>
      <c r="J266" s="26">
        <f t="shared" si="299"/>
        <v>0.105702821269193</v>
      </c>
      <c r="K266" s="27">
        <f t="shared" si="300"/>
        <v>14.1583333333333</v>
      </c>
      <c r="L266" s="28">
        <f t="shared" si="301"/>
        <v>0.173631547969394</v>
      </c>
      <c r="M266" s="25">
        <f t="shared" si="302"/>
        <v>2.45833333333333</v>
      </c>
      <c r="N266" s="27">
        <f t="shared" si="315"/>
        <v>25.6814159292035</v>
      </c>
      <c r="O266" s="27">
        <f t="shared" si="303"/>
        <v>0.2375</v>
      </c>
      <c r="P266" s="21">
        <v>60</v>
      </c>
      <c r="Q266" s="29">
        <v>8</v>
      </c>
      <c r="R266" s="30">
        <f t="shared" si="304"/>
        <v>0.256410256410256</v>
      </c>
      <c r="S266" s="26">
        <f t="shared" si="305"/>
        <v>0.176574455562095</v>
      </c>
      <c r="T266" s="30">
        <f t="shared" si="306"/>
        <v>0.145213675213675</v>
      </c>
      <c r="U266" s="30">
        <v>0.01</v>
      </c>
      <c r="V266" s="30">
        <f t="shared" si="307"/>
        <v>0.27437410180773</v>
      </c>
      <c r="W266" s="30">
        <f t="shared" si="308"/>
        <v>0.0202991452991453</v>
      </c>
      <c r="X266" s="31">
        <v>0.188</v>
      </c>
      <c r="Y266" s="32">
        <v>3</v>
      </c>
      <c r="Z266" s="32">
        <f>F266*0.1</f>
        <v>1.699</v>
      </c>
      <c r="AA266" s="32">
        <f t="shared" si="309"/>
        <v>0.117</v>
      </c>
      <c r="AB266" s="27">
        <f t="shared" si="310"/>
        <v>2.1996</v>
      </c>
      <c r="AC266" s="27">
        <v>24.5</v>
      </c>
      <c r="AD266" s="33">
        <f t="shared" si="311"/>
        <v>21.6814159292035</v>
      </c>
      <c r="AE266" s="29">
        <f t="shared" si="316"/>
        <v>0.5</v>
      </c>
      <c r="AF266" s="30">
        <f t="shared" si="312"/>
        <v>0.231639059072687</v>
      </c>
      <c r="AG266" s="30">
        <f t="shared" si="313"/>
        <v>0.00534188034188034</v>
      </c>
      <c r="AH266" s="29">
        <v>4</v>
      </c>
      <c r="AI266" s="30">
        <f t="shared" si="314"/>
        <v>0.254432018834609</v>
      </c>
      <c r="AJ266" s="30"/>
      <c r="AK266" s="30"/>
      <c r="AL266" s="30"/>
      <c r="AM266" s="30"/>
      <c r="AN266" s="34"/>
      <c r="AO266" s="34"/>
      <c r="AP266" s="34"/>
      <c r="AQ266" s="34"/>
      <c r="AR266" s="34"/>
      <c r="AS266" s="34"/>
      <c r="AT266" s="34" t="s">
        <v>156</v>
      </c>
      <c r="AU266" s="34" t="s">
        <v>156</v>
      </c>
      <c r="AV266" s="34" t="s">
        <v>156</v>
      </c>
      <c r="AW266" s="34" t="s">
        <v>156</v>
      </c>
      <c r="AX266" s="34" t="s">
        <v>156</v>
      </c>
      <c r="AY266" s="34" t="s">
        <v>156</v>
      </c>
      <c r="AZ266" s="34" t="s">
        <v>156</v>
      </c>
      <c r="BA266" s="34" t="s">
        <v>156</v>
      </c>
      <c r="BB266" s="34" t="s">
        <v>156</v>
      </c>
      <c r="BC266" s="34" t="s">
        <v>156</v>
      </c>
      <c r="BD266" s="34" t="s">
        <v>156</v>
      </c>
      <c r="BE266" s="34" t="s">
        <v>156</v>
      </c>
      <c r="BF266" s="34" t="s">
        <v>156</v>
      </c>
      <c r="BG266" s="34" t="s">
        <v>156</v>
      </c>
      <c r="BH266" s="34" t="s">
        <v>156</v>
      </c>
      <c r="BI266" s="34" t="s">
        <v>156</v>
      </c>
      <c r="BJ266" s="34" t="s">
        <v>156</v>
      </c>
      <c r="BK266" s="34" t="s">
        <v>156</v>
      </c>
      <c r="BL266" s="34" t="s">
        <v>156</v>
      </c>
      <c r="BM266" s="34" t="s">
        <v>156</v>
      </c>
      <c r="BN266" s="34" t="s">
        <v>156</v>
      </c>
      <c r="BO266" s="34" t="s">
        <v>156</v>
      </c>
      <c r="BP266" s="34" t="s">
        <v>156</v>
      </c>
      <c r="BQ266" s="34" t="s">
        <v>156</v>
      </c>
      <c r="BR266" s="35"/>
      <c r="BS266" s="20" t="s">
        <v>157</v>
      </c>
    </row>
    <row r="267" ht="16.5" spans="1:71">
      <c r="A267" s="21" t="s">
        <v>43</v>
      </c>
      <c r="B267" s="21"/>
      <c r="C267" s="45"/>
      <c r="D267" s="60" t="s">
        <v>221</v>
      </c>
      <c r="E267" s="55">
        <v>11.7</v>
      </c>
      <c r="F267" s="24">
        <v>16.99</v>
      </c>
      <c r="G267" s="25">
        <f t="shared" si="296"/>
        <v>14.4415</v>
      </c>
      <c r="H267" s="25">
        <f t="shared" si="297"/>
        <v>12.0345833333333</v>
      </c>
      <c r="I267" s="25">
        <f t="shared" si="298"/>
        <v>0.387223008849557</v>
      </c>
      <c r="J267" s="26">
        <f t="shared" si="299"/>
        <v>0.0330959836623553</v>
      </c>
      <c r="K267" s="27">
        <f t="shared" si="300"/>
        <v>14.1583333333333</v>
      </c>
      <c r="L267" s="28">
        <f t="shared" si="301"/>
        <v>0.173631547969394</v>
      </c>
      <c r="M267" s="25">
        <f t="shared" si="302"/>
        <v>2.45833333333333</v>
      </c>
      <c r="N267" s="27">
        <f t="shared" si="315"/>
        <v>25.6814159292035</v>
      </c>
      <c r="O267" s="27">
        <f t="shared" si="303"/>
        <v>0.2375</v>
      </c>
      <c r="P267" s="21">
        <v>60</v>
      </c>
      <c r="Q267" s="29">
        <v>8</v>
      </c>
      <c r="R267" s="30">
        <f t="shared" si="304"/>
        <v>0.256410256410256</v>
      </c>
      <c r="S267" s="26">
        <f t="shared" si="305"/>
        <v>0.176574455562095</v>
      </c>
      <c r="T267" s="30">
        <f t="shared" si="306"/>
        <v>0.217820512820513</v>
      </c>
      <c r="U267" s="30">
        <v>0.01</v>
      </c>
      <c r="V267" s="30">
        <f t="shared" si="307"/>
        <v>0.27437410180773</v>
      </c>
      <c r="W267" s="30">
        <f t="shared" si="308"/>
        <v>0.0202991452991453</v>
      </c>
      <c r="X267" s="31">
        <v>0.188</v>
      </c>
      <c r="Y267" s="32">
        <v>3</v>
      </c>
      <c r="Z267" s="32">
        <f>F267*0.15</f>
        <v>2.5485</v>
      </c>
      <c r="AA267" s="32">
        <f t="shared" si="309"/>
        <v>0.117</v>
      </c>
      <c r="AB267" s="27">
        <f t="shared" si="310"/>
        <v>2.1996</v>
      </c>
      <c r="AC267" s="27">
        <v>24.5</v>
      </c>
      <c r="AD267" s="33">
        <f t="shared" si="311"/>
        <v>21.6814159292035</v>
      </c>
      <c r="AE267" s="29">
        <f t="shared" si="316"/>
        <v>0.5</v>
      </c>
      <c r="AF267" s="30">
        <f t="shared" si="312"/>
        <v>0.231639059072687</v>
      </c>
      <c r="AG267" s="30">
        <f t="shared" si="313"/>
        <v>0.00534188034188034</v>
      </c>
      <c r="AH267" s="29">
        <v>4</v>
      </c>
      <c r="AI267" s="30">
        <f t="shared" si="314"/>
        <v>0.210575078766056</v>
      </c>
      <c r="AJ267" s="30"/>
      <c r="AK267" s="30"/>
      <c r="AL267" s="30"/>
      <c r="AM267" s="30"/>
      <c r="AN267" s="34"/>
      <c r="AO267" s="34"/>
      <c r="AP267" s="34"/>
      <c r="AQ267" s="34"/>
      <c r="AR267" s="34"/>
      <c r="AS267" s="34"/>
      <c r="AT267" s="34" t="s">
        <v>156</v>
      </c>
      <c r="AU267" s="34" t="s">
        <v>156</v>
      </c>
      <c r="AV267" s="34" t="s">
        <v>156</v>
      </c>
      <c r="AW267" s="34" t="s">
        <v>156</v>
      </c>
      <c r="AX267" s="34" t="s">
        <v>156</v>
      </c>
      <c r="AY267" s="34" t="s">
        <v>156</v>
      </c>
      <c r="AZ267" s="34" t="s">
        <v>156</v>
      </c>
      <c r="BA267" s="34" t="s">
        <v>156</v>
      </c>
      <c r="BB267" s="34" t="s">
        <v>156</v>
      </c>
      <c r="BC267" s="34" t="s">
        <v>156</v>
      </c>
      <c r="BD267" s="34" t="s">
        <v>156</v>
      </c>
      <c r="BE267" s="34" t="s">
        <v>156</v>
      </c>
      <c r="BF267" s="34" t="s">
        <v>156</v>
      </c>
      <c r="BG267" s="34" t="s">
        <v>156</v>
      </c>
      <c r="BH267" s="34" t="s">
        <v>156</v>
      </c>
      <c r="BI267" s="34" t="s">
        <v>156</v>
      </c>
      <c r="BJ267" s="34" t="s">
        <v>156</v>
      </c>
      <c r="BK267" s="34" t="s">
        <v>156</v>
      </c>
      <c r="BL267" s="34" t="s">
        <v>156</v>
      </c>
      <c r="BM267" s="34" t="s">
        <v>156</v>
      </c>
      <c r="BN267" s="34" t="s">
        <v>156</v>
      </c>
      <c r="BO267" s="34" t="s">
        <v>156</v>
      </c>
      <c r="BP267" s="34" t="s">
        <v>156</v>
      </c>
      <c r="BQ267" s="34" t="s">
        <v>156</v>
      </c>
      <c r="BR267" s="35"/>
      <c r="BS267" s="20" t="s">
        <v>157</v>
      </c>
    </row>
    <row r="268" ht="16.5" spans="1:71">
      <c r="A268" s="21" t="s">
        <v>45</v>
      </c>
      <c r="B268" s="21"/>
      <c r="C268" s="45"/>
      <c r="D268" s="60" t="s">
        <v>219</v>
      </c>
      <c r="E268" s="55">
        <v>11.7</v>
      </c>
      <c r="F268" s="24">
        <v>16.99</v>
      </c>
      <c r="G268" s="25">
        <f t="shared" si="296"/>
        <v>16.99</v>
      </c>
      <c r="H268" s="25">
        <f t="shared" si="297"/>
        <v>14.1583333333333</v>
      </c>
      <c r="I268" s="25">
        <f t="shared" si="298"/>
        <v>2.91905634218289</v>
      </c>
      <c r="J268" s="26">
        <f t="shared" si="299"/>
        <v>0.249491995058367</v>
      </c>
      <c r="K268" s="27">
        <f t="shared" si="300"/>
        <v>14.1583333333333</v>
      </c>
      <c r="L268" s="28">
        <f t="shared" si="301"/>
        <v>0.173631547969394</v>
      </c>
      <c r="M268" s="25">
        <f t="shared" si="302"/>
        <v>2.45833333333333</v>
      </c>
      <c r="N268" s="27">
        <f t="shared" si="315"/>
        <v>25.6814159292035</v>
      </c>
      <c r="O268" s="27">
        <f t="shared" si="303"/>
        <v>0.254166666666667</v>
      </c>
      <c r="P268" s="21">
        <v>60</v>
      </c>
      <c r="Q268" s="29">
        <v>8</v>
      </c>
      <c r="R268" s="30">
        <f t="shared" si="304"/>
        <v>0.256410256410256</v>
      </c>
      <c r="S268" s="26">
        <f t="shared" si="305"/>
        <v>0.176574455562095</v>
      </c>
      <c r="T268" s="30">
        <f t="shared" si="306"/>
        <v>0</v>
      </c>
      <c r="U268" s="30">
        <v>0.01</v>
      </c>
      <c r="V268" s="30">
        <f t="shared" si="307"/>
        <v>0.27437410180773</v>
      </c>
      <c r="W268" s="30">
        <f t="shared" si="308"/>
        <v>0.0217236467236467</v>
      </c>
      <c r="X268" s="31">
        <v>0.188</v>
      </c>
      <c r="Y268" s="32">
        <v>3</v>
      </c>
      <c r="Z268" s="32">
        <v>0</v>
      </c>
      <c r="AA268" s="32">
        <f t="shared" si="309"/>
        <v>0.117</v>
      </c>
      <c r="AB268" s="27">
        <f t="shared" si="310"/>
        <v>2.1996</v>
      </c>
      <c r="AC268" s="27">
        <v>24.5</v>
      </c>
      <c r="AD268" s="33">
        <f t="shared" si="311"/>
        <v>21.6814159292035</v>
      </c>
      <c r="AE268" s="29">
        <f t="shared" si="316"/>
        <v>0.5</v>
      </c>
      <c r="AF268" s="30">
        <f t="shared" si="312"/>
        <v>0.231639059072687</v>
      </c>
      <c r="AG268" s="30">
        <f t="shared" si="313"/>
        <v>0.00534188034188034</v>
      </c>
      <c r="AH268" s="29">
        <v>4</v>
      </c>
      <c r="AI268" s="26">
        <f t="shared" si="314"/>
        <v>0.328988816951148</v>
      </c>
      <c r="AJ268" s="26"/>
      <c r="AK268" s="26"/>
      <c r="AL268" s="26"/>
      <c r="AM268" s="26"/>
      <c r="AN268" s="34"/>
      <c r="AO268" s="34"/>
      <c r="AP268" s="34"/>
      <c r="AQ268" s="34"/>
      <c r="AR268" s="34"/>
      <c r="AS268" s="34"/>
      <c r="AT268" s="34" t="s">
        <v>156</v>
      </c>
      <c r="AU268" s="34" t="s">
        <v>156</v>
      </c>
      <c r="AV268" s="34" t="s">
        <v>156</v>
      </c>
      <c r="AW268" s="34" t="s">
        <v>156</v>
      </c>
      <c r="AX268" s="34" t="s">
        <v>156</v>
      </c>
      <c r="AY268" s="34" t="s">
        <v>156</v>
      </c>
      <c r="AZ268" s="34" t="s">
        <v>156</v>
      </c>
      <c r="BA268" s="34" t="s">
        <v>156</v>
      </c>
      <c r="BB268" s="34" t="s">
        <v>156</v>
      </c>
      <c r="BC268" s="34" t="s">
        <v>156</v>
      </c>
      <c r="BD268" s="34" t="s">
        <v>156</v>
      </c>
      <c r="BE268" s="34" t="s">
        <v>156</v>
      </c>
      <c r="BF268" s="34" t="s">
        <v>156</v>
      </c>
      <c r="BG268" s="34" t="s">
        <v>156</v>
      </c>
      <c r="BH268" s="34" t="s">
        <v>156</v>
      </c>
      <c r="BI268" s="34" t="s">
        <v>156</v>
      </c>
      <c r="BJ268" s="34" t="s">
        <v>156</v>
      </c>
      <c r="BK268" s="34" t="s">
        <v>156</v>
      </c>
      <c r="BL268" s="34" t="s">
        <v>156</v>
      </c>
      <c r="BM268" s="34" t="s">
        <v>156</v>
      </c>
      <c r="BN268" s="34" t="s">
        <v>156</v>
      </c>
      <c r="BO268" s="34" t="s">
        <v>156</v>
      </c>
      <c r="BP268" s="34" t="s">
        <v>156</v>
      </c>
      <c r="BQ268" s="34" t="s">
        <v>156</v>
      </c>
      <c r="BR268" s="35"/>
      <c r="BS268" s="20" t="s">
        <v>157</v>
      </c>
    </row>
    <row r="269" ht="16.5" spans="1:71">
      <c r="A269" s="21" t="s">
        <v>45</v>
      </c>
      <c r="B269" s="21"/>
      <c r="C269" s="45"/>
      <c r="D269" s="60" t="s">
        <v>220</v>
      </c>
      <c r="E269" s="55">
        <v>11.7</v>
      </c>
      <c r="F269" s="24">
        <v>16.99</v>
      </c>
      <c r="G269" s="25">
        <f t="shared" si="296"/>
        <v>15.291</v>
      </c>
      <c r="H269" s="25">
        <f t="shared" si="297"/>
        <v>12.7425</v>
      </c>
      <c r="I269" s="36">
        <f t="shared" si="298"/>
        <v>1.22005634218289</v>
      </c>
      <c r="J269" s="26">
        <f t="shared" si="299"/>
        <v>0.104278319844692</v>
      </c>
      <c r="K269" s="27">
        <f t="shared" si="300"/>
        <v>14.1583333333333</v>
      </c>
      <c r="L269" s="28">
        <f t="shared" si="301"/>
        <v>0.173631547969394</v>
      </c>
      <c r="M269" s="25">
        <f t="shared" si="302"/>
        <v>2.45833333333333</v>
      </c>
      <c r="N269" s="27">
        <f t="shared" si="315"/>
        <v>25.6814159292035</v>
      </c>
      <c r="O269" s="27">
        <f t="shared" si="303"/>
        <v>0.254166666666667</v>
      </c>
      <c r="P269" s="21">
        <v>60</v>
      </c>
      <c r="Q269" s="29">
        <v>8</v>
      </c>
      <c r="R269" s="30">
        <f t="shared" si="304"/>
        <v>0.256410256410256</v>
      </c>
      <c r="S269" s="26">
        <f t="shared" si="305"/>
        <v>0.176574455562095</v>
      </c>
      <c r="T269" s="30">
        <f t="shared" si="306"/>
        <v>0.145213675213675</v>
      </c>
      <c r="U269" s="30">
        <v>0.01</v>
      </c>
      <c r="V269" s="30">
        <f t="shared" si="307"/>
        <v>0.27437410180773</v>
      </c>
      <c r="W269" s="30">
        <f t="shared" si="308"/>
        <v>0.0217236467236467</v>
      </c>
      <c r="X269" s="31">
        <v>0.188</v>
      </c>
      <c r="Y269" s="32">
        <v>3</v>
      </c>
      <c r="Z269" s="32">
        <f>F269*0.1</f>
        <v>1.699</v>
      </c>
      <c r="AA269" s="32">
        <f t="shared" si="309"/>
        <v>0.117</v>
      </c>
      <c r="AB269" s="27">
        <f t="shared" si="310"/>
        <v>2.1996</v>
      </c>
      <c r="AC269" s="27">
        <v>24.5</v>
      </c>
      <c r="AD269" s="33">
        <f t="shared" si="311"/>
        <v>21.6814159292035</v>
      </c>
      <c r="AE269" s="29">
        <f t="shared" si="316"/>
        <v>0.5</v>
      </c>
      <c r="AF269" s="30">
        <f t="shared" si="312"/>
        <v>0.231639059072687</v>
      </c>
      <c r="AG269" s="30">
        <f t="shared" si="313"/>
        <v>0.00534188034188034</v>
      </c>
      <c r="AH269" s="29">
        <v>4</v>
      </c>
      <c r="AI269" s="26">
        <f t="shared" si="314"/>
        <v>0.254432018834609</v>
      </c>
      <c r="AJ269" s="26"/>
      <c r="AK269" s="26"/>
      <c r="AL269" s="26"/>
      <c r="AM269" s="26"/>
      <c r="AN269" s="34"/>
      <c r="AO269" s="34"/>
      <c r="AP269" s="34"/>
      <c r="AQ269" s="34"/>
      <c r="AR269" s="34"/>
      <c r="AS269" s="34"/>
      <c r="AT269" s="34" t="s">
        <v>156</v>
      </c>
      <c r="AU269" s="34" t="s">
        <v>156</v>
      </c>
      <c r="AV269" s="34" t="s">
        <v>156</v>
      </c>
      <c r="AW269" s="34" t="s">
        <v>156</v>
      </c>
      <c r="AX269" s="34" t="s">
        <v>156</v>
      </c>
      <c r="AY269" s="34" t="s">
        <v>156</v>
      </c>
      <c r="AZ269" s="34" t="s">
        <v>156</v>
      </c>
      <c r="BA269" s="34" t="s">
        <v>156</v>
      </c>
      <c r="BB269" s="34" t="s">
        <v>156</v>
      </c>
      <c r="BC269" s="34" t="s">
        <v>156</v>
      </c>
      <c r="BD269" s="34" t="s">
        <v>156</v>
      </c>
      <c r="BE269" s="34" t="s">
        <v>156</v>
      </c>
      <c r="BF269" s="34" t="s">
        <v>156</v>
      </c>
      <c r="BG269" s="34" t="s">
        <v>156</v>
      </c>
      <c r="BH269" s="34" t="s">
        <v>156</v>
      </c>
      <c r="BI269" s="34" t="s">
        <v>156</v>
      </c>
      <c r="BJ269" s="34" t="s">
        <v>156</v>
      </c>
      <c r="BK269" s="34" t="s">
        <v>156</v>
      </c>
      <c r="BL269" s="34" t="s">
        <v>156</v>
      </c>
      <c r="BM269" s="34" t="s">
        <v>156</v>
      </c>
      <c r="BN269" s="34" t="s">
        <v>156</v>
      </c>
      <c r="BO269" s="34" t="s">
        <v>156</v>
      </c>
      <c r="BP269" s="34" t="s">
        <v>156</v>
      </c>
      <c r="BQ269" s="34" t="s">
        <v>156</v>
      </c>
      <c r="BR269" s="35"/>
      <c r="BS269" s="20" t="s">
        <v>157</v>
      </c>
    </row>
    <row r="270" ht="16.5" spans="1:71">
      <c r="A270" s="21" t="s">
        <v>45</v>
      </c>
      <c r="B270" s="21"/>
      <c r="C270" s="45"/>
      <c r="D270" s="60" t="s">
        <v>221</v>
      </c>
      <c r="E270" s="55">
        <v>11.7</v>
      </c>
      <c r="F270" s="24">
        <v>16.99</v>
      </c>
      <c r="G270" s="25">
        <f t="shared" si="296"/>
        <v>14.4415</v>
      </c>
      <c r="H270" s="25">
        <f t="shared" si="297"/>
        <v>12.0345833333333</v>
      </c>
      <c r="I270" s="25">
        <f t="shared" si="298"/>
        <v>0.370556342182891</v>
      </c>
      <c r="J270" s="26">
        <f t="shared" si="299"/>
        <v>0.0316714822378539</v>
      </c>
      <c r="K270" s="27">
        <f t="shared" si="300"/>
        <v>14.1583333333333</v>
      </c>
      <c r="L270" s="28">
        <f t="shared" si="301"/>
        <v>0.173631547969394</v>
      </c>
      <c r="M270" s="25">
        <f t="shared" si="302"/>
        <v>2.45833333333333</v>
      </c>
      <c r="N270" s="27">
        <f t="shared" si="315"/>
        <v>25.6814159292035</v>
      </c>
      <c r="O270" s="27">
        <f t="shared" si="303"/>
        <v>0.254166666666667</v>
      </c>
      <c r="P270" s="21">
        <v>60</v>
      </c>
      <c r="Q270" s="29">
        <v>8</v>
      </c>
      <c r="R270" s="30">
        <f t="shared" si="304"/>
        <v>0.256410256410256</v>
      </c>
      <c r="S270" s="26">
        <f t="shared" si="305"/>
        <v>0.176574455562095</v>
      </c>
      <c r="T270" s="30">
        <f t="shared" si="306"/>
        <v>0.217820512820513</v>
      </c>
      <c r="U270" s="30">
        <v>0.01</v>
      </c>
      <c r="V270" s="30">
        <f t="shared" si="307"/>
        <v>0.27437410180773</v>
      </c>
      <c r="W270" s="30">
        <f t="shared" si="308"/>
        <v>0.0217236467236467</v>
      </c>
      <c r="X270" s="31">
        <v>0.188</v>
      </c>
      <c r="Y270" s="32">
        <v>3</v>
      </c>
      <c r="Z270" s="32">
        <f>F270*0.15</f>
        <v>2.5485</v>
      </c>
      <c r="AA270" s="32">
        <f t="shared" si="309"/>
        <v>0.117</v>
      </c>
      <c r="AB270" s="27">
        <f t="shared" si="310"/>
        <v>2.1996</v>
      </c>
      <c r="AC270" s="27">
        <v>24.5</v>
      </c>
      <c r="AD270" s="33">
        <f t="shared" si="311"/>
        <v>21.6814159292035</v>
      </c>
      <c r="AE270" s="29">
        <f t="shared" si="316"/>
        <v>0.5</v>
      </c>
      <c r="AF270" s="30">
        <f t="shared" si="312"/>
        <v>0.231639059072687</v>
      </c>
      <c r="AG270" s="30">
        <f t="shared" si="313"/>
        <v>0.00534188034188034</v>
      </c>
      <c r="AH270" s="29">
        <v>4</v>
      </c>
      <c r="AI270" s="26">
        <f t="shared" si="314"/>
        <v>0.210575078766056</v>
      </c>
      <c r="AJ270" s="26"/>
      <c r="AK270" s="26"/>
      <c r="AL270" s="26"/>
      <c r="AM270" s="26"/>
      <c r="AN270" s="34"/>
      <c r="AO270" s="34"/>
      <c r="AP270" s="34"/>
      <c r="AQ270" s="34"/>
      <c r="AR270" s="34"/>
      <c r="AS270" s="34"/>
      <c r="AT270" s="34" t="s">
        <v>156</v>
      </c>
      <c r="AU270" s="34" t="s">
        <v>156</v>
      </c>
      <c r="AV270" s="34" t="s">
        <v>156</v>
      </c>
      <c r="AW270" s="34" t="s">
        <v>156</v>
      </c>
      <c r="AX270" s="34" t="s">
        <v>156</v>
      </c>
      <c r="AY270" s="34" t="s">
        <v>156</v>
      </c>
      <c r="AZ270" s="34" t="s">
        <v>156</v>
      </c>
      <c r="BA270" s="34" t="s">
        <v>156</v>
      </c>
      <c r="BB270" s="34" t="s">
        <v>156</v>
      </c>
      <c r="BC270" s="34" t="s">
        <v>156</v>
      </c>
      <c r="BD270" s="34" t="s">
        <v>156</v>
      </c>
      <c r="BE270" s="34" t="s">
        <v>156</v>
      </c>
      <c r="BF270" s="34" t="s">
        <v>156</v>
      </c>
      <c r="BG270" s="34" t="s">
        <v>156</v>
      </c>
      <c r="BH270" s="34" t="s">
        <v>156</v>
      </c>
      <c r="BI270" s="34" t="s">
        <v>156</v>
      </c>
      <c r="BJ270" s="34" t="s">
        <v>156</v>
      </c>
      <c r="BK270" s="34" t="s">
        <v>156</v>
      </c>
      <c r="BL270" s="34" t="s">
        <v>156</v>
      </c>
      <c r="BM270" s="34" t="s">
        <v>156</v>
      </c>
      <c r="BN270" s="34" t="s">
        <v>156</v>
      </c>
      <c r="BO270" s="34" t="s">
        <v>156</v>
      </c>
      <c r="BP270" s="34" t="s">
        <v>156</v>
      </c>
      <c r="BQ270" s="34" t="s">
        <v>156</v>
      </c>
      <c r="BR270" s="35"/>
      <c r="BS270" s="20" t="s">
        <v>157</v>
      </c>
    </row>
    <row r="271" ht="16.5" spans="1:71">
      <c r="A271" s="21" t="s">
        <v>48</v>
      </c>
      <c r="B271" s="21"/>
      <c r="C271" s="45"/>
      <c r="D271" s="60" t="s">
        <v>219</v>
      </c>
      <c r="E271" s="55">
        <v>11.7</v>
      </c>
      <c r="F271" s="24">
        <v>16.99</v>
      </c>
      <c r="G271" s="25">
        <f t="shared" si="296"/>
        <v>16.99</v>
      </c>
      <c r="H271" s="25">
        <f t="shared" si="297"/>
        <v>14.1583333333333</v>
      </c>
      <c r="I271" s="25">
        <f t="shared" si="298"/>
        <v>2.85238967551622</v>
      </c>
      <c r="J271" s="26">
        <f t="shared" si="299"/>
        <v>0.243793989360361</v>
      </c>
      <c r="K271" s="27">
        <f t="shared" si="300"/>
        <v>14.1583333333333</v>
      </c>
      <c r="L271" s="28">
        <f t="shared" si="301"/>
        <v>0.173631547969394</v>
      </c>
      <c r="M271" s="25">
        <f t="shared" si="302"/>
        <v>2.45833333333333</v>
      </c>
      <c r="N271" s="27">
        <f t="shared" si="315"/>
        <v>25.6814159292035</v>
      </c>
      <c r="O271" s="27">
        <f t="shared" si="303"/>
        <v>0.320833333333333</v>
      </c>
      <c r="P271" s="21">
        <v>60</v>
      </c>
      <c r="Q271" s="29">
        <v>8</v>
      </c>
      <c r="R271" s="30">
        <f t="shared" si="304"/>
        <v>0.256410256410256</v>
      </c>
      <c r="S271" s="26">
        <f t="shared" si="305"/>
        <v>0.176574455562095</v>
      </c>
      <c r="T271" s="30">
        <f t="shared" si="306"/>
        <v>0</v>
      </c>
      <c r="U271" s="30">
        <v>0.01</v>
      </c>
      <c r="V271" s="30">
        <f t="shared" si="307"/>
        <v>0.27437410180773</v>
      </c>
      <c r="W271" s="30">
        <f t="shared" si="308"/>
        <v>0.0274216524216524</v>
      </c>
      <c r="X271" s="31">
        <v>0.188</v>
      </c>
      <c r="Y271" s="32">
        <v>3</v>
      </c>
      <c r="Z271" s="32">
        <v>0</v>
      </c>
      <c r="AA271" s="32">
        <f t="shared" si="309"/>
        <v>0.117</v>
      </c>
      <c r="AB271" s="27">
        <f t="shared" si="310"/>
        <v>2.1996</v>
      </c>
      <c r="AC271" s="27">
        <v>24.5</v>
      </c>
      <c r="AD271" s="33">
        <f t="shared" si="311"/>
        <v>21.6814159292035</v>
      </c>
      <c r="AE271" s="29">
        <f t="shared" si="316"/>
        <v>0.5</v>
      </c>
      <c r="AF271" s="30">
        <f t="shared" si="312"/>
        <v>0.231639059072687</v>
      </c>
      <c r="AG271" s="30">
        <f t="shared" si="313"/>
        <v>0.00534188034188034</v>
      </c>
      <c r="AH271" s="29">
        <v>4</v>
      </c>
      <c r="AI271" s="30">
        <f t="shared" si="314"/>
        <v>0.328988816951148</v>
      </c>
      <c r="AJ271" s="30"/>
      <c r="AK271" s="30"/>
      <c r="AL271" s="30"/>
      <c r="AM271" s="30"/>
      <c r="AN271" s="34"/>
      <c r="AO271" s="34"/>
      <c r="AP271" s="34"/>
      <c r="AQ271" s="34"/>
      <c r="AR271" s="34"/>
      <c r="AS271" s="34"/>
      <c r="AT271" s="34" t="s">
        <v>156</v>
      </c>
      <c r="AU271" s="34" t="s">
        <v>156</v>
      </c>
      <c r="AV271" s="34" t="s">
        <v>156</v>
      </c>
      <c r="AW271" s="34" t="s">
        <v>156</v>
      </c>
      <c r="AX271" s="34" t="s">
        <v>156</v>
      </c>
      <c r="AY271" s="34" t="s">
        <v>156</v>
      </c>
      <c r="AZ271" s="34" t="s">
        <v>156</v>
      </c>
      <c r="BA271" s="34" t="s">
        <v>156</v>
      </c>
      <c r="BB271" s="34" t="s">
        <v>156</v>
      </c>
      <c r="BC271" s="34" t="s">
        <v>156</v>
      </c>
      <c r="BD271" s="34" t="s">
        <v>156</v>
      </c>
      <c r="BE271" s="34" t="s">
        <v>156</v>
      </c>
      <c r="BF271" s="34" t="s">
        <v>156</v>
      </c>
      <c r="BG271" s="34" t="s">
        <v>156</v>
      </c>
      <c r="BH271" s="34" t="s">
        <v>156</v>
      </c>
      <c r="BI271" s="34" t="s">
        <v>156</v>
      </c>
      <c r="BJ271" s="34" t="s">
        <v>156</v>
      </c>
      <c r="BK271" s="34" t="s">
        <v>156</v>
      </c>
      <c r="BL271" s="34" t="s">
        <v>156</v>
      </c>
      <c r="BM271" s="34" t="s">
        <v>156</v>
      </c>
      <c r="BN271" s="34" t="s">
        <v>156</v>
      </c>
      <c r="BO271" s="34" t="s">
        <v>156</v>
      </c>
      <c r="BP271" s="34" t="s">
        <v>156</v>
      </c>
      <c r="BQ271" s="34" t="s">
        <v>156</v>
      </c>
      <c r="BR271" s="35"/>
      <c r="BS271" s="20" t="s">
        <v>157</v>
      </c>
    </row>
    <row r="272" ht="16.5" spans="1:71">
      <c r="A272" s="21" t="s">
        <v>48</v>
      </c>
      <c r="B272" s="21"/>
      <c r="C272" s="45"/>
      <c r="D272" s="60" t="s">
        <v>220</v>
      </c>
      <c r="E272" s="55">
        <v>11.7</v>
      </c>
      <c r="F272" s="24">
        <v>16.99</v>
      </c>
      <c r="G272" s="25">
        <f t="shared" si="296"/>
        <v>15.291</v>
      </c>
      <c r="H272" s="25">
        <f t="shared" si="297"/>
        <v>12.7425</v>
      </c>
      <c r="I272" s="36">
        <f t="shared" si="298"/>
        <v>1.15338967551622</v>
      </c>
      <c r="J272" s="26">
        <f t="shared" si="299"/>
        <v>0.0985803141466858</v>
      </c>
      <c r="K272" s="27">
        <f t="shared" si="300"/>
        <v>14.1583333333333</v>
      </c>
      <c r="L272" s="28">
        <f t="shared" si="301"/>
        <v>0.173631547969394</v>
      </c>
      <c r="M272" s="25">
        <f t="shared" si="302"/>
        <v>2.45833333333333</v>
      </c>
      <c r="N272" s="27">
        <f t="shared" si="315"/>
        <v>25.6814159292035</v>
      </c>
      <c r="O272" s="27">
        <f t="shared" si="303"/>
        <v>0.320833333333333</v>
      </c>
      <c r="P272" s="21">
        <v>60</v>
      </c>
      <c r="Q272" s="29">
        <v>8</v>
      </c>
      <c r="R272" s="30">
        <f t="shared" si="304"/>
        <v>0.256410256410256</v>
      </c>
      <c r="S272" s="26">
        <f t="shared" si="305"/>
        <v>0.176574455562095</v>
      </c>
      <c r="T272" s="30">
        <f t="shared" si="306"/>
        <v>0.145213675213675</v>
      </c>
      <c r="U272" s="30">
        <v>0.01</v>
      </c>
      <c r="V272" s="30">
        <f t="shared" si="307"/>
        <v>0.27437410180773</v>
      </c>
      <c r="W272" s="30">
        <f t="shared" si="308"/>
        <v>0.0274216524216524</v>
      </c>
      <c r="X272" s="31">
        <v>0.188</v>
      </c>
      <c r="Y272" s="32">
        <v>3</v>
      </c>
      <c r="Z272" s="32">
        <f>F272*0.1</f>
        <v>1.699</v>
      </c>
      <c r="AA272" s="32">
        <f t="shared" si="309"/>
        <v>0.117</v>
      </c>
      <c r="AB272" s="27">
        <f t="shared" si="310"/>
        <v>2.1996</v>
      </c>
      <c r="AC272" s="27">
        <v>24.5</v>
      </c>
      <c r="AD272" s="33">
        <f t="shared" si="311"/>
        <v>21.6814159292035</v>
      </c>
      <c r="AE272" s="29">
        <f t="shared" si="316"/>
        <v>0.5</v>
      </c>
      <c r="AF272" s="30">
        <f t="shared" si="312"/>
        <v>0.231639059072687</v>
      </c>
      <c r="AG272" s="30">
        <f t="shared" si="313"/>
        <v>0.00534188034188034</v>
      </c>
      <c r="AH272" s="29">
        <v>4</v>
      </c>
      <c r="AI272" s="30">
        <f t="shared" si="314"/>
        <v>0.254432018834609</v>
      </c>
      <c r="AJ272" s="30"/>
      <c r="AK272" s="30"/>
      <c r="AL272" s="30"/>
      <c r="AM272" s="30"/>
      <c r="AN272" s="34"/>
      <c r="AO272" s="34"/>
      <c r="AP272" s="34"/>
      <c r="AQ272" s="34"/>
      <c r="AR272" s="34"/>
      <c r="AS272" s="34"/>
      <c r="AT272" s="34" t="s">
        <v>156</v>
      </c>
      <c r="AU272" s="34" t="s">
        <v>156</v>
      </c>
      <c r="AV272" s="34" t="s">
        <v>156</v>
      </c>
      <c r="AW272" s="34" t="s">
        <v>156</v>
      </c>
      <c r="AX272" s="34" t="s">
        <v>156</v>
      </c>
      <c r="AY272" s="34" t="s">
        <v>156</v>
      </c>
      <c r="AZ272" s="34" t="s">
        <v>156</v>
      </c>
      <c r="BA272" s="34" t="s">
        <v>156</v>
      </c>
      <c r="BB272" s="34" t="s">
        <v>156</v>
      </c>
      <c r="BC272" s="34" t="s">
        <v>156</v>
      </c>
      <c r="BD272" s="34" t="s">
        <v>156</v>
      </c>
      <c r="BE272" s="34" t="s">
        <v>156</v>
      </c>
      <c r="BF272" s="34" t="s">
        <v>156</v>
      </c>
      <c r="BG272" s="34" t="s">
        <v>156</v>
      </c>
      <c r="BH272" s="34" t="s">
        <v>156</v>
      </c>
      <c r="BI272" s="34" t="s">
        <v>156</v>
      </c>
      <c r="BJ272" s="34" t="s">
        <v>156</v>
      </c>
      <c r="BK272" s="34" t="s">
        <v>156</v>
      </c>
      <c r="BL272" s="34" t="s">
        <v>156</v>
      </c>
      <c r="BM272" s="34" t="s">
        <v>156</v>
      </c>
      <c r="BN272" s="34" t="s">
        <v>156</v>
      </c>
      <c r="BO272" s="34" t="s">
        <v>156</v>
      </c>
      <c r="BP272" s="34" t="s">
        <v>156</v>
      </c>
      <c r="BQ272" s="34" t="s">
        <v>156</v>
      </c>
      <c r="BR272" s="35"/>
      <c r="BS272" s="20" t="s">
        <v>157</v>
      </c>
    </row>
    <row r="273" ht="16.5" spans="1:71">
      <c r="A273" s="21" t="s">
        <v>48</v>
      </c>
      <c r="B273" s="21"/>
      <c r="C273" s="45"/>
      <c r="D273" s="60" t="s">
        <v>221</v>
      </c>
      <c r="E273" s="55">
        <v>11.7</v>
      </c>
      <c r="F273" s="24">
        <v>16.99</v>
      </c>
      <c r="G273" s="25">
        <f t="shared" si="296"/>
        <v>14.4415</v>
      </c>
      <c r="H273" s="25">
        <f t="shared" si="297"/>
        <v>12.0345833333333</v>
      </c>
      <c r="I273" s="25">
        <f t="shared" si="298"/>
        <v>0.303889675516224</v>
      </c>
      <c r="J273" s="26">
        <f t="shared" si="299"/>
        <v>0.0259734765398482</v>
      </c>
      <c r="K273" s="27">
        <f t="shared" si="300"/>
        <v>14.1583333333333</v>
      </c>
      <c r="L273" s="28">
        <f t="shared" si="301"/>
        <v>0.173631547969394</v>
      </c>
      <c r="M273" s="25">
        <f t="shared" si="302"/>
        <v>2.45833333333333</v>
      </c>
      <c r="N273" s="27">
        <f t="shared" si="315"/>
        <v>25.6814159292035</v>
      </c>
      <c r="O273" s="27">
        <f t="shared" si="303"/>
        <v>0.320833333333333</v>
      </c>
      <c r="P273" s="21">
        <v>60</v>
      </c>
      <c r="Q273" s="29">
        <v>8</v>
      </c>
      <c r="R273" s="30">
        <f t="shared" si="304"/>
        <v>0.256410256410256</v>
      </c>
      <c r="S273" s="26">
        <f t="shared" si="305"/>
        <v>0.176574455562095</v>
      </c>
      <c r="T273" s="30">
        <f t="shared" si="306"/>
        <v>0.217820512820513</v>
      </c>
      <c r="U273" s="30">
        <v>0.01</v>
      </c>
      <c r="V273" s="30">
        <f t="shared" si="307"/>
        <v>0.27437410180773</v>
      </c>
      <c r="W273" s="30">
        <f t="shared" si="308"/>
        <v>0.0274216524216524</v>
      </c>
      <c r="X273" s="31">
        <v>0.188</v>
      </c>
      <c r="Y273" s="32">
        <v>3</v>
      </c>
      <c r="Z273" s="32">
        <f>F273*0.15</f>
        <v>2.5485</v>
      </c>
      <c r="AA273" s="32">
        <f t="shared" si="309"/>
        <v>0.117</v>
      </c>
      <c r="AB273" s="27">
        <f t="shared" si="310"/>
        <v>2.1996</v>
      </c>
      <c r="AC273" s="27">
        <v>24.5</v>
      </c>
      <c r="AD273" s="33">
        <f t="shared" si="311"/>
        <v>21.6814159292035</v>
      </c>
      <c r="AE273" s="29">
        <f t="shared" si="316"/>
        <v>0.5</v>
      </c>
      <c r="AF273" s="30">
        <f t="shared" si="312"/>
        <v>0.231639059072687</v>
      </c>
      <c r="AG273" s="30">
        <f t="shared" si="313"/>
        <v>0.00534188034188034</v>
      </c>
      <c r="AH273" s="29">
        <v>4</v>
      </c>
      <c r="AI273" s="30">
        <f t="shared" si="314"/>
        <v>0.210575078766056</v>
      </c>
      <c r="AJ273" s="30"/>
      <c r="AK273" s="30"/>
      <c r="AL273" s="30"/>
      <c r="AM273" s="30"/>
      <c r="AN273" s="34"/>
      <c r="AO273" s="34"/>
      <c r="AP273" s="34"/>
      <c r="AQ273" s="34"/>
      <c r="AR273" s="34"/>
      <c r="AS273" s="34"/>
      <c r="AT273" s="34" t="s">
        <v>156</v>
      </c>
      <c r="AU273" s="34" t="s">
        <v>156</v>
      </c>
      <c r="AV273" s="34" t="s">
        <v>156</v>
      </c>
      <c r="AW273" s="34" t="s">
        <v>156</v>
      </c>
      <c r="AX273" s="34" t="s">
        <v>156</v>
      </c>
      <c r="AY273" s="34" t="s">
        <v>156</v>
      </c>
      <c r="AZ273" s="34" t="s">
        <v>156</v>
      </c>
      <c r="BA273" s="34" t="s">
        <v>156</v>
      </c>
      <c r="BB273" s="34" t="s">
        <v>156</v>
      </c>
      <c r="BC273" s="34" t="s">
        <v>156</v>
      </c>
      <c r="BD273" s="34" t="s">
        <v>156</v>
      </c>
      <c r="BE273" s="34" t="s">
        <v>156</v>
      </c>
      <c r="BF273" s="34" t="s">
        <v>156</v>
      </c>
      <c r="BG273" s="34" t="s">
        <v>156</v>
      </c>
      <c r="BH273" s="34" t="s">
        <v>156</v>
      </c>
      <c r="BI273" s="34" t="s">
        <v>156</v>
      </c>
      <c r="BJ273" s="34" t="s">
        <v>156</v>
      </c>
      <c r="BK273" s="34" t="s">
        <v>156</v>
      </c>
      <c r="BL273" s="34" t="s">
        <v>156</v>
      </c>
      <c r="BM273" s="34" t="s">
        <v>156</v>
      </c>
      <c r="BN273" s="34" t="s">
        <v>156</v>
      </c>
      <c r="BO273" s="34" t="s">
        <v>156</v>
      </c>
      <c r="BP273" s="34" t="s">
        <v>156</v>
      </c>
      <c r="BQ273" s="34" t="s">
        <v>156</v>
      </c>
      <c r="BR273" s="35"/>
      <c r="BS273" s="20" t="s">
        <v>157</v>
      </c>
    </row>
    <row r="274" ht="16.5" spans="1:71">
      <c r="A274" s="21" t="s">
        <v>161</v>
      </c>
      <c r="B274" s="21"/>
      <c r="C274" s="45"/>
      <c r="D274" s="42" t="s">
        <v>222</v>
      </c>
      <c r="E274" s="55">
        <v>11.7</v>
      </c>
      <c r="F274" s="24">
        <v>16.99</v>
      </c>
      <c r="G274" s="25">
        <f t="shared" si="296"/>
        <v>16.99</v>
      </c>
      <c r="H274" s="25">
        <f t="shared" si="297"/>
        <v>14.1583333333333</v>
      </c>
      <c r="I274" s="25">
        <f t="shared" si="298"/>
        <v>2.89405634218289</v>
      </c>
      <c r="J274" s="26">
        <f t="shared" si="299"/>
        <v>0.247355242921615</v>
      </c>
      <c r="K274" s="27">
        <f t="shared" si="300"/>
        <v>14.1583333333333</v>
      </c>
      <c r="L274" s="28">
        <f t="shared" si="301"/>
        <v>0.173631547969394</v>
      </c>
      <c r="M274" s="25">
        <f t="shared" si="302"/>
        <v>2.45833333333333</v>
      </c>
      <c r="N274" s="27">
        <f t="shared" si="315"/>
        <v>25.6814159292035</v>
      </c>
      <c r="O274" s="27">
        <f t="shared" si="303"/>
        <v>0.279166666666667</v>
      </c>
      <c r="P274" s="21">
        <v>60</v>
      </c>
      <c r="Q274" s="29">
        <v>8</v>
      </c>
      <c r="R274" s="30">
        <f t="shared" si="304"/>
        <v>0.256410256410256</v>
      </c>
      <c r="S274" s="26">
        <f t="shared" si="305"/>
        <v>0.176574455562095</v>
      </c>
      <c r="T274" s="30">
        <f t="shared" si="306"/>
        <v>0</v>
      </c>
      <c r="U274" s="30">
        <v>0.01</v>
      </c>
      <c r="V274" s="30">
        <f t="shared" si="307"/>
        <v>0.27437410180773</v>
      </c>
      <c r="W274" s="30">
        <f t="shared" si="308"/>
        <v>0.0238603988603989</v>
      </c>
      <c r="X274" s="31">
        <v>0.188</v>
      </c>
      <c r="Y274" s="32">
        <v>3</v>
      </c>
      <c r="Z274" s="32">
        <f t="shared" ref="Z274:Z277" si="317">F274*0</f>
        <v>0</v>
      </c>
      <c r="AA274" s="32">
        <f t="shared" si="309"/>
        <v>0.117</v>
      </c>
      <c r="AB274" s="27">
        <f t="shared" si="310"/>
        <v>2.1996</v>
      </c>
      <c r="AC274" s="27">
        <v>24.5</v>
      </c>
      <c r="AD274" s="33">
        <f t="shared" si="311"/>
        <v>21.6814159292035</v>
      </c>
      <c r="AE274" s="29">
        <f t="shared" si="316"/>
        <v>0.5</v>
      </c>
      <c r="AF274" s="30">
        <f t="shared" si="312"/>
        <v>0.231639059072687</v>
      </c>
      <c r="AG274" s="30">
        <f t="shared" si="313"/>
        <v>0.00534188034188034</v>
      </c>
      <c r="AH274" s="29">
        <v>4</v>
      </c>
      <c r="AI274" s="30">
        <f t="shared" si="314"/>
        <v>0.328988816951148</v>
      </c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 t="s">
        <v>156</v>
      </c>
      <c r="AU274" s="34" t="s">
        <v>156</v>
      </c>
      <c r="AV274" s="34" t="s">
        <v>156</v>
      </c>
      <c r="AW274" s="34" t="s">
        <v>156</v>
      </c>
      <c r="AX274" s="34" t="s">
        <v>156</v>
      </c>
      <c r="AY274" s="34" t="s">
        <v>156</v>
      </c>
      <c r="AZ274" s="34" t="s">
        <v>156</v>
      </c>
      <c r="BA274" s="34" t="s">
        <v>156</v>
      </c>
      <c r="BB274" s="34" t="s">
        <v>156</v>
      </c>
      <c r="BC274" s="34" t="s">
        <v>156</v>
      </c>
      <c r="BD274" s="34" t="s">
        <v>156</v>
      </c>
      <c r="BE274" s="34" t="s">
        <v>156</v>
      </c>
      <c r="BF274" s="34" t="s">
        <v>156</v>
      </c>
      <c r="BG274" s="34" t="s">
        <v>156</v>
      </c>
      <c r="BH274" s="34" t="s">
        <v>156</v>
      </c>
      <c r="BI274" s="34" t="s">
        <v>156</v>
      </c>
      <c r="BJ274" s="34" t="s">
        <v>156</v>
      </c>
      <c r="BK274" s="34" t="s">
        <v>156</v>
      </c>
      <c r="BL274" s="34" t="s">
        <v>156</v>
      </c>
      <c r="BM274" s="34" t="s">
        <v>156</v>
      </c>
      <c r="BN274" s="34" t="s">
        <v>156</v>
      </c>
      <c r="BO274" s="34" t="s">
        <v>156</v>
      </c>
      <c r="BP274" s="34" t="s">
        <v>156</v>
      </c>
      <c r="BQ274" s="34" t="s">
        <v>156</v>
      </c>
      <c r="BR274" s="44" t="e">
        <f>IF(E274&lt;#REF!,1,0)</f>
        <v>#REF!</v>
      </c>
      <c r="BS274" s="20" t="s">
        <v>157</v>
      </c>
    </row>
    <row r="275" ht="16.5" spans="1:71">
      <c r="A275" s="21" t="s">
        <v>163</v>
      </c>
      <c r="B275" s="21"/>
      <c r="C275" s="45"/>
      <c r="D275" s="42" t="s">
        <v>223</v>
      </c>
      <c r="E275" s="55">
        <v>12.4</v>
      </c>
      <c r="F275" s="38">
        <v>17.99</v>
      </c>
      <c r="G275" s="25">
        <f t="shared" si="296"/>
        <v>17.99</v>
      </c>
      <c r="H275" s="25">
        <f t="shared" si="297"/>
        <v>14.9916666666667</v>
      </c>
      <c r="I275" s="25">
        <f t="shared" si="298"/>
        <v>3.50045634218289</v>
      </c>
      <c r="J275" s="26">
        <f t="shared" si="299"/>
        <v>0.282294866305072</v>
      </c>
      <c r="K275" s="27">
        <f t="shared" si="300"/>
        <v>14.9916666666667</v>
      </c>
      <c r="L275" s="28">
        <f t="shared" si="301"/>
        <v>0.172873818788216</v>
      </c>
      <c r="M275" s="25">
        <f t="shared" si="302"/>
        <v>2.59166666666666</v>
      </c>
      <c r="N275" s="27">
        <f t="shared" si="315"/>
        <v>25.6814159292035</v>
      </c>
      <c r="O275" s="27">
        <f t="shared" si="303"/>
        <v>0.234166666666667</v>
      </c>
      <c r="P275" s="21">
        <v>60</v>
      </c>
      <c r="Q275" s="29">
        <v>8</v>
      </c>
      <c r="R275" s="30">
        <f t="shared" si="304"/>
        <v>0.241935483870968</v>
      </c>
      <c r="S275" s="26">
        <f t="shared" si="305"/>
        <v>0.166759310728182</v>
      </c>
      <c r="T275" s="30">
        <f t="shared" si="306"/>
        <v>0</v>
      </c>
      <c r="U275" s="30">
        <v>0.01</v>
      </c>
      <c r="V275" s="30">
        <f t="shared" si="307"/>
        <v>0.25888524122181</v>
      </c>
      <c r="W275" s="30">
        <f t="shared" si="308"/>
        <v>0.0188844086021505</v>
      </c>
      <c r="X275" s="31">
        <v>0.188</v>
      </c>
      <c r="Y275" s="32">
        <v>3</v>
      </c>
      <c r="Z275" s="32">
        <f t="shared" si="317"/>
        <v>0</v>
      </c>
      <c r="AA275" s="32">
        <f t="shared" si="309"/>
        <v>0.124</v>
      </c>
      <c r="AB275" s="27">
        <f t="shared" si="310"/>
        <v>2.3312</v>
      </c>
      <c r="AC275" s="27">
        <v>24.5</v>
      </c>
      <c r="AD275" s="33">
        <f t="shared" si="311"/>
        <v>21.6814159292035</v>
      </c>
      <c r="AE275" s="29">
        <f t="shared" si="316"/>
        <v>0.5</v>
      </c>
      <c r="AF275" s="30">
        <f t="shared" si="312"/>
        <v>0.218562660576649</v>
      </c>
      <c r="AG275" s="30">
        <f t="shared" si="313"/>
        <v>0.00504032258064516</v>
      </c>
      <c r="AH275" s="29">
        <v>4</v>
      </c>
      <c r="AI275" s="30">
        <f t="shared" si="314"/>
        <v>0.328373540856031</v>
      </c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 t="s">
        <v>156</v>
      </c>
      <c r="AU275" s="34" t="s">
        <v>156</v>
      </c>
      <c r="AV275" s="34" t="s">
        <v>156</v>
      </c>
      <c r="AW275" s="34" t="s">
        <v>156</v>
      </c>
      <c r="AX275" s="34" t="s">
        <v>156</v>
      </c>
      <c r="AY275" s="34" t="s">
        <v>156</v>
      </c>
      <c r="AZ275" s="34" t="s">
        <v>156</v>
      </c>
      <c r="BA275" s="34" t="s">
        <v>156</v>
      </c>
      <c r="BB275" s="34" t="s">
        <v>156</v>
      </c>
      <c r="BC275" s="34" t="s">
        <v>156</v>
      </c>
      <c r="BD275" s="34" t="s">
        <v>156</v>
      </c>
      <c r="BE275" s="34" t="s">
        <v>156</v>
      </c>
      <c r="BF275" s="34" t="s">
        <v>156</v>
      </c>
      <c r="BG275" s="34" t="s">
        <v>156</v>
      </c>
      <c r="BH275" s="34" t="s">
        <v>156</v>
      </c>
      <c r="BI275" s="34" t="s">
        <v>156</v>
      </c>
      <c r="BJ275" s="34" t="s">
        <v>156</v>
      </c>
      <c r="BK275" s="34" t="s">
        <v>156</v>
      </c>
      <c r="BL275" s="34" t="s">
        <v>156</v>
      </c>
      <c r="BM275" s="34" t="s">
        <v>156</v>
      </c>
      <c r="BN275" s="34" t="s">
        <v>156</v>
      </c>
      <c r="BO275" s="34" t="s">
        <v>156</v>
      </c>
      <c r="BP275" s="34" t="s">
        <v>156</v>
      </c>
      <c r="BQ275" s="34" t="s">
        <v>156</v>
      </c>
      <c r="BR275" s="44" t="e">
        <f>IF(E275&lt;#REF!,1,0)</f>
        <v>#REF!</v>
      </c>
      <c r="BS275" s="20" t="s">
        <v>157</v>
      </c>
    </row>
    <row r="276" ht="16.5" spans="1:71">
      <c r="A276" s="21" t="s">
        <v>165</v>
      </c>
      <c r="B276" s="21"/>
      <c r="C276" s="45"/>
      <c r="D276" s="42" t="s">
        <v>224</v>
      </c>
      <c r="E276" s="55">
        <v>12.4</v>
      </c>
      <c r="F276" s="24">
        <v>17.99</v>
      </c>
      <c r="G276" s="25">
        <f t="shared" si="296"/>
        <v>17.99</v>
      </c>
      <c r="H276" s="25">
        <f t="shared" si="297"/>
        <v>14.9916666666667</v>
      </c>
      <c r="I276" s="25">
        <f t="shared" si="298"/>
        <v>3.43045634218289</v>
      </c>
      <c r="J276" s="26">
        <f t="shared" si="299"/>
        <v>0.276649705014749</v>
      </c>
      <c r="K276" s="27">
        <f t="shared" si="300"/>
        <v>14.9916666666667</v>
      </c>
      <c r="L276" s="28">
        <f t="shared" si="301"/>
        <v>0.172873818788216</v>
      </c>
      <c r="M276" s="25">
        <f t="shared" si="302"/>
        <v>2.59166666666666</v>
      </c>
      <c r="N276" s="27">
        <f t="shared" si="315"/>
        <v>25.6814159292035</v>
      </c>
      <c r="O276" s="27">
        <f t="shared" si="303"/>
        <v>0.304166666666667</v>
      </c>
      <c r="P276" s="21">
        <v>60</v>
      </c>
      <c r="Q276" s="29">
        <v>8</v>
      </c>
      <c r="R276" s="30">
        <f t="shared" si="304"/>
        <v>0.241935483870968</v>
      </c>
      <c r="S276" s="26">
        <f t="shared" si="305"/>
        <v>0.166759310728182</v>
      </c>
      <c r="T276" s="30">
        <f t="shared" si="306"/>
        <v>0</v>
      </c>
      <c r="U276" s="30">
        <v>0.01</v>
      </c>
      <c r="V276" s="30">
        <f t="shared" si="307"/>
        <v>0.25888524122181</v>
      </c>
      <c r="W276" s="30">
        <f t="shared" si="308"/>
        <v>0.0245295698924731</v>
      </c>
      <c r="X276" s="31">
        <v>0.188</v>
      </c>
      <c r="Y276" s="32">
        <v>3</v>
      </c>
      <c r="Z276" s="32">
        <f t="shared" si="317"/>
        <v>0</v>
      </c>
      <c r="AA276" s="32">
        <f t="shared" si="309"/>
        <v>0.124</v>
      </c>
      <c r="AB276" s="27">
        <f t="shared" si="310"/>
        <v>2.3312</v>
      </c>
      <c r="AC276" s="27">
        <v>24.5</v>
      </c>
      <c r="AD276" s="33">
        <f t="shared" si="311"/>
        <v>21.6814159292035</v>
      </c>
      <c r="AE276" s="29">
        <f t="shared" si="316"/>
        <v>0.5</v>
      </c>
      <c r="AF276" s="30">
        <f t="shared" si="312"/>
        <v>0.218562660576649</v>
      </c>
      <c r="AG276" s="30">
        <f t="shared" si="313"/>
        <v>0.00504032258064516</v>
      </c>
      <c r="AH276" s="29">
        <v>4</v>
      </c>
      <c r="AI276" s="30">
        <f t="shared" si="314"/>
        <v>0.328373540856031</v>
      </c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 t="s">
        <v>156</v>
      </c>
      <c r="AU276" s="34" t="s">
        <v>156</v>
      </c>
      <c r="AV276" s="34" t="s">
        <v>156</v>
      </c>
      <c r="AW276" s="34" t="s">
        <v>156</v>
      </c>
      <c r="AX276" s="34" t="s">
        <v>156</v>
      </c>
      <c r="AY276" s="34" t="s">
        <v>156</v>
      </c>
      <c r="AZ276" s="34" t="s">
        <v>156</v>
      </c>
      <c r="BA276" s="34" t="s">
        <v>156</v>
      </c>
      <c r="BB276" s="34" t="s">
        <v>156</v>
      </c>
      <c r="BC276" s="34" t="s">
        <v>156</v>
      </c>
      <c r="BD276" s="34" t="s">
        <v>156</v>
      </c>
      <c r="BE276" s="34" t="s">
        <v>156</v>
      </c>
      <c r="BF276" s="34" t="s">
        <v>156</v>
      </c>
      <c r="BG276" s="34" t="s">
        <v>156</v>
      </c>
      <c r="BH276" s="34" t="s">
        <v>156</v>
      </c>
      <c r="BI276" s="34" t="s">
        <v>156</v>
      </c>
      <c r="BJ276" s="34" t="s">
        <v>156</v>
      </c>
      <c r="BK276" s="34" t="s">
        <v>156</v>
      </c>
      <c r="BL276" s="34" t="s">
        <v>156</v>
      </c>
      <c r="BM276" s="34" t="s">
        <v>156</v>
      </c>
      <c r="BN276" s="34" t="s">
        <v>156</v>
      </c>
      <c r="BO276" s="34" t="s">
        <v>156</v>
      </c>
      <c r="BP276" s="34" t="s">
        <v>156</v>
      </c>
      <c r="BQ276" s="34" t="s">
        <v>156</v>
      </c>
      <c r="BR276" s="44" t="e">
        <f>IF(E276&lt;#REF!,1,0)</f>
        <v>#REF!</v>
      </c>
      <c r="BS276" s="20" t="s">
        <v>157</v>
      </c>
    </row>
    <row r="277" ht="16.5" spans="1:71">
      <c r="A277" s="21" t="s">
        <v>167</v>
      </c>
      <c r="B277" s="21"/>
      <c r="C277" s="45"/>
      <c r="D277" s="42" t="s">
        <v>225</v>
      </c>
      <c r="E277" s="55">
        <v>11.7</v>
      </c>
      <c r="F277" s="24">
        <v>16.99</v>
      </c>
      <c r="G277" s="25">
        <f t="shared" si="296"/>
        <v>16.99</v>
      </c>
      <c r="H277" s="25">
        <f t="shared" si="297"/>
        <v>14.1583333333333</v>
      </c>
      <c r="I277" s="25">
        <f t="shared" si="298"/>
        <v>2.93572300884956</v>
      </c>
      <c r="J277" s="26">
        <f t="shared" si="299"/>
        <v>0.250916496482868</v>
      </c>
      <c r="K277" s="27">
        <f t="shared" si="300"/>
        <v>14.1583333333333</v>
      </c>
      <c r="L277" s="28">
        <f t="shared" si="301"/>
        <v>0.173631547969394</v>
      </c>
      <c r="M277" s="25">
        <f t="shared" si="302"/>
        <v>2.45833333333333</v>
      </c>
      <c r="N277" s="27">
        <f t="shared" si="315"/>
        <v>25.6814159292035</v>
      </c>
      <c r="O277" s="27">
        <f t="shared" si="303"/>
        <v>0.2375</v>
      </c>
      <c r="P277" s="21">
        <v>60</v>
      </c>
      <c r="Q277" s="29">
        <v>8</v>
      </c>
      <c r="R277" s="30">
        <f t="shared" si="304"/>
        <v>0.256410256410256</v>
      </c>
      <c r="S277" s="26">
        <f t="shared" si="305"/>
        <v>0.176574455562095</v>
      </c>
      <c r="T277" s="30">
        <f t="shared" si="306"/>
        <v>0</v>
      </c>
      <c r="U277" s="30">
        <v>0.01</v>
      </c>
      <c r="V277" s="30">
        <f t="shared" si="307"/>
        <v>0.27437410180773</v>
      </c>
      <c r="W277" s="30">
        <f t="shared" si="308"/>
        <v>0.0202991452991453</v>
      </c>
      <c r="X277" s="31">
        <v>0.188</v>
      </c>
      <c r="Y277" s="32">
        <v>3</v>
      </c>
      <c r="Z277" s="32">
        <f t="shared" si="317"/>
        <v>0</v>
      </c>
      <c r="AA277" s="32">
        <f t="shared" si="309"/>
        <v>0.117</v>
      </c>
      <c r="AB277" s="27">
        <f t="shared" si="310"/>
        <v>2.1996</v>
      </c>
      <c r="AC277" s="27">
        <v>24.5</v>
      </c>
      <c r="AD277" s="33">
        <f t="shared" si="311"/>
        <v>21.6814159292035</v>
      </c>
      <c r="AE277" s="29">
        <f t="shared" si="316"/>
        <v>0.5</v>
      </c>
      <c r="AF277" s="30">
        <f t="shared" si="312"/>
        <v>0.231639059072687</v>
      </c>
      <c r="AG277" s="30">
        <f t="shared" si="313"/>
        <v>0.00534188034188034</v>
      </c>
      <c r="AH277" s="29">
        <v>4</v>
      </c>
      <c r="AI277" s="30">
        <f t="shared" si="314"/>
        <v>0.328988816951148</v>
      </c>
      <c r="AJ277" s="30"/>
      <c r="AK277" s="30"/>
      <c r="AL277" s="30"/>
      <c r="AM277" s="30"/>
      <c r="AN277" s="34"/>
      <c r="AO277" s="34"/>
      <c r="AP277" s="34"/>
      <c r="AQ277" s="34"/>
      <c r="AR277" s="34"/>
      <c r="AS277" s="34"/>
      <c r="AT277" s="34" t="s">
        <v>156</v>
      </c>
      <c r="AU277" s="34" t="s">
        <v>156</v>
      </c>
      <c r="AV277" s="34" t="s">
        <v>156</v>
      </c>
      <c r="AW277" s="34" t="s">
        <v>156</v>
      </c>
      <c r="AX277" s="34" t="s">
        <v>156</v>
      </c>
      <c r="AY277" s="34" t="s">
        <v>156</v>
      </c>
      <c r="AZ277" s="34" t="s">
        <v>156</v>
      </c>
      <c r="BA277" s="34" t="s">
        <v>156</v>
      </c>
      <c r="BB277" s="34" t="s">
        <v>156</v>
      </c>
      <c r="BC277" s="34" t="s">
        <v>156</v>
      </c>
      <c r="BD277" s="34" t="s">
        <v>156</v>
      </c>
      <c r="BE277" s="34" t="s">
        <v>156</v>
      </c>
      <c r="BF277" s="34" t="s">
        <v>156</v>
      </c>
      <c r="BG277" s="34" t="s">
        <v>156</v>
      </c>
      <c r="BH277" s="34" t="s">
        <v>156</v>
      </c>
      <c r="BI277" s="34" t="s">
        <v>156</v>
      </c>
      <c r="BJ277" s="34" t="s">
        <v>156</v>
      </c>
      <c r="BK277" s="34" t="s">
        <v>156</v>
      </c>
      <c r="BL277" s="34" t="s">
        <v>156</v>
      </c>
      <c r="BM277" s="34" t="s">
        <v>156</v>
      </c>
      <c r="BN277" s="34" t="s">
        <v>156</v>
      </c>
      <c r="BO277" s="34" t="s">
        <v>156</v>
      </c>
      <c r="BP277" s="34" t="s">
        <v>156</v>
      </c>
      <c r="BQ277" s="34" t="s">
        <v>156</v>
      </c>
      <c r="BR277" s="44" t="e">
        <f>IF(E277&lt;#REF!,1,0)</f>
        <v>#REF!</v>
      </c>
      <c r="BS277" s="20" t="s">
        <v>157</v>
      </c>
    </row>
    <row r="278" ht="16.5" spans="1:71">
      <c r="A278" s="20"/>
      <c r="B278" s="21"/>
      <c r="C278" s="45"/>
      <c r="D278" s="58"/>
      <c r="E278" s="55"/>
      <c r="F278" s="38"/>
      <c r="G278" s="25"/>
      <c r="H278" s="25"/>
      <c r="I278" s="25"/>
      <c r="J278" s="26"/>
      <c r="K278" s="27"/>
      <c r="L278" s="28"/>
      <c r="M278" s="25"/>
      <c r="N278" s="27"/>
      <c r="O278" s="27"/>
      <c r="P278" s="20"/>
      <c r="Q278" s="29"/>
      <c r="R278" s="30"/>
      <c r="S278" s="26"/>
      <c r="T278" s="30"/>
      <c r="U278" s="30"/>
      <c r="V278" s="30"/>
      <c r="W278" s="30"/>
      <c r="X278" s="31"/>
      <c r="Y278" s="32"/>
      <c r="Z278" s="32"/>
      <c r="AA278" s="32"/>
      <c r="AB278" s="27"/>
      <c r="AC278" s="27"/>
      <c r="AD278" s="33"/>
      <c r="AE278" s="29"/>
      <c r="AF278" s="30"/>
      <c r="AG278" s="30"/>
      <c r="AH278" s="29"/>
      <c r="AI278" s="30"/>
      <c r="AJ278" s="30"/>
      <c r="AK278" s="30"/>
      <c r="AL278" s="30"/>
      <c r="AM278" s="30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5"/>
      <c r="BS278" s="20"/>
    </row>
    <row r="279" ht="16.5" spans="1:71">
      <c r="A279" s="20" t="s">
        <v>50</v>
      </c>
      <c r="B279" s="21"/>
      <c r="C279" s="51"/>
      <c r="D279" s="59" t="s">
        <v>226</v>
      </c>
      <c r="E279" s="55">
        <v>27.6</v>
      </c>
      <c r="F279" s="38">
        <v>39.99</v>
      </c>
      <c r="G279" s="25">
        <f t="shared" ref="G279:G297" si="318">(F279-Z279)</f>
        <v>39.99</v>
      </c>
      <c r="H279" s="25">
        <f t="shared" ref="H279:H297" si="319">(F279-Z279)/1.2</f>
        <v>33.325</v>
      </c>
      <c r="I279" s="25">
        <f t="shared" ref="I279:I297" si="320">E279-N279/Q279-AB279-Y279-O279-Z279-AA279</f>
        <v>7.37442025565389</v>
      </c>
      <c r="J279" s="26">
        <f t="shared" ref="J279:J297" si="321">I279/E279</f>
        <v>0.267189139697605</v>
      </c>
      <c r="K279" s="27">
        <f t="shared" ref="K279:K297" si="322">F279/1.2</f>
        <v>33.325</v>
      </c>
      <c r="L279" s="28">
        <f t="shared" ref="L279:L297" si="323">(K279-E279)/K279</f>
        <v>0.171792948237059</v>
      </c>
      <c r="M279" s="25">
        <f t="shared" ref="M279:M297" si="324">F279/1.2-E279</f>
        <v>5.725</v>
      </c>
      <c r="N279" s="27">
        <f>AD279+AH280</f>
        <v>87.646017699115</v>
      </c>
      <c r="O279" s="27">
        <f t="shared" ref="O279:O297" si="325">IFERROR(IF(A279="UK",8.95/P279,IF(A279="DE",7.75/P279,IF(A279="FR",14.25/P279,IF(A279="IT",15.25/P279,IF(A279="ES",19.25/P279,IF(A279="NL",16.75/P279,IF(A279="PL",14.05/P279,IF(A279="SE",18.25/P279,IF(A279="BE",14.25/P279))))))))),0)</f>
        <v>0.298333333333333</v>
      </c>
      <c r="P279" s="20">
        <v>30</v>
      </c>
      <c r="Q279" s="29">
        <v>9</v>
      </c>
      <c r="R279" s="30">
        <f t="shared" ref="R279:R297" si="326">Y279/E279</f>
        <v>0.181159420289855</v>
      </c>
      <c r="S279" s="26">
        <f t="shared" ref="S279:S297" si="327">Y279/F279</f>
        <v>0.125031257814454</v>
      </c>
      <c r="T279" s="30">
        <f t="shared" ref="T279:T297" si="328">Z279/E279</f>
        <v>0</v>
      </c>
      <c r="U279" s="30">
        <v>0.01</v>
      </c>
      <c r="V279" s="30">
        <f t="shared" ref="V279:V297" si="329">N279/(E279*Q279)</f>
        <v>0.352842261268579</v>
      </c>
      <c r="W279" s="30">
        <f t="shared" ref="W279:W297" si="330">O279/E279</f>
        <v>0.0108091787439613</v>
      </c>
      <c r="X279" s="31">
        <v>0.178</v>
      </c>
      <c r="Y279" s="32">
        <v>5</v>
      </c>
      <c r="Z279" s="32">
        <v>0</v>
      </c>
      <c r="AA279" s="32">
        <f t="shared" ref="AA279:AA297" si="331">E279*U279</f>
        <v>0.276</v>
      </c>
      <c r="AB279" s="27">
        <f t="shared" ref="AB279:AB297" si="332">E279*X279</f>
        <v>4.9128</v>
      </c>
      <c r="AC279" s="27">
        <v>90</v>
      </c>
      <c r="AD279" s="33">
        <f t="shared" ref="AD279:AD297" si="333">AC279/1.13</f>
        <v>79.646017699115</v>
      </c>
      <c r="AE279" s="29">
        <f>AH280/Q279</f>
        <v>0.888888888888889</v>
      </c>
      <c r="AF279" s="30">
        <f t="shared" ref="AF279:AF297" si="334">AD279/(E279*Q279)</f>
        <v>0.320636142105938</v>
      </c>
      <c r="AG279" s="30">
        <f t="shared" ref="AG279:AG297" si="335">AE279/Q279/E279</f>
        <v>0.00357845768473788</v>
      </c>
      <c r="AH279" s="29">
        <v>8</v>
      </c>
      <c r="AI279" s="30">
        <f t="shared" ref="AI279:AI297" si="336">(H279-E279+AB279)/H279</f>
        <v>0.319213803450863</v>
      </c>
      <c r="AJ279" s="30"/>
      <c r="AK279" s="30"/>
      <c r="AL279" s="30"/>
      <c r="AM279" s="30"/>
      <c r="AN279" s="34"/>
      <c r="AO279" s="34"/>
      <c r="AP279" s="34"/>
      <c r="AQ279" s="34"/>
      <c r="AR279" s="34"/>
      <c r="AS279" s="34"/>
      <c r="AT279" s="34" t="s">
        <v>156</v>
      </c>
      <c r="AU279" s="34" t="s">
        <v>156</v>
      </c>
      <c r="AV279" s="34" t="s">
        <v>156</v>
      </c>
      <c r="AW279" s="34" t="s">
        <v>156</v>
      </c>
      <c r="AX279" s="34" t="s">
        <v>156</v>
      </c>
      <c r="AY279" s="34" t="s">
        <v>156</v>
      </c>
      <c r="AZ279" s="34" t="s">
        <v>156</v>
      </c>
      <c r="BA279" s="34" t="s">
        <v>156</v>
      </c>
      <c r="BB279" s="34" t="s">
        <v>156</v>
      </c>
      <c r="BC279" s="34" t="s">
        <v>156</v>
      </c>
      <c r="BD279" s="34" t="s">
        <v>156</v>
      </c>
      <c r="BE279" s="34" t="s">
        <v>156</v>
      </c>
      <c r="BF279" s="34" t="s">
        <v>156</v>
      </c>
      <c r="BG279" s="34" t="s">
        <v>156</v>
      </c>
      <c r="BH279" s="34" t="s">
        <v>156</v>
      </c>
      <c r="BI279" s="34" t="s">
        <v>156</v>
      </c>
      <c r="BJ279" s="34" t="s">
        <v>156</v>
      </c>
      <c r="BK279" s="34" t="s">
        <v>156</v>
      </c>
      <c r="BL279" s="34" t="s">
        <v>156</v>
      </c>
      <c r="BM279" s="34" t="s">
        <v>156</v>
      </c>
      <c r="BN279" s="34" t="s">
        <v>156</v>
      </c>
      <c r="BO279" s="34" t="s">
        <v>156</v>
      </c>
      <c r="BP279" s="34" t="s">
        <v>156</v>
      </c>
      <c r="BQ279" s="34" t="s">
        <v>156</v>
      </c>
      <c r="BR279" s="35"/>
      <c r="BS279" s="20" t="s">
        <v>157</v>
      </c>
    </row>
    <row r="280" ht="16.5" spans="1:71">
      <c r="A280" s="20" t="s">
        <v>50</v>
      </c>
      <c r="B280" s="21"/>
      <c r="C280" s="45"/>
      <c r="D280" s="59" t="s">
        <v>227</v>
      </c>
      <c r="E280" s="55">
        <v>27.6</v>
      </c>
      <c r="F280" s="24">
        <v>39.99</v>
      </c>
      <c r="G280" s="25">
        <f t="shared" si="318"/>
        <v>35.991</v>
      </c>
      <c r="H280" s="25">
        <f t="shared" si="319"/>
        <v>29.9925</v>
      </c>
      <c r="I280" s="36">
        <f t="shared" si="320"/>
        <v>3.37542025565389</v>
      </c>
      <c r="J280" s="26">
        <f t="shared" si="321"/>
        <v>0.122297835349778</v>
      </c>
      <c r="K280" s="27">
        <f t="shared" si="322"/>
        <v>33.325</v>
      </c>
      <c r="L280" s="28">
        <f t="shared" si="323"/>
        <v>0.171792948237059</v>
      </c>
      <c r="M280" s="25">
        <f t="shared" si="324"/>
        <v>5.725</v>
      </c>
      <c r="N280" s="27">
        <f t="shared" ref="N280:N297" si="337">AD280+AH280</f>
        <v>87.646017699115</v>
      </c>
      <c r="O280" s="27">
        <f t="shared" si="325"/>
        <v>0.298333333333333</v>
      </c>
      <c r="P280" s="21">
        <v>30</v>
      </c>
      <c r="Q280" s="29">
        <v>9</v>
      </c>
      <c r="R280" s="30">
        <f t="shared" si="326"/>
        <v>0.181159420289855</v>
      </c>
      <c r="S280" s="26">
        <f t="shared" si="327"/>
        <v>0.125031257814454</v>
      </c>
      <c r="T280" s="30">
        <f t="shared" si="328"/>
        <v>0.144891304347826</v>
      </c>
      <c r="U280" s="30">
        <v>0.01</v>
      </c>
      <c r="V280" s="30">
        <f t="shared" si="329"/>
        <v>0.352842261268579</v>
      </c>
      <c r="W280" s="30">
        <f t="shared" si="330"/>
        <v>0.0108091787439613</v>
      </c>
      <c r="X280" s="31">
        <v>0.178</v>
      </c>
      <c r="Y280" s="32">
        <v>5</v>
      </c>
      <c r="Z280" s="32">
        <f>F280*0.1</f>
        <v>3.999</v>
      </c>
      <c r="AA280" s="32">
        <f t="shared" si="331"/>
        <v>0.276</v>
      </c>
      <c r="AB280" s="27">
        <f t="shared" si="332"/>
        <v>4.9128</v>
      </c>
      <c r="AC280" s="27">
        <v>90</v>
      </c>
      <c r="AD280" s="33">
        <f t="shared" si="333"/>
        <v>79.646017699115</v>
      </c>
      <c r="AE280" s="29">
        <f t="shared" ref="AE280:AE297" si="338">AH280/Q280</f>
        <v>0.888888888888889</v>
      </c>
      <c r="AF280" s="30">
        <f t="shared" si="334"/>
        <v>0.320636142105938</v>
      </c>
      <c r="AG280" s="30">
        <f t="shared" si="335"/>
        <v>0.00357845768473788</v>
      </c>
      <c r="AH280" s="29">
        <v>8</v>
      </c>
      <c r="AI280" s="30">
        <f t="shared" si="336"/>
        <v>0.243570892723181</v>
      </c>
      <c r="AJ280" s="30"/>
      <c r="AK280" s="30"/>
      <c r="AL280" s="30"/>
      <c r="AM280" s="30"/>
      <c r="AN280" s="34"/>
      <c r="AO280" s="34"/>
      <c r="AP280" s="34"/>
      <c r="AQ280" s="34"/>
      <c r="AR280" s="34"/>
      <c r="AS280" s="34"/>
      <c r="AT280" s="34" t="s">
        <v>156</v>
      </c>
      <c r="AU280" s="34" t="s">
        <v>156</v>
      </c>
      <c r="AV280" s="34" t="s">
        <v>156</v>
      </c>
      <c r="AW280" s="34" t="s">
        <v>156</v>
      </c>
      <c r="AX280" s="34" t="s">
        <v>156</v>
      </c>
      <c r="AY280" s="34" t="s">
        <v>156</v>
      </c>
      <c r="AZ280" s="34" t="s">
        <v>156</v>
      </c>
      <c r="BA280" s="34" t="s">
        <v>156</v>
      </c>
      <c r="BB280" s="34" t="s">
        <v>156</v>
      </c>
      <c r="BC280" s="34" t="s">
        <v>156</v>
      </c>
      <c r="BD280" s="34" t="s">
        <v>156</v>
      </c>
      <c r="BE280" s="34" t="s">
        <v>156</v>
      </c>
      <c r="BF280" s="34" t="s">
        <v>156</v>
      </c>
      <c r="BG280" s="34" t="s">
        <v>156</v>
      </c>
      <c r="BH280" s="34" t="s">
        <v>156</v>
      </c>
      <c r="BI280" s="34" t="s">
        <v>156</v>
      </c>
      <c r="BJ280" s="34" t="s">
        <v>156</v>
      </c>
      <c r="BK280" s="34" t="s">
        <v>156</v>
      </c>
      <c r="BL280" s="34" t="s">
        <v>156</v>
      </c>
      <c r="BM280" s="34" t="s">
        <v>156</v>
      </c>
      <c r="BN280" s="34" t="s">
        <v>156</v>
      </c>
      <c r="BO280" s="34" t="s">
        <v>156</v>
      </c>
      <c r="BP280" s="34" t="s">
        <v>156</v>
      </c>
      <c r="BQ280" s="34" t="s">
        <v>156</v>
      </c>
      <c r="BR280" s="35"/>
      <c r="BS280" s="20" t="s">
        <v>157</v>
      </c>
    </row>
    <row r="281" ht="16.5" spans="1:71">
      <c r="A281" s="20" t="s">
        <v>50</v>
      </c>
      <c r="B281" s="21"/>
      <c r="C281" s="45"/>
      <c r="D281" s="59" t="s">
        <v>228</v>
      </c>
      <c r="E281" s="55">
        <v>27.6</v>
      </c>
      <c r="F281" s="24">
        <v>39.99</v>
      </c>
      <c r="G281" s="25">
        <f t="shared" si="318"/>
        <v>33.9915</v>
      </c>
      <c r="H281" s="25">
        <f t="shared" si="319"/>
        <v>28.32625</v>
      </c>
      <c r="I281" s="25">
        <f t="shared" si="320"/>
        <v>1.37592025565389</v>
      </c>
      <c r="J281" s="26">
        <f t="shared" si="321"/>
        <v>0.0498521831758655</v>
      </c>
      <c r="K281" s="27">
        <f t="shared" si="322"/>
        <v>33.325</v>
      </c>
      <c r="L281" s="28">
        <f t="shared" si="323"/>
        <v>0.171792948237059</v>
      </c>
      <c r="M281" s="25">
        <f t="shared" si="324"/>
        <v>5.725</v>
      </c>
      <c r="N281" s="27">
        <f t="shared" si="337"/>
        <v>87.646017699115</v>
      </c>
      <c r="O281" s="27">
        <f t="shared" si="325"/>
        <v>0.298333333333333</v>
      </c>
      <c r="P281" s="21">
        <v>30</v>
      </c>
      <c r="Q281" s="29">
        <v>9</v>
      </c>
      <c r="R281" s="30">
        <f t="shared" si="326"/>
        <v>0.181159420289855</v>
      </c>
      <c r="S281" s="26">
        <f t="shared" si="327"/>
        <v>0.125031257814454</v>
      </c>
      <c r="T281" s="30">
        <f t="shared" si="328"/>
        <v>0.217336956521739</v>
      </c>
      <c r="U281" s="30">
        <v>0.01</v>
      </c>
      <c r="V281" s="30">
        <f t="shared" si="329"/>
        <v>0.352842261268579</v>
      </c>
      <c r="W281" s="30">
        <f t="shared" si="330"/>
        <v>0.0108091787439613</v>
      </c>
      <c r="X281" s="31">
        <v>0.178</v>
      </c>
      <c r="Y281" s="32">
        <v>5</v>
      </c>
      <c r="Z281" s="32">
        <f>F281*0.15</f>
        <v>5.9985</v>
      </c>
      <c r="AA281" s="32">
        <f t="shared" si="331"/>
        <v>0.276</v>
      </c>
      <c r="AB281" s="27">
        <f t="shared" si="332"/>
        <v>4.9128</v>
      </c>
      <c r="AC281" s="27">
        <v>90</v>
      </c>
      <c r="AD281" s="33">
        <f t="shared" si="333"/>
        <v>79.646017699115</v>
      </c>
      <c r="AE281" s="29">
        <f t="shared" si="338"/>
        <v>0.888888888888889</v>
      </c>
      <c r="AF281" s="30">
        <f t="shared" si="334"/>
        <v>0.320636142105938</v>
      </c>
      <c r="AG281" s="30">
        <f t="shared" si="335"/>
        <v>0.00357845768473788</v>
      </c>
      <c r="AH281" s="29">
        <v>8</v>
      </c>
      <c r="AI281" s="30">
        <f t="shared" si="336"/>
        <v>0.199075062883368</v>
      </c>
      <c r="AJ281" s="30"/>
      <c r="AK281" s="30"/>
      <c r="AL281" s="30"/>
      <c r="AM281" s="30"/>
      <c r="AN281" s="34"/>
      <c r="AO281" s="34"/>
      <c r="AP281" s="34"/>
      <c r="AQ281" s="34"/>
      <c r="AR281" s="34"/>
      <c r="AS281" s="34"/>
      <c r="AT281" s="34" t="s">
        <v>156</v>
      </c>
      <c r="AU281" s="34" t="s">
        <v>156</v>
      </c>
      <c r="AV281" s="34" t="s">
        <v>156</v>
      </c>
      <c r="AW281" s="34" t="s">
        <v>156</v>
      </c>
      <c r="AX281" s="34" t="s">
        <v>156</v>
      </c>
      <c r="AY281" s="34" t="s">
        <v>156</v>
      </c>
      <c r="AZ281" s="34" t="s">
        <v>156</v>
      </c>
      <c r="BA281" s="34" t="s">
        <v>156</v>
      </c>
      <c r="BB281" s="34" t="s">
        <v>156</v>
      </c>
      <c r="BC281" s="34" t="s">
        <v>156</v>
      </c>
      <c r="BD281" s="34" t="s">
        <v>156</v>
      </c>
      <c r="BE281" s="34" t="s">
        <v>156</v>
      </c>
      <c r="BF281" s="34" t="s">
        <v>156</v>
      </c>
      <c r="BG281" s="34" t="s">
        <v>156</v>
      </c>
      <c r="BH281" s="34" t="s">
        <v>156</v>
      </c>
      <c r="BI281" s="34" t="s">
        <v>156</v>
      </c>
      <c r="BJ281" s="34" t="s">
        <v>156</v>
      </c>
      <c r="BK281" s="34" t="s">
        <v>156</v>
      </c>
      <c r="BL281" s="34" t="s">
        <v>156</v>
      </c>
      <c r="BM281" s="34" t="s">
        <v>156</v>
      </c>
      <c r="BN281" s="34" t="s">
        <v>156</v>
      </c>
      <c r="BO281" s="34" t="s">
        <v>156</v>
      </c>
      <c r="BP281" s="34" t="s">
        <v>156</v>
      </c>
      <c r="BQ281" s="34" t="s">
        <v>156</v>
      </c>
      <c r="BR281" s="35"/>
      <c r="BS281" s="20" t="s">
        <v>157</v>
      </c>
    </row>
    <row r="282" ht="16.5" spans="1:71">
      <c r="A282" s="21" t="s">
        <v>37</v>
      </c>
      <c r="B282" s="21"/>
      <c r="C282" s="45"/>
      <c r="D282" s="60" t="s">
        <v>226</v>
      </c>
      <c r="E282" s="55">
        <v>31</v>
      </c>
      <c r="F282" s="38">
        <v>44.99</v>
      </c>
      <c r="G282" s="25">
        <f t="shared" si="318"/>
        <v>44.99</v>
      </c>
      <c r="H282" s="25">
        <f t="shared" si="319"/>
        <v>37.4916666666667</v>
      </c>
      <c r="I282" s="25">
        <f t="shared" si="320"/>
        <v>8.64791445427729</v>
      </c>
      <c r="J282" s="26">
        <f t="shared" si="321"/>
        <v>0.278964982396042</v>
      </c>
      <c r="K282" s="27">
        <f t="shared" si="322"/>
        <v>37.4916666666667</v>
      </c>
      <c r="L282" s="28">
        <f t="shared" si="323"/>
        <v>0.173149588797511</v>
      </c>
      <c r="M282" s="25">
        <f t="shared" si="324"/>
        <v>6.49166666666667</v>
      </c>
      <c r="N282" s="27">
        <f>AD282+AH283</f>
        <v>87.646017699115</v>
      </c>
      <c r="O282" s="27">
        <f t="shared" si="325"/>
        <v>0.258333333333333</v>
      </c>
      <c r="P282" s="21">
        <v>30</v>
      </c>
      <c r="Q282" s="29">
        <v>8</v>
      </c>
      <c r="R282" s="30">
        <f t="shared" si="326"/>
        <v>0.161290322580645</v>
      </c>
      <c r="S282" s="26">
        <f t="shared" si="327"/>
        <v>0.111135807957324</v>
      </c>
      <c r="T282" s="30">
        <f t="shared" si="328"/>
        <v>0</v>
      </c>
      <c r="U282" s="30">
        <v>0.01</v>
      </c>
      <c r="V282" s="30">
        <f t="shared" si="329"/>
        <v>0.35341136168998</v>
      </c>
      <c r="W282" s="30">
        <f t="shared" si="330"/>
        <v>0.00833333333333333</v>
      </c>
      <c r="X282" s="31">
        <v>0.188</v>
      </c>
      <c r="Y282" s="32">
        <v>5</v>
      </c>
      <c r="Z282" s="32">
        <v>0</v>
      </c>
      <c r="AA282" s="32">
        <f t="shared" si="331"/>
        <v>0.31</v>
      </c>
      <c r="AB282" s="27">
        <f t="shared" si="332"/>
        <v>5.828</v>
      </c>
      <c r="AC282" s="27">
        <v>90</v>
      </c>
      <c r="AD282" s="33">
        <f t="shared" si="333"/>
        <v>79.646017699115</v>
      </c>
      <c r="AE282" s="29">
        <f>AH283/Q282</f>
        <v>1</v>
      </c>
      <c r="AF282" s="30">
        <f t="shared" si="334"/>
        <v>0.321153297173851</v>
      </c>
      <c r="AG282" s="30">
        <f t="shared" si="335"/>
        <v>0.00403225806451613</v>
      </c>
      <c r="AH282" s="29">
        <v>8</v>
      </c>
      <c r="AI282" s="30">
        <f t="shared" si="336"/>
        <v>0.328597466103579</v>
      </c>
      <c r="AJ282" s="30"/>
      <c r="AK282" s="30"/>
      <c r="AL282" s="30"/>
      <c r="AM282" s="30"/>
      <c r="AN282" s="34"/>
      <c r="AO282" s="34"/>
      <c r="AP282" s="34"/>
      <c r="AQ282" s="34"/>
      <c r="AR282" s="34"/>
      <c r="AS282" s="34"/>
      <c r="AT282" s="34" t="s">
        <v>156</v>
      </c>
      <c r="AU282" s="34" t="s">
        <v>156</v>
      </c>
      <c r="AV282" s="34" t="s">
        <v>156</v>
      </c>
      <c r="AW282" s="34" t="s">
        <v>156</v>
      </c>
      <c r="AX282" s="34" t="s">
        <v>156</v>
      </c>
      <c r="AY282" s="34" t="s">
        <v>156</v>
      </c>
      <c r="AZ282" s="34" t="s">
        <v>156</v>
      </c>
      <c r="BA282" s="34" t="s">
        <v>156</v>
      </c>
      <c r="BB282" s="34" t="s">
        <v>156</v>
      </c>
      <c r="BC282" s="34" t="s">
        <v>156</v>
      </c>
      <c r="BD282" s="34" t="s">
        <v>156</v>
      </c>
      <c r="BE282" s="34" t="s">
        <v>156</v>
      </c>
      <c r="BF282" s="34" t="s">
        <v>156</v>
      </c>
      <c r="BG282" s="34" t="s">
        <v>156</v>
      </c>
      <c r="BH282" s="34" t="s">
        <v>156</v>
      </c>
      <c r="BI282" s="34" t="s">
        <v>156</v>
      </c>
      <c r="BJ282" s="34" t="s">
        <v>156</v>
      </c>
      <c r="BK282" s="34" t="s">
        <v>156</v>
      </c>
      <c r="BL282" s="34" t="s">
        <v>156</v>
      </c>
      <c r="BM282" s="34" t="s">
        <v>156</v>
      </c>
      <c r="BN282" s="34" t="s">
        <v>156</v>
      </c>
      <c r="BO282" s="34" t="s">
        <v>156</v>
      </c>
      <c r="BP282" s="34" t="s">
        <v>156</v>
      </c>
      <c r="BQ282" s="34" t="s">
        <v>156</v>
      </c>
      <c r="BR282" s="35"/>
      <c r="BS282" s="20" t="s">
        <v>157</v>
      </c>
    </row>
    <row r="283" ht="16.5" spans="1:71">
      <c r="A283" s="21" t="s">
        <v>37</v>
      </c>
      <c r="B283" s="21"/>
      <c r="C283" s="45"/>
      <c r="D283" s="60" t="s">
        <v>227</v>
      </c>
      <c r="E283" s="55">
        <v>31</v>
      </c>
      <c r="F283" s="24">
        <v>44.99</v>
      </c>
      <c r="G283" s="25">
        <f t="shared" si="318"/>
        <v>40.491</v>
      </c>
      <c r="H283" s="25">
        <f t="shared" si="319"/>
        <v>33.7425</v>
      </c>
      <c r="I283" s="36">
        <f t="shared" si="320"/>
        <v>4.14891445427729</v>
      </c>
      <c r="J283" s="26">
        <f t="shared" si="321"/>
        <v>0.133835950137977</v>
      </c>
      <c r="K283" s="27">
        <f t="shared" si="322"/>
        <v>37.4916666666667</v>
      </c>
      <c r="L283" s="28">
        <f t="shared" si="323"/>
        <v>0.173149588797511</v>
      </c>
      <c r="M283" s="25">
        <f t="shared" si="324"/>
        <v>6.49166666666667</v>
      </c>
      <c r="N283" s="27">
        <f t="shared" si="337"/>
        <v>87.646017699115</v>
      </c>
      <c r="O283" s="27">
        <f t="shared" si="325"/>
        <v>0.258333333333333</v>
      </c>
      <c r="P283" s="21">
        <v>30</v>
      </c>
      <c r="Q283" s="29">
        <v>8</v>
      </c>
      <c r="R283" s="30">
        <f t="shared" si="326"/>
        <v>0.161290322580645</v>
      </c>
      <c r="S283" s="26">
        <f t="shared" si="327"/>
        <v>0.111135807957324</v>
      </c>
      <c r="T283" s="30">
        <f t="shared" si="328"/>
        <v>0.145129032258065</v>
      </c>
      <c r="U283" s="30">
        <v>0.01</v>
      </c>
      <c r="V283" s="30">
        <f t="shared" si="329"/>
        <v>0.35341136168998</v>
      </c>
      <c r="W283" s="30">
        <f t="shared" si="330"/>
        <v>0.00833333333333333</v>
      </c>
      <c r="X283" s="31">
        <v>0.188</v>
      </c>
      <c r="Y283" s="32">
        <v>5</v>
      </c>
      <c r="Z283" s="32">
        <f>F283*0.1</f>
        <v>4.499</v>
      </c>
      <c r="AA283" s="32">
        <f t="shared" si="331"/>
        <v>0.31</v>
      </c>
      <c r="AB283" s="27">
        <f t="shared" si="332"/>
        <v>5.828</v>
      </c>
      <c r="AC283" s="27">
        <v>90</v>
      </c>
      <c r="AD283" s="33">
        <f t="shared" si="333"/>
        <v>79.646017699115</v>
      </c>
      <c r="AE283" s="29">
        <f t="shared" si="338"/>
        <v>1</v>
      </c>
      <c r="AF283" s="30">
        <f t="shared" si="334"/>
        <v>0.321153297173851</v>
      </c>
      <c r="AG283" s="30">
        <f t="shared" si="335"/>
        <v>0.00403225806451613</v>
      </c>
      <c r="AH283" s="29">
        <v>8</v>
      </c>
      <c r="AI283" s="30">
        <f t="shared" si="336"/>
        <v>0.253997184559532</v>
      </c>
      <c r="AJ283" s="30"/>
      <c r="AK283" s="30"/>
      <c r="AL283" s="30"/>
      <c r="AM283" s="30"/>
      <c r="AN283" s="34"/>
      <c r="AO283" s="34"/>
      <c r="AP283" s="34"/>
      <c r="AQ283" s="34"/>
      <c r="AR283" s="34"/>
      <c r="AS283" s="34"/>
      <c r="AT283" s="34" t="s">
        <v>156</v>
      </c>
      <c r="AU283" s="34" t="s">
        <v>156</v>
      </c>
      <c r="AV283" s="34" t="s">
        <v>156</v>
      </c>
      <c r="AW283" s="34" t="s">
        <v>156</v>
      </c>
      <c r="AX283" s="34" t="s">
        <v>156</v>
      </c>
      <c r="AY283" s="34" t="s">
        <v>156</v>
      </c>
      <c r="AZ283" s="34" t="s">
        <v>156</v>
      </c>
      <c r="BA283" s="34" t="s">
        <v>156</v>
      </c>
      <c r="BB283" s="34" t="s">
        <v>156</v>
      </c>
      <c r="BC283" s="34" t="s">
        <v>156</v>
      </c>
      <c r="BD283" s="34" t="s">
        <v>156</v>
      </c>
      <c r="BE283" s="34" t="s">
        <v>156</v>
      </c>
      <c r="BF283" s="34" t="s">
        <v>156</v>
      </c>
      <c r="BG283" s="34" t="s">
        <v>156</v>
      </c>
      <c r="BH283" s="34" t="s">
        <v>156</v>
      </c>
      <c r="BI283" s="34" t="s">
        <v>156</v>
      </c>
      <c r="BJ283" s="34" t="s">
        <v>156</v>
      </c>
      <c r="BK283" s="34" t="s">
        <v>156</v>
      </c>
      <c r="BL283" s="34" t="s">
        <v>156</v>
      </c>
      <c r="BM283" s="34" t="s">
        <v>156</v>
      </c>
      <c r="BN283" s="34" t="s">
        <v>156</v>
      </c>
      <c r="BO283" s="34" t="s">
        <v>156</v>
      </c>
      <c r="BP283" s="34" t="s">
        <v>156</v>
      </c>
      <c r="BQ283" s="34" t="s">
        <v>156</v>
      </c>
      <c r="BR283" s="35"/>
      <c r="BS283" s="20" t="s">
        <v>157</v>
      </c>
    </row>
    <row r="284" ht="16.5" spans="1:71">
      <c r="A284" s="21" t="s">
        <v>37</v>
      </c>
      <c r="B284" s="21"/>
      <c r="C284" s="45"/>
      <c r="D284" s="60" t="s">
        <v>228</v>
      </c>
      <c r="E284" s="55">
        <v>31</v>
      </c>
      <c r="F284" s="24">
        <v>44.99</v>
      </c>
      <c r="G284" s="25">
        <f t="shared" si="318"/>
        <v>38.2415</v>
      </c>
      <c r="H284" s="25">
        <f t="shared" si="319"/>
        <v>31.8679166666667</v>
      </c>
      <c r="I284" s="25">
        <f t="shared" si="320"/>
        <v>1.89941445427729</v>
      </c>
      <c r="J284" s="26">
        <f t="shared" si="321"/>
        <v>0.0612714340089447</v>
      </c>
      <c r="K284" s="27">
        <f t="shared" si="322"/>
        <v>37.4916666666667</v>
      </c>
      <c r="L284" s="28">
        <f t="shared" si="323"/>
        <v>0.173149588797511</v>
      </c>
      <c r="M284" s="25">
        <f t="shared" si="324"/>
        <v>6.49166666666667</v>
      </c>
      <c r="N284" s="27">
        <f t="shared" si="337"/>
        <v>87.646017699115</v>
      </c>
      <c r="O284" s="27">
        <f t="shared" si="325"/>
        <v>0.258333333333333</v>
      </c>
      <c r="P284" s="21">
        <v>30</v>
      </c>
      <c r="Q284" s="29">
        <v>8</v>
      </c>
      <c r="R284" s="30">
        <f t="shared" si="326"/>
        <v>0.161290322580645</v>
      </c>
      <c r="S284" s="26">
        <f t="shared" si="327"/>
        <v>0.111135807957324</v>
      </c>
      <c r="T284" s="30">
        <f t="shared" si="328"/>
        <v>0.217693548387097</v>
      </c>
      <c r="U284" s="30">
        <v>0.01</v>
      </c>
      <c r="V284" s="30">
        <f t="shared" si="329"/>
        <v>0.35341136168998</v>
      </c>
      <c r="W284" s="30">
        <f t="shared" si="330"/>
        <v>0.00833333333333333</v>
      </c>
      <c r="X284" s="31">
        <v>0.188</v>
      </c>
      <c r="Y284" s="32">
        <v>5</v>
      </c>
      <c r="Z284" s="32">
        <f>F284*0.15</f>
        <v>6.7485</v>
      </c>
      <c r="AA284" s="32">
        <f t="shared" si="331"/>
        <v>0.31</v>
      </c>
      <c r="AB284" s="27">
        <f t="shared" si="332"/>
        <v>5.828</v>
      </c>
      <c r="AC284" s="27">
        <v>90</v>
      </c>
      <c r="AD284" s="33">
        <f t="shared" si="333"/>
        <v>79.646017699115</v>
      </c>
      <c r="AE284" s="29">
        <f t="shared" si="338"/>
        <v>1</v>
      </c>
      <c r="AF284" s="30">
        <f t="shared" si="334"/>
        <v>0.321153297173851</v>
      </c>
      <c r="AG284" s="30">
        <f t="shared" si="335"/>
        <v>0.00403225806451613</v>
      </c>
      <c r="AH284" s="29">
        <v>8</v>
      </c>
      <c r="AI284" s="30">
        <f t="shared" si="336"/>
        <v>0.21011466600421</v>
      </c>
      <c r="AJ284" s="30"/>
      <c r="AK284" s="30"/>
      <c r="AL284" s="30"/>
      <c r="AM284" s="30"/>
      <c r="AN284" s="34"/>
      <c r="AO284" s="34"/>
      <c r="AP284" s="34"/>
      <c r="AQ284" s="34"/>
      <c r="AR284" s="34"/>
      <c r="AS284" s="34"/>
      <c r="AT284" s="34" t="s">
        <v>156</v>
      </c>
      <c r="AU284" s="34" t="s">
        <v>156</v>
      </c>
      <c r="AV284" s="34" t="s">
        <v>156</v>
      </c>
      <c r="AW284" s="34" t="s">
        <v>156</v>
      </c>
      <c r="AX284" s="34" t="s">
        <v>156</v>
      </c>
      <c r="AY284" s="34" t="s">
        <v>156</v>
      </c>
      <c r="AZ284" s="34" t="s">
        <v>156</v>
      </c>
      <c r="BA284" s="34" t="s">
        <v>156</v>
      </c>
      <c r="BB284" s="34" t="s">
        <v>156</v>
      </c>
      <c r="BC284" s="34" t="s">
        <v>156</v>
      </c>
      <c r="BD284" s="34" t="s">
        <v>156</v>
      </c>
      <c r="BE284" s="34" t="s">
        <v>156</v>
      </c>
      <c r="BF284" s="34" t="s">
        <v>156</v>
      </c>
      <c r="BG284" s="34" t="s">
        <v>156</v>
      </c>
      <c r="BH284" s="34" t="s">
        <v>156</v>
      </c>
      <c r="BI284" s="34" t="s">
        <v>156</v>
      </c>
      <c r="BJ284" s="34" t="s">
        <v>156</v>
      </c>
      <c r="BK284" s="34" t="s">
        <v>156</v>
      </c>
      <c r="BL284" s="34" t="s">
        <v>156</v>
      </c>
      <c r="BM284" s="34" t="s">
        <v>156</v>
      </c>
      <c r="BN284" s="34" t="s">
        <v>156</v>
      </c>
      <c r="BO284" s="34" t="s">
        <v>156</v>
      </c>
      <c r="BP284" s="34" t="s">
        <v>156</v>
      </c>
      <c r="BQ284" s="34" t="s">
        <v>156</v>
      </c>
      <c r="BR284" s="35"/>
      <c r="BS284" s="20" t="s">
        <v>157</v>
      </c>
    </row>
    <row r="285" ht="16.5" spans="1:71">
      <c r="A285" s="21" t="s">
        <v>43</v>
      </c>
      <c r="B285" s="21"/>
      <c r="C285" s="45"/>
      <c r="D285" s="60" t="s">
        <v>226</v>
      </c>
      <c r="E285" s="55">
        <v>31</v>
      </c>
      <c r="F285" s="24">
        <v>44.99</v>
      </c>
      <c r="G285" s="25">
        <f t="shared" si="318"/>
        <v>44.99</v>
      </c>
      <c r="H285" s="25">
        <f t="shared" si="319"/>
        <v>37.4916666666667</v>
      </c>
      <c r="I285" s="25">
        <f t="shared" si="320"/>
        <v>8.43124778761062</v>
      </c>
      <c r="J285" s="26">
        <f t="shared" si="321"/>
        <v>0.271975735084214</v>
      </c>
      <c r="K285" s="27">
        <f t="shared" si="322"/>
        <v>37.4916666666667</v>
      </c>
      <c r="L285" s="28">
        <f t="shared" si="323"/>
        <v>0.173149588797511</v>
      </c>
      <c r="M285" s="25">
        <f t="shared" si="324"/>
        <v>6.49166666666667</v>
      </c>
      <c r="N285" s="27">
        <f t="shared" si="337"/>
        <v>87.646017699115</v>
      </c>
      <c r="O285" s="27">
        <f t="shared" si="325"/>
        <v>0.475</v>
      </c>
      <c r="P285" s="21">
        <v>30</v>
      </c>
      <c r="Q285" s="29">
        <v>8</v>
      </c>
      <c r="R285" s="30">
        <f t="shared" si="326"/>
        <v>0.161290322580645</v>
      </c>
      <c r="S285" s="26">
        <f t="shared" si="327"/>
        <v>0.111135807957324</v>
      </c>
      <c r="T285" s="30">
        <f t="shared" si="328"/>
        <v>0</v>
      </c>
      <c r="U285" s="30">
        <v>0.01</v>
      </c>
      <c r="V285" s="30">
        <f t="shared" si="329"/>
        <v>0.35341136168998</v>
      </c>
      <c r="W285" s="30">
        <f t="shared" si="330"/>
        <v>0.0153225806451613</v>
      </c>
      <c r="X285" s="31">
        <v>0.188</v>
      </c>
      <c r="Y285" s="32">
        <v>5</v>
      </c>
      <c r="Z285" s="32">
        <v>0</v>
      </c>
      <c r="AA285" s="32">
        <f t="shared" si="331"/>
        <v>0.31</v>
      </c>
      <c r="AB285" s="27">
        <f t="shared" si="332"/>
        <v>5.828</v>
      </c>
      <c r="AC285" s="27">
        <v>90</v>
      </c>
      <c r="AD285" s="33">
        <f t="shared" si="333"/>
        <v>79.646017699115</v>
      </c>
      <c r="AE285" s="29">
        <f t="shared" si="338"/>
        <v>1</v>
      </c>
      <c r="AF285" s="30">
        <f t="shared" si="334"/>
        <v>0.321153297173851</v>
      </c>
      <c r="AG285" s="30">
        <f t="shared" si="335"/>
        <v>0.00403225806451613</v>
      </c>
      <c r="AH285" s="29">
        <v>8</v>
      </c>
      <c r="AI285" s="30">
        <f t="shared" si="336"/>
        <v>0.328597466103579</v>
      </c>
      <c r="AJ285" s="30"/>
      <c r="AK285" s="30"/>
      <c r="AL285" s="30"/>
      <c r="AM285" s="30"/>
      <c r="AN285" s="34"/>
      <c r="AO285" s="34"/>
      <c r="AP285" s="34"/>
      <c r="AQ285" s="34"/>
      <c r="AR285" s="34"/>
      <c r="AS285" s="34"/>
      <c r="AT285" s="34" t="s">
        <v>156</v>
      </c>
      <c r="AU285" s="34" t="s">
        <v>156</v>
      </c>
      <c r="AV285" s="34" t="s">
        <v>156</v>
      </c>
      <c r="AW285" s="34" t="s">
        <v>156</v>
      </c>
      <c r="AX285" s="34" t="s">
        <v>156</v>
      </c>
      <c r="AY285" s="34" t="s">
        <v>156</v>
      </c>
      <c r="AZ285" s="34" t="s">
        <v>156</v>
      </c>
      <c r="BA285" s="34" t="s">
        <v>156</v>
      </c>
      <c r="BB285" s="34" t="s">
        <v>156</v>
      </c>
      <c r="BC285" s="34" t="s">
        <v>156</v>
      </c>
      <c r="BD285" s="34" t="s">
        <v>156</v>
      </c>
      <c r="BE285" s="34" t="s">
        <v>156</v>
      </c>
      <c r="BF285" s="34" t="s">
        <v>156</v>
      </c>
      <c r="BG285" s="34" t="s">
        <v>156</v>
      </c>
      <c r="BH285" s="34" t="s">
        <v>156</v>
      </c>
      <c r="BI285" s="34" t="s">
        <v>156</v>
      </c>
      <c r="BJ285" s="34" t="s">
        <v>156</v>
      </c>
      <c r="BK285" s="34" t="s">
        <v>156</v>
      </c>
      <c r="BL285" s="34" t="s">
        <v>156</v>
      </c>
      <c r="BM285" s="34" t="s">
        <v>156</v>
      </c>
      <c r="BN285" s="34" t="s">
        <v>156</v>
      </c>
      <c r="BO285" s="34" t="s">
        <v>156</v>
      </c>
      <c r="BP285" s="34" t="s">
        <v>156</v>
      </c>
      <c r="BQ285" s="34" t="s">
        <v>156</v>
      </c>
      <c r="BR285" s="35"/>
      <c r="BS285" s="20" t="s">
        <v>157</v>
      </c>
    </row>
    <row r="286" ht="16.5" spans="1:71">
      <c r="A286" s="21" t="s">
        <v>43</v>
      </c>
      <c r="B286" s="21"/>
      <c r="C286" s="45"/>
      <c r="D286" s="60" t="s">
        <v>227</v>
      </c>
      <c r="E286" s="55">
        <v>31</v>
      </c>
      <c r="F286" s="24">
        <v>44.99</v>
      </c>
      <c r="G286" s="25">
        <f t="shared" si="318"/>
        <v>40.491</v>
      </c>
      <c r="H286" s="25">
        <f t="shared" si="319"/>
        <v>33.7425</v>
      </c>
      <c r="I286" s="36">
        <f t="shared" si="320"/>
        <v>3.93224778761062</v>
      </c>
      <c r="J286" s="26">
        <f t="shared" si="321"/>
        <v>0.126846702826149</v>
      </c>
      <c r="K286" s="27">
        <f t="shared" si="322"/>
        <v>37.4916666666667</v>
      </c>
      <c r="L286" s="28">
        <f t="shared" si="323"/>
        <v>0.173149588797511</v>
      </c>
      <c r="M286" s="25">
        <f t="shared" si="324"/>
        <v>6.49166666666667</v>
      </c>
      <c r="N286" s="27">
        <f t="shared" si="337"/>
        <v>87.646017699115</v>
      </c>
      <c r="O286" s="27">
        <f t="shared" si="325"/>
        <v>0.475</v>
      </c>
      <c r="P286" s="21">
        <v>30</v>
      </c>
      <c r="Q286" s="29">
        <v>8</v>
      </c>
      <c r="R286" s="30">
        <f t="shared" si="326"/>
        <v>0.161290322580645</v>
      </c>
      <c r="S286" s="26">
        <f t="shared" si="327"/>
        <v>0.111135807957324</v>
      </c>
      <c r="T286" s="30">
        <f t="shared" si="328"/>
        <v>0.145129032258065</v>
      </c>
      <c r="U286" s="30">
        <v>0.01</v>
      </c>
      <c r="V286" s="30">
        <f t="shared" si="329"/>
        <v>0.35341136168998</v>
      </c>
      <c r="W286" s="30">
        <f t="shared" si="330"/>
        <v>0.0153225806451613</v>
      </c>
      <c r="X286" s="31">
        <v>0.188</v>
      </c>
      <c r="Y286" s="32">
        <v>5</v>
      </c>
      <c r="Z286" s="32">
        <f>F286*0.1</f>
        <v>4.499</v>
      </c>
      <c r="AA286" s="32">
        <f t="shared" si="331"/>
        <v>0.31</v>
      </c>
      <c r="AB286" s="27">
        <f t="shared" si="332"/>
        <v>5.828</v>
      </c>
      <c r="AC286" s="27">
        <v>90</v>
      </c>
      <c r="AD286" s="33">
        <f t="shared" si="333"/>
        <v>79.646017699115</v>
      </c>
      <c r="AE286" s="29">
        <f t="shared" si="338"/>
        <v>1</v>
      </c>
      <c r="AF286" s="30">
        <f t="shared" si="334"/>
        <v>0.321153297173851</v>
      </c>
      <c r="AG286" s="30">
        <f t="shared" si="335"/>
        <v>0.00403225806451613</v>
      </c>
      <c r="AH286" s="29">
        <v>8</v>
      </c>
      <c r="AI286" s="30">
        <f t="shared" si="336"/>
        <v>0.253997184559532</v>
      </c>
      <c r="AJ286" s="30"/>
      <c r="AK286" s="30"/>
      <c r="AL286" s="30"/>
      <c r="AM286" s="30"/>
      <c r="AN286" s="34"/>
      <c r="AO286" s="34"/>
      <c r="AP286" s="34"/>
      <c r="AQ286" s="34"/>
      <c r="AR286" s="34"/>
      <c r="AS286" s="34"/>
      <c r="AT286" s="34" t="s">
        <v>156</v>
      </c>
      <c r="AU286" s="34" t="s">
        <v>156</v>
      </c>
      <c r="AV286" s="34" t="s">
        <v>156</v>
      </c>
      <c r="AW286" s="34" t="s">
        <v>156</v>
      </c>
      <c r="AX286" s="34" t="s">
        <v>156</v>
      </c>
      <c r="AY286" s="34" t="s">
        <v>156</v>
      </c>
      <c r="AZ286" s="34" t="s">
        <v>156</v>
      </c>
      <c r="BA286" s="34" t="s">
        <v>156</v>
      </c>
      <c r="BB286" s="34" t="s">
        <v>156</v>
      </c>
      <c r="BC286" s="34" t="s">
        <v>156</v>
      </c>
      <c r="BD286" s="34" t="s">
        <v>156</v>
      </c>
      <c r="BE286" s="34" t="s">
        <v>156</v>
      </c>
      <c r="BF286" s="34" t="s">
        <v>156</v>
      </c>
      <c r="BG286" s="34" t="s">
        <v>156</v>
      </c>
      <c r="BH286" s="34" t="s">
        <v>156</v>
      </c>
      <c r="BI286" s="34" t="s">
        <v>156</v>
      </c>
      <c r="BJ286" s="34" t="s">
        <v>156</v>
      </c>
      <c r="BK286" s="34" t="s">
        <v>156</v>
      </c>
      <c r="BL286" s="34" t="s">
        <v>156</v>
      </c>
      <c r="BM286" s="34" t="s">
        <v>156</v>
      </c>
      <c r="BN286" s="34" t="s">
        <v>156</v>
      </c>
      <c r="BO286" s="34" t="s">
        <v>156</v>
      </c>
      <c r="BP286" s="34" t="s">
        <v>156</v>
      </c>
      <c r="BQ286" s="34" t="s">
        <v>156</v>
      </c>
      <c r="BR286" s="35"/>
      <c r="BS286" s="20" t="s">
        <v>157</v>
      </c>
    </row>
    <row r="287" ht="16.5" spans="1:71">
      <c r="A287" s="21" t="s">
        <v>43</v>
      </c>
      <c r="B287" s="21"/>
      <c r="C287" s="45"/>
      <c r="D287" s="60" t="s">
        <v>228</v>
      </c>
      <c r="E287" s="55">
        <v>31</v>
      </c>
      <c r="F287" s="24">
        <v>44.99</v>
      </c>
      <c r="G287" s="25">
        <f t="shared" si="318"/>
        <v>38.2415</v>
      </c>
      <c r="H287" s="25">
        <f t="shared" si="319"/>
        <v>31.8679166666667</v>
      </c>
      <c r="I287" s="25">
        <f t="shared" si="320"/>
        <v>1.68274778761062</v>
      </c>
      <c r="J287" s="26">
        <f t="shared" si="321"/>
        <v>0.0542821866971168</v>
      </c>
      <c r="K287" s="27">
        <f t="shared" si="322"/>
        <v>37.4916666666667</v>
      </c>
      <c r="L287" s="28">
        <f t="shared" si="323"/>
        <v>0.173149588797511</v>
      </c>
      <c r="M287" s="25">
        <f t="shared" si="324"/>
        <v>6.49166666666667</v>
      </c>
      <c r="N287" s="27">
        <f t="shared" si="337"/>
        <v>87.646017699115</v>
      </c>
      <c r="O287" s="27">
        <f t="shared" si="325"/>
        <v>0.475</v>
      </c>
      <c r="P287" s="21">
        <v>30</v>
      </c>
      <c r="Q287" s="29">
        <v>8</v>
      </c>
      <c r="R287" s="30">
        <f t="shared" si="326"/>
        <v>0.161290322580645</v>
      </c>
      <c r="S287" s="26">
        <f t="shared" si="327"/>
        <v>0.111135807957324</v>
      </c>
      <c r="T287" s="30">
        <f t="shared" si="328"/>
        <v>0.217693548387097</v>
      </c>
      <c r="U287" s="30">
        <v>0.01</v>
      </c>
      <c r="V287" s="30">
        <f t="shared" si="329"/>
        <v>0.35341136168998</v>
      </c>
      <c r="W287" s="30">
        <f t="shared" si="330"/>
        <v>0.0153225806451613</v>
      </c>
      <c r="X287" s="31">
        <v>0.188</v>
      </c>
      <c r="Y287" s="32">
        <v>5</v>
      </c>
      <c r="Z287" s="32">
        <f>F287*0.15</f>
        <v>6.7485</v>
      </c>
      <c r="AA287" s="32">
        <f t="shared" si="331"/>
        <v>0.31</v>
      </c>
      <c r="AB287" s="27">
        <f t="shared" si="332"/>
        <v>5.828</v>
      </c>
      <c r="AC287" s="27">
        <v>90</v>
      </c>
      <c r="AD287" s="33">
        <f t="shared" si="333"/>
        <v>79.646017699115</v>
      </c>
      <c r="AE287" s="29">
        <f t="shared" si="338"/>
        <v>1</v>
      </c>
      <c r="AF287" s="30">
        <f t="shared" si="334"/>
        <v>0.321153297173851</v>
      </c>
      <c r="AG287" s="30">
        <f t="shared" si="335"/>
        <v>0.00403225806451613</v>
      </c>
      <c r="AH287" s="29">
        <v>8</v>
      </c>
      <c r="AI287" s="30">
        <f t="shared" si="336"/>
        <v>0.21011466600421</v>
      </c>
      <c r="AJ287" s="30"/>
      <c r="AK287" s="30"/>
      <c r="AL287" s="30"/>
      <c r="AM287" s="30"/>
      <c r="AN287" s="34"/>
      <c r="AO287" s="34"/>
      <c r="AP287" s="34"/>
      <c r="AQ287" s="34"/>
      <c r="AR287" s="34"/>
      <c r="AS287" s="34"/>
      <c r="AT287" s="34" t="s">
        <v>156</v>
      </c>
      <c r="AU287" s="34" t="s">
        <v>156</v>
      </c>
      <c r="AV287" s="34" t="s">
        <v>156</v>
      </c>
      <c r="AW287" s="34" t="s">
        <v>156</v>
      </c>
      <c r="AX287" s="34" t="s">
        <v>156</v>
      </c>
      <c r="AY287" s="34" t="s">
        <v>156</v>
      </c>
      <c r="AZ287" s="34" t="s">
        <v>156</v>
      </c>
      <c r="BA287" s="34" t="s">
        <v>156</v>
      </c>
      <c r="BB287" s="34" t="s">
        <v>156</v>
      </c>
      <c r="BC287" s="34" t="s">
        <v>156</v>
      </c>
      <c r="BD287" s="34" t="s">
        <v>156</v>
      </c>
      <c r="BE287" s="34" t="s">
        <v>156</v>
      </c>
      <c r="BF287" s="34" t="s">
        <v>156</v>
      </c>
      <c r="BG287" s="34" t="s">
        <v>156</v>
      </c>
      <c r="BH287" s="34" t="s">
        <v>156</v>
      </c>
      <c r="BI287" s="34" t="s">
        <v>156</v>
      </c>
      <c r="BJ287" s="34" t="s">
        <v>156</v>
      </c>
      <c r="BK287" s="34" t="s">
        <v>156</v>
      </c>
      <c r="BL287" s="34" t="s">
        <v>156</v>
      </c>
      <c r="BM287" s="34" t="s">
        <v>156</v>
      </c>
      <c r="BN287" s="34" t="s">
        <v>156</v>
      </c>
      <c r="BO287" s="34" t="s">
        <v>156</v>
      </c>
      <c r="BP287" s="34" t="s">
        <v>156</v>
      </c>
      <c r="BQ287" s="34" t="s">
        <v>156</v>
      </c>
      <c r="BR287" s="35"/>
      <c r="BS287" s="20" t="s">
        <v>157</v>
      </c>
    </row>
    <row r="288" ht="16.5" spans="1:71">
      <c r="A288" s="21" t="s">
        <v>45</v>
      </c>
      <c r="B288" s="21"/>
      <c r="C288" s="45"/>
      <c r="D288" s="60" t="s">
        <v>226</v>
      </c>
      <c r="E288" s="55">
        <v>31</v>
      </c>
      <c r="F288" s="24">
        <v>44.99</v>
      </c>
      <c r="G288" s="25">
        <f t="shared" si="318"/>
        <v>44.99</v>
      </c>
      <c r="H288" s="25">
        <f t="shared" si="319"/>
        <v>37.4916666666667</v>
      </c>
      <c r="I288" s="25">
        <f t="shared" si="320"/>
        <v>8.39791445427729</v>
      </c>
      <c r="J288" s="26">
        <f t="shared" si="321"/>
        <v>0.270900466267009</v>
      </c>
      <c r="K288" s="27">
        <f t="shared" si="322"/>
        <v>37.4916666666667</v>
      </c>
      <c r="L288" s="28">
        <f t="shared" si="323"/>
        <v>0.173149588797511</v>
      </c>
      <c r="M288" s="25">
        <f t="shared" si="324"/>
        <v>6.49166666666667</v>
      </c>
      <c r="N288" s="27">
        <f t="shared" si="337"/>
        <v>87.646017699115</v>
      </c>
      <c r="O288" s="27">
        <f t="shared" si="325"/>
        <v>0.508333333333333</v>
      </c>
      <c r="P288" s="21">
        <v>30</v>
      </c>
      <c r="Q288" s="29">
        <v>8</v>
      </c>
      <c r="R288" s="30">
        <f t="shared" si="326"/>
        <v>0.161290322580645</v>
      </c>
      <c r="S288" s="26">
        <f t="shared" si="327"/>
        <v>0.111135807957324</v>
      </c>
      <c r="T288" s="30">
        <f t="shared" si="328"/>
        <v>0</v>
      </c>
      <c r="U288" s="30">
        <v>0.01</v>
      </c>
      <c r="V288" s="30">
        <f t="shared" si="329"/>
        <v>0.35341136168998</v>
      </c>
      <c r="W288" s="30">
        <f t="shared" si="330"/>
        <v>0.0163978494623656</v>
      </c>
      <c r="X288" s="31">
        <v>0.188</v>
      </c>
      <c r="Y288" s="32">
        <v>5</v>
      </c>
      <c r="Z288" s="32">
        <v>0</v>
      </c>
      <c r="AA288" s="32">
        <f t="shared" si="331"/>
        <v>0.31</v>
      </c>
      <c r="AB288" s="27">
        <f t="shared" si="332"/>
        <v>5.828</v>
      </c>
      <c r="AC288" s="27">
        <v>90</v>
      </c>
      <c r="AD288" s="33">
        <f t="shared" si="333"/>
        <v>79.646017699115</v>
      </c>
      <c r="AE288" s="29">
        <f t="shared" si="338"/>
        <v>1</v>
      </c>
      <c r="AF288" s="30">
        <f t="shared" si="334"/>
        <v>0.321153297173851</v>
      </c>
      <c r="AG288" s="30">
        <f t="shared" si="335"/>
        <v>0.00403225806451613</v>
      </c>
      <c r="AH288" s="29">
        <v>8</v>
      </c>
      <c r="AI288" s="26">
        <f t="shared" si="336"/>
        <v>0.328597466103579</v>
      </c>
      <c r="AJ288" s="26"/>
      <c r="AK288" s="26"/>
      <c r="AL288" s="26"/>
      <c r="AM288" s="26"/>
      <c r="AN288" s="34"/>
      <c r="AO288" s="34"/>
      <c r="AP288" s="34"/>
      <c r="AQ288" s="34"/>
      <c r="AR288" s="34"/>
      <c r="AS288" s="34"/>
      <c r="AT288" s="34" t="s">
        <v>156</v>
      </c>
      <c r="AU288" s="34" t="s">
        <v>156</v>
      </c>
      <c r="AV288" s="34" t="s">
        <v>156</v>
      </c>
      <c r="AW288" s="34" t="s">
        <v>156</v>
      </c>
      <c r="AX288" s="34" t="s">
        <v>156</v>
      </c>
      <c r="AY288" s="34" t="s">
        <v>156</v>
      </c>
      <c r="AZ288" s="34" t="s">
        <v>156</v>
      </c>
      <c r="BA288" s="34" t="s">
        <v>156</v>
      </c>
      <c r="BB288" s="34" t="s">
        <v>156</v>
      </c>
      <c r="BC288" s="34" t="s">
        <v>156</v>
      </c>
      <c r="BD288" s="34" t="s">
        <v>156</v>
      </c>
      <c r="BE288" s="34" t="s">
        <v>156</v>
      </c>
      <c r="BF288" s="34" t="s">
        <v>156</v>
      </c>
      <c r="BG288" s="34" t="s">
        <v>156</v>
      </c>
      <c r="BH288" s="34" t="s">
        <v>156</v>
      </c>
      <c r="BI288" s="34" t="s">
        <v>156</v>
      </c>
      <c r="BJ288" s="34" t="s">
        <v>156</v>
      </c>
      <c r="BK288" s="34" t="s">
        <v>156</v>
      </c>
      <c r="BL288" s="34" t="s">
        <v>156</v>
      </c>
      <c r="BM288" s="34" t="s">
        <v>156</v>
      </c>
      <c r="BN288" s="34" t="s">
        <v>156</v>
      </c>
      <c r="BO288" s="34" t="s">
        <v>156</v>
      </c>
      <c r="BP288" s="34" t="s">
        <v>156</v>
      </c>
      <c r="BQ288" s="34" t="s">
        <v>156</v>
      </c>
      <c r="BR288" s="35"/>
      <c r="BS288" s="20" t="s">
        <v>157</v>
      </c>
    </row>
    <row r="289" ht="16.5" spans="1:71">
      <c r="A289" s="21" t="s">
        <v>45</v>
      </c>
      <c r="B289" s="21"/>
      <c r="C289" s="45"/>
      <c r="D289" s="60" t="s">
        <v>227</v>
      </c>
      <c r="E289" s="55">
        <v>31</v>
      </c>
      <c r="F289" s="24">
        <v>44.99</v>
      </c>
      <c r="G289" s="25">
        <f t="shared" si="318"/>
        <v>40.491</v>
      </c>
      <c r="H289" s="25">
        <f t="shared" si="319"/>
        <v>33.7425</v>
      </c>
      <c r="I289" s="36">
        <f t="shared" si="320"/>
        <v>3.89891445427729</v>
      </c>
      <c r="J289" s="26">
        <f t="shared" si="321"/>
        <v>0.125771434008945</v>
      </c>
      <c r="K289" s="27">
        <f t="shared" si="322"/>
        <v>37.4916666666667</v>
      </c>
      <c r="L289" s="28">
        <f t="shared" si="323"/>
        <v>0.173149588797511</v>
      </c>
      <c r="M289" s="25">
        <f t="shared" si="324"/>
        <v>6.49166666666667</v>
      </c>
      <c r="N289" s="27">
        <f t="shared" si="337"/>
        <v>87.646017699115</v>
      </c>
      <c r="O289" s="27">
        <f t="shared" si="325"/>
        <v>0.508333333333333</v>
      </c>
      <c r="P289" s="21">
        <v>30</v>
      </c>
      <c r="Q289" s="29">
        <v>8</v>
      </c>
      <c r="R289" s="30">
        <f t="shared" si="326"/>
        <v>0.161290322580645</v>
      </c>
      <c r="S289" s="26">
        <f t="shared" si="327"/>
        <v>0.111135807957324</v>
      </c>
      <c r="T289" s="30">
        <f t="shared" si="328"/>
        <v>0.145129032258065</v>
      </c>
      <c r="U289" s="30">
        <v>0.01</v>
      </c>
      <c r="V289" s="30">
        <f t="shared" si="329"/>
        <v>0.35341136168998</v>
      </c>
      <c r="W289" s="30">
        <f t="shared" si="330"/>
        <v>0.0163978494623656</v>
      </c>
      <c r="X289" s="31">
        <v>0.188</v>
      </c>
      <c r="Y289" s="32">
        <v>5</v>
      </c>
      <c r="Z289" s="32">
        <f>F289*0.1</f>
        <v>4.499</v>
      </c>
      <c r="AA289" s="32">
        <f t="shared" si="331"/>
        <v>0.31</v>
      </c>
      <c r="AB289" s="27">
        <f t="shared" si="332"/>
        <v>5.828</v>
      </c>
      <c r="AC289" s="27">
        <v>90</v>
      </c>
      <c r="AD289" s="33">
        <f t="shared" si="333"/>
        <v>79.646017699115</v>
      </c>
      <c r="AE289" s="29">
        <f t="shared" si="338"/>
        <v>1</v>
      </c>
      <c r="AF289" s="30">
        <f t="shared" si="334"/>
        <v>0.321153297173851</v>
      </c>
      <c r="AG289" s="30">
        <f t="shared" si="335"/>
        <v>0.00403225806451613</v>
      </c>
      <c r="AH289" s="29">
        <v>8</v>
      </c>
      <c r="AI289" s="26">
        <f t="shared" si="336"/>
        <v>0.253997184559532</v>
      </c>
      <c r="AJ289" s="26"/>
      <c r="AK289" s="26"/>
      <c r="AL289" s="26"/>
      <c r="AM289" s="26"/>
      <c r="AN289" s="34"/>
      <c r="AO289" s="34"/>
      <c r="AP289" s="34"/>
      <c r="AQ289" s="34"/>
      <c r="AR289" s="34"/>
      <c r="AS289" s="34"/>
      <c r="AT289" s="34" t="s">
        <v>156</v>
      </c>
      <c r="AU289" s="34" t="s">
        <v>156</v>
      </c>
      <c r="AV289" s="34" t="s">
        <v>156</v>
      </c>
      <c r="AW289" s="34" t="s">
        <v>156</v>
      </c>
      <c r="AX289" s="34" t="s">
        <v>156</v>
      </c>
      <c r="AY289" s="34" t="s">
        <v>156</v>
      </c>
      <c r="AZ289" s="34" t="s">
        <v>156</v>
      </c>
      <c r="BA289" s="34" t="s">
        <v>156</v>
      </c>
      <c r="BB289" s="34" t="s">
        <v>156</v>
      </c>
      <c r="BC289" s="34" t="s">
        <v>156</v>
      </c>
      <c r="BD289" s="34" t="s">
        <v>156</v>
      </c>
      <c r="BE289" s="34" t="s">
        <v>156</v>
      </c>
      <c r="BF289" s="34" t="s">
        <v>156</v>
      </c>
      <c r="BG289" s="34" t="s">
        <v>156</v>
      </c>
      <c r="BH289" s="34" t="s">
        <v>156</v>
      </c>
      <c r="BI289" s="34" t="s">
        <v>156</v>
      </c>
      <c r="BJ289" s="34" t="s">
        <v>156</v>
      </c>
      <c r="BK289" s="34" t="s">
        <v>156</v>
      </c>
      <c r="BL289" s="34" t="s">
        <v>156</v>
      </c>
      <c r="BM289" s="34" t="s">
        <v>156</v>
      </c>
      <c r="BN289" s="34" t="s">
        <v>156</v>
      </c>
      <c r="BO289" s="34" t="s">
        <v>156</v>
      </c>
      <c r="BP289" s="34" t="s">
        <v>156</v>
      </c>
      <c r="BQ289" s="34" t="s">
        <v>156</v>
      </c>
      <c r="BR289" s="35"/>
      <c r="BS289" s="20" t="s">
        <v>157</v>
      </c>
    </row>
    <row r="290" ht="16.5" spans="1:71">
      <c r="A290" s="21" t="s">
        <v>45</v>
      </c>
      <c r="B290" s="21"/>
      <c r="C290" s="45"/>
      <c r="D290" s="60" t="s">
        <v>228</v>
      </c>
      <c r="E290" s="55">
        <v>31</v>
      </c>
      <c r="F290" s="24">
        <v>44.99</v>
      </c>
      <c r="G290" s="25">
        <f t="shared" si="318"/>
        <v>38.2415</v>
      </c>
      <c r="H290" s="25">
        <f t="shared" si="319"/>
        <v>31.8679166666667</v>
      </c>
      <c r="I290" s="25">
        <f t="shared" si="320"/>
        <v>1.64941445427729</v>
      </c>
      <c r="J290" s="26">
        <f t="shared" si="321"/>
        <v>0.0532069178799125</v>
      </c>
      <c r="K290" s="27">
        <f t="shared" si="322"/>
        <v>37.4916666666667</v>
      </c>
      <c r="L290" s="28">
        <f t="shared" si="323"/>
        <v>0.173149588797511</v>
      </c>
      <c r="M290" s="25">
        <f t="shared" si="324"/>
        <v>6.49166666666667</v>
      </c>
      <c r="N290" s="27">
        <f t="shared" si="337"/>
        <v>87.646017699115</v>
      </c>
      <c r="O290" s="27">
        <f t="shared" si="325"/>
        <v>0.508333333333333</v>
      </c>
      <c r="P290" s="21">
        <v>30</v>
      </c>
      <c r="Q290" s="29">
        <v>8</v>
      </c>
      <c r="R290" s="30">
        <f t="shared" si="326"/>
        <v>0.161290322580645</v>
      </c>
      <c r="S290" s="26">
        <f t="shared" si="327"/>
        <v>0.111135807957324</v>
      </c>
      <c r="T290" s="30">
        <f t="shared" si="328"/>
        <v>0.217693548387097</v>
      </c>
      <c r="U290" s="30">
        <v>0.01</v>
      </c>
      <c r="V290" s="30">
        <f t="shared" si="329"/>
        <v>0.35341136168998</v>
      </c>
      <c r="W290" s="30">
        <f t="shared" si="330"/>
        <v>0.0163978494623656</v>
      </c>
      <c r="X290" s="31">
        <v>0.188</v>
      </c>
      <c r="Y290" s="32">
        <v>5</v>
      </c>
      <c r="Z290" s="32">
        <f>F290*0.15</f>
        <v>6.7485</v>
      </c>
      <c r="AA290" s="32">
        <f t="shared" si="331"/>
        <v>0.31</v>
      </c>
      <c r="AB290" s="27">
        <f t="shared" si="332"/>
        <v>5.828</v>
      </c>
      <c r="AC290" s="27">
        <v>90</v>
      </c>
      <c r="AD290" s="33">
        <f t="shared" si="333"/>
        <v>79.646017699115</v>
      </c>
      <c r="AE290" s="29">
        <f t="shared" si="338"/>
        <v>1</v>
      </c>
      <c r="AF290" s="30">
        <f t="shared" si="334"/>
        <v>0.321153297173851</v>
      </c>
      <c r="AG290" s="30">
        <f t="shared" si="335"/>
        <v>0.00403225806451613</v>
      </c>
      <c r="AH290" s="29">
        <v>8</v>
      </c>
      <c r="AI290" s="26">
        <f t="shared" si="336"/>
        <v>0.21011466600421</v>
      </c>
      <c r="AJ290" s="26"/>
      <c r="AK290" s="26"/>
      <c r="AL290" s="26"/>
      <c r="AM290" s="26"/>
      <c r="AN290" s="34"/>
      <c r="AO290" s="34"/>
      <c r="AP290" s="34"/>
      <c r="AQ290" s="34"/>
      <c r="AR290" s="34"/>
      <c r="AS290" s="34"/>
      <c r="AT290" s="34" t="s">
        <v>156</v>
      </c>
      <c r="AU290" s="34" t="s">
        <v>156</v>
      </c>
      <c r="AV290" s="34" t="s">
        <v>156</v>
      </c>
      <c r="AW290" s="34" t="s">
        <v>156</v>
      </c>
      <c r="AX290" s="34" t="s">
        <v>156</v>
      </c>
      <c r="AY290" s="34" t="s">
        <v>156</v>
      </c>
      <c r="AZ290" s="34" t="s">
        <v>156</v>
      </c>
      <c r="BA290" s="34" t="s">
        <v>156</v>
      </c>
      <c r="BB290" s="34" t="s">
        <v>156</v>
      </c>
      <c r="BC290" s="34" t="s">
        <v>156</v>
      </c>
      <c r="BD290" s="34" t="s">
        <v>156</v>
      </c>
      <c r="BE290" s="34" t="s">
        <v>156</v>
      </c>
      <c r="BF290" s="34" t="s">
        <v>156</v>
      </c>
      <c r="BG290" s="34" t="s">
        <v>156</v>
      </c>
      <c r="BH290" s="34" t="s">
        <v>156</v>
      </c>
      <c r="BI290" s="34" t="s">
        <v>156</v>
      </c>
      <c r="BJ290" s="34" t="s">
        <v>156</v>
      </c>
      <c r="BK290" s="34" t="s">
        <v>156</v>
      </c>
      <c r="BL290" s="34" t="s">
        <v>156</v>
      </c>
      <c r="BM290" s="34" t="s">
        <v>156</v>
      </c>
      <c r="BN290" s="34" t="s">
        <v>156</v>
      </c>
      <c r="BO290" s="34" t="s">
        <v>156</v>
      </c>
      <c r="BP290" s="34" t="s">
        <v>156</v>
      </c>
      <c r="BQ290" s="34" t="s">
        <v>156</v>
      </c>
      <c r="BR290" s="35"/>
      <c r="BS290" s="20" t="s">
        <v>157</v>
      </c>
    </row>
    <row r="291" ht="16.5" spans="1:71">
      <c r="A291" s="21" t="s">
        <v>48</v>
      </c>
      <c r="B291" s="21"/>
      <c r="C291" s="45"/>
      <c r="D291" s="60" t="s">
        <v>226</v>
      </c>
      <c r="E291" s="55">
        <v>31</v>
      </c>
      <c r="F291" s="24">
        <v>44.99</v>
      </c>
      <c r="G291" s="25">
        <f t="shared" si="318"/>
        <v>44.99</v>
      </c>
      <c r="H291" s="25">
        <f t="shared" si="319"/>
        <v>37.4916666666667</v>
      </c>
      <c r="I291" s="25">
        <f t="shared" si="320"/>
        <v>8.26458112094395</v>
      </c>
      <c r="J291" s="26">
        <f t="shared" si="321"/>
        <v>0.266599390998192</v>
      </c>
      <c r="K291" s="27">
        <f t="shared" si="322"/>
        <v>37.4916666666667</v>
      </c>
      <c r="L291" s="28">
        <f t="shared" si="323"/>
        <v>0.173149588797511</v>
      </c>
      <c r="M291" s="25">
        <f t="shared" si="324"/>
        <v>6.49166666666667</v>
      </c>
      <c r="N291" s="27">
        <f t="shared" si="337"/>
        <v>87.646017699115</v>
      </c>
      <c r="O291" s="27">
        <f t="shared" si="325"/>
        <v>0.641666666666667</v>
      </c>
      <c r="P291" s="21">
        <v>30</v>
      </c>
      <c r="Q291" s="29">
        <v>8</v>
      </c>
      <c r="R291" s="30">
        <f t="shared" si="326"/>
        <v>0.161290322580645</v>
      </c>
      <c r="S291" s="26">
        <f t="shared" si="327"/>
        <v>0.111135807957324</v>
      </c>
      <c r="T291" s="30">
        <f t="shared" si="328"/>
        <v>0</v>
      </c>
      <c r="U291" s="30">
        <v>0.01</v>
      </c>
      <c r="V291" s="30">
        <f t="shared" si="329"/>
        <v>0.35341136168998</v>
      </c>
      <c r="W291" s="30">
        <f t="shared" si="330"/>
        <v>0.0206989247311828</v>
      </c>
      <c r="X291" s="31">
        <v>0.188</v>
      </c>
      <c r="Y291" s="32">
        <v>5</v>
      </c>
      <c r="Z291" s="32">
        <v>0</v>
      </c>
      <c r="AA291" s="32">
        <f t="shared" si="331"/>
        <v>0.31</v>
      </c>
      <c r="AB291" s="27">
        <f t="shared" si="332"/>
        <v>5.828</v>
      </c>
      <c r="AC291" s="27">
        <v>90</v>
      </c>
      <c r="AD291" s="33">
        <f t="shared" si="333"/>
        <v>79.646017699115</v>
      </c>
      <c r="AE291" s="29">
        <f t="shared" si="338"/>
        <v>1</v>
      </c>
      <c r="AF291" s="30">
        <f t="shared" si="334"/>
        <v>0.321153297173851</v>
      </c>
      <c r="AG291" s="30">
        <f t="shared" si="335"/>
        <v>0.00403225806451613</v>
      </c>
      <c r="AH291" s="29">
        <v>8</v>
      </c>
      <c r="AI291" s="30">
        <f t="shared" si="336"/>
        <v>0.328597466103579</v>
      </c>
      <c r="AJ291" s="30"/>
      <c r="AK291" s="30"/>
      <c r="AL291" s="30"/>
      <c r="AM291" s="30"/>
      <c r="AN291" s="34"/>
      <c r="AO291" s="34"/>
      <c r="AP291" s="34"/>
      <c r="AQ291" s="34"/>
      <c r="AR291" s="34"/>
      <c r="AS291" s="34"/>
      <c r="AT291" s="34" t="s">
        <v>156</v>
      </c>
      <c r="AU291" s="34" t="s">
        <v>156</v>
      </c>
      <c r="AV291" s="34" t="s">
        <v>156</v>
      </c>
      <c r="AW291" s="34" t="s">
        <v>156</v>
      </c>
      <c r="AX291" s="34" t="s">
        <v>156</v>
      </c>
      <c r="AY291" s="34" t="s">
        <v>156</v>
      </c>
      <c r="AZ291" s="34" t="s">
        <v>156</v>
      </c>
      <c r="BA291" s="34" t="s">
        <v>156</v>
      </c>
      <c r="BB291" s="34" t="s">
        <v>156</v>
      </c>
      <c r="BC291" s="34" t="s">
        <v>156</v>
      </c>
      <c r="BD291" s="34" t="s">
        <v>156</v>
      </c>
      <c r="BE291" s="34" t="s">
        <v>156</v>
      </c>
      <c r="BF291" s="34" t="s">
        <v>156</v>
      </c>
      <c r="BG291" s="34" t="s">
        <v>156</v>
      </c>
      <c r="BH291" s="34" t="s">
        <v>156</v>
      </c>
      <c r="BI291" s="34" t="s">
        <v>156</v>
      </c>
      <c r="BJ291" s="34" t="s">
        <v>156</v>
      </c>
      <c r="BK291" s="34" t="s">
        <v>156</v>
      </c>
      <c r="BL291" s="34" t="s">
        <v>156</v>
      </c>
      <c r="BM291" s="34" t="s">
        <v>156</v>
      </c>
      <c r="BN291" s="34" t="s">
        <v>156</v>
      </c>
      <c r="BO291" s="34" t="s">
        <v>156</v>
      </c>
      <c r="BP291" s="34" t="s">
        <v>156</v>
      </c>
      <c r="BQ291" s="34" t="s">
        <v>156</v>
      </c>
      <c r="BR291" s="35"/>
      <c r="BS291" s="20" t="s">
        <v>157</v>
      </c>
    </row>
    <row r="292" ht="16.5" spans="1:71">
      <c r="A292" s="21" t="s">
        <v>48</v>
      </c>
      <c r="B292" s="21"/>
      <c r="C292" s="45"/>
      <c r="D292" s="60" t="s">
        <v>227</v>
      </c>
      <c r="E292" s="55">
        <v>31</v>
      </c>
      <c r="F292" s="24">
        <v>44.99</v>
      </c>
      <c r="G292" s="25">
        <f t="shared" si="318"/>
        <v>40.491</v>
      </c>
      <c r="H292" s="25">
        <f t="shared" si="319"/>
        <v>33.7425</v>
      </c>
      <c r="I292" s="36">
        <f t="shared" si="320"/>
        <v>3.76558112094395</v>
      </c>
      <c r="J292" s="26">
        <f t="shared" si="321"/>
        <v>0.121470358740127</v>
      </c>
      <c r="K292" s="27">
        <f t="shared" si="322"/>
        <v>37.4916666666667</v>
      </c>
      <c r="L292" s="28">
        <f t="shared" si="323"/>
        <v>0.173149588797511</v>
      </c>
      <c r="M292" s="25">
        <f t="shared" si="324"/>
        <v>6.49166666666667</v>
      </c>
      <c r="N292" s="27">
        <f t="shared" si="337"/>
        <v>87.646017699115</v>
      </c>
      <c r="O292" s="27">
        <f t="shared" si="325"/>
        <v>0.641666666666667</v>
      </c>
      <c r="P292" s="21">
        <v>30</v>
      </c>
      <c r="Q292" s="29">
        <v>8</v>
      </c>
      <c r="R292" s="30">
        <f t="shared" si="326"/>
        <v>0.161290322580645</v>
      </c>
      <c r="S292" s="26">
        <f t="shared" si="327"/>
        <v>0.111135807957324</v>
      </c>
      <c r="T292" s="30">
        <f t="shared" si="328"/>
        <v>0.145129032258065</v>
      </c>
      <c r="U292" s="30">
        <v>0.01</v>
      </c>
      <c r="V292" s="30">
        <f t="shared" si="329"/>
        <v>0.35341136168998</v>
      </c>
      <c r="W292" s="30">
        <f t="shared" si="330"/>
        <v>0.0206989247311828</v>
      </c>
      <c r="X292" s="31">
        <v>0.188</v>
      </c>
      <c r="Y292" s="32">
        <v>5</v>
      </c>
      <c r="Z292" s="32">
        <f>F292*0.1</f>
        <v>4.499</v>
      </c>
      <c r="AA292" s="32">
        <f t="shared" si="331"/>
        <v>0.31</v>
      </c>
      <c r="AB292" s="27">
        <f t="shared" si="332"/>
        <v>5.828</v>
      </c>
      <c r="AC292" s="27">
        <v>90</v>
      </c>
      <c r="AD292" s="33">
        <f t="shared" si="333"/>
        <v>79.646017699115</v>
      </c>
      <c r="AE292" s="29">
        <f t="shared" si="338"/>
        <v>1</v>
      </c>
      <c r="AF292" s="30">
        <f t="shared" si="334"/>
        <v>0.321153297173851</v>
      </c>
      <c r="AG292" s="30">
        <f t="shared" si="335"/>
        <v>0.00403225806451613</v>
      </c>
      <c r="AH292" s="29">
        <v>8</v>
      </c>
      <c r="AI292" s="30">
        <f t="shared" si="336"/>
        <v>0.253997184559532</v>
      </c>
      <c r="AJ292" s="30"/>
      <c r="AK292" s="30"/>
      <c r="AL292" s="30"/>
      <c r="AM292" s="30"/>
      <c r="AN292" s="34"/>
      <c r="AO292" s="34"/>
      <c r="AP292" s="34"/>
      <c r="AQ292" s="34"/>
      <c r="AR292" s="34"/>
      <c r="AS292" s="34"/>
      <c r="AT292" s="34" t="s">
        <v>156</v>
      </c>
      <c r="AU292" s="34" t="s">
        <v>156</v>
      </c>
      <c r="AV292" s="34" t="s">
        <v>156</v>
      </c>
      <c r="AW292" s="34" t="s">
        <v>156</v>
      </c>
      <c r="AX292" s="34" t="s">
        <v>156</v>
      </c>
      <c r="AY292" s="34" t="s">
        <v>156</v>
      </c>
      <c r="AZ292" s="34" t="s">
        <v>156</v>
      </c>
      <c r="BA292" s="34" t="s">
        <v>156</v>
      </c>
      <c r="BB292" s="34" t="s">
        <v>156</v>
      </c>
      <c r="BC292" s="34" t="s">
        <v>156</v>
      </c>
      <c r="BD292" s="34" t="s">
        <v>156</v>
      </c>
      <c r="BE292" s="34" t="s">
        <v>156</v>
      </c>
      <c r="BF292" s="34" t="s">
        <v>156</v>
      </c>
      <c r="BG292" s="34" t="s">
        <v>156</v>
      </c>
      <c r="BH292" s="34" t="s">
        <v>156</v>
      </c>
      <c r="BI292" s="34" t="s">
        <v>156</v>
      </c>
      <c r="BJ292" s="34" t="s">
        <v>156</v>
      </c>
      <c r="BK292" s="34" t="s">
        <v>156</v>
      </c>
      <c r="BL292" s="34" t="s">
        <v>156</v>
      </c>
      <c r="BM292" s="34" t="s">
        <v>156</v>
      </c>
      <c r="BN292" s="34" t="s">
        <v>156</v>
      </c>
      <c r="BO292" s="34" t="s">
        <v>156</v>
      </c>
      <c r="BP292" s="34" t="s">
        <v>156</v>
      </c>
      <c r="BQ292" s="34" t="s">
        <v>156</v>
      </c>
      <c r="BR292" s="35"/>
      <c r="BS292" s="20" t="s">
        <v>157</v>
      </c>
    </row>
    <row r="293" ht="16.5" spans="1:71">
      <c r="A293" s="21" t="s">
        <v>48</v>
      </c>
      <c r="B293" s="21"/>
      <c r="C293" s="45"/>
      <c r="D293" s="60" t="s">
        <v>228</v>
      </c>
      <c r="E293" s="55">
        <v>31</v>
      </c>
      <c r="F293" s="24">
        <v>44.99</v>
      </c>
      <c r="G293" s="25">
        <f t="shared" si="318"/>
        <v>38.2415</v>
      </c>
      <c r="H293" s="25">
        <f t="shared" si="319"/>
        <v>31.8679166666667</v>
      </c>
      <c r="I293" s="25">
        <f t="shared" si="320"/>
        <v>1.51608112094395</v>
      </c>
      <c r="J293" s="26">
        <f t="shared" si="321"/>
        <v>0.0489058426110952</v>
      </c>
      <c r="K293" s="27">
        <f t="shared" si="322"/>
        <v>37.4916666666667</v>
      </c>
      <c r="L293" s="28">
        <f t="shared" si="323"/>
        <v>0.173149588797511</v>
      </c>
      <c r="M293" s="25">
        <f t="shared" si="324"/>
        <v>6.49166666666667</v>
      </c>
      <c r="N293" s="27">
        <f t="shared" si="337"/>
        <v>87.646017699115</v>
      </c>
      <c r="O293" s="27">
        <f t="shared" si="325"/>
        <v>0.641666666666667</v>
      </c>
      <c r="P293" s="21">
        <v>30</v>
      </c>
      <c r="Q293" s="29">
        <v>8</v>
      </c>
      <c r="R293" s="30">
        <f t="shared" si="326"/>
        <v>0.161290322580645</v>
      </c>
      <c r="S293" s="26">
        <f t="shared" si="327"/>
        <v>0.111135807957324</v>
      </c>
      <c r="T293" s="30">
        <f t="shared" si="328"/>
        <v>0.217693548387097</v>
      </c>
      <c r="U293" s="30">
        <v>0.01</v>
      </c>
      <c r="V293" s="30">
        <f t="shared" si="329"/>
        <v>0.35341136168998</v>
      </c>
      <c r="W293" s="30">
        <f t="shared" si="330"/>
        <v>0.0206989247311828</v>
      </c>
      <c r="X293" s="31">
        <v>0.188</v>
      </c>
      <c r="Y293" s="32">
        <v>5</v>
      </c>
      <c r="Z293" s="32">
        <f>F293*0.15</f>
        <v>6.7485</v>
      </c>
      <c r="AA293" s="32">
        <f t="shared" si="331"/>
        <v>0.31</v>
      </c>
      <c r="AB293" s="27">
        <f t="shared" si="332"/>
        <v>5.828</v>
      </c>
      <c r="AC293" s="27">
        <v>90</v>
      </c>
      <c r="AD293" s="33">
        <f t="shared" si="333"/>
        <v>79.646017699115</v>
      </c>
      <c r="AE293" s="29">
        <f t="shared" si="338"/>
        <v>1</v>
      </c>
      <c r="AF293" s="30">
        <f t="shared" si="334"/>
        <v>0.321153297173851</v>
      </c>
      <c r="AG293" s="30">
        <f t="shared" si="335"/>
        <v>0.00403225806451613</v>
      </c>
      <c r="AH293" s="29">
        <v>8</v>
      </c>
      <c r="AI293" s="30">
        <f t="shared" si="336"/>
        <v>0.21011466600421</v>
      </c>
      <c r="AJ293" s="30"/>
      <c r="AK293" s="30"/>
      <c r="AL293" s="30"/>
      <c r="AM293" s="30"/>
      <c r="AN293" s="34"/>
      <c r="AO293" s="34"/>
      <c r="AP293" s="34"/>
      <c r="AQ293" s="34"/>
      <c r="AR293" s="34"/>
      <c r="AS293" s="34"/>
      <c r="AT293" s="34" t="s">
        <v>156</v>
      </c>
      <c r="AU293" s="34" t="s">
        <v>156</v>
      </c>
      <c r="AV293" s="34" t="s">
        <v>156</v>
      </c>
      <c r="AW293" s="34" t="s">
        <v>156</v>
      </c>
      <c r="AX293" s="34" t="s">
        <v>156</v>
      </c>
      <c r="AY293" s="34" t="s">
        <v>156</v>
      </c>
      <c r="AZ293" s="34" t="s">
        <v>156</v>
      </c>
      <c r="BA293" s="34" t="s">
        <v>156</v>
      </c>
      <c r="BB293" s="34" t="s">
        <v>156</v>
      </c>
      <c r="BC293" s="34" t="s">
        <v>156</v>
      </c>
      <c r="BD293" s="34" t="s">
        <v>156</v>
      </c>
      <c r="BE293" s="34" t="s">
        <v>156</v>
      </c>
      <c r="BF293" s="34" t="s">
        <v>156</v>
      </c>
      <c r="BG293" s="34" t="s">
        <v>156</v>
      </c>
      <c r="BH293" s="34" t="s">
        <v>156</v>
      </c>
      <c r="BI293" s="34" t="s">
        <v>156</v>
      </c>
      <c r="BJ293" s="34" t="s">
        <v>156</v>
      </c>
      <c r="BK293" s="34" t="s">
        <v>156</v>
      </c>
      <c r="BL293" s="34" t="s">
        <v>156</v>
      </c>
      <c r="BM293" s="34" t="s">
        <v>156</v>
      </c>
      <c r="BN293" s="34" t="s">
        <v>156</v>
      </c>
      <c r="BO293" s="34" t="s">
        <v>156</v>
      </c>
      <c r="BP293" s="34" t="s">
        <v>156</v>
      </c>
      <c r="BQ293" s="34" t="s">
        <v>156</v>
      </c>
      <c r="BR293" s="35"/>
      <c r="BS293" s="20" t="s">
        <v>157</v>
      </c>
    </row>
    <row r="294" ht="16.5" spans="1:71">
      <c r="A294" s="21" t="s">
        <v>161</v>
      </c>
      <c r="B294" s="21"/>
      <c r="C294" s="45"/>
      <c r="D294" s="42" t="s">
        <v>229</v>
      </c>
      <c r="E294" s="55">
        <v>31</v>
      </c>
      <c r="F294" s="24">
        <v>44.99</v>
      </c>
      <c r="G294" s="25">
        <f t="shared" si="318"/>
        <v>44.99</v>
      </c>
      <c r="H294" s="25">
        <f t="shared" si="319"/>
        <v>37.4916666666667</v>
      </c>
      <c r="I294" s="25">
        <f t="shared" si="320"/>
        <v>8.34791445427729</v>
      </c>
      <c r="J294" s="26">
        <f t="shared" si="321"/>
        <v>0.269287563041203</v>
      </c>
      <c r="K294" s="27">
        <f t="shared" si="322"/>
        <v>37.4916666666667</v>
      </c>
      <c r="L294" s="28">
        <f t="shared" si="323"/>
        <v>0.173149588797511</v>
      </c>
      <c r="M294" s="25">
        <f t="shared" si="324"/>
        <v>6.49166666666667</v>
      </c>
      <c r="N294" s="27">
        <f t="shared" si="337"/>
        <v>87.646017699115</v>
      </c>
      <c r="O294" s="27">
        <f t="shared" si="325"/>
        <v>0.558333333333333</v>
      </c>
      <c r="P294" s="21">
        <v>30</v>
      </c>
      <c r="Q294" s="29">
        <v>8</v>
      </c>
      <c r="R294" s="30">
        <f t="shared" si="326"/>
        <v>0.161290322580645</v>
      </c>
      <c r="S294" s="26">
        <f t="shared" si="327"/>
        <v>0.111135807957324</v>
      </c>
      <c r="T294" s="30">
        <f t="shared" si="328"/>
        <v>0</v>
      </c>
      <c r="U294" s="30">
        <v>0.01</v>
      </c>
      <c r="V294" s="30">
        <f t="shared" si="329"/>
        <v>0.35341136168998</v>
      </c>
      <c r="W294" s="30">
        <f t="shared" si="330"/>
        <v>0.018010752688172</v>
      </c>
      <c r="X294" s="31">
        <v>0.188</v>
      </c>
      <c r="Y294" s="32">
        <v>5</v>
      </c>
      <c r="Z294" s="32">
        <f t="shared" ref="Z294:Z297" si="339">F294*0</f>
        <v>0</v>
      </c>
      <c r="AA294" s="32">
        <f t="shared" si="331"/>
        <v>0.31</v>
      </c>
      <c r="AB294" s="27">
        <f t="shared" si="332"/>
        <v>5.828</v>
      </c>
      <c r="AC294" s="27">
        <v>90</v>
      </c>
      <c r="AD294" s="33">
        <f t="shared" si="333"/>
        <v>79.646017699115</v>
      </c>
      <c r="AE294" s="29">
        <f t="shared" si="338"/>
        <v>1</v>
      </c>
      <c r="AF294" s="30">
        <f t="shared" si="334"/>
        <v>0.321153297173851</v>
      </c>
      <c r="AG294" s="30">
        <f t="shared" si="335"/>
        <v>0.00403225806451613</v>
      </c>
      <c r="AH294" s="29">
        <v>8</v>
      </c>
      <c r="AI294" s="30">
        <f t="shared" si="336"/>
        <v>0.328597466103579</v>
      </c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 t="s">
        <v>156</v>
      </c>
      <c r="AU294" s="34" t="s">
        <v>156</v>
      </c>
      <c r="AV294" s="34" t="s">
        <v>156</v>
      </c>
      <c r="AW294" s="34" t="s">
        <v>156</v>
      </c>
      <c r="AX294" s="34" t="s">
        <v>156</v>
      </c>
      <c r="AY294" s="34" t="s">
        <v>156</v>
      </c>
      <c r="AZ294" s="34" t="s">
        <v>156</v>
      </c>
      <c r="BA294" s="34" t="s">
        <v>156</v>
      </c>
      <c r="BB294" s="34" t="s">
        <v>156</v>
      </c>
      <c r="BC294" s="34" t="s">
        <v>156</v>
      </c>
      <c r="BD294" s="34" t="s">
        <v>156</v>
      </c>
      <c r="BE294" s="34" t="s">
        <v>156</v>
      </c>
      <c r="BF294" s="34" t="s">
        <v>156</v>
      </c>
      <c r="BG294" s="34" t="s">
        <v>156</v>
      </c>
      <c r="BH294" s="34" t="s">
        <v>156</v>
      </c>
      <c r="BI294" s="34" t="s">
        <v>156</v>
      </c>
      <c r="BJ294" s="34" t="s">
        <v>156</v>
      </c>
      <c r="BK294" s="34" t="s">
        <v>156</v>
      </c>
      <c r="BL294" s="34" t="s">
        <v>156</v>
      </c>
      <c r="BM294" s="34" t="s">
        <v>156</v>
      </c>
      <c r="BN294" s="34" t="s">
        <v>156</v>
      </c>
      <c r="BO294" s="34" t="s">
        <v>156</v>
      </c>
      <c r="BP294" s="34" t="s">
        <v>156</v>
      </c>
      <c r="BQ294" s="34" t="s">
        <v>156</v>
      </c>
      <c r="BR294" s="44" t="e">
        <f>IF(E294&lt;#REF!,1,0)</f>
        <v>#REF!</v>
      </c>
      <c r="BS294" s="20" t="s">
        <v>157</v>
      </c>
    </row>
    <row r="295" ht="16.5" spans="1:71">
      <c r="A295" s="21" t="s">
        <v>163</v>
      </c>
      <c r="B295" s="21"/>
      <c r="C295" s="45"/>
      <c r="D295" s="42" t="s">
        <v>230</v>
      </c>
      <c r="E295" s="55">
        <v>34.5</v>
      </c>
      <c r="F295" s="24">
        <v>49.99</v>
      </c>
      <c r="G295" s="25">
        <f t="shared" si="318"/>
        <v>49.99</v>
      </c>
      <c r="H295" s="25">
        <f t="shared" si="319"/>
        <v>41.6583333333333</v>
      </c>
      <c r="I295" s="25">
        <f t="shared" si="320"/>
        <v>11.2449144542773</v>
      </c>
      <c r="J295" s="26">
        <f t="shared" si="321"/>
        <v>0.325939549399342</v>
      </c>
      <c r="K295" s="27">
        <f t="shared" si="322"/>
        <v>41.6583333333333</v>
      </c>
      <c r="L295" s="28">
        <f t="shared" si="323"/>
        <v>0.171834366873375</v>
      </c>
      <c r="M295" s="25">
        <f t="shared" si="324"/>
        <v>7.15833333333334</v>
      </c>
      <c r="N295" s="27">
        <f t="shared" si="337"/>
        <v>87.646017699115</v>
      </c>
      <c r="O295" s="27">
        <f t="shared" si="325"/>
        <v>0.468333333333333</v>
      </c>
      <c r="P295" s="21">
        <v>30</v>
      </c>
      <c r="Q295" s="29">
        <v>8</v>
      </c>
      <c r="R295" s="30">
        <f t="shared" si="326"/>
        <v>0.144927536231884</v>
      </c>
      <c r="S295" s="26">
        <f t="shared" si="327"/>
        <v>0.1000200040008</v>
      </c>
      <c r="T295" s="30">
        <f t="shared" si="328"/>
        <v>0</v>
      </c>
      <c r="U295" s="30">
        <v>0.01</v>
      </c>
      <c r="V295" s="30">
        <f t="shared" si="329"/>
        <v>0.317558035141721</v>
      </c>
      <c r="W295" s="30">
        <f t="shared" si="330"/>
        <v>0.0135748792270531</v>
      </c>
      <c r="X295" s="31">
        <v>0.188</v>
      </c>
      <c r="Y295" s="32">
        <v>5</v>
      </c>
      <c r="Z295" s="32">
        <f t="shared" si="339"/>
        <v>0</v>
      </c>
      <c r="AA295" s="32">
        <f t="shared" si="331"/>
        <v>0.345</v>
      </c>
      <c r="AB295" s="27">
        <f t="shared" si="332"/>
        <v>6.486</v>
      </c>
      <c r="AC295" s="27">
        <v>90</v>
      </c>
      <c r="AD295" s="33">
        <f t="shared" si="333"/>
        <v>79.646017699115</v>
      </c>
      <c r="AE295" s="29">
        <f t="shared" si="338"/>
        <v>1</v>
      </c>
      <c r="AF295" s="30">
        <f t="shared" si="334"/>
        <v>0.288572527895344</v>
      </c>
      <c r="AG295" s="30">
        <f t="shared" si="335"/>
        <v>0.0036231884057971</v>
      </c>
      <c r="AH295" s="29">
        <v>8</v>
      </c>
      <c r="AI295" s="30">
        <f t="shared" si="336"/>
        <v>0.32752950590118</v>
      </c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 t="s">
        <v>156</v>
      </c>
      <c r="AU295" s="34" t="s">
        <v>156</v>
      </c>
      <c r="AV295" s="34" t="s">
        <v>156</v>
      </c>
      <c r="AW295" s="34" t="s">
        <v>156</v>
      </c>
      <c r="AX295" s="34" t="s">
        <v>156</v>
      </c>
      <c r="AY295" s="34" t="s">
        <v>156</v>
      </c>
      <c r="AZ295" s="34" t="s">
        <v>156</v>
      </c>
      <c r="BA295" s="34" t="s">
        <v>156</v>
      </c>
      <c r="BB295" s="34" t="s">
        <v>156</v>
      </c>
      <c r="BC295" s="34" t="s">
        <v>156</v>
      </c>
      <c r="BD295" s="34" t="s">
        <v>156</v>
      </c>
      <c r="BE295" s="34" t="s">
        <v>156</v>
      </c>
      <c r="BF295" s="34" t="s">
        <v>156</v>
      </c>
      <c r="BG295" s="34" t="s">
        <v>156</v>
      </c>
      <c r="BH295" s="34" t="s">
        <v>156</v>
      </c>
      <c r="BI295" s="34" t="s">
        <v>156</v>
      </c>
      <c r="BJ295" s="34" t="s">
        <v>156</v>
      </c>
      <c r="BK295" s="34" t="s">
        <v>156</v>
      </c>
      <c r="BL295" s="34" t="s">
        <v>156</v>
      </c>
      <c r="BM295" s="34" t="s">
        <v>156</v>
      </c>
      <c r="BN295" s="34" t="s">
        <v>156</v>
      </c>
      <c r="BO295" s="34" t="s">
        <v>156</v>
      </c>
      <c r="BP295" s="34" t="s">
        <v>156</v>
      </c>
      <c r="BQ295" s="34" t="s">
        <v>156</v>
      </c>
      <c r="BR295" s="44" t="e">
        <f>IF(E295&lt;#REF!,1,0)</f>
        <v>#REF!</v>
      </c>
      <c r="BS295" s="20" t="s">
        <v>157</v>
      </c>
    </row>
    <row r="296" ht="16.5" spans="1:71">
      <c r="A296" s="21" t="s">
        <v>165</v>
      </c>
      <c r="B296" s="21"/>
      <c r="C296" s="45"/>
      <c r="D296" s="42" t="s">
        <v>231</v>
      </c>
      <c r="E296" s="55">
        <v>34.5</v>
      </c>
      <c r="F296" s="24">
        <v>49.99</v>
      </c>
      <c r="G296" s="25">
        <f t="shared" si="318"/>
        <v>49.99</v>
      </c>
      <c r="H296" s="25">
        <f t="shared" si="319"/>
        <v>41.6583333333333</v>
      </c>
      <c r="I296" s="25">
        <f t="shared" si="320"/>
        <v>11.1049144542773</v>
      </c>
      <c r="J296" s="26">
        <f t="shared" si="321"/>
        <v>0.321881578384849</v>
      </c>
      <c r="K296" s="27">
        <f t="shared" si="322"/>
        <v>41.6583333333333</v>
      </c>
      <c r="L296" s="28">
        <f t="shared" si="323"/>
        <v>0.171834366873375</v>
      </c>
      <c r="M296" s="25">
        <f t="shared" si="324"/>
        <v>7.15833333333334</v>
      </c>
      <c r="N296" s="27">
        <f t="shared" si="337"/>
        <v>87.646017699115</v>
      </c>
      <c r="O296" s="27">
        <f t="shared" si="325"/>
        <v>0.608333333333333</v>
      </c>
      <c r="P296" s="21">
        <v>30</v>
      </c>
      <c r="Q296" s="29">
        <v>8</v>
      </c>
      <c r="R296" s="30">
        <f t="shared" si="326"/>
        <v>0.144927536231884</v>
      </c>
      <c r="S296" s="26">
        <f t="shared" si="327"/>
        <v>0.1000200040008</v>
      </c>
      <c r="T296" s="30">
        <f t="shared" si="328"/>
        <v>0</v>
      </c>
      <c r="U296" s="30">
        <v>0.01</v>
      </c>
      <c r="V296" s="30">
        <f t="shared" si="329"/>
        <v>0.317558035141721</v>
      </c>
      <c r="W296" s="30">
        <f t="shared" si="330"/>
        <v>0.0176328502415459</v>
      </c>
      <c r="X296" s="31">
        <v>0.188</v>
      </c>
      <c r="Y296" s="32">
        <v>5</v>
      </c>
      <c r="Z296" s="32">
        <f t="shared" si="339"/>
        <v>0</v>
      </c>
      <c r="AA296" s="32">
        <f t="shared" si="331"/>
        <v>0.345</v>
      </c>
      <c r="AB296" s="27">
        <f t="shared" si="332"/>
        <v>6.486</v>
      </c>
      <c r="AC296" s="27">
        <v>90</v>
      </c>
      <c r="AD296" s="33">
        <f t="shared" si="333"/>
        <v>79.646017699115</v>
      </c>
      <c r="AE296" s="29">
        <f t="shared" si="338"/>
        <v>1</v>
      </c>
      <c r="AF296" s="30">
        <f t="shared" si="334"/>
        <v>0.288572527895344</v>
      </c>
      <c r="AG296" s="30">
        <f t="shared" si="335"/>
        <v>0.0036231884057971</v>
      </c>
      <c r="AH296" s="29">
        <v>8</v>
      </c>
      <c r="AI296" s="30">
        <f t="shared" si="336"/>
        <v>0.32752950590118</v>
      </c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 t="s">
        <v>156</v>
      </c>
      <c r="AU296" s="34" t="s">
        <v>156</v>
      </c>
      <c r="AV296" s="34" t="s">
        <v>156</v>
      </c>
      <c r="AW296" s="34" t="s">
        <v>156</v>
      </c>
      <c r="AX296" s="34" t="s">
        <v>156</v>
      </c>
      <c r="AY296" s="34" t="s">
        <v>156</v>
      </c>
      <c r="AZ296" s="34" t="s">
        <v>156</v>
      </c>
      <c r="BA296" s="34" t="s">
        <v>156</v>
      </c>
      <c r="BB296" s="34" t="s">
        <v>156</v>
      </c>
      <c r="BC296" s="34" t="s">
        <v>156</v>
      </c>
      <c r="BD296" s="34" t="s">
        <v>156</v>
      </c>
      <c r="BE296" s="34" t="s">
        <v>156</v>
      </c>
      <c r="BF296" s="34" t="s">
        <v>156</v>
      </c>
      <c r="BG296" s="34" t="s">
        <v>156</v>
      </c>
      <c r="BH296" s="34" t="s">
        <v>156</v>
      </c>
      <c r="BI296" s="34" t="s">
        <v>156</v>
      </c>
      <c r="BJ296" s="34" t="s">
        <v>156</v>
      </c>
      <c r="BK296" s="34" t="s">
        <v>156</v>
      </c>
      <c r="BL296" s="34" t="s">
        <v>156</v>
      </c>
      <c r="BM296" s="34" t="s">
        <v>156</v>
      </c>
      <c r="BN296" s="34" t="s">
        <v>156</v>
      </c>
      <c r="BO296" s="34" t="s">
        <v>156</v>
      </c>
      <c r="BP296" s="34" t="s">
        <v>156</v>
      </c>
      <c r="BQ296" s="34" t="s">
        <v>156</v>
      </c>
      <c r="BR296" s="44" t="e">
        <f>IF(E296&lt;#REF!,1,0)</f>
        <v>#REF!</v>
      </c>
      <c r="BS296" s="20" t="s">
        <v>157</v>
      </c>
    </row>
    <row r="297" ht="16.5" spans="1:71">
      <c r="A297" s="21" t="s">
        <v>167</v>
      </c>
      <c r="B297" s="21"/>
      <c r="C297" s="45"/>
      <c r="D297" s="42" t="s">
        <v>232</v>
      </c>
      <c r="E297" s="55">
        <v>31</v>
      </c>
      <c r="F297" s="24">
        <v>44.99</v>
      </c>
      <c r="G297" s="25">
        <f t="shared" si="318"/>
        <v>44.99</v>
      </c>
      <c r="H297" s="25">
        <f t="shared" si="319"/>
        <v>37.4916666666667</v>
      </c>
      <c r="I297" s="25">
        <f t="shared" si="320"/>
        <v>8.19374778761062</v>
      </c>
      <c r="J297" s="26">
        <f t="shared" si="321"/>
        <v>0.264314444761633</v>
      </c>
      <c r="K297" s="27">
        <f t="shared" si="322"/>
        <v>37.4916666666667</v>
      </c>
      <c r="L297" s="28">
        <f t="shared" si="323"/>
        <v>0.173149588797511</v>
      </c>
      <c r="M297" s="25">
        <f t="shared" si="324"/>
        <v>6.49166666666667</v>
      </c>
      <c r="N297" s="27">
        <f t="shared" si="337"/>
        <v>87.646017699115</v>
      </c>
      <c r="O297" s="27">
        <f t="shared" si="325"/>
        <v>0.7125</v>
      </c>
      <c r="P297" s="21">
        <v>20</v>
      </c>
      <c r="Q297" s="29">
        <v>8</v>
      </c>
      <c r="R297" s="30">
        <f t="shared" si="326"/>
        <v>0.161290322580645</v>
      </c>
      <c r="S297" s="26">
        <f t="shared" si="327"/>
        <v>0.111135807957324</v>
      </c>
      <c r="T297" s="30">
        <f t="shared" si="328"/>
        <v>0</v>
      </c>
      <c r="U297" s="30">
        <v>0.01</v>
      </c>
      <c r="V297" s="30">
        <f t="shared" si="329"/>
        <v>0.35341136168998</v>
      </c>
      <c r="W297" s="30">
        <f t="shared" si="330"/>
        <v>0.0229838709677419</v>
      </c>
      <c r="X297" s="31">
        <v>0.188</v>
      </c>
      <c r="Y297" s="32">
        <v>5</v>
      </c>
      <c r="Z297" s="32">
        <f t="shared" si="339"/>
        <v>0</v>
      </c>
      <c r="AA297" s="32">
        <f t="shared" si="331"/>
        <v>0.31</v>
      </c>
      <c r="AB297" s="27">
        <f t="shared" si="332"/>
        <v>5.828</v>
      </c>
      <c r="AC297" s="27">
        <v>90</v>
      </c>
      <c r="AD297" s="33">
        <f t="shared" si="333"/>
        <v>79.646017699115</v>
      </c>
      <c r="AE297" s="29">
        <f t="shared" si="338"/>
        <v>1</v>
      </c>
      <c r="AF297" s="30">
        <f t="shared" si="334"/>
        <v>0.321153297173851</v>
      </c>
      <c r="AG297" s="30">
        <f t="shared" si="335"/>
        <v>0.00403225806451613</v>
      </c>
      <c r="AH297" s="29">
        <v>8</v>
      </c>
      <c r="AI297" s="30">
        <f t="shared" si="336"/>
        <v>0.328597466103579</v>
      </c>
      <c r="AJ297" s="30"/>
      <c r="AK297" s="30"/>
      <c r="AL297" s="30"/>
      <c r="AM297" s="30"/>
      <c r="AN297" s="34"/>
      <c r="AO297" s="34"/>
      <c r="AP297" s="34"/>
      <c r="AQ297" s="34"/>
      <c r="AR297" s="34"/>
      <c r="AS297" s="34"/>
      <c r="AT297" s="34" t="s">
        <v>156</v>
      </c>
      <c r="AU297" s="34" t="s">
        <v>156</v>
      </c>
      <c r="AV297" s="34" t="s">
        <v>156</v>
      </c>
      <c r="AW297" s="34" t="s">
        <v>156</v>
      </c>
      <c r="AX297" s="34" t="s">
        <v>156</v>
      </c>
      <c r="AY297" s="34" t="s">
        <v>156</v>
      </c>
      <c r="AZ297" s="34" t="s">
        <v>156</v>
      </c>
      <c r="BA297" s="34" t="s">
        <v>156</v>
      </c>
      <c r="BB297" s="34" t="s">
        <v>156</v>
      </c>
      <c r="BC297" s="34" t="s">
        <v>156</v>
      </c>
      <c r="BD297" s="34" t="s">
        <v>156</v>
      </c>
      <c r="BE297" s="34" t="s">
        <v>156</v>
      </c>
      <c r="BF297" s="34" t="s">
        <v>156</v>
      </c>
      <c r="BG297" s="34" t="s">
        <v>156</v>
      </c>
      <c r="BH297" s="34" t="s">
        <v>156</v>
      </c>
      <c r="BI297" s="34" t="s">
        <v>156</v>
      </c>
      <c r="BJ297" s="34" t="s">
        <v>156</v>
      </c>
      <c r="BK297" s="34" t="s">
        <v>156</v>
      </c>
      <c r="BL297" s="34" t="s">
        <v>156</v>
      </c>
      <c r="BM297" s="34" t="s">
        <v>156</v>
      </c>
      <c r="BN297" s="34" t="s">
        <v>156</v>
      </c>
      <c r="BO297" s="34" t="s">
        <v>156</v>
      </c>
      <c r="BP297" s="34" t="s">
        <v>156</v>
      </c>
      <c r="BQ297" s="34" t="s">
        <v>156</v>
      </c>
      <c r="BR297" s="44" t="e">
        <f>IF(E297&lt;#REF!,1,0)</f>
        <v>#REF!</v>
      </c>
      <c r="BS297" s="20" t="s">
        <v>157</v>
      </c>
    </row>
    <row r="298" spans="1:71">
      <c r="G298" s="48"/>
      <c r="H298" s="48"/>
      <c r="S298" s="48"/>
      <c r="AE298" s="49"/>
      <c r="AI298" s="48"/>
    </row>
    <row r="299" ht="16.5" hidden="1" spans="1:71">
      <c r="A299" s="20" t="s">
        <v>50</v>
      </c>
      <c r="B299" s="21"/>
      <c r="C299" s="51"/>
      <c r="D299" s="60" t="s">
        <v>233</v>
      </c>
      <c r="E299" s="55">
        <v>20.6</v>
      </c>
      <c r="F299" s="38">
        <v>29.99</v>
      </c>
      <c r="G299" s="25">
        <f t="shared" ref="G299:G317" si="340">(F299-Z299)</f>
        <v>29.99</v>
      </c>
      <c r="H299" s="25">
        <f t="shared" ref="H299:H317" si="341">(F299-Z299)/1.2</f>
        <v>24.9916666666667</v>
      </c>
      <c r="I299" s="25">
        <f t="shared" ref="I299:I317" si="342">E299-N299/Q299-AB299-Y299-O299-Z299-AA299</f>
        <v>4.84268303834808</v>
      </c>
      <c r="J299" s="26">
        <f t="shared" ref="J299:J317" si="343">I299/E299</f>
        <v>0.235081700890684</v>
      </c>
      <c r="K299" s="27">
        <f t="shared" ref="K299:K317" si="344">F299/1.2</f>
        <v>24.9916666666667</v>
      </c>
      <c r="L299" s="28">
        <f t="shared" ref="L299:L317" si="345">(K299-E299)/K299</f>
        <v>0.175725241747249</v>
      </c>
      <c r="M299" s="25">
        <f t="shared" ref="M299:M317" si="346">F299/1.2-E299</f>
        <v>4.39166666666667</v>
      </c>
      <c r="N299" s="27">
        <f>AD299+AH300</f>
        <v>68.9469026548673</v>
      </c>
      <c r="O299" s="27">
        <f t="shared" ref="O299:O317" si="347">IFERROR(IF(A299="UK",8.95/P299,IF(A299="DE",7.75/P299,IF(A299="FR",14.25/P299,IF(A299="IT",15.25/P299,IF(A299="ES",19.25/P299,IF(A299="NL",16.75/P299,IF(A299="PL",14.05/P299,IF(A299="SE",18.25/P299,IF(A299="BE",14.25/P299))))))))),0)</f>
        <v>0.22375</v>
      </c>
      <c r="P299" s="20">
        <v>40</v>
      </c>
      <c r="Q299" s="29">
        <v>9</v>
      </c>
      <c r="R299" s="30">
        <f t="shared" ref="R299:R317" si="348">Y299/E299</f>
        <v>0.194174757281553</v>
      </c>
      <c r="S299" s="26">
        <f t="shared" ref="S299:S317" si="349">Y299/F299</f>
        <v>0.133377792597533</v>
      </c>
      <c r="T299" s="30">
        <f t="shared" ref="T299:T317" si="350">Z299/E299</f>
        <v>0</v>
      </c>
      <c r="U299" s="30">
        <v>0.01</v>
      </c>
      <c r="V299" s="30">
        <f t="shared" ref="V299:V317" si="351">N299/(E299*Q299)</f>
        <v>0.371881891342326</v>
      </c>
      <c r="W299" s="30">
        <f t="shared" ref="W299:W317" si="352">O299/E299</f>
        <v>0.0108616504854369</v>
      </c>
      <c r="X299" s="31">
        <v>0.178</v>
      </c>
      <c r="Y299" s="32">
        <v>4</v>
      </c>
      <c r="Z299" s="32">
        <v>0</v>
      </c>
      <c r="AA299" s="32">
        <f t="shared" ref="AA299:AA317" si="353">E299*U299</f>
        <v>0.206</v>
      </c>
      <c r="AB299" s="27">
        <f t="shared" ref="AB299:AB317" si="354">E299*X299</f>
        <v>3.6668</v>
      </c>
      <c r="AC299" s="27">
        <v>70</v>
      </c>
      <c r="AD299" s="33">
        <f t="shared" ref="AD299:AD317" si="355">AC299/1.13</f>
        <v>61.9469026548673</v>
      </c>
      <c r="AE299" s="29">
        <f>AH300/Q299</f>
        <v>0.777777777777778</v>
      </c>
      <c r="AF299" s="30">
        <f t="shared" ref="AF299:AF317" si="356">AD299/(E299*Q299)</f>
        <v>0.33412568853758</v>
      </c>
      <c r="AG299" s="30">
        <f t="shared" ref="AG299:AG317" si="357">AE299/Q299/E299</f>
        <v>0.00419513364497183</v>
      </c>
      <c r="AH299" s="29">
        <v>7</v>
      </c>
      <c r="AI299" s="30">
        <f t="shared" ref="AI299:AI317" si="358">(H299-E299+AB299)/H299</f>
        <v>0.322446148716239</v>
      </c>
      <c r="AJ299" s="30"/>
      <c r="AK299" s="30"/>
      <c r="AL299" s="30"/>
      <c r="AM299" s="30"/>
      <c r="AN299" s="34"/>
      <c r="AO299" s="34"/>
      <c r="AP299" s="34"/>
      <c r="AQ299" s="34"/>
      <c r="AR299" s="34"/>
      <c r="AS299" s="34"/>
      <c r="AT299" s="34" t="s">
        <v>156</v>
      </c>
      <c r="AU299" s="34" t="s">
        <v>156</v>
      </c>
      <c r="AV299" s="34" t="s">
        <v>156</v>
      </c>
      <c r="AW299" s="34" t="s">
        <v>156</v>
      </c>
      <c r="AX299" s="34" t="s">
        <v>156</v>
      </c>
      <c r="AY299" s="34" t="s">
        <v>156</v>
      </c>
      <c r="AZ299" s="34" t="s">
        <v>156</v>
      </c>
      <c r="BA299" s="34" t="s">
        <v>156</v>
      </c>
      <c r="BB299" s="34" t="s">
        <v>156</v>
      </c>
      <c r="BC299" s="34" t="s">
        <v>156</v>
      </c>
      <c r="BD299" s="34" t="s">
        <v>156</v>
      </c>
      <c r="BE299" s="34" t="s">
        <v>156</v>
      </c>
      <c r="BF299" s="34" t="s">
        <v>156</v>
      </c>
      <c r="BG299" s="34" t="s">
        <v>156</v>
      </c>
      <c r="BH299" s="34" t="s">
        <v>156</v>
      </c>
      <c r="BI299" s="34" t="s">
        <v>156</v>
      </c>
      <c r="BJ299" s="34" t="s">
        <v>156</v>
      </c>
      <c r="BK299" s="34" t="s">
        <v>156</v>
      </c>
      <c r="BL299" s="34" t="s">
        <v>156</v>
      </c>
      <c r="BM299" s="34" t="s">
        <v>156</v>
      </c>
      <c r="BN299" s="34" t="s">
        <v>156</v>
      </c>
      <c r="BO299" s="34" t="s">
        <v>156</v>
      </c>
      <c r="BP299" s="34" t="s">
        <v>156</v>
      </c>
      <c r="BQ299" s="34" t="s">
        <v>156</v>
      </c>
      <c r="BR299" s="35"/>
      <c r="BS299" s="20" t="s">
        <v>157</v>
      </c>
    </row>
    <row r="300" ht="16.5" hidden="1" spans="1:71">
      <c r="A300" s="20" t="s">
        <v>50</v>
      </c>
      <c r="B300" s="21"/>
      <c r="C300" s="45"/>
      <c r="D300" s="60" t="s">
        <v>234</v>
      </c>
      <c r="E300" s="55">
        <v>20.6</v>
      </c>
      <c r="F300" s="24">
        <v>29.99</v>
      </c>
      <c r="G300" s="25">
        <f t="shared" si="340"/>
        <v>26.991</v>
      </c>
      <c r="H300" s="25">
        <f t="shared" si="341"/>
        <v>22.4925</v>
      </c>
      <c r="I300" s="36">
        <f t="shared" si="342"/>
        <v>1.84368303834808</v>
      </c>
      <c r="J300" s="26">
        <f t="shared" si="343"/>
        <v>0.0894991766188389</v>
      </c>
      <c r="K300" s="27">
        <f t="shared" si="344"/>
        <v>24.9916666666667</v>
      </c>
      <c r="L300" s="28">
        <f t="shared" si="345"/>
        <v>0.175725241747249</v>
      </c>
      <c r="M300" s="25">
        <f t="shared" si="346"/>
        <v>4.39166666666667</v>
      </c>
      <c r="N300" s="27">
        <f t="shared" ref="N300:N317" si="359">AD300+AH300</f>
        <v>68.9469026548673</v>
      </c>
      <c r="O300" s="27">
        <f t="shared" si="347"/>
        <v>0.22375</v>
      </c>
      <c r="P300" s="21">
        <v>40</v>
      </c>
      <c r="Q300" s="29">
        <v>9</v>
      </c>
      <c r="R300" s="30">
        <f t="shared" si="348"/>
        <v>0.194174757281553</v>
      </c>
      <c r="S300" s="26">
        <f t="shared" si="349"/>
        <v>0.133377792597533</v>
      </c>
      <c r="T300" s="30">
        <f t="shared" si="350"/>
        <v>0.145582524271845</v>
      </c>
      <c r="U300" s="30">
        <v>0.01</v>
      </c>
      <c r="V300" s="30">
        <f t="shared" si="351"/>
        <v>0.371881891342326</v>
      </c>
      <c r="W300" s="30">
        <f t="shared" si="352"/>
        <v>0.0108616504854369</v>
      </c>
      <c r="X300" s="31">
        <v>0.178</v>
      </c>
      <c r="Y300" s="32">
        <v>4</v>
      </c>
      <c r="Z300" s="32">
        <f>F300*0.1</f>
        <v>2.999</v>
      </c>
      <c r="AA300" s="32">
        <f t="shared" si="353"/>
        <v>0.206</v>
      </c>
      <c r="AB300" s="27">
        <f t="shared" si="354"/>
        <v>3.6668</v>
      </c>
      <c r="AC300" s="27">
        <v>70</v>
      </c>
      <c r="AD300" s="33">
        <f t="shared" si="355"/>
        <v>61.9469026548673</v>
      </c>
      <c r="AE300" s="29">
        <f t="shared" ref="AE300:AE317" si="360">AH300/Q300</f>
        <v>0.777777777777778</v>
      </c>
      <c r="AF300" s="30">
        <f t="shared" si="356"/>
        <v>0.33412568853758</v>
      </c>
      <c r="AG300" s="30">
        <f t="shared" si="357"/>
        <v>0.00419513364497183</v>
      </c>
      <c r="AH300" s="29">
        <v>7</v>
      </c>
      <c r="AI300" s="30">
        <f t="shared" si="358"/>
        <v>0.247162387462487</v>
      </c>
      <c r="AJ300" s="30"/>
      <c r="AK300" s="30"/>
      <c r="AL300" s="30"/>
      <c r="AM300" s="30"/>
      <c r="AN300" s="34"/>
      <c r="AO300" s="34"/>
      <c r="AP300" s="34"/>
      <c r="AQ300" s="34"/>
      <c r="AR300" s="34"/>
      <c r="AS300" s="34"/>
      <c r="AT300" s="34" t="s">
        <v>156</v>
      </c>
      <c r="AU300" s="34" t="s">
        <v>156</v>
      </c>
      <c r="AV300" s="34" t="s">
        <v>156</v>
      </c>
      <c r="AW300" s="34" t="s">
        <v>156</v>
      </c>
      <c r="AX300" s="34" t="s">
        <v>156</v>
      </c>
      <c r="AY300" s="34" t="s">
        <v>156</v>
      </c>
      <c r="AZ300" s="34" t="s">
        <v>156</v>
      </c>
      <c r="BA300" s="34" t="s">
        <v>156</v>
      </c>
      <c r="BB300" s="34" t="s">
        <v>156</v>
      </c>
      <c r="BC300" s="34" t="s">
        <v>156</v>
      </c>
      <c r="BD300" s="34" t="s">
        <v>156</v>
      </c>
      <c r="BE300" s="34" t="s">
        <v>156</v>
      </c>
      <c r="BF300" s="34" t="s">
        <v>156</v>
      </c>
      <c r="BG300" s="34" t="s">
        <v>156</v>
      </c>
      <c r="BH300" s="34" t="s">
        <v>156</v>
      </c>
      <c r="BI300" s="34" t="s">
        <v>156</v>
      </c>
      <c r="BJ300" s="34" t="s">
        <v>156</v>
      </c>
      <c r="BK300" s="34" t="s">
        <v>156</v>
      </c>
      <c r="BL300" s="34" t="s">
        <v>156</v>
      </c>
      <c r="BM300" s="34" t="s">
        <v>156</v>
      </c>
      <c r="BN300" s="34" t="s">
        <v>156</v>
      </c>
      <c r="BO300" s="34" t="s">
        <v>156</v>
      </c>
      <c r="BP300" s="34" t="s">
        <v>156</v>
      </c>
      <c r="BQ300" s="34" t="s">
        <v>156</v>
      </c>
      <c r="BR300" s="35"/>
      <c r="BS300" s="20" t="s">
        <v>157</v>
      </c>
    </row>
    <row r="301" ht="16.5" hidden="1" spans="1:71">
      <c r="A301" s="20" t="s">
        <v>50</v>
      </c>
      <c r="B301" s="21"/>
      <c r="C301" s="45"/>
      <c r="D301" s="60" t="s">
        <v>235</v>
      </c>
      <c r="E301" s="55">
        <v>20.6</v>
      </c>
      <c r="F301" s="24">
        <v>29.99</v>
      </c>
      <c r="G301" s="25">
        <f t="shared" si="340"/>
        <v>25.4915</v>
      </c>
      <c r="H301" s="25">
        <f t="shared" si="341"/>
        <v>21.2429166666667</v>
      </c>
      <c r="I301" s="25">
        <f t="shared" si="342"/>
        <v>0.344183038348082</v>
      </c>
      <c r="J301" s="26">
        <f t="shared" si="343"/>
        <v>0.0167079144829166</v>
      </c>
      <c r="K301" s="27">
        <f t="shared" si="344"/>
        <v>24.9916666666667</v>
      </c>
      <c r="L301" s="28">
        <f t="shared" si="345"/>
        <v>0.175725241747249</v>
      </c>
      <c r="M301" s="25">
        <f t="shared" si="346"/>
        <v>4.39166666666667</v>
      </c>
      <c r="N301" s="27">
        <f t="shared" si="359"/>
        <v>68.9469026548673</v>
      </c>
      <c r="O301" s="27">
        <f t="shared" si="347"/>
        <v>0.22375</v>
      </c>
      <c r="P301" s="21">
        <v>40</v>
      </c>
      <c r="Q301" s="29">
        <v>9</v>
      </c>
      <c r="R301" s="30">
        <f t="shared" si="348"/>
        <v>0.194174757281553</v>
      </c>
      <c r="S301" s="26">
        <f t="shared" si="349"/>
        <v>0.133377792597533</v>
      </c>
      <c r="T301" s="30">
        <f t="shared" si="350"/>
        <v>0.218373786407767</v>
      </c>
      <c r="U301" s="30">
        <v>0.01</v>
      </c>
      <c r="V301" s="30">
        <f t="shared" si="351"/>
        <v>0.371881891342326</v>
      </c>
      <c r="W301" s="30">
        <f t="shared" si="352"/>
        <v>0.0108616504854369</v>
      </c>
      <c r="X301" s="31">
        <v>0.178</v>
      </c>
      <c r="Y301" s="32">
        <v>4</v>
      </c>
      <c r="Z301" s="32">
        <f>F301*0.15</f>
        <v>4.4985</v>
      </c>
      <c r="AA301" s="32">
        <f t="shared" si="353"/>
        <v>0.206</v>
      </c>
      <c r="AB301" s="27">
        <f t="shared" si="354"/>
        <v>3.6668</v>
      </c>
      <c r="AC301" s="27">
        <v>70</v>
      </c>
      <c r="AD301" s="33">
        <f t="shared" si="355"/>
        <v>61.9469026548673</v>
      </c>
      <c r="AE301" s="29">
        <f t="shared" si="360"/>
        <v>0.777777777777778</v>
      </c>
      <c r="AF301" s="30">
        <f t="shared" si="356"/>
        <v>0.33412568853758</v>
      </c>
      <c r="AG301" s="30">
        <f t="shared" si="357"/>
        <v>0.00419513364497183</v>
      </c>
      <c r="AH301" s="29">
        <v>7</v>
      </c>
      <c r="AI301" s="30">
        <f t="shared" si="358"/>
        <v>0.202877822019104</v>
      </c>
      <c r="AJ301" s="30"/>
      <c r="AK301" s="30"/>
      <c r="AL301" s="30"/>
      <c r="AM301" s="30"/>
      <c r="AN301" s="34"/>
      <c r="AO301" s="34"/>
      <c r="AP301" s="34"/>
      <c r="AQ301" s="34"/>
      <c r="AR301" s="34"/>
      <c r="AS301" s="34"/>
      <c r="AT301" s="34" t="s">
        <v>156</v>
      </c>
      <c r="AU301" s="34" t="s">
        <v>156</v>
      </c>
      <c r="AV301" s="34" t="s">
        <v>156</v>
      </c>
      <c r="AW301" s="34" t="s">
        <v>156</v>
      </c>
      <c r="AX301" s="34" t="s">
        <v>156</v>
      </c>
      <c r="AY301" s="34" t="s">
        <v>156</v>
      </c>
      <c r="AZ301" s="34" t="s">
        <v>156</v>
      </c>
      <c r="BA301" s="34" t="s">
        <v>156</v>
      </c>
      <c r="BB301" s="34" t="s">
        <v>156</v>
      </c>
      <c r="BC301" s="34" t="s">
        <v>156</v>
      </c>
      <c r="BD301" s="34" t="s">
        <v>156</v>
      </c>
      <c r="BE301" s="34" t="s">
        <v>156</v>
      </c>
      <c r="BF301" s="34" t="s">
        <v>156</v>
      </c>
      <c r="BG301" s="34" t="s">
        <v>156</v>
      </c>
      <c r="BH301" s="34" t="s">
        <v>156</v>
      </c>
      <c r="BI301" s="34" t="s">
        <v>156</v>
      </c>
      <c r="BJ301" s="34" t="s">
        <v>156</v>
      </c>
      <c r="BK301" s="34" t="s">
        <v>156</v>
      </c>
      <c r="BL301" s="34" t="s">
        <v>156</v>
      </c>
      <c r="BM301" s="34" t="s">
        <v>156</v>
      </c>
      <c r="BN301" s="34" t="s">
        <v>156</v>
      </c>
      <c r="BO301" s="34" t="s">
        <v>156</v>
      </c>
      <c r="BP301" s="34" t="s">
        <v>156</v>
      </c>
      <c r="BQ301" s="34" t="s">
        <v>156</v>
      </c>
      <c r="BR301" s="35"/>
      <c r="BS301" s="20" t="s">
        <v>157</v>
      </c>
    </row>
    <row r="302" ht="16.5" hidden="1" spans="1:71">
      <c r="A302" s="21" t="s">
        <v>37</v>
      </c>
      <c r="B302" s="21"/>
      <c r="C302" s="45"/>
      <c r="D302" s="60" t="s">
        <v>233</v>
      </c>
      <c r="E302" s="55">
        <v>24</v>
      </c>
      <c r="F302" s="38">
        <v>34.99</v>
      </c>
      <c r="G302" s="25">
        <f t="shared" si="340"/>
        <v>34.99</v>
      </c>
      <c r="H302" s="25">
        <f t="shared" si="341"/>
        <v>29.1583333333333</v>
      </c>
      <c r="I302" s="25">
        <f t="shared" si="342"/>
        <v>6.43588716814159</v>
      </c>
      <c r="J302" s="26">
        <f t="shared" si="343"/>
        <v>0.268161965339233</v>
      </c>
      <c r="K302" s="27">
        <f t="shared" si="344"/>
        <v>29.1583333333333</v>
      </c>
      <c r="L302" s="28">
        <f t="shared" si="345"/>
        <v>0.176907687910832</v>
      </c>
      <c r="M302" s="25">
        <f t="shared" si="346"/>
        <v>5.15833333333333</v>
      </c>
      <c r="N302" s="27">
        <f>AD302+AH303</f>
        <v>68.9469026548673</v>
      </c>
      <c r="O302" s="27">
        <f t="shared" si="347"/>
        <v>0.19375</v>
      </c>
      <c r="P302" s="21">
        <v>40</v>
      </c>
      <c r="Q302" s="29">
        <v>8</v>
      </c>
      <c r="R302" s="30">
        <f t="shared" si="348"/>
        <v>0.166666666666667</v>
      </c>
      <c r="S302" s="26">
        <f t="shared" si="349"/>
        <v>0.114318376679051</v>
      </c>
      <c r="T302" s="30">
        <f t="shared" si="350"/>
        <v>0</v>
      </c>
      <c r="U302" s="30">
        <v>0.01</v>
      </c>
      <c r="V302" s="30">
        <f t="shared" si="351"/>
        <v>0.359098451327434</v>
      </c>
      <c r="W302" s="30">
        <f t="shared" si="352"/>
        <v>0.00807291666666667</v>
      </c>
      <c r="X302" s="31">
        <v>0.188</v>
      </c>
      <c r="Y302" s="32">
        <v>4</v>
      </c>
      <c r="Z302" s="32">
        <v>0</v>
      </c>
      <c r="AA302" s="32">
        <f t="shared" si="353"/>
        <v>0.24</v>
      </c>
      <c r="AB302" s="27">
        <f t="shared" si="354"/>
        <v>4.512</v>
      </c>
      <c r="AC302" s="27">
        <v>70</v>
      </c>
      <c r="AD302" s="33">
        <f t="shared" si="355"/>
        <v>61.9469026548673</v>
      </c>
      <c r="AE302" s="29">
        <f>AH303/Q302</f>
        <v>0.875</v>
      </c>
      <c r="AF302" s="30">
        <f t="shared" si="356"/>
        <v>0.3226401179941</v>
      </c>
      <c r="AG302" s="30">
        <f t="shared" si="357"/>
        <v>0.00455729166666667</v>
      </c>
      <c r="AH302" s="29">
        <v>7</v>
      </c>
      <c r="AI302" s="30">
        <f t="shared" si="358"/>
        <v>0.331649042583595</v>
      </c>
      <c r="AJ302" s="30"/>
      <c r="AK302" s="30"/>
      <c r="AL302" s="30"/>
      <c r="AM302" s="30"/>
      <c r="AN302" s="34"/>
      <c r="AO302" s="34"/>
      <c r="AP302" s="34"/>
      <c r="AQ302" s="34"/>
      <c r="AR302" s="34"/>
      <c r="AS302" s="34"/>
      <c r="AT302" s="34" t="s">
        <v>156</v>
      </c>
      <c r="AU302" s="34" t="s">
        <v>156</v>
      </c>
      <c r="AV302" s="34" t="s">
        <v>156</v>
      </c>
      <c r="AW302" s="34" t="s">
        <v>156</v>
      </c>
      <c r="AX302" s="34" t="s">
        <v>156</v>
      </c>
      <c r="AY302" s="34" t="s">
        <v>156</v>
      </c>
      <c r="AZ302" s="34" t="s">
        <v>156</v>
      </c>
      <c r="BA302" s="34" t="s">
        <v>156</v>
      </c>
      <c r="BB302" s="34" t="s">
        <v>156</v>
      </c>
      <c r="BC302" s="34" t="s">
        <v>156</v>
      </c>
      <c r="BD302" s="34" t="s">
        <v>156</v>
      </c>
      <c r="BE302" s="34" t="s">
        <v>156</v>
      </c>
      <c r="BF302" s="34" t="s">
        <v>156</v>
      </c>
      <c r="BG302" s="34" t="s">
        <v>156</v>
      </c>
      <c r="BH302" s="34" t="s">
        <v>156</v>
      </c>
      <c r="BI302" s="34" t="s">
        <v>156</v>
      </c>
      <c r="BJ302" s="34" t="s">
        <v>156</v>
      </c>
      <c r="BK302" s="34" t="s">
        <v>156</v>
      </c>
      <c r="BL302" s="34" t="s">
        <v>156</v>
      </c>
      <c r="BM302" s="34" t="s">
        <v>156</v>
      </c>
      <c r="BN302" s="34" t="s">
        <v>156</v>
      </c>
      <c r="BO302" s="34" t="s">
        <v>156</v>
      </c>
      <c r="BP302" s="34" t="s">
        <v>156</v>
      </c>
      <c r="BQ302" s="34" t="s">
        <v>156</v>
      </c>
      <c r="BR302" s="35"/>
      <c r="BS302" s="20" t="s">
        <v>157</v>
      </c>
    </row>
    <row r="303" ht="16.5" hidden="1" spans="1:71">
      <c r="A303" s="21" t="s">
        <v>37</v>
      </c>
      <c r="B303" s="21"/>
      <c r="C303" s="45"/>
      <c r="D303" s="60" t="s">
        <v>234</v>
      </c>
      <c r="E303" s="55">
        <v>24</v>
      </c>
      <c r="F303" s="24">
        <v>34.99</v>
      </c>
      <c r="G303" s="25">
        <f t="shared" si="340"/>
        <v>31.491</v>
      </c>
      <c r="H303" s="25">
        <f t="shared" si="341"/>
        <v>26.2425</v>
      </c>
      <c r="I303" s="36">
        <f t="shared" si="342"/>
        <v>2.93688716814159</v>
      </c>
      <c r="J303" s="26">
        <f t="shared" si="343"/>
        <v>0.122370298672566</v>
      </c>
      <c r="K303" s="27">
        <f t="shared" si="344"/>
        <v>29.1583333333333</v>
      </c>
      <c r="L303" s="28">
        <f t="shared" si="345"/>
        <v>0.176907687910832</v>
      </c>
      <c r="M303" s="25">
        <f t="shared" si="346"/>
        <v>5.15833333333333</v>
      </c>
      <c r="N303" s="27">
        <f t="shared" si="359"/>
        <v>68.9469026548673</v>
      </c>
      <c r="O303" s="27">
        <f t="shared" si="347"/>
        <v>0.19375</v>
      </c>
      <c r="P303" s="21">
        <v>40</v>
      </c>
      <c r="Q303" s="29">
        <v>8</v>
      </c>
      <c r="R303" s="30">
        <f t="shared" si="348"/>
        <v>0.166666666666667</v>
      </c>
      <c r="S303" s="26">
        <f t="shared" si="349"/>
        <v>0.114318376679051</v>
      </c>
      <c r="T303" s="30">
        <f t="shared" si="350"/>
        <v>0.145791666666667</v>
      </c>
      <c r="U303" s="30">
        <v>0.01</v>
      </c>
      <c r="V303" s="30">
        <f t="shared" si="351"/>
        <v>0.359098451327434</v>
      </c>
      <c r="W303" s="30">
        <f t="shared" si="352"/>
        <v>0.00807291666666667</v>
      </c>
      <c r="X303" s="31">
        <v>0.188</v>
      </c>
      <c r="Y303" s="32">
        <v>4</v>
      </c>
      <c r="Z303" s="32">
        <f>F303*0.1</f>
        <v>3.499</v>
      </c>
      <c r="AA303" s="32">
        <f t="shared" si="353"/>
        <v>0.24</v>
      </c>
      <c r="AB303" s="27">
        <f t="shared" si="354"/>
        <v>4.512</v>
      </c>
      <c r="AC303" s="27">
        <v>70</v>
      </c>
      <c r="AD303" s="33">
        <f t="shared" si="355"/>
        <v>61.9469026548673</v>
      </c>
      <c r="AE303" s="29">
        <f t="shared" si="360"/>
        <v>0.875</v>
      </c>
      <c r="AF303" s="30">
        <f t="shared" si="356"/>
        <v>0.3226401179941</v>
      </c>
      <c r="AG303" s="30">
        <f t="shared" si="357"/>
        <v>0.00455729166666667</v>
      </c>
      <c r="AH303" s="29">
        <v>7</v>
      </c>
      <c r="AI303" s="30">
        <f t="shared" si="358"/>
        <v>0.257387825092884</v>
      </c>
      <c r="AJ303" s="30"/>
      <c r="AK303" s="30"/>
      <c r="AL303" s="30"/>
      <c r="AM303" s="30"/>
      <c r="AN303" s="34"/>
      <c r="AO303" s="34"/>
      <c r="AP303" s="34"/>
      <c r="AQ303" s="34"/>
      <c r="AR303" s="34"/>
      <c r="AS303" s="34"/>
      <c r="AT303" s="34" t="s">
        <v>156</v>
      </c>
      <c r="AU303" s="34" t="s">
        <v>156</v>
      </c>
      <c r="AV303" s="34" t="s">
        <v>156</v>
      </c>
      <c r="AW303" s="34" t="s">
        <v>156</v>
      </c>
      <c r="AX303" s="34" t="s">
        <v>156</v>
      </c>
      <c r="AY303" s="34" t="s">
        <v>156</v>
      </c>
      <c r="AZ303" s="34" t="s">
        <v>156</v>
      </c>
      <c r="BA303" s="34" t="s">
        <v>156</v>
      </c>
      <c r="BB303" s="34" t="s">
        <v>156</v>
      </c>
      <c r="BC303" s="34" t="s">
        <v>156</v>
      </c>
      <c r="BD303" s="34" t="s">
        <v>156</v>
      </c>
      <c r="BE303" s="34" t="s">
        <v>156</v>
      </c>
      <c r="BF303" s="34" t="s">
        <v>156</v>
      </c>
      <c r="BG303" s="34" t="s">
        <v>156</v>
      </c>
      <c r="BH303" s="34" t="s">
        <v>156</v>
      </c>
      <c r="BI303" s="34" t="s">
        <v>156</v>
      </c>
      <c r="BJ303" s="34" t="s">
        <v>156</v>
      </c>
      <c r="BK303" s="34" t="s">
        <v>156</v>
      </c>
      <c r="BL303" s="34" t="s">
        <v>156</v>
      </c>
      <c r="BM303" s="34" t="s">
        <v>156</v>
      </c>
      <c r="BN303" s="34" t="s">
        <v>156</v>
      </c>
      <c r="BO303" s="34" t="s">
        <v>156</v>
      </c>
      <c r="BP303" s="34" t="s">
        <v>156</v>
      </c>
      <c r="BQ303" s="34" t="s">
        <v>156</v>
      </c>
      <c r="BR303" s="35"/>
      <c r="BS303" s="20" t="s">
        <v>157</v>
      </c>
    </row>
    <row r="304" ht="16.5" hidden="1" spans="1:71">
      <c r="A304" s="21" t="s">
        <v>37</v>
      </c>
      <c r="B304" s="21"/>
      <c r="C304" s="45"/>
      <c r="D304" s="60" t="s">
        <v>235</v>
      </c>
      <c r="E304" s="55">
        <v>24</v>
      </c>
      <c r="F304" s="24">
        <v>34.99</v>
      </c>
      <c r="G304" s="25">
        <f t="shared" si="340"/>
        <v>29.7415</v>
      </c>
      <c r="H304" s="25">
        <f t="shared" si="341"/>
        <v>24.7845833333333</v>
      </c>
      <c r="I304" s="25">
        <f t="shared" si="342"/>
        <v>1.18738716814159</v>
      </c>
      <c r="J304" s="26">
        <f t="shared" si="343"/>
        <v>0.0494744653392329</v>
      </c>
      <c r="K304" s="27">
        <f t="shared" si="344"/>
        <v>29.1583333333333</v>
      </c>
      <c r="L304" s="28">
        <f t="shared" si="345"/>
        <v>0.176907687910832</v>
      </c>
      <c r="M304" s="25">
        <f t="shared" si="346"/>
        <v>5.15833333333333</v>
      </c>
      <c r="N304" s="27">
        <f t="shared" si="359"/>
        <v>68.9469026548673</v>
      </c>
      <c r="O304" s="27">
        <f t="shared" si="347"/>
        <v>0.19375</v>
      </c>
      <c r="P304" s="21">
        <v>40</v>
      </c>
      <c r="Q304" s="29">
        <v>8</v>
      </c>
      <c r="R304" s="30">
        <f t="shared" si="348"/>
        <v>0.166666666666667</v>
      </c>
      <c r="S304" s="26">
        <f t="shared" si="349"/>
        <v>0.114318376679051</v>
      </c>
      <c r="T304" s="30">
        <f t="shared" si="350"/>
        <v>0.2186875</v>
      </c>
      <c r="U304" s="30">
        <v>0.01</v>
      </c>
      <c r="V304" s="30">
        <f t="shared" si="351"/>
        <v>0.359098451327434</v>
      </c>
      <c r="W304" s="30">
        <f t="shared" si="352"/>
        <v>0.00807291666666667</v>
      </c>
      <c r="X304" s="31">
        <v>0.188</v>
      </c>
      <c r="Y304" s="32">
        <v>4</v>
      </c>
      <c r="Z304" s="32">
        <f>F304*0.15</f>
        <v>5.2485</v>
      </c>
      <c r="AA304" s="32">
        <f t="shared" si="353"/>
        <v>0.24</v>
      </c>
      <c r="AB304" s="27">
        <f t="shared" si="354"/>
        <v>4.512</v>
      </c>
      <c r="AC304" s="27">
        <v>70</v>
      </c>
      <c r="AD304" s="33">
        <f t="shared" si="355"/>
        <v>61.9469026548673</v>
      </c>
      <c r="AE304" s="29">
        <f t="shared" si="360"/>
        <v>0.875</v>
      </c>
      <c r="AF304" s="30">
        <f t="shared" si="356"/>
        <v>0.3226401179941</v>
      </c>
      <c r="AG304" s="30">
        <f t="shared" si="357"/>
        <v>0.00455729166666667</v>
      </c>
      <c r="AH304" s="29">
        <v>7</v>
      </c>
      <c r="AI304" s="30">
        <f t="shared" si="358"/>
        <v>0.213704755980701</v>
      </c>
      <c r="AJ304" s="30"/>
      <c r="AK304" s="30"/>
      <c r="AL304" s="30"/>
      <c r="AM304" s="30"/>
      <c r="AN304" s="34"/>
      <c r="AO304" s="34"/>
      <c r="AP304" s="34"/>
      <c r="AQ304" s="34"/>
      <c r="AR304" s="34"/>
      <c r="AS304" s="34"/>
      <c r="AT304" s="34" t="s">
        <v>156</v>
      </c>
      <c r="AU304" s="34" t="s">
        <v>156</v>
      </c>
      <c r="AV304" s="34" t="s">
        <v>156</v>
      </c>
      <c r="AW304" s="34" t="s">
        <v>156</v>
      </c>
      <c r="AX304" s="34" t="s">
        <v>156</v>
      </c>
      <c r="AY304" s="34" t="s">
        <v>156</v>
      </c>
      <c r="AZ304" s="34" t="s">
        <v>156</v>
      </c>
      <c r="BA304" s="34" t="s">
        <v>156</v>
      </c>
      <c r="BB304" s="34" t="s">
        <v>156</v>
      </c>
      <c r="BC304" s="34" t="s">
        <v>156</v>
      </c>
      <c r="BD304" s="34" t="s">
        <v>156</v>
      </c>
      <c r="BE304" s="34" t="s">
        <v>156</v>
      </c>
      <c r="BF304" s="34" t="s">
        <v>156</v>
      </c>
      <c r="BG304" s="34" t="s">
        <v>156</v>
      </c>
      <c r="BH304" s="34" t="s">
        <v>156</v>
      </c>
      <c r="BI304" s="34" t="s">
        <v>156</v>
      </c>
      <c r="BJ304" s="34" t="s">
        <v>156</v>
      </c>
      <c r="BK304" s="34" t="s">
        <v>156</v>
      </c>
      <c r="BL304" s="34" t="s">
        <v>156</v>
      </c>
      <c r="BM304" s="34" t="s">
        <v>156</v>
      </c>
      <c r="BN304" s="34" t="s">
        <v>156</v>
      </c>
      <c r="BO304" s="34" t="s">
        <v>156</v>
      </c>
      <c r="BP304" s="34" t="s">
        <v>156</v>
      </c>
      <c r="BQ304" s="34" t="s">
        <v>156</v>
      </c>
      <c r="BR304" s="35"/>
      <c r="BS304" s="20" t="s">
        <v>157</v>
      </c>
    </row>
    <row r="305" ht="16.5" hidden="1" spans="1:71">
      <c r="A305" s="21" t="s">
        <v>43</v>
      </c>
      <c r="B305" s="21"/>
      <c r="C305" s="45"/>
      <c r="D305" s="60" t="s">
        <v>233</v>
      </c>
      <c r="E305" s="55">
        <v>24</v>
      </c>
      <c r="F305" s="24">
        <v>34.99</v>
      </c>
      <c r="G305" s="25">
        <f t="shared" si="340"/>
        <v>34.99</v>
      </c>
      <c r="H305" s="25">
        <f t="shared" si="341"/>
        <v>29.1583333333333</v>
      </c>
      <c r="I305" s="25">
        <f t="shared" si="342"/>
        <v>6.27338716814159</v>
      </c>
      <c r="J305" s="26">
        <f t="shared" si="343"/>
        <v>0.2613911320059</v>
      </c>
      <c r="K305" s="27">
        <f t="shared" si="344"/>
        <v>29.1583333333333</v>
      </c>
      <c r="L305" s="28">
        <f t="shared" si="345"/>
        <v>0.176907687910832</v>
      </c>
      <c r="M305" s="25">
        <f t="shared" si="346"/>
        <v>5.15833333333333</v>
      </c>
      <c r="N305" s="27">
        <f t="shared" si="359"/>
        <v>68.9469026548673</v>
      </c>
      <c r="O305" s="27">
        <f t="shared" si="347"/>
        <v>0.35625</v>
      </c>
      <c r="P305" s="21">
        <v>40</v>
      </c>
      <c r="Q305" s="29">
        <v>8</v>
      </c>
      <c r="R305" s="30">
        <f t="shared" si="348"/>
        <v>0.166666666666667</v>
      </c>
      <c r="S305" s="26">
        <f t="shared" si="349"/>
        <v>0.114318376679051</v>
      </c>
      <c r="T305" s="30">
        <f t="shared" si="350"/>
        <v>0</v>
      </c>
      <c r="U305" s="30">
        <v>0.01</v>
      </c>
      <c r="V305" s="30">
        <f t="shared" si="351"/>
        <v>0.359098451327434</v>
      </c>
      <c r="W305" s="30">
        <f t="shared" si="352"/>
        <v>0.01484375</v>
      </c>
      <c r="X305" s="31">
        <v>0.188</v>
      </c>
      <c r="Y305" s="32">
        <v>4</v>
      </c>
      <c r="Z305" s="32">
        <v>0</v>
      </c>
      <c r="AA305" s="32">
        <f t="shared" si="353"/>
        <v>0.24</v>
      </c>
      <c r="AB305" s="27">
        <f t="shared" si="354"/>
        <v>4.512</v>
      </c>
      <c r="AC305" s="27">
        <v>70</v>
      </c>
      <c r="AD305" s="33">
        <f t="shared" si="355"/>
        <v>61.9469026548673</v>
      </c>
      <c r="AE305" s="29">
        <f t="shared" si="360"/>
        <v>0.875</v>
      </c>
      <c r="AF305" s="30">
        <f t="shared" si="356"/>
        <v>0.3226401179941</v>
      </c>
      <c r="AG305" s="30">
        <f t="shared" si="357"/>
        <v>0.00455729166666667</v>
      </c>
      <c r="AH305" s="29">
        <v>7</v>
      </c>
      <c r="AI305" s="30">
        <f t="shared" si="358"/>
        <v>0.331649042583595</v>
      </c>
      <c r="AJ305" s="30"/>
      <c r="AK305" s="30"/>
      <c r="AL305" s="30"/>
      <c r="AM305" s="30"/>
      <c r="AN305" s="34"/>
      <c r="AO305" s="34"/>
      <c r="AP305" s="34"/>
      <c r="AQ305" s="34"/>
      <c r="AR305" s="34"/>
      <c r="AS305" s="34"/>
      <c r="AT305" s="34" t="s">
        <v>156</v>
      </c>
      <c r="AU305" s="34" t="s">
        <v>156</v>
      </c>
      <c r="AV305" s="34" t="s">
        <v>156</v>
      </c>
      <c r="AW305" s="34" t="s">
        <v>156</v>
      </c>
      <c r="AX305" s="34" t="s">
        <v>156</v>
      </c>
      <c r="AY305" s="34" t="s">
        <v>156</v>
      </c>
      <c r="AZ305" s="34" t="s">
        <v>156</v>
      </c>
      <c r="BA305" s="34" t="s">
        <v>156</v>
      </c>
      <c r="BB305" s="34" t="s">
        <v>156</v>
      </c>
      <c r="BC305" s="34" t="s">
        <v>156</v>
      </c>
      <c r="BD305" s="34" t="s">
        <v>156</v>
      </c>
      <c r="BE305" s="34" t="s">
        <v>156</v>
      </c>
      <c r="BF305" s="34" t="s">
        <v>156</v>
      </c>
      <c r="BG305" s="34" t="s">
        <v>156</v>
      </c>
      <c r="BH305" s="34" t="s">
        <v>156</v>
      </c>
      <c r="BI305" s="34" t="s">
        <v>156</v>
      </c>
      <c r="BJ305" s="34" t="s">
        <v>156</v>
      </c>
      <c r="BK305" s="34" t="s">
        <v>156</v>
      </c>
      <c r="BL305" s="34" t="s">
        <v>156</v>
      </c>
      <c r="BM305" s="34" t="s">
        <v>156</v>
      </c>
      <c r="BN305" s="34" t="s">
        <v>156</v>
      </c>
      <c r="BO305" s="34" t="s">
        <v>156</v>
      </c>
      <c r="BP305" s="34" t="s">
        <v>156</v>
      </c>
      <c r="BQ305" s="34" t="s">
        <v>156</v>
      </c>
      <c r="BR305" s="35"/>
      <c r="BS305" s="20" t="s">
        <v>157</v>
      </c>
    </row>
    <row r="306" ht="16.5" hidden="1" spans="1:71">
      <c r="A306" s="21" t="s">
        <v>43</v>
      </c>
      <c r="B306" s="21"/>
      <c r="C306" s="45"/>
      <c r="D306" s="60" t="s">
        <v>234</v>
      </c>
      <c r="E306" s="55">
        <v>24</v>
      </c>
      <c r="F306" s="24">
        <v>34.99</v>
      </c>
      <c r="G306" s="25">
        <f t="shared" si="340"/>
        <v>31.491</v>
      </c>
      <c r="H306" s="25">
        <f t="shared" si="341"/>
        <v>26.2425</v>
      </c>
      <c r="I306" s="36">
        <f t="shared" si="342"/>
        <v>2.77438716814159</v>
      </c>
      <c r="J306" s="26">
        <f t="shared" si="343"/>
        <v>0.115599465339233</v>
      </c>
      <c r="K306" s="27">
        <f t="shared" si="344"/>
        <v>29.1583333333333</v>
      </c>
      <c r="L306" s="28">
        <f t="shared" si="345"/>
        <v>0.176907687910832</v>
      </c>
      <c r="M306" s="25">
        <f t="shared" si="346"/>
        <v>5.15833333333333</v>
      </c>
      <c r="N306" s="27">
        <f t="shared" si="359"/>
        <v>68.9469026548673</v>
      </c>
      <c r="O306" s="27">
        <f t="shared" si="347"/>
        <v>0.35625</v>
      </c>
      <c r="P306" s="21">
        <v>40</v>
      </c>
      <c r="Q306" s="29">
        <v>8</v>
      </c>
      <c r="R306" s="30">
        <f t="shared" si="348"/>
        <v>0.166666666666667</v>
      </c>
      <c r="S306" s="26">
        <f t="shared" si="349"/>
        <v>0.114318376679051</v>
      </c>
      <c r="T306" s="30">
        <f t="shared" si="350"/>
        <v>0.145791666666667</v>
      </c>
      <c r="U306" s="30">
        <v>0.01</v>
      </c>
      <c r="V306" s="30">
        <f t="shared" si="351"/>
        <v>0.359098451327434</v>
      </c>
      <c r="W306" s="30">
        <f t="shared" si="352"/>
        <v>0.01484375</v>
      </c>
      <c r="X306" s="31">
        <v>0.188</v>
      </c>
      <c r="Y306" s="32">
        <v>4</v>
      </c>
      <c r="Z306" s="32">
        <f>F306*0.1</f>
        <v>3.499</v>
      </c>
      <c r="AA306" s="32">
        <f t="shared" si="353"/>
        <v>0.24</v>
      </c>
      <c r="AB306" s="27">
        <f t="shared" si="354"/>
        <v>4.512</v>
      </c>
      <c r="AC306" s="27">
        <v>70</v>
      </c>
      <c r="AD306" s="33">
        <f t="shared" si="355"/>
        <v>61.9469026548673</v>
      </c>
      <c r="AE306" s="29">
        <f t="shared" si="360"/>
        <v>0.875</v>
      </c>
      <c r="AF306" s="30">
        <f t="shared" si="356"/>
        <v>0.3226401179941</v>
      </c>
      <c r="AG306" s="30">
        <f t="shared" si="357"/>
        <v>0.00455729166666667</v>
      </c>
      <c r="AH306" s="29">
        <v>7</v>
      </c>
      <c r="AI306" s="30">
        <f t="shared" si="358"/>
        <v>0.257387825092884</v>
      </c>
      <c r="AJ306" s="30"/>
      <c r="AK306" s="30"/>
      <c r="AL306" s="30"/>
      <c r="AM306" s="30"/>
      <c r="AN306" s="34"/>
      <c r="AO306" s="34"/>
      <c r="AP306" s="34"/>
      <c r="AQ306" s="34"/>
      <c r="AR306" s="34"/>
      <c r="AS306" s="34"/>
      <c r="AT306" s="34" t="s">
        <v>156</v>
      </c>
      <c r="AU306" s="34" t="s">
        <v>156</v>
      </c>
      <c r="AV306" s="34" t="s">
        <v>156</v>
      </c>
      <c r="AW306" s="34" t="s">
        <v>156</v>
      </c>
      <c r="AX306" s="34" t="s">
        <v>156</v>
      </c>
      <c r="AY306" s="34" t="s">
        <v>156</v>
      </c>
      <c r="AZ306" s="34" t="s">
        <v>156</v>
      </c>
      <c r="BA306" s="34" t="s">
        <v>156</v>
      </c>
      <c r="BB306" s="34" t="s">
        <v>156</v>
      </c>
      <c r="BC306" s="34" t="s">
        <v>156</v>
      </c>
      <c r="BD306" s="34" t="s">
        <v>156</v>
      </c>
      <c r="BE306" s="34" t="s">
        <v>156</v>
      </c>
      <c r="BF306" s="34" t="s">
        <v>156</v>
      </c>
      <c r="BG306" s="34" t="s">
        <v>156</v>
      </c>
      <c r="BH306" s="34" t="s">
        <v>156</v>
      </c>
      <c r="BI306" s="34" t="s">
        <v>156</v>
      </c>
      <c r="BJ306" s="34" t="s">
        <v>156</v>
      </c>
      <c r="BK306" s="34" t="s">
        <v>156</v>
      </c>
      <c r="BL306" s="34" t="s">
        <v>156</v>
      </c>
      <c r="BM306" s="34" t="s">
        <v>156</v>
      </c>
      <c r="BN306" s="34" t="s">
        <v>156</v>
      </c>
      <c r="BO306" s="34" t="s">
        <v>156</v>
      </c>
      <c r="BP306" s="34" t="s">
        <v>156</v>
      </c>
      <c r="BQ306" s="34" t="s">
        <v>156</v>
      </c>
      <c r="BR306" s="35"/>
      <c r="BS306" s="20" t="s">
        <v>157</v>
      </c>
    </row>
    <row r="307" ht="16.5" hidden="1" spans="1:71">
      <c r="A307" s="21" t="s">
        <v>43</v>
      </c>
      <c r="B307" s="21"/>
      <c r="C307" s="45"/>
      <c r="D307" s="60" t="s">
        <v>235</v>
      </c>
      <c r="E307" s="55">
        <v>24</v>
      </c>
      <c r="F307" s="24">
        <v>34.99</v>
      </c>
      <c r="G307" s="25">
        <f t="shared" si="340"/>
        <v>29.7415</v>
      </c>
      <c r="H307" s="25">
        <f t="shared" si="341"/>
        <v>24.7845833333333</v>
      </c>
      <c r="I307" s="25">
        <f t="shared" si="342"/>
        <v>1.02488716814159</v>
      </c>
      <c r="J307" s="26">
        <f t="shared" si="343"/>
        <v>0.0427036320058996</v>
      </c>
      <c r="K307" s="27">
        <f t="shared" si="344"/>
        <v>29.1583333333333</v>
      </c>
      <c r="L307" s="28">
        <f t="shared" si="345"/>
        <v>0.176907687910832</v>
      </c>
      <c r="M307" s="25">
        <f t="shared" si="346"/>
        <v>5.15833333333333</v>
      </c>
      <c r="N307" s="27">
        <f t="shared" si="359"/>
        <v>68.9469026548673</v>
      </c>
      <c r="O307" s="27">
        <f t="shared" si="347"/>
        <v>0.35625</v>
      </c>
      <c r="P307" s="21">
        <v>40</v>
      </c>
      <c r="Q307" s="29">
        <v>8</v>
      </c>
      <c r="R307" s="30">
        <f t="shared" si="348"/>
        <v>0.166666666666667</v>
      </c>
      <c r="S307" s="26">
        <f t="shared" si="349"/>
        <v>0.114318376679051</v>
      </c>
      <c r="T307" s="30">
        <f t="shared" si="350"/>
        <v>0.2186875</v>
      </c>
      <c r="U307" s="30">
        <v>0.01</v>
      </c>
      <c r="V307" s="30">
        <f t="shared" si="351"/>
        <v>0.359098451327434</v>
      </c>
      <c r="W307" s="30">
        <f t="shared" si="352"/>
        <v>0.01484375</v>
      </c>
      <c r="X307" s="31">
        <v>0.188</v>
      </c>
      <c r="Y307" s="32">
        <v>4</v>
      </c>
      <c r="Z307" s="32">
        <f>F307*0.15</f>
        <v>5.2485</v>
      </c>
      <c r="AA307" s="32">
        <f t="shared" si="353"/>
        <v>0.24</v>
      </c>
      <c r="AB307" s="27">
        <f t="shared" si="354"/>
        <v>4.512</v>
      </c>
      <c r="AC307" s="27">
        <v>70</v>
      </c>
      <c r="AD307" s="33">
        <f t="shared" si="355"/>
        <v>61.9469026548673</v>
      </c>
      <c r="AE307" s="29">
        <f t="shared" si="360"/>
        <v>0.875</v>
      </c>
      <c r="AF307" s="30">
        <f t="shared" si="356"/>
        <v>0.3226401179941</v>
      </c>
      <c r="AG307" s="30">
        <f t="shared" si="357"/>
        <v>0.00455729166666667</v>
      </c>
      <c r="AH307" s="29">
        <v>7</v>
      </c>
      <c r="AI307" s="30">
        <f t="shared" si="358"/>
        <v>0.213704755980701</v>
      </c>
      <c r="AJ307" s="30"/>
      <c r="AK307" s="30"/>
      <c r="AL307" s="30"/>
      <c r="AM307" s="30"/>
      <c r="AN307" s="34"/>
      <c r="AO307" s="34"/>
      <c r="AP307" s="34"/>
      <c r="AQ307" s="34"/>
      <c r="AR307" s="34"/>
      <c r="AS307" s="34"/>
      <c r="AT307" s="34" t="s">
        <v>156</v>
      </c>
      <c r="AU307" s="34" t="s">
        <v>156</v>
      </c>
      <c r="AV307" s="34" t="s">
        <v>156</v>
      </c>
      <c r="AW307" s="34" t="s">
        <v>156</v>
      </c>
      <c r="AX307" s="34" t="s">
        <v>156</v>
      </c>
      <c r="AY307" s="34" t="s">
        <v>156</v>
      </c>
      <c r="AZ307" s="34" t="s">
        <v>156</v>
      </c>
      <c r="BA307" s="34" t="s">
        <v>156</v>
      </c>
      <c r="BB307" s="34" t="s">
        <v>156</v>
      </c>
      <c r="BC307" s="34" t="s">
        <v>156</v>
      </c>
      <c r="BD307" s="34" t="s">
        <v>156</v>
      </c>
      <c r="BE307" s="34" t="s">
        <v>156</v>
      </c>
      <c r="BF307" s="34" t="s">
        <v>156</v>
      </c>
      <c r="BG307" s="34" t="s">
        <v>156</v>
      </c>
      <c r="BH307" s="34" t="s">
        <v>156</v>
      </c>
      <c r="BI307" s="34" t="s">
        <v>156</v>
      </c>
      <c r="BJ307" s="34" t="s">
        <v>156</v>
      </c>
      <c r="BK307" s="34" t="s">
        <v>156</v>
      </c>
      <c r="BL307" s="34" t="s">
        <v>156</v>
      </c>
      <c r="BM307" s="34" t="s">
        <v>156</v>
      </c>
      <c r="BN307" s="34" t="s">
        <v>156</v>
      </c>
      <c r="BO307" s="34" t="s">
        <v>156</v>
      </c>
      <c r="BP307" s="34" t="s">
        <v>156</v>
      </c>
      <c r="BQ307" s="34" t="s">
        <v>156</v>
      </c>
      <c r="BR307" s="35"/>
      <c r="BS307" s="20" t="s">
        <v>157</v>
      </c>
    </row>
    <row r="308" ht="16.5" hidden="1" spans="1:71">
      <c r="A308" s="21" t="s">
        <v>45</v>
      </c>
      <c r="B308" s="21"/>
      <c r="C308" s="45"/>
      <c r="D308" s="60" t="s">
        <v>233</v>
      </c>
      <c r="E308" s="55">
        <v>24</v>
      </c>
      <c r="F308" s="24">
        <v>34.99</v>
      </c>
      <c r="G308" s="25">
        <f t="shared" si="340"/>
        <v>34.99</v>
      </c>
      <c r="H308" s="25">
        <f t="shared" si="341"/>
        <v>29.1583333333333</v>
      </c>
      <c r="I308" s="25">
        <f t="shared" si="342"/>
        <v>6.24838716814159</v>
      </c>
      <c r="J308" s="26">
        <f t="shared" si="343"/>
        <v>0.260349465339233</v>
      </c>
      <c r="K308" s="27">
        <f t="shared" si="344"/>
        <v>29.1583333333333</v>
      </c>
      <c r="L308" s="28">
        <f t="shared" si="345"/>
        <v>0.176907687910832</v>
      </c>
      <c r="M308" s="25">
        <f t="shared" si="346"/>
        <v>5.15833333333333</v>
      </c>
      <c r="N308" s="27">
        <f t="shared" si="359"/>
        <v>68.9469026548673</v>
      </c>
      <c r="O308" s="27">
        <f t="shared" si="347"/>
        <v>0.38125</v>
      </c>
      <c r="P308" s="21">
        <v>40</v>
      </c>
      <c r="Q308" s="29">
        <v>8</v>
      </c>
      <c r="R308" s="30">
        <f t="shared" si="348"/>
        <v>0.166666666666667</v>
      </c>
      <c r="S308" s="26">
        <f t="shared" si="349"/>
        <v>0.114318376679051</v>
      </c>
      <c r="T308" s="30">
        <f t="shared" si="350"/>
        <v>0</v>
      </c>
      <c r="U308" s="30">
        <v>0.01</v>
      </c>
      <c r="V308" s="30">
        <f t="shared" si="351"/>
        <v>0.359098451327434</v>
      </c>
      <c r="W308" s="30">
        <f t="shared" si="352"/>
        <v>0.0158854166666667</v>
      </c>
      <c r="X308" s="31">
        <v>0.188</v>
      </c>
      <c r="Y308" s="32">
        <v>4</v>
      </c>
      <c r="Z308" s="32">
        <v>0</v>
      </c>
      <c r="AA308" s="32">
        <f t="shared" si="353"/>
        <v>0.24</v>
      </c>
      <c r="AB308" s="27">
        <f t="shared" si="354"/>
        <v>4.512</v>
      </c>
      <c r="AC308" s="27">
        <v>70</v>
      </c>
      <c r="AD308" s="33">
        <f t="shared" si="355"/>
        <v>61.9469026548673</v>
      </c>
      <c r="AE308" s="29">
        <f t="shared" si="360"/>
        <v>0.875</v>
      </c>
      <c r="AF308" s="30">
        <f t="shared" si="356"/>
        <v>0.3226401179941</v>
      </c>
      <c r="AG308" s="30">
        <f t="shared" si="357"/>
        <v>0.00455729166666667</v>
      </c>
      <c r="AH308" s="29">
        <v>7</v>
      </c>
      <c r="AI308" s="26">
        <f t="shared" si="358"/>
        <v>0.331649042583595</v>
      </c>
      <c r="AJ308" s="26"/>
      <c r="AK308" s="26"/>
      <c r="AL308" s="26"/>
      <c r="AM308" s="26"/>
      <c r="AN308" s="34"/>
      <c r="AO308" s="34"/>
      <c r="AP308" s="34"/>
      <c r="AQ308" s="34"/>
      <c r="AR308" s="34"/>
      <c r="AS308" s="34"/>
      <c r="AT308" s="34" t="s">
        <v>156</v>
      </c>
      <c r="AU308" s="34" t="s">
        <v>156</v>
      </c>
      <c r="AV308" s="34" t="s">
        <v>156</v>
      </c>
      <c r="AW308" s="34" t="s">
        <v>156</v>
      </c>
      <c r="AX308" s="34" t="s">
        <v>156</v>
      </c>
      <c r="AY308" s="34" t="s">
        <v>156</v>
      </c>
      <c r="AZ308" s="34" t="s">
        <v>156</v>
      </c>
      <c r="BA308" s="34" t="s">
        <v>156</v>
      </c>
      <c r="BB308" s="34" t="s">
        <v>156</v>
      </c>
      <c r="BC308" s="34" t="s">
        <v>156</v>
      </c>
      <c r="BD308" s="34" t="s">
        <v>156</v>
      </c>
      <c r="BE308" s="34" t="s">
        <v>156</v>
      </c>
      <c r="BF308" s="34" t="s">
        <v>156</v>
      </c>
      <c r="BG308" s="34" t="s">
        <v>156</v>
      </c>
      <c r="BH308" s="34" t="s">
        <v>156</v>
      </c>
      <c r="BI308" s="34" t="s">
        <v>156</v>
      </c>
      <c r="BJ308" s="34" t="s">
        <v>156</v>
      </c>
      <c r="BK308" s="34" t="s">
        <v>156</v>
      </c>
      <c r="BL308" s="34" t="s">
        <v>156</v>
      </c>
      <c r="BM308" s="34" t="s">
        <v>156</v>
      </c>
      <c r="BN308" s="34" t="s">
        <v>156</v>
      </c>
      <c r="BO308" s="34" t="s">
        <v>156</v>
      </c>
      <c r="BP308" s="34" t="s">
        <v>156</v>
      </c>
      <c r="BQ308" s="34" t="s">
        <v>156</v>
      </c>
      <c r="BR308" s="35"/>
      <c r="BS308" s="20" t="s">
        <v>157</v>
      </c>
    </row>
    <row r="309" ht="16.5" hidden="1" spans="1:71">
      <c r="A309" s="21" t="s">
        <v>45</v>
      </c>
      <c r="B309" s="21"/>
      <c r="C309" s="45"/>
      <c r="D309" s="60" t="s">
        <v>234</v>
      </c>
      <c r="E309" s="55">
        <v>24</v>
      </c>
      <c r="F309" s="24">
        <v>34.99</v>
      </c>
      <c r="G309" s="25">
        <f t="shared" si="340"/>
        <v>31.491</v>
      </c>
      <c r="H309" s="25">
        <f t="shared" si="341"/>
        <v>26.2425</v>
      </c>
      <c r="I309" s="36">
        <f t="shared" si="342"/>
        <v>2.74938716814159</v>
      </c>
      <c r="J309" s="26">
        <f t="shared" si="343"/>
        <v>0.114557798672566</v>
      </c>
      <c r="K309" s="27">
        <f t="shared" si="344"/>
        <v>29.1583333333333</v>
      </c>
      <c r="L309" s="28">
        <f t="shared" si="345"/>
        <v>0.176907687910832</v>
      </c>
      <c r="M309" s="25">
        <f t="shared" si="346"/>
        <v>5.15833333333333</v>
      </c>
      <c r="N309" s="27">
        <f t="shared" si="359"/>
        <v>68.9469026548673</v>
      </c>
      <c r="O309" s="27">
        <f t="shared" si="347"/>
        <v>0.38125</v>
      </c>
      <c r="P309" s="21">
        <v>40</v>
      </c>
      <c r="Q309" s="29">
        <v>8</v>
      </c>
      <c r="R309" s="30">
        <f t="shared" si="348"/>
        <v>0.166666666666667</v>
      </c>
      <c r="S309" s="26">
        <f t="shared" si="349"/>
        <v>0.114318376679051</v>
      </c>
      <c r="T309" s="30">
        <f t="shared" si="350"/>
        <v>0.145791666666667</v>
      </c>
      <c r="U309" s="30">
        <v>0.01</v>
      </c>
      <c r="V309" s="30">
        <f t="shared" si="351"/>
        <v>0.359098451327434</v>
      </c>
      <c r="W309" s="30">
        <f t="shared" si="352"/>
        <v>0.0158854166666667</v>
      </c>
      <c r="X309" s="31">
        <v>0.188</v>
      </c>
      <c r="Y309" s="32">
        <v>4</v>
      </c>
      <c r="Z309" s="32">
        <f>F309*0.1</f>
        <v>3.499</v>
      </c>
      <c r="AA309" s="32">
        <f t="shared" si="353"/>
        <v>0.24</v>
      </c>
      <c r="AB309" s="27">
        <f t="shared" si="354"/>
        <v>4.512</v>
      </c>
      <c r="AC309" s="27">
        <v>70</v>
      </c>
      <c r="AD309" s="33">
        <f t="shared" si="355"/>
        <v>61.9469026548673</v>
      </c>
      <c r="AE309" s="29">
        <f t="shared" si="360"/>
        <v>0.875</v>
      </c>
      <c r="AF309" s="30">
        <f t="shared" si="356"/>
        <v>0.3226401179941</v>
      </c>
      <c r="AG309" s="30">
        <f t="shared" si="357"/>
        <v>0.00455729166666667</v>
      </c>
      <c r="AH309" s="29">
        <v>7</v>
      </c>
      <c r="AI309" s="26">
        <f t="shared" si="358"/>
        <v>0.257387825092884</v>
      </c>
      <c r="AJ309" s="26"/>
      <c r="AK309" s="26"/>
      <c r="AL309" s="26"/>
      <c r="AM309" s="26"/>
      <c r="AN309" s="34"/>
      <c r="AO309" s="34"/>
      <c r="AP309" s="34"/>
      <c r="AQ309" s="34"/>
      <c r="AR309" s="34"/>
      <c r="AS309" s="34"/>
      <c r="AT309" s="34" t="s">
        <v>156</v>
      </c>
      <c r="AU309" s="34" t="s">
        <v>156</v>
      </c>
      <c r="AV309" s="34" t="s">
        <v>156</v>
      </c>
      <c r="AW309" s="34" t="s">
        <v>156</v>
      </c>
      <c r="AX309" s="34" t="s">
        <v>156</v>
      </c>
      <c r="AY309" s="34" t="s">
        <v>156</v>
      </c>
      <c r="AZ309" s="34" t="s">
        <v>156</v>
      </c>
      <c r="BA309" s="34" t="s">
        <v>156</v>
      </c>
      <c r="BB309" s="34" t="s">
        <v>156</v>
      </c>
      <c r="BC309" s="34" t="s">
        <v>156</v>
      </c>
      <c r="BD309" s="34" t="s">
        <v>156</v>
      </c>
      <c r="BE309" s="34" t="s">
        <v>156</v>
      </c>
      <c r="BF309" s="34" t="s">
        <v>156</v>
      </c>
      <c r="BG309" s="34" t="s">
        <v>156</v>
      </c>
      <c r="BH309" s="34" t="s">
        <v>156</v>
      </c>
      <c r="BI309" s="34" t="s">
        <v>156</v>
      </c>
      <c r="BJ309" s="34" t="s">
        <v>156</v>
      </c>
      <c r="BK309" s="34" t="s">
        <v>156</v>
      </c>
      <c r="BL309" s="34" t="s">
        <v>156</v>
      </c>
      <c r="BM309" s="34" t="s">
        <v>156</v>
      </c>
      <c r="BN309" s="34" t="s">
        <v>156</v>
      </c>
      <c r="BO309" s="34" t="s">
        <v>156</v>
      </c>
      <c r="BP309" s="34" t="s">
        <v>156</v>
      </c>
      <c r="BQ309" s="34" t="s">
        <v>156</v>
      </c>
      <c r="BR309" s="35"/>
      <c r="BS309" s="20" t="s">
        <v>157</v>
      </c>
    </row>
    <row r="310" ht="16.5" hidden="1" spans="1:71">
      <c r="A310" s="21" t="s">
        <v>45</v>
      </c>
      <c r="B310" s="21"/>
      <c r="C310" s="45"/>
      <c r="D310" s="60" t="s">
        <v>235</v>
      </c>
      <c r="E310" s="55">
        <v>24</v>
      </c>
      <c r="F310" s="24">
        <v>34.99</v>
      </c>
      <c r="G310" s="25">
        <f t="shared" si="340"/>
        <v>29.7415</v>
      </c>
      <c r="H310" s="25">
        <f t="shared" si="341"/>
        <v>24.7845833333333</v>
      </c>
      <c r="I310" s="25">
        <f t="shared" si="342"/>
        <v>0.999887168141591</v>
      </c>
      <c r="J310" s="26">
        <f t="shared" si="343"/>
        <v>0.0416619653392329</v>
      </c>
      <c r="K310" s="27">
        <f t="shared" si="344"/>
        <v>29.1583333333333</v>
      </c>
      <c r="L310" s="28">
        <f t="shared" si="345"/>
        <v>0.176907687910832</v>
      </c>
      <c r="M310" s="25">
        <f t="shared" si="346"/>
        <v>5.15833333333333</v>
      </c>
      <c r="N310" s="27">
        <f t="shared" si="359"/>
        <v>68.9469026548673</v>
      </c>
      <c r="O310" s="27">
        <f t="shared" si="347"/>
        <v>0.38125</v>
      </c>
      <c r="P310" s="21">
        <v>40</v>
      </c>
      <c r="Q310" s="29">
        <v>8</v>
      </c>
      <c r="R310" s="30">
        <f t="shared" si="348"/>
        <v>0.166666666666667</v>
      </c>
      <c r="S310" s="26">
        <f t="shared" si="349"/>
        <v>0.114318376679051</v>
      </c>
      <c r="T310" s="30">
        <f t="shared" si="350"/>
        <v>0.2186875</v>
      </c>
      <c r="U310" s="30">
        <v>0.01</v>
      </c>
      <c r="V310" s="30">
        <f t="shared" si="351"/>
        <v>0.359098451327434</v>
      </c>
      <c r="W310" s="30">
        <f t="shared" si="352"/>
        <v>0.0158854166666667</v>
      </c>
      <c r="X310" s="31">
        <v>0.188</v>
      </c>
      <c r="Y310" s="32">
        <v>4</v>
      </c>
      <c r="Z310" s="32">
        <f>F310*0.15</f>
        <v>5.2485</v>
      </c>
      <c r="AA310" s="32">
        <f t="shared" si="353"/>
        <v>0.24</v>
      </c>
      <c r="AB310" s="27">
        <f t="shared" si="354"/>
        <v>4.512</v>
      </c>
      <c r="AC310" s="27">
        <v>70</v>
      </c>
      <c r="AD310" s="33">
        <f t="shared" si="355"/>
        <v>61.9469026548673</v>
      </c>
      <c r="AE310" s="29">
        <f t="shared" si="360"/>
        <v>0.875</v>
      </c>
      <c r="AF310" s="30">
        <f t="shared" si="356"/>
        <v>0.3226401179941</v>
      </c>
      <c r="AG310" s="30">
        <f t="shared" si="357"/>
        <v>0.00455729166666667</v>
      </c>
      <c r="AH310" s="29">
        <v>7</v>
      </c>
      <c r="AI310" s="26">
        <f t="shared" si="358"/>
        <v>0.213704755980701</v>
      </c>
      <c r="AJ310" s="26"/>
      <c r="AK310" s="26"/>
      <c r="AL310" s="26"/>
      <c r="AM310" s="26"/>
      <c r="AN310" s="34"/>
      <c r="AO310" s="34"/>
      <c r="AP310" s="34"/>
      <c r="AQ310" s="34"/>
      <c r="AR310" s="34"/>
      <c r="AS310" s="34"/>
      <c r="AT310" s="34" t="s">
        <v>156</v>
      </c>
      <c r="AU310" s="34" t="s">
        <v>156</v>
      </c>
      <c r="AV310" s="34" t="s">
        <v>156</v>
      </c>
      <c r="AW310" s="34" t="s">
        <v>156</v>
      </c>
      <c r="AX310" s="34" t="s">
        <v>156</v>
      </c>
      <c r="AY310" s="34" t="s">
        <v>156</v>
      </c>
      <c r="AZ310" s="34" t="s">
        <v>156</v>
      </c>
      <c r="BA310" s="34" t="s">
        <v>156</v>
      </c>
      <c r="BB310" s="34" t="s">
        <v>156</v>
      </c>
      <c r="BC310" s="34" t="s">
        <v>156</v>
      </c>
      <c r="BD310" s="34" t="s">
        <v>156</v>
      </c>
      <c r="BE310" s="34" t="s">
        <v>156</v>
      </c>
      <c r="BF310" s="34" t="s">
        <v>156</v>
      </c>
      <c r="BG310" s="34" t="s">
        <v>156</v>
      </c>
      <c r="BH310" s="34" t="s">
        <v>156</v>
      </c>
      <c r="BI310" s="34" t="s">
        <v>156</v>
      </c>
      <c r="BJ310" s="34" t="s">
        <v>156</v>
      </c>
      <c r="BK310" s="34" t="s">
        <v>156</v>
      </c>
      <c r="BL310" s="34" t="s">
        <v>156</v>
      </c>
      <c r="BM310" s="34" t="s">
        <v>156</v>
      </c>
      <c r="BN310" s="34" t="s">
        <v>156</v>
      </c>
      <c r="BO310" s="34" t="s">
        <v>156</v>
      </c>
      <c r="BP310" s="34" t="s">
        <v>156</v>
      </c>
      <c r="BQ310" s="34" t="s">
        <v>156</v>
      </c>
      <c r="BR310" s="35"/>
      <c r="BS310" s="20" t="s">
        <v>157</v>
      </c>
    </row>
    <row r="311" ht="16.5" hidden="1" spans="1:71">
      <c r="A311" s="21" t="s">
        <v>48</v>
      </c>
      <c r="B311" s="21"/>
      <c r="C311" s="45"/>
      <c r="D311" s="60" t="s">
        <v>233</v>
      </c>
      <c r="E311" s="55">
        <v>24</v>
      </c>
      <c r="F311" s="24">
        <v>34.99</v>
      </c>
      <c r="G311" s="25">
        <f t="shared" si="340"/>
        <v>34.99</v>
      </c>
      <c r="H311" s="25">
        <f t="shared" si="341"/>
        <v>29.1583333333333</v>
      </c>
      <c r="I311" s="25">
        <f t="shared" si="342"/>
        <v>6.14838716814159</v>
      </c>
      <c r="J311" s="26">
        <f t="shared" si="343"/>
        <v>0.256182798672566</v>
      </c>
      <c r="K311" s="27">
        <f t="shared" si="344"/>
        <v>29.1583333333333</v>
      </c>
      <c r="L311" s="28">
        <f t="shared" si="345"/>
        <v>0.176907687910832</v>
      </c>
      <c r="M311" s="25">
        <f t="shared" si="346"/>
        <v>5.15833333333333</v>
      </c>
      <c r="N311" s="27">
        <f t="shared" si="359"/>
        <v>68.9469026548673</v>
      </c>
      <c r="O311" s="27">
        <f t="shared" si="347"/>
        <v>0.48125</v>
      </c>
      <c r="P311" s="21">
        <v>40</v>
      </c>
      <c r="Q311" s="29">
        <v>8</v>
      </c>
      <c r="R311" s="30">
        <f t="shared" si="348"/>
        <v>0.166666666666667</v>
      </c>
      <c r="S311" s="26">
        <f t="shared" si="349"/>
        <v>0.114318376679051</v>
      </c>
      <c r="T311" s="30">
        <f t="shared" si="350"/>
        <v>0</v>
      </c>
      <c r="U311" s="30">
        <v>0.01</v>
      </c>
      <c r="V311" s="30">
        <f t="shared" si="351"/>
        <v>0.359098451327434</v>
      </c>
      <c r="W311" s="30">
        <f t="shared" si="352"/>
        <v>0.0200520833333333</v>
      </c>
      <c r="X311" s="31">
        <v>0.188</v>
      </c>
      <c r="Y311" s="32">
        <v>4</v>
      </c>
      <c r="Z311" s="32">
        <v>0</v>
      </c>
      <c r="AA311" s="32">
        <f t="shared" si="353"/>
        <v>0.24</v>
      </c>
      <c r="AB311" s="27">
        <f t="shared" si="354"/>
        <v>4.512</v>
      </c>
      <c r="AC311" s="27">
        <v>70</v>
      </c>
      <c r="AD311" s="33">
        <f t="shared" si="355"/>
        <v>61.9469026548673</v>
      </c>
      <c r="AE311" s="29">
        <f t="shared" si="360"/>
        <v>0.875</v>
      </c>
      <c r="AF311" s="30">
        <f t="shared" si="356"/>
        <v>0.3226401179941</v>
      </c>
      <c r="AG311" s="30">
        <f t="shared" si="357"/>
        <v>0.00455729166666667</v>
      </c>
      <c r="AH311" s="29">
        <v>7</v>
      </c>
      <c r="AI311" s="30">
        <f t="shared" si="358"/>
        <v>0.331649042583595</v>
      </c>
      <c r="AJ311" s="30"/>
      <c r="AK311" s="30"/>
      <c r="AL311" s="30"/>
      <c r="AM311" s="30"/>
      <c r="AN311" s="34"/>
      <c r="AO311" s="34"/>
      <c r="AP311" s="34"/>
      <c r="AQ311" s="34"/>
      <c r="AR311" s="34"/>
      <c r="AS311" s="34"/>
      <c r="AT311" s="34" t="s">
        <v>156</v>
      </c>
      <c r="AU311" s="34" t="s">
        <v>156</v>
      </c>
      <c r="AV311" s="34" t="s">
        <v>156</v>
      </c>
      <c r="AW311" s="34" t="s">
        <v>156</v>
      </c>
      <c r="AX311" s="34" t="s">
        <v>156</v>
      </c>
      <c r="AY311" s="34" t="s">
        <v>156</v>
      </c>
      <c r="AZ311" s="34" t="s">
        <v>156</v>
      </c>
      <c r="BA311" s="34" t="s">
        <v>156</v>
      </c>
      <c r="BB311" s="34" t="s">
        <v>156</v>
      </c>
      <c r="BC311" s="34" t="s">
        <v>156</v>
      </c>
      <c r="BD311" s="34" t="s">
        <v>156</v>
      </c>
      <c r="BE311" s="34" t="s">
        <v>156</v>
      </c>
      <c r="BF311" s="34" t="s">
        <v>156</v>
      </c>
      <c r="BG311" s="34" t="s">
        <v>156</v>
      </c>
      <c r="BH311" s="34" t="s">
        <v>156</v>
      </c>
      <c r="BI311" s="34" t="s">
        <v>156</v>
      </c>
      <c r="BJ311" s="34" t="s">
        <v>156</v>
      </c>
      <c r="BK311" s="34" t="s">
        <v>156</v>
      </c>
      <c r="BL311" s="34" t="s">
        <v>156</v>
      </c>
      <c r="BM311" s="34" t="s">
        <v>156</v>
      </c>
      <c r="BN311" s="34" t="s">
        <v>156</v>
      </c>
      <c r="BO311" s="34" t="s">
        <v>156</v>
      </c>
      <c r="BP311" s="34" t="s">
        <v>156</v>
      </c>
      <c r="BQ311" s="34" t="s">
        <v>156</v>
      </c>
      <c r="BR311" s="35"/>
      <c r="BS311" s="20" t="s">
        <v>157</v>
      </c>
    </row>
    <row r="312" ht="16.5" hidden="1" spans="1:71">
      <c r="A312" s="21" t="s">
        <v>48</v>
      </c>
      <c r="B312" s="21"/>
      <c r="C312" s="45"/>
      <c r="D312" s="60" t="s">
        <v>234</v>
      </c>
      <c r="E312" s="55">
        <v>24</v>
      </c>
      <c r="F312" s="24">
        <v>34.99</v>
      </c>
      <c r="G312" s="25">
        <f t="shared" si="340"/>
        <v>31.491</v>
      </c>
      <c r="H312" s="25">
        <f t="shared" si="341"/>
        <v>26.2425</v>
      </c>
      <c r="I312" s="36">
        <f t="shared" si="342"/>
        <v>2.64938716814159</v>
      </c>
      <c r="J312" s="26">
        <f t="shared" si="343"/>
        <v>0.1103911320059</v>
      </c>
      <c r="K312" s="27">
        <f t="shared" si="344"/>
        <v>29.1583333333333</v>
      </c>
      <c r="L312" s="28">
        <f t="shared" si="345"/>
        <v>0.176907687910832</v>
      </c>
      <c r="M312" s="25">
        <f t="shared" si="346"/>
        <v>5.15833333333333</v>
      </c>
      <c r="N312" s="27">
        <f t="shared" si="359"/>
        <v>68.9469026548673</v>
      </c>
      <c r="O312" s="27">
        <f t="shared" si="347"/>
        <v>0.48125</v>
      </c>
      <c r="P312" s="21">
        <v>40</v>
      </c>
      <c r="Q312" s="29">
        <v>8</v>
      </c>
      <c r="R312" s="30">
        <f t="shared" si="348"/>
        <v>0.166666666666667</v>
      </c>
      <c r="S312" s="26">
        <f t="shared" si="349"/>
        <v>0.114318376679051</v>
      </c>
      <c r="T312" s="30">
        <f t="shared" si="350"/>
        <v>0.145791666666667</v>
      </c>
      <c r="U312" s="30">
        <v>0.01</v>
      </c>
      <c r="V312" s="30">
        <f t="shared" si="351"/>
        <v>0.359098451327434</v>
      </c>
      <c r="W312" s="30">
        <f t="shared" si="352"/>
        <v>0.0200520833333333</v>
      </c>
      <c r="X312" s="31">
        <v>0.188</v>
      </c>
      <c r="Y312" s="32">
        <v>4</v>
      </c>
      <c r="Z312" s="32">
        <f>F312*0.1</f>
        <v>3.499</v>
      </c>
      <c r="AA312" s="32">
        <f t="shared" si="353"/>
        <v>0.24</v>
      </c>
      <c r="AB312" s="27">
        <f t="shared" si="354"/>
        <v>4.512</v>
      </c>
      <c r="AC312" s="27">
        <v>70</v>
      </c>
      <c r="AD312" s="33">
        <f t="shared" si="355"/>
        <v>61.9469026548673</v>
      </c>
      <c r="AE312" s="29">
        <f t="shared" si="360"/>
        <v>0.875</v>
      </c>
      <c r="AF312" s="30">
        <f t="shared" si="356"/>
        <v>0.3226401179941</v>
      </c>
      <c r="AG312" s="30">
        <f t="shared" si="357"/>
        <v>0.00455729166666667</v>
      </c>
      <c r="AH312" s="29">
        <v>7</v>
      </c>
      <c r="AI312" s="30">
        <f t="shared" si="358"/>
        <v>0.257387825092884</v>
      </c>
      <c r="AJ312" s="30"/>
      <c r="AK312" s="30"/>
      <c r="AL312" s="30"/>
      <c r="AM312" s="30"/>
      <c r="AN312" s="34"/>
      <c r="AO312" s="34"/>
      <c r="AP312" s="34"/>
      <c r="AQ312" s="34"/>
      <c r="AR312" s="34"/>
      <c r="AS312" s="34"/>
      <c r="AT312" s="34" t="s">
        <v>156</v>
      </c>
      <c r="AU312" s="34" t="s">
        <v>156</v>
      </c>
      <c r="AV312" s="34" t="s">
        <v>156</v>
      </c>
      <c r="AW312" s="34" t="s">
        <v>156</v>
      </c>
      <c r="AX312" s="34" t="s">
        <v>156</v>
      </c>
      <c r="AY312" s="34" t="s">
        <v>156</v>
      </c>
      <c r="AZ312" s="34" t="s">
        <v>156</v>
      </c>
      <c r="BA312" s="34" t="s">
        <v>156</v>
      </c>
      <c r="BB312" s="34" t="s">
        <v>156</v>
      </c>
      <c r="BC312" s="34" t="s">
        <v>156</v>
      </c>
      <c r="BD312" s="34" t="s">
        <v>156</v>
      </c>
      <c r="BE312" s="34" t="s">
        <v>156</v>
      </c>
      <c r="BF312" s="34" t="s">
        <v>156</v>
      </c>
      <c r="BG312" s="34" t="s">
        <v>156</v>
      </c>
      <c r="BH312" s="34" t="s">
        <v>156</v>
      </c>
      <c r="BI312" s="34" t="s">
        <v>156</v>
      </c>
      <c r="BJ312" s="34" t="s">
        <v>156</v>
      </c>
      <c r="BK312" s="34" t="s">
        <v>156</v>
      </c>
      <c r="BL312" s="34" t="s">
        <v>156</v>
      </c>
      <c r="BM312" s="34" t="s">
        <v>156</v>
      </c>
      <c r="BN312" s="34" t="s">
        <v>156</v>
      </c>
      <c r="BO312" s="34" t="s">
        <v>156</v>
      </c>
      <c r="BP312" s="34" t="s">
        <v>156</v>
      </c>
      <c r="BQ312" s="34" t="s">
        <v>156</v>
      </c>
      <c r="BR312" s="35"/>
      <c r="BS312" s="20" t="s">
        <v>157</v>
      </c>
    </row>
    <row r="313" ht="16.5" hidden="1" spans="1:71">
      <c r="A313" s="21" t="s">
        <v>48</v>
      </c>
      <c r="B313" s="21"/>
      <c r="C313" s="45"/>
      <c r="D313" s="60" t="s">
        <v>235</v>
      </c>
      <c r="E313" s="55">
        <v>24</v>
      </c>
      <c r="F313" s="24">
        <v>34.99</v>
      </c>
      <c r="G313" s="25">
        <f t="shared" si="340"/>
        <v>29.7415</v>
      </c>
      <c r="H313" s="25">
        <f t="shared" si="341"/>
        <v>24.7845833333333</v>
      </c>
      <c r="I313" s="25">
        <f t="shared" si="342"/>
        <v>0.89988716814159</v>
      </c>
      <c r="J313" s="26">
        <f t="shared" si="343"/>
        <v>0.0374952986725663</v>
      </c>
      <c r="K313" s="27">
        <f t="shared" si="344"/>
        <v>29.1583333333333</v>
      </c>
      <c r="L313" s="28">
        <f t="shared" si="345"/>
        <v>0.176907687910832</v>
      </c>
      <c r="M313" s="25">
        <f t="shared" si="346"/>
        <v>5.15833333333333</v>
      </c>
      <c r="N313" s="27">
        <f t="shared" si="359"/>
        <v>68.9469026548673</v>
      </c>
      <c r="O313" s="27">
        <f t="shared" si="347"/>
        <v>0.48125</v>
      </c>
      <c r="P313" s="21">
        <v>40</v>
      </c>
      <c r="Q313" s="29">
        <v>8</v>
      </c>
      <c r="R313" s="30">
        <f t="shared" si="348"/>
        <v>0.166666666666667</v>
      </c>
      <c r="S313" s="26">
        <f t="shared" si="349"/>
        <v>0.114318376679051</v>
      </c>
      <c r="T313" s="30">
        <f t="shared" si="350"/>
        <v>0.2186875</v>
      </c>
      <c r="U313" s="30">
        <v>0.01</v>
      </c>
      <c r="V313" s="30">
        <f t="shared" si="351"/>
        <v>0.359098451327434</v>
      </c>
      <c r="W313" s="30">
        <f t="shared" si="352"/>
        <v>0.0200520833333333</v>
      </c>
      <c r="X313" s="31">
        <v>0.188</v>
      </c>
      <c r="Y313" s="32">
        <v>4</v>
      </c>
      <c r="Z313" s="32">
        <f>F313*0.15</f>
        <v>5.2485</v>
      </c>
      <c r="AA313" s="32">
        <f t="shared" si="353"/>
        <v>0.24</v>
      </c>
      <c r="AB313" s="27">
        <f t="shared" si="354"/>
        <v>4.512</v>
      </c>
      <c r="AC313" s="27">
        <v>70</v>
      </c>
      <c r="AD313" s="33">
        <f t="shared" si="355"/>
        <v>61.9469026548673</v>
      </c>
      <c r="AE313" s="29">
        <f t="shared" si="360"/>
        <v>0.875</v>
      </c>
      <c r="AF313" s="30">
        <f t="shared" si="356"/>
        <v>0.3226401179941</v>
      </c>
      <c r="AG313" s="30">
        <f t="shared" si="357"/>
        <v>0.00455729166666667</v>
      </c>
      <c r="AH313" s="29">
        <v>7</v>
      </c>
      <c r="AI313" s="30">
        <f t="shared" si="358"/>
        <v>0.213704755980701</v>
      </c>
      <c r="AJ313" s="30"/>
      <c r="AK313" s="30"/>
      <c r="AL313" s="30"/>
      <c r="AM313" s="30"/>
      <c r="AN313" s="34"/>
      <c r="AO313" s="34"/>
      <c r="AP313" s="34"/>
      <c r="AQ313" s="34"/>
      <c r="AR313" s="34"/>
      <c r="AS313" s="34"/>
      <c r="AT313" s="34" t="s">
        <v>156</v>
      </c>
      <c r="AU313" s="34" t="s">
        <v>156</v>
      </c>
      <c r="AV313" s="34" t="s">
        <v>156</v>
      </c>
      <c r="AW313" s="34" t="s">
        <v>156</v>
      </c>
      <c r="AX313" s="34" t="s">
        <v>156</v>
      </c>
      <c r="AY313" s="34" t="s">
        <v>156</v>
      </c>
      <c r="AZ313" s="34" t="s">
        <v>156</v>
      </c>
      <c r="BA313" s="34" t="s">
        <v>156</v>
      </c>
      <c r="BB313" s="34" t="s">
        <v>156</v>
      </c>
      <c r="BC313" s="34" t="s">
        <v>156</v>
      </c>
      <c r="BD313" s="34" t="s">
        <v>156</v>
      </c>
      <c r="BE313" s="34" t="s">
        <v>156</v>
      </c>
      <c r="BF313" s="34" t="s">
        <v>156</v>
      </c>
      <c r="BG313" s="34" t="s">
        <v>156</v>
      </c>
      <c r="BH313" s="34" t="s">
        <v>156</v>
      </c>
      <c r="BI313" s="34" t="s">
        <v>156</v>
      </c>
      <c r="BJ313" s="34" t="s">
        <v>156</v>
      </c>
      <c r="BK313" s="34" t="s">
        <v>156</v>
      </c>
      <c r="BL313" s="34" t="s">
        <v>156</v>
      </c>
      <c r="BM313" s="34" t="s">
        <v>156</v>
      </c>
      <c r="BN313" s="34" t="s">
        <v>156</v>
      </c>
      <c r="BO313" s="34" t="s">
        <v>156</v>
      </c>
      <c r="BP313" s="34" t="s">
        <v>156</v>
      </c>
      <c r="BQ313" s="34" t="s">
        <v>156</v>
      </c>
      <c r="BR313" s="35"/>
      <c r="BS313" s="20" t="s">
        <v>157</v>
      </c>
    </row>
    <row r="314" ht="16.5" hidden="1" spans="1:71">
      <c r="A314" s="21" t="s">
        <v>161</v>
      </c>
      <c r="B314" s="21"/>
      <c r="C314" s="45"/>
      <c r="D314" s="42" t="s">
        <v>236</v>
      </c>
      <c r="E314" s="55">
        <v>24</v>
      </c>
      <c r="F314" s="24">
        <v>34.99</v>
      </c>
      <c r="G314" s="25">
        <f t="shared" si="340"/>
        <v>34.99</v>
      </c>
      <c r="H314" s="25">
        <f t="shared" si="341"/>
        <v>29.1583333333333</v>
      </c>
      <c r="I314" s="25">
        <f t="shared" si="342"/>
        <v>6.21088716814159</v>
      </c>
      <c r="J314" s="26">
        <f t="shared" si="343"/>
        <v>0.258786965339233</v>
      </c>
      <c r="K314" s="27">
        <f t="shared" si="344"/>
        <v>29.1583333333333</v>
      </c>
      <c r="L314" s="28">
        <f t="shared" si="345"/>
        <v>0.176907687910832</v>
      </c>
      <c r="M314" s="25">
        <f t="shared" si="346"/>
        <v>5.15833333333333</v>
      </c>
      <c r="N314" s="27">
        <f t="shared" si="359"/>
        <v>68.9469026548673</v>
      </c>
      <c r="O314" s="27">
        <f t="shared" si="347"/>
        <v>0.41875</v>
      </c>
      <c r="P314" s="21">
        <v>40</v>
      </c>
      <c r="Q314" s="29">
        <v>8</v>
      </c>
      <c r="R314" s="30">
        <f t="shared" si="348"/>
        <v>0.166666666666667</v>
      </c>
      <c r="S314" s="26">
        <f t="shared" si="349"/>
        <v>0.114318376679051</v>
      </c>
      <c r="T314" s="30">
        <f t="shared" si="350"/>
        <v>0</v>
      </c>
      <c r="U314" s="30">
        <v>0.01</v>
      </c>
      <c r="V314" s="30">
        <f t="shared" si="351"/>
        <v>0.359098451327434</v>
      </c>
      <c r="W314" s="30">
        <f t="shared" si="352"/>
        <v>0.0174479166666667</v>
      </c>
      <c r="X314" s="31">
        <v>0.188</v>
      </c>
      <c r="Y314" s="32">
        <v>4</v>
      </c>
      <c r="Z314" s="32">
        <f t="shared" ref="Z314:Z317" si="361">F314*0</f>
        <v>0</v>
      </c>
      <c r="AA314" s="32">
        <f t="shared" si="353"/>
        <v>0.24</v>
      </c>
      <c r="AB314" s="27">
        <f t="shared" si="354"/>
        <v>4.512</v>
      </c>
      <c r="AC314" s="27">
        <v>70</v>
      </c>
      <c r="AD314" s="33">
        <f t="shared" si="355"/>
        <v>61.9469026548673</v>
      </c>
      <c r="AE314" s="29">
        <f t="shared" si="360"/>
        <v>0.875</v>
      </c>
      <c r="AF314" s="30">
        <f t="shared" si="356"/>
        <v>0.3226401179941</v>
      </c>
      <c r="AG314" s="30">
        <f t="shared" si="357"/>
        <v>0.00455729166666667</v>
      </c>
      <c r="AH314" s="29">
        <v>7</v>
      </c>
      <c r="AI314" s="30">
        <f t="shared" si="358"/>
        <v>0.331649042583595</v>
      </c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 t="s">
        <v>156</v>
      </c>
      <c r="AU314" s="34" t="s">
        <v>156</v>
      </c>
      <c r="AV314" s="34" t="s">
        <v>156</v>
      </c>
      <c r="AW314" s="34" t="s">
        <v>156</v>
      </c>
      <c r="AX314" s="34" t="s">
        <v>156</v>
      </c>
      <c r="AY314" s="34" t="s">
        <v>156</v>
      </c>
      <c r="AZ314" s="34" t="s">
        <v>156</v>
      </c>
      <c r="BA314" s="34" t="s">
        <v>156</v>
      </c>
      <c r="BB314" s="34" t="s">
        <v>156</v>
      </c>
      <c r="BC314" s="34" t="s">
        <v>156</v>
      </c>
      <c r="BD314" s="34" t="s">
        <v>156</v>
      </c>
      <c r="BE314" s="34" t="s">
        <v>156</v>
      </c>
      <c r="BF314" s="34" t="s">
        <v>156</v>
      </c>
      <c r="BG314" s="34" t="s">
        <v>156</v>
      </c>
      <c r="BH314" s="34" t="s">
        <v>156</v>
      </c>
      <c r="BI314" s="34" t="s">
        <v>156</v>
      </c>
      <c r="BJ314" s="34" t="s">
        <v>156</v>
      </c>
      <c r="BK314" s="34" t="s">
        <v>156</v>
      </c>
      <c r="BL314" s="34" t="s">
        <v>156</v>
      </c>
      <c r="BM314" s="34" t="s">
        <v>156</v>
      </c>
      <c r="BN314" s="34" t="s">
        <v>156</v>
      </c>
      <c r="BO314" s="34" t="s">
        <v>156</v>
      </c>
      <c r="BP314" s="34" t="s">
        <v>156</v>
      </c>
      <c r="BQ314" s="34" t="s">
        <v>156</v>
      </c>
      <c r="BR314" s="44" t="e">
        <f>IF(E314&lt;#REF!,1,0)</f>
        <v>#REF!</v>
      </c>
      <c r="BS314" s="20" t="s">
        <v>157</v>
      </c>
    </row>
    <row r="315" ht="16.5" hidden="1" spans="1:71">
      <c r="A315" s="21" t="s">
        <v>163</v>
      </c>
      <c r="B315" s="21"/>
      <c r="C315" s="45"/>
      <c r="D315" s="42" t="s">
        <v>237</v>
      </c>
      <c r="E315" s="55">
        <v>27.5</v>
      </c>
      <c r="F315" s="38">
        <v>39.99</v>
      </c>
      <c r="G315" s="25">
        <f t="shared" si="340"/>
        <v>39.99</v>
      </c>
      <c r="H315" s="25">
        <f t="shared" si="341"/>
        <v>33.325</v>
      </c>
      <c r="I315" s="25">
        <f t="shared" si="342"/>
        <v>9.08538716814159</v>
      </c>
      <c r="J315" s="26">
        <f t="shared" si="343"/>
        <v>0.330377715205149</v>
      </c>
      <c r="K315" s="27">
        <f t="shared" si="344"/>
        <v>33.325</v>
      </c>
      <c r="L315" s="28">
        <f t="shared" si="345"/>
        <v>0.174793698424606</v>
      </c>
      <c r="M315" s="25">
        <f t="shared" si="346"/>
        <v>5.825</v>
      </c>
      <c r="N315" s="27">
        <f t="shared" si="359"/>
        <v>68.9469026548673</v>
      </c>
      <c r="O315" s="27">
        <f t="shared" si="347"/>
        <v>0.35125</v>
      </c>
      <c r="P315" s="21">
        <v>40</v>
      </c>
      <c r="Q315" s="29">
        <v>8</v>
      </c>
      <c r="R315" s="30">
        <f t="shared" si="348"/>
        <v>0.145454545454545</v>
      </c>
      <c r="S315" s="26">
        <f t="shared" si="349"/>
        <v>0.100025006251563</v>
      </c>
      <c r="T315" s="30">
        <f t="shared" si="350"/>
        <v>0</v>
      </c>
      <c r="U315" s="30">
        <v>0.01</v>
      </c>
      <c r="V315" s="30">
        <f t="shared" si="351"/>
        <v>0.313395012067579</v>
      </c>
      <c r="W315" s="30">
        <f t="shared" si="352"/>
        <v>0.0127727272727273</v>
      </c>
      <c r="X315" s="31">
        <v>0.188</v>
      </c>
      <c r="Y315" s="32">
        <v>4</v>
      </c>
      <c r="Z315" s="32">
        <f t="shared" si="361"/>
        <v>0</v>
      </c>
      <c r="AA315" s="32">
        <f t="shared" si="353"/>
        <v>0.275</v>
      </c>
      <c r="AB315" s="27">
        <f t="shared" si="354"/>
        <v>5.17</v>
      </c>
      <c r="AC315" s="27">
        <v>70</v>
      </c>
      <c r="AD315" s="33">
        <f t="shared" si="355"/>
        <v>61.9469026548673</v>
      </c>
      <c r="AE315" s="29">
        <f t="shared" si="360"/>
        <v>0.875</v>
      </c>
      <c r="AF315" s="30">
        <f t="shared" si="356"/>
        <v>0.281576830249397</v>
      </c>
      <c r="AG315" s="30">
        <f t="shared" si="357"/>
        <v>0.00397727272727273</v>
      </c>
      <c r="AH315" s="29">
        <v>7</v>
      </c>
      <c r="AI315" s="30">
        <f t="shared" si="358"/>
        <v>0.32993248312078</v>
      </c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 t="s">
        <v>156</v>
      </c>
      <c r="AU315" s="34" t="s">
        <v>156</v>
      </c>
      <c r="AV315" s="34" t="s">
        <v>156</v>
      </c>
      <c r="AW315" s="34" t="s">
        <v>156</v>
      </c>
      <c r="AX315" s="34" t="s">
        <v>156</v>
      </c>
      <c r="AY315" s="34" t="s">
        <v>156</v>
      </c>
      <c r="AZ315" s="34" t="s">
        <v>156</v>
      </c>
      <c r="BA315" s="34" t="s">
        <v>156</v>
      </c>
      <c r="BB315" s="34" t="s">
        <v>156</v>
      </c>
      <c r="BC315" s="34" t="s">
        <v>156</v>
      </c>
      <c r="BD315" s="34" t="s">
        <v>156</v>
      </c>
      <c r="BE315" s="34" t="s">
        <v>156</v>
      </c>
      <c r="BF315" s="34" t="s">
        <v>156</v>
      </c>
      <c r="BG315" s="34" t="s">
        <v>156</v>
      </c>
      <c r="BH315" s="34" t="s">
        <v>156</v>
      </c>
      <c r="BI315" s="34" t="s">
        <v>156</v>
      </c>
      <c r="BJ315" s="34" t="s">
        <v>156</v>
      </c>
      <c r="BK315" s="34" t="s">
        <v>156</v>
      </c>
      <c r="BL315" s="34" t="s">
        <v>156</v>
      </c>
      <c r="BM315" s="34" t="s">
        <v>156</v>
      </c>
      <c r="BN315" s="34" t="s">
        <v>156</v>
      </c>
      <c r="BO315" s="34" t="s">
        <v>156</v>
      </c>
      <c r="BP315" s="34" t="s">
        <v>156</v>
      </c>
      <c r="BQ315" s="34" t="s">
        <v>156</v>
      </c>
      <c r="BR315" s="44" t="e">
        <f>IF(E315&lt;#REF!,1,0)</f>
        <v>#REF!</v>
      </c>
      <c r="BS315" s="20" t="s">
        <v>157</v>
      </c>
    </row>
    <row r="316" ht="16.5" hidden="1" spans="1:71">
      <c r="A316" s="21" t="s">
        <v>165</v>
      </c>
      <c r="B316" s="21"/>
      <c r="C316" s="45"/>
      <c r="D316" s="42" t="s">
        <v>238</v>
      </c>
      <c r="E316" s="55">
        <v>27.5</v>
      </c>
      <c r="F316" s="24">
        <v>39.99</v>
      </c>
      <c r="G316" s="25">
        <f t="shared" si="340"/>
        <v>39.99</v>
      </c>
      <c r="H316" s="25">
        <f t="shared" si="341"/>
        <v>33.325</v>
      </c>
      <c r="I316" s="25">
        <f t="shared" si="342"/>
        <v>8.98038716814159</v>
      </c>
      <c r="J316" s="26">
        <f t="shared" si="343"/>
        <v>0.326559533386967</v>
      </c>
      <c r="K316" s="27">
        <f t="shared" si="344"/>
        <v>33.325</v>
      </c>
      <c r="L316" s="28">
        <f t="shared" si="345"/>
        <v>0.174793698424606</v>
      </c>
      <c r="M316" s="25">
        <f t="shared" si="346"/>
        <v>5.825</v>
      </c>
      <c r="N316" s="27">
        <f t="shared" si="359"/>
        <v>68.9469026548673</v>
      </c>
      <c r="O316" s="27">
        <f t="shared" si="347"/>
        <v>0.45625</v>
      </c>
      <c r="P316" s="21">
        <v>40</v>
      </c>
      <c r="Q316" s="29">
        <v>8</v>
      </c>
      <c r="R316" s="30">
        <f t="shared" si="348"/>
        <v>0.145454545454545</v>
      </c>
      <c r="S316" s="26">
        <f t="shared" si="349"/>
        <v>0.100025006251563</v>
      </c>
      <c r="T316" s="30">
        <f t="shared" si="350"/>
        <v>0</v>
      </c>
      <c r="U316" s="30">
        <v>0.01</v>
      </c>
      <c r="V316" s="30">
        <f t="shared" si="351"/>
        <v>0.313395012067579</v>
      </c>
      <c r="W316" s="30">
        <f t="shared" si="352"/>
        <v>0.0165909090909091</v>
      </c>
      <c r="X316" s="31">
        <v>0.188</v>
      </c>
      <c r="Y316" s="32">
        <v>4</v>
      </c>
      <c r="Z316" s="32">
        <f t="shared" si="361"/>
        <v>0</v>
      </c>
      <c r="AA316" s="32">
        <f t="shared" si="353"/>
        <v>0.275</v>
      </c>
      <c r="AB316" s="27">
        <f t="shared" si="354"/>
        <v>5.17</v>
      </c>
      <c r="AC316" s="27">
        <v>70</v>
      </c>
      <c r="AD316" s="33">
        <f t="shared" si="355"/>
        <v>61.9469026548673</v>
      </c>
      <c r="AE316" s="29">
        <f t="shared" si="360"/>
        <v>0.875</v>
      </c>
      <c r="AF316" s="30">
        <f t="shared" si="356"/>
        <v>0.281576830249397</v>
      </c>
      <c r="AG316" s="30">
        <f t="shared" si="357"/>
        <v>0.00397727272727273</v>
      </c>
      <c r="AH316" s="29">
        <v>7</v>
      </c>
      <c r="AI316" s="30">
        <f t="shared" si="358"/>
        <v>0.32993248312078</v>
      </c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 t="s">
        <v>156</v>
      </c>
      <c r="AU316" s="34" t="s">
        <v>156</v>
      </c>
      <c r="AV316" s="34" t="s">
        <v>156</v>
      </c>
      <c r="AW316" s="34" t="s">
        <v>156</v>
      </c>
      <c r="AX316" s="34" t="s">
        <v>156</v>
      </c>
      <c r="AY316" s="34" t="s">
        <v>156</v>
      </c>
      <c r="AZ316" s="34" t="s">
        <v>156</v>
      </c>
      <c r="BA316" s="34" t="s">
        <v>156</v>
      </c>
      <c r="BB316" s="34" t="s">
        <v>156</v>
      </c>
      <c r="BC316" s="34" t="s">
        <v>156</v>
      </c>
      <c r="BD316" s="34" t="s">
        <v>156</v>
      </c>
      <c r="BE316" s="34" t="s">
        <v>156</v>
      </c>
      <c r="BF316" s="34" t="s">
        <v>156</v>
      </c>
      <c r="BG316" s="34" t="s">
        <v>156</v>
      </c>
      <c r="BH316" s="34" t="s">
        <v>156</v>
      </c>
      <c r="BI316" s="34" t="s">
        <v>156</v>
      </c>
      <c r="BJ316" s="34" t="s">
        <v>156</v>
      </c>
      <c r="BK316" s="34" t="s">
        <v>156</v>
      </c>
      <c r="BL316" s="34" t="s">
        <v>156</v>
      </c>
      <c r="BM316" s="34" t="s">
        <v>156</v>
      </c>
      <c r="BN316" s="34" t="s">
        <v>156</v>
      </c>
      <c r="BO316" s="34" t="s">
        <v>156</v>
      </c>
      <c r="BP316" s="34" t="s">
        <v>156</v>
      </c>
      <c r="BQ316" s="34" t="s">
        <v>156</v>
      </c>
      <c r="BR316" s="44" t="e">
        <f>IF(E316&lt;#REF!,1,0)</f>
        <v>#REF!</v>
      </c>
      <c r="BS316" s="20" t="s">
        <v>157</v>
      </c>
    </row>
    <row r="317" ht="16.5" hidden="1" spans="1:71">
      <c r="A317" s="21" t="s">
        <v>167</v>
      </c>
      <c r="B317" s="21"/>
      <c r="C317" s="45"/>
      <c r="D317" s="42" t="s">
        <v>239</v>
      </c>
      <c r="E317" s="55">
        <v>24</v>
      </c>
      <c r="F317" s="24">
        <v>34.99</v>
      </c>
      <c r="G317" s="25">
        <f t="shared" si="340"/>
        <v>34.99</v>
      </c>
      <c r="H317" s="25">
        <f t="shared" si="341"/>
        <v>29.1583333333333</v>
      </c>
      <c r="I317" s="25">
        <f t="shared" si="342"/>
        <v>6.27338716814159</v>
      </c>
      <c r="J317" s="26">
        <f t="shared" si="343"/>
        <v>0.2613911320059</v>
      </c>
      <c r="K317" s="27">
        <f t="shared" si="344"/>
        <v>29.1583333333333</v>
      </c>
      <c r="L317" s="28">
        <f t="shared" si="345"/>
        <v>0.176907687910832</v>
      </c>
      <c r="M317" s="25">
        <f t="shared" si="346"/>
        <v>5.15833333333333</v>
      </c>
      <c r="N317" s="27">
        <f t="shared" si="359"/>
        <v>68.9469026548673</v>
      </c>
      <c r="O317" s="27">
        <f t="shared" si="347"/>
        <v>0.35625</v>
      </c>
      <c r="P317" s="21">
        <v>40</v>
      </c>
      <c r="Q317" s="29">
        <v>8</v>
      </c>
      <c r="R317" s="30">
        <f t="shared" si="348"/>
        <v>0.166666666666667</v>
      </c>
      <c r="S317" s="26">
        <f t="shared" si="349"/>
        <v>0.114318376679051</v>
      </c>
      <c r="T317" s="30">
        <f t="shared" si="350"/>
        <v>0</v>
      </c>
      <c r="U317" s="30">
        <v>0.01</v>
      </c>
      <c r="V317" s="30">
        <f t="shared" si="351"/>
        <v>0.359098451327434</v>
      </c>
      <c r="W317" s="30">
        <f t="shared" si="352"/>
        <v>0.01484375</v>
      </c>
      <c r="X317" s="31">
        <v>0.188</v>
      </c>
      <c r="Y317" s="32">
        <v>4</v>
      </c>
      <c r="Z317" s="32">
        <f t="shared" si="361"/>
        <v>0</v>
      </c>
      <c r="AA317" s="32">
        <f t="shared" si="353"/>
        <v>0.24</v>
      </c>
      <c r="AB317" s="27">
        <f t="shared" si="354"/>
        <v>4.512</v>
      </c>
      <c r="AC317" s="27">
        <v>70</v>
      </c>
      <c r="AD317" s="33">
        <f t="shared" si="355"/>
        <v>61.9469026548673</v>
      </c>
      <c r="AE317" s="29">
        <f t="shared" si="360"/>
        <v>0.875</v>
      </c>
      <c r="AF317" s="30">
        <f t="shared" si="356"/>
        <v>0.3226401179941</v>
      </c>
      <c r="AG317" s="30">
        <f t="shared" si="357"/>
        <v>0.00455729166666667</v>
      </c>
      <c r="AH317" s="29">
        <v>7</v>
      </c>
      <c r="AI317" s="30">
        <f t="shared" si="358"/>
        <v>0.331649042583595</v>
      </c>
      <c r="AJ317" s="30"/>
      <c r="AK317" s="30"/>
      <c r="AL317" s="30"/>
      <c r="AM317" s="30"/>
      <c r="AN317" s="34"/>
      <c r="AO317" s="34"/>
      <c r="AP317" s="34"/>
      <c r="AQ317" s="34"/>
      <c r="AR317" s="34"/>
      <c r="AS317" s="34"/>
      <c r="AT317" s="34" t="s">
        <v>156</v>
      </c>
      <c r="AU317" s="34" t="s">
        <v>156</v>
      </c>
      <c r="AV317" s="34" t="s">
        <v>156</v>
      </c>
      <c r="AW317" s="34" t="s">
        <v>156</v>
      </c>
      <c r="AX317" s="34" t="s">
        <v>156</v>
      </c>
      <c r="AY317" s="34" t="s">
        <v>156</v>
      </c>
      <c r="AZ317" s="34" t="s">
        <v>156</v>
      </c>
      <c r="BA317" s="34" t="s">
        <v>156</v>
      </c>
      <c r="BB317" s="34" t="s">
        <v>156</v>
      </c>
      <c r="BC317" s="34" t="s">
        <v>156</v>
      </c>
      <c r="BD317" s="34" t="s">
        <v>156</v>
      </c>
      <c r="BE317" s="34" t="s">
        <v>156</v>
      </c>
      <c r="BF317" s="34" t="s">
        <v>156</v>
      </c>
      <c r="BG317" s="34" t="s">
        <v>156</v>
      </c>
      <c r="BH317" s="34" t="s">
        <v>156</v>
      </c>
      <c r="BI317" s="34" t="s">
        <v>156</v>
      </c>
      <c r="BJ317" s="34" t="s">
        <v>156</v>
      </c>
      <c r="BK317" s="34" t="s">
        <v>156</v>
      </c>
      <c r="BL317" s="34" t="s">
        <v>156</v>
      </c>
      <c r="BM317" s="34" t="s">
        <v>156</v>
      </c>
      <c r="BN317" s="34" t="s">
        <v>156</v>
      </c>
      <c r="BO317" s="34" t="s">
        <v>156</v>
      </c>
      <c r="BP317" s="34" t="s">
        <v>156</v>
      </c>
      <c r="BQ317" s="34" t="s">
        <v>156</v>
      </c>
      <c r="BR317" s="44" t="e">
        <f>IF(E317&lt;#REF!,1,0)</f>
        <v>#REF!</v>
      </c>
      <c r="BS317" s="20" t="s">
        <v>157</v>
      </c>
    </row>
    <row r="318" spans="1:71">
      <c r="G318" s="48"/>
      <c r="H318" s="48"/>
      <c r="S318" s="48"/>
      <c r="AE318" s="49"/>
      <c r="AI318" s="48"/>
    </row>
    <row r="319" ht="16.5" hidden="1" spans="1:71">
      <c r="A319" s="20" t="s">
        <v>50</v>
      </c>
      <c r="B319" s="21"/>
      <c r="C319" s="51"/>
      <c r="D319" s="59" t="s">
        <v>240</v>
      </c>
      <c r="E319" s="55">
        <v>25.5</v>
      </c>
      <c r="F319" s="38">
        <v>36.99</v>
      </c>
      <c r="G319" s="25">
        <f t="shared" ref="G319:G337" si="362">(F319-Z319)</f>
        <v>36.99</v>
      </c>
      <c r="H319" s="25">
        <f t="shared" ref="H319:H337" si="363">(F319-Z319)/1.2</f>
        <v>30.825</v>
      </c>
      <c r="I319" s="25">
        <f t="shared" ref="I319:I337" si="364">E319-N319/Q319-AB319-Y319-O319-Z319-AA319</f>
        <v>6.62511873156342</v>
      </c>
      <c r="J319" s="26">
        <f t="shared" ref="J319:J337" si="365">I319/E319</f>
        <v>0.25980857770837</v>
      </c>
      <c r="K319" s="27">
        <f t="shared" ref="K319:K337" si="366">F319/1.2</f>
        <v>30.825</v>
      </c>
      <c r="L319" s="28">
        <f t="shared" ref="L319:L337" si="367">(K319-E319)/K319</f>
        <v>0.172749391727494</v>
      </c>
      <c r="M319" s="25">
        <f t="shared" ref="M319:M337" si="368">F319/1.2-E319</f>
        <v>5.325</v>
      </c>
      <c r="N319" s="27">
        <f>AD319+AH320</f>
        <v>78.3716814159292</v>
      </c>
      <c r="O319" s="27">
        <f t="shared" ref="O319:O337" si="369">IFERROR(IF(A319="UK",8.95/P319,IF(A319="DE",7.75/P319,IF(A319="FR",14.25/P319,IF(A319="IT",15.25/P319,IF(A319="ES",19.25/P319,IF(A319="NL",16.75/P319,IF(A319="PL",14.05/P319,IF(A319="SE",18.25/P319,IF(A319="BE",14.25/P319))))))))),0)</f>
        <v>0.372916666666667</v>
      </c>
      <c r="P319" s="20">
        <v>24</v>
      </c>
      <c r="Q319" s="29">
        <v>9</v>
      </c>
      <c r="R319" s="30">
        <f t="shared" ref="R319:R337" si="370">Y319/E319</f>
        <v>0.196078431372549</v>
      </c>
      <c r="S319" s="26">
        <f t="shared" ref="S319:S337" si="371">Y319/F319</f>
        <v>0.135171668018383</v>
      </c>
      <c r="T319" s="30">
        <f t="shared" ref="T319:T337" si="372">Z319/E319</f>
        <v>0</v>
      </c>
      <c r="U319" s="30">
        <v>0.01</v>
      </c>
      <c r="V319" s="30">
        <f t="shared" ref="V319:V337" si="373">N319/(E319*Q319)</f>
        <v>0.341488807912546</v>
      </c>
      <c r="W319" s="30">
        <f t="shared" ref="W319:W337" si="374">O319/E319</f>
        <v>0.0146241830065359</v>
      </c>
      <c r="X319" s="31">
        <v>0.178</v>
      </c>
      <c r="Y319" s="32">
        <v>5</v>
      </c>
      <c r="Z319" s="32">
        <v>0</v>
      </c>
      <c r="AA319" s="32">
        <f t="shared" ref="AA319:AA337" si="375">E319*U319</f>
        <v>0.255</v>
      </c>
      <c r="AB319" s="27">
        <f t="shared" ref="AB319:AB337" si="376">E319*X319</f>
        <v>4.539</v>
      </c>
      <c r="AC319" s="27">
        <v>75</v>
      </c>
      <c r="AD319" s="33">
        <f t="shared" ref="AD319:AD337" si="377">AC319/1.13</f>
        <v>66.3716814159292</v>
      </c>
      <c r="AE319" s="29">
        <f>AH320/Q319</f>
        <v>1.33333333333333</v>
      </c>
      <c r="AF319" s="30">
        <f t="shared" ref="AF319:AF337" si="378">AD319/(E319*Q319)</f>
        <v>0.289201226213199</v>
      </c>
      <c r="AG319" s="30">
        <f t="shared" ref="AG319:AG337" si="379">AE319/Q319/E319</f>
        <v>0.00580973129992738</v>
      </c>
      <c r="AH319" s="29">
        <v>12</v>
      </c>
      <c r="AI319" s="30">
        <f t="shared" ref="AI319:AI337" si="380">(H319-E319+AB319)/H319</f>
        <v>0.32</v>
      </c>
      <c r="AJ319" s="30"/>
      <c r="AK319" s="30"/>
      <c r="AL319" s="30"/>
      <c r="AM319" s="30"/>
      <c r="AN319" s="34"/>
      <c r="AO319" s="34"/>
      <c r="AP319" s="34"/>
      <c r="AQ319" s="34"/>
      <c r="AR319" s="34"/>
      <c r="AS319" s="34"/>
      <c r="AT319" s="34" t="s">
        <v>156</v>
      </c>
      <c r="AU319" s="34" t="s">
        <v>156</v>
      </c>
      <c r="AV319" s="34" t="s">
        <v>156</v>
      </c>
      <c r="AW319" s="34" t="s">
        <v>156</v>
      </c>
      <c r="AX319" s="34" t="s">
        <v>156</v>
      </c>
      <c r="AY319" s="34" t="s">
        <v>156</v>
      </c>
      <c r="AZ319" s="34" t="s">
        <v>156</v>
      </c>
      <c r="BA319" s="34" t="s">
        <v>156</v>
      </c>
      <c r="BB319" s="34" t="s">
        <v>156</v>
      </c>
      <c r="BC319" s="34" t="s">
        <v>156</v>
      </c>
      <c r="BD319" s="34" t="s">
        <v>156</v>
      </c>
      <c r="BE319" s="34" t="s">
        <v>156</v>
      </c>
      <c r="BF319" s="34" t="s">
        <v>156</v>
      </c>
      <c r="BG319" s="34" t="s">
        <v>156</v>
      </c>
      <c r="BH319" s="34" t="s">
        <v>156</v>
      </c>
      <c r="BI319" s="34" t="s">
        <v>156</v>
      </c>
      <c r="BJ319" s="34" t="s">
        <v>156</v>
      </c>
      <c r="BK319" s="34" t="s">
        <v>156</v>
      </c>
      <c r="BL319" s="34" t="s">
        <v>156</v>
      </c>
      <c r="BM319" s="34" t="s">
        <v>156</v>
      </c>
      <c r="BN319" s="34" t="s">
        <v>156</v>
      </c>
      <c r="BO319" s="34" t="s">
        <v>156</v>
      </c>
      <c r="BP319" s="34" t="s">
        <v>156</v>
      </c>
      <c r="BQ319" s="34" t="s">
        <v>156</v>
      </c>
      <c r="BR319" s="35"/>
      <c r="BS319" s="20" t="s">
        <v>157</v>
      </c>
    </row>
    <row r="320" ht="16.5" hidden="1" spans="1:71">
      <c r="A320" s="20" t="s">
        <v>50</v>
      </c>
      <c r="B320" s="21"/>
      <c r="C320" s="45"/>
      <c r="D320" s="59" t="s">
        <v>241</v>
      </c>
      <c r="E320" s="55">
        <v>25.5</v>
      </c>
      <c r="F320" s="24">
        <v>36.99</v>
      </c>
      <c r="G320" s="25">
        <f t="shared" si="362"/>
        <v>33.291</v>
      </c>
      <c r="H320" s="25">
        <f t="shared" si="363"/>
        <v>27.7425</v>
      </c>
      <c r="I320" s="36">
        <f t="shared" si="364"/>
        <v>2.92611873156342</v>
      </c>
      <c r="J320" s="26">
        <f t="shared" si="365"/>
        <v>0.114749754178958</v>
      </c>
      <c r="K320" s="27">
        <f t="shared" si="366"/>
        <v>30.825</v>
      </c>
      <c r="L320" s="28">
        <f t="shared" si="367"/>
        <v>0.172749391727494</v>
      </c>
      <c r="M320" s="25">
        <f t="shared" si="368"/>
        <v>5.325</v>
      </c>
      <c r="N320" s="27">
        <f t="shared" ref="N320:N337" si="381">AD320+AH320</f>
        <v>78.3716814159292</v>
      </c>
      <c r="O320" s="27">
        <f t="shared" si="369"/>
        <v>0.372916666666667</v>
      </c>
      <c r="P320" s="21">
        <v>24</v>
      </c>
      <c r="Q320" s="29">
        <v>9</v>
      </c>
      <c r="R320" s="30">
        <f t="shared" si="370"/>
        <v>0.196078431372549</v>
      </c>
      <c r="S320" s="26">
        <f t="shared" si="371"/>
        <v>0.135171668018383</v>
      </c>
      <c r="T320" s="30">
        <f t="shared" si="372"/>
        <v>0.145058823529412</v>
      </c>
      <c r="U320" s="30">
        <v>0.01</v>
      </c>
      <c r="V320" s="30">
        <f t="shared" si="373"/>
        <v>0.341488807912546</v>
      </c>
      <c r="W320" s="30">
        <f t="shared" si="374"/>
        <v>0.0146241830065359</v>
      </c>
      <c r="X320" s="31">
        <v>0.178</v>
      </c>
      <c r="Y320" s="32">
        <v>5</v>
      </c>
      <c r="Z320" s="32">
        <f>F320*0.1</f>
        <v>3.699</v>
      </c>
      <c r="AA320" s="32">
        <f t="shared" si="375"/>
        <v>0.255</v>
      </c>
      <c r="AB320" s="27">
        <f t="shared" si="376"/>
        <v>4.539</v>
      </c>
      <c r="AC320" s="27">
        <v>75</v>
      </c>
      <c r="AD320" s="33">
        <f t="shared" si="377"/>
        <v>66.3716814159292</v>
      </c>
      <c r="AE320" s="29">
        <f t="shared" ref="AE320:AE337" si="382">AH320/Q320</f>
        <v>1.33333333333333</v>
      </c>
      <c r="AF320" s="30">
        <f t="shared" si="378"/>
        <v>0.289201226213199</v>
      </c>
      <c r="AG320" s="30">
        <f t="shared" si="379"/>
        <v>0.00580973129992738</v>
      </c>
      <c r="AH320" s="29">
        <v>12</v>
      </c>
      <c r="AI320" s="30">
        <f t="shared" si="380"/>
        <v>0.244444444444445</v>
      </c>
      <c r="AJ320" s="30"/>
      <c r="AK320" s="30"/>
      <c r="AL320" s="30"/>
      <c r="AM320" s="30"/>
      <c r="AN320" s="34"/>
      <c r="AO320" s="34"/>
      <c r="AP320" s="34"/>
      <c r="AQ320" s="34"/>
      <c r="AR320" s="34"/>
      <c r="AS320" s="34"/>
      <c r="AT320" s="34" t="s">
        <v>156</v>
      </c>
      <c r="AU320" s="34" t="s">
        <v>156</v>
      </c>
      <c r="AV320" s="34" t="s">
        <v>156</v>
      </c>
      <c r="AW320" s="34" t="s">
        <v>156</v>
      </c>
      <c r="AX320" s="34" t="s">
        <v>156</v>
      </c>
      <c r="AY320" s="34" t="s">
        <v>156</v>
      </c>
      <c r="AZ320" s="34" t="s">
        <v>156</v>
      </c>
      <c r="BA320" s="34" t="s">
        <v>156</v>
      </c>
      <c r="BB320" s="34" t="s">
        <v>156</v>
      </c>
      <c r="BC320" s="34" t="s">
        <v>156</v>
      </c>
      <c r="BD320" s="34" t="s">
        <v>156</v>
      </c>
      <c r="BE320" s="34" t="s">
        <v>156</v>
      </c>
      <c r="BF320" s="34" t="s">
        <v>156</v>
      </c>
      <c r="BG320" s="34" t="s">
        <v>156</v>
      </c>
      <c r="BH320" s="34" t="s">
        <v>156</v>
      </c>
      <c r="BI320" s="34" t="s">
        <v>156</v>
      </c>
      <c r="BJ320" s="34" t="s">
        <v>156</v>
      </c>
      <c r="BK320" s="34" t="s">
        <v>156</v>
      </c>
      <c r="BL320" s="34" t="s">
        <v>156</v>
      </c>
      <c r="BM320" s="34" t="s">
        <v>156</v>
      </c>
      <c r="BN320" s="34" t="s">
        <v>156</v>
      </c>
      <c r="BO320" s="34" t="s">
        <v>156</v>
      </c>
      <c r="BP320" s="34" t="s">
        <v>156</v>
      </c>
      <c r="BQ320" s="34" t="s">
        <v>156</v>
      </c>
      <c r="BR320" s="35"/>
      <c r="BS320" s="20" t="s">
        <v>157</v>
      </c>
    </row>
    <row r="321" ht="16.5" hidden="1" spans="1:71">
      <c r="A321" s="20" t="s">
        <v>50</v>
      </c>
      <c r="B321" s="21"/>
      <c r="C321" s="45"/>
      <c r="D321" s="59" t="s">
        <v>242</v>
      </c>
      <c r="E321" s="55">
        <v>25.5</v>
      </c>
      <c r="F321" s="24">
        <v>36.99</v>
      </c>
      <c r="G321" s="25">
        <f t="shared" si="362"/>
        <v>31.4415</v>
      </c>
      <c r="H321" s="25">
        <f t="shared" si="363"/>
        <v>26.20125</v>
      </c>
      <c r="I321" s="25">
        <f t="shared" si="364"/>
        <v>1.07661873156342</v>
      </c>
      <c r="J321" s="26">
        <f t="shared" si="365"/>
        <v>0.042220342414252</v>
      </c>
      <c r="K321" s="27">
        <f t="shared" si="366"/>
        <v>30.825</v>
      </c>
      <c r="L321" s="28">
        <f t="shared" si="367"/>
        <v>0.172749391727494</v>
      </c>
      <c r="M321" s="25">
        <f t="shared" si="368"/>
        <v>5.325</v>
      </c>
      <c r="N321" s="27">
        <f t="shared" si="381"/>
        <v>78.3716814159292</v>
      </c>
      <c r="O321" s="27">
        <f t="shared" si="369"/>
        <v>0.372916666666667</v>
      </c>
      <c r="P321" s="21">
        <v>24</v>
      </c>
      <c r="Q321" s="29">
        <v>9</v>
      </c>
      <c r="R321" s="30">
        <f t="shared" si="370"/>
        <v>0.196078431372549</v>
      </c>
      <c r="S321" s="26">
        <f t="shared" si="371"/>
        <v>0.135171668018383</v>
      </c>
      <c r="T321" s="30">
        <f t="shared" si="372"/>
        <v>0.217588235294118</v>
      </c>
      <c r="U321" s="30">
        <v>0.01</v>
      </c>
      <c r="V321" s="30">
        <f t="shared" si="373"/>
        <v>0.341488807912546</v>
      </c>
      <c r="W321" s="30">
        <f t="shared" si="374"/>
        <v>0.0146241830065359</v>
      </c>
      <c r="X321" s="31">
        <v>0.178</v>
      </c>
      <c r="Y321" s="32">
        <v>5</v>
      </c>
      <c r="Z321" s="32">
        <f>F321*0.15</f>
        <v>5.5485</v>
      </c>
      <c r="AA321" s="32">
        <f t="shared" si="375"/>
        <v>0.255</v>
      </c>
      <c r="AB321" s="27">
        <f t="shared" si="376"/>
        <v>4.539</v>
      </c>
      <c r="AC321" s="27">
        <v>75</v>
      </c>
      <c r="AD321" s="33">
        <f t="shared" si="377"/>
        <v>66.3716814159292</v>
      </c>
      <c r="AE321" s="29">
        <f t="shared" si="382"/>
        <v>1.33333333333333</v>
      </c>
      <c r="AF321" s="30">
        <f t="shared" si="378"/>
        <v>0.289201226213199</v>
      </c>
      <c r="AG321" s="30">
        <f t="shared" si="379"/>
        <v>0.00580973129992738</v>
      </c>
      <c r="AH321" s="29">
        <v>12</v>
      </c>
      <c r="AI321" s="30">
        <f t="shared" si="380"/>
        <v>0.2</v>
      </c>
      <c r="AJ321" s="30"/>
      <c r="AK321" s="30"/>
      <c r="AL321" s="30"/>
      <c r="AM321" s="30"/>
      <c r="AN321" s="34"/>
      <c r="AO321" s="34"/>
      <c r="AP321" s="34"/>
      <c r="AQ321" s="34"/>
      <c r="AR321" s="34"/>
      <c r="AS321" s="34"/>
      <c r="AT321" s="34" t="s">
        <v>156</v>
      </c>
      <c r="AU321" s="34" t="s">
        <v>156</v>
      </c>
      <c r="AV321" s="34" t="s">
        <v>156</v>
      </c>
      <c r="AW321" s="34" t="s">
        <v>156</v>
      </c>
      <c r="AX321" s="34" t="s">
        <v>156</v>
      </c>
      <c r="AY321" s="34" t="s">
        <v>156</v>
      </c>
      <c r="AZ321" s="34" t="s">
        <v>156</v>
      </c>
      <c r="BA321" s="34" t="s">
        <v>156</v>
      </c>
      <c r="BB321" s="34" t="s">
        <v>156</v>
      </c>
      <c r="BC321" s="34" t="s">
        <v>156</v>
      </c>
      <c r="BD321" s="34" t="s">
        <v>156</v>
      </c>
      <c r="BE321" s="34" t="s">
        <v>156</v>
      </c>
      <c r="BF321" s="34" t="s">
        <v>156</v>
      </c>
      <c r="BG321" s="34" t="s">
        <v>156</v>
      </c>
      <c r="BH321" s="34" t="s">
        <v>156</v>
      </c>
      <c r="BI321" s="34" t="s">
        <v>156</v>
      </c>
      <c r="BJ321" s="34" t="s">
        <v>156</v>
      </c>
      <c r="BK321" s="34" t="s">
        <v>156</v>
      </c>
      <c r="BL321" s="34" t="s">
        <v>156</v>
      </c>
      <c r="BM321" s="34" t="s">
        <v>156</v>
      </c>
      <c r="BN321" s="34" t="s">
        <v>156</v>
      </c>
      <c r="BO321" s="34" t="s">
        <v>156</v>
      </c>
      <c r="BP321" s="34" t="s">
        <v>156</v>
      </c>
      <c r="BQ321" s="34" t="s">
        <v>156</v>
      </c>
      <c r="BR321" s="35"/>
      <c r="BS321" s="20" t="s">
        <v>157</v>
      </c>
    </row>
    <row r="322" ht="16.5" hidden="1" spans="1:71">
      <c r="A322" s="21" t="s">
        <v>37</v>
      </c>
      <c r="B322" s="21"/>
      <c r="C322" s="45"/>
      <c r="D322" s="60" t="s">
        <v>240</v>
      </c>
      <c r="E322" s="55">
        <v>27.5</v>
      </c>
      <c r="F322" s="38">
        <v>39.99</v>
      </c>
      <c r="G322" s="25">
        <f t="shared" si="362"/>
        <v>39.99</v>
      </c>
      <c r="H322" s="25">
        <f t="shared" si="363"/>
        <v>33.325</v>
      </c>
      <c r="I322" s="25">
        <f t="shared" si="364"/>
        <v>6.93562315634218</v>
      </c>
      <c r="J322" s="26">
        <f t="shared" si="365"/>
        <v>0.252204478412443</v>
      </c>
      <c r="K322" s="27">
        <f t="shared" si="366"/>
        <v>33.325</v>
      </c>
      <c r="L322" s="28">
        <f t="shared" si="367"/>
        <v>0.174793698424606</v>
      </c>
      <c r="M322" s="25">
        <f t="shared" si="368"/>
        <v>5.825</v>
      </c>
      <c r="N322" s="27">
        <f>AD322+AH323</f>
        <v>78.3716814159292</v>
      </c>
      <c r="O322" s="27">
        <f t="shared" si="369"/>
        <v>0.322916666666667</v>
      </c>
      <c r="P322" s="21">
        <v>24</v>
      </c>
      <c r="Q322" s="29">
        <v>8</v>
      </c>
      <c r="R322" s="30">
        <f t="shared" si="370"/>
        <v>0.181818181818182</v>
      </c>
      <c r="S322" s="26">
        <f t="shared" si="371"/>
        <v>0.125031257814454</v>
      </c>
      <c r="T322" s="30">
        <f t="shared" si="372"/>
        <v>0</v>
      </c>
      <c r="U322" s="30">
        <v>0.01</v>
      </c>
      <c r="V322" s="30">
        <f t="shared" si="373"/>
        <v>0.356234915526951</v>
      </c>
      <c r="W322" s="30">
        <f t="shared" si="374"/>
        <v>0.0117424242424242</v>
      </c>
      <c r="X322" s="31">
        <v>0.188</v>
      </c>
      <c r="Y322" s="32">
        <v>5</v>
      </c>
      <c r="Z322" s="32">
        <v>0</v>
      </c>
      <c r="AA322" s="32">
        <f t="shared" si="375"/>
        <v>0.275</v>
      </c>
      <c r="AB322" s="27">
        <f t="shared" si="376"/>
        <v>5.17</v>
      </c>
      <c r="AC322" s="27">
        <v>75</v>
      </c>
      <c r="AD322" s="33">
        <f t="shared" si="377"/>
        <v>66.3716814159292</v>
      </c>
      <c r="AE322" s="29">
        <f>AH323/Q322</f>
        <v>1.5</v>
      </c>
      <c r="AF322" s="30">
        <f t="shared" si="378"/>
        <v>0.301689460981496</v>
      </c>
      <c r="AG322" s="30">
        <f t="shared" si="379"/>
        <v>0.00681818181818182</v>
      </c>
      <c r="AH322" s="29">
        <v>12</v>
      </c>
      <c r="AI322" s="30">
        <f t="shared" si="380"/>
        <v>0.32993248312078</v>
      </c>
      <c r="AJ322" s="30"/>
      <c r="AK322" s="30"/>
      <c r="AL322" s="30"/>
      <c r="AM322" s="30"/>
      <c r="AN322" s="34"/>
      <c r="AO322" s="34"/>
      <c r="AP322" s="34"/>
      <c r="AQ322" s="34"/>
      <c r="AR322" s="34"/>
      <c r="AS322" s="34"/>
      <c r="AT322" s="34" t="s">
        <v>156</v>
      </c>
      <c r="AU322" s="34" t="s">
        <v>156</v>
      </c>
      <c r="AV322" s="34" t="s">
        <v>156</v>
      </c>
      <c r="AW322" s="34" t="s">
        <v>156</v>
      </c>
      <c r="AX322" s="34" t="s">
        <v>156</v>
      </c>
      <c r="AY322" s="34" t="s">
        <v>156</v>
      </c>
      <c r="AZ322" s="34" t="s">
        <v>156</v>
      </c>
      <c r="BA322" s="34" t="s">
        <v>156</v>
      </c>
      <c r="BB322" s="34" t="s">
        <v>156</v>
      </c>
      <c r="BC322" s="34" t="s">
        <v>156</v>
      </c>
      <c r="BD322" s="34" t="s">
        <v>156</v>
      </c>
      <c r="BE322" s="34" t="s">
        <v>156</v>
      </c>
      <c r="BF322" s="34" t="s">
        <v>156</v>
      </c>
      <c r="BG322" s="34" t="s">
        <v>156</v>
      </c>
      <c r="BH322" s="34" t="s">
        <v>156</v>
      </c>
      <c r="BI322" s="34" t="s">
        <v>156</v>
      </c>
      <c r="BJ322" s="34" t="s">
        <v>156</v>
      </c>
      <c r="BK322" s="34" t="s">
        <v>156</v>
      </c>
      <c r="BL322" s="34" t="s">
        <v>156</v>
      </c>
      <c r="BM322" s="34" t="s">
        <v>156</v>
      </c>
      <c r="BN322" s="34" t="s">
        <v>156</v>
      </c>
      <c r="BO322" s="34" t="s">
        <v>156</v>
      </c>
      <c r="BP322" s="34" t="s">
        <v>156</v>
      </c>
      <c r="BQ322" s="34" t="s">
        <v>156</v>
      </c>
      <c r="BR322" s="35"/>
      <c r="BS322" s="20" t="s">
        <v>157</v>
      </c>
    </row>
    <row r="323" ht="16.5" hidden="1" spans="1:71">
      <c r="A323" s="21" t="s">
        <v>37</v>
      </c>
      <c r="B323" s="21"/>
      <c r="C323" s="45"/>
      <c r="D323" s="60" t="s">
        <v>241</v>
      </c>
      <c r="E323" s="55">
        <v>27.5</v>
      </c>
      <c r="F323" s="24">
        <v>39.99</v>
      </c>
      <c r="G323" s="25">
        <f t="shared" si="362"/>
        <v>35.991</v>
      </c>
      <c r="H323" s="25">
        <f t="shared" si="363"/>
        <v>29.9925</v>
      </c>
      <c r="I323" s="36">
        <f t="shared" si="364"/>
        <v>2.93662315634218</v>
      </c>
      <c r="J323" s="26">
        <f t="shared" si="365"/>
        <v>0.106786296594261</v>
      </c>
      <c r="K323" s="27">
        <f t="shared" si="366"/>
        <v>33.325</v>
      </c>
      <c r="L323" s="28">
        <f t="shared" si="367"/>
        <v>0.174793698424606</v>
      </c>
      <c r="M323" s="25">
        <f t="shared" si="368"/>
        <v>5.825</v>
      </c>
      <c r="N323" s="27">
        <f t="shared" si="381"/>
        <v>78.3716814159292</v>
      </c>
      <c r="O323" s="27">
        <f t="shared" si="369"/>
        <v>0.322916666666667</v>
      </c>
      <c r="P323" s="21">
        <v>24</v>
      </c>
      <c r="Q323" s="29">
        <v>8</v>
      </c>
      <c r="R323" s="30">
        <f t="shared" si="370"/>
        <v>0.181818181818182</v>
      </c>
      <c r="S323" s="26">
        <f t="shared" si="371"/>
        <v>0.125031257814454</v>
      </c>
      <c r="T323" s="30">
        <f t="shared" si="372"/>
        <v>0.145418181818182</v>
      </c>
      <c r="U323" s="30">
        <v>0.01</v>
      </c>
      <c r="V323" s="30">
        <f t="shared" si="373"/>
        <v>0.356234915526951</v>
      </c>
      <c r="W323" s="30">
        <f t="shared" si="374"/>
        <v>0.0117424242424242</v>
      </c>
      <c r="X323" s="31">
        <v>0.188</v>
      </c>
      <c r="Y323" s="32">
        <v>5</v>
      </c>
      <c r="Z323" s="32">
        <f>F323*0.1</f>
        <v>3.999</v>
      </c>
      <c r="AA323" s="32">
        <f t="shared" si="375"/>
        <v>0.275</v>
      </c>
      <c r="AB323" s="27">
        <f t="shared" si="376"/>
        <v>5.17</v>
      </c>
      <c r="AC323" s="27">
        <v>75</v>
      </c>
      <c r="AD323" s="33">
        <f t="shared" si="377"/>
        <v>66.3716814159292</v>
      </c>
      <c r="AE323" s="29">
        <f t="shared" si="382"/>
        <v>1.5</v>
      </c>
      <c r="AF323" s="30">
        <f t="shared" si="378"/>
        <v>0.301689460981496</v>
      </c>
      <c r="AG323" s="30">
        <f t="shared" si="379"/>
        <v>0.00681818181818182</v>
      </c>
      <c r="AH323" s="29">
        <v>12</v>
      </c>
      <c r="AI323" s="30">
        <f t="shared" si="380"/>
        <v>0.255480536800867</v>
      </c>
      <c r="AJ323" s="30"/>
      <c r="AK323" s="30"/>
      <c r="AL323" s="30"/>
      <c r="AM323" s="30"/>
      <c r="AN323" s="34"/>
      <c r="AO323" s="34"/>
      <c r="AP323" s="34"/>
      <c r="AQ323" s="34"/>
      <c r="AR323" s="34"/>
      <c r="AS323" s="34"/>
      <c r="AT323" s="34" t="s">
        <v>156</v>
      </c>
      <c r="AU323" s="34" t="s">
        <v>156</v>
      </c>
      <c r="AV323" s="34" t="s">
        <v>156</v>
      </c>
      <c r="AW323" s="34" t="s">
        <v>156</v>
      </c>
      <c r="AX323" s="34" t="s">
        <v>156</v>
      </c>
      <c r="AY323" s="34" t="s">
        <v>156</v>
      </c>
      <c r="AZ323" s="34" t="s">
        <v>156</v>
      </c>
      <c r="BA323" s="34" t="s">
        <v>156</v>
      </c>
      <c r="BB323" s="34" t="s">
        <v>156</v>
      </c>
      <c r="BC323" s="34" t="s">
        <v>156</v>
      </c>
      <c r="BD323" s="34" t="s">
        <v>156</v>
      </c>
      <c r="BE323" s="34" t="s">
        <v>156</v>
      </c>
      <c r="BF323" s="34" t="s">
        <v>156</v>
      </c>
      <c r="BG323" s="34" t="s">
        <v>156</v>
      </c>
      <c r="BH323" s="34" t="s">
        <v>156</v>
      </c>
      <c r="BI323" s="34" t="s">
        <v>156</v>
      </c>
      <c r="BJ323" s="34" t="s">
        <v>156</v>
      </c>
      <c r="BK323" s="34" t="s">
        <v>156</v>
      </c>
      <c r="BL323" s="34" t="s">
        <v>156</v>
      </c>
      <c r="BM323" s="34" t="s">
        <v>156</v>
      </c>
      <c r="BN323" s="34" t="s">
        <v>156</v>
      </c>
      <c r="BO323" s="34" t="s">
        <v>156</v>
      </c>
      <c r="BP323" s="34" t="s">
        <v>156</v>
      </c>
      <c r="BQ323" s="34" t="s">
        <v>156</v>
      </c>
      <c r="BR323" s="35"/>
      <c r="BS323" s="20" t="s">
        <v>157</v>
      </c>
    </row>
    <row r="324" ht="16.5" hidden="1" spans="1:71">
      <c r="A324" s="21" t="s">
        <v>37</v>
      </c>
      <c r="B324" s="21"/>
      <c r="C324" s="45"/>
      <c r="D324" s="60" t="s">
        <v>242</v>
      </c>
      <c r="E324" s="55">
        <v>27.5</v>
      </c>
      <c r="F324" s="24">
        <v>39.99</v>
      </c>
      <c r="G324" s="25">
        <f t="shared" si="362"/>
        <v>33.9915</v>
      </c>
      <c r="H324" s="25">
        <f t="shared" si="363"/>
        <v>28.32625</v>
      </c>
      <c r="I324" s="25">
        <f t="shared" si="364"/>
        <v>0.937123156342183</v>
      </c>
      <c r="J324" s="26">
        <f t="shared" si="365"/>
        <v>0.0340772056851703</v>
      </c>
      <c r="K324" s="27">
        <f t="shared" si="366"/>
        <v>33.325</v>
      </c>
      <c r="L324" s="28">
        <f t="shared" si="367"/>
        <v>0.174793698424606</v>
      </c>
      <c r="M324" s="25">
        <f t="shared" si="368"/>
        <v>5.825</v>
      </c>
      <c r="N324" s="27">
        <f t="shared" si="381"/>
        <v>78.3716814159292</v>
      </c>
      <c r="O324" s="27">
        <f t="shared" si="369"/>
        <v>0.322916666666667</v>
      </c>
      <c r="P324" s="21">
        <v>24</v>
      </c>
      <c r="Q324" s="29">
        <v>8</v>
      </c>
      <c r="R324" s="30">
        <f t="shared" si="370"/>
        <v>0.181818181818182</v>
      </c>
      <c r="S324" s="26">
        <f t="shared" si="371"/>
        <v>0.125031257814454</v>
      </c>
      <c r="T324" s="30">
        <f t="shared" si="372"/>
        <v>0.218127272727273</v>
      </c>
      <c r="U324" s="30">
        <v>0.01</v>
      </c>
      <c r="V324" s="30">
        <f t="shared" si="373"/>
        <v>0.356234915526951</v>
      </c>
      <c r="W324" s="30">
        <f t="shared" si="374"/>
        <v>0.0117424242424242</v>
      </c>
      <c r="X324" s="31">
        <v>0.188</v>
      </c>
      <c r="Y324" s="32">
        <v>5</v>
      </c>
      <c r="Z324" s="32">
        <f>F324*0.15</f>
        <v>5.9985</v>
      </c>
      <c r="AA324" s="32">
        <f t="shared" si="375"/>
        <v>0.275</v>
      </c>
      <c r="AB324" s="27">
        <f t="shared" si="376"/>
        <v>5.17</v>
      </c>
      <c r="AC324" s="27">
        <v>75</v>
      </c>
      <c r="AD324" s="33">
        <f t="shared" si="377"/>
        <v>66.3716814159292</v>
      </c>
      <c r="AE324" s="29">
        <f t="shared" si="382"/>
        <v>1.5</v>
      </c>
      <c r="AF324" s="30">
        <f t="shared" si="378"/>
        <v>0.301689460981496</v>
      </c>
      <c r="AG324" s="30">
        <f t="shared" si="379"/>
        <v>0.00681818181818182</v>
      </c>
      <c r="AH324" s="29">
        <v>12</v>
      </c>
      <c r="AI324" s="30">
        <f t="shared" si="380"/>
        <v>0.211685274259741</v>
      </c>
      <c r="AJ324" s="30"/>
      <c r="AK324" s="30"/>
      <c r="AL324" s="30"/>
      <c r="AM324" s="30"/>
      <c r="AN324" s="34"/>
      <c r="AO324" s="34"/>
      <c r="AP324" s="34"/>
      <c r="AQ324" s="34"/>
      <c r="AR324" s="34"/>
      <c r="AS324" s="34"/>
      <c r="AT324" s="34" t="s">
        <v>156</v>
      </c>
      <c r="AU324" s="34" t="s">
        <v>156</v>
      </c>
      <c r="AV324" s="34" t="s">
        <v>156</v>
      </c>
      <c r="AW324" s="34" t="s">
        <v>156</v>
      </c>
      <c r="AX324" s="34" t="s">
        <v>156</v>
      </c>
      <c r="AY324" s="34" t="s">
        <v>156</v>
      </c>
      <c r="AZ324" s="34" t="s">
        <v>156</v>
      </c>
      <c r="BA324" s="34" t="s">
        <v>156</v>
      </c>
      <c r="BB324" s="34" t="s">
        <v>156</v>
      </c>
      <c r="BC324" s="34" t="s">
        <v>156</v>
      </c>
      <c r="BD324" s="34" t="s">
        <v>156</v>
      </c>
      <c r="BE324" s="34" t="s">
        <v>156</v>
      </c>
      <c r="BF324" s="34" t="s">
        <v>156</v>
      </c>
      <c r="BG324" s="34" t="s">
        <v>156</v>
      </c>
      <c r="BH324" s="34" t="s">
        <v>156</v>
      </c>
      <c r="BI324" s="34" t="s">
        <v>156</v>
      </c>
      <c r="BJ324" s="34" t="s">
        <v>156</v>
      </c>
      <c r="BK324" s="34" t="s">
        <v>156</v>
      </c>
      <c r="BL324" s="34" t="s">
        <v>156</v>
      </c>
      <c r="BM324" s="34" t="s">
        <v>156</v>
      </c>
      <c r="BN324" s="34" t="s">
        <v>156</v>
      </c>
      <c r="BO324" s="34" t="s">
        <v>156</v>
      </c>
      <c r="BP324" s="34" t="s">
        <v>156</v>
      </c>
      <c r="BQ324" s="34" t="s">
        <v>156</v>
      </c>
      <c r="BR324" s="35"/>
      <c r="BS324" s="20" t="s">
        <v>157</v>
      </c>
    </row>
    <row r="325" ht="16.5" hidden="1" spans="1:71">
      <c r="A325" s="21" t="s">
        <v>43</v>
      </c>
      <c r="B325" s="21"/>
      <c r="C325" s="45"/>
      <c r="D325" s="60" t="s">
        <v>240</v>
      </c>
      <c r="E325" s="55">
        <v>27.5</v>
      </c>
      <c r="F325" s="24">
        <v>39.99</v>
      </c>
      <c r="G325" s="25">
        <f t="shared" si="362"/>
        <v>39.99</v>
      </c>
      <c r="H325" s="25">
        <f t="shared" si="363"/>
        <v>33.325</v>
      </c>
      <c r="I325" s="25">
        <f t="shared" si="364"/>
        <v>6.66478982300885</v>
      </c>
      <c r="J325" s="26">
        <f t="shared" si="365"/>
        <v>0.242355993563958</v>
      </c>
      <c r="K325" s="27">
        <f t="shared" si="366"/>
        <v>33.325</v>
      </c>
      <c r="L325" s="28">
        <f t="shared" si="367"/>
        <v>0.174793698424606</v>
      </c>
      <c r="M325" s="25">
        <f t="shared" si="368"/>
        <v>5.825</v>
      </c>
      <c r="N325" s="27">
        <f t="shared" si="381"/>
        <v>78.3716814159292</v>
      </c>
      <c r="O325" s="27">
        <f t="shared" si="369"/>
        <v>0.59375</v>
      </c>
      <c r="P325" s="21">
        <v>24</v>
      </c>
      <c r="Q325" s="29">
        <v>8</v>
      </c>
      <c r="R325" s="30">
        <f t="shared" si="370"/>
        <v>0.181818181818182</v>
      </c>
      <c r="S325" s="26">
        <f t="shared" si="371"/>
        <v>0.125031257814454</v>
      </c>
      <c r="T325" s="30">
        <f t="shared" si="372"/>
        <v>0</v>
      </c>
      <c r="U325" s="30">
        <v>0.01</v>
      </c>
      <c r="V325" s="30">
        <f t="shared" si="373"/>
        <v>0.356234915526951</v>
      </c>
      <c r="W325" s="30">
        <f t="shared" si="374"/>
        <v>0.0215909090909091</v>
      </c>
      <c r="X325" s="31">
        <v>0.188</v>
      </c>
      <c r="Y325" s="32">
        <v>5</v>
      </c>
      <c r="Z325" s="32">
        <v>0</v>
      </c>
      <c r="AA325" s="32">
        <f t="shared" si="375"/>
        <v>0.275</v>
      </c>
      <c r="AB325" s="27">
        <f t="shared" si="376"/>
        <v>5.17</v>
      </c>
      <c r="AC325" s="27">
        <v>75</v>
      </c>
      <c r="AD325" s="33">
        <f t="shared" si="377"/>
        <v>66.3716814159292</v>
      </c>
      <c r="AE325" s="29">
        <f t="shared" si="382"/>
        <v>1.5</v>
      </c>
      <c r="AF325" s="30">
        <f t="shared" si="378"/>
        <v>0.301689460981496</v>
      </c>
      <c r="AG325" s="30">
        <f t="shared" si="379"/>
        <v>0.00681818181818182</v>
      </c>
      <c r="AH325" s="29">
        <v>12</v>
      </c>
      <c r="AI325" s="30">
        <f t="shared" si="380"/>
        <v>0.32993248312078</v>
      </c>
      <c r="AJ325" s="30"/>
      <c r="AK325" s="30"/>
      <c r="AL325" s="30"/>
      <c r="AM325" s="30"/>
      <c r="AN325" s="34"/>
      <c r="AO325" s="34"/>
      <c r="AP325" s="34"/>
      <c r="AQ325" s="34"/>
      <c r="AR325" s="34"/>
      <c r="AS325" s="34"/>
      <c r="AT325" s="34" t="s">
        <v>156</v>
      </c>
      <c r="AU325" s="34" t="s">
        <v>156</v>
      </c>
      <c r="AV325" s="34" t="s">
        <v>156</v>
      </c>
      <c r="AW325" s="34" t="s">
        <v>156</v>
      </c>
      <c r="AX325" s="34" t="s">
        <v>156</v>
      </c>
      <c r="AY325" s="34" t="s">
        <v>156</v>
      </c>
      <c r="AZ325" s="34" t="s">
        <v>156</v>
      </c>
      <c r="BA325" s="34" t="s">
        <v>156</v>
      </c>
      <c r="BB325" s="34" t="s">
        <v>156</v>
      </c>
      <c r="BC325" s="34" t="s">
        <v>156</v>
      </c>
      <c r="BD325" s="34" t="s">
        <v>156</v>
      </c>
      <c r="BE325" s="34" t="s">
        <v>156</v>
      </c>
      <c r="BF325" s="34" t="s">
        <v>156</v>
      </c>
      <c r="BG325" s="34" t="s">
        <v>156</v>
      </c>
      <c r="BH325" s="34" t="s">
        <v>156</v>
      </c>
      <c r="BI325" s="34" t="s">
        <v>156</v>
      </c>
      <c r="BJ325" s="34" t="s">
        <v>156</v>
      </c>
      <c r="BK325" s="34" t="s">
        <v>156</v>
      </c>
      <c r="BL325" s="34" t="s">
        <v>156</v>
      </c>
      <c r="BM325" s="34" t="s">
        <v>156</v>
      </c>
      <c r="BN325" s="34" t="s">
        <v>156</v>
      </c>
      <c r="BO325" s="34" t="s">
        <v>156</v>
      </c>
      <c r="BP325" s="34" t="s">
        <v>156</v>
      </c>
      <c r="BQ325" s="34" t="s">
        <v>156</v>
      </c>
      <c r="BR325" s="35"/>
      <c r="BS325" s="20" t="s">
        <v>157</v>
      </c>
    </row>
    <row r="326" ht="16.5" hidden="1" spans="1:71">
      <c r="A326" s="21" t="s">
        <v>43</v>
      </c>
      <c r="B326" s="21"/>
      <c r="C326" s="45"/>
      <c r="D326" s="60" t="s">
        <v>241</v>
      </c>
      <c r="E326" s="55">
        <v>27.5</v>
      </c>
      <c r="F326" s="24">
        <v>39.99</v>
      </c>
      <c r="G326" s="25">
        <f t="shared" si="362"/>
        <v>35.991</v>
      </c>
      <c r="H326" s="25">
        <f t="shared" si="363"/>
        <v>29.9925</v>
      </c>
      <c r="I326" s="36">
        <f t="shared" si="364"/>
        <v>2.66578982300885</v>
      </c>
      <c r="J326" s="26">
        <f t="shared" si="365"/>
        <v>0.0969378117457763</v>
      </c>
      <c r="K326" s="27">
        <f t="shared" si="366"/>
        <v>33.325</v>
      </c>
      <c r="L326" s="28">
        <f t="shared" si="367"/>
        <v>0.174793698424606</v>
      </c>
      <c r="M326" s="25">
        <f t="shared" si="368"/>
        <v>5.825</v>
      </c>
      <c r="N326" s="27">
        <f t="shared" si="381"/>
        <v>78.3716814159292</v>
      </c>
      <c r="O326" s="27">
        <f t="shared" si="369"/>
        <v>0.59375</v>
      </c>
      <c r="P326" s="21">
        <v>24</v>
      </c>
      <c r="Q326" s="29">
        <v>8</v>
      </c>
      <c r="R326" s="30">
        <f t="shared" si="370"/>
        <v>0.181818181818182</v>
      </c>
      <c r="S326" s="26">
        <f t="shared" si="371"/>
        <v>0.125031257814454</v>
      </c>
      <c r="T326" s="30">
        <f t="shared" si="372"/>
        <v>0.145418181818182</v>
      </c>
      <c r="U326" s="30">
        <v>0.01</v>
      </c>
      <c r="V326" s="30">
        <f t="shared" si="373"/>
        <v>0.356234915526951</v>
      </c>
      <c r="W326" s="30">
        <f t="shared" si="374"/>
        <v>0.0215909090909091</v>
      </c>
      <c r="X326" s="31">
        <v>0.188</v>
      </c>
      <c r="Y326" s="32">
        <v>5</v>
      </c>
      <c r="Z326" s="32">
        <f>F326*0.1</f>
        <v>3.999</v>
      </c>
      <c r="AA326" s="32">
        <f t="shared" si="375"/>
        <v>0.275</v>
      </c>
      <c r="AB326" s="27">
        <f t="shared" si="376"/>
        <v>5.17</v>
      </c>
      <c r="AC326" s="27">
        <v>75</v>
      </c>
      <c r="AD326" s="33">
        <f t="shared" si="377"/>
        <v>66.3716814159292</v>
      </c>
      <c r="AE326" s="29">
        <f t="shared" si="382"/>
        <v>1.5</v>
      </c>
      <c r="AF326" s="30">
        <f t="shared" si="378"/>
        <v>0.301689460981496</v>
      </c>
      <c r="AG326" s="30">
        <f t="shared" si="379"/>
        <v>0.00681818181818182</v>
      </c>
      <c r="AH326" s="29">
        <v>12</v>
      </c>
      <c r="AI326" s="30">
        <f t="shared" si="380"/>
        <v>0.255480536800867</v>
      </c>
      <c r="AJ326" s="30"/>
      <c r="AK326" s="30"/>
      <c r="AL326" s="30"/>
      <c r="AM326" s="30"/>
      <c r="AN326" s="34"/>
      <c r="AO326" s="34"/>
      <c r="AP326" s="34"/>
      <c r="AQ326" s="34"/>
      <c r="AR326" s="34"/>
      <c r="AS326" s="34"/>
      <c r="AT326" s="34" t="s">
        <v>156</v>
      </c>
      <c r="AU326" s="34" t="s">
        <v>156</v>
      </c>
      <c r="AV326" s="34" t="s">
        <v>156</v>
      </c>
      <c r="AW326" s="34" t="s">
        <v>156</v>
      </c>
      <c r="AX326" s="34" t="s">
        <v>156</v>
      </c>
      <c r="AY326" s="34" t="s">
        <v>156</v>
      </c>
      <c r="AZ326" s="34" t="s">
        <v>156</v>
      </c>
      <c r="BA326" s="34" t="s">
        <v>156</v>
      </c>
      <c r="BB326" s="34" t="s">
        <v>156</v>
      </c>
      <c r="BC326" s="34" t="s">
        <v>156</v>
      </c>
      <c r="BD326" s="34" t="s">
        <v>156</v>
      </c>
      <c r="BE326" s="34" t="s">
        <v>156</v>
      </c>
      <c r="BF326" s="34" t="s">
        <v>156</v>
      </c>
      <c r="BG326" s="34" t="s">
        <v>156</v>
      </c>
      <c r="BH326" s="34" t="s">
        <v>156</v>
      </c>
      <c r="BI326" s="34" t="s">
        <v>156</v>
      </c>
      <c r="BJ326" s="34" t="s">
        <v>156</v>
      </c>
      <c r="BK326" s="34" t="s">
        <v>156</v>
      </c>
      <c r="BL326" s="34" t="s">
        <v>156</v>
      </c>
      <c r="BM326" s="34" t="s">
        <v>156</v>
      </c>
      <c r="BN326" s="34" t="s">
        <v>156</v>
      </c>
      <c r="BO326" s="34" t="s">
        <v>156</v>
      </c>
      <c r="BP326" s="34" t="s">
        <v>156</v>
      </c>
      <c r="BQ326" s="34" t="s">
        <v>156</v>
      </c>
      <c r="BR326" s="35"/>
      <c r="BS326" s="20" t="s">
        <v>157</v>
      </c>
    </row>
    <row r="327" ht="16.5" hidden="1" spans="1:71">
      <c r="A327" s="21" t="s">
        <v>43</v>
      </c>
      <c r="B327" s="21"/>
      <c r="C327" s="45"/>
      <c r="D327" s="60" t="s">
        <v>242</v>
      </c>
      <c r="E327" s="55">
        <v>27.5</v>
      </c>
      <c r="F327" s="24">
        <v>39.99</v>
      </c>
      <c r="G327" s="25">
        <f t="shared" si="362"/>
        <v>33.9915</v>
      </c>
      <c r="H327" s="25">
        <f t="shared" si="363"/>
        <v>28.32625</v>
      </c>
      <c r="I327" s="25">
        <f t="shared" si="364"/>
        <v>0.66628982300885</v>
      </c>
      <c r="J327" s="26">
        <f t="shared" si="365"/>
        <v>0.0242287208366854</v>
      </c>
      <c r="K327" s="27">
        <f t="shared" si="366"/>
        <v>33.325</v>
      </c>
      <c r="L327" s="28">
        <f t="shared" si="367"/>
        <v>0.174793698424606</v>
      </c>
      <c r="M327" s="25">
        <f t="shared" si="368"/>
        <v>5.825</v>
      </c>
      <c r="N327" s="27">
        <f t="shared" si="381"/>
        <v>78.3716814159292</v>
      </c>
      <c r="O327" s="27">
        <f t="shared" si="369"/>
        <v>0.59375</v>
      </c>
      <c r="P327" s="21">
        <v>24</v>
      </c>
      <c r="Q327" s="29">
        <v>8</v>
      </c>
      <c r="R327" s="30">
        <f t="shared" si="370"/>
        <v>0.181818181818182</v>
      </c>
      <c r="S327" s="26">
        <f t="shared" si="371"/>
        <v>0.125031257814454</v>
      </c>
      <c r="T327" s="30">
        <f t="shared" si="372"/>
        <v>0.218127272727273</v>
      </c>
      <c r="U327" s="30">
        <v>0.01</v>
      </c>
      <c r="V327" s="30">
        <f t="shared" si="373"/>
        <v>0.356234915526951</v>
      </c>
      <c r="W327" s="30">
        <f t="shared" si="374"/>
        <v>0.0215909090909091</v>
      </c>
      <c r="X327" s="31">
        <v>0.188</v>
      </c>
      <c r="Y327" s="32">
        <v>5</v>
      </c>
      <c r="Z327" s="32">
        <f>F327*0.15</f>
        <v>5.9985</v>
      </c>
      <c r="AA327" s="32">
        <f t="shared" si="375"/>
        <v>0.275</v>
      </c>
      <c r="AB327" s="27">
        <f t="shared" si="376"/>
        <v>5.17</v>
      </c>
      <c r="AC327" s="27">
        <v>75</v>
      </c>
      <c r="AD327" s="33">
        <f t="shared" si="377"/>
        <v>66.3716814159292</v>
      </c>
      <c r="AE327" s="29">
        <f t="shared" si="382"/>
        <v>1.5</v>
      </c>
      <c r="AF327" s="30">
        <f t="shared" si="378"/>
        <v>0.301689460981496</v>
      </c>
      <c r="AG327" s="30">
        <f t="shared" si="379"/>
        <v>0.00681818181818182</v>
      </c>
      <c r="AH327" s="29">
        <v>12</v>
      </c>
      <c r="AI327" s="30">
        <f t="shared" si="380"/>
        <v>0.211685274259741</v>
      </c>
      <c r="AJ327" s="30"/>
      <c r="AK327" s="30"/>
      <c r="AL327" s="30"/>
      <c r="AM327" s="30"/>
      <c r="AN327" s="34"/>
      <c r="AO327" s="34"/>
      <c r="AP327" s="34"/>
      <c r="AQ327" s="34"/>
      <c r="AR327" s="34"/>
      <c r="AS327" s="34"/>
      <c r="AT327" s="34" t="s">
        <v>156</v>
      </c>
      <c r="AU327" s="34" t="s">
        <v>156</v>
      </c>
      <c r="AV327" s="34" t="s">
        <v>156</v>
      </c>
      <c r="AW327" s="34" t="s">
        <v>156</v>
      </c>
      <c r="AX327" s="34" t="s">
        <v>156</v>
      </c>
      <c r="AY327" s="34" t="s">
        <v>156</v>
      </c>
      <c r="AZ327" s="34" t="s">
        <v>156</v>
      </c>
      <c r="BA327" s="34" t="s">
        <v>156</v>
      </c>
      <c r="BB327" s="34" t="s">
        <v>156</v>
      </c>
      <c r="BC327" s="34" t="s">
        <v>156</v>
      </c>
      <c r="BD327" s="34" t="s">
        <v>156</v>
      </c>
      <c r="BE327" s="34" t="s">
        <v>156</v>
      </c>
      <c r="BF327" s="34" t="s">
        <v>156</v>
      </c>
      <c r="BG327" s="34" t="s">
        <v>156</v>
      </c>
      <c r="BH327" s="34" t="s">
        <v>156</v>
      </c>
      <c r="BI327" s="34" t="s">
        <v>156</v>
      </c>
      <c r="BJ327" s="34" t="s">
        <v>156</v>
      </c>
      <c r="BK327" s="34" t="s">
        <v>156</v>
      </c>
      <c r="BL327" s="34" t="s">
        <v>156</v>
      </c>
      <c r="BM327" s="34" t="s">
        <v>156</v>
      </c>
      <c r="BN327" s="34" t="s">
        <v>156</v>
      </c>
      <c r="BO327" s="34" t="s">
        <v>156</v>
      </c>
      <c r="BP327" s="34" t="s">
        <v>156</v>
      </c>
      <c r="BQ327" s="34" t="s">
        <v>156</v>
      </c>
      <c r="BR327" s="35"/>
      <c r="BS327" s="20" t="s">
        <v>157</v>
      </c>
    </row>
    <row r="328" ht="16.5" hidden="1" spans="1:71">
      <c r="A328" s="21" t="s">
        <v>45</v>
      </c>
      <c r="B328" s="21"/>
      <c r="C328" s="45"/>
      <c r="D328" s="60" t="s">
        <v>240</v>
      </c>
      <c r="E328" s="55">
        <v>27.5</v>
      </c>
      <c r="F328" s="24">
        <v>39.99</v>
      </c>
      <c r="G328" s="25">
        <f t="shared" si="362"/>
        <v>39.99</v>
      </c>
      <c r="H328" s="25">
        <f t="shared" si="363"/>
        <v>33.325</v>
      </c>
      <c r="I328" s="25">
        <f t="shared" si="364"/>
        <v>6.62312315634218</v>
      </c>
      <c r="J328" s="26">
        <f t="shared" si="365"/>
        <v>0.240840842048807</v>
      </c>
      <c r="K328" s="27">
        <f t="shared" si="366"/>
        <v>33.325</v>
      </c>
      <c r="L328" s="28">
        <f t="shared" si="367"/>
        <v>0.174793698424606</v>
      </c>
      <c r="M328" s="25">
        <f t="shared" si="368"/>
        <v>5.825</v>
      </c>
      <c r="N328" s="27">
        <f t="shared" si="381"/>
        <v>78.3716814159292</v>
      </c>
      <c r="O328" s="27">
        <f t="shared" si="369"/>
        <v>0.635416666666667</v>
      </c>
      <c r="P328" s="21">
        <v>24</v>
      </c>
      <c r="Q328" s="29">
        <v>8</v>
      </c>
      <c r="R328" s="30">
        <f t="shared" si="370"/>
        <v>0.181818181818182</v>
      </c>
      <c r="S328" s="26">
        <f t="shared" si="371"/>
        <v>0.125031257814454</v>
      </c>
      <c r="T328" s="30">
        <f t="shared" si="372"/>
        <v>0</v>
      </c>
      <c r="U328" s="30">
        <v>0.01</v>
      </c>
      <c r="V328" s="30">
        <f t="shared" si="373"/>
        <v>0.356234915526951</v>
      </c>
      <c r="W328" s="30">
        <f t="shared" si="374"/>
        <v>0.0231060606060606</v>
      </c>
      <c r="X328" s="31">
        <v>0.188</v>
      </c>
      <c r="Y328" s="32">
        <v>5</v>
      </c>
      <c r="Z328" s="32">
        <v>0</v>
      </c>
      <c r="AA328" s="32">
        <f t="shared" si="375"/>
        <v>0.275</v>
      </c>
      <c r="AB328" s="27">
        <f t="shared" si="376"/>
        <v>5.17</v>
      </c>
      <c r="AC328" s="27">
        <v>75</v>
      </c>
      <c r="AD328" s="33">
        <f t="shared" si="377"/>
        <v>66.3716814159292</v>
      </c>
      <c r="AE328" s="29">
        <f t="shared" si="382"/>
        <v>1.5</v>
      </c>
      <c r="AF328" s="30">
        <f t="shared" si="378"/>
        <v>0.301689460981496</v>
      </c>
      <c r="AG328" s="30">
        <f t="shared" si="379"/>
        <v>0.00681818181818182</v>
      </c>
      <c r="AH328" s="29">
        <v>12</v>
      </c>
      <c r="AI328" s="26">
        <f t="shared" si="380"/>
        <v>0.32993248312078</v>
      </c>
      <c r="AJ328" s="26"/>
      <c r="AK328" s="26"/>
      <c r="AL328" s="26"/>
      <c r="AM328" s="26"/>
      <c r="AN328" s="34"/>
      <c r="AO328" s="34"/>
      <c r="AP328" s="34"/>
      <c r="AQ328" s="34"/>
      <c r="AR328" s="34"/>
      <c r="AS328" s="34"/>
      <c r="AT328" s="34" t="s">
        <v>156</v>
      </c>
      <c r="AU328" s="34" t="s">
        <v>156</v>
      </c>
      <c r="AV328" s="34" t="s">
        <v>156</v>
      </c>
      <c r="AW328" s="34" t="s">
        <v>156</v>
      </c>
      <c r="AX328" s="34" t="s">
        <v>156</v>
      </c>
      <c r="AY328" s="34" t="s">
        <v>156</v>
      </c>
      <c r="AZ328" s="34" t="s">
        <v>156</v>
      </c>
      <c r="BA328" s="34" t="s">
        <v>156</v>
      </c>
      <c r="BB328" s="34" t="s">
        <v>156</v>
      </c>
      <c r="BC328" s="34" t="s">
        <v>156</v>
      </c>
      <c r="BD328" s="34" t="s">
        <v>156</v>
      </c>
      <c r="BE328" s="34" t="s">
        <v>156</v>
      </c>
      <c r="BF328" s="34" t="s">
        <v>156</v>
      </c>
      <c r="BG328" s="34" t="s">
        <v>156</v>
      </c>
      <c r="BH328" s="34" t="s">
        <v>156</v>
      </c>
      <c r="BI328" s="34" t="s">
        <v>156</v>
      </c>
      <c r="BJ328" s="34" t="s">
        <v>156</v>
      </c>
      <c r="BK328" s="34" t="s">
        <v>156</v>
      </c>
      <c r="BL328" s="34" t="s">
        <v>156</v>
      </c>
      <c r="BM328" s="34" t="s">
        <v>156</v>
      </c>
      <c r="BN328" s="34" t="s">
        <v>156</v>
      </c>
      <c r="BO328" s="34" t="s">
        <v>156</v>
      </c>
      <c r="BP328" s="34" t="s">
        <v>156</v>
      </c>
      <c r="BQ328" s="34" t="s">
        <v>156</v>
      </c>
      <c r="BR328" s="35"/>
      <c r="BS328" s="20" t="s">
        <v>157</v>
      </c>
    </row>
    <row r="329" ht="16.5" hidden="1" spans="1:71">
      <c r="A329" s="21" t="s">
        <v>45</v>
      </c>
      <c r="B329" s="21"/>
      <c r="C329" s="45"/>
      <c r="D329" s="60" t="s">
        <v>241</v>
      </c>
      <c r="E329" s="55">
        <v>27.5</v>
      </c>
      <c r="F329" s="24">
        <v>39.99</v>
      </c>
      <c r="G329" s="25">
        <f t="shared" si="362"/>
        <v>35.991</v>
      </c>
      <c r="H329" s="25">
        <f t="shared" si="363"/>
        <v>29.9925</v>
      </c>
      <c r="I329" s="36">
        <f t="shared" si="364"/>
        <v>2.62412315634218</v>
      </c>
      <c r="J329" s="26">
        <f t="shared" si="365"/>
        <v>0.0954226602306248</v>
      </c>
      <c r="K329" s="27">
        <f t="shared" si="366"/>
        <v>33.325</v>
      </c>
      <c r="L329" s="28">
        <f t="shared" si="367"/>
        <v>0.174793698424606</v>
      </c>
      <c r="M329" s="25">
        <f t="shared" si="368"/>
        <v>5.825</v>
      </c>
      <c r="N329" s="27">
        <f t="shared" si="381"/>
        <v>78.3716814159292</v>
      </c>
      <c r="O329" s="27">
        <f t="shared" si="369"/>
        <v>0.635416666666667</v>
      </c>
      <c r="P329" s="21">
        <v>24</v>
      </c>
      <c r="Q329" s="29">
        <v>8</v>
      </c>
      <c r="R329" s="30">
        <f t="shared" si="370"/>
        <v>0.181818181818182</v>
      </c>
      <c r="S329" s="26">
        <f t="shared" si="371"/>
        <v>0.125031257814454</v>
      </c>
      <c r="T329" s="30">
        <f t="shared" si="372"/>
        <v>0.145418181818182</v>
      </c>
      <c r="U329" s="30">
        <v>0.01</v>
      </c>
      <c r="V329" s="30">
        <f t="shared" si="373"/>
        <v>0.356234915526951</v>
      </c>
      <c r="W329" s="30">
        <f t="shared" si="374"/>
        <v>0.0231060606060606</v>
      </c>
      <c r="X329" s="31">
        <v>0.188</v>
      </c>
      <c r="Y329" s="32">
        <v>5</v>
      </c>
      <c r="Z329" s="32">
        <f>F329*0.1</f>
        <v>3.999</v>
      </c>
      <c r="AA329" s="32">
        <f t="shared" si="375"/>
        <v>0.275</v>
      </c>
      <c r="AB329" s="27">
        <f t="shared" si="376"/>
        <v>5.17</v>
      </c>
      <c r="AC329" s="27">
        <v>75</v>
      </c>
      <c r="AD329" s="33">
        <f t="shared" si="377"/>
        <v>66.3716814159292</v>
      </c>
      <c r="AE329" s="29">
        <f t="shared" si="382"/>
        <v>1.5</v>
      </c>
      <c r="AF329" s="30">
        <f t="shared" si="378"/>
        <v>0.301689460981496</v>
      </c>
      <c r="AG329" s="30">
        <f t="shared" si="379"/>
        <v>0.00681818181818182</v>
      </c>
      <c r="AH329" s="29">
        <v>12</v>
      </c>
      <c r="AI329" s="26">
        <f t="shared" si="380"/>
        <v>0.255480536800867</v>
      </c>
      <c r="AJ329" s="26"/>
      <c r="AK329" s="26"/>
      <c r="AL329" s="26"/>
      <c r="AM329" s="26"/>
      <c r="AN329" s="34"/>
      <c r="AO329" s="34"/>
      <c r="AP329" s="34"/>
      <c r="AQ329" s="34"/>
      <c r="AR329" s="34"/>
      <c r="AS329" s="34"/>
      <c r="AT329" s="34" t="s">
        <v>156</v>
      </c>
      <c r="AU329" s="34" t="s">
        <v>156</v>
      </c>
      <c r="AV329" s="34" t="s">
        <v>156</v>
      </c>
      <c r="AW329" s="34" t="s">
        <v>156</v>
      </c>
      <c r="AX329" s="34" t="s">
        <v>156</v>
      </c>
      <c r="AY329" s="34" t="s">
        <v>156</v>
      </c>
      <c r="AZ329" s="34" t="s">
        <v>156</v>
      </c>
      <c r="BA329" s="34" t="s">
        <v>156</v>
      </c>
      <c r="BB329" s="34" t="s">
        <v>156</v>
      </c>
      <c r="BC329" s="34" t="s">
        <v>156</v>
      </c>
      <c r="BD329" s="34" t="s">
        <v>156</v>
      </c>
      <c r="BE329" s="34" t="s">
        <v>156</v>
      </c>
      <c r="BF329" s="34" t="s">
        <v>156</v>
      </c>
      <c r="BG329" s="34" t="s">
        <v>156</v>
      </c>
      <c r="BH329" s="34" t="s">
        <v>156</v>
      </c>
      <c r="BI329" s="34" t="s">
        <v>156</v>
      </c>
      <c r="BJ329" s="34" t="s">
        <v>156</v>
      </c>
      <c r="BK329" s="34" t="s">
        <v>156</v>
      </c>
      <c r="BL329" s="34" t="s">
        <v>156</v>
      </c>
      <c r="BM329" s="34" t="s">
        <v>156</v>
      </c>
      <c r="BN329" s="34" t="s">
        <v>156</v>
      </c>
      <c r="BO329" s="34" t="s">
        <v>156</v>
      </c>
      <c r="BP329" s="34" t="s">
        <v>156</v>
      </c>
      <c r="BQ329" s="34" t="s">
        <v>156</v>
      </c>
      <c r="BR329" s="35"/>
      <c r="BS329" s="20" t="s">
        <v>157</v>
      </c>
    </row>
    <row r="330" ht="16.5" hidden="1" spans="1:71">
      <c r="A330" s="21" t="s">
        <v>45</v>
      </c>
      <c r="B330" s="21"/>
      <c r="C330" s="45"/>
      <c r="D330" s="60" t="s">
        <v>242</v>
      </c>
      <c r="E330" s="55">
        <v>27.5</v>
      </c>
      <c r="F330" s="24">
        <v>39.99</v>
      </c>
      <c r="G330" s="25">
        <f t="shared" si="362"/>
        <v>33.9915</v>
      </c>
      <c r="H330" s="25">
        <f t="shared" si="363"/>
        <v>28.32625</v>
      </c>
      <c r="I330" s="25">
        <f t="shared" si="364"/>
        <v>0.624623156342183</v>
      </c>
      <c r="J330" s="26">
        <f t="shared" si="365"/>
        <v>0.0227135693215339</v>
      </c>
      <c r="K330" s="27">
        <f t="shared" si="366"/>
        <v>33.325</v>
      </c>
      <c r="L330" s="28">
        <f t="shared" si="367"/>
        <v>0.174793698424606</v>
      </c>
      <c r="M330" s="25">
        <f t="shared" si="368"/>
        <v>5.825</v>
      </c>
      <c r="N330" s="27">
        <f t="shared" si="381"/>
        <v>78.3716814159292</v>
      </c>
      <c r="O330" s="27">
        <f t="shared" si="369"/>
        <v>0.635416666666667</v>
      </c>
      <c r="P330" s="21">
        <v>24</v>
      </c>
      <c r="Q330" s="29">
        <v>8</v>
      </c>
      <c r="R330" s="30">
        <f t="shared" si="370"/>
        <v>0.181818181818182</v>
      </c>
      <c r="S330" s="26">
        <f t="shared" si="371"/>
        <v>0.125031257814454</v>
      </c>
      <c r="T330" s="30">
        <f t="shared" si="372"/>
        <v>0.218127272727273</v>
      </c>
      <c r="U330" s="30">
        <v>0.01</v>
      </c>
      <c r="V330" s="30">
        <f t="shared" si="373"/>
        <v>0.356234915526951</v>
      </c>
      <c r="W330" s="30">
        <f t="shared" si="374"/>
        <v>0.0231060606060606</v>
      </c>
      <c r="X330" s="31">
        <v>0.188</v>
      </c>
      <c r="Y330" s="32">
        <v>5</v>
      </c>
      <c r="Z330" s="32">
        <f>F330*0.15</f>
        <v>5.9985</v>
      </c>
      <c r="AA330" s="32">
        <f t="shared" si="375"/>
        <v>0.275</v>
      </c>
      <c r="AB330" s="27">
        <f t="shared" si="376"/>
        <v>5.17</v>
      </c>
      <c r="AC330" s="27">
        <v>75</v>
      </c>
      <c r="AD330" s="33">
        <f t="shared" si="377"/>
        <v>66.3716814159292</v>
      </c>
      <c r="AE330" s="29">
        <f t="shared" si="382"/>
        <v>1.5</v>
      </c>
      <c r="AF330" s="30">
        <f t="shared" si="378"/>
        <v>0.301689460981496</v>
      </c>
      <c r="AG330" s="30">
        <f t="shared" si="379"/>
        <v>0.00681818181818182</v>
      </c>
      <c r="AH330" s="29">
        <v>12</v>
      </c>
      <c r="AI330" s="26">
        <f t="shared" si="380"/>
        <v>0.211685274259741</v>
      </c>
      <c r="AJ330" s="26"/>
      <c r="AK330" s="26"/>
      <c r="AL330" s="26"/>
      <c r="AM330" s="26"/>
      <c r="AN330" s="34"/>
      <c r="AO330" s="34"/>
      <c r="AP330" s="34"/>
      <c r="AQ330" s="34"/>
      <c r="AR330" s="34"/>
      <c r="AS330" s="34"/>
      <c r="AT330" s="34" t="s">
        <v>156</v>
      </c>
      <c r="AU330" s="34" t="s">
        <v>156</v>
      </c>
      <c r="AV330" s="34" t="s">
        <v>156</v>
      </c>
      <c r="AW330" s="34" t="s">
        <v>156</v>
      </c>
      <c r="AX330" s="34" t="s">
        <v>156</v>
      </c>
      <c r="AY330" s="34" t="s">
        <v>156</v>
      </c>
      <c r="AZ330" s="34" t="s">
        <v>156</v>
      </c>
      <c r="BA330" s="34" t="s">
        <v>156</v>
      </c>
      <c r="BB330" s="34" t="s">
        <v>156</v>
      </c>
      <c r="BC330" s="34" t="s">
        <v>156</v>
      </c>
      <c r="BD330" s="34" t="s">
        <v>156</v>
      </c>
      <c r="BE330" s="34" t="s">
        <v>156</v>
      </c>
      <c r="BF330" s="34" t="s">
        <v>156</v>
      </c>
      <c r="BG330" s="34" t="s">
        <v>156</v>
      </c>
      <c r="BH330" s="34" t="s">
        <v>156</v>
      </c>
      <c r="BI330" s="34" t="s">
        <v>156</v>
      </c>
      <c r="BJ330" s="34" t="s">
        <v>156</v>
      </c>
      <c r="BK330" s="34" t="s">
        <v>156</v>
      </c>
      <c r="BL330" s="34" t="s">
        <v>156</v>
      </c>
      <c r="BM330" s="34" t="s">
        <v>156</v>
      </c>
      <c r="BN330" s="34" t="s">
        <v>156</v>
      </c>
      <c r="BO330" s="34" t="s">
        <v>156</v>
      </c>
      <c r="BP330" s="34" t="s">
        <v>156</v>
      </c>
      <c r="BQ330" s="34" t="s">
        <v>156</v>
      </c>
      <c r="BR330" s="35"/>
      <c r="BS330" s="20" t="s">
        <v>157</v>
      </c>
    </row>
    <row r="331" ht="16.5" hidden="1" spans="1:71">
      <c r="A331" s="21" t="s">
        <v>48</v>
      </c>
      <c r="B331" s="21"/>
      <c r="C331" s="45"/>
      <c r="D331" s="60" t="s">
        <v>240</v>
      </c>
      <c r="E331" s="55">
        <v>27.5</v>
      </c>
      <c r="F331" s="24">
        <v>39.99</v>
      </c>
      <c r="G331" s="25">
        <f t="shared" si="362"/>
        <v>39.99</v>
      </c>
      <c r="H331" s="25">
        <f t="shared" si="363"/>
        <v>33.325</v>
      </c>
      <c r="I331" s="25">
        <f t="shared" si="364"/>
        <v>6.45645648967552</v>
      </c>
      <c r="J331" s="26">
        <f t="shared" si="365"/>
        <v>0.234780235988201</v>
      </c>
      <c r="K331" s="27">
        <f t="shared" si="366"/>
        <v>33.325</v>
      </c>
      <c r="L331" s="28">
        <f t="shared" si="367"/>
        <v>0.174793698424606</v>
      </c>
      <c r="M331" s="25">
        <f t="shared" si="368"/>
        <v>5.825</v>
      </c>
      <c r="N331" s="27">
        <f t="shared" si="381"/>
        <v>78.3716814159292</v>
      </c>
      <c r="O331" s="27">
        <f t="shared" si="369"/>
        <v>0.802083333333333</v>
      </c>
      <c r="P331" s="21">
        <v>24</v>
      </c>
      <c r="Q331" s="29">
        <v>8</v>
      </c>
      <c r="R331" s="30">
        <f t="shared" si="370"/>
        <v>0.181818181818182</v>
      </c>
      <c r="S331" s="26">
        <f t="shared" si="371"/>
        <v>0.125031257814454</v>
      </c>
      <c r="T331" s="30">
        <f t="shared" si="372"/>
        <v>0</v>
      </c>
      <c r="U331" s="30">
        <v>0.01</v>
      </c>
      <c r="V331" s="30">
        <f t="shared" si="373"/>
        <v>0.356234915526951</v>
      </c>
      <c r="W331" s="30">
        <f t="shared" si="374"/>
        <v>0.0291666666666667</v>
      </c>
      <c r="X331" s="31">
        <v>0.188</v>
      </c>
      <c r="Y331" s="32">
        <v>5</v>
      </c>
      <c r="Z331" s="32">
        <v>0</v>
      </c>
      <c r="AA331" s="32">
        <f t="shared" si="375"/>
        <v>0.275</v>
      </c>
      <c r="AB331" s="27">
        <f t="shared" si="376"/>
        <v>5.17</v>
      </c>
      <c r="AC331" s="27">
        <v>75</v>
      </c>
      <c r="AD331" s="33">
        <f t="shared" si="377"/>
        <v>66.3716814159292</v>
      </c>
      <c r="AE331" s="29">
        <f t="shared" si="382"/>
        <v>1.5</v>
      </c>
      <c r="AF331" s="30">
        <f t="shared" si="378"/>
        <v>0.301689460981496</v>
      </c>
      <c r="AG331" s="30">
        <f t="shared" si="379"/>
        <v>0.00681818181818182</v>
      </c>
      <c r="AH331" s="29">
        <v>12</v>
      </c>
      <c r="AI331" s="30">
        <f t="shared" si="380"/>
        <v>0.32993248312078</v>
      </c>
      <c r="AJ331" s="30"/>
      <c r="AK331" s="30"/>
      <c r="AL331" s="30"/>
      <c r="AM331" s="30"/>
      <c r="AN331" s="34"/>
      <c r="AO331" s="34"/>
      <c r="AP331" s="34"/>
      <c r="AQ331" s="34"/>
      <c r="AR331" s="34"/>
      <c r="AS331" s="34"/>
      <c r="AT331" s="34" t="s">
        <v>156</v>
      </c>
      <c r="AU331" s="34" t="s">
        <v>156</v>
      </c>
      <c r="AV331" s="34" t="s">
        <v>156</v>
      </c>
      <c r="AW331" s="34" t="s">
        <v>156</v>
      </c>
      <c r="AX331" s="34" t="s">
        <v>156</v>
      </c>
      <c r="AY331" s="34" t="s">
        <v>156</v>
      </c>
      <c r="AZ331" s="34" t="s">
        <v>156</v>
      </c>
      <c r="BA331" s="34" t="s">
        <v>156</v>
      </c>
      <c r="BB331" s="34" t="s">
        <v>156</v>
      </c>
      <c r="BC331" s="34" t="s">
        <v>156</v>
      </c>
      <c r="BD331" s="34" t="s">
        <v>156</v>
      </c>
      <c r="BE331" s="34" t="s">
        <v>156</v>
      </c>
      <c r="BF331" s="34" t="s">
        <v>156</v>
      </c>
      <c r="BG331" s="34" t="s">
        <v>156</v>
      </c>
      <c r="BH331" s="34" t="s">
        <v>156</v>
      </c>
      <c r="BI331" s="34" t="s">
        <v>156</v>
      </c>
      <c r="BJ331" s="34" t="s">
        <v>156</v>
      </c>
      <c r="BK331" s="34" t="s">
        <v>156</v>
      </c>
      <c r="BL331" s="34" t="s">
        <v>156</v>
      </c>
      <c r="BM331" s="34" t="s">
        <v>156</v>
      </c>
      <c r="BN331" s="34" t="s">
        <v>156</v>
      </c>
      <c r="BO331" s="34" t="s">
        <v>156</v>
      </c>
      <c r="BP331" s="34" t="s">
        <v>156</v>
      </c>
      <c r="BQ331" s="34" t="s">
        <v>156</v>
      </c>
      <c r="BR331" s="35"/>
      <c r="BS331" s="20" t="s">
        <v>157</v>
      </c>
    </row>
    <row r="332" ht="16.5" hidden="1" spans="1:71">
      <c r="A332" s="21" t="s">
        <v>48</v>
      </c>
      <c r="B332" s="21"/>
      <c r="C332" s="45"/>
      <c r="D332" s="60" t="s">
        <v>241</v>
      </c>
      <c r="E332" s="55">
        <v>27.5</v>
      </c>
      <c r="F332" s="24">
        <v>39.99</v>
      </c>
      <c r="G332" s="25">
        <f t="shared" si="362"/>
        <v>35.991</v>
      </c>
      <c r="H332" s="25">
        <f t="shared" si="363"/>
        <v>29.9925</v>
      </c>
      <c r="I332" s="36">
        <f t="shared" si="364"/>
        <v>2.45745648967552</v>
      </c>
      <c r="J332" s="26">
        <f t="shared" si="365"/>
        <v>0.0893620541700188</v>
      </c>
      <c r="K332" s="27">
        <f t="shared" si="366"/>
        <v>33.325</v>
      </c>
      <c r="L332" s="28">
        <f t="shared" si="367"/>
        <v>0.174793698424606</v>
      </c>
      <c r="M332" s="25">
        <f t="shared" si="368"/>
        <v>5.825</v>
      </c>
      <c r="N332" s="27">
        <f t="shared" si="381"/>
        <v>78.3716814159292</v>
      </c>
      <c r="O332" s="27">
        <f t="shared" si="369"/>
        <v>0.802083333333333</v>
      </c>
      <c r="P332" s="21">
        <v>24</v>
      </c>
      <c r="Q332" s="29">
        <v>8</v>
      </c>
      <c r="R332" s="30">
        <f t="shared" si="370"/>
        <v>0.181818181818182</v>
      </c>
      <c r="S332" s="26">
        <f t="shared" si="371"/>
        <v>0.125031257814454</v>
      </c>
      <c r="T332" s="30">
        <f t="shared" si="372"/>
        <v>0.145418181818182</v>
      </c>
      <c r="U332" s="30">
        <v>0.01</v>
      </c>
      <c r="V332" s="30">
        <f t="shared" si="373"/>
        <v>0.356234915526951</v>
      </c>
      <c r="W332" s="30">
        <f t="shared" si="374"/>
        <v>0.0291666666666667</v>
      </c>
      <c r="X332" s="31">
        <v>0.188</v>
      </c>
      <c r="Y332" s="32">
        <v>5</v>
      </c>
      <c r="Z332" s="32">
        <f>F332*0.1</f>
        <v>3.999</v>
      </c>
      <c r="AA332" s="32">
        <f t="shared" si="375"/>
        <v>0.275</v>
      </c>
      <c r="AB332" s="27">
        <f t="shared" si="376"/>
        <v>5.17</v>
      </c>
      <c r="AC332" s="27">
        <v>75</v>
      </c>
      <c r="AD332" s="33">
        <f t="shared" si="377"/>
        <v>66.3716814159292</v>
      </c>
      <c r="AE332" s="29">
        <f t="shared" si="382"/>
        <v>1.5</v>
      </c>
      <c r="AF332" s="30">
        <f t="shared" si="378"/>
        <v>0.301689460981496</v>
      </c>
      <c r="AG332" s="30">
        <f t="shared" si="379"/>
        <v>0.00681818181818182</v>
      </c>
      <c r="AH332" s="29">
        <v>12</v>
      </c>
      <c r="AI332" s="30">
        <f t="shared" si="380"/>
        <v>0.255480536800867</v>
      </c>
      <c r="AJ332" s="30"/>
      <c r="AK332" s="30"/>
      <c r="AL332" s="30"/>
      <c r="AM332" s="30"/>
      <c r="AN332" s="34"/>
      <c r="AO332" s="34"/>
      <c r="AP332" s="34"/>
      <c r="AQ332" s="34"/>
      <c r="AR332" s="34"/>
      <c r="AS332" s="34"/>
      <c r="AT332" s="34" t="s">
        <v>156</v>
      </c>
      <c r="AU332" s="34" t="s">
        <v>156</v>
      </c>
      <c r="AV332" s="34" t="s">
        <v>156</v>
      </c>
      <c r="AW332" s="34" t="s">
        <v>156</v>
      </c>
      <c r="AX332" s="34" t="s">
        <v>156</v>
      </c>
      <c r="AY332" s="34" t="s">
        <v>156</v>
      </c>
      <c r="AZ332" s="34" t="s">
        <v>156</v>
      </c>
      <c r="BA332" s="34" t="s">
        <v>156</v>
      </c>
      <c r="BB332" s="34" t="s">
        <v>156</v>
      </c>
      <c r="BC332" s="34" t="s">
        <v>156</v>
      </c>
      <c r="BD332" s="34" t="s">
        <v>156</v>
      </c>
      <c r="BE332" s="34" t="s">
        <v>156</v>
      </c>
      <c r="BF332" s="34" t="s">
        <v>156</v>
      </c>
      <c r="BG332" s="34" t="s">
        <v>156</v>
      </c>
      <c r="BH332" s="34" t="s">
        <v>156</v>
      </c>
      <c r="BI332" s="34" t="s">
        <v>156</v>
      </c>
      <c r="BJ332" s="34" t="s">
        <v>156</v>
      </c>
      <c r="BK332" s="34" t="s">
        <v>156</v>
      </c>
      <c r="BL332" s="34" t="s">
        <v>156</v>
      </c>
      <c r="BM332" s="34" t="s">
        <v>156</v>
      </c>
      <c r="BN332" s="34" t="s">
        <v>156</v>
      </c>
      <c r="BO332" s="34" t="s">
        <v>156</v>
      </c>
      <c r="BP332" s="34" t="s">
        <v>156</v>
      </c>
      <c r="BQ332" s="34" t="s">
        <v>156</v>
      </c>
      <c r="BR332" s="35"/>
      <c r="BS332" s="20" t="s">
        <v>157</v>
      </c>
    </row>
    <row r="333" ht="16.5" hidden="1" spans="1:71">
      <c r="A333" s="21" t="s">
        <v>48</v>
      </c>
      <c r="B333" s="21"/>
      <c r="C333" s="45"/>
      <c r="D333" s="60" t="s">
        <v>242</v>
      </c>
      <c r="E333" s="55">
        <v>27.5</v>
      </c>
      <c r="F333" s="24">
        <v>39.99</v>
      </c>
      <c r="G333" s="25">
        <f t="shared" si="362"/>
        <v>33.9915</v>
      </c>
      <c r="H333" s="25">
        <f t="shared" si="363"/>
        <v>28.32625</v>
      </c>
      <c r="I333" s="25">
        <f t="shared" si="364"/>
        <v>0.457956489675517</v>
      </c>
      <c r="J333" s="26">
        <f t="shared" si="365"/>
        <v>0.0166529632609279</v>
      </c>
      <c r="K333" s="27">
        <f t="shared" si="366"/>
        <v>33.325</v>
      </c>
      <c r="L333" s="28">
        <f t="shared" si="367"/>
        <v>0.174793698424606</v>
      </c>
      <c r="M333" s="25">
        <f t="shared" si="368"/>
        <v>5.825</v>
      </c>
      <c r="N333" s="27">
        <f t="shared" si="381"/>
        <v>78.3716814159292</v>
      </c>
      <c r="O333" s="27">
        <f t="shared" si="369"/>
        <v>0.802083333333333</v>
      </c>
      <c r="P333" s="21">
        <v>24</v>
      </c>
      <c r="Q333" s="29">
        <v>8</v>
      </c>
      <c r="R333" s="30">
        <f t="shared" si="370"/>
        <v>0.181818181818182</v>
      </c>
      <c r="S333" s="26">
        <f t="shared" si="371"/>
        <v>0.125031257814454</v>
      </c>
      <c r="T333" s="30">
        <f t="shared" si="372"/>
        <v>0.218127272727273</v>
      </c>
      <c r="U333" s="30">
        <v>0.01</v>
      </c>
      <c r="V333" s="30">
        <f t="shared" si="373"/>
        <v>0.356234915526951</v>
      </c>
      <c r="W333" s="30">
        <f t="shared" si="374"/>
        <v>0.0291666666666667</v>
      </c>
      <c r="X333" s="31">
        <v>0.188</v>
      </c>
      <c r="Y333" s="32">
        <v>5</v>
      </c>
      <c r="Z333" s="32">
        <f>F333*0.15</f>
        <v>5.9985</v>
      </c>
      <c r="AA333" s="32">
        <f t="shared" si="375"/>
        <v>0.275</v>
      </c>
      <c r="AB333" s="27">
        <f t="shared" si="376"/>
        <v>5.17</v>
      </c>
      <c r="AC333" s="27">
        <v>75</v>
      </c>
      <c r="AD333" s="33">
        <f t="shared" si="377"/>
        <v>66.3716814159292</v>
      </c>
      <c r="AE333" s="29">
        <f t="shared" si="382"/>
        <v>1.5</v>
      </c>
      <c r="AF333" s="30">
        <f t="shared" si="378"/>
        <v>0.301689460981496</v>
      </c>
      <c r="AG333" s="30">
        <f t="shared" si="379"/>
        <v>0.00681818181818182</v>
      </c>
      <c r="AH333" s="29">
        <v>12</v>
      </c>
      <c r="AI333" s="30">
        <f t="shared" si="380"/>
        <v>0.211685274259741</v>
      </c>
      <c r="AJ333" s="30"/>
      <c r="AK333" s="30"/>
      <c r="AL333" s="30"/>
      <c r="AM333" s="30"/>
      <c r="AN333" s="34"/>
      <c r="AO333" s="34"/>
      <c r="AP333" s="34"/>
      <c r="AQ333" s="34"/>
      <c r="AR333" s="34"/>
      <c r="AS333" s="34"/>
      <c r="AT333" s="34" t="s">
        <v>156</v>
      </c>
      <c r="AU333" s="34" t="s">
        <v>156</v>
      </c>
      <c r="AV333" s="34" t="s">
        <v>156</v>
      </c>
      <c r="AW333" s="34" t="s">
        <v>156</v>
      </c>
      <c r="AX333" s="34" t="s">
        <v>156</v>
      </c>
      <c r="AY333" s="34" t="s">
        <v>156</v>
      </c>
      <c r="AZ333" s="34" t="s">
        <v>156</v>
      </c>
      <c r="BA333" s="34" t="s">
        <v>156</v>
      </c>
      <c r="BB333" s="34" t="s">
        <v>156</v>
      </c>
      <c r="BC333" s="34" t="s">
        <v>156</v>
      </c>
      <c r="BD333" s="34" t="s">
        <v>156</v>
      </c>
      <c r="BE333" s="34" t="s">
        <v>156</v>
      </c>
      <c r="BF333" s="34" t="s">
        <v>156</v>
      </c>
      <c r="BG333" s="34" t="s">
        <v>156</v>
      </c>
      <c r="BH333" s="34" t="s">
        <v>156</v>
      </c>
      <c r="BI333" s="34" t="s">
        <v>156</v>
      </c>
      <c r="BJ333" s="34" t="s">
        <v>156</v>
      </c>
      <c r="BK333" s="34" t="s">
        <v>156</v>
      </c>
      <c r="BL333" s="34" t="s">
        <v>156</v>
      </c>
      <c r="BM333" s="34" t="s">
        <v>156</v>
      </c>
      <c r="BN333" s="34" t="s">
        <v>156</v>
      </c>
      <c r="BO333" s="34" t="s">
        <v>156</v>
      </c>
      <c r="BP333" s="34" t="s">
        <v>156</v>
      </c>
      <c r="BQ333" s="34" t="s">
        <v>156</v>
      </c>
      <c r="BR333" s="35"/>
      <c r="BS333" s="20" t="s">
        <v>157</v>
      </c>
    </row>
    <row r="334" ht="16.5" hidden="1" spans="1:71">
      <c r="A334" s="21" t="s">
        <v>161</v>
      </c>
      <c r="B334" s="21"/>
      <c r="C334" s="45"/>
      <c r="D334" s="42" t="s">
        <v>243</v>
      </c>
      <c r="E334" s="55">
        <v>27.5</v>
      </c>
      <c r="F334" s="24">
        <v>39.99</v>
      </c>
      <c r="G334" s="25">
        <f t="shared" si="362"/>
        <v>39.99</v>
      </c>
      <c r="H334" s="25">
        <f t="shared" si="363"/>
        <v>33.325</v>
      </c>
      <c r="I334" s="25">
        <f t="shared" si="364"/>
        <v>6.56062315634218</v>
      </c>
      <c r="J334" s="26">
        <f t="shared" si="365"/>
        <v>0.238568114776079</v>
      </c>
      <c r="K334" s="27">
        <f t="shared" si="366"/>
        <v>33.325</v>
      </c>
      <c r="L334" s="28">
        <f t="shared" si="367"/>
        <v>0.174793698424606</v>
      </c>
      <c r="M334" s="25">
        <f t="shared" si="368"/>
        <v>5.825</v>
      </c>
      <c r="N334" s="27">
        <f t="shared" si="381"/>
        <v>78.3716814159292</v>
      </c>
      <c r="O334" s="27">
        <f t="shared" si="369"/>
        <v>0.697916666666667</v>
      </c>
      <c r="P334" s="21">
        <v>24</v>
      </c>
      <c r="Q334" s="29">
        <v>8</v>
      </c>
      <c r="R334" s="30">
        <f t="shared" si="370"/>
        <v>0.181818181818182</v>
      </c>
      <c r="S334" s="26">
        <f t="shared" si="371"/>
        <v>0.125031257814454</v>
      </c>
      <c r="T334" s="30">
        <f t="shared" si="372"/>
        <v>0</v>
      </c>
      <c r="U334" s="30">
        <v>0.01</v>
      </c>
      <c r="V334" s="30">
        <f t="shared" si="373"/>
        <v>0.356234915526951</v>
      </c>
      <c r="W334" s="30">
        <f t="shared" si="374"/>
        <v>0.0253787878787879</v>
      </c>
      <c r="X334" s="31">
        <v>0.188</v>
      </c>
      <c r="Y334" s="32">
        <v>5</v>
      </c>
      <c r="Z334" s="32">
        <f t="shared" ref="Z334:Z337" si="383">F334*0</f>
        <v>0</v>
      </c>
      <c r="AA334" s="32">
        <f t="shared" si="375"/>
        <v>0.275</v>
      </c>
      <c r="AB334" s="27">
        <f t="shared" si="376"/>
        <v>5.17</v>
      </c>
      <c r="AC334" s="27">
        <v>75</v>
      </c>
      <c r="AD334" s="33">
        <f t="shared" si="377"/>
        <v>66.3716814159292</v>
      </c>
      <c r="AE334" s="29">
        <f t="shared" si="382"/>
        <v>1.5</v>
      </c>
      <c r="AF334" s="30">
        <f t="shared" si="378"/>
        <v>0.301689460981496</v>
      </c>
      <c r="AG334" s="30">
        <f t="shared" si="379"/>
        <v>0.00681818181818182</v>
      </c>
      <c r="AH334" s="29">
        <v>12</v>
      </c>
      <c r="AI334" s="30">
        <f t="shared" si="380"/>
        <v>0.32993248312078</v>
      </c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 t="s">
        <v>156</v>
      </c>
      <c r="AU334" s="34" t="s">
        <v>156</v>
      </c>
      <c r="AV334" s="34" t="s">
        <v>156</v>
      </c>
      <c r="AW334" s="34" t="s">
        <v>156</v>
      </c>
      <c r="AX334" s="34" t="s">
        <v>156</v>
      </c>
      <c r="AY334" s="34" t="s">
        <v>156</v>
      </c>
      <c r="AZ334" s="34" t="s">
        <v>156</v>
      </c>
      <c r="BA334" s="34" t="s">
        <v>156</v>
      </c>
      <c r="BB334" s="34" t="s">
        <v>156</v>
      </c>
      <c r="BC334" s="34" t="s">
        <v>156</v>
      </c>
      <c r="BD334" s="34" t="s">
        <v>156</v>
      </c>
      <c r="BE334" s="34" t="s">
        <v>156</v>
      </c>
      <c r="BF334" s="34" t="s">
        <v>156</v>
      </c>
      <c r="BG334" s="34" t="s">
        <v>156</v>
      </c>
      <c r="BH334" s="34" t="s">
        <v>156</v>
      </c>
      <c r="BI334" s="34" t="s">
        <v>156</v>
      </c>
      <c r="BJ334" s="34" t="s">
        <v>156</v>
      </c>
      <c r="BK334" s="34" t="s">
        <v>156</v>
      </c>
      <c r="BL334" s="34" t="s">
        <v>156</v>
      </c>
      <c r="BM334" s="34" t="s">
        <v>156</v>
      </c>
      <c r="BN334" s="34" t="s">
        <v>156</v>
      </c>
      <c r="BO334" s="34" t="s">
        <v>156</v>
      </c>
      <c r="BP334" s="34" t="s">
        <v>156</v>
      </c>
      <c r="BQ334" s="34" t="s">
        <v>156</v>
      </c>
      <c r="BR334" s="44" t="e">
        <f>IF(E334&lt;#REF!,1,0)</f>
        <v>#REF!</v>
      </c>
      <c r="BS334" s="20" t="s">
        <v>157</v>
      </c>
    </row>
    <row r="335" ht="16.5" hidden="1" spans="1:71">
      <c r="A335" s="21" t="s">
        <v>163</v>
      </c>
      <c r="B335" s="21"/>
      <c r="C335" s="45"/>
      <c r="D335" s="42" t="s">
        <v>244</v>
      </c>
      <c r="E335" s="55">
        <v>31</v>
      </c>
      <c r="F335" s="38">
        <v>44.99</v>
      </c>
      <c r="G335" s="25">
        <f t="shared" si="362"/>
        <v>44.99</v>
      </c>
      <c r="H335" s="25">
        <f t="shared" si="363"/>
        <v>37.4916666666667</v>
      </c>
      <c r="I335" s="25">
        <f t="shared" si="364"/>
        <v>9.48012315634218</v>
      </c>
      <c r="J335" s="26">
        <f t="shared" si="365"/>
        <v>0.305810424398135</v>
      </c>
      <c r="K335" s="27">
        <f t="shared" si="366"/>
        <v>37.4916666666667</v>
      </c>
      <c r="L335" s="28">
        <f t="shared" si="367"/>
        <v>0.173149588797511</v>
      </c>
      <c r="M335" s="25">
        <f t="shared" si="368"/>
        <v>6.49166666666667</v>
      </c>
      <c r="N335" s="27">
        <f t="shared" si="381"/>
        <v>78.3716814159292</v>
      </c>
      <c r="O335" s="27">
        <f t="shared" si="369"/>
        <v>0.585416666666667</v>
      </c>
      <c r="P335" s="21">
        <v>24</v>
      </c>
      <c r="Q335" s="29">
        <v>8</v>
      </c>
      <c r="R335" s="30">
        <f t="shared" si="370"/>
        <v>0.161290322580645</v>
      </c>
      <c r="S335" s="26">
        <f t="shared" si="371"/>
        <v>0.111135807957324</v>
      </c>
      <c r="T335" s="30">
        <f t="shared" si="372"/>
        <v>0</v>
      </c>
      <c r="U335" s="30">
        <v>0.01</v>
      </c>
      <c r="V335" s="30">
        <f t="shared" si="373"/>
        <v>0.316014844419069</v>
      </c>
      <c r="W335" s="30">
        <f t="shared" si="374"/>
        <v>0.0188844086021505</v>
      </c>
      <c r="X335" s="31">
        <v>0.188</v>
      </c>
      <c r="Y335" s="32">
        <v>5</v>
      </c>
      <c r="Z335" s="32">
        <f t="shared" si="383"/>
        <v>0</v>
      </c>
      <c r="AA335" s="32">
        <f t="shared" si="375"/>
        <v>0.31</v>
      </c>
      <c r="AB335" s="27">
        <f t="shared" si="376"/>
        <v>5.828</v>
      </c>
      <c r="AC335" s="27">
        <v>75</v>
      </c>
      <c r="AD335" s="33">
        <f t="shared" si="377"/>
        <v>66.3716814159292</v>
      </c>
      <c r="AE335" s="29">
        <f t="shared" si="382"/>
        <v>1.5</v>
      </c>
      <c r="AF335" s="30">
        <f t="shared" si="378"/>
        <v>0.267627747644876</v>
      </c>
      <c r="AG335" s="30">
        <f t="shared" si="379"/>
        <v>0.00604838709677419</v>
      </c>
      <c r="AH335" s="29">
        <v>12</v>
      </c>
      <c r="AI335" s="30">
        <f t="shared" si="380"/>
        <v>0.328597466103579</v>
      </c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 t="s">
        <v>156</v>
      </c>
      <c r="AU335" s="34" t="s">
        <v>156</v>
      </c>
      <c r="AV335" s="34" t="s">
        <v>156</v>
      </c>
      <c r="AW335" s="34" t="s">
        <v>156</v>
      </c>
      <c r="AX335" s="34" t="s">
        <v>156</v>
      </c>
      <c r="AY335" s="34" t="s">
        <v>156</v>
      </c>
      <c r="AZ335" s="34" t="s">
        <v>156</v>
      </c>
      <c r="BA335" s="34" t="s">
        <v>156</v>
      </c>
      <c r="BB335" s="34" t="s">
        <v>156</v>
      </c>
      <c r="BC335" s="34" t="s">
        <v>156</v>
      </c>
      <c r="BD335" s="34" t="s">
        <v>156</v>
      </c>
      <c r="BE335" s="34" t="s">
        <v>156</v>
      </c>
      <c r="BF335" s="34" t="s">
        <v>156</v>
      </c>
      <c r="BG335" s="34" t="s">
        <v>156</v>
      </c>
      <c r="BH335" s="34" t="s">
        <v>156</v>
      </c>
      <c r="BI335" s="34" t="s">
        <v>156</v>
      </c>
      <c r="BJ335" s="34" t="s">
        <v>156</v>
      </c>
      <c r="BK335" s="34" t="s">
        <v>156</v>
      </c>
      <c r="BL335" s="34" t="s">
        <v>156</v>
      </c>
      <c r="BM335" s="34" t="s">
        <v>156</v>
      </c>
      <c r="BN335" s="34" t="s">
        <v>156</v>
      </c>
      <c r="BO335" s="34" t="s">
        <v>156</v>
      </c>
      <c r="BP335" s="34" t="s">
        <v>156</v>
      </c>
      <c r="BQ335" s="34" t="s">
        <v>156</v>
      </c>
      <c r="BR335" s="44" t="e">
        <f>IF(E335&lt;#REF!,1,0)</f>
        <v>#REF!</v>
      </c>
      <c r="BS335" s="20" t="s">
        <v>157</v>
      </c>
    </row>
    <row r="336" ht="16.5" hidden="1" spans="1:71">
      <c r="A336" s="21" t="s">
        <v>165</v>
      </c>
      <c r="B336" s="21"/>
      <c r="C336" s="45"/>
      <c r="D336" s="42" t="s">
        <v>245</v>
      </c>
      <c r="E336" s="55">
        <v>31</v>
      </c>
      <c r="F336" s="24">
        <v>44.99</v>
      </c>
      <c r="G336" s="25">
        <f t="shared" si="362"/>
        <v>44.99</v>
      </c>
      <c r="H336" s="25">
        <f t="shared" si="363"/>
        <v>37.4916666666667</v>
      </c>
      <c r="I336" s="25">
        <f t="shared" si="364"/>
        <v>9.30512315634218</v>
      </c>
      <c r="J336" s="26">
        <f t="shared" si="365"/>
        <v>0.300165263107812</v>
      </c>
      <c r="K336" s="27">
        <f t="shared" si="366"/>
        <v>37.4916666666667</v>
      </c>
      <c r="L336" s="28">
        <f t="shared" si="367"/>
        <v>0.173149588797511</v>
      </c>
      <c r="M336" s="25">
        <f t="shared" si="368"/>
        <v>6.49166666666667</v>
      </c>
      <c r="N336" s="27">
        <f t="shared" si="381"/>
        <v>78.3716814159292</v>
      </c>
      <c r="O336" s="27">
        <f t="shared" si="369"/>
        <v>0.760416666666667</v>
      </c>
      <c r="P336" s="21">
        <v>24</v>
      </c>
      <c r="Q336" s="29">
        <v>8</v>
      </c>
      <c r="R336" s="30">
        <f t="shared" si="370"/>
        <v>0.161290322580645</v>
      </c>
      <c r="S336" s="26">
        <f t="shared" si="371"/>
        <v>0.111135807957324</v>
      </c>
      <c r="T336" s="30">
        <f t="shared" si="372"/>
        <v>0</v>
      </c>
      <c r="U336" s="30">
        <v>0.01</v>
      </c>
      <c r="V336" s="30">
        <f t="shared" si="373"/>
        <v>0.316014844419069</v>
      </c>
      <c r="W336" s="30">
        <f t="shared" si="374"/>
        <v>0.0245295698924731</v>
      </c>
      <c r="X336" s="31">
        <v>0.188</v>
      </c>
      <c r="Y336" s="32">
        <v>5</v>
      </c>
      <c r="Z336" s="32">
        <f t="shared" si="383"/>
        <v>0</v>
      </c>
      <c r="AA336" s="32">
        <f t="shared" si="375"/>
        <v>0.31</v>
      </c>
      <c r="AB336" s="27">
        <f t="shared" si="376"/>
        <v>5.828</v>
      </c>
      <c r="AC336" s="27">
        <v>75</v>
      </c>
      <c r="AD336" s="33">
        <f t="shared" si="377"/>
        <v>66.3716814159292</v>
      </c>
      <c r="AE336" s="29">
        <f t="shared" si="382"/>
        <v>1.5</v>
      </c>
      <c r="AF336" s="30">
        <f t="shared" si="378"/>
        <v>0.267627747644876</v>
      </c>
      <c r="AG336" s="30">
        <f t="shared" si="379"/>
        <v>0.00604838709677419</v>
      </c>
      <c r="AH336" s="29">
        <v>12</v>
      </c>
      <c r="AI336" s="30">
        <f t="shared" si="380"/>
        <v>0.328597466103579</v>
      </c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 t="s">
        <v>156</v>
      </c>
      <c r="AU336" s="34" t="s">
        <v>156</v>
      </c>
      <c r="AV336" s="34" t="s">
        <v>156</v>
      </c>
      <c r="AW336" s="34" t="s">
        <v>156</v>
      </c>
      <c r="AX336" s="34" t="s">
        <v>156</v>
      </c>
      <c r="AY336" s="34" t="s">
        <v>156</v>
      </c>
      <c r="AZ336" s="34" t="s">
        <v>156</v>
      </c>
      <c r="BA336" s="34" t="s">
        <v>156</v>
      </c>
      <c r="BB336" s="34" t="s">
        <v>156</v>
      </c>
      <c r="BC336" s="34" t="s">
        <v>156</v>
      </c>
      <c r="BD336" s="34" t="s">
        <v>156</v>
      </c>
      <c r="BE336" s="34" t="s">
        <v>156</v>
      </c>
      <c r="BF336" s="34" t="s">
        <v>156</v>
      </c>
      <c r="BG336" s="34" t="s">
        <v>156</v>
      </c>
      <c r="BH336" s="34" t="s">
        <v>156</v>
      </c>
      <c r="BI336" s="34" t="s">
        <v>156</v>
      </c>
      <c r="BJ336" s="34" t="s">
        <v>156</v>
      </c>
      <c r="BK336" s="34" t="s">
        <v>156</v>
      </c>
      <c r="BL336" s="34" t="s">
        <v>156</v>
      </c>
      <c r="BM336" s="34" t="s">
        <v>156</v>
      </c>
      <c r="BN336" s="34" t="s">
        <v>156</v>
      </c>
      <c r="BO336" s="34" t="s">
        <v>156</v>
      </c>
      <c r="BP336" s="34" t="s">
        <v>156</v>
      </c>
      <c r="BQ336" s="34" t="s">
        <v>156</v>
      </c>
      <c r="BR336" s="44" t="e">
        <f>IF(E336&lt;#REF!,1,0)</f>
        <v>#REF!</v>
      </c>
      <c r="BS336" s="20" t="s">
        <v>157</v>
      </c>
    </row>
    <row r="337" ht="16.5" hidden="1" spans="1:71">
      <c r="A337" s="21" t="s">
        <v>167</v>
      </c>
      <c r="B337" s="21"/>
      <c r="C337" s="45"/>
      <c r="D337" s="42" t="s">
        <v>246</v>
      </c>
      <c r="E337" s="55">
        <v>27.5</v>
      </c>
      <c r="F337" s="24">
        <v>39.99</v>
      </c>
      <c r="G337" s="25">
        <f t="shared" si="362"/>
        <v>39.99</v>
      </c>
      <c r="H337" s="25">
        <f t="shared" si="363"/>
        <v>33.325</v>
      </c>
      <c r="I337" s="25">
        <f t="shared" si="364"/>
        <v>6.66478982300885</v>
      </c>
      <c r="J337" s="26">
        <f t="shared" si="365"/>
        <v>0.242355993563958</v>
      </c>
      <c r="K337" s="27">
        <f t="shared" si="366"/>
        <v>33.325</v>
      </c>
      <c r="L337" s="28">
        <f t="shared" si="367"/>
        <v>0.174793698424606</v>
      </c>
      <c r="M337" s="25">
        <f t="shared" si="368"/>
        <v>5.825</v>
      </c>
      <c r="N337" s="27">
        <f t="shared" si="381"/>
        <v>78.3716814159292</v>
      </c>
      <c r="O337" s="27">
        <f t="shared" si="369"/>
        <v>0.59375</v>
      </c>
      <c r="P337" s="21">
        <v>24</v>
      </c>
      <c r="Q337" s="29">
        <v>8</v>
      </c>
      <c r="R337" s="30">
        <f t="shared" si="370"/>
        <v>0.181818181818182</v>
      </c>
      <c r="S337" s="26">
        <f t="shared" si="371"/>
        <v>0.125031257814454</v>
      </c>
      <c r="T337" s="30">
        <f t="shared" si="372"/>
        <v>0</v>
      </c>
      <c r="U337" s="30">
        <v>0.01</v>
      </c>
      <c r="V337" s="30">
        <f t="shared" si="373"/>
        <v>0.356234915526951</v>
      </c>
      <c r="W337" s="30">
        <f t="shared" si="374"/>
        <v>0.0215909090909091</v>
      </c>
      <c r="X337" s="31">
        <v>0.188</v>
      </c>
      <c r="Y337" s="32">
        <v>5</v>
      </c>
      <c r="Z337" s="32">
        <f t="shared" si="383"/>
        <v>0</v>
      </c>
      <c r="AA337" s="32">
        <f t="shared" si="375"/>
        <v>0.275</v>
      </c>
      <c r="AB337" s="27">
        <f t="shared" si="376"/>
        <v>5.17</v>
      </c>
      <c r="AC337" s="27">
        <v>75</v>
      </c>
      <c r="AD337" s="33">
        <f t="shared" si="377"/>
        <v>66.3716814159292</v>
      </c>
      <c r="AE337" s="29">
        <f t="shared" si="382"/>
        <v>1.5</v>
      </c>
      <c r="AF337" s="30">
        <f t="shared" si="378"/>
        <v>0.301689460981496</v>
      </c>
      <c r="AG337" s="30">
        <f t="shared" si="379"/>
        <v>0.00681818181818182</v>
      </c>
      <c r="AH337" s="29">
        <v>12</v>
      </c>
      <c r="AI337" s="30">
        <f t="shared" si="380"/>
        <v>0.32993248312078</v>
      </c>
      <c r="AJ337" s="30"/>
      <c r="AK337" s="30"/>
      <c r="AL337" s="30"/>
      <c r="AM337" s="30"/>
      <c r="AN337" s="34"/>
      <c r="AO337" s="34"/>
      <c r="AP337" s="34"/>
      <c r="AQ337" s="34"/>
      <c r="AR337" s="34"/>
      <c r="AS337" s="34"/>
      <c r="AT337" s="34" t="s">
        <v>156</v>
      </c>
      <c r="AU337" s="34" t="s">
        <v>156</v>
      </c>
      <c r="AV337" s="34" t="s">
        <v>156</v>
      </c>
      <c r="AW337" s="34" t="s">
        <v>156</v>
      </c>
      <c r="AX337" s="34" t="s">
        <v>156</v>
      </c>
      <c r="AY337" s="34" t="s">
        <v>156</v>
      </c>
      <c r="AZ337" s="34" t="s">
        <v>156</v>
      </c>
      <c r="BA337" s="34" t="s">
        <v>156</v>
      </c>
      <c r="BB337" s="34" t="s">
        <v>156</v>
      </c>
      <c r="BC337" s="34" t="s">
        <v>156</v>
      </c>
      <c r="BD337" s="34" t="s">
        <v>156</v>
      </c>
      <c r="BE337" s="34" t="s">
        <v>156</v>
      </c>
      <c r="BF337" s="34" t="s">
        <v>156</v>
      </c>
      <c r="BG337" s="34" t="s">
        <v>156</v>
      </c>
      <c r="BH337" s="34" t="s">
        <v>156</v>
      </c>
      <c r="BI337" s="34" t="s">
        <v>156</v>
      </c>
      <c r="BJ337" s="34" t="s">
        <v>156</v>
      </c>
      <c r="BK337" s="34" t="s">
        <v>156</v>
      </c>
      <c r="BL337" s="34" t="s">
        <v>156</v>
      </c>
      <c r="BM337" s="34" t="s">
        <v>156</v>
      </c>
      <c r="BN337" s="34" t="s">
        <v>156</v>
      </c>
      <c r="BO337" s="34" t="s">
        <v>156</v>
      </c>
      <c r="BP337" s="34" t="s">
        <v>156</v>
      </c>
      <c r="BQ337" s="34" t="s">
        <v>156</v>
      </c>
      <c r="BR337" s="44" t="e">
        <f>IF(E337&lt;#REF!,1,0)</f>
        <v>#REF!</v>
      </c>
      <c r="BS337" s="20" t="s">
        <v>157</v>
      </c>
    </row>
    <row r="338" spans="1:71">
      <c r="G338" s="48"/>
      <c r="H338" s="48"/>
      <c r="S338" s="48"/>
      <c r="AE338" s="49"/>
      <c r="AI338" s="48"/>
    </row>
    <row r="339" ht="16.5" hidden="1" spans="1:71">
      <c r="A339" s="20" t="s">
        <v>50</v>
      </c>
      <c r="B339" s="21"/>
      <c r="C339" s="51"/>
      <c r="D339" s="59" t="s">
        <v>247</v>
      </c>
      <c r="E339" s="55">
        <v>13.7</v>
      </c>
      <c r="F339" s="38">
        <v>19.99</v>
      </c>
      <c r="G339" s="25">
        <f t="shared" ref="G339:G357" si="384">(F339-Z339)</f>
        <v>19.99</v>
      </c>
      <c r="H339" s="25">
        <f t="shared" ref="H339:H357" si="385">(F339-Z339)/1.2</f>
        <v>16.6583333333333</v>
      </c>
      <c r="I339" s="25">
        <f t="shared" ref="I339:I357" si="386">E339-N339/Q339-AB339-Y339-O339-Z339-AA339</f>
        <v>3.22626332350049</v>
      </c>
      <c r="J339" s="26">
        <f t="shared" ref="J339:J357" si="387">I339/E339</f>
        <v>0.235493673248211</v>
      </c>
      <c r="K339" s="27">
        <f t="shared" ref="K339:K357" si="388">F339/1.2</f>
        <v>16.6583333333333</v>
      </c>
      <c r="L339" s="28">
        <f t="shared" ref="L339:L357" si="389">(K339-E339)/K339</f>
        <v>0.177588794397199</v>
      </c>
      <c r="M339" s="25">
        <f t="shared" ref="M339:M357" si="390">F339/1.2-E339</f>
        <v>2.95833333333333</v>
      </c>
      <c r="N339" s="27">
        <f>AD339+AH340</f>
        <v>41.3982300884956</v>
      </c>
      <c r="O339" s="27">
        <f t="shared" ref="O339:O357" si="391">IFERROR(IF(A339="UK",8.95/P339,IF(A339="DE",7.75/P339,IF(A339="FR",14.25/P339,IF(A339="IT",15.25/P339,IF(A339="ES",19.25/P339,IF(A339="NL",16.75/P339,IF(A339="PL",14.05/P339,IF(A339="SE",18.25/P339,IF(A339="BE",14.25/P339))))))))),0)</f>
        <v>0.298333333333333</v>
      </c>
      <c r="P339" s="20">
        <v>30</v>
      </c>
      <c r="Q339" s="29">
        <v>9</v>
      </c>
      <c r="R339" s="30">
        <f t="shared" ref="R339:R357" si="392">Y339/E339</f>
        <v>0.218978102189781</v>
      </c>
      <c r="S339" s="26">
        <f t="shared" ref="S339:S357" si="393">Y339/F339</f>
        <v>0.150075037518759</v>
      </c>
      <c r="T339" s="30">
        <f t="shared" ref="T339:T357" si="394">Z339/E339</f>
        <v>0</v>
      </c>
      <c r="U339" s="30">
        <v>0.01</v>
      </c>
      <c r="V339" s="30">
        <f t="shared" ref="V339:V357" si="395">N339/(E339*Q339)</f>
        <v>0.335752068844246</v>
      </c>
      <c r="W339" s="30">
        <f t="shared" ref="W339:W357" si="396">O339/E339</f>
        <v>0.0217761557177616</v>
      </c>
      <c r="X339" s="31">
        <v>0.178</v>
      </c>
      <c r="Y339" s="32">
        <v>3</v>
      </c>
      <c r="Z339" s="32">
        <v>0</v>
      </c>
      <c r="AA339" s="32">
        <f t="shared" ref="AA339:AA357" si="397">E339*U339</f>
        <v>0.137</v>
      </c>
      <c r="AB339" s="27">
        <f t="shared" ref="AB339:AB357" si="398">E339*X339</f>
        <v>2.4386</v>
      </c>
      <c r="AC339" s="27">
        <v>40</v>
      </c>
      <c r="AD339" s="33">
        <f t="shared" ref="AD339:AD357" si="399">AC339/1.13</f>
        <v>35.3982300884956</v>
      </c>
      <c r="AE339" s="29">
        <f>AH340/Q339</f>
        <v>0.666666666666667</v>
      </c>
      <c r="AF339" s="30">
        <f t="shared" ref="AF339:AF357" si="400">AD339/(E339*Q339)</f>
        <v>0.287090268357628</v>
      </c>
      <c r="AG339" s="30">
        <f t="shared" ref="AG339:AG357" si="401">AE339/Q339/E339</f>
        <v>0.00540686672073533</v>
      </c>
      <c r="AH339" s="29">
        <v>6</v>
      </c>
      <c r="AI339" s="30">
        <f t="shared" ref="AI339:AI357" si="402">(H339-E339+AB339)/H339</f>
        <v>0.323977988994497</v>
      </c>
      <c r="AJ339" s="30"/>
      <c r="AK339" s="30"/>
      <c r="AL339" s="30"/>
      <c r="AM339" s="30"/>
      <c r="AN339" s="34"/>
      <c r="AO339" s="34"/>
      <c r="AP339" s="34"/>
      <c r="AQ339" s="34"/>
      <c r="AR339" s="34"/>
      <c r="AS339" s="34"/>
      <c r="AT339" s="34" t="s">
        <v>156</v>
      </c>
      <c r="AU339" s="34" t="s">
        <v>156</v>
      </c>
      <c r="AV339" s="34" t="s">
        <v>156</v>
      </c>
      <c r="AW339" s="34" t="s">
        <v>156</v>
      </c>
      <c r="AX339" s="34" t="s">
        <v>156</v>
      </c>
      <c r="AY339" s="34" t="s">
        <v>156</v>
      </c>
      <c r="AZ339" s="34" t="s">
        <v>156</v>
      </c>
      <c r="BA339" s="34" t="s">
        <v>156</v>
      </c>
      <c r="BB339" s="34" t="s">
        <v>156</v>
      </c>
      <c r="BC339" s="34" t="s">
        <v>156</v>
      </c>
      <c r="BD339" s="34" t="s">
        <v>156</v>
      </c>
      <c r="BE339" s="34" t="s">
        <v>156</v>
      </c>
      <c r="BF339" s="34" t="s">
        <v>156</v>
      </c>
      <c r="BG339" s="34" t="s">
        <v>156</v>
      </c>
      <c r="BH339" s="34" t="s">
        <v>156</v>
      </c>
      <c r="BI339" s="34" t="s">
        <v>156</v>
      </c>
      <c r="BJ339" s="34" t="s">
        <v>156</v>
      </c>
      <c r="BK339" s="34" t="s">
        <v>156</v>
      </c>
      <c r="BL339" s="34" t="s">
        <v>156</v>
      </c>
      <c r="BM339" s="34" t="s">
        <v>156</v>
      </c>
      <c r="BN339" s="34" t="s">
        <v>156</v>
      </c>
      <c r="BO339" s="34" t="s">
        <v>156</v>
      </c>
      <c r="BP339" s="34" t="s">
        <v>156</v>
      </c>
      <c r="BQ339" s="34" t="s">
        <v>156</v>
      </c>
      <c r="BR339" s="35"/>
      <c r="BS339" s="20" t="s">
        <v>157</v>
      </c>
    </row>
    <row r="340" ht="16.5" hidden="1" spans="1:71">
      <c r="A340" s="20" t="s">
        <v>50</v>
      </c>
      <c r="B340" s="21"/>
      <c r="C340" s="45"/>
      <c r="D340" s="59" t="s">
        <v>248</v>
      </c>
      <c r="E340" s="55">
        <v>13.7</v>
      </c>
      <c r="F340" s="24">
        <v>19.99</v>
      </c>
      <c r="G340" s="25">
        <f t="shared" si="384"/>
        <v>17.991</v>
      </c>
      <c r="H340" s="25">
        <f t="shared" si="385"/>
        <v>14.9925</v>
      </c>
      <c r="I340" s="36">
        <f t="shared" si="386"/>
        <v>1.22726332350049</v>
      </c>
      <c r="J340" s="26">
        <f t="shared" si="387"/>
        <v>0.0895812644890869</v>
      </c>
      <c r="K340" s="27">
        <f t="shared" si="388"/>
        <v>16.6583333333333</v>
      </c>
      <c r="L340" s="28">
        <f t="shared" si="389"/>
        <v>0.177588794397199</v>
      </c>
      <c r="M340" s="25">
        <f t="shared" si="390"/>
        <v>2.95833333333333</v>
      </c>
      <c r="N340" s="27">
        <f t="shared" ref="N340:N357" si="403">AD340+AH340</f>
        <v>41.3982300884956</v>
      </c>
      <c r="O340" s="27">
        <f t="shared" si="391"/>
        <v>0.298333333333333</v>
      </c>
      <c r="P340" s="21">
        <v>30</v>
      </c>
      <c r="Q340" s="29">
        <v>9</v>
      </c>
      <c r="R340" s="30">
        <f t="shared" si="392"/>
        <v>0.218978102189781</v>
      </c>
      <c r="S340" s="26">
        <f t="shared" si="393"/>
        <v>0.150075037518759</v>
      </c>
      <c r="T340" s="30">
        <f t="shared" si="394"/>
        <v>0.145912408759124</v>
      </c>
      <c r="U340" s="30">
        <v>0.01</v>
      </c>
      <c r="V340" s="30">
        <f t="shared" si="395"/>
        <v>0.335752068844246</v>
      </c>
      <c r="W340" s="30">
        <f t="shared" si="396"/>
        <v>0.0217761557177616</v>
      </c>
      <c r="X340" s="31">
        <v>0.178</v>
      </c>
      <c r="Y340" s="32">
        <v>3</v>
      </c>
      <c r="Z340" s="32">
        <f>F340*0.1</f>
        <v>1.999</v>
      </c>
      <c r="AA340" s="32">
        <f t="shared" si="397"/>
        <v>0.137</v>
      </c>
      <c r="AB340" s="27">
        <f t="shared" si="398"/>
        <v>2.4386</v>
      </c>
      <c r="AC340" s="27">
        <v>40</v>
      </c>
      <c r="AD340" s="33">
        <f t="shared" si="399"/>
        <v>35.3982300884956</v>
      </c>
      <c r="AE340" s="29">
        <f t="shared" ref="AE340:AE357" si="404">AH340/Q340</f>
        <v>0.666666666666667</v>
      </c>
      <c r="AF340" s="30">
        <f t="shared" si="400"/>
        <v>0.287090268357628</v>
      </c>
      <c r="AG340" s="30">
        <f t="shared" si="401"/>
        <v>0.00540686672073533</v>
      </c>
      <c r="AH340" s="29">
        <v>6</v>
      </c>
      <c r="AI340" s="30">
        <f t="shared" si="402"/>
        <v>0.248864432216108</v>
      </c>
      <c r="AJ340" s="30"/>
      <c r="AK340" s="30"/>
      <c r="AL340" s="30"/>
      <c r="AM340" s="30"/>
      <c r="AN340" s="34"/>
      <c r="AO340" s="34"/>
      <c r="AP340" s="34"/>
      <c r="AQ340" s="34"/>
      <c r="AR340" s="34"/>
      <c r="AS340" s="34"/>
      <c r="AT340" s="34" t="s">
        <v>156</v>
      </c>
      <c r="AU340" s="34" t="s">
        <v>156</v>
      </c>
      <c r="AV340" s="34" t="s">
        <v>156</v>
      </c>
      <c r="AW340" s="34" t="s">
        <v>156</v>
      </c>
      <c r="AX340" s="34" t="s">
        <v>156</v>
      </c>
      <c r="AY340" s="34" t="s">
        <v>156</v>
      </c>
      <c r="AZ340" s="34" t="s">
        <v>156</v>
      </c>
      <c r="BA340" s="34" t="s">
        <v>156</v>
      </c>
      <c r="BB340" s="34" t="s">
        <v>156</v>
      </c>
      <c r="BC340" s="34" t="s">
        <v>156</v>
      </c>
      <c r="BD340" s="34" t="s">
        <v>156</v>
      </c>
      <c r="BE340" s="34" t="s">
        <v>156</v>
      </c>
      <c r="BF340" s="34" t="s">
        <v>156</v>
      </c>
      <c r="BG340" s="34" t="s">
        <v>156</v>
      </c>
      <c r="BH340" s="34" t="s">
        <v>156</v>
      </c>
      <c r="BI340" s="34" t="s">
        <v>156</v>
      </c>
      <c r="BJ340" s="34" t="s">
        <v>156</v>
      </c>
      <c r="BK340" s="34" t="s">
        <v>156</v>
      </c>
      <c r="BL340" s="34" t="s">
        <v>156</v>
      </c>
      <c r="BM340" s="34" t="s">
        <v>156</v>
      </c>
      <c r="BN340" s="34" t="s">
        <v>156</v>
      </c>
      <c r="BO340" s="34" t="s">
        <v>156</v>
      </c>
      <c r="BP340" s="34" t="s">
        <v>156</v>
      </c>
      <c r="BQ340" s="34" t="s">
        <v>156</v>
      </c>
      <c r="BR340" s="35"/>
      <c r="BS340" s="20" t="s">
        <v>157</v>
      </c>
    </row>
    <row r="341" ht="16.5" hidden="1" spans="1:71">
      <c r="A341" s="20" t="s">
        <v>50</v>
      </c>
      <c r="B341" s="21"/>
      <c r="C341" s="45"/>
      <c r="D341" s="59" t="s">
        <v>249</v>
      </c>
      <c r="E341" s="55">
        <v>13.7</v>
      </c>
      <c r="F341" s="24">
        <v>19.99</v>
      </c>
      <c r="G341" s="25">
        <f t="shared" si="384"/>
        <v>16.9915</v>
      </c>
      <c r="H341" s="25">
        <f t="shared" si="385"/>
        <v>14.1595833333333</v>
      </c>
      <c r="I341" s="25">
        <f t="shared" si="386"/>
        <v>0.227763323500491</v>
      </c>
      <c r="J341" s="26">
        <f t="shared" si="387"/>
        <v>0.0166250601095249</v>
      </c>
      <c r="K341" s="27">
        <f t="shared" si="388"/>
        <v>16.6583333333333</v>
      </c>
      <c r="L341" s="28">
        <f t="shared" si="389"/>
        <v>0.177588794397199</v>
      </c>
      <c r="M341" s="25">
        <f t="shared" si="390"/>
        <v>2.95833333333333</v>
      </c>
      <c r="N341" s="27">
        <f t="shared" si="403"/>
        <v>41.3982300884956</v>
      </c>
      <c r="O341" s="27">
        <f t="shared" si="391"/>
        <v>0.298333333333333</v>
      </c>
      <c r="P341" s="21">
        <v>30</v>
      </c>
      <c r="Q341" s="29">
        <v>9</v>
      </c>
      <c r="R341" s="30">
        <f t="shared" si="392"/>
        <v>0.218978102189781</v>
      </c>
      <c r="S341" s="26">
        <f t="shared" si="393"/>
        <v>0.150075037518759</v>
      </c>
      <c r="T341" s="30">
        <f t="shared" si="394"/>
        <v>0.218868613138686</v>
      </c>
      <c r="U341" s="30">
        <v>0.01</v>
      </c>
      <c r="V341" s="30">
        <f t="shared" si="395"/>
        <v>0.335752068844246</v>
      </c>
      <c r="W341" s="30">
        <f t="shared" si="396"/>
        <v>0.0217761557177616</v>
      </c>
      <c r="X341" s="31">
        <v>0.178</v>
      </c>
      <c r="Y341" s="32">
        <v>3</v>
      </c>
      <c r="Z341" s="32">
        <f>F341*0.15</f>
        <v>2.9985</v>
      </c>
      <c r="AA341" s="32">
        <f t="shared" si="397"/>
        <v>0.137</v>
      </c>
      <c r="AB341" s="27">
        <f t="shared" si="398"/>
        <v>2.4386</v>
      </c>
      <c r="AC341" s="27">
        <v>40</v>
      </c>
      <c r="AD341" s="33">
        <f t="shared" si="399"/>
        <v>35.3982300884956</v>
      </c>
      <c r="AE341" s="29">
        <f t="shared" si="404"/>
        <v>0.666666666666667</v>
      </c>
      <c r="AF341" s="30">
        <f t="shared" si="400"/>
        <v>0.287090268357628</v>
      </c>
      <c r="AG341" s="30">
        <f t="shared" si="401"/>
        <v>0.00540686672073533</v>
      </c>
      <c r="AH341" s="29">
        <v>6</v>
      </c>
      <c r="AI341" s="30">
        <f t="shared" si="402"/>
        <v>0.20467998705235</v>
      </c>
      <c r="AJ341" s="30"/>
      <c r="AK341" s="30"/>
      <c r="AL341" s="30"/>
      <c r="AM341" s="30"/>
      <c r="AN341" s="34"/>
      <c r="AO341" s="34"/>
      <c r="AP341" s="34"/>
      <c r="AQ341" s="34"/>
      <c r="AR341" s="34"/>
      <c r="AS341" s="34"/>
      <c r="AT341" s="34" t="s">
        <v>156</v>
      </c>
      <c r="AU341" s="34" t="s">
        <v>156</v>
      </c>
      <c r="AV341" s="34" t="s">
        <v>156</v>
      </c>
      <c r="AW341" s="34" t="s">
        <v>156</v>
      </c>
      <c r="AX341" s="34" t="s">
        <v>156</v>
      </c>
      <c r="AY341" s="34" t="s">
        <v>156</v>
      </c>
      <c r="AZ341" s="34" t="s">
        <v>156</v>
      </c>
      <c r="BA341" s="34" t="s">
        <v>156</v>
      </c>
      <c r="BB341" s="34" t="s">
        <v>156</v>
      </c>
      <c r="BC341" s="34" t="s">
        <v>156</v>
      </c>
      <c r="BD341" s="34" t="s">
        <v>156</v>
      </c>
      <c r="BE341" s="34" t="s">
        <v>156</v>
      </c>
      <c r="BF341" s="34" t="s">
        <v>156</v>
      </c>
      <c r="BG341" s="34" t="s">
        <v>156</v>
      </c>
      <c r="BH341" s="34" t="s">
        <v>156</v>
      </c>
      <c r="BI341" s="34" t="s">
        <v>156</v>
      </c>
      <c r="BJ341" s="34" t="s">
        <v>156</v>
      </c>
      <c r="BK341" s="34" t="s">
        <v>156</v>
      </c>
      <c r="BL341" s="34" t="s">
        <v>156</v>
      </c>
      <c r="BM341" s="34" t="s">
        <v>156</v>
      </c>
      <c r="BN341" s="34" t="s">
        <v>156</v>
      </c>
      <c r="BO341" s="34" t="s">
        <v>156</v>
      </c>
      <c r="BP341" s="34" t="s">
        <v>156</v>
      </c>
      <c r="BQ341" s="34" t="s">
        <v>156</v>
      </c>
      <c r="BR341" s="35"/>
      <c r="BS341" s="20" t="s">
        <v>157</v>
      </c>
    </row>
    <row r="342" ht="16.5" hidden="1" spans="1:71">
      <c r="A342" s="21" t="s">
        <v>37</v>
      </c>
      <c r="B342" s="21"/>
      <c r="C342" s="45"/>
      <c r="D342" s="60" t="s">
        <v>247</v>
      </c>
      <c r="E342" s="55">
        <v>15.2</v>
      </c>
      <c r="F342" s="38">
        <v>21.99</v>
      </c>
      <c r="G342" s="25">
        <f t="shared" si="384"/>
        <v>21.99</v>
      </c>
      <c r="H342" s="25">
        <f t="shared" si="385"/>
        <v>18.325</v>
      </c>
      <c r="I342" s="25">
        <f t="shared" si="386"/>
        <v>3.75728790560472</v>
      </c>
      <c r="J342" s="26">
        <f t="shared" si="387"/>
        <v>0.247189993789784</v>
      </c>
      <c r="K342" s="27">
        <f t="shared" si="388"/>
        <v>18.325</v>
      </c>
      <c r="L342" s="28">
        <f t="shared" si="389"/>
        <v>0.170532060027285</v>
      </c>
      <c r="M342" s="25">
        <f t="shared" si="390"/>
        <v>3.125</v>
      </c>
      <c r="N342" s="27">
        <f>AD342+AH343</f>
        <v>41.3982300884956</v>
      </c>
      <c r="O342" s="27">
        <f t="shared" si="391"/>
        <v>0.258333333333333</v>
      </c>
      <c r="P342" s="21">
        <v>30</v>
      </c>
      <c r="Q342" s="29">
        <v>8</v>
      </c>
      <c r="R342" s="30">
        <f t="shared" si="392"/>
        <v>0.197368421052632</v>
      </c>
      <c r="S342" s="26">
        <f t="shared" si="393"/>
        <v>0.136425648021828</v>
      </c>
      <c r="T342" s="30">
        <f t="shared" si="394"/>
        <v>0</v>
      </c>
      <c r="U342" s="30">
        <v>0.01</v>
      </c>
      <c r="V342" s="30">
        <f t="shared" si="395"/>
        <v>0.340445971122497</v>
      </c>
      <c r="W342" s="30">
        <f t="shared" si="396"/>
        <v>0.0169956140350877</v>
      </c>
      <c r="X342" s="31">
        <v>0.188</v>
      </c>
      <c r="Y342" s="32">
        <v>3</v>
      </c>
      <c r="Z342" s="32">
        <v>0</v>
      </c>
      <c r="AA342" s="32">
        <f t="shared" si="397"/>
        <v>0.152</v>
      </c>
      <c r="AB342" s="27">
        <f t="shared" si="398"/>
        <v>2.8576</v>
      </c>
      <c r="AC342" s="27">
        <v>40</v>
      </c>
      <c r="AD342" s="33">
        <f t="shared" si="399"/>
        <v>35.3982300884956</v>
      </c>
      <c r="AE342" s="29">
        <f>AH343/Q342</f>
        <v>0.75</v>
      </c>
      <c r="AF342" s="30">
        <f t="shared" si="400"/>
        <v>0.291103865859339</v>
      </c>
      <c r="AG342" s="30">
        <f t="shared" si="401"/>
        <v>0.00616776315789474</v>
      </c>
      <c r="AH342" s="29">
        <v>6</v>
      </c>
      <c r="AI342" s="30">
        <f t="shared" si="402"/>
        <v>0.326472032742156</v>
      </c>
      <c r="AJ342" s="30"/>
      <c r="AK342" s="30"/>
      <c r="AL342" s="30"/>
      <c r="AM342" s="30"/>
      <c r="AN342" s="34"/>
      <c r="AO342" s="34"/>
      <c r="AP342" s="34"/>
      <c r="AQ342" s="34"/>
      <c r="AR342" s="34"/>
      <c r="AS342" s="34"/>
      <c r="AT342" s="34" t="s">
        <v>156</v>
      </c>
      <c r="AU342" s="34" t="s">
        <v>156</v>
      </c>
      <c r="AV342" s="34" t="s">
        <v>156</v>
      </c>
      <c r="AW342" s="34" t="s">
        <v>156</v>
      </c>
      <c r="AX342" s="34" t="s">
        <v>156</v>
      </c>
      <c r="AY342" s="34" t="s">
        <v>156</v>
      </c>
      <c r="AZ342" s="34" t="s">
        <v>156</v>
      </c>
      <c r="BA342" s="34" t="s">
        <v>156</v>
      </c>
      <c r="BB342" s="34" t="s">
        <v>156</v>
      </c>
      <c r="BC342" s="34" t="s">
        <v>156</v>
      </c>
      <c r="BD342" s="34" t="s">
        <v>156</v>
      </c>
      <c r="BE342" s="34" t="s">
        <v>156</v>
      </c>
      <c r="BF342" s="34" t="s">
        <v>156</v>
      </c>
      <c r="BG342" s="34" t="s">
        <v>156</v>
      </c>
      <c r="BH342" s="34" t="s">
        <v>156</v>
      </c>
      <c r="BI342" s="34" t="s">
        <v>156</v>
      </c>
      <c r="BJ342" s="34" t="s">
        <v>156</v>
      </c>
      <c r="BK342" s="34" t="s">
        <v>156</v>
      </c>
      <c r="BL342" s="34" t="s">
        <v>156</v>
      </c>
      <c r="BM342" s="34" t="s">
        <v>156</v>
      </c>
      <c r="BN342" s="34" t="s">
        <v>156</v>
      </c>
      <c r="BO342" s="34" t="s">
        <v>156</v>
      </c>
      <c r="BP342" s="34" t="s">
        <v>156</v>
      </c>
      <c r="BQ342" s="34" t="s">
        <v>156</v>
      </c>
      <c r="BR342" s="35"/>
      <c r="BS342" s="20" t="s">
        <v>157</v>
      </c>
    </row>
    <row r="343" ht="16.5" hidden="1" spans="1:71">
      <c r="A343" s="21" t="s">
        <v>37</v>
      </c>
      <c r="B343" s="21"/>
      <c r="C343" s="45"/>
      <c r="D343" s="60" t="s">
        <v>248</v>
      </c>
      <c r="E343" s="55">
        <v>15.2</v>
      </c>
      <c r="F343" s="24">
        <v>21.99</v>
      </c>
      <c r="G343" s="25">
        <f t="shared" si="384"/>
        <v>19.791</v>
      </c>
      <c r="H343" s="25">
        <f t="shared" si="385"/>
        <v>16.4925</v>
      </c>
      <c r="I343" s="36">
        <f t="shared" si="386"/>
        <v>1.55828790560472</v>
      </c>
      <c r="J343" s="26">
        <f t="shared" si="387"/>
        <v>0.102518941158205</v>
      </c>
      <c r="K343" s="27">
        <f t="shared" si="388"/>
        <v>18.325</v>
      </c>
      <c r="L343" s="28">
        <f t="shared" si="389"/>
        <v>0.170532060027285</v>
      </c>
      <c r="M343" s="25">
        <f t="shared" si="390"/>
        <v>3.125</v>
      </c>
      <c r="N343" s="27">
        <f t="shared" si="403"/>
        <v>41.3982300884956</v>
      </c>
      <c r="O343" s="27">
        <f t="shared" si="391"/>
        <v>0.258333333333333</v>
      </c>
      <c r="P343" s="21">
        <v>30</v>
      </c>
      <c r="Q343" s="29">
        <v>8</v>
      </c>
      <c r="R343" s="30">
        <f t="shared" si="392"/>
        <v>0.197368421052632</v>
      </c>
      <c r="S343" s="26">
        <f t="shared" si="393"/>
        <v>0.136425648021828</v>
      </c>
      <c r="T343" s="30">
        <f t="shared" si="394"/>
        <v>0.144671052631579</v>
      </c>
      <c r="U343" s="30">
        <v>0.01</v>
      </c>
      <c r="V343" s="30">
        <f t="shared" si="395"/>
        <v>0.340445971122497</v>
      </c>
      <c r="W343" s="30">
        <f t="shared" si="396"/>
        <v>0.0169956140350877</v>
      </c>
      <c r="X343" s="31">
        <v>0.188</v>
      </c>
      <c r="Y343" s="32">
        <v>3</v>
      </c>
      <c r="Z343" s="32">
        <f>F343*0.1</f>
        <v>2.199</v>
      </c>
      <c r="AA343" s="32">
        <f t="shared" si="397"/>
        <v>0.152</v>
      </c>
      <c r="AB343" s="27">
        <f t="shared" si="398"/>
        <v>2.8576</v>
      </c>
      <c r="AC343" s="27">
        <v>40</v>
      </c>
      <c r="AD343" s="33">
        <f t="shared" si="399"/>
        <v>35.3982300884956</v>
      </c>
      <c r="AE343" s="29">
        <f t="shared" si="404"/>
        <v>0.75</v>
      </c>
      <c r="AF343" s="30">
        <f t="shared" si="400"/>
        <v>0.291103865859339</v>
      </c>
      <c r="AG343" s="30">
        <f t="shared" si="401"/>
        <v>0.00616776315789474</v>
      </c>
      <c r="AH343" s="29">
        <v>6</v>
      </c>
      <c r="AI343" s="30">
        <f t="shared" si="402"/>
        <v>0.251635591935728</v>
      </c>
      <c r="AJ343" s="30"/>
      <c r="AK343" s="30"/>
      <c r="AL343" s="30"/>
      <c r="AM343" s="30"/>
      <c r="AN343" s="34"/>
      <c r="AO343" s="34"/>
      <c r="AP343" s="34"/>
      <c r="AQ343" s="34"/>
      <c r="AR343" s="34"/>
      <c r="AS343" s="34"/>
      <c r="AT343" s="34" t="s">
        <v>156</v>
      </c>
      <c r="AU343" s="34" t="s">
        <v>156</v>
      </c>
      <c r="AV343" s="34" t="s">
        <v>156</v>
      </c>
      <c r="AW343" s="34" t="s">
        <v>156</v>
      </c>
      <c r="AX343" s="34" t="s">
        <v>156</v>
      </c>
      <c r="AY343" s="34" t="s">
        <v>156</v>
      </c>
      <c r="AZ343" s="34" t="s">
        <v>156</v>
      </c>
      <c r="BA343" s="34" t="s">
        <v>156</v>
      </c>
      <c r="BB343" s="34" t="s">
        <v>156</v>
      </c>
      <c r="BC343" s="34" t="s">
        <v>156</v>
      </c>
      <c r="BD343" s="34" t="s">
        <v>156</v>
      </c>
      <c r="BE343" s="34" t="s">
        <v>156</v>
      </c>
      <c r="BF343" s="34" t="s">
        <v>156</v>
      </c>
      <c r="BG343" s="34" t="s">
        <v>156</v>
      </c>
      <c r="BH343" s="34" t="s">
        <v>156</v>
      </c>
      <c r="BI343" s="34" t="s">
        <v>156</v>
      </c>
      <c r="BJ343" s="34" t="s">
        <v>156</v>
      </c>
      <c r="BK343" s="34" t="s">
        <v>156</v>
      </c>
      <c r="BL343" s="34" t="s">
        <v>156</v>
      </c>
      <c r="BM343" s="34" t="s">
        <v>156</v>
      </c>
      <c r="BN343" s="34" t="s">
        <v>156</v>
      </c>
      <c r="BO343" s="34" t="s">
        <v>156</v>
      </c>
      <c r="BP343" s="34" t="s">
        <v>156</v>
      </c>
      <c r="BQ343" s="34" t="s">
        <v>156</v>
      </c>
      <c r="BR343" s="35"/>
      <c r="BS343" s="20" t="s">
        <v>157</v>
      </c>
    </row>
    <row r="344" ht="16.5" hidden="1" spans="1:71">
      <c r="A344" s="21" t="s">
        <v>37</v>
      </c>
      <c r="B344" s="21"/>
      <c r="C344" s="45"/>
      <c r="D344" s="60" t="s">
        <v>249</v>
      </c>
      <c r="E344" s="55">
        <v>15.2</v>
      </c>
      <c r="F344" s="24">
        <v>21.99</v>
      </c>
      <c r="G344" s="25">
        <f t="shared" si="384"/>
        <v>18.6915</v>
      </c>
      <c r="H344" s="25">
        <f t="shared" si="385"/>
        <v>15.57625</v>
      </c>
      <c r="I344" s="25">
        <f t="shared" si="386"/>
        <v>0.458787905604719</v>
      </c>
      <c r="J344" s="26">
        <f t="shared" si="387"/>
        <v>0.0301834148424157</v>
      </c>
      <c r="K344" s="27">
        <f t="shared" si="388"/>
        <v>18.325</v>
      </c>
      <c r="L344" s="28">
        <f t="shared" si="389"/>
        <v>0.170532060027285</v>
      </c>
      <c r="M344" s="25">
        <f t="shared" si="390"/>
        <v>3.125</v>
      </c>
      <c r="N344" s="27">
        <f t="shared" si="403"/>
        <v>41.3982300884956</v>
      </c>
      <c r="O344" s="27">
        <f t="shared" si="391"/>
        <v>0.258333333333333</v>
      </c>
      <c r="P344" s="21">
        <v>30</v>
      </c>
      <c r="Q344" s="29">
        <v>8</v>
      </c>
      <c r="R344" s="30">
        <f t="shared" si="392"/>
        <v>0.197368421052632</v>
      </c>
      <c r="S344" s="26">
        <f t="shared" si="393"/>
        <v>0.136425648021828</v>
      </c>
      <c r="T344" s="30">
        <f t="shared" si="394"/>
        <v>0.217006578947368</v>
      </c>
      <c r="U344" s="30">
        <v>0.01</v>
      </c>
      <c r="V344" s="30">
        <f t="shared" si="395"/>
        <v>0.340445971122497</v>
      </c>
      <c r="W344" s="30">
        <f t="shared" si="396"/>
        <v>0.0169956140350877</v>
      </c>
      <c r="X344" s="31">
        <v>0.188</v>
      </c>
      <c r="Y344" s="32">
        <v>3</v>
      </c>
      <c r="Z344" s="32">
        <f>F344*0.15</f>
        <v>3.2985</v>
      </c>
      <c r="AA344" s="32">
        <f t="shared" si="397"/>
        <v>0.152</v>
      </c>
      <c r="AB344" s="27">
        <f t="shared" si="398"/>
        <v>2.8576</v>
      </c>
      <c r="AC344" s="27">
        <v>40</v>
      </c>
      <c r="AD344" s="33">
        <f t="shared" si="399"/>
        <v>35.3982300884956</v>
      </c>
      <c r="AE344" s="29">
        <f t="shared" si="404"/>
        <v>0.75</v>
      </c>
      <c r="AF344" s="30">
        <f t="shared" si="400"/>
        <v>0.291103865859339</v>
      </c>
      <c r="AG344" s="30">
        <f t="shared" si="401"/>
        <v>0.00616776315789474</v>
      </c>
      <c r="AH344" s="29">
        <v>6</v>
      </c>
      <c r="AI344" s="30">
        <f t="shared" si="402"/>
        <v>0.207614156167242</v>
      </c>
      <c r="AJ344" s="30"/>
      <c r="AK344" s="30"/>
      <c r="AL344" s="30"/>
      <c r="AM344" s="30"/>
      <c r="AN344" s="34"/>
      <c r="AO344" s="34"/>
      <c r="AP344" s="34"/>
      <c r="AQ344" s="34"/>
      <c r="AR344" s="34"/>
      <c r="AS344" s="34"/>
      <c r="AT344" s="34" t="s">
        <v>156</v>
      </c>
      <c r="AU344" s="34" t="s">
        <v>156</v>
      </c>
      <c r="AV344" s="34" t="s">
        <v>156</v>
      </c>
      <c r="AW344" s="34" t="s">
        <v>156</v>
      </c>
      <c r="AX344" s="34" t="s">
        <v>156</v>
      </c>
      <c r="AY344" s="34" t="s">
        <v>156</v>
      </c>
      <c r="AZ344" s="34" t="s">
        <v>156</v>
      </c>
      <c r="BA344" s="34" t="s">
        <v>156</v>
      </c>
      <c r="BB344" s="34" t="s">
        <v>156</v>
      </c>
      <c r="BC344" s="34" t="s">
        <v>156</v>
      </c>
      <c r="BD344" s="34" t="s">
        <v>156</v>
      </c>
      <c r="BE344" s="34" t="s">
        <v>156</v>
      </c>
      <c r="BF344" s="34" t="s">
        <v>156</v>
      </c>
      <c r="BG344" s="34" t="s">
        <v>156</v>
      </c>
      <c r="BH344" s="34" t="s">
        <v>156</v>
      </c>
      <c r="BI344" s="34" t="s">
        <v>156</v>
      </c>
      <c r="BJ344" s="34" t="s">
        <v>156</v>
      </c>
      <c r="BK344" s="34" t="s">
        <v>156</v>
      </c>
      <c r="BL344" s="34" t="s">
        <v>156</v>
      </c>
      <c r="BM344" s="34" t="s">
        <v>156</v>
      </c>
      <c r="BN344" s="34" t="s">
        <v>156</v>
      </c>
      <c r="BO344" s="34" t="s">
        <v>156</v>
      </c>
      <c r="BP344" s="34" t="s">
        <v>156</v>
      </c>
      <c r="BQ344" s="34" t="s">
        <v>156</v>
      </c>
      <c r="BR344" s="35"/>
      <c r="BS344" s="20" t="s">
        <v>157</v>
      </c>
    </row>
    <row r="345" ht="16.5" hidden="1" spans="1:71">
      <c r="A345" s="21" t="s">
        <v>43</v>
      </c>
      <c r="B345" s="21"/>
      <c r="C345" s="45"/>
      <c r="D345" s="60" t="s">
        <v>247</v>
      </c>
      <c r="E345" s="55">
        <v>15.2</v>
      </c>
      <c r="F345" s="24">
        <v>21.99</v>
      </c>
      <c r="G345" s="25">
        <f t="shared" si="384"/>
        <v>21.99</v>
      </c>
      <c r="H345" s="25">
        <f t="shared" si="385"/>
        <v>18.325</v>
      </c>
      <c r="I345" s="25">
        <f t="shared" si="386"/>
        <v>3.54062123893805</v>
      </c>
      <c r="J345" s="26">
        <f t="shared" si="387"/>
        <v>0.232935607824872</v>
      </c>
      <c r="K345" s="27">
        <f t="shared" si="388"/>
        <v>18.325</v>
      </c>
      <c r="L345" s="28">
        <f t="shared" si="389"/>
        <v>0.170532060027285</v>
      </c>
      <c r="M345" s="25">
        <f t="shared" si="390"/>
        <v>3.125</v>
      </c>
      <c r="N345" s="27">
        <f t="shared" si="403"/>
        <v>41.3982300884956</v>
      </c>
      <c r="O345" s="27">
        <f t="shared" si="391"/>
        <v>0.475</v>
      </c>
      <c r="P345" s="21">
        <v>30</v>
      </c>
      <c r="Q345" s="29">
        <v>8</v>
      </c>
      <c r="R345" s="30">
        <f t="shared" si="392"/>
        <v>0.197368421052632</v>
      </c>
      <c r="S345" s="26">
        <f t="shared" si="393"/>
        <v>0.136425648021828</v>
      </c>
      <c r="T345" s="30">
        <f t="shared" si="394"/>
        <v>0</v>
      </c>
      <c r="U345" s="30">
        <v>0.01</v>
      </c>
      <c r="V345" s="30">
        <f t="shared" si="395"/>
        <v>0.340445971122497</v>
      </c>
      <c r="W345" s="30">
        <f t="shared" si="396"/>
        <v>0.03125</v>
      </c>
      <c r="X345" s="31">
        <v>0.188</v>
      </c>
      <c r="Y345" s="32">
        <v>3</v>
      </c>
      <c r="Z345" s="32">
        <v>0</v>
      </c>
      <c r="AA345" s="32">
        <f t="shared" si="397"/>
        <v>0.152</v>
      </c>
      <c r="AB345" s="27">
        <f t="shared" si="398"/>
        <v>2.8576</v>
      </c>
      <c r="AC345" s="27">
        <v>40</v>
      </c>
      <c r="AD345" s="33">
        <f t="shared" si="399"/>
        <v>35.3982300884956</v>
      </c>
      <c r="AE345" s="29">
        <f t="shared" si="404"/>
        <v>0.75</v>
      </c>
      <c r="AF345" s="30">
        <f t="shared" si="400"/>
        <v>0.291103865859339</v>
      </c>
      <c r="AG345" s="30">
        <f t="shared" si="401"/>
        <v>0.00616776315789474</v>
      </c>
      <c r="AH345" s="29">
        <v>6</v>
      </c>
      <c r="AI345" s="30">
        <f t="shared" si="402"/>
        <v>0.326472032742156</v>
      </c>
      <c r="AJ345" s="30"/>
      <c r="AK345" s="30"/>
      <c r="AL345" s="30"/>
      <c r="AM345" s="30"/>
      <c r="AN345" s="34"/>
      <c r="AO345" s="34"/>
      <c r="AP345" s="34"/>
      <c r="AQ345" s="34"/>
      <c r="AR345" s="34"/>
      <c r="AS345" s="34"/>
      <c r="AT345" s="34" t="s">
        <v>156</v>
      </c>
      <c r="AU345" s="34" t="s">
        <v>156</v>
      </c>
      <c r="AV345" s="34" t="s">
        <v>156</v>
      </c>
      <c r="AW345" s="34" t="s">
        <v>156</v>
      </c>
      <c r="AX345" s="34" t="s">
        <v>156</v>
      </c>
      <c r="AY345" s="34" t="s">
        <v>156</v>
      </c>
      <c r="AZ345" s="34" t="s">
        <v>156</v>
      </c>
      <c r="BA345" s="34" t="s">
        <v>156</v>
      </c>
      <c r="BB345" s="34" t="s">
        <v>156</v>
      </c>
      <c r="BC345" s="34" t="s">
        <v>156</v>
      </c>
      <c r="BD345" s="34" t="s">
        <v>156</v>
      </c>
      <c r="BE345" s="34" t="s">
        <v>156</v>
      </c>
      <c r="BF345" s="34" t="s">
        <v>156</v>
      </c>
      <c r="BG345" s="34" t="s">
        <v>156</v>
      </c>
      <c r="BH345" s="34" t="s">
        <v>156</v>
      </c>
      <c r="BI345" s="34" t="s">
        <v>156</v>
      </c>
      <c r="BJ345" s="34" t="s">
        <v>156</v>
      </c>
      <c r="BK345" s="34" t="s">
        <v>156</v>
      </c>
      <c r="BL345" s="34" t="s">
        <v>156</v>
      </c>
      <c r="BM345" s="34" t="s">
        <v>156</v>
      </c>
      <c r="BN345" s="34" t="s">
        <v>156</v>
      </c>
      <c r="BO345" s="34" t="s">
        <v>156</v>
      </c>
      <c r="BP345" s="34" t="s">
        <v>156</v>
      </c>
      <c r="BQ345" s="34" t="s">
        <v>156</v>
      </c>
      <c r="BR345" s="35"/>
      <c r="BS345" s="20" t="s">
        <v>157</v>
      </c>
    </row>
    <row r="346" ht="16.5" hidden="1" spans="1:71">
      <c r="A346" s="21" t="s">
        <v>43</v>
      </c>
      <c r="B346" s="21"/>
      <c r="C346" s="45"/>
      <c r="D346" s="60" t="s">
        <v>248</v>
      </c>
      <c r="E346" s="55">
        <v>15.2</v>
      </c>
      <c r="F346" s="24">
        <v>21.99</v>
      </c>
      <c r="G346" s="25">
        <f t="shared" si="384"/>
        <v>19.791</v>
      </c>
      <c r="H346" s="25">
        <f t="shared" si="385"/>
        <v>16.4925</v>
      </c>
      <c r="I346" s="36">
        <f t="shared" si="386"/>
        <v>1.34162123893805</v>
      </c>
      <c r="J346" s="26">
        <f t="shared" si="387"/>
        <v>0.0882645551932929</v>
      </c>
      <c r="K346" s="27">
        <f t="shared" si="388"/>
        <v>18.325</v>
      </c>
      <c r="L346" s="28">
        <f t="shared" si="389"/>
        <v>0.170532060027285</v>
      </c>
      <c r="M346" s="25">
        <f t="shared" si="390"/>
        <v>3.125</v>
      </c>
      <c r="N346" s="27">
        <f t="shared" si="403"/>
        <v>41.3982300884956</v>
      </c>
      <c r="O346" s="27">
        <f t="shared" si="391"/>
        <v>0.475</v>
      </c>
      <c r="P346" s="21">
        <v>30</v>
      </c>
      <c r="Q346" s="29">
        <v>8</v>
      </c>
      <c r="R346" s="30">
        <f t="shared" si="392"/>
        <v>0.197368421052632</v>
      </c>
      <c r="S346" s="26">
        <f t="shared" si="393"/>
        <v>0.136425648021828</v>
      </c>
      <c r="T346" s="30">
        <f t="shared" si="394"/>
        <v>0.144671052631579</v>
      </c>
      <c r="U346" s="30">
        <v>0.01</v>
      </c>
      <c r="V346" s="30">
        <f t="shared" si="395"/>
        <v>0.340445971122497</v>
      </c>
      <c r="W346" s="30">
        <f t="shared" si="396"/>
        <v>0.03125</v>
      </c>
      <c r="X346" s="31">
        <v>0.188</v>
      </c>
      <c r="Y346" s="32">
        <v>3</v>
      </c>
      <c r="Z346" s="32">
        <f>F346*0.1</f>
        <v>2.199</v>
      </c>
      <c r="AA346" s="32">
        <f t="shared" si="397"/>
        <v>0.152</v>
      </c>
      <c r="AB346" s="27">
        <f t="shared" si="398"/>
        <v>2.8576</v>
      </c>
      <c r="AC346" s="27">
        <v>40</v>
      </c>
      <c r="AD346" s="33">
        <f t="shared" si="399"/>
        <v>35.3982300884956</v>
      </c>
      <c r="AE346" s="29">
        <f t="shared" si="404"/>
        <v>0.75</v>
      </c>
      <c r="AF346" s="30">
        <f t="shared" si="400"/>
        <v>0.291103865859339</v>
      </c>
      <c r="AG346" s="30">
        <f t="shared" si="401"/>
        <v>0.00616776315789474</v>
      </c>
      <c r="AH346" s="29">
        <v>6</v>
      </c>
      <c r="AI346" s="30">
        <f t="shared" si="402"/>
        <v>0.251635591935728</v>
      </c>
      <c r="AJ346" s="30"/>
      <c r="AK346" s="30"/>
      <c r="AL346" s="30"/>
      <c r="AM346" s="30"/>
      <c r="AN346" s="34"/>
      <c r="AO346" s="34"/>
      <c r="AP346" s="34"/>
      <c r="AQ346" s="34"/>
      <c r="AR346" s="34"/>
      <c r="AS346" s="34"/>
      <c r="AT346" s="34" t="s">
        <v>156</v>
      </c>
      <c r="AU346" s="34" t="s">
        <v>156</v>
      </c>
      <c r="AV346" s="34" t="s">
        <v>156</v>
      </c>
      <c r="AW346" s="34" t="s">
        <v>156</v>
      </c>
      <c r="AX346" s="34" t="s">
        <v>156</v>
      </c>
      <c r="AY346" s="34" t="s">
        <v>156</v>
      </c>
      <c r="AZ346" s="34" t="s">
        <v>156</v>
      </c>
      <c r="BA346" s="34" t="s">
        <v>156</v>
      </c>
      <c r="BB346" s="34" t="s">
        <v>156</v>
      </c>
      <c r="BC346" s="34" t="s">
        <v>156</v>
      </c>
      <c r="BD346" s="34" t="s">
        <v>156</v>
      </c>
      <c r="BE346" s="34" t="s">
        <v>156</v>
      </c>
      <c r="BF346" s="34" t="s">
        <v>156</v>
      </c>
      <c r="BG346" s="34" t="s">
        <v>156</v>
      </c>
      <c r="BH346" s="34" t="s">
        <v>156</v>
      </c>
      <c r="BI346" s="34" t="s">
        <v>156</v>
      </c>
      <c r="BJ346" s="34" t="s">
        <v>156</v>
      </c>
      <c r="BK346" s="34" t="s">
        <v>156</v>
      </c>
      <c r="BL346" s="34" t="s">
        <v>156</v>
      </c>
      <c r="BM346" s="34" t="s">
        <v>156</v>
      </c>
      <c r="BN346" s="34" t="s">
        <v>156</v>
      </c>
      <c r="BO346" s="34" t="s">
        <v>156</v>
      </c>
      <c r="BP346" s="34" t="s">
        <v>156</v>
      </c>
      <c r="BQ346" s="34" t="s">
        <v>156</v>
      </c>
      <c r="BR346" s="35"/>
      <c r="BS346" s="20" t="s">
        <v>157</v>
      </c>
    </row>
    <row r="347" ht="16.5" hidden="1" spans="1:71">
      <c r="A347" s="21" t="s">
        <v>43</v>
      </c>
      <c r="B347" s="21"/>
      <c r="C347" s="45"/>
      <c r="D347" s="60" t="s">
        <v>249</v>
      </c>
      <c r="E347" s="55">
        <v>15.2</v>
      </c>
      <c r="F347" s="24">
        <v>21.99</v>
      </c>
      <c r="G347" s="25">
        <f t="shared" si="384"/>
        <v>18.6915</v>
      </c>
      <c r="H347" s="25">
        <f t="shared" si="385"/>
        <v>15.57625</v>
      </c>
      <c r="I347" s="25">
        <f t="shared" si="386"/>
        <v>0.242121238938052</v>
      </c>
      <c r="J347" s="26">
        <f t="shared" si="387"/>
        <v>0.0159290288775034</v>
      </c>
      <c r="K347" s="27">
        <f t="shared" si="388"/>
        <v>18.325</v>
      </c>
      <c r="L347" s="28">
        <f t="shared" si="389"/>
        <v>0.170532060027285</v>
      </c>
      <c r="M347" s="25">
        <f t="shared" si="390"/>
        <v>3.125</v>
      </c>
      <c r="N347" s="27">
        <f t="shared" si="403"/>
        <v>41.3982300884956</v>
      </c>
      <c r="O347" s="27">
        <f t="shared" si="391"/>
        <v>0.475</v>
      </c>
      <c r="P347" s="21">
        <v>30</v>
      </c>
      <c r="Q347" s="29">
        <v>8</v>
      </c>
      <c r="R347" s="30">
        <f t="shared" si="392"/>
        <v>0.197368421052632</v>
      </c>
      <c r="S347" s="26">
        <f t="shared" si="393"/>
        <v>0.136425648021828</v>
      </c>
      <c r="T347" s="30">
        <f t="shared" si="394"/>
        <v>0.217006578947368</v>
      </c>
      <c r="U347" s="30">
        <v>0.01</v>
      </c>
      <c r="V347" s="30">
        <f t="shared" si="395"/>
        <v>0.340445971122497</v>
      </c>
      <c r="W347" s="30">
        <f t="shared" si="396"/>
        <v>0.03125</v>
      </c>
      <c r="X347" s="31">
        <v>0.188</v>
      </c>
      <c r="Y347" s="32">
        <v>3</v>
      </c>
      <c r="Z347" s="32">
        <f>F347*0.15</f>
        <v>3.2985</v>
      </c>
      <c r="AA347" s="32">
        <f t="shared" si="397"/>
        <v>0.152</v>
      </c>
      <c r="AB347" s="27">
        <f t="shared" si="398"/>
        <v>2.8576</v>
      </c>
      <c r="AC347" s="27">
        <v>40</v>
      </c>
      <c r="AD347" s="33">
        <f t="shared" si="399"/>
        <v>35.3982300884956</v>
      </c>
      <c r="AE347" s="29">
        <f t="shared" si="404"/>
        <v>0.75</v>
      </c>
      <c r="AF347" s="30">
        <f t="shared" si="400"/>
        <v>0.291103865859339</v>
      </c>
      <c r="AG347" s="30">
        <f t="shared" si="401"/>
        <v>0.00616776315789474</v>
      </c>
      <c r="AH347" s="29">
        <v>6</v>
      </c>
      <c r="AI347" s="30">
        <f t="shared" si="402"/>
        <v>0.207614156167242</v>
      </c>
      <c r="AJ347" s="30"/>
      <c r="AK347" s="30"/>
      <c r="AL347" s="30"/>
      <c r="AM347" s="30"/>
      <c r="AN347" s="34"/>
      <c r="AO347" s="34"/>
      <c r="AP347" s="34"/>
      <c r="AQ347" s="34"/>
      <c r="AR347" s="34"/>
      <c r="AS347" s="34"/>
      <c r="AT347" s="34" t="s">
        <v>156</v>
      </c>
      <c r="AU347" s="34" t="s">
        <v>156</v>
      </c>
      <c r="AV347" s="34" t="s">
        <v>156</v>
      </c>
      <c r="AW347" s="34" t="s">
        <v>156</v>
      </c>
      <c r="AX347" s="34" t="s">
        <v>156</v>
      </c>
      <c r="AY347" s="34" t="s">
        <v>156</v>
      </c>
      <c r="AZ347" s="34" t="s">
        <v>156</v>
      </c>
      <c r="BA347" s="34" t="s">
        <v>156</v>
      </c>
      <c r="BB347" s="34" t="s">
        <v>156</v>
      </c>
      <c r="BC347" s="34" t="s">
        <v>156</v>
      </c>
      <c r="BD347" s="34" t="s">
        <v>156</v>
      </c>
      <c r="BE347" s="34" t="s">
        <v>156</v>
      </c>
      <c r="BF347" s="34" t="s">
        <v>156</v>
      </c>
      <c r="BG347" s="34" t="s">
        <v>156</v>
      </c>
      <c r="BH347" s="34" t="s">
        <v>156</v>
      </c>
      <c r="BI347" s="34" t="s">
        <v>156</v>
      </c>
      <c r="BJ347" s="34" t="s">
        <v>156</v>
      </c>
      <c r="BK347" s="34" t="s">
        <v>156</v>
      </c>
      <c r="BL347" s="34" t="s">
        <v>156</v>
      </c>
      <c r="BM347" s="34" t="s">
        <v>156</v>
      </c>
      <c r="BN347" s="34" t="s">
        <v>156</v>
      </c>
      <c r="BO347" s="34" t="s">
        <v>156</v>
      </c>
      <c r="BP347" s="34" t="s">
        <v>156</v>
      </c>
      <c r="BQ347" s="34" t="s">
        <v>156</v>
      </c>
      <c r="BR347" s="35"/>
      <c r="BS347" s="20" t="s">
        <v>157</v>
      </c>
    </row>
    <row r="348" ht="16.5" hidden="1" spans="1:71">
      <c r="A348" s="21" t="s">
        <v>45</v>
      </c>
      <c r="B348" s="21"/>
      <c r="C348" s="45"/>
      <c r="D348" s="60" t="s">
        <v>247</v>
      </c>
      <c r="E348" s="55">
        <v>15.2</v>
      </c>
      <c r="F348" s="24">
        <v>21.99</v>
      </c>
      <c r="G348" s="25">
        <f t="shared" si="384"/>
        <v>21.99</v>
      </c>
      <c r="H348" s="25">
        <f t="shared" si="385"/>
        <v>18.325</v>
      </c>
      <c r="I348" s="25">
        <f t="shared" si="386"/>
        <v>3.50728790560472</v>
      </c>
      <c r="J348" s="26">
        <f t="shared" si="387"/>
        <v>0.230742625368731</v>
      </c>
      <c r="K348" s="27">
        <f t="shared" si="388"/>
        <v>18.325</v>
      </c>
      <c r="L348" s="28">
        <f t="shared" si="389"/>
        <v>0.170532060027285</v>
      </c>
      <c r="M348" s="25">
        <f t="shared" si="390"/>
        <v>3.125</v>
      </c>
      <c r="N348" s="27">
        <f t="shared" si="403"/>
        <v>41.3982300884956</v>
      </c>
      <c r="O348" s="27">
        <f t="shared" si="391"/>
        <v>0.508333333333333</v>
      </c>
      <c r="P348" s="21">
        <v>30</v>
      </c>
      <c r="Q348" s="29">
        <v>8</v>
      </c>
      <c r="R348" s="30">
        <f t="shared" si="392"/>
        <v>0.197368421052632</v>
      </c>
      <c r="S348" s="26">
        <f t="shared" si="393"/>
        <v>0.136425648021828</v>
      </c>
      <c r="T348" s="30">
        <f t="shared" si="394"/>
        <v>0</v>
      </c>
      <c r="U348" s="30">
        <v>0.01</v>
      </c>
      <c r="V348" s="30">
        <f t="shared" si="395"/>
        <v>0.340445971122497</v>
      </c>
      <c r="W348" s="30">
        <f t="shared" si="396"/>
        <v>0.0334429824561404</v>
      </c>
      <c r="X348" s="31">
        <v>0.188</v>
      </c>
      <c r="Y348" s="32">
        <v>3</v>
      </c>
      <c r="Z348" s="32">
        <v>0</v>
      </c>
      <c r="AA348" s="32">
        <f t="shared" si="397"/>
        <v>0.152</v>
      </c>
      <c r="AB348" s="27">
        <f t="shared" si="398"/>
        <v>2.8576</v>
      </c>
      <c r="AC348" s="27">
        <v>40</v>
      </c>
      <c r="AD348" s="33">
        <f t="shared" si="399"/>
        <v>35.3982300884956</v>
      </c>
      <c r="AE348" s="29">
        <f t="shared" si="404"/>
        <v>0.75</v>
      </c>
      <c r="AF348" s="30">
        <f t="shared" si="400"/>
        <v>0.291103865859339</v>
      </c>
      <c r="AG348" s="30">
        <f t="shared" si="401"/>
        <v>0.00616776315789474</v>
      </c>
      <c r="AH348" s="29">
        <v>6</v>
      </c>
      <c r="AI348" s="26">
        <f t="shared" si="402"/>
        <v>0.326472032742156</v>
      </c>
      <c r="AJ348" s="26"/>
      <c r="AK348" s="26"/>
      <c r="AL348" s="26"/>
      <c r="AM348" s="26"/>
      <c r="AN348" s="34"/>
      <c r="AO348" s="34"/>
      <c r="AP348" s="34"/>
      <c r="AQ348" s="34"/>
      <c r="AR348" s="34"/>
      <c r="AS348" s="34"/>
      <c r="AT348" s="34" t="s">
        <v>156</v>
      </c>
      <c r="AU348" s="34" t="s">
        <v>156</v>
      </c>
      <c r="AV348" s="34" t="s">
        <v>156</v>
      </c>
      <c r="AW348" s="34" t="s">
        <v>156</v>
      </c>
      <c r="AX348" s="34" t="s">
        <v>156</v>
      </c>
      <c r="AY348" s="34" t="s">
        <v>156</v>
      </c>
      <c r="AZ348" s="34" t="s">
        <v>156</v>
      </c>
      <c r="BA348" s="34" t="s">
        <v>156</v>
      </c>
      <c r="BB348" s="34" t="s">
        <v>156</v>
      </c>
      <c r="BC348" s="34" t="s">
        <v>156</v>
      </c>
      <c r="BD348" s="34" t="s">
        <v>156</v>
      </c>
      <c r="BE348" s="34" t="s">
        <v>156</v>
      </c>
      <c r="BF348" s="34" t="s">
        <v>156</v>
      </c>
      <c r="BG348" s="34" t="s">
        <v>156</v>
      </c>
      <c r="BH348" s="34" t="s">
        <v>156</v>
      </c>
      <c r="BI348" s="34" t="s">
        <v>156</v>
      </c>
      <c r="BJ348" s="34" t="s">
        <v>156</v>
      </c>
      <c r="BK348" s="34" t="s">
        <v>156</v>
      </c>
      <c r="BL348" s="34" t="s">
        <v>156</v>
      </c>
      <c r="BM348" s="34" t="s">
        <v>156</v>
      </c>
      <c r="BN348" s="34" t="s">
        <v>156</v>
      </c>
      <c r="BO348" s="34" t="s">
        <v>156</v>
      </c>
      <c r="BP348" s="34" t="s">
        <v>156</v>
      </c>
      <c r="BQ348" s="34" t="s">
        <v>156</v>
      </c>
      <c r="BR348" s="35"/>
      <c r="BS348" s="20" t="s">
        <v>157</v>
      </c>
    </row>
    <row r="349" ht="16.5" hidden="1" spans="1:71">
      <c r="A349" s="21" t="s">
        <v>45</v>
      </c>
      <c r="B349" s="21"/>
      <c r="C349" s="45"/>
      <c r="D349" s="60" t="s">
        <v>248</v>
      </c>
      <c r="E349" s="55">
        <v>15.2</v>
      </c>
      <c r="F349" s="24">
        <v>21.99</v>
      </c>
      <c r="G349" s="25">
        <f t="shared" si="384"/>
        <v>19.791</v>
      </c>
      <c r="H349" s="25">
        <f t="shared" si="385"/>
        <v>16.4925</v>
      </c>
      <c r="I349" s="36">
        <f t="shared" si="386"/>
        <v>1.30828790560472</v>
      </c>
      <c r="J349" s="26">
        <f t="shared" si="387"/>
        <v>0.0860715727371526</v>
      </c>
      <c r="K349" s="27">
        <f t="shared" si="388"/>
        <v>18.325</v>
      </c>
      <c r="L349" s="28">
        <f t="shared" si="389"/>
        <v>0.170532060027285</v>
      </c>
      <c r="M349" s="25">
        <f t="shared" si="390"/>
        <v>3.125</v>
      </c>
      <c r="N349" s="27">
        <f t="shared" si="403"/>
        <v>41.3982300884956</v>
      </c>
      <c r="O349" s="27">
        <f t="shared" si="391"/>
        <v>0.508333333333333</v>
      </c>
      <c r="P349" s="21">
        <v>30</v>
      </c>
      <c r="Q349" s="29">
        <v>8</v>
      </c>
      <c r="R349" s="30">
        <f t="shared" si="392"/>
        <v>0.197368421052632</v>
      </c>
      <c r="S349" s="26">
        <f t="shared" si="393"/>
        <v>0.136425648021828</v>
      </c>
      <c r="T349" s="30">
        <f t="shared" si="394"/>
        <v>0.144671052631579</v>
      </c>
      <c r="U349" s="30">
        <v>0.01</v>
      </c>
      <c r="V349" s="30">
        <f t="shared" si="395"/>
        <v>0.340445971122497</v>
      </c>
      <c r="W349" s="30">
        <f t="shared" si="396"/>
        <v>0.0334429824561404</v>
      </c>
      <c r="X349" s="31">
        <v>0.188</v>
      </c>
      <c r="Y349" s="32">
        <v>3</v>
      </c>
      <c r="Z349" s="32">
        <f>F349*0.1</f>
        <v>2.199</v>
      </c>
      <c r="AA349" s="32">
        <f t="shared" si="397"/>
        <v>0.152</v>
      </c>
      <c r="AB349" s="27">
        <f t="shared" si="398"/>
        <v>2.8576</v>
      </c>
      <c r="AC349" s="27">
        <v>40</v>
      </c>
      <c r="AD349" s="33">
        <f t="shared" si="399"/>
        <v>35.3982300884956</v>
      </c>
      <c r="AE349" s="29">
        <f t="shared" si="404"/>
        <v>0.75</v>
      </c>
      <c r="AF349" s="30">
        <f t="shared" si="400"/>
        <v>0.291103865859339</v>
      </c>
      <c r="AG349" s="30">
        <f t="shared" si="401"/>
        <v>0.00616776315789474</v>
      </c>
      <c r="AH349" s="29">
        <v>6</v>
      </c>
      <c r="AI349" s="26">
        <f t="shared" si="402"/>
        <v>0.251635591935728</v>
      </c>
      <c r="AJ349" s="26"/>
      <c r="AK349" s="26"/>
      <c r="AL349" s="26"/>
      <c r="AM349" s="26"/>
      <c r="AN349" s="34"/>
      <c r="AO349" s="34"/>
      <c r="AP349" s="34"/>
      <c r="AQ349" s="34"/>
      <c r="AR349" s="34"/>
      <c r="AS349" s="34"/>
      <c r="AT349" s="34" t="s">
        <v>156</v>
      </c>
      <c r="AU349" s="34" t="s">
        <v>156</v>
      </c>
      <c r="AV349" s="34" t="s">
        <v>156</v>
      </c>
      <c r="AW349" s="34" t="s">
        <v>156</v>
      </c>
      <c r="AX349" s="34" t="s">
        <v>156</v>
      </c>
      <c r="AY349" s="34" t="s">
        <v>156</v>
      </c>
      <c r="AZ349" s="34" t="s">
        <v>156</v>
      </c>
      <c r="BA349" s="34" t="s">
        <v>156</v>
      </c>
      <c r="BB349" s="34" t="s">
        <v>156</v>
      </c>
      <c r="BC349" s="34" t="s">
        <v>156</v>
      </c>
      <c r="BD349" s="34" t="s">
        <v>156</v>
      </c>
      <c r="BE349" s="34" t="s">
        <v>156</v>
      </c>
      <c r="BF349" s="34" t="s">
        <v>156</v>
      </c>
      <c r="BG349" s="34" t="s">
        <v>156</v>
      </c>
      <c r="BH349" s="34" t="s">
        <v>156</v>
      </c>
      <c r="BI349" s="34" t="s">
        <v>156</v>
      </c>
      <c r="BJ349" s="34" t="s">
        <v>156</v>
      </c>
      <c r="BK349" s="34" t="s">
        <v>156</v>
      </c>
      <c r="BL349" s="34" t="s">
        <v>156</v>
      </c>
      <c r="BM349" s="34" t="s">
        <v>156</v>
      </c>
      <c r="BN349" s="34" t="s">
        <v>156</v>
      </c>
      <c r="BO349" s="34" t="s">
        <v>156</v>
      </c>
      <c r="BP349" s="34" t="s">
        <v>156</v>
      </c>
      <c r="BQ349" s="34" t="s">
        <v>156</v>
      </c>
      <c r="BR349" s="35"/>
      <c r="BS349" s="20" t="s">
        <v>157</v>
      </c>
    </row>
    <row r="350" ht="16.5" hidden="1" spans="1:71">
      <c r="A350" s="21" t="s">
        <v>45</v>
      </c>
      <c r="B350" s="21"/>
      <c r="C350" s="45"/>
      <c r="D350" s="60" t="s">
        <v>249</v>
      </c>
      <c r="E350" s="55">
        <v>15.2</v>
      </c>
      <c r="F350" s="24">
        <v>21.99</v>
      </c>
      <c r="G350" s="25">
        <f t="shared" si="384"/>
        <v>18.6915</v>
      </c>
      <c r="H350" s="25">
        <f t="shared" si="385"/>
        <v>15.57625</v>
      </c>
      <c r="I350" s="25">
        <f t="shared" si="386"/>
        <v>0.208787905604719</v>
      </c>
      <c r="J350" s="26">
        <f t="shared" si="387"/>
        <v>0.0137360464213631</v>
      </c>
      <c r="K350" s="27">
        <f t="shared" si="388"/>
        <v>18.325</v>
      </c>
      <c r="L350" s="28">
        <f t="shared" si="389"/>
        <v>0.170532060027285</v>
      </c>
      <c r="M350" s="25">
        <f t="shared" si="390"/>
        <v>3.125</v>
      </c>
      <c r="N350" s="27">
        <f t="shared" si="403"/>
        <v>41.3982300884956</v>
      </c>
      <c r="O350" s="27">
        <f t="shared" si="391"/>
        <v>0.508333333333333</v>
      </c>
      <c r="P350" s="21">
        <v>30</v>
      </c>
      <c r="Q350" s="29">
        <v>8</v>
      </c>
      <c r="R350" s="30">
        <f t="shared" si="392"/>
        <v>0.197368421052632</v>
      </c>
      <c r="S350" s="26">
        <f t="shared" si="393"/>
        <v>0.136425648021828</v>
      </c>
      <c r="T350" s="30">
        <f t="shared" si="394"/>
        <v>0.217006578947368</v>
      </c>
      <c r="U350" s="30">
        <v>0.01</v>
      </c>
      <c r="V350" s="30">
        <f t="shared" si="395"/>
        <v>0.340445971122497</v>
      </c>
      <c r="W350" s="30">
        <f t="shared" si="396"/>
        <v>0.0334429824561404</v>
      </c>
      <c r="X350" s="31">
        <v>0.188</v>
      </c>
      <c r="Y350" s="32">
        <v>3</v>
      </c>
      <c r="Z350" s="32">
        <f>F350*0.15</f>
        <v>3.2985</v>
      </c>
      <c r="AA350" s="32">
        <f t="shared" si="397"/>
        <v>0.152</v>
      </c>
      <c r="AB350" s="27">
        <f t="shared" si="398"/>
        <v>2.8576</v>
      </c>
      <c r="AC350" s="27">
        <v>40</v>
      </c>
      <c r="AD350" s="33">
        <f t="shared" si="399"/>
        <v>35.3982300884956</v>
      </c>
      <c r="AE350" s="29">
        <f t="shared" si="404"/>
        <v>0.75</v>
      </c>
      <c r="AF350" s="30">
        <f t="shared" si="400"/>
        <v>0.291103865859339</v>
      </c>
      <c r="AG350" s="30">
        <f t="shared" si="401"/>
        <v>0.00616776315789474</v>
      </c>
      <c r="AH350" s="29">
        <v>6</v>
      </c>
      <c r="AI350" s="26">
        <f t="shared" si="402"/>
        <v>0.207614156167242</v>
      </c>
      <c r="AJ350" s="26"/>
      <c r="AK350" s="26"/>
      <c r="AL350" s="26"/>
      <c r="AM350" s="26"/>
      <c r="AN350" s="34"/>
      <c r="AO350" s="34"/>
      <c r="AP350" s="34"/>
      <c r="AQ350" s="34"/>
      <c r="AR350" s="34"/>
      <c r="AS350" s="34"/>
      <c r="AT350" s="34" t="s">
        <v>156</v>
      </c>
      <c r="AU350" s="34" t="s">
        <v>156</v>
      </c>
      <c r="AV350" s="34" t="s">
        <v>156</v>
      </c>
      <c r="AW350" s="34" t="s">
        <v>156</v>
      </c>
      <c r="AX350" s="34" t="s">
        <v>156</v>
      </c>
      <c r="AY350" s="34" t="s">
        <v>156</v>
      </c>
      <c r="AZ350" s="34" t="s">
        <v>156</v>
      </c>
      <c r="BA350" s="34" t="s">
        <v>156</v>
      </c>
      <c r="BB350" s="34" t="s">
        <v>156</v>
      </c>
      <c r="BC350" s="34" t="s">
        <v>156</v>
      </c>
      <c r="BD350" s="34" t="s">
        <v>156</v>
      </c>
      <c r="BE350" s="34" t="s">
        <v>156</v>
      </c>
      <c r="BF350" s="34" t="s">
        <v>156</v>
      </c>
      <c r="BG350" s="34" t="s">
        <v>156</v>
      </c>
      <c r="BH350" s="34" t="s">
        <v>156</v>
      </c>
      <c r="BI350" s="34" t="s">
        <v>156</v>
      </c>
      <c r="BJ350" s="34" t="s">
        <v>156</v>
      </c>
      <c r="BK350" s="34" t="s">
        <v>156</v>
      </c>
      <c r="BL350" s="34" t="s">
        <v>156</v>
      </c>
      <c r="BM350" s="34" t="s">
        <v>156</v>
      </c>
      <c r="BN350" s="34" t="s">
        <v>156</v>
      </c>
      <c r="BO350" s="34" t="s">
        <v>156</v>
      </c>
      <c r="BP350" s="34" t="s">
        <v>156</v>
      </c>
      <c r="BQ350" s="34" t="s">
        <v>156</v>
      </c>
      <c r="BR350" s="35"/>
      <c r="BS350" s="20" t="s">
        <v>157</v>
      </c>
    </row>
    <row r="351" ht="16.5" hidden="1" spans="1:71">
      <c r="A351" s="21" t="s">
        <v>48</v>
      </c>
      <c r="B351" s="21"/>
      <c r="C351" s="45"/>
      <c r="D351" s="60" t="s">
        <v>247</v>
      </c>
      <c r="E351" s="55">
        <v>15.2</v>
      </c>
      <c r="F351" s="24">
        <v>21.99</v>
      </c>
      <c r="G351" s="25">
        <f t="shared" si="384"/>
        <v>21.99</v>
      </c>
      <c r="H351" s="25">
        <f t="shared" si="385"/>
        <v>18.325</v>
      </c>
      <c r="I351" s="25">
        <f t="shared" si="386"/>
        <v>3.37395457227139</v>
      </c>
      <c r="J351" s="26">
        <f t="shared" si="387"/>
        <v>0.22197069554417</v>
      </c>
      <c r="K351" s="27">
        <f t="shared" si="388"/>
        <v>18.325</v>
      </c>
      <c r="L351" s="28">
        <f t="shared" si="389"/>
        <v>0.170532060027285</v>
      </c>
      <c r="M351" s="25">
        <f t="shared" si="390"/>
        <v>3.125</v>
      </c>
      <c r="N351" s="27">
        <f t="shared" si="403"/>
        <v>41.3982300884956</v>
      </c>
      <c r="O351" s="27">
        <f t="shared" si="391"/>
        <v>0.641666666666667</v>
      </c>
      <c r="P351" s="21">
        <v>30</v>
      </c>
      <c r="Q351" s="29">
        <v>8</v>
      </c>
      <c r="R351" s="30">
        <f t="shared" si="392"/>
        <v>0.197368421052632</v>
      </c>
      <c r="S351" s="26">
        <f t="shared" si="393"/>
        <v>0.136425648021828</v>
      </c>
      <c r="T351" s="30">
        <f t="shared" si="394"/>
        <v>0</v>
      </c>
      <c r="U351" s="30">
        <v>0.01</v>
      </c>
      <c r="V351" s="30">
        <f t="shared" si="395"/>
        <v>0.340445971122497</v>
      </c>
      <c r="W351" s="30">
        <f t="shared" si="396"/>
        <v>0.0422149122807018</v>
      </c>
      <c r="X351" s="31">
        <v>0.188</v>
      </c>
      <c r="Y351" s="32">
        <v>3</v>
      </c>
      <c r="Z351" s="32">
        <v>0</v>
      </c>
      <c r="AA351" s="32">
        <f t="shared" si="397"/>
        <v>0.152</v>
      </c>
      <c r="AB351" s="27">
        <f t="shared" si="398"/>
        <v>2.8576</v>
      </c>
      <c r="AC351" s="27">
        <v>40</v>
      </c>
      <c r="AD351" s="33">
        <f t="shared" si="399"/>
        <v>35.3982300884956</v>
      </c>
      <c r="AE351" s="29">
        <f t="shared" si="404"/>
        <v>0.75</v>
      </c>
      <c r="AF351" s="30">
        <f t="shared" si="400"/>
        <v>0.291103865859339</v>
      </c>
      <c r="AG351" s="30">
        <f t="shared" si="401"/>
        <v>0.00616776315789474</v>
      </c>
      <c r="AH351" s="29">
        <v>6</v>
      </c>
      <c r="AI351" s="30">
        <f t="shared" si="402"/>
        <v>0.326472032742156</v>
      </c>
      <c r="AJ351" s="30"/>
      <c r="AK351" s="30"/>
      <c r="AL351" s="30"/>
      <c r="AM351" s="30"/>
      <c r="AN351" s="34"/>
      <c r="AO351" s="34"/>
      <c r="AP351" s="34"/>
      <c r="AQ351" s="34"/>
      <c r="AR351" s="34"/>
      <c r="AS351" s="34"/>
      <c r="AT351" s="34" t="s">
        <v>156</v>
      </c>
      <c r="AU351" s="34" t="s">
        <v>156</v>
      </c>
      <c r="AV351" s="34" t="s">
        <v>156</v>
      </c>
      <c r="AW351" s="34" t="s">
        <v>156</v>
      </c>
      <c r="AX351" s="34" t="s">
        <v>156</v>
      </c>
      <c r="AY351" s="34" t="s">
        <v>156</v>
      </c>
      <c r="AZ351" s="34" t="s">
        <v>156</v>
      </c>
      <c r="BA351" s="34" t="s">
        <v>156</v>
      </c>
      <c r="BB351" s="34" t="s">
        <v>156</v>
      </c>
      <c r="BC351" s="34" t="s">
        <v>156</v>
      </c>
      <c r="BD351" s="34" t="s">
        <v>156</v>
      </c>
      <c r="BE351" s="34" t="s">
        <v>156</v>
      </c>
      <c r="BF351" s="34" t="s">
        <v>156</v>
      </c>
      <c r="BG351" s="34" t="s">
        <v>156</v>
      </c>
      <c r="BH351" s="34" t="s">
        <v>156</v>
      </c>
      <c r="BI351" s="34" t="s">
        <v>156</v>
      </c>
      <c r="BJ351" s="34" t="s">
        <v>156</v>
      </c>
      <c r="BK351" s="34" t="s">
        <v>156</v>
      </c>
      <c r="BL351" s="34" t="s">
        <v>156</v>
      </c>
      <c r="BM351" s="34" t="s">
        <v>156</v>
      </c>
      <c r="BN351" s="34" t="s">
        <v>156</v>
      </c>
      <c r="BO351" s="34" t="s">
        <v>156</v>
      </c>
      <c r="BP351" s="34" t="s">
        <v>156</v>
      </c>
      <c r="BQ351" s="34" t="s">
        <v>156</v>
      </c>
      <c r="BR351" s="35"/>
      <c r="BS351" s="20" t="s">
        <v>157</v>
      </c>
    </row>
    <row r="352" ht="16.5" hidden="1" spans="1:71">
      <c r="A352" s="21" t="s">
        <v>48</v>
      </c>
      <c r="B352" s="21"/>
      <c r="C352" s="45"/>
      <c r="D352" s="60" t="s">
        <v>248</v>
      </c>
      <c r="E352" s="55">
        <v>15.2</v>
      </c>
      <c r="F352" s="24">
        <v>21.99</v>
      </c>
      <c r="G352" s="25">
        <f t="shared" si="384"/>
        <v>19.791</v>
      </c>
      <c r="H352" s="25">
        <f t="shared" si="385"/>
        <v>16.4925</v>
      </c>
      <c r="I352" s="36">
        <f t="shared" si="386"/>
        <v>1.17495457227139</v>
      </c>
      <c r="J352" s="26">
        <f t="shared" si="387"/>
        <v>0.0772996429125912</v>
      </c>
      <c r="K352" s="27">
        <f t="shared" si="388"/>
        <v>18.325</v>
      </c>
      <c r="L352" s="28">
        <f t="shared" si="389"/>
        <v>0.170532060027285</v>
      </c>
      <c r="M352" s="25">
        <f t="shared" si="390"/>
        <v>3.125</v>
      </c>
      <c r="N352" s="27">
        <f t="shared" si="403"/>
        <v>41.3982300884956</v>
      </c>
      <c r="O352" s="27">
        <f t="shared" si="391"/>
        <v>0.641666666666667</v>
      </c>
      <c r="P352" s="21">
        <v>30</v>
      </c>
      <c r="Q352" s="29">
        <v>8</v>
      </c>
      <c r="R352" s="30">
        <f t="shared" si="392"/>
        <v>0.197368421052632</v>
      </c>
      <c r="S352" s="26">
        <f t="shared" si="393"/>
        <v>0.136425648021828</v>
      </c>
      <c r="T352" s="30">
        <f t="shared" si="394"/>
        <v>0.144671052631579</v>
      </c>
      <c r="U352" s="30">
        <v>0.01</v>
      </c>
      <c r="V352" s="30">
        <f t="shared" si="395"/>
        <v>0.340445971122497</v>
      </c>
      <c r="W352" s="30">
        <f t="shared" si="396"/>
        <v>0.0422149122807018</v>
      </c>
      <c r="X352" s="31">
        <v>0.188</v>
      </c>
      <c r="Y352" s="32">
        <v>3</v>
      </c>
      <c r="Z352" s="32">
        <f>F352*0.1</f>
        <v>2.199</v>
      </c>
      <c r="AA352" s="32">
        <f t="shared" si="397"/>
        <v>0.152</v>
      </c>
      <c r="AB352" s="27">
        <f t="shared" si="398"/>
        <v>2.8576</v>
      </c>
      <c r="AC352" s="27">
        <v>40</v>
      </c>
      <c r="AD352" s="33">
        <f t="shared" si="399"/>
        <v>35.3982300884956</v>
      </c>
      <c r="AE352" s="29">
        <f t="shared" si="404"/>
        <v>0.75</v>
      </c>
      <c r="AF352" s="30">
        <f t="shared" si="400"/>
        <v>0.291103865859339</v>
      </c>
      <c r="AG352" s="30">
        <f t="shared" si="401"/>
        <v>0.00616776315789474</v>
      </c>
      <c r="AH352" s="29">
        <v>6</v>
      </c>
      <c r="AI352" s="30">
        <f t="shared" si="402"/>
        <v>0.251635591935728</v>
      </c>
      <c r="AJ352" s="30"/>
      <c r="AK352" s="30"/>
      <c r="AL352" s="30"/>
      <c r="AM352" s="30"/>
      <c r="AN352" s="34"/>
      <c r="AO352" s="34"/>
      <c r="AP352" s="34"/>
      <c r="AQ352" s="34"/>
      <c r="AR352" s="34"/>
      <c r="AS352" s="34"/>
      <c r="AT352" s="34" t="s">
        <v>156</v>
      </c>
      <c r="AU352" s="34" t="s">
        <v>156</v>
      </c>
      <c r="AV352" s="34" t="s">
        <v>156</v>
      </c>
      <c r="AW352" s="34" t="s">
        <v>156</v>
      </c>
      <c r="AX352" s="34" t="s">
        <v>156</v>
      </c>
      <c r="AY352" s="34" t="s">
        <v>156</v>
      </c>
      <c r="AZ352" s="34" t="s">
        <v>156</v>
      </c>
      <c r="BA352" s="34" t="s">
        <v>156</v>
      </c>
      <c r="BB352" s="34" t="s">
        <v>156</v>
      </c>
      <c r="BC352" s="34" t="s">
        <v>156</v>
      </c>
      <c r="BD352" s="34" t="s">
        <v>156</v>
      </c>
      <c r="BE352" s="34" t="s">
        <v>156</v>
      </c>
      <c r="BF352" s="34" t="s">
        <v>156</v>
      </c>
      <c r="BG352" s="34" t="s">
        <v>156</v>
      </c>
      <c r="BH352" s="34" t="s">
        <v>156</v>
      </c>
      <c r="BI352" s="34" t="s">
        <v>156</v>
      </c>
      <c r="BJ352" s="34" t="s">
        <v>156</v>
      </c>
      <c r="BK352" s="34" t="s">
        <v>156</v>
      </c>
      <c r="BL352" s="34" t="s">
        <v>156</v>
      </c>
      <c r="BM352" s="34" t="s">
        <v>156</v>
      </c>
      <c r="BN352" s="34" t="s">
        <v>156</v>
      </c>
      <c r="BO352" s="34" t="s">
        <v>156</v>
      </c>
      <c r="BP352" s="34" t="s">
        <v>156</v>
      </c>
      <c r="BQ352" s="34" t="s">
        <v>156</v>
      </c>
      <c r="BR352" s="35"/>
      <c r="BS352" s="20" t="s">
        <v>157</v>
      </c>
    </row>
    <row r="353" ht="16.5" hidden="1" spans="1:71">
      <c r="A353" s="21" t="s">
        <v>48</v>
      </c>
      <c r="B353" s="21"/>
      <c r="C353" s="45"/>
      <c r="D353" s="60" t="s">
        <v>249</v>
      </c>
      <c r="E353" s="55">
        <v>15.2</v>
      </c>
      <c r="F353" s="24">
        <v>21.99</v>
      </c>
      <c r="G353" s="25">
        <f t="shared" si="384"/>
        <v>18.6915</v>
      </c>
      <c r="H353" s="25">
        <f t="shared" si="385"/>
        <v>15.57625</v>
      </c>
      <c r="I353" s="25">
        <f t="shared" si="386"/>
        <v>0.0754545722713857</v>
      </c>
      <c r="J353" s="26">
        <f t="shared" si="387"/>
        <v>0.00496411659680169</v>
      </c>
      <c r="K353" s="27">
        <f t="shared" si="388"/>
        <v>18.325</v>
      </c>
      <c r="L353" s="28">
        <f t="shared" si="389"/>
        <v>0.170532060027285</v>
      </c>
      <c r="M353" s="25">
        <f t="shared" si="390"/>
        <v>3.125</v>
      </c>
      <c r="N353" s="27">
        <f t="shared" si="403"/>
        <v>41.3982300884956</v>
      </c>
      <c r="O353" s="27">
        <f t="shared" si="391"/>
        <v>0.641666666666667</v>
      </c>
      <c r="P353" s="21">
        <v>30</v>
      </c>
      <c r="Q353" s="29">
        <v>8</v>
      </c>
      <c r="R353" s="30">
        <f t="shared" si="392"/>
        <v>0.197368421052632</v>
      </c>
      <c r="S353" s="26">
        <f t="shared" si="393"/>
        <v>0.136425648021828</v>
      </c>
      <c r="T353" s="30">
        <f t="shared" si="394"/>
        <v>0.217006578947368</v>
      </c>
      <c r="U353" s="30">
        <v>0.01</v>
      </c>
      <c r="V353" s="30">
        <f t="shared" si="395"/>
        <v>0.340445971122497</v>
      </c>
      <c r="W353" s="30">
        <f t="shared" si="396"/>
        <v>0.0422149122807018</v>
      </c>
      <c r="X353" s="31">
        <v>0.188</v>
      </c>
      <c r="Y353" s="32">
        <v>3</v>
      </c>
      <c r="Z353" s="32">
        <f>F353*0.15</f>
        <v>3.2985</v>
      </c>
      <c r="AA353" s="32">
        <f t="shared" si="397"/>
        <v>0.152</v>
      </c>
      <c r="AB353" s="27">
        <f t="shared" si="398"/>
        <v>2.8576</v>
      </c>
      <c r="AC353" s="27">
        <v>40</v>
      </c>
      <c r="AD353" s="33">
        <f t="shared" si="399"/>
        <v>35.3982300884956</v>
      </c>
      <c r="AE353" s="29">
        <f t="shared" si="404"/>
        <v>0.75</v>
      </c>
      <c r="AF353" s="30">
        <f t="shared" si="400"/>
        <v>0.291103865859339</v>
      </c>
      <c r="AG353" s="30">
        <f t="shared" si="401"/>
        <v>0.00616776315789474</v>
      </c>
      <c r="AH353" s="29">
        <v>6</v>
      </c>
      <c r="AI353" s="30">
        <f t="shared" si="402"/>
        <v>0.207614156167242</v>
      </c>
      <c r="AJ353" s="30"/>
      <c r="AK353" s="30"/>
      <c r="AL353" s="30"/>
      <c r="AM353" s="30"/>
      <c r="AN353" s="34"/>
      <c r="AO353" s="34"/>
      <c r="AP353" s="34"/>
      <c r="AQ353" s="34"/>
      <c r="AR353" s="34"/>
      <c r="AS353" s="34"/>
      <c r="AT353" s="34" t="s">
        <v>156</v>
      </c>
      <c r="AU353" s="34" t="s">
        <v>156</v>
      </c>
      <c r="AV353" s="34" t="s">
        <v>156</v>
      </c>
      <c r="AW353" s="34" t="s">
        <v>156</v>
      </c>
      <c r="AX353" s="34" t="s">
        <v>156</v>
      </c>
      <c r="AY353" s="34" t="s">
        <v>156</v>
      </c>
      <c r="AZ353" s="34" t="s">
        <v>156</v>
      </c>
      <c r="BA353" s="34" t="s">
        <v>156</v>
      </c>
      <c r="BB353" s="34" t="s">
        <v>156</v>
      </c>
      <c r="BC353" s="34" t="s">
        <v>156</v>
      </c>
      <c r="BD353" s="34" t="s">
        <v>156</v>
      </c>
      <c r="BE353" s="34" t="s">
        <v>156</v>
      </c>
      <c r="BF353" s="34" t="s">
        <v>156</v>
      </c>
      <c r="BG353" s="34" t="s">
        <v>156</v>
      </c>
      <c r="BH353" s="34" t="s">
        <v>156</v>
      </c>
      <c r="BI353" s="34" t="s">
        <v>156</v>
      </c>
      <c r="BJ353" s="34" t="s">
        <v>156</v>
      </c>
      <c r="BK353" s="34" t="s">
        <v>156</v>
      </c>
      <c r="BL353" s="34" t="s">
        <v>156</v>
      </c>
      <c r="BM353" s="34" t="s">
        <v>156</v>
      </c>
      <c r="BN353" s="34" t="s">
        <v>156</v>
      </c>
      <c r="BO353" s="34" t="s">
        <v>156</v>
      </c>
      <c r="BP353" s="34" t="s">
        <v>156</v>
      </c>
      <c r="BQ353" s="34" t="s">
        <v>156</v>
      </c>
      <c r="BR353" s="35"/>
      <c r="BS353" s="20" t="s">
        <v>157</v>
      </c>
    </row>
    <row r="354" ht="16.5" hidden="1" spans="1:71">
      <c r="A354" s="21" t="s">
        <v>161</v>
      </c>
      <c r="B354" s="21"/>
      <c r="C354" s="45"/>
      <c r="D354" s="42" t="s">
        <v>250</v>
      </c>
      <c r="E354" s="55">
        <v>15.2</v>
      </c>
      <c r="F354" s="24">
        <v>21.99</v>
      </c>
      <c r="G354" s="25">
        <f t="shared" si="384"/>
        <v>21.99</v>
      </c>
      <c r="H354" s="25">
        <f t="shared" si="385"/>
        <v>18.325</v>
      </c>
      <c r="I354" s="25">
        <f t="shared" si="386"/>
        <v>3.45728790560472</v>
      </c>
      <c r="J354" s="26">
        <f t="shared" si="387"/>
        <v>0.227453151684521</v>
      </c>
      <c r="K354" s="27">
        <f t="shared" si="388"/>
        <v>18.325</v>
      </c>
      <c r="L354" s="28">
        <f t="shared" si="389"/>
        <v>0.170532060027285</v>
      </c>
      <c r="M354" s="25">
        <f t="shared" si="390"/>
        <v>3.125</v>
      </c>
      <c r="N354" s="27">
        <f t="shared" si="403"/>
        <v>41.3982300884956</v>
      </c>
      <c r="O354" s="27">
        <f t="shared" si="391"/>
        <v>0.558333333333333</v>
      </c>
      <c r="P354" s="21">
        <v>30</v>
      </c>
      <c r="Q354" s="29">
        <v>8</v>
      </c>
      <c r="R354" s="30">
        <f t="shared" si="392"/>
        <v>0.197368421052632</v>
      </c>
      <c r="S354" s="26">
        <f t="shared" si="393"/>
        <v>0.136425648021828</v>
      </c>
      <c r="T354" s="30">
        <f t="shared" si="394"/>
        <v>0</v>
      </c>
      <c r="U354" s="30">
        <v>0.01</v>
      </c>
      <c r="V354" s="30">
        <f t="shared" si="395"/>
        <v>0.340445971122497</v>
      </c>
      <c r="W354" s="30">
        <f t="shared" si="396"/>
        <v>0.0367324561403509</v>
      </c>
      <c r="X354" s="31">
        <v>0.188</v>
      </c>
      <c r="Y354" s="32">
        <v>3</v>
      </c>
      <c r="Z354" s="32">
        <f t="shared" ref="Z354:Z357" si="405">F354*0</f>
        <v>0</v>
      </c>
      <c r="AA354" s="32">
        <f t="shared" si="397"/>
        <v>0.152</v>
      </c>
      <c r="AB354" s="27">
        <f t="shared" si="398"/>
        <v>2.8576</v>
      </c>
      <c r="AC354" s="27">
        <v>40</v>
      </c>
      <c r="AD354" s="33">
        <f t="shared" si="399"/>
        <v>35.3982300884956</v>
      </c>
      <c r="AE354" s="29">
        <f t="shared" si="404"/>
        <v>0.75</v>
      </c>
      <c r="AF354" s="30">
        <f t="shared" si="400"/>
        <v>0.291103865859339</v>
      </c>
      <c r="AG354" s="30">
        <f t="shared" si="401"/>
        <v>0.00616776315789474</v>
      </c>
      <c r="AH354" s="29">
        <v>6</v>
      </c>
      <c r="AI354" s="30">
        <f t="shared" si="402"/>
        <v>0.326472032742156</v>
      </c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 t="s">
        <v>156</v>
      </c>
      <c r="AU354" s="34" t="s">
        <v>156</v>
      </c>
      <c r="AV354" s="34" t="s">
        <v>156</v>
      </c>
      <c r="AW354" s="34" t="s">
        <v>156</v>
      </c>
      <c r="AX354" s="34" t="s">
        <v>156</v>
      </c>
      <c r="AY354" s="34" t="s">
        <v>156</v>
      </c>
      <c r="AZ354" s="34" t="s">
        <v>156</v>
      </c>
      <c r="BA354" s="34" t="s">
        <v>156</v>
      </c>
      <c r="BB354" s="34" t="s">
        <v>156</v>
      </c>
      <c r="BC354" s="34" t="s">
        <v>156</v>
      </c>
      <c r="BD354" s="34" t="s">
        <v>156</v>
      </c>
      <c r="BE354" s="34" t="s">
        <v>156</v>
      </c>
      <c r="BF354" s="34" t="s">
        <v>156</v>
      </c>
      <c r="BG354" s="34" t="s">
        <v>156</v>
      </c>
      <c r="BH354" s="34" t="s">
        <v>156</v>
      </c>
      <c r="BI354" s="34" t="s">
        <v>156</v>
      </c>
      <c r="BJ354" s="34" t="s">
        <v>156</v>
      </c>
      <c r="BK354" s="34" t="s">
        <v>156</v>
      </c>
      <c r="BL354" s="34" t="s">
        <v>156</v>
      </c>
      <c r="BM354" s="34" t="s">
        <v>156</v>
      </c>
      <c r="BN354" s="34" t="s">
        <v>156</v>
      </c>
      <c r="BO354" s="34" t="s">
        <v>156</v>
      </c>
      <c r="BP354" s="34" t="s">
        <v>156</v>
      </c>
      <c r="BQ354" s="34" t="s">
        <v>156</v>
      </c>
      <c r="BR354" s="44" t="e">
        <f>IF(E354&lt;#REF!,1,0)</f>
        <v>#REF!</v>
      </c>
      <c r="BS354" s="20" t="s">
        <v>157</v>
      </c>
    </row>
    <row r="355" ht="16.5" hidden="1" spans="1:71">
      <c r="A355" s="21" t="s">
        <v>163</v>
      </c>
      <c r="B355" s="21"/>
      <c r="C355" s="45"/>
      <c r="D355" s="42" t="s">
        <v>251</v>
      </c>
      <c r="E355" s="55">
        <v>15.2</v>
      </c>
      <c r="F355" s="24">
        <v>21.99</v>
      </c>
      <c r="G355" s="25">
        <f t="shared" si="384"/>
        <v>21.99</v>
      </c>
      <c r="H355" s="25">
        <f t="shared" si="385"/>
        <v>18.325</v>
      </c>
      <c r="I355" s="25">
        <f t="shared" si="386"/>
        <v>3.54728790560472</v>
      </c>
      <c r="J355" s="26">
        <f t="shared" si="387"/>
        <v>0.2333742043161</v>
      </c>
      <c r="K355" s="27">
        <f t="shared" si="388"/>
        <v>18.325</v>
      </c>
      <c r="L355" s="28">
        <f t="shared" si="389"/>
        <v>0.170532060027285</v>
      </c>
      <c r="M355" s="25">
        <f t="shared" si="390"/>
        <v>3.125</v>
      </c>
      <c r="N355" s="27">
        <f t="shared" si="403"/>
        <v>41.3982300884956</v>
      </c>
      <c r="O355" s="27">
        <f t="shared" si="391"/>
        <v>0.468333333333333</v>
      </c>
      <c r="P355" s="21">
        <v>30</v>
      </c>
      <c r="Q355" s="29">
        <v>8</v>
      </c>
      <c r="R355" s="30">
        <f t="shared" si="392"/>
        <v>0.197368421052632</v>
      </c>
      <c r="S355" s="26">
        <f t="shared" si="393"/>
        <v>0.136425648021828</v>
      </c>
      <c r="T355" s="30">
        <f t="shared" si="394"/>
        <v>0</v>
      </c>
      <c r="U355" s="30">
        <v>0.01</v>
      </c>
      <c r="V355" s="30">
        <f t="shared" si="395"/>
        <v>0.340445971122497</v>
      </c>
      <c r="W355" s="30">
        <f t="shared" si="396"/>
        <v>0.0308114035087719</v>
      </c>
      <c r="X355" s="31">
        <v>0.188</v>
      </c>
      <c r="Y355" s="32">
        <v>3</v>
      </c>
      <c r="Z355" s="32">
        <f t="shared" si="405"/>
        <v>0</v>
      </c>
      <c r="AA355" s="32">
        <f t="shared" si="397"/>
        <v>0.152</v>
      </c>
      <c r="AB355" s="27">
        <f t="shared" si="398"/>
        <v>2.8576</v>
      </c>
      <c r="AC355" s="27">
        <v>40</v>
      </c>
      <c r="AD355" s="33">
        <f t="shared" si="399"/>
        <v>35.3982300884956</v>
      </c>
      <c r="AE355" s="29">
        <f t="shared" si="404"/>
        <v>0.75</v>
      </c>
      <c r="AF355" s="30">
        <f t="shared" si="400"/>
        <v>0.291103865859339</v>
      </c>
      <c r="AG355" s="30">
        <f t="shared" si="401"/>
        <v>0.00616776315789474</v>
      </c>
      <c r="AH355" s="29">
        <v>6</v>
      </c>
      <c r="AI355" s="30">
        <f t="shared" si="402"/>
        <v>0.326472032742156</v>
      </c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 t="s">
        <v>156</v>
      </c>
      <c r="AU355" s="34" t="s">
        <v>156</v>
      </c>
      <c r="AV355" s="34" t="s">
        <v>156</v>
      </c>
      <c r="AW355" s="34" t="s">
        <v>156</v>
      </c>
      <c r="AX355" s="34" t="s">
        <v>156</v>
      </c>
      <c r="AY355" s="34" t="s">
        <v>156</v>
      </c>
      <c r="AZ355" s="34" t="s">
        <v>156</v>
      </c>
      <c r="BA355" s="34" t="s">
        <v>156</v>
      </c>
      <c r="BB355" s="34" t="s">
        <v>156</v>
      </c>
      <c r="BC355" s="34" t="s">
        <v>156</v>
      </c>
      <c r="BD355" s="34" t="s">
        <v>156</v>
      </c>
      <c r="BE355" s="34" t="s">
        <v>156</v>
      </c>
      <c r="BF355" s="34" t="s">
        <v>156</v>
      </c>
      <c r="BG355" s="34" t="s">
        <v>156</v>
      </c>
      <c r="BH355" s="34" t="s">
        <v>156</v>
      </c>
      <c r="BI355" s="34" t="s">
        <v>156</v>
      </c>
      <c r="BJ355" s="34" t="s">
        <v>156</v>
      </c>
      <c r="BK355" s="34" t="s">
        <v>156</v>
      </c>
      <c r="BL355" s="34" t="s">
        <v>156</v>
      </c>
      <c r="BM355" s="34" t="s">
        <v>156</v>
      </c>
      <c r="BN355" s="34" t="s">
        <v>156</v>
      </c>
      <c r="BO355" s="34" t="s">
        <v>156</v>
      </c>
      <c r="BP355" s="34" t="s">
        <v>156</v>
      </c>
      <c r="BQ355" s="34" t="s">
        <v>156</v>
      </c>
      <c r="BR355" s="44" t="e">
        <f>IF(E355&lt;#REF!,1,0)</f>
        <v>#REF!</v>
      </c>
      <c r="BS355" s="20" t="s">
        <v>157</v>
      </c>
    </row>
    <row r="356" ht="16.5" hidden="1" spans="1:71">
      <c r="A356" s="21" t="s">
        <v>165</v>
      </c>
      <c r="B356" s="21"/>
      <c r="C356" s="45"/>
      <c r="D356" s="42" t="s">
        <v>252</v>
      </c>
      <c r="E356" s="55">
        <v>15.2</v>
      </c>
      <c r="F356" s="24">
        <v>21.99</v>
      </c>
      <c r="G356" s="25">
        <f t="shared" si="384"/>
        <v>21.99</v>
      </c>
      <c r="H356" s="25">
        <f t="shared" si="385"/>
        <v>18.325</v>
      </c>
      <c r="I356" s="25">
        <f t="shared" si="386"/>
        <v>3.40728790560472</v>
      </c>
      <c r="J356" s="26">
        <f t="shared" si="387"/>
        <v>0.22416367800031</v>
      </c>
      <c r="K356" s="27">
        <f t="shared" si="388"/>
        <v>18.325</v>
      </c>
      <c r="L356" s="28">
        <f t="shared" si="389"/>
        <v>0.170532060027285</v>
      </c>
      <c r="M356" s="25">
        <f t="shared" si="390"/>
        <v>3.125</v>
      </c>
      <c r="N356" s="27">
        <f t="shared" si="403"/>
        <v>41.3982300884956</v>
      </c>
      <c r="O356" s="27">
        <f t="shared" si="391"/>
        <v>0.608333333333333</v>
      </c>
      <c r="P356" s="21">
        <v>30</v>
      </c>
      <c r="Q356" s="29">
        <v>8</v>
      </c>
      <c r="R356" s="30">
        <f t="shared" si="392"/>
        <v>0.197368421052632</v>
      </c>
      <c r="S356" s="26">
        <f t="shared" si="393"/>
        <v>0.136425648021828</v>
      </c>
      <c r="T356" s="30">
        <f t="shared" si="394"/>
        <v>0</v>
      </c>
      <c r="U356" s="30">
        <v>0.01</v>
      </c>
      <c r="V356" s="30">
        <f t="shared" si="395"/>
        <v>0.340445971122497</v>
      </c>
      <c r="W356" s="30">
        <f t="shared" si="396"/>
        <v>0.0400219298245614</v>
      </c>
      <c r="X356" s="31">
        <v>0.188</v>
      </c>
      <c r="Y356" s="32">
        <v>3</v>
      </c>
      <c r="Z356" s="32">
        <f t="shared" si="405"/>
        <v>0</v>
      </c>
      <c r="AA356" s="32">
        <f t="shared" si="397"/>
        <v>0.152</v>
      </c>
      <c r="AB356" s="27">
        <f t="shared" si="398"/>
        <v>2.8576</v>
      </c>
      <c r="AC356" s="27">
        <v>40</v>
      </c>
      <c r="AD356" s="33">
        <f t="shared" si="399"/>
        <v>35.3982300884956</v>
      </c>
      <c r="AE356" s="29">
        <f t="shared" si="404"/>
        <v>0.75</v>
      </c>
      <c r="AF356" s="30">
        <f t="shared" si="400"/>
        <v>0.291103865859339</v>
      </c>
      <c r="AG356" s="30">
        <f t="shared" si="401"/>
        <v>0.00616776315789474</v>
      </c>
      <c r="AH356" s="29">
        <v>6</v>
      </c>
      <c r="AI356" s="30">
        <f t="shared" si="402"/>
        <v>0.326472032742156</v>
      </c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 t="s">
        <v>156</v>
      </c>
      <c r="AU356" s="34" t="s">
        <v>156</v>
      </c>
      <c r="AV356" s="34" t="s">
        <v>156</v>
      </c>
      <c r="AW356" s="34" t="s">
        <v>156</v>
      </c>
      <c r="AX356" s="34" t="s">
        <v>156</v>
      </c>
      <c r="AY356" s="34" t="s">
        <v>156</v>
      </c>
      <c r="AZ356" s="34" t="s">
        <v>156</v>
      </c>
      <c r="BA356" s="34" t="s">
        <v>156</v>
      </c>
      <c r="BB356" s="34" t="s">
        <v>156</v>
      </c>
      <c r="BC356" s="34" t="s">
        <v>156</v>
      </c>
      <c r="BD356" s="34" t="s">
        <v>156</v>
      </c>
      <c r="BE356" s="34" t="s">
        <v>156</v>
      </c>
      <c r="BF356" s="34" t="s">
        <v>156</v>
      </c>
      <c r="BG356" s="34" t="s">
        <v>156</v>
      </c>
      <c r="BH356" s="34" t="s">
        <v>156</v>
      </c>
      <c r="BI356" s="34" t="s">
        <v>156</v>
      </c>
      <c r="BJ356" s="34" t="s">
        <v>156</v>
      </c>
      <c r="BK356" s="34" t="s">
        <v>156</v>
      </c>
      <c r="BL356" s="34" t="s">
        <v>156</v>
      </c>
      <c r="BM356" s="34" t="s">
        <v>156</v>
      </c>
      <c r="BN356" s="34" t="s">
        <v>156</v>
      </c>
      <c r="BO356" s="34" t="s">
        <v>156</v>
      </c>
      <c r="BP356" s="34" t="s">
        <v>156</v>
      </c>
      <c r="BQ356" s="34" t="s">
        <v>156</v>
      </c>
      <c r="BR356" s="44" t="e">
        <f>IF(E356&lt;#REF!,1,0)</f>
        <v>#REF!</v>
      </c>
      <c r="BS356" s="20" t="s">
        <v>157</v>
      </c>
    </row>
    <row r="357" ht="16.5" hidden="1" spans="1:71">
      <c r="A357" s="21" t="s">
        <v>167</v>
      </c>
      <c r="B357" s="21"/>
      <c r="C357" s="45"/>
      <c r="D357" s="42" t="s">
        <v>253</v>
      </c>
      <c r="E357" s="55">
        <v>15.2</v>
      </c>
      <c r="F357" s="24">
        <v>21.99</v>
      </c>
      <c r="G357" s="25">
        <f t="shared" si="384"/>
        <v>21.99</v>
      </c>
      <c r="H357" s="25">
        <f t="shared" si="385"/>
        <v>18.325</v>
      </c>
      <c r="I357" s="25">
        <f t="shared" si="386"/>
        <v>3.54062123893805</v>
      </c>
      <c r="J357" s="26">
        <f t="shared" si="387"/>
        <v>0.232935607824872</v>
      </c>
      <c r="K357" s="27">
        <f t="shared" si="388"/>
        <v>18.325</v>
      </c>
      <c r="L357" s="28">
        <f t="shared" si="389"/>
        <v>0.170532060027285</v>
      </c>
      <c r="M357" s="25">
        <f t="shared" si="390"/>
        <v>3.125</v>
      </c>
      <c r="N357" s="27">
        <f t="shared" si="403"/>
        <v>41.3982300884956</v>
      </c>
      <c r="O357" s="27">
        <f t="shared" si="391"/>
        <v>0.475</v>
      </c>
      <c r="P357" s="21">
        <v>30</v>
      </c>
      <c r="Q357" s="29">
        <v>8</v>
      </c>
      <c r="R357" s="30">
        <f t="shared" si="392"/>
        <v>0.197368421052632</v>
      </c>
      <c r="S357" s="26">
        <f t="shared" si="393"/>
        <v>0.136425648021828</v>
      </c>
      <c r="T357" s="30">
        <f t="shared" si="394"/>
        <v>0</v>
      </c>
      <c r="U357" s="30">
        <v>0.01</v>
      </c>
      <c r="V357" s="30">
        <f t="shared" si="395"/>
        <v>0.340445971122497</v>
      </c>
      <c r="W357" s="30">
        <f t="shared" si="396"/>
        <v>0.03125</v>
      </c>
      <c r="X357" s="31">
        <v>0.188</v>
      </c>
      <c r="Y357" s="32">
        <v>3</v>
      </c>
      <c r="Z357" s="32">
        <f t="shared" si="405"/>
        <v>0</v>
      </c>
      <c r="AA357" s="32">
        <f t="shared" si="397"/>
        <v>0.152</v>
      </c>
      <c r="AB357" s="27">
        <f t="shared" si="398"/>
        <v>2.8576</v>
      </c>
      <c r="AC357" s="27">
        <v>40</v>
      </c>
      <c r="AD357" s="33">
        <f t="shared" si="399"/>
        <v>35.3982300884956</v>
      </c>
      <c r="AE357" s="29">
        <f t="shared" si="404"/>
        <v>0.75</v>
      </c>
      <c r="AF357" s="30">
        <f t="shared" si="400"/>
        <v>0.291103865859339</v>
      </c>
      <c r="AG357" s="30">
        <f t="shared" si="401"/>
        <v>0.00616776315789474</v>
      </c>
      <c r="AH357" s="29">
        <v>6</v>
      </c>
      <c r="AI357" s="30">
        <f t="shared" si="402"/>
        <v>0.326472032742156</v>
      </c>
      <c r="AJ357" s="30"/>
      <c r="AK357" s="30"/>
      <c r="AL357" s="30"/>
      <c r="AM357" s="30"/>
      <c r="AN357" s="34"/>
      <c r="AO357" s="34"/>
      <c r="AP357" s="34"/>
      <c r="AQ357" s="34"/>
      <c r="AR357" s="34"/>
      <c r="AS357" s="34"/>
      <c r="AT357" s="34" t="s">
        <v>156</v>
      </c>
      <c r="AU357" s="34" t="s">
        <v>156</v>
      </c>
      <c r="AV357" s="34" t="s">
        <v>156</v>
      </c>
      <c r="AW357" s="34" t="s">
        <v>156</v>
      </c>
      <c r="AX357" s="34" t="s">
        <v>156</v>
      </c>
      <c r="AY357" s="34" t="s">
        <v>156</v>
      </c>
      <c r="AZ357" s="34" t="s">
        <v>156</v>
      </c>
      <c r="BA357" s="34" t="s">
        <v>156</v>
      </c>
      <c r="BB357" s="34" t="s">
        <v>156</v>
      </c>
      <c r="BC357" s="34" t="s">
        <v>156</v>
      </c>
      <c r="BD357" s="34" t="s">
        <v>156</v>
      </c>
      <c r="BE357" s="34" t="s">
        <v>156</v>
      </c>
      <c r="BF357" s="34" t="s">
        <v>156</v>
      </c>
      <c r="BG357" s="34" t="s">
        <v>156</v>
      </c>
      <c r="BH357" s="34" t="s">
        <v>156</v>
      </c>
      <c r="BI357" s="34" t="s">
        <v>156</v>
      </c>
      <c r="BJ357" s="34" t="s">
        <v>156</v>
      </c>
      <c r="BK357" s="34" t="s">
        <v>156</v>
      </c>
      <c r="BL357" s="34" t="s">
        <v>156</v>
      </c>
      <c r="BM357" s="34" t="s">
        <v>156</v>
      </c>
      <c r="BN357" s="34" t="s">
        <v>156</v>
      </c>
      <c r="BO357" s="34" t="s">
        <v>156</v>
      </c>
      <c r="BP357" s="34" t="s">
        <v>156</v>
      </c>
      <c r="BQ357" s="34" t="s">
        <v>156</v>
      </c>
      <c r="BR357" s="44" t="e">
        <f>IF(E357&lt;#REF!,1,0)</f>
        <v>#REF!</v>
      </c>
      <c r="BS357" s="20" t="s">
        <v>157</v>
      </c>
    </row>
    <row r="358" spans="1:71">
      <c r="G358" s="48"/>
      <c r="H358" s="48"/>
      <c r="S358" s="48"/>
      <c r="AE358" s="49"/>
      <c r="AI358" s="48"/>
    </row>
    <row r="359" ht="16.5" hidden="1" spans="1:71">
      <c r="A359" s="20" t="s">
        <v>50</v>
      </c>
      <c r="B359" s="21"/>
      <c r="C359" s="51"/>
      <c r="D359" s="59" t="s">
        <v>254</v>
      </c>
      <c r="E359" s="55">
        <v>27.6</v>
      </c>
      <c r="F359" s="38">
        <v>39.99</v>
      </c>
      <c r="G359" s="25">
        <f t="shared" ref="G359:G377" si="406">(F359-Z359)</f>
        <v>39.99</v>
      </c>
      <c r="H359" s="25">
        <f t="shared" ref="H359:H377" si="407">(F359-Z359)/1.2</f>
        <v>33.325</v>
      </c>
      <c r="I359" s="25">
        <f t="shared" ref="I359:I377" si="408">E359-N359/Q359-AB359-Y359-O359-Z359-AA359</f>
        <v>7.57992664700098</v>
      </c>
      <c r="J359" s="26">
        <f t="shared" ref="J359:J377" si="409">I359/E359</f>
        <v>0.274635023442065</v>
      </c>
      <c r="K359" s="27">
        <f t="shared" ref="K359:K377" si="410">F359/1.2</f>
        <v>33.325</v>
      </c>
      <c r="L359" s="28">
        <f t="shared" ref="L359:L377" si="411">(K359-E359)/K359</f>
        <v>0.171792948237059</v>
      </c>
      <c r="M359" s="25">
        <f t="shared" ref="M359:M377" si="412">F359/1.2-E359</f>
        <v>5.725</v>
      </c>
      <c r="N359" s="27">
        <f>AD359+AH360</f>
        <v>76.7964601769912</v>
      </c>
      <c r="O359" s="27">
        <f t="shared" ref="O359:O377" si="413">IFERROR(IF(A359="UK",8.95/P359,IF(A359="DE",7.75/P359,IF(A359="FR",14.25/P359,IF(A359="IT",15.25/P359,IF(A359="ES",19.25/P359,IF(A359="NL",16.75/P359,IF(A359="PL",14.05/P359,IF(A359="SE",18.25/P359,IF(A359="BE",14.25/P359))))))))),0)</f>
        <v>0.298333333333333</v>
      </c>
      <c r="P359" s="21">
        <v>30</v>
      </c>
      <c r="Q359" s="29">
        <v>9</v>
      </c>
      <c r="R359" s="30">
        <f t="shared" ref="R359:R377" si="414">Y359/E359</f>
        <v>0.217391304347826</v>
      </c>
      <c r="S359" s="26">
        <f t="shared" ref="S359:S377" si="415">Y359/F359</f>
        <v>0.150037509377344</v>
      </c>
      <c r="T359" s="30">
        <f t="shared" ref="T359:T377" si="416">Z359/E359</f>
        <v>0</v>
      </c>
      <c r="U359" s="30">
        <v>0.01</v>
      </c>
      <c r="V359" s="30">
        <f t="shared" ref="V359:V377" si="417">N359/(E359*Q359)</f>
        <v>0.309164493466148</v>
      </c>
      <c r="W359" s="30">
        <f t="shared" ref="W359:W377" si="418">O359/E359</f>
        <v>0.0108091787439613</v>
      </c>
      <c r="X359" s="31">
        <v>0.178</v>
      </c>
      <c r="Y359" s="32">
        <v>6</v>
      </c>
      <c r="Z359" s="32">
        <v>0</v>
      </c>
      <c r="AA359" s="32">
        <f t="shared" ref="AA359:AA377" si="419">E359*U359</f>
        <v>0.276</v>
      </c>
      <c r="AB359" s="27">
        <f t="shared" ref="AB359:AB377" si="420">E359*X359</f>
        <v>4.9128</v>
      </c>
      <c r="AC359" s="27">
        <v>80</v>
      </c>
      <c r="AD359" s="33">
        <f t="shared" ref="AD359:AD377" si="421">AC359/1.13</f>
        <v>70.7964601769912</v>
      </c>
      <c r="AE359" s="29">
        <f>AH360/Q359</f>
        <v>0.666666666666667</v>
      </c>
      <c r="AF359" s="30">
        <f t="shared" ref="AF359:AF377" si="422">AD359/(E359*Q359)</f>
        <v>0.285009904094167</v>
      </c>
      <c r="AG359" s="30">
        <f t="shared" ref="AG359:AG377" si="423">AE359/Q359/E359</f>
        <v>0.00268384326355341</v>
      </c>
      <c r="AH359" s="29">
        <v>6</v>
      </c>
      <c r="AI359" s="30">
        <f t="shared" ref="AI359:AI377" si="424">(H359-E359+AB359)/H359</f>
        <v>0.319213803450863</v>
      </c>
      <c r="AJ359" s="30"/>
      <c r="AK359" s="30"/>
      <c r="AL359" s="30"/>
      <c r="AM359" s="30"/>
      <c r="AN359" s="34"/>
      <c r="AO359" s="34"/>
      <c r="AP359" s="34"/>
      <c r="AQ359" s="34"/>
      <c r="AR359" s="34"/>
      <c r="AS359" s="34"/>
      <c r="AT359" s="34" t="s">
        <v>156</v>
      </c>
      <c r="AU359" s="34" t="s">
        <v>156</v>
      </c>
      <c r="AV359" s="34" t="s">
        <v>156</v>
      </c>
      <c r="AW359" s="34" t="s">
        <v>156</v>
      </c>
      <c r="AX359" s="34" t="s">
        <v>156</v>
      </c>
      <c r="AY359" s="34" t="s">
        <v>156</v>
      </c>
      <c r="AZ359" s="34" t="s">
        <v>156</v>
      </c>
      <c r="BA359" s="34" t="s">
        <v>156</v>
      </c>
      <c r="BB359" s="34" t="s">
        <v>156</v>
      </c>
      <c r="BC359" s="34" t="s">
        <v>156</v>
      </c>
      <c r="BD359" s="34" t="s">
        <v>156</v>
      </c>
      <c r="BE359" s="34" t="s">
        <v>156</v>
      </c>
      <c r="BF359" s="34" t="s">
        <v>156</v>
      </c>
      <c r="BG359" s="34" t="s">
        <v>156</v>
      </c>
      <c r="BH359" s="34" t="s">
        <v>156</v>
      </c>
      <c r="BI359" s="34" t="s">
        <v>156</v>
      </c>
      <c r="BJ359" s="34" t="s">
        <v>156</v>
      </c>
      <c r="BK359" s="34" t="s">
        <v>156</v>
      </c>
      <c r="BL359" s="34" t="s">
        <v>156</v>
      </c>
      <c r="BM359" s="34" t="s">
        <v>156</v>
      </c>
      <c r="BN359" s="34" t="s">
        <v>156</v>
      </c>
      <c r="BO359" s="34" t="s">
        <v>156</v>
      </c>
      <c r="BP359" s="34" t="s">
        <v>156</v>
      </c>
      <c r="BQ359" s="34" t="s">
        <v>156</v>
      </c>
      <c r="BR359" s="35"/>
      <c r="BS359" s="20" t="s">
        <v>157</v>
      </c>
    </row>
    <row r="360" ht="16.5" hidden="1" spans="1:71">
      <c r="A360" s="20" t="s">
        <v>50</v>
      </c>
      <c r="B360" s="21"/>
      <c r="C360" s="45"/>
      <c r="D360" s="59" t="s">
        <v>255</v>
      </c>
      <c r="E360" s="55">
        <v>27.6</v>
      </c>
      <c r="F360" s="24">
        <v>39.99</v>
      </c>
      <c r="G360" s="25">
        <f t="shared" si="406"/>
        <v>35.991</v>
      </c>
      <c r="H360" s="25">
        <f t="shared" si="407"/>
        <v>29.9925</v>
      </c>
      <c r="I360" s="36">
        <f t="shared" si="408"/>
        <v>3.58092664700098</v>
      </c>
      <c r="J360" s="26">
        <f t="shared" si="409"/>
        <v>0.129743719094239</v>
      </c>
      <c r="K360" s="27">
        <f t="shared" si="410"/>
        <v>33.325</v>
      </c>
      <c r="L360" s="28">
        <f t="shared" si="411"/>
        <v>0.171792948237059</v>
      </c>
      <c r="M360" s="25">
        <f t="shared" si="412"/>
        <v>5.725</v>
      </c>
      <c r="N360" s="27">
        <f t="shared" ref="N360:N377" si="425">AD360+AH360</f>
        <v>76.7964601769912</v>
      </c>
      <c r="O360" s="27">
        <f t="shared" si="413"/>
        <v>0.298333333333333</v>
      </c>
      <c r="P360" s="21">
        <v>30</v>
      </c>
      <c r="Q360" s="29">
        <v>9</v>
      </c>
      <c r="R360" s="30">
        <f t="shared" si="414"/>
        <v>0.217391304347826</v>
      </c>
      <c r="S360" s="26">
        <f t="shared" si="415"/>
        <v>0.150037509377344</v>
      </c>
      <c r="T360" s="30">
        <f t="shared" si="416"/>
        <v>0.144891304347826</v>
      </c>
      <c r="U360" s="30">
        <v>0.01</v>
      </c>
      <c r="V360" s="30">
        <f t="shared" si="417"/>
        <v>0.309164493466148</v>
      </c>
      <c r="W360" s="30">
        <f t="shared" si="418"/>
        <v>0.0108091787439613</v>
      </c>
      <c r="X360" s="31">
        <v>0.178</v>
      </c>
      <c r="Y360" s="32">
        <v>6</v>
      </c>
      <c r="Z360" s="32">
        <f>F360*0.1</f>
        <v>3.999</v>
      </c>
      <c r="AA360" s="32">
        <f t="shared" si="419"/>
        <v>0.276</v>
      </c>
      <c r="AB360" s="27">
        <f t="shared" si="420"/>
        <v>4.9128</v>
      </c>
      <c r="AC360" s="27">
        <v>80</v>
      </c>
      <c r="AD360" s="33">
        <f t="shared" si="421"/>
        <v>70.7964601769912</v>
      </c>
      <c r="AE360" s="29">
        <f t="shared" ref="AE360:AE377" si="426">AH360/Q360</f>
        <v>0.666666666666667</v>
      </c>
      <c r="AF360" s="30">
        <f t="shared" si="422"/>
        <v>0.285009904094167</v>
      </c>
      <c r="AG360" s="30">
        <f t="shared" si="423"/>
        <v>0.00268384326355341</v>
      </c>
      <c r="AH360" s="29">
        <v>6</v>
      </c>
      <c r="AI360" s="30">
        <f t="shared" si="424"/>
        <v>0.243570892723181</v>
      </c>
      <c r="AJ360" s="30"/>
      <c r="AK360" s="30"/>
      <c r="AL360" s="30"/>
      <c r="AM360" s="30"/>
      <c r="AN360" s="34"/>
      <c r="AO360" s="34"/>
      <c r="AP360" s="34"/>
      <c r="AQ360" s="34"/>
      <c r="AR360" s="34"/>
      <c r="AS360" s="34"/>
      <c r="AT360" s="34" t="s">
        <v>156</v>
      </c>
      <c r="AU360" s="34" t="s">
        <v>156</v>
      </c>
      <c r="AV360" s="34" t="s">
        <v>156</v>
      </c>
      <c r="AW360" s="34" t="s">
        <v>156</v>
      </c>
      <c r="AX360" s="34" t="s">
        <v>156</v>
      </c>
      <c r="AY360" s="34" t="s">
        <v>156</v>
      </c>
      <c r="AZ360" s="34" t="s">
        <v>156</v>
      </c>
      <c r="BA360" s="34" t="s">
        <v>156</v>
      </c>
      <c r="BB360" s="34" t="s">
        <v>156</v>
      </c>
      <c r="BC360" s="34" t="s">
        <v>156</v>
      </c>
      <c r="BD360" s="34" t="s">
        <v>156</v>
      </c>
      <c r="BE360" s="34" t="s">
        <v>156</v>
      </c>
      <c r="BF360" s="34" t="s">
        <v>156</v>
      </c>
      <c r="BG360" s="34" t="s">
        <v>156</v>
      </c>
      <c r="BH360" s="34" t="s">
        <v>156</v>
      </c>
      <c r="BI360" s="34" t="s">
        <v>156</v>
      </c>
      <c r="BJ360" s="34" t="s">
        <v>156</v>
      </c>
      <c r="BK360" s="34" t="s">
        <v>156</v>
      </c>
      <c r="BL360" s="34" t="s">
        <v>156</v>
      </c>
      <c r="BM360" s="34" t="s">
        <v>156</v>
      </c>
      <c r="BN360" s="34" t="s">
        <v>156</v>
      </c>
      <c r="BO360" s="34" t="s">
        <v>156</v>
      </c>
      <c r="BP360" s="34" t="s">
        <v>156</v>
      </c>
      <c r="BQ360" s="34" t="s">
        <v>156</v>
      </c>
      <c r="BR360" s="35"/>
      <c r="BS360" s="20" t="s">
        <v>157</v>
      </c>
    </row>
    <row r="361" ht="16.5" hidden="1" spans="1:71">
      <c r="A361" s="20" t="s">
        <v>50</v>
      </c>
      <c r="B361" s="21"/>
      <c r="C361" s="45"/>
      <c r="D361" s="59" t="s">
        <v>256</v>
      </c>
      <c r="E361" s="55">
        <v>27.6</v>
      </c>
      <c r="F361" s="24">
        <v>39.99</v>
      </c>
      <c r="G361" s="25">
        <f t="shared" si="406"/>
        <v>33.9915</v>
      </c>
      <c r="H361" s="25">
        <f t="shared" si="407"/>
        <v>28.32625</v>
      </c>
      <c r="I361" s="25">
        <f t="shared" si="408"/>
        <v>1.58142664700098</v>
      </c>
      <c r="J361" s="26">
        <f t="shared" si="409"/>
        <v>0.0572980669203255</v>
      </c>
      <c r="K361" s="27">
        <f t="shared" si="410"/>
        <v>33.325</v>
      </c>
      <c r="L361" s="28">
        <f t="shared" si="411"/>
        <v>0.171792948237059</v>
      </c>
      <c r="M361" s="25">
        <f t="shared" si="412"/>
        <v>5.725</v>
      </c>
      <c r="N361" s="27">
        <f t="shared" si="425"/>
        <v>76.7964601769912</v>
      </c>
      <c r="O361" s="27">
        <f t="shared" si="413"/>
        <v>0.298333333333333</v>
      </c>
      <c r="P361" s="21">
        <v>30</v>
      </c>
      <c r="Q361" s="29">
        <v>9</v>
      </c>
      <c r="R361" s="30">
        <f t="shared" si="414"/>
        <v>0.217391304347826</v>
      </c>
      <c r="S361" s="26">
        <f t="shared" si="415"/>
        <v>0.150037509377344</v>
      </c>
      <c r="T361" s="30">
        <f t="shared" si="416"/>
        <v>0.217336956521739</v>
      </c>
      <c r="U361" s="30">
        <v>0.01</v>
      </c>
      <c r="V361" s="30">
        <f t="shared" si="417"/>
        <v>0.309164493466148</v>
      </c>
      <c r="W361" s="30">
        <f t="shared" si="418"/>
        <v>0.0108091787439613</v>
      </c>
      <c r="X361" s="31">
        <v>0.178</v>
      </c>
      <c r="Y361" s="32">
        <v>6</v>
      </c>
      <c r="Z361" s="32">
        <f>F361*0.15</f>
        <v>5.9985</v>
      </c>
      <c r="AA361" s="32">
        <f t="shared" si="419"/>
        <v>0.276</v>
      </c>
      <c r="AB361" s="27">
        <f t="shared" si="420"/>
        <v>4.9128</v>
      </c>
      <c r="AC361" s="27">
        <v>80</v>
      </c>
      <c r="AD361" s="33">
        <f t="shared" si="421"/>
        <v>70.7964601769912</v>
      </c>
      <c r="AE361" s="29">
        <f t="shared" si="426"/>
        <v>0.666666666666667</v>
      </c>
      <c r="AF361" s="30">
        <f t="shared" si="422"/>
        <v>0.285009904094167</v>
      </c>
      <c r="AG361" s="30">
        <f t="shared" si="423"/>
        <v>0.00268384326355341</v>
      </c>
      <c r="AH361" s="29">
        <v>6</v>
      </c>
      <c r="AI361" s="30">
        <f t="shared" si="424"/>
        <v>0.199075062883368</v>
      </c>
      <c r="AJ361" s="30"/>
      <c r="AK361" s="30"/>
      <c r="AL361" s="30"/>
      <c r="AM361" s="30"/>
      <c r="AN361" s="34"/>
      <c r="AO361" s="34"/>
      <c r="AP361" s="34"/>
      <c r="AQ361" s="34"/>
      <c r="AR361" s="34"/>
      <c r="AS361" s="34"/>
      <c r="AT361" s="34" t="s">
        <v>156</v>
      </c>
      <c r="AU361" s="34" t="s">
        <v>156</v>
      </c>
      <c r="AV361" s="34" t="s">
        <v>156</v>
      </c>
      <c r="AW361" s="34" t="s">
        <v>156</v>
      </c>
      <c r="AX361" s="34" t="s">
        <v>156</v>
      </c>
      <c r="AY361" s="34" t="s">
        <v>156</v>
      </c>
      <c r="AZ361" s="34" t="s">
        <v>156</v>
      </c>
      <c r="BA361" s="34" t="s">
        <v>156</v>
      </c>
      <c r="BB361" s="34" t="s">
        <v>156</v>
      </c>
      <c r="BC361" s="34" t="s">
        <v>156</v>
      </c>
      <c r="BD361" s="34" t="s">
        <v>156</v>
      </c>
      <c r="BE361" s="34" t="s">
        <v>156</v>
      </c>
      <c r="BF361" s="34" t="s">
        <v>156</v>
      </c>
      <c r="BG361" s="34" t="s">
        <v>156</v>
      </c>
      <c r="BH361" s="34" t="s">
        <v>156</v>
      </c>
      <c r="BI361" s="34" t="s">
        <v>156</v>
      </c>
      <c r="BJ361" s="34" t="s">
        <v>156</v>
      </c>
      <c r="BK361" s="34" t="s">
        <v>156</v>
      </c>
      <c r="BL361" s="34" t="s">
        <v>156</v>
      </c>
      <c r="BM361" s="34" t="s">
        <v>156</v>
      </c>
      <c r="BN361" s="34" t="s">
        <v>156</v>
      </c>
      <c r="BO361" s="34" t="s">
        <v>156</v>
      </c>
      <c r="BP361" s="34" t="s">
        <v>156</v>
      </c>
      <c r="BQ361" s="34" t="s">
        <v>156</v>
      </c>
      <c r="BR361" s="35"/>
      <c r="BS361" s="20" t="s">
        <v>157</v>
      </c>
    </row>
    <row r="362" ht="16.5" hidden="1" spans="1:71">
      <c r="A362" s="21" t="s">
        <v>37</v>
      </c>
      <c r="B362" s="21"/>
      <c r="C362" s="45"/>
      <c r="D362" s="59" t="s">
        <v>254</v>
      </c>
      <c r="E362" s="55">
        <v>31</v>
      </c>
      <c r="F362" s="38">
        <v>44.99</v>
      </c>
      <c r="G362" s="25">
        <f t="shared" si="406"/>
        <v>44.99</v>
      </c>
      <c r="H362" s="25">
        <f t="shared" si="407"/>
        <v>37.4916666666667</v>
      </c>
      <c r="I362" s="25">
        <f t="shared" si="408"/>
        <v>9.00410914454277</v>
      </c>
      <c r="J362" s="26">
        <f t="shared" si="409"/>
        <v>0.290455133694928</v>
      </c>
      <c r="K362" s="27">
        <f t="shared" si="410"/>
        <v>37.4916666666667</v>
      </c>
      <c r="L362" s="28">
        <f t="shared" si="411"/>
        <v>0.173149588797511</v>
      </c>
      <c r="M362" s="25">
        <f t="shared" si="412"/>
        <v>6.49166666666667</v>
      </c>
      <c r="N362" s="27">
        <f>AD362+AH363</f>
        <v>76.7964601769912</v>
      </c>
      <c r="O362" s="27">
        <f t="shared" si="413"/>
        <v>0.258333333333333</v>
      </c>
      <c r="P362" s="21">
        <v>30</v>
      </c>
      <c r="Q362" s="29">
        <v>8</v>
      </c>
      <c r="R362" s="30">
        <f t="shared" si="414"/>
        <v>0.193548387096774</v>
      </c>
      <c r="S362" s="26">
        <f t="shared" si="415"/>
        <v>0.133362969548789</v>
      </c>
      <c r="T362" s="30">
        <f t="shared" si="416"/>
        <v>0</v>
      </c>
      <c r="U362" s="30">
        <v>0.01</v>
      </c>
      <c r="V362" s="30">
        <f t="shared" si="417"/>
        <v>0.309663145874964</v>
      </c>
      <c r="W362" s="30">
        <f t="shared" si="418"/>
        <v>0.00833333333333333</v>
      </c>
      <c r="X362" s="31">
        <v>0.188</v>
      </c>
      <c r="Y362" s="32">
        <v>6</v>
      </c>
      <c r="Z362" s="32">
        <v>0</v>
      </c>
      <c r="AA362" s="32">
        <f t="shared" si="419"/>
        <v>0.31</v>
      </c>
      <c r="AB362" s="27">
        <f t="shared" si="420"/>
        <v>5.828</v>
      </c>
      <c r="AC362" s="27">
        <v>80</v>
      </c>
      <c r="AD362" s="33">
        <f t="shared" si="421"/>
        <v>70.7964601769912</v>
      </c>
      <c r="AE362" s="29">
        <f>AH363/Q362</f>
        <v>0.75</v>
      </c>
      <c r="AF362" s="30">
        <f t="shared" si="422"/>
        <v>0.285469597487868</v>
      </c>
      <c r="AG362" s="30">
        <f t="shared" si="423"/>
        <v>0.0030241935483871</v>
      </c>
      <c r="AH362" s="29">
        <v>6</v>
      </c>
      <c r="AI362" s="30">
        <f t="shared" si="424"/>
        <v>0.328597466103579</v>
      </c>
      <c r="AJ362" s="30"/>
      <c r="AK362" s="30"/>
      <c r="AL362" s="30"/>
      <c r="AM362" s="30"/>
      <c r="AN362" s="34"/>
      <c r="AO362" s="34"/>
      <c r="AP362" s="34"/>
      <c r="AQ362" s="34"/>
      <c r="AR362" s="34"/>
      <c r="AS362" s="34"/>
      <c r="AT362" s="34" t="s">
        <v>156</v>
      </c>
      <c r="AU362" s="34" t="s">
        <v>156</v>
      </c>
      <c r="AV362" s="34" t="s">
        <v>156</v>
      </c>
      <c r="AW362" s="34" t="s">
        <v>156</v>
      </c>
      <c r="AX362" s="34" t="s">
        <v>156</v>
      </c>
      <c r="AY362" s="34" t="s">
        <v>156</v>
      </c>
      <c r="AZ362" s="34" t="s">
        <v>156</v>
      </c>
      <c r="BA362" s="34" t="s">
        <v>156</v>
      </c>
      <c r="BB362" s="34" t="s">
        <v>156</v>
      </c>
      <c r="BC362" s="34" t="s">
        <v>156</v>
      </c>
      <c r="BD362" s="34" t="s">
        <v>156</v>
      </c>
      <c r="BE362" s="34" t="s">
        <v>156</v>
      </c>
      <c r="BF362" s="34" t="s">
        <v>156</v>
      </c>
      <c r="BG362" s="34" t="s">
        <v>156</v>
      </c>
      <c r="BH362" s="34" t="s">
        <v>156</v>
      </c>
      <c r="BI362" s="34" t="s">
        <v>156</v>
      </c>
      <c r="BJ362" s="34" t="s">
        <v>156</v>
      </c>
      <c r="BK362" s="34" t="s">
        <v>156</v>
      </c>
      <c r="BL362" s="34" t="s">
        <v>156</v>
      </c>
      <c r="BM362" s="34" t="s">
        <v>156</v>
      </c>
      <c r="BN362" s="34" t="s">
        <v>156</v>
      </c>
      <c r="BO362" s="34" t="s">
        <v>156</v>
      </c>
      <c r="BP362" s="34" t="s">
        <v>156</v>
      </c>
      <c r="BQ362" s="34" t="s">
        <v>156</v>
      </c>
      <c r="BR362" s="35"/>
      <c r="BS362" s="20" t="s">
        <v>157</v>
      </c>
    </row>
    <row r="363" ht="16.5" hidden="1" spans="1:71">
      <c r="A363" s="21" t="s">
        <v>37</v>
      </c>
      <c r="B363" s="21"/>
      <c r="C363" s="45"/>
      <c r="D363" s="59" t="s">
        <v>255</v>
      </c>
      <c r="E363" s="55">
        <v>31</v>
      </c>
      <c r="F363" s="24">
        <v>44.99</v>
      </c>
      <c r="G363" s="25">
        <f t="shared" si="406"/>
        <v>40.491</v>
      </c>
      <c r="H363" s="25">
        <f t="shared" si="407"/>
        <v>33.7425</v>
      </c>
      <c r="I363" s="36">
        <f t="shared" si="408"/>
        <v>4.50510914454277</v>
      </c>
      <c r="J363" s="26">
        <f t="shared" si="409"/>
        <v>0.145326101436864</v>
      </c>
      <c r="K363" s="27">
        <f t="shared" si="410"/>
        <v>37.4916666666667</v>
      </c>
      <c r="L363" s="28">
        <f t="shared" si="411"/>
        <v>0.173149588797511</v>
      </c>
      <c r="M363" s="25">
        <f t="shared" si="412"/>
        <v>6.49166666666667</v>
      </c>
      <c r="N363" s="27">
        <f t="shared" si="425"/>
        <v>76.7964601769912</v>
      </c>
      <c r="O363" s="27">
        <f t="shared" si="413"/>
        <v>0.258333333333333</v>
      </c>
      <c r="P363" s="21">
        <v>30</v>
      </c>
      <c r="Q363" s="29">
        <v>8</v>
      </c>
      <c r="R363" s="30">
        <f t="shared" si="414"/>
        <v>0.193548387096774</v>
      </c>
      <c r="S363" s="26">
        <f t="shared" si="415"/>
        <v>0.133362969548789</v>
      </c>
      <c r="T363" s="30">
        <f t="shared" si="416"/>
        <v>0.145129032258065</v>
      </c>
      <c r="U363" s="30">
        <v>0.01</v>
      </c>
      <c r="V363" s="30">
        <f t="shared" si="417"/>
        <v>0.309663145874964</v>
      </c>
      <c r="W363" s="30">
        <f t="shared" si="418"/>
        <v>0.00833333333333333</v>
      </c>
      <c r="X363" s="31">
        <v>0.188</v>
      </c>
      <c r="Y363" s="32">
        <v>6</v>
      </c>
      <c r="Z363" s="32">
        <f>F363*0.1</f>
        <v>4.499</v>
      </c>
      <c r="AA363" s="32">
        <f t="shared" si="419"/>
        <v>0.31</v>
      </c>
      <c r="AB363" s="27">
        <f t="shared" si="420"/>
        <v>5.828</v>
      </c>
      <c r="AC363" s="27">
        <v>80</v>
      </c>
      <c r="AD363" s="33">
        <f t="shared" si="421"/>
        <v>70.7964601769912</v>
      </c>
      <c r="AE363" s="29">
        <f t="shared" si="426"/>
        <v>0.75</v>
      </c>
      <c r="AF363" s="30">
        <f t="shared" si="422"/>
        <v>0.285469597487868</v>
      </c>
      <c r="AG363" s="30">
        <f t="shared" si="423"/>
        <v>0.0030241935483871</v>
      </c>
      <c r="AH363" s="29">
        <v>6</v>
      </c>
      <c r="AI363" s="30">
        <f t="shared" si="424"/>
        <v>0.253997184559532</v>
      </c>
      <c r="AJ363" s="30"/>
      <c r="AK363" s="30"/>
      <c r="AL363" s="30"/>
      <c r="AM363" s="30"/>
      <c r="AN363" s="34"/>
      <c r="AO363" s="34"/>
      <c r="AP363" s="34"/>
      <c r="AQ363" s="34"/>
      <c r="AR363" s="34"/>
      <c r="AS363" s="34"/>
      <c r="AT363" s="34" t="s">
        <v>156</v>
      </c>
      <c r="AU363" s="34" t="s">
        <v>156</v>
      </c>
      <c r="AV363" s="34" t="s">
        <v>156</v>
      </c>
      <c r="AW363" s="34" t="s">
        <v>156</v>
      </c>
      <c r="AX363" s="34" t="s">
        <v>156</v>
      </c>
      <c r="AY363" s="34" t="s">
        <v>156</v>
      </c>
      <c r="AZ363" s="34" t="s">
        <v>156</v>
      </c>
      <c r="BA363" s="34" t="s">
        <v>156</v>
      </c>
      <c r="BB363" s="34" t="s">
        <v>156</v>
      </c>
      <c r="BC363" s="34" t="s">
        <v>156</v>
      </c>
      <c r="BD363" s="34" t="s">
        <v>156</v>
      </c>
      <c r="BE363" s="34" t="s">
        <v>156</v>
      </c>
      <c r="BF363" s="34" t="s">
        <v>156</v>
      </c>
      <c r="BG363" s="34" t="s">
        <v>156</v>
      </c>
      <c r="BH363" s="34" t="s">
        <v>156</v>
      </c>
      <c r="BI363" s="34" t="s">
        <v>156</v>
      </c>
      <c r="BJ363" s="34" t="s">
        <v>156</v>
      </c>
      <c r="BK363" s="34" t="s">
        <v>156</v>
      </c>
      <c r="BL363" s="34" t="s">
        <v>156</v>
      </c>
      <c r="BM363" s="34" t="s">
        <v>156</v>
      </c>
      <c r="BN363" s="34" t="s">
        <v>156</v>
      </c>
      <c r="BO363" s="34" t="s">
        <v>156</v>
      </c>
      <c r="BP363" s="34" t="s">
        <v>156</v>
      </c>
      <c r="BQ363" s="34" t="s">
        <v>156</v>
      </c>
      <c r="BR363" s="35"/>
      <c r="BS363" s="20" t="s">
        <v>157</v>
      </c>
    </row>
    <row r="364" ht="16.5" hidden="1" spans="1:71">
      <c r="A364" s="21" t="s">
        <v>37</v>
      </c>
      <c r="B364" s="21"/>
      <c r="C364" s="45"/>
      <c r="D364" s="59" t="s">
        <v>256</v>
      </c>
      <c r="E364" s="55">
        <v>31</v>
      </c>
      <c r="F364" s="24">
        <v>44.99</v>
      </c>
      <c r="G364" s="25">
        <f t="shared" si="406"/>
        <v>38.2415</v>
      </c>
      <c r="H364" s="25">
        <f t="shared" si="407"/>
        <v>31.8679166666667</v>
      </c>
      <c r="I364" s="25">
        <f t="shared" si="408"/>
        <v>2.25560914454277</v>
      </c>
      <c r="J364" s="26">
        <f t="shared" si="409"/>
        <v>0.0727615853078314</v>
      </c>
      <c r="K364" s="27">
        <f t="shared" si="410"/>
        <v>37.4916666666667</v>
      </c>
      <c r="L364" s="28">
        <f t="shared" si="411"/>
        <v>0.173149588797511</v>
      </c>
      <c r="M364" s="25">
        <f t="shared" si="412"/>
        <v>6.49166666666667</v>
      </c>
      <c r="N364" s="27">
        <f t="shared" si="425"/>
        <v>76.7964601769912</v>
      </c>
      <c r="O364" s="27">
        <f t="shared" si="413"/>
        <v>0.258333333333333</v>
      </c>
      <c r="P364" s="21">
        <v>30</v>
      </c>
      <c r="Q364" s="29">
        <v>8</v>
      </c>
      <c r="R364" s="30">
        <f t="shared" si="414"/>
        <v>0.193548387096774</v>
      </c>
      <c r="S364" s="26">
        <f t="shared" si="415"/>
        <v>0.133362969548789</v>
      </c>
      <c r="T364" s="30">
        <f t="shared" si="416"/>
        <v>0.217693548387097</v>
      </c>
      <c r="U364" s="30">
        <v>0.01</v>
      </c>
      <c r="V364" s="30">
        <f t="shared" si="417"/>
        <v>0.309663145874964</v>
      </c>
      <c r="W364" s="30">
        <f t="shared" si="418"/>
        <v>0.00833333333333333</v>
      </c>
      <c r="X364" s="31">
        <v>0.188</v>
      </c>
      <c r="Y364" s="32">
        <v>6</v>
      </c>
      <c r="Z364" s="32">
        <f>F364*0.15</f>
        <v>6.7485</v>
      </c>
      <c r="AA364" s="32">
        <f t="shared" si="419"/>
        <v>0.31</v>
      </c>
      <c r="AB364" s="27">
        <f t="shared" si="420"/>
        <v>5.828</v>
      </c>
      <c r="AC364" s="27">
        <v>80</v>
      </c>
      <c r="AD364" s="33">
        <f t="shared" si="421"/>
        <v>70.7964601769912</v>
      </c>
      <c r="AE364" s="29">
        <f t="shared" si="426"/>
        <v>0.75</v>
      </c>
      <c r="AF364" s="30">
        <f t="shared" si="422"/>
        <v>0.285469597487868</v>
      </c>
      <c r="AG364" s="30">
        <f t="shared" si="423"/>
        <v>0.0030241935483871</v>
      </c>
      <c r="AH364" s="29">
        <v>6</v>
      </c>
      <c r="AI364" s="30">
        <f t="shared" si="424"/>
        <v>0.21011466600421</v>
      </c>
      <c r="AJ364" s="30"/>
      <c r="AK364" s="30"/>
      <c r="AL364" s="30"/>
      <c r="AM364" s="30"/>
      <c r="AN364" s="34"/>
      <c r="AO364" s="34"/>
      <c r="AP364" s="34"/>
      <c r="AQ364" s="34"/>
      <c r="AR364" s="34"/>
      <c r="AS364" s="34"/>
      <c r="AT364" s="34" t="s">
        <v>156</v>
      </c>
      <c r="AU364" s="34" t="s">
        <v>156</v>
      </c>
      <c r="AV364" s="34" t="s">
        <v>156</v>
      </c>
      <c r="AW364" s="34" t="s">
        <v>156</v>
      </c>
      <c r="AX364" s="34" t="s">
        <v>156</v>
      </c>
      <c r="AY364" s="34" t="s">
        <v>156</v>
      </c>
      <c r="AZ364" s="34" t="s">
        <v>156</v>
      </c>
      <c r="BA364" s="34" t="s">
        <v>156</v>
      </c>
      <c r="BB364" s="34" t="s">
        <v>156</v>
      </c>
      <c r="BC364" s="34" t="s">
        <v>156</v>
      </c>
      <c r="BD364" s="34" t="s">
        <v>156</v>
      </c>
      <c r="BE364" s="34" t="s">
        <v>156</v>
      </c>
      <c r="BF364" s="34" t="s">
        <v>156</v>
      </c>
      <c r="BG364" s="34" t="s">
        <v>156</v>
      </c>
      <c r="BH364" s="34" t="s">
        <v>156</v>
      </c>
      <c r="BI364" s="34" t="s">
        <v>156</v>
      </c>
      <c r="BJ364" s="34" t="s">
        <v>156</v>
      </c>
      <c r="BK364" s="34" t="s">
        <v>156</v>
      </c>
      <c r="BL364" s="34" t="s">
        <v>156</v>
      </c>
      <c r="BM364" s="34" t="s">
        <v>156</v>
      </c>
      <c r="BN364" s="34" t="s">
        <v>156</v>
      </c>
      <c r="BO364" s="34" t="s">
        <v>156</v>
      </c>
      <c r="BP364" s="34" t="s">
        <v>156</v>
      </c>
      <c r="BQ364" s="34" t="s">
        <v>156</v>
      </c>
      <c r="BR364" s="35"/>
      <c r="BS364" s="20" t="s">
        <v>157</v>
      </c>
    </row>
    <row r="365" ht="16.5" hidden="1" spans="1:71">
      <c r="A365" s="21" t="s">
        <v>43</v>
      </c>
      <c r="B365" s="21"/>
      <c r="C365" s="45"/>
      <c r="D365" s="59" t="s">
        <v>254</v>
      </c>
      <c r="E365" s="55">
        <v>31</v>
      </c>
      <c r="F365" s="24">
        <v>44.99</v>
      </c>
      <c r="G365" s="25">
        <f t="shared" si="406"/>
        <v>44.99</v>
      </c>
      <c r="H365" s="25">
        <f t="shared" si="407"/>
        <v>37.4916666666667</v>
      </c>
      <c r="I365" s="25">
        <f t="shared" si="408"/>
        <v>8.78744247787611</v>
      </c>
      <c r="J365" s="26">
        <f t="shared" si="409"/>
        <v>0.2834658863831</v>
      </c>
      <c r="K365" s="27">
        <f t="shared" si="410"/>
        <v>37.4916666666667</v>
      </c>
      <c r="L365" s="28">
        <f t="shared" si="411"/>
        <v>0.173149588797511</v>
      </c>
      <c r="M365" s="25">
        <f t="shared" si="412"/>
        <v>6.49166666666667</v>
      </c>
      <c r="N365" s="27">
        <f t="shared" si="425"/>
        <v>76.7964601769912</v>
      </c>
      <c r="O365" s="27">
        <f t="shared" si="413"/>
        <v>0.475</v>
      </c>
      <c r="P365" s="21">
        <v>30</v>
      </c>
      <c r="Q365" s="29">
        <v>8</v>
      </c>
      <c r="R365" s="30">
        <f t="shared" si="414"/>
        <v>0.193548387096774</v>
      </c>
      <c r="S365" s="26">
        <f t="shared" si="415"/>
        <v>0.133362969548789</v>
      </c>
      <c r="T365" s="30">
        <f t="shared" si="416"/>
        <v>0</v>
      </c>
      <c r="U365" s="30">
        <v>0.01</v>
      </c>
      <c r="V365" s="30">
        <f t="shared" si="417"/>
        <v>0.309663145874964</v>
      </c>
      <c r="W365" s="30">
        <f t="shared" si="418"/>
        <v>0.0153225806451613</v>
      </c>
      <c r="X365" s="31">
        <v>0.188</v>
      </c>
      <c r="Y365" s="32">
        <v>6</v>
      </c>
      <c r="Z365" s="32">
        <v>0</v>
      </c>
      <c r="AA365" s="32">
        <f t="shared" si="419"/>
        <v>0.31</v>
      </c>
      <c r="AB365" s="27">
        <f t="shared" si="420"/>
        <v>5.828</v>
      </c>
      <c r="AC365" s="27">
        <v>80</v>
      </c>
      <c r="AD365" s="33">
        <f t="shared" si="421"/>
        <v>70.7964601769912</v>
      </c>
      <c r="AE365" s="29">
        <f t="shared" si="426"/>
        <v>0.75</v>
      </c>
      <c r="AF365" s="30">
        <f t="shared" si="422"/>
        <v>0.285469597487868</v>
      </c>
      <c r="AG365" s="30">
        <f t="shared" si="423"/>
        <v>0.0030241935483871</v>
      </c>
      <c r="AH365" s="29">
        <v>6</v>
      </c>
      <c r="AI365" s="30">
        <f t="shared" si="424"/>
        <v>0.328597466103579</v>
      </c>
      <c r="AJ365" s="30"/>
      <c r="AK365" s="30"/>
      <c r="AL365" s="30"/>
      <c r="AM365" s="30"/>
      <c r="AN365" s="34"/>
      <c r="AO365" s="34"/>
      <c r="AP365" s="34"/>
      <c r="AQ365" s="34"/>
      <c r="AR365" s="34"/>
      <c r="AS365" s="34"/>
      <c r="AT365" s="34" t="s">
        <v>156</v>
      </c>
      <c r="AU365" s="34" t="s">
        <v>156</v>
      </c>
      <c r="AV365" s="34" t="s">
        <v>156</v>
      </c>
      <c r="AW365" s="34" t="s">
        <v>156</v>
      </c>
      <c r="AX365" s="34" t="s">
        <v>156</v>
      </c>
      <c r="AY365" s="34" t="s">
        <v>156</v>
      </c>
      <c r="AZ365" s="34" t="s">
        <v>156</v>
      </c>
      <c r="BA365" s="34" t="s">
        <v>156</v>
      </c>
      <c r="BB365" s="34" t="s">
        <v>156</v>
      </c>
      <c r="BC365" s="34" t="s">
        <v>156</v>
      </c>
      <c r="BD365" s="34" t="s">
        <v>156</v>
      </c>
      <c r="BE365" s="34" t="s">
        <v>156</v>
      </c>
      <c r="BF365" s="34" t="s">
        <v>156</v>
      </c>
      <c r="BG365" s="34" t="s">
        <v>156</v>
      </c>
      <c r="BH365" s="34" t="s">
        <v>156</v>
      </c>
      <c r="BI365" s="34" t="s">
        <v>156</v>
      </c>
      <c r="BJ365" s="34" t="s">
        <v>156</v>
      </c>
      <c r="BK365" s="34" t="s">
        <v>156</v>
      </c>
      <c r="BL365" s="34" t="s">
        <v>156</v>
      </c>
      <c r="BM365" s="34" t="s">
        <v>156</v>
      </c>
      <c r="BN365" s="34" t="s">
        <v>156</v>
      </c>
      <c r="BO365" s="34" t="s">
        <v>156</v>
      </c>
      <c r="BP365" s="34" t="s">
        <v>156</v>
      </c>
      <c r="BQ365" s="34" t="s">
        <v>156</v>
      </c>
      <c r="BR365" s="35"/>
      <c r="BS365" s="20" t="s">
        <v>157</v>
      </c>
    </row>
    <row r="366" ht="16.5" hidden="1" spans="1:71">
      <c r="A366" s="21" t="s">
        <v>43</v>
      </c>
      <c r="B366" s="21"/>
      <c r="C366" s="45"/>
      <c r="D366" s="59" t="s">
        <v>255</v>
      </c>
      <c r="E366" s="55">
        <v>31</v>
      </c>
      <c r="F366" s="24">
        <v>44.99</v>
      </c>
      <c r="G366" s="25">
        <f t="shared" si="406"/>
        <v>40.491</v>
      </c>
      <c r="H366" s="25">
        <f t="shared" si="407"/>
        <v>33.7425</v>
      </c>
      <c r="I366" s="36">
        <f t="shared" si="408"/>
        <v>4.28844247787611</v>
      </c>
      <c r="J366" s="26">
        <f t="shared" si="409"/>
        <v>0.138336854125036</v>
      </c>
      <c r="K366" s="27">
        <f t="shared" si="410"/>
        <v>37.4916666666667</v>
      </c>
      <c r="L366" s="28">
        <f t="shared" si="411"/>
        <v>0.173149588797511</v>
      </c>
      <c r="M366" s="25">
        <f t="shared" si="412"/>
        <v>6.49166666666667</v>
      </c>
      <c r="N366" s="27">
        <f t="shared" si="425"/>
        <v>76.7964601769912</v>
      </c>
      <c r="O366" s="27">
        <f t="shared" si="413"/>
        <v>0.475</v>
      </c>
      <c r="P366" s="21">
        <v>30</v>
      </c>
      <c r="Q366" s="29">
        <v>8</v>
      </c>
      <c r="R366" s="30">
        <f t="shared" si="414"/>
        <v>0.193548387096774</v>
      </c>
      <c r="S366" s="26">
        <f t="shared" si="415"/>
        <v>0.133362969548789</v>
      </c>
      <c r="T366" s="30">
        <f t="shared" si="416"/>
        <v>0.145129032258065</v>
      </c>
      <c r="U366" s="30">
        <v>0.01</v>
      </c>
      <c r="V366" s="30">
        <f t="shared" si="417"/>
        <v>0.309663145874964</v>
      </c>
      <c r="W366" s="30">
        <f t="shared" si="418"/>
        <v>0.0153225806451613</v>
      </c>
      <c r="X366" s="31">
        <v>0.188</v>
      </c>
      <c r="Y366" s="32">
        <v>6</v>
      </c>
      <c r="Z366" s="32">
        <f>F366*0.1</f>
        <v>4.499</v>
      </c>
      <c r="AA366" s="32">
        <f t="shared" si="419"/>
        <v>0.31</v>
      </c>
      <c r="AB366" s="27">
        <f t="shared" si="420"/>
        <v>5.828</v>
      </c>
      <c r="AC366" s="27">
        <v>80</v>
      </c>
      <c r="AD366" s="33">
        <f t="shared" si="421"/>
        <v>70.7964601769912</v>
      </c>
      <c r="AE366" s="29">
        <f t="shared" si="426"/>
        <v>0.75</v>
      </c>
      <c r="AF366" s="30">
        <f t="shared" si="422"/>
        <v>0.285469597487868</v>
      </c>
      <c r="AG366" s="30">
        <f t="shared" si="423"/>
        <v>0.0030241935483871</v>
      </c>
      <c r="AH366" s="29">
        <v>6</v>
      </c>
      <c r="AI366" s="30">
        <f t="shared" si="424"/>
        <v>0.253997184559532</v>
      </c>
      <c r="AJ366" s="30"/>
      <c r="AK366" s="30"/>
      <c r="AL366" s="30"/>
      <c r="AM366" s="30"/>
      <c r="AN366" s="34"/>
      <c r="AO366" s="34"/>
      <c r="AP366" s="34"/>
      <c r="AQ366" s="34"/>
      <c r="AR366" s="34"/>
      <c r="AS366" s="34"/>
      <c r="AT366" s="34" t="s">
        <v>156</v>
      </c>
      <c r="AU366" s="34" t="s">
        <v>156</v>
      </c>
      <c r="AV366" s="34" t="s">
        <v>156</v>
      </c>
      <c r="AW366" s="34" t="s">
        <v>156</v>
      </c>
      <c r="AX366" s="34" t="s">
        <v>156</v>
      </c>
      <c r="AY366" s="34" t="s">
        <v>156</v>
      </c>
      <c r="AZ366" s="34" t="s">
        <v>156</v>
      </c>
      <c r="BA366" s="34" t="s">
        <v>156</v>
      </c>
      <c r="BB366" s="34" t="s">
        <v>156</v>
      </c>
      <c r="BC366" s="34" t="s">
        <v>156</v>
      </c>
      <c r="BD366" s="34" t="s">
        <v>156</v>
      </c>
      <c r="BE366" s="34" t="s">
        <v>156</v>
      </c>
      <c r="BF366" s="34" t="s">
        <v>156</v>
      </c>
      <c r="BG366" s="34" t="s">
        <v>156</v>
      </c>
      <c r="BH366" s="34" t="s">
        <v>156</v>
      </c>
      <c r="BI366" s="34" t="s">
        <v>156</v>
      </c>
      <c r="BJ366" s="34" t="s">
        <v>156</v>
      </c>
      <c r="BK366" s="34" t="s">
        <v>156</v>
      </c>
      <c r="BL366" s="34" t="s">
        <v>156</v>
      </c>
      <c r="BM366" s="34" t="s">
        <v>156</v>
      </c>
      <c r="BN366" s="34" t="s">
        <v>156</v>
      </c>
      <c r="BO366" s="34" t="s">
        <v>156</v>
      </c>
      <c r="BP366" s="34" t="s">
        <v>156</v>
      </c>
      <c r="BQ366" s="34" t="s">
        <v>156</v>
      </c>
      <c r="BR366" s="35"/>
      <c r="BS366" s="20" t="s">
        <v>157</v>
      </c>
    </row>
    <row r="367" ht="16.5" hidden="1" spans="1:71">
      <c r="A367" s="21" t="s">
        <v>43</v>
      </c>
      <c r="B367" s="21"/>
      <c r="C367" s="45"/>
      <c r="D367" s="59" t="s">
        <v>256</v>
      </c>
      <c r="E367" s="55">
        <v>31</v>
      </c>
      <c r="F367" s="24">
        <v>44.99</v>
      </c>
      <c r="G367" s="25">
        <f t="shared" si="406"/>
        <v>38.2415</v>
      </c>
      <c r="H367" s="25">
        <f t="shared" si="407"/>
        <v>31.8679166666667</v>
      </c>
      <c r="I367" s="25">
        <f t="shared" si="408"/>
        <v>2.03894247787611</v>
      </c>
      <c r="J367" s="26">
        <f t="shared" si="409"/>
        <v>0.0657723379960034</v>
      </c>
      <c r="K367" s="27">
        <f t="shared" si="410"/>
        <v>37.4916666666667</v>
      </c>
      <c r="L367" s="28">
        <f t="shared" si="411"/>
        <v>0.173149588797511</v>
      </c>
      <c r="M367" s="25">
        <f t="shared" si="412"/>
        <v>6.49166666666667</v>
      </c>
      <c r="N367" s="27">
        <f t="shared" si="425"/>
        <v>76.7964601769912</v>
      </c>
      <c r="O367" s="27">
        <f t="shared" si="413"/>
        <v>0.475</v>
      </c>
      <c r="P367" s="21">
        <v>30</v>
      </c>
      <c r="Q367" s="29">
        <v>8</v>
      </c>
      <c r="R367" s="30">
        <f t="shared" si="414"/>
        <v>0.193548387096774</v>
      </c>
      <c r="S367" s="26">
        <f t="shared" si="415"/>
        <v>0.133362969548789</v>
      </c>
      <c r="T367" s="30">
        <f t="shared" si="416"/>
        <v>0.217693548387097</v>
      </c>
      <c r="U367" s="30">
        <v>0.01</v>
      </c>
      <c r="V367" s="30">
        <f t="shared" si="417"/>
        <v>0.309663145874964</v>
      </c>
      <c r="W367" s="30">
        <f t="shared" si="418"/>
        <v>0.0153225806451613</v>
      </c>
      <c r="X367" s="31">
        <v>0.188</v>
      </c>
      <c r="Y367" s="32">
        <v>6</v>
      </c>
      <c r="Z367" s="32">
        <f>F367*0.15</f>
        <v>6.7485</v>
      </c>
      <c r="AA367" s="32">
        <f t="shared" si="419"/>
        <v>0.31</v>
      </c>
      <c r="AB367" s="27">
        <f t="shared" si="420"/>
        <v>5.828</v>
      </c>
      <c r="AC367" s="27">
        <v>80</v>
      </c>
      <c r="AD367" s="33">
        <f t="shared" si="421"/>
        <v>70.7964601769912</v>
      </c>
      <c r="AE367" s="29">
        <f t="shared" si="426"/>
        <v>0.75</v>
      </c>
      <c r="AF367" s="30">
        <f t="shared" si="422"/>
        <v>0.285469597487868</v>
      </c>
      <c r="AG367" s="30">
        <f t="shared" si="423"/>
        <v>0.0030241935483871</v>
      </c>
      <c r="AH367" s="29">
        <v>6</v>
      </c>
      <c r="AI367" s="30">
        <f t="shared" si="424"/>
        <v>0.21011466600421</v>
      </c>
      <c r="AJ367" s="30"/>
      <c r="AK367" s="30"/>
      <c r="AL367" s="30"/>
      <c r="AM367" s="30"/>
      <c r="AN367" s="34"/>
      <c r="AO367" s="34"/>
      <c r="AP367" s="34"/>
      <c r="AQ367" s="34"/>
      <c r="AR367" s="34"/>
      <c r="AS367" s="34"/>
      <c r="AT367" s="34" t="s">
        <v>156</v>
      </c>
      <c r="AU367" s="34" t="s">
        <v>156</v>
      </c>
      <c r="AV367" s="34" t="s">
        <v>156</v>
      </c>
      <c r="AW367" s="34" t="s">
        <v>156</v>
      </c>
      <c r="AX367" s="34" t="s">
        <v>156</v>
      </c>
      <c r="AY367" s="34" t="s">
        <v>156</v>
      </c>
      <c r="AZ367" s="34" t="s">
        <v>156</v>
      </c>
      <c r="BA367" s="34" t="s">
        <v>156</v>
      </c>
      <c r="BB367" s="34" t="s">
        <v>156</v>
      </c>
      <c r="BC367" s="34" t="s">
        <v>156</v>
      </c>
      <c r="BD367" s="34" t="s">
        <v>156</v>
      </c>
      <c r="BE367" s="34" t="s">
        <v>156</v>
      </c>
      <c r="BF367" s="34" t="s">
        <v>156</v>
      </c>
      <c r="BG367" s="34" t="s">
        <v>156</v>
      </c>
      <c r="BH367" s="34" t="s">
        <v>156</v>
      </c>
      <c r="BI367" s="34" t="s">
        <v>156</v>
      </c>
      <c r="BJ367" s="34" t="s">
        <v>156</v>
      </c>
      <c r="BK367" s="34" t="s">
        <v>156</v>
      </c>
      <c r="BL367" s="34" t="s">
        <v>156</v>
      </c>
      <c r="BM367" s="34" t="s">
        <v>156</v>
      </c>
      <c r="BN367" s="34" t="s">
        <v>156</v>
      </c>
      <c r="BO367" s="34" t="s">
        <v>156</v>
      </c>
      <c r="BP367" s="34" t="s">
        <v>156</v>
      </c>
      <c r="BQ367" s="34" t="s">
        <v>156</v>
      </c>
      <c r="BR367" s="35"/>
      <c r="BS367" s="20" t="s">
        <v>157</v>
      </c>
    </row>
    <row r="368" ht="16.5" hidden="1" spans="1:71">
      <c r="A368" s="21" t="s">
        <v>45</v>
      </c>
      <c r="B368" s="21"/>
      <c r="C368" s="45"/>
      <c r="D368" s="59" t="s">
        <v>254</v>
      </c>
      <c r="E368" s="55">
        <v>31</v>
      </c>
      <c r="F368" s="24">
        <v>44.99</v>
      </c>
      <c r="G368" s="25">
        <f t="shared" si="406"/>
        <v>44.99</v>
      </c>
      <c r="H368" s="25">
        <f t="shared" si="407"/>
        <v>37.4916666666667</v>
      </c>
      <c r="I368" s="25">
        <f t="shared" si="408"/>
        <v>8.75410914454277</v>
      </c>
      <c r="J368" s="26">
        <f t="shared" si="409"/>
        <v>0.282390617565896</v>
      </c>
      <c r="K368" s="27">
        <f t="shared" si="410"/>
        <v>37.4916666666667</v>
      </c>
      <c r="L368" s="28">
        <f t="shared" si="411"/>
        <v>0.173149588797511</v>
      </c>
      <c r="M368" s="25">
        <f t="shared" si="412"/>
        <v>6.49166666666667</v>
      </c>
      <c r="N368" s="27">
        <f t="shared" si="425"/>
        <v>76.7964601769912</v>
      </c>
      <c r="O368" s="27">
        <f t="shared" si="413"/>
        <v>0.508333333333333</v>
      </c>
      <c r="P368" s="21">
        <v>30</v>
      </c>
      <c r="Q368" s="29">
        <v>8</v>
      </c>
      <c r="R368" s="30">
        <f t="shared" si="414"/>
        <v>0.193548387096774</v>
      </c>
      <c r="S368" s="26">
        <f t="shared" si="415"/>
        <v>0.133362969548789</v>
      </c>
      <c r="T368" s="30">
        <f t="shared" si="416"/>
        <v>0</v>
      </c>
      <c r="U368" s="30">
        <v>0.01</v>
      </c>
      <c r="V368" s="30">
        <f t="shared" si="417"/>
        <v>0.309663145874964</v>
      </c>
      <c r="W368" s="30">
        <f t="shared" si="418"/>
        <v>0.0163978494623656</v>
      </c>
      <c r="X368" s="31">
        <v>0.188</v>
      </c>
      <c r="Y368" s="32">
        <v>6</v>
      </c>
      <c r="Z368" s="32">
        <v>0</v>
      </c>
      <c r="AA368" s="32">
        <f t="shared" si="419"/>
        <v>0.31</v>
      </c>
      <c r="AB368" s="27">
        <f t="shared" si="420"/>
        <v>5.828</v>
      </c>
      <c r="AC368" s="27">
        <v>80</v>
      </c>
      <c r="AD368" s="33">
        <f t="shared" si="421"/>
        <v>70.7964601769912</v>
      </c>
      <c r="AE368" s="29">
        <f t="shared" si="426"/>
        <v>0.75</v>
      </c>
      <c r="AF368" s="30">
        <f t="shared" si="422"/>
        <v>0.285469597487868</v>
      </c>
      <c r="AG368" s="30">
        <f t="shared" si="423"/>
        <v>0.0030241935483871</v>
      </c>
      <c r="AH368" s="29">
        <v>6</v>
      </c>
      <c r="AI368" s="26">
        <f t="shared" si="424"/>
        <v>0.328597466103579</v>
      </c>
      <c r="AJ368" s="26"/>
      <c r="AK368" s="26"/>
      <c r="AL368" s="26"/>
      <c r="AM368" s="26"/>
      <c r="AN368" s="34"/>
      <c r="AO368" s="34"/>
      <c r="AP368" s="34"/>
      <c r="AQ368" s="34"/>
      <c r="AR368" s="34"/>
      <c r="AS368" s="34"/>
      <c r="AT368" s="34" t="s">
        <v>156</v>
      </c>
      <c r="AU368" s="34" t="s">
        <v>156</v>
      </c>
      <c r="AV368" s="34" t="s">
        <v>156</v>
      </c>
      <c r="AW368" s="34" t="s">
        <v>156</v>
      </c>
      <c r="AX368" s="34" t="s">
        <v>156</v>
      </c>
      <c r="AY368" s="34" t="s">
        <v>156</v>
      </c>
      <c r="AZ368" s="34" t="s">
        <v>156</v>
      </c>
      <c r="BA368" s="34" t="s">
        <v>156</v>
      </c>
      <c r="BB368" s="34" t="s">
        <v>156</v>
      </c>
      <c r="BC368" s="34" t="s">
        <v>156</v>
      </c>
      <c r="BD368" s="34" t="s">
        <v>156</v>
      </c>
      <c r="BE368" s="34" t="s">
        <v>156</v>
      </c>
      <c r="BF368" s="34" t="s">
        <v>156</v>
      </c>
      <c r="BG368" s="34" t="s">
        <v>156</v>
      </c>
      <c r="BH368" s="34" t="s">
        <v>156</v>
      </c>
      <c r="BI368" s="34" t="s">
        <v>156</v>
      </c>
      <c r="BJ368" s="34" t="s">
        <v>156</v>
      </c>
      <c r="BK368" s="34" t="s">
        <v>156</v>
      </c>
      <c r="BL368" s="34" t="s">
        <v>156</v>
      </c>
      <c r="BM368" s="34" t="s">
        <v>156</v>
      </c>
      <c r="BN368" s="34" t="s">
        <v>156</v>
      </c>
      <c r="BO368" s="34" t="s">
        <v>156</v>
      </c>
      <c r="BP368" s="34" t="s">
        <v>156</v>
      </c>
      <c r="BQ368" s="34" t="s">
        <v>156</v>
      </c>
      <c r="BR368" s="35"/>
      <c r="BS368" s="20" t="s">
        <v>157</v>
      </c>
    </row>
    <row r="369" ht="16.5" hidden="1" spans="1:71">
      <c r="A369" s="21" t="s">
        <v>45</v>
      </c>
      <c r="B369" s="21"/>
      <c r="C369" s="45"/>
      <c r="D369" s="59" t="s">
        <v>255</v>
      </c>
      <c r="E369" s="55">
        <v>31</v>
      </c>
      <c r="F369" s="24">
        <v>44.99</v>
      </c>
      <c r="G369" s="25">
        <f t="shared" si="406"/>
        <v>40.491</v>
      </c>
      <c r="H369" s="25">
        <f t="shared" si="407"/>
        <v>33.7425</v>
      </c>
      <c r="I369" s="36">
        <f t="shared" si="408"/>
        <v>4.25510914454277</v>
      </c>
      <c r="J369" s="26">
        <f t="shared" si="409"/>
        <v>0.137261585307831</v>
      </c>
      <c r="K369" s="27">
        <f t="shared" si="410"/>
        <v>37.4916666666667</v>
      </c>
      <c r="L369" s="28">
        <f t="shared" si="411"/>
        <v>0.173149588797511</v>
      </c>
      <c r="M369" s="25">
        <f t="shared" si="412"/>
        <v>6.49166666666667</v>
      </c>
      <c r="N369" s="27">
        <f t="shared" si="425"/>
        <v>76.7964601769912</v>
      </c>
      <c r="O369" s="27">
        <f t="shared" si="413"/>
        <v>0.508333333333333</v>
      </c>
      <c r="P369" s="21">
        <v>30</v>
      </c>
      <c r="Q369" s="29">
        <v>8</v>
      </c>
      <c r="R369" s="30">
        <f t="shared" si="414"/>
        <v>0.193548387096774</v>
      </c>
      <c r="S369" s="26">
        <f t="shared" si="415"/>
        <v>0.133362969548789</v>
      </c>
      <c r="T369" s="30">
        <f t="shared" si="416"/>
        <v>0.145129032258065</v>
      </c>
      <c r="U369" s="30">
        <v>0.01</v>
      </c>
      <c r="V369" s="30">
        <f t="shared" si="417"/>
        <v>0.309663145874964</v>
      </c>
      <c r="W369" s="30">
        <f t="shared" si="418"/>
        <v>0.0163978494623656</v>
      </c>
      <c r="X369" s="31">
        <v>0.188</v>
      </c>
      <c r="Y369" s="32">
        <v>6</v>
      </c>
      <c r="Z369" s="32">
        <f>F369*0.1</f>
        <v>4.499</v>
      </c>
      <c r="AA369" s="32">
        <f t="shared" si="419"/>
        <v>0.31</v>
      </c>
      <c r="AB369" s="27">
        <f t="shared" si="420"/>
        <v>5.828</v>
      </c>
      <c r="AC369" s="27">
        <v>80</v>
      </c>
      <c r="AD369" s="33">
        <f t="shared" si="421"/>
        <v>70.7964601769912</v>
      </c>
      <c r="AE369" s="29">
        <f t="shared" si="426"/>
        <v>0.75</v>
      </c>
      <c r="AF369" s="30">
        <f t="shared" si="422"/>
        <v>0.285469597487868</v>
      </c>
      <c r="AG369" s="30">
        <f t="shared" si="423"/>
        <v>0.0030241935483871</v>
      </c>
      <c r="AH369" s="29">
        <v>6</v>
      </c>
      <c r="AI369" s="26">
        <f t="shared" si="424"/>
        <v>0.253997184559532</v>
      </c>
      <c r="AJ369" s="26"/>
      <c r="AK369" s="26"/>
      <c r="AL369" s="26"/>
      <c r="AM369" s="26"/>
      <c r="AN369" s="34"/>
      <c r="AO369" s="34"/>
      <c r="AP369" s="34"/>
      <c r="AQ369" s="34"/>
      <c r="AR369" s="34"/>
      <c r="AS369" s="34"/>
      <c r="AT369" s="34" t="s">
        <v>156</v>
      </c>
      <c r="AU369" s="34" t="s">
        <v>156</v>
      </c>
      <c r="AV369" s="34" t="s">
        <v>156</v>
      </c>
      <c r="AW369" s="34" t="s">
        <v>156</v>
      </c>
      <c r="AX369" s="34" t="s">
        <v>156</v>
      </c>
      <c r="AY369" s="34" t="s">
        <v>156</v>
      </c>
      <c r="AZ369" s="34" t="s">
        <v>156</v>
      </c>
      <c r="BA369" s="34" t="s">
        <v>156</v>
      </c>
      <c r="BB369" s="34" t="s">
        <v>156</v>
      </c>
      <c r="BC369" s="34" t="s">
        <v>156</v>
      </c>
      <c r="BD369" s="34" t="s">
        <v>156</v>
      </c>
      <c r="BE369" s="34" t="s">
        <v>156</v>
      </c>
      <c r="BF369" s="34" t="s">
        <v>156</v>
      </c>
      <c r="BG369" s="34" t="s">
        <v>156</v>
      </c>
      <c r="BH369" s="34" t="s">
        <v>156</v>
      </c>
      <c r="BI369" s="34" t="s">
        <v>156</v>
      </c>
      <c r="BJ369" s="34" t="s">
        <v>156</v>
      </c>
      <c r="BK369" s="34" t="s">
        <v>156</v>
      </c>
      <c r="BL369" s="34" t="s">
        <v>156</v>
      </c>
      <c r="BM369" s="34" t="s">
        <v>156</v>
      </c>
      <c r="BN369" s="34" t="s">
        <v>156</v>
      </c>
      <c r="BO369" s="34" t="s">
        <v>156</v>
      </c>
      <c r="BP369" s="34" t="s">
        <v>156</v>
      </c>
      <c r="BQ369" s="34" t="s">
        <v>156</v>
      </c>
      <c r="BR369" s="35"/>
      <c r="BS369" s="20" t="s">
        <v>157</v>
      </c>
    </row>
    <row r="370" ht="16.5" hidden="1" spans="1:71">
      <c r="A370" s="21" t="s">
        <v>45</v>
      </c>
      <c r="B370" s="21"/>
      <c r="C370" s="45"/>
      <c r="D370" s="59" t="s">
        <v>256</v>
      </c>
      <c r="E370" s="55">
        <v>31</v>
      </c>
      <c r="F370" s="24">
        <v>44.99</v>
      </c>
      <c r="G370" s="25">
        <f t="shared" si="406"/>
        <v>38.2415</v>
      </c>
      <c r="H370" s="25">
        <f t="shared" si="407"/>
        <v>31.8679166666667</v>
      </c>
      <c r="I370" s="25">
        <f t="shared" si="408"/>
        <v>2.00560914454277</v>
      </c>
      <c r="J370" s="26">
        <f t="shared" si="409"/>
        <v>0.0646970691787991</v>
      </c>
      <c r="K370" s="27">
        <f t="shared" si="410"/>
        <v>37.4916666666667</v>
      </c>
      <c r="L370" s="28">
        <f t="shared" si="411"/>
        <v>0.173149588797511</v>
      </c>
      <c r="M370" s="25">
        <f t="shared" si="412"/>
        <v>6.49166666666667</v>
      </c>
      <c r="N370" s="27">
        <f t="shared" si="425"/>
        <v>76.7964601769912</v>
      </c>
      <c r="O370" s="27">
        <f t="shared" si="413"/>
        <v>0.508333333333333</v>
      </c>
      <c r="P370" s="21">
        <v>30</v>
      </c>
      <c r="Q370" s="29">
        <v>8</v>
      </c>
      <c r="R370" s="30">
        <f t="shared" si="414"/>
        <v>0.193548387096774</v>
      </c>
      <c r="S370" s="26">
        <f t="shared" si="415"/>
        <v>0.133362969548789</v>
      </c>
      <c r="T370" s="30">
        <f t="shared" si="416"/>
        <v>0.217693548387097</v>
      </c>
      <c r="U370" s="30">
        <v>0.01</v>
      </c>
      <c r="V370" s="30">
        <f t="shared" si="417"/>
        <v>0.309663145874964</v>
      </c>
      <c r="W370" s="30">
        <f t="shared" si="418"/>
        <v>0.0163978494623656</v>
      </c>
      <c r="X370" s="31">
        <v>0.188</v>
      </c>
      <c r="Y370" s="32">
        <v>6</v>
      </c>
      <c r="Z370" s="32">
        <f>F370*0.15</f>
        <v>6.7485</v>
      </c>
      <c r="AA370" s="32">
        <f t="shared" si="419"/>
        <v>0.31</v>
      </c>
      <c r="AB370" s="27">
        <f t="shared" si="420"/>
        <v>5.828</v>
      </c>
      <c r="AC370" s="27">
        <v>80</v>
      </c>
      <c r="AD370" s="33">
        <f t="shared" si="421"/>
        <v>70.7964601769912</v>
      </c>
      <c r="AE370" s="29">
        <f t="shared" si="426"/>
        <v>0.75</v>
      </c>
      <c r="AF370" s="30">
        <f t="shared" si="422"/>
        <v>0.285469597487868</v>
      </c>
      <c r="AG370" s="30">
        <f t="shared" si="423"/>
        <v>0.0030241935483871</v>
      </c>
      <c r="AH370" s="29">
        <v>6</v>
      </c>
      <c r="AI370" s="26">
        <f t="shared" si="424"/>
        <v>0.21011466600421</v>
      </c>
      <c r="AJ370" s="26"/>
      <c r="AK370" s="26"/>
      <c r="AL370" s="26"/>
      <c r="AM370" s="26"/>
      <c r="AN370" s="34"/>
      <c r="AO370" s="34"/>
      <c r="AP370" s="34"/>
      <c r="AQ370" s="34"/>
      <c r="AR370" s="34"/>
      <c r="AS370" s="34"/>
      <c r="AT370" s="34" t="s">
        <v>156</v>
      </c>
      <c r="AU370" s="34" t="s">
        <v>156</v>
      </c>
      <c r="AV370" s="34" t="s">
        <v>156</v>
      </c>
      <c r="AW370" s="34" t="s">
        <v>156</v>
      </c>
      <c r="AX370" s="34" t="s">
        <v>156</v>
      </c>
      <c r="AY370" s="34" t="s">
        <v>156</v>
      </c>
      <c r="AZ370" s="34" t="s">
        <v>156</v>
      </c>
      <c r="BA370" s="34" t="s">
        <v>156</v>
      </c>
      <c r="BB370" s="34" t="s">
        <v>156</v>
      </c>
      <c r="BC370" s="34" t="s">
        <v>156</v>
      </c>
      <c r="BD370" s="34" t="s">
        <v>156</v>
      </c>
      <c r="BE370" s="34" t="s">
        <v>156</v>
      </c>
      <c r="BF370" s="34" t="s">
        <v>156</v>
      </c>
      <c r="BG370" s="34" t="s">
        <v>156</v>
      </c>
      <c r="BH370" s="34" t="s">
        <v>156</v>
      </c>
      <c r="BI370" s="34" t="s">
        <v>156</v>
      </c>
      <c r="BJ370" s="34" t="s">
        <v>156</v>
      </c>
      <c r="BK370" s="34" t="s">
        <v>156</v>
      </c>
      <c r="BL370" s="34" t="s">
        <v>156</v>
      </c>
      <c r="BM370" s="34" t="s">
        <v>156</v>
      </c>
      <c r="BN370" s="34" t="s">
        <v>156</v>
      </c>
      <c r="BO370" s="34" t="s">
        <v>156</v>
      </c>
      <c r="BP370" s="34" t="s">
        <v>156</v>
      </c>
      <c r="BQ370" s="34" t="s">
        <v>156</v>
      </c>
      <c r="BR370" s="35"/>
      <c r="BS370" s="20" t="s">
        <v>157</v>
      </c>
    </row>
    <row r="371" ht="16.5" hidden="1" spans="1:71">
      <c r="A371" s="21" t="s">
        <v>48</v>
      </c>
      <c r="B371" s="21"/>
      <c r="C371" s="45"/>
      <c r="D371" s="59" t="s">
        <v>254</v>
      </c>
      <c r="E371" s="55">
        <v>31</v>
      </c>
      <c r="F371" s="24">
        <v>44.99</v>
      </c>
      <c r="G371" s="25">
        <f t="shared" si="406"/>
        <v>44.99</v>
      </c>
      <c r="H371" s="25">
        <f t="shared" si="407"/>
        <v>37.4916666666667</v>
      </c>
      <c r="I371" s="25">
        <f t="shared" si="408"/>
        <v>8.62077581120944</v>
      </c>
      <c r="J371" s="26">
        <f t="shared" si="409"/>
        <v>0.278089542297079</v>
      </c>
      <c r="K371" s="27">
        <f t="shared" si="410"/>
        <v>37.4916666666667</v>
      </c>
      <c r="L371" s="28">
        <f t="shared" si="411"/>
        <v>0.173149588797511</v>
      </c>
      <c r="M371" s="25">
        <f t="shared" si="412"/>
        <v>6.49166666666667</v>
      </c>
      <c r="N371" s="27">
        <f t="shared" si="425"/>
        <v>76.7964601769912</v>
      </c>
      <c r="O371" s="27">
        <f t="shared" si="413"/>
        <v>0.641666666666667</v>
      </c>
      <c r="P371" s="21">
        <v>30</v>
      </c>
      <c r="Q371" s="29">
        <v>8</v>
      </c>
      <c r="R371" s="30">
        <f t="shared" si="414"/>
        <v>0.193548387096774</v>
      </c>
      <c r="S371" s="26">
        <f t="shared" si="415"/>
        <v>0.133362969548789</v>
      </c>
      <c r="T371" s="30">
        <f t="shared" si="416"/>
        <v>0</v>
      </c>
      <c r="U371" s="30">
        <v>0.01</v>
      </c>
      <c r="V371" s="30">
        <f t="shared" si="417"/>
        <v>0.309663145874964</v>
      </c>
      <c r="W371" s="30">
        <f t="shared" si="418"/>
        <v>0.0206989247311828</v>
      </c>
      <c r="X371" s="31">
        <v>0.188</v>
      </c>
      <c r="Y371" s="32">
        <v>6</v>
      </c>
      <c r="Z371" s="32">
        <v>0</v>
      </c>
      <c r="AA371" s="32">
        <f t="shared" si="419"/>
        <v>0.31</v>
      </c>
      <c r="AB371" s="27">
        <f t="shared" si="420"/>
        <v>5.828</v>
      </c>
      <c r="AC371" s="27">
        <v>80</v>
      </c>
      <c r="AD371" s="33">
        <f t="shared" si="421"/>
        <v>70.7964601769912</v>
      </c>
      <c r="AE371" s="29">
        <f t="shared" si="426"/>
        <v>0.75</v>
      </c>
      <c r="AF371" s="30">
        <f t="shared" si="422"/>
        <v>0.285469597487868</v>
      </c>
      <c r="AG371" s="30">
        <f t="shared" si="423"/>
        <v>0.0030241935483871</v>
      </c>
      <c r="AH371" s="29">
        <v>6</v>
      </c>
      <c r="AI371" s="30">
        <f t="shared" si="424"/>
        <v>0.328597466103579</v>
      </c>
      <c r="AJ371" s="30"/>
      <c r="AK371" s="30"/>
      <c r="AL371" s="30"/>
      <c r="AM371" s="30"/>
      <c r="AN371" s="34"/>
      <c r="AO371" s="34"/>
      <c r="AP371" s="34"/>
      <c r="AQ371" s="34"/>
      <c r="AR371" s="34"/>
      <c r="AS371" s="34"/>
      <c r="AT371" s="34" t="s">
        <v>156</v>
      </c>
      <c r="AU371" s="34" t="s">
        <v>156</v>
      </c>
      <c r="AV371" s="34" t="s">
        <v>156</v>
      </c>
      <c r="AW371" s="34" t="s">
        <v>156</v>
      </c>
      <c r="AX371" s="34" t="s">
        <v>156</v>
      </c>
      <c r="AY371" s="34" t="s">
        <v>156</v>
      </c>
      <c r="AZ371" s="34" t="s">
        <v>156</v>
      </c>
      <c r="BA371" s="34" t="s">
        <v>156</v>
      </c>
      <c r="BB371" s="34" t="s">
        <v>156</v>
      </c>
      <c r="BC371" s="34" t="s">
        <v>156</v>
      </c>
      <c r="BD371" s="34" t="s">
        <v>156</v>
      </c>
      <c r="BE371" s="34" t="s">
        <v>156</v>
      </c>
      <c r="BF371" s="34" t="s">
        <v>156</v>
      </c>
      <c r="BG371" s="34" t="s">
        <v>156</v>
      </c>
      <c r="BH371" s="34" t="s">
        <v>156</v>
      </c>
      <c r="BI371" s="34" t="s">
        <v>156</v>
      </c>
      <c r="BJ371" s="34" t="s">
        <v>156</v>
      </c>
      <c r="BK371" s="34" t="s">
        <v>156</v>
      </c>
      <c r="BL371" s="34" t="s">
        <v>156</v>
      </c>
      <c r="BM371" s="34" t="s">
        <v>156</v>
      </c>
      <c r="BN371" s="34" t="s">
        <v>156</v>
      </c>
      <c r="BO371" s="34" t="s">
        <v>156</v>
      </c>
      <c r="BP371" s="34" t="s">
        <v>156</v>
      </c>
      <c r="BQ371" s="34" t="s">
        <v>156</v>
      </c>
      <c r="BR371" s="35"/>
      <c r="BS371" s="20" t="s">
        <v>157</v>
      </c>
    </row>
    <row r="372" ht="16.5" hidden="1" spans="1:71">
      <c r="A372" s="21" t="s">
        <v>48</v>
      </c>
      <c r="B372" s="21"/>
      <c r="C372" s="45"/>
      <c r="D372" s="59" t="s">
        <v>255</v>
      </c>
      <c r="E372" s="55">
        <v>31</v>
      </c>
      <c r="F372" s="24">
        <v>44.99</v>
      </c>
      <c r="G372" s="25">
        <f t="shared" si="406"/>
        <v>40.491</v>
      </c>
      <c r="H372" s="25">
        <f t="shared" si="407"/>
        <v>33.7425</v>
      </c>
      <c r="I372" s="36">
        <f t="shared" si="408"/>
        <v>4.12177581120944</v>
      </c>
      <c r="J372" s="26">
        <f t="shared" si="409"/>
        <v>0.132960510039014</v>
      </c>
      <c r="K372" s="27">
        <f t="shared" si="410"/>
        <v>37.4916666666667</v>
      </c>
      <c r="L372" s="28">
        <f t="shared" si="411"/>
        <v>0.173149588797511</v>
      </c>
      <c r="M372" s="25">
        <f t="shared" si="412"/>
        <v>6.49166666666667</v>
      </c>
      <c r="N372" s="27">
        <f t="shared" si="425"/>
        <v>76.7964601769912</v>
      </c>
      <c r="O372" s="27">
        <f t="shared" si="413"/>
        <v>0.641666666666667</v>
      </c>
      <c r="P372" s="21">
        <v>30</v>
      </c>
      <c r="Q372" s="29">
        <v>8</v>
      </c>
      <c r="R372" s="30">
        <f t="shared" si="414"/>
        <v>0.193548387096774</v>
      </c>
      <c r="S372" s="26">
        <f t="shared" si="415"/>
        <v>0.133362969548789</v>
      </c>
      <c r="T372" s="30">
        <f t="shared" si="416"/>
        <v>0.145129032258065</v>
      </c>
      <c r="U372" s="30">
        <v>0.01</v>
      </c>
      <c r="V372" s="30">
        <f t="shared" si="417"/>
        <v>0.309663145874964</v>
      </c>
      <c r="W372" s="30">
        <f t="shared" si="418"/>
        <v>0.0206989247311828</v>
      </c>
      <c r="X372" s="31">
        <v>0.188</v>
      </c>
      <c r="Y372" s="32">
        <v>6</v>
      </c>
      <c r="Z372" s="32">
        <f>F372*0.1</f>
        <v>4.499</v>
      </c>
      <c r="AA372" s="32">
        <f t="shared" si="419"/>
        <v>0.31</v>
      </c>
      <c r="AB372" s="27">
        <f t="shared" si="420"/>
        <v>5.828</v>
      </c>
      <c r="AC372" s="27">
        <v>80</v>
      </c>
      <c r="AD372" s="33">
        <f t="shared" si="421"/>
        <v>70.7964601769912</v>
      </c>
      <c r="AE372" s="29">
        <f t="shared" si="426"/>
        <v>0.75</v>
      </c>
      <c r="AF372" s="30">
        <f t="shared" si="422"/>
        <v>0.285469597487868</v>
      </c>
      <c r="AG372" s="30">
        <f t="shared" si="423"/>
        <v>0.0030241935483871</v>
      </c>
      <c r="AH372" s="29">
        <v>6</v>
      </c>
      <c r="AI372" s="30">
        <f t="shared" si="424"/>
        <v>0.253997184559532</v>
      </c>
      <c r="AJ372" s="30"/>
      <c r="AK372" s="30"/>
      <c r="AL372" s="30"/>
      <c r="AM372" s="30"/>
      <c r="AN372" s="34"/>
      <c r="AO372" s="34"/>
      <c r="AP372" s="34"/>
      <c r="AQ372" s="34"/>
      <c r="AR372" s="34"/>
      <c r="AS372" s="34"/>
      <c r="AT372" s="34" t="s">
        <v>156</v>
      </c>
      <c r="AU372" s="34" t="s">
        <v>156</v>
      </c>
      <c r="AV372" s="34" t="s">
        <v>156</v>
      </c>
      <c r="AW372" s="34" t="s">
        <v>156</v>
      </c>
      <c r="AX372" s="34" t="s">
        <v>156</v>
      </c>
      <c r="AY372" s="34" t="s">
        <v>156</v>
      </c>
      <c r="AZ372" s="34" t="s">
        <v>156</v>
      </c>
      <c r="BA372" s="34" t="s">
        <v>156</v>
      </c>
      <c r="BB372" s="34" t="s">
        <v>156</v>
      </c>
      <c r="BC372" s="34" t="s">
        <v>156</v>
      </c>
      <c r="BD372" s="34" t="s">
        <v>156</v>
      </c>
      <c r="BE372" s="34" t="s">
        <v>156</v>
      </c>
      <c r="BF372" s="34" t="s">
        <v>156</v>
      </c>
      <c r="BG372" s="34" t="s">
        <v>156</v>
      </c>
      <c r="BH372" s="34" t="s">
        <v>156</v>
      </c>
      <c r="BI372" s="34" t="s">
        <v>156</v>
      </c>
      <c r="BJ372" s="34" t="s">
        <v>156</v>
      </c>
      <c r="BK372" s="34" t="s">
        <v>156</v>
      </c>
      <c r="BL372" s="34" t="s">
        <v>156</v>
      </c>
      <c r="BM372" s="34" t="s">
        <v>156</v>
      </c>
      <c r="BN372" s="34" t="s">
        <v>156</v>
      </c>
      <c r="BO372" s="34" t="s">
        <v>156</v>
      </c>
      <c r="BP372" s="34" t="s">
        <v>156</v>
      </c>
      <c r="BQ372" s="34" t="s">
        <v>156</v>
      </c>
      <c r="BR372" s="35"/>
      <c r="BS372" s="20" t="s">
        <v>157</v>
      </c>
    </row>
    <row r="373" ht="16.5" hidden="1" spans="1:71">
      <c r="A373" s="21" t="s">
        <v>48</v>
      </c>
      <c r="B373" s="21"/>
      <c r="C373" s="45"/>
      <c r="D373" s="59" t="s">
        <v>256</v>
      </c>
      <c r="E373" s="55">
        <v>31</v>
      </c>
      <c r="F373" s="24">
        <v>44.99</v>
      </c>
      <c r="G373" s="25">
        <f t="shared" si="406"/>
        <v>38.2415</v>
      </c>
      <c r="H373" s="25">
        <f t="shared" si="407"/>
        <v>31.8679166666667</v>
      </c>
      <c r="I373" s="25">
        <f t="shared" si="408"/>
        <v>1.87227581120944</v>
      </c>
      <c r="J373" s="26">
        <f t="shared" si="409"/>
        <v>0.0603959939099819</v>
      </c>
      <c r="K373" s="27">
        <f t="shared" si="410"/>
        <v>37.4916666666667</v>
      </c>
      <c r="L373" s="28">
        <f t="shared" si="411"/>
        <v>0.173149588797511</v>
      </c>
      <c r="M373" s="25">
        <f t="shared" si="412"/>
        <v>6.49166666666667</v>
      </c>
      <c r="N373" s="27">
        <f t="shared" si="425"/>
        <v>76.7964601769912</v>
      </c>
      <c r="O373" s="27">
        <f t="shared" si="413"/>
        <v>0.641666666666667</v>
      </c>
      <c r="P373" s="21">
        <v>30</v>
      </c>
      <c r="Q373" s="29">
        <v>8</v>
      </c>
      <c r="R373" s="30">
        <f t="shared" si="414"/>
        <v>0.193548387096774</v>
      </c>
      <c r="S373" s="26">
        <f t="shared" si="415"/>
        <v>0.133362969548789</v>
      </c>
      <c r="T373" s="30">
        <f t="shared" si="416"/>
        <v>0.217693548387097</v>
      </c>
      <c r="U373" s="30">
        <v>0.01</v>
      </c>
      <c r="V373" s="30">
        <f t="shared" si="417"/>
        <v>0.309663145874964</v>
      </c>
      <c r="W373" s="30">
        <f t="shared" si="418"/>
        <v>0.0206989247311828</v>
      </c>
      <c r="X373" s="31">
        <v>0.188</v>
      </c>
      <c r="Y373" s="32">
        <v>6</v>
      </c>
      <c r="Z373" s="32">
        <f>F373*0.15</f>
        <v>6.7485</v>
      </c>
      <c r="AA373" s="32">
        <f t="shared" si="419"/>
        <v>0.31</v>
      </c>
      <c r="AB373" s="27">
        <f t="shared" si="420"/>
        <v>5.828</v>
      </c>
      <c r="AC373" s="27">
        <v>80</v>
      </c>
      <c r="AD373" s="33">
        <f t="shared" si="421"/>
        <v>70.7964601769912</v>
      </c>
      <c r="AE373" s="29">
        <f t="shared" si="426"/>
        <v>0.75</v>
      </c>
      <c r="AF373" s="30">
        <f t="shared" si="422"/>
        <v>0.285469597487868</v>
      </c>
      <c r="AG373" s="30">
        <f t="shared" si="423"/>
        <v>0.0030241935483871</v>
      </c>
      <c r="AH373" s="29">
        <v>6</v>
      </c>
      <c r="AI373" s="30">
        <f t="shared" si="424"/>
        <v>0.21011466600421</v>
      </c>
      <c r="AJ373" s="30"/>
      <c r="AK373" s="30"/>
      <c r="AL373" s="30"/>
      <c r="AM373" s="30"/>
      <c r="AN373" s="34"/>
      <c r="AO373" s="34"/>
      <c r="AP373" s="34"/>
      <c r="AQ373" s="34"/>
      <c r="AR373" s="34"/>
      <c r="AS373" s="34"/>
      <c r="AT373" s="34" t="s">
        <v>156</v>
      </c>
      <c r="AU373" s="34" t="s">
        <v>156</v>
      </c>
      <c r="AV373" s="34" t="s">
        <v>156</v>
      </c>
      <c r="AW373" s="34" t="s">
        <v>156</v>
      </c>
      <c r="AX373" s="34" t="s">
        <v>156</v>
      </c>
      <c r="AY373" s="34" t="s">
        <v>156</v>
      </c>
      <c r="AZ373" s="34" t="s">
        <v>156</v>
      </c>
      <c r="BA373" s="34" t="s">
        <v>156</v>
      </c>
      <c r="BB373" s="34" t="s">
        <v>156</v>
      </c>
      <c r="BC373" s="34" t="s">
        <v>156</v>
      </c>
      <c r="BD373" s="34" t="s">
        <v>156</v>
      </c>
      <c r="BE373" s="34" t="s">
        <v>156</v>
      </c>
      <c r="BF373" s="34" t="s">
        <v>156</v>
      </c>
      <c r="BG373" s="34" t="s">
        <v>156</v>
      </c>
      <c r="BH373" s="34" t="s">
        <v>156</v>
      </c>
      <c r="BI373" s="34" t="s">
        <v>156</v>
      </c>
      <c r="BJ373" s="34" t="s">
        <v>156</v>
      </c>
      <c r="BK373" s="34" t="s">
        <v>156</v>
      </c>
      <c r="BL373" s="34" t="s">
        <v>156</v>
      </c>
      <c r="BM373" s="34" t="s">
        <v>156</v>
      </c>
      <c r="BN373" s="34" t="s">
        <v>156</v>
      </c>
      <c r="BO373" s="34" t="s">
        <v>156</v>
      </c>
      <c r="BP373" s="34" t="s">
        <v>156</v>
      </c>
      <c r="BQ373" s="34" t="s">
        <v>156</v>
      </c>
      <c r="BR373" s="35"/>
      <c r="BS373" s="20" t="s">
        <v>157</v>
      </c>
    </row>
    <row r="374" ht="16.5" hidden="1" spans="1:71">
      <c r="A374" s="21" t="s">
        <v>161</v>
      </c>
      <c r="B374" s="21"/>
      <c r="C374" s="45"/>
      <c r="D374" s="42" t="s">
        <v>257</v>
      </c>
      <c r="E374" s="55">
        <v>34.5</v>
      </c>
      <c r="F374" s="24">
        <v>49.99</v>
      </c>
      <c r="G374" s="25">
        <f t="shared" si="406"/>
        <v>49.99</v>
      </c>
      <c r="H374" s="25">
        <f t="shared" si="407"/>
        <v>41.6583333333333</v>
      </c>
      <c r="I374" s="25">
        <f t="shared" si="408"/>
        <v>11.5111091445428</v>
      </c>
      <c r="J374" s="26">
        <f t="shared" si="409"/>
        <v>0.333655337522979</v>
      </c>
      <c r="K374" s="27">
        <f t="shared" si="410"/>
        <v>41.6583333333333</v>
      </c>
      <c r="L374" s="28">
        <f t="shared" si="411"/>
        <v>0.171834366873375</v>
      </c>
      <c r="M374" s="25">
        <f t="shared" si="412"/>
        <v>7.15833333333334</v>
      </c>
      <c r="N374" s="27">
        <f t="shared" si="425"/>
        <v>76.7964601769912</v>
      </c>
      <c r="O374" s="27">
        <f t="shared" si="413"/>
        <v>0.558333333333333</v>
      </c>
      <c r="P374" s="21">
        <v>30</v>
      </c>
      <c r="Q374" s="29">
        <v>8</v>
      </c>
      <c r="R374" s="30">
        <f t="shared" si="414"/>
        <v>0.173913043478261</v>
      </c>
      <c r="S374" s="26">
        <f t="shared" si="415"/>
        <v>0.12002400480096</v>
      </c>
      <c r="T374" s="30">
        <f t="shared" si="416"/>
        <v>0</v>
      </c>
      <c r="U374" s="30">
        <v>0.01</v>
      </c>
      <c r="V374" s="30">
        <f t="shared" si="417"/>
        <v>0.278248044119533</v>
      </c>
      <c r="W374" s="30">
        <f t="shared" si="418"/>
        <v>0.0161835748792271</v>
      </c>
      <c r="X374" s="31">
        <v>0.188</v>
      </c>
      <c r="Y374" s="32">
        <v>6</v>
      </c>
      <c r="Z374" s="32">
        <f t="shared" ref="Z374:Z377" si="427">F374*0</f>
        <v>0</v>
      </c>
      <c r="AA374" s="32">
        <f t="shared" si="419"/>
        <v>0.345</v>
      </c>
      <c r="AB374" s="27">
        <f t="shared" si="420"/>
        <v>6.486</v>
      </c>
      <c r="AC374" s="27">
        <v>80</v>
      </c>
      <c r="AD374" s="33">
        <f t="shared" si="421"/>
        <v>70.7964601769912</v>
      </c>
      <c r="AE374" s="29">
        <f t="shared" si="426"/>
        <v>0.75</v>
      </c>
      <c r="AF374" s="30">
        <f t="shared" si="422"/>
        <v>0.256508913684751</v>
      </c>
      <c r="AG374" s="30">
        <f t="shared" si="423"/>
        <v>0.00271739130434783</v>
      </c>
      <c r="AH374" s="29">
        <v>6</v>
      </c>
      <c r="AI374" s="30">
        <f t="shared" si="424"/>
        <v>0.32752950590118</v>
      </c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 t="s">
        <v>156</v>
      </c>
      <c r="AU374" s="34" t="s">
        <v>156</v>
      </c>
      <c r="AV374" s="34" t="s">
        <v>156</v>
      </c>
      <c r="AW374" s="34" t="s">
        <v>156</v>
      </c>
      <c r="AX374" s="34" t="s">
        <v>156</v>
      </c>
      <c r="AY374" s="34" t="s">
        <v>156</v>
      </c>
      <c r="AZ374" s="34" t="s">
        <v>156</v>
      </c>
      <c r="BA374" s="34" t="s">
        <v>156</v>
      </c>
      <c r="BB374" s="34" t="s">
        <v>156</v>
      </c>
      <c r="BC374" s="34" t="s">
        <v>156</v>
      </c>
      <c r="BD374" s="34" t="s">
        <v>156</v>
      </c>
      <c r="BE374" s="34" t="s">
        <v>156</v>
      </c>
      <c r="BF374" s="34" t="s">
        <v>156</v>
      </c>
      <c r="BG374" s="34" t="s">
        <v>156</v>
      </c>
      <c r="BH374" s="34" t="s">
        <v>156</v>
      </c>
      <c r="BI374" s="34" t="s">
        <v>156</v>
      </c>
      <c r="BJ374" s="34" t="s">
        <v>156</v>
      </c>
      <c r="BK374" s="34" t="s">
        <v>156</v>
      </c>
      <c r="BL374" s="34" t="s">
        <v>156</v>
      </c>
      <c r="BM374" s="34" t="s">
        <v>156</v>
      </c>
      <c r="BN374" s="34" t="s">
        <v>156</v>
      </c>
      <c r="BO374" s="34" t="s">
        <v>156</v>
      </c>
      <c r="BP374" s="34" t="s">
        <v>156</v>
      </c>
      <c r="BQ374" s="34" t="s">
        <v>156</v>
      </c>
      <c r="BR374" s="44" t="e">
        <f>IF(E374&lt;#REF!,1,0)</f>
        <v>#REF!</v>
      </c>
      <c r="BS374" s="20" t="s">
        <v>157</v>
      </c>
    </row>
    <row r="375" ht="16.5" hidden="1" spans="1:71">
      <c r="A375" s="21" t="s">
        <v>163</v>
      </c>
      <c r="B375" s="21"/>
      <c r="C375" s="45"/>
      <c r="D375" s="42" t="s">
        <v>258</v>
      </c>
      <c r="E375" s="55">
        <v>34.5</v>
      </c>
      <c r="F375" s="24">
        <v>49.99</v>
      </c>
      <c r="G375" s="25">
        <f t="shared" si="406"/>
        <v>49.99</v>
      </c>
      <c r="H375" s="25">
        <f t="shared" si="407"/>
        <v>41.6583333333333</v>
      </c>
      <c r="I375" s="25">
        <f t="shared" si="408"/>
        <v>11.6011091445428</v>
      </c>
      <c r="J375" s="26">
        <f t="shared" si="409"/>
        <v>0.336264033175153</v>
      </c>
      <c r="K375" s="27">
        <f t="shared" si="410"/>
        <v>41.6583333333333</v>
      </c>
      <c r="L375" s="28">
        <f t="shared" si="411"/>
        <v>0.171834366873375</v>
      </c>
      <c r="M375" s="25">
        <f t="shared" si="412"/>
        <v>7.15833333333334</v>
      </c>
      <c r="N375" s="27">
        <f t="shared" si="425"/>
        <v>76.7964601769912</v>
      </c>
      <c r="O375" s="27">
        <f t="shared" si="413"/>
        <v>0.468333333333333</v>
      </c>
      <c r="P375" s="21">
        <v>30</v>
      </c>
      <c r="Q375" s="29">
        <v>8</v>
      </c>
      <c r="R375" s="30">
        <f t="shared" si="414"/>
        <v>0.173913043478261</v>
      </c>
      <c r="S375" s="26">
        <f t="shared" si="415"/>
        <v>0.12002400480096</v>
      </c>
      <c r="T375" s="30">
        <f t="shared" si="416"/>
        <v>0</v>
      </c>
      <c r="U375" s="30">
        <v>0.01</v>
      </c>
      <c r="V375" s="30">
        <f t="shared" si="417"/>
        <v>0.278248044119533</v>
      </c>
      <c r="W375" s="30">
        <f t="shared" si="418"/>
        <v>0.0135748792270531</v>
      </c>
      <c r="X375" s="31">
        <v>0.188</v>
      </c>
      <c r="Y375" s="32">
        <v>6</v>
      </c>
      <c r="Z375" s="32">
        <f t="shared" si="427"/>
        <v>0</v>
      </c>
      <c r="AA375" s="32">
        <f t="shared" si="419"/>
        <v>0.345</v>
      </c>
      <c r="AB375" s="27">
        <f t="shared" si="420"/>
        <v>6.486</v>
      </c>
      <c r="AC375" s="27">
        <v>80</v>
      </c>
      <c r="AD375" s="33">
        <f t="shared" si="421"/>
        <v>70.7964601769912</v>
      </c>
      <c r="AE375" s="29">
        <f t="shared" si="426"/>
        <v>0.75</v>
      </c>
      <c r="AF375" s="30">
        <f t="shared" si="422"/>
        <v>0.256508913684751</v>
      </c>
      <c r="AG375" s="30">
        <f t="shared" si="423"/>
        <v>0.00271739130434783</v>
      </c>
      <c r="AH375" s="29">
        <v>6</v>
      </c>
      <c r="AI375" s="30">
        <f t="shared" si="424"/>
        <v>0.32752950590118</v>
      </c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 t="s">
        <v>156</v>
      </c>
      <c r="AU375" s="34" t="s">
        <v>156</v>
      </c>
      <c r="AV375" s="34" t="s">
        <v>156</v>
      </c>
      <c r="AW375" s="34" t="s">
        <v>156</v>
      </c>
      <c r="AX375" s="34" t="s">
        <v>156</v>
      </c>
      <c r="AY375" s="34" t="s">
        <v>156</v>
      </c>
      <c r="AZ375" s="34" t="s">
        <v>156</v>
      </c>
      <c r="BA375" s="34" t="s">
        <v>156</v>
      </c>
      <c r="BB375" s="34" t="s">
        <v>156</v>
      </c>
      <c r="BC375" s="34" t="s">
        <v>156</v>
      </c>
      <c r="BD375" s="34" t="s">
        <v>156</v>
      </c>
      <c r="BE375" s="34" t="s">
        <v>156</v>
      </c>
      <c r="BF375" s="34" t="s">
        <v>156</v>
      </c>
      <c r="BG375" s="34" t="s">
        <v>156</v>
      </c>
      <c r="BH375" s="34" t="s">
        <v>156</v>
      </c>
      <c r="BI375" s="34" t="s">
        <v>156</v>
      </c>
      <c r="BJ375" s="34" t="s">
        <v>156</v>
      </c>
      <c r="BK375" s="34" t="s">
        <v>156</v>
      </c>
      <c r="BL375" s="34" t="s">
        <v>156</v>
      </c>
      <c r="BM375" s="34" t="s">
        <v>156</v>
      </c>
      <c r="BN375" s="34" t="s">
        <v>156</v>
      </c>
      <c r="BO375" s="34" t="s">
        <v>156</v>
      </c>
      <c r="BP375" s="34" t="s">
        <v>156</v>
      </c>
      <c r="BQ375" s="34" t="s">
        <v>156</v>
      </c>
      <c r="BR375" s="44" t="e">
        <f>IF(E375&lt;#REF!,1,0)</f>
        <v>#REF!</v>
      </c>
      <c r="BS375" s="20" t="s">
        <v>157</v>
      </c>
    </row>
    <row r="376" ht="16.5" hidden="1" spans="1:71">
      <c r="A376" s="21" t="s">
        <v>165</v>
      </c>
      <c r="B376" s="21"/>
      <c r="C376" s="45"/>
      <c r="D376" s="42" t="s">
        <v>259</v>
      </c>
      <c r="E376" s="55">
        <v>34.5</v>
      </c>
      <c r="F376" s="24">
        <v>49.99</v>
      </c>
      <c r="G376" s="25">
        <f t="shared" si="406"/>
        <v>49.99</v>
      </c>
      <c r="H376" s="25">
        <f t="shared" si="407"/>
        <v>41.6583333333333</v>
      </c>
      <c r="I376" s="25">
        <f t="shared" si="408"/>
        <v>11.4611091445428</v>
      </c>
      <c r="J376" s="26">
        <f t="shared" si="409"/>
        <v>0.33220606216066</v>
      </c>
      <c r="K376" s="27">
        <f t="shared" si="410"/>
        <v>41.6583333333333</v>
      </c>
      <c r="L376" s="28">
        <f t="shared" si="411"/>
        <v>0.171834366873375</v>
      </c>
      <c r="M376" s="25">
        <f t="shared" si="412"/>
        <v>7.15833333333334</v>
      </c>
      <c r="N376" s="27">
        <f t="shared" si="425"/>
        <v>76.7964601769912</v>
      </c>
      <c r="O376" s="27">
        <f t="shared" si="413"/>
        <v>0.608333333333333</v>
      </c>
      <c r="P376" s="21">
        <v>30</v>
      </c>
      <c r="Q376" s="29">
        <v>8</v>
      </c>
      <c r="R376" s="30">
        <f t="shared" si="414"/>
        <v>0.173913043478261</v>
      </c>
      <c r="S376" s="26">
        <f t="shared" si="415"/>
        <v>0.12002400480096</v>
      </c>
      <c r="T376" s="30">
        <f t="shared" si="416"/>
        <v>0</v>
      </c>
      <c r="U376" s="30">
        <v>0.01</v>
      </c>
      <c r="V376" s="30">
        <f t="shared" si="417"/>
        <v>0.278248044119533</v>
      </c>
      <c r="W376" s="30">
        <f t="shared" si="418"/>
        <v>0.0176328502415459</v>
      </c>
      <c r="X376" s="31">
        <v>0.188</v>
      </c>
      <c r="Y376" s="32">
        <v>6</v>
      </c>
      <c r="Z376" s="32">
        <f t="shared" si="427"/>
        <v>0</v>
      </c>
      <c r="AA376" s="32">
        <f t="shared" si="419"/>
        <v>0.345</v>
      </c>
      <c r="AB376" s="27">
        <f t="shared" si="420"/>
        <v>6.486</v>
      </c>
      <c r="AC376" s="27">
        <v>80</v>
      </c>
      <c r="AD376" s="33">
        <f t="shared" si="421"/>
        <v>70.7964601769912</v>
      </c>
      <c r="AE376" s="29">
        <f t="shared" si="426"/>
        <v>0.75</v>
      </c>
      <c r="AF376" s="30">
        <f t="shared" si="422"/>
        <v>0.256508913684751</v>
      </c>
      <c r="AG376" s="30">
        <f t="shared" si="423"/>
        <v>0.00271739130434783</v>
      </c>
      <c r="AH376" s="29">
        <v>6</v>
      </c>
      <c r="AI376" s="30">
        <f t="shared" si="424"/>
        <v>0.32752950590118</v>
      </c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 t="s">
        <v>156</v>
      </c>
      <c r="AU376" s="34" t="s">
        <v>156</v>
      </c>
      <c r="AV376" s="34" t="s">
        <v>156</v>
      </c>
      <c r="AW376" s="34" t="s">
        <v>156</v>
      </c>
      <c r="AX376" s="34" t="s">
        <v>156</v>
      </c>
      <c r="AY376" s="34" t="s">
        <v>156</v>
      </c>
      <c r="AZ376" s="34" t="s">
        <v>156</v>
      </c>
      <c r="BA376" s="34" t="s">
        <v>156</v>
      </c>
      <c r="BB376" s="34" t="s">
        <v>156</v>
      </c>
      <c r="BC376" s="34" t="s">
        <v>156</v>
      </c>
      <c r="BD376" s="34" t="s">
        <v>156</v>
      </c>
      <c r="BE376" s="34" t="s">
        <v>156</v>
      </c>
      <c r="BF376" s="34" t="s">
        <v>156</v>
      </c>
      <c r="BG376" s="34" t="s">
        <v>156</v>
      </c>
      <c r="BH376" s="34" t="s">
        <v>156</v>
      </c>
      <c r="BI376" s="34" t="s">
        <v>156</v>
      </c>
      <c r="BJ376" s="34" t="s">
        <v>156</v>
      </c>
      <c r="BK376" s="34" t="s">
        <v>156</v>
      </c>
      <c r="BL376" s="34" t="s">
        <v>156</v>
      </c>
      <c r="BM376" s="34" t="s">
        <v>156</v>
      </c>
      <c r="BN376" s="34" t="s">
        <v>156</v>
      </c>
      <c r="BO376" s="34" t="s">
        <v>156</v>
      </c>
      <c r="BP376" s="34" t="s">
        <v>156</v>
      </c>
      <c r="BQ376" s="34" t="s">
        <v>156</v>
      </c>
      <c r="BR376" s="44" t="e">
        <f>IF(E376&lt;#REF!,1,0)</f>
        <v>#REF!</v>
      </c>
      <c r="BS376" s="20" t="s">
        <v>157</v>
      </c>
    </row>
    <row r="377" ht="16.5" hidden="1" spans="1:71">
      <c r="A377" s="21" t="s">
        <v>167</v>
      </c>
      <c r="B377" s="21"/>
      <c r="C377" s="45"/>
      <c r="D377" s="42" t="s">
        <v>260</v>
      </c>
      <c r="E377" s="55">
        <v>34.5</v>
      </c>
      <c r="F377" s="24">
        <v>49.99</v>
      </c>
      <c r="G377" s="25">
        <f t="shared" si="406"/>
        <v>49.99</v>
      </c>
      <c r="H377" s="25">
        <f t="shared" si="407"/>
        <v>41.6583333333333</v>
      </c>
      <c r="I377" s="25">
        <f t="shared" si="408"/>
        <v>11.5944424778761</v>
      </c>
      <c r="J377" s="26">
        <f t="shared" si="409"/>
        <v>0.336070796460177</v>
      </c>
      <c r="K377" s="27">
        <f t="shared" si="410"/>
        <v>41.6583333333333</v>
      </c>
      <c r="L377" s="28">
        <f t="shared" si="411"/>
        <v>0.171834366873375</v>
      </c>
      <c r="M377" s="25">
        <f t="shared" si="412"/>
        <v>7.15833333333334</v>
      </c>
      <c r="N377" s="27">
        <f t="shared" si="425"/>
        <v>76.7964601769912</v>
      </c>
      <c r="O377" s="27">
        <f t="shared" si="413"/>
        <v>0.475</v>
      </c>
      <c r="P377" s="21">
        <v>30</v>
      </c>
      <c r="Q377" s="29">
        <v>8</v>
      </c>
      <c r="R377" s="30">
        <f t="shared" si="414"/>
        <v>0.173913043478261</v>
      </c>
      <c r="S377" s="26">
        <f t="shared" si="415"/>
        <v>0.12002400480096</v>
      </c>
      <c r="T377" s="30">
        <f t="shared" si="416"/>
        <v>0</v>
      </c>
      <c r="U377" s="30">
        <v>0.01</v>
      </c>
      <c r="V377" s="30">
        <f t="shared" si="417"/>
        <v>0.278248044119533</v>
      </c>
      <c r="W377" s="30">
        <f t="shared" si="418"/>
        <v>0.013768115942029</v>
      </c>
      <c r="X377" s="31">
        <v>0.188</v>
      </c>
      <c r="Y377" s="32">
        <v>6</v>
      </c>
      <c r="Z377" s="32">
        <f t="shared" si="427"/>
        <v>0</v>
      </c>
      <c r="AA377" s="32">
        <f t="shared" si="419"/>
        <v>0.345</v>
      </c>
      <c r="AB377" s="27">
        <f t="shared" si="420"/>
        <v>6.486</v>
      </c>
      <c r="AC377" s="27">
        <v>80</v>
      </c>
      <c r="AD377" s="33">
        <f t="shared" si="421"/>
        <v>70.7964601769912</v>
      </c>
      <c r="AE377" s="29">
        <f t="shared" si="426"/>
        <v>0.75</v>
      </c>
      <c r="AF377" s="30">
        <f t="shared" si="422"/>
        <v>0.256508913684751</v>
      </c>
      <c r="AG377" s="30">
        <f t="shared" si="423"/>
        <v>0.00271739130434783</v>
      </c>
      <c r="AH377" s="29">
        <v>6</v>
      </c>
      <c r="AI377" s="30">
        <f t="shared" si="424"/>
        <v>0.32752950590118</v>
      </c>
      <c r="AJ377" s="30"/>
      <c r="AK377" s="30"/>
      <c r="AL377" s="30"/>
      <c r="AM377" s="30"/>
      <c r="AN377" s="34"/>
      <c r="AO377" s="34"/>
      <c r="AP377" s="34"/>
      <c r="AQ377" s="34"/>
      <c r="AR377" s="34"/>
      <c r="AS377" s="34"/>
      <c r="AT377" s="34" t="s">
        <v>156</v>
      </c>
      <c r="AU377" s="34" t="s">
        <v>156</v>
      </c>
      <c r="AV377" s="34" t="s">
        <v>156</v>
      </c>
      <c r="AW377" s="34" t="s">
        <v>156</v>
      </c>
      <c r="AX377" s="34" t="s">
        <v>156</v>
      </c>
      <c r="AY377" s="34" t="s">
        <v>156</v>
      </c>
      <c r="AZ377" s="34" t="s">
        <v>156</v>
      </c>
      <c r="BA377" s="34" t="s">
        <v>156</v>
      </c>
      <c r="BB377" s="34" t="s">
        <v>156</v>
      </c>
      <c r="BC377" s="34" t="s">
        <v>156</v>
      </c>
      <c r="BD377" s="34" t="s">
        <v>156</v>
      </c>
      <c r="BE377" s="34" t="s">
        <v>156</v>
      </c>
      <c r="BF377" s="34" t="s">
        <v>156</v>
      </c>
      <c r="BG377" s="34" t="s">
        <v>156</v>
      </c>
      <c r="BH377" s="34" t="s">
        <v>156</v>
      </c>
      <c r="BI377" s="34" t="s">
        <v>156</v>
      </c>
      <c r="BJ377" s="34" t="s">
        <v>156</v>
      </c>
      <c r="BK377" s="34" t="s">
        <v>156</v>
      </c>
      <c r="BL377" s="34" t="s">
        <v>156</v>
      </c>
      <c r="BM377" s="34" t="s">
        <v>156</v>
      </c>
      <c r="BN377" s="34" t="s">
        <v>156</v>
      </c>
      <c r="BO377" s="34" t="s">
        <v>156</v>
      </c>
      <c r="BP377" s="34" t="s">
        <v>156</v>
      </c>
      <c r="BQ377" s="34" t="s">
        <v>156</v>
      </c>
      <c r="BR377" s="44" t="e">
        <f>IF(E377&lt;#REF!,1,0)</f>
        <v>#REF!</v>
      </c>
      <c r="BS377" s="20" t="s">
        <v>157</v>
      </c>
    </row>
    <row r="379" ht="16.5" hidden="1" spans="1:71">
      <c r="A379" s="20" t="s">
        <v>50</v>
      </c>
      <c r="B379" s="21"/>
      <c r="C379" s="51"/>
      <c r="D379" s="59" t="s">
        <v>261</v>
      </c>
      <c r="E379" s="55">
        <v>27.6</v>
      </c>
      <c r="F379" s="38">
        <v>39.99</v>
      </c>
      <c r="G379" s="25">
        <f t="shared" ref="G379:G397" si="428">(F379-Z379)</f>
        <v>39.99</v>
      </c>
      <c r="H379" s="25">
        <f t="shared" ref="H379:H397" si="429">(F379-Z379)/1.2</f>
        <v>33.325</v>
      </c>
      <c r="I379" s="25">
        <f t="shared" ref="I379:I397" si="430">E379-N379/Q379-AB379-Y379-O379-Z379-AA379</f>
        <v>7.37442025565389</v>
      </c>
      <c r="J379" s="26">
        <f t="shared" ref="J379:J397" si="431">I379/E379</f>
        <v>0.267189139697605</v>
      </c>
      <c r="K379" s="27">
        <f t="shared" ref="K379:K397" si="432">F379/1.2</f>
        <v>33.325</v>
      </c>
      <c r="L379" s="28">
        <f t="shared" ref="L379:L397" si="433">(K379-E379)/K379</f>
        <v>0.171792948237059</v>
      </c>
      <c r="M379" s="25">
        <f t="shared" ref="M379:M397" si="434">F379/1.2-E379</f>
        <v>5.725</v>
      </c>
      <c r="N379" s="27">
        <f>AD379+AH380</f>
        <v>87.646017699115</v>
      </c>
      <c r="O379" s="27">
        <f t="shared" ref="O379:O397" si="435">IFERROR(IF(A379="UK",8.95/P379,IF(A379="DE",7.75/P379,IF(A379="FR",14.25/P379,IF(A379="IT",15.25/P379,IF(A379="ES",19.25/P379,IF(A379="NL",16.75/P379,IF(A379="PL",14.05/P379,IF(A379="SE",18.25/P379,IF(A379="BE",14.25/P379))))))))),0)</f>
        <v>0.298333333333333</v>
      </c>
      <c r="P379" s="21">
        <v>30</v>
      </c>
      <c r="Q379" s="29">
        <v>9</v>
      </c>
      <c r="R379" s="30">
        <f t="shared" ref="R379:R397" si="436">Y379/E379</f>
        <v>0.181159420289855</v>
      </c>
      <c r="S379" s="26">
        <f t="shared" ref="S379:S397" si="437">Y379/F379</f>
        <v>0.125031257814454</v>
      </c>
      <c r="T379" s="30">
        <f t="shared" ref="T379:T397" si="438">Z379/E379</f>
        <v>0</v>
      </c>
      <c r="U379" s="30">
        <v>0.01</v>
      </c>
      <c r="V379" s="30">
        <f t="shared" ref="V379:V397" si="439">N379/(E379*Q379)</f>
        <v>0.352842261268579</v>
      </c>
      <c r="W379" s="30">
        <f t="shared" ref="W379:W397" si="440">O379/E379</f>
        <v>0.0108091787439613</v>
      </c>
      <c r="X379" s="31">
        <v>0.178</v>
      </c>
      <c r="Y379" s="32">
        <v>5</v>
      </c>
      <c r="Z379" s="32">
        <v>0</v>
      </c>
      <c r="AA379" s="32">
        <f t="shared" ref="AA379:AA397" si="441">E379*U379</f>
        <v>0.276</v>
      </c>
      <c r="AB379" s="27">
        <f t="shared" ref="AB379:AB397" si="442">E379*X379</f>
        <v>4.9128</v>
      </c>
      <c r="AC379" s="27">
        <v>90</v>
      </c>
      <c r="AD379" s="33">
        <f t="shared" ref="AD379:AD397" si="443">AC379/1.13</f>
        <v>79.646017699115</v>
      </c>
      <c r="AE379" s="29">
        <f>AH380/Q379</f>
        <v>0.888888888888889</v>
      </c>
      <c r="AF379" s="30">
        <f t="shared" ref="AF379:AF397" si="444">AD379/(E379*Q379)</f>
        <v>0.320636142105938</v>
      </c>
      <c r="AG379" s="30">
        <f t="shared" ref="AG379:AG397" si="445">AE379/Q379/E379</f>
        <v>0.00357845768473788</v>
      </c>
      <c r="AH379" s="29">
        <v>8</v>
      </c>
      <c r="AI379" s="30">
        <f t="shared" ref="AI379:AI397" si="446">(H379-E379+AB379)/H379</f>
        <v>0.319213803450863</v>
      </c>
      <c r="AJ379" s="30"/>
      <c r="AK379" s="30"/>
      <c r="AL379" s="30"/>
      <c r="AM379" s="30"/>
      <c r="AN379" s="34"/>
      <c r="AO379" s="34"/>
      <c r="AP379" s="34"/>
      <c r="AQ379" s="34"/>
      <c r="AR379" s="34"/>
      <c r="AS379" s="34"/>
      <c r="AT379" s="34" t="s">
        <v>156</v>
      </c>
      <c r="AU379" s="34" t="s">
        <v>156</v>
      </c>
      <c r="AV379" s="34" t="s">
        <v>156</v>
      </c>
      <c r="AW379" s="34" t="s">
        <v>156</v>
      </c>
      <c r="AX379" s="34" t="s">
        <v>156</v>
      </c>
      <c r="AY379" s="34" t="s">
        <v>156</v>
      </c>
      <c r="AZ379" s="34" t="s">
        <v>156</v>
      </c>
      <c r="BA379" s="34" t="s">
        <v>156</v>
      </c>
      <c r="BB379" s="34" t="s">
        <v>156</v>
      </c>
      <c r="BC379" s="34" t="s">
        <v>156</v>
      </c>
      <c r="BD379" s="34" t="s">
        <v>156</v>
      </c>
      <c r="BE379" s="34" t="s">
        <v>156</v>
      </c>
      <c r="BF379" s="34" t="s">
        <v>156</v>
      </c>
      <c r="BG379" s="34" t="s">
        <v>156</v>
      </c>
      <c r="BH379" s="34" t="s">
        <v>156</v>
      </c>
      <c r="BI379" s="34" t="s">
        <v>156</v>
      </c>
      <c r="BJ379" s="34" t="s">
        <v>156</v>
      </c>
      <c r="BK379" s="34" t="s">
        <v>156</v>
      </c>
      <c r="BL379" s="34" t="s">
        <v>156</v>
      </c>
      <c r="BM379" s="34" t="s">
        <v>156</v>
      </c>
      <c r="BN379" s="34" t="s">
        <v>156</v>
      </c>
      <c r="BO379" s="34" t="s">
        <v>156</v>
      </c>
      <c r="BP379" s="34" t="s">
        <v>156</v>
      </c>
      <c r="BQ379" s="34" t="s">
        <v>156</v>
      </c>
      <c r="BR379" s="35"/>
      <c r="BS379" s="20" t="s">
        <v>157</v>
      </c>
    </row>
    <row r="380" ht="16.5" hidden="1" spans="1:71">
      <c r="A380" s="20" t="s">
        <v>50</v>
      </c>
      <c r="B380" s="21"/>
      <c r="C380" s="45"/>
      <c r="D380" s="59" t="s">
        <v>262</v>
      </c>
      <c r="E380" s="55">
        <v>27.6</v>
      </c>
      <c r="F380" s="24">
        <v>39.99</v>
      </c>
      <c r="G380" s="25">
        <f t="shared" si="428"/>
        <v>35.991</v>
      </c>
      <c r="H380" s="25">
        <f t="shared" si="429"/>
        <v>29.9925</v>
      </c>
      <c r="I380" s="36">
        <f t="shared" si="430"/>
        <v>3.37542025565389</v>
      </c>
      <c r="J380" s="26">
        <f t="shared" si="431"/>
        <v>0.122297835349778</v>
      </c>
      <c r="K380" s="27">
        <f t="shared" si="432"/>
        <v>33.325</v>
      </c>
      <c r="L380" s="28">
        <f t="shared" si="433"/>
        <v>0.171792948237059</v>
      </c>
      <c r="M380" s="25">
        <f t="shared" si="434"/>
        <v>5.725</v>
      </c>
      <c r="N380" s="27">
        <f t="shared" ref="N380:N397" si="447">AD380+AH380</f>
        <v>87.646017699115</v>
      </c>
      <c r="O380" s="27">
        <f t="shared" si="435"/>
        <v>0.298333333333333</v>
      </c>
      <c r="P380" s="21">
        <v>30</v>
      </c>
      <c r="Q380" s="29">
        <v>9</v>
      </c>
      <c r="R380" s="30">
        <f t="shared" si="436"/>
        <v>0.181159420289855</v>
      </c>
      <c r="S380" s="26">
        <f t="shared" si="437"/>
        <v>0.125031257814454</v>
      </c>
      <c r="T380" s="30">
        <f t="shared" si="438"/>
        <v>0.144891304347826</v>
      </c>
      <c r="U380" s="30">
        <v>0.01</v>
      </c>
      <c r="V380" s="30">
        <f t="shared" si="439"/>
        <v>0.352842261268579</v>
      </c>
      <c r="W380" s="30">
        <f t="shared" si="440"/>
        <v>0.0108091787439613</v>
      </c>
      <c r="X380" s="31">
        <v>0.178</v>
      </c>
      <c r="Y380" s="32">
        <v>5</v>
      </c>
      <c r="Z380" s="32">
        <f>F380*0.1</f>
        <v>3.999</v>
      </c>
      <c r="AA380" s="32">
        <f t="shared" si="441"/>
        <v>0.276</v>
      </c>
      <c r="AB380" s="27">
        <f t="shared" si="442"/>
        <v>4.9128</v>
      </c>
      <c r="AC380" s="27">
        <v>90</v>
      </c>
      <c r="AD380" s="33">
        <f t="shared" si="443"/>
        <v>79.646017699115</v>
      </c>
      <c r="AE380" s="29">
        <f t="shared" ref="AE380:AE397" si="448">AH380/Q380</f>
        <v>0.888888888888889</v>
      </c>
      <c r="AF380" s="30">
        <f t="shared" si="444"/>
        <v>0.320636142105938</v>
      </c>
      <c r="AG380" s="30">
        <f t="shared" si="445"/>
        <v>0.00357845768473788</v>
      </c>
      <c r="AH380" s="29">
        <v>8</v>
      </c>
      <c r="AI380" s="30">
        <f t="shared" si="446"/>
        <v>0.243570892723181</v>
      </c>
      <c r="AJ380" s="30"/>
      <c r="AK380" s="30"/>
      <c r="AL380" s="30"/>
      <c r="AM380" s="30"/>
      <c r="AN380" s="34"/>
      <c r="AO380" s="34"/>
      <c r="AP380" s="34"/>
      <c r="AQ380" s="34"/>
      <c r="AR380" s="34"/>
      <c r="AS380" s="34"/>
      <c r="AT380" s="34" t="s">
        <v>156</v>
      </c>
      <c r="AU380" s="34" t="s">
        <v>156</v>
      </c>
      <c r="AV380" s="34" t="s">
        <v>156</v>
      </c>
      <c r="AW380" s="34" t="s">
        <v>156</v>
      </c>
      <c r="AX380" s="34" t="s">
        <v>156</v>
      </c>
      <c r="AY380" s="34" t="s">
        <v>156</v>
      </c>
      <c r="AZ380" s="34" t="s">
        <v>156</v>
      </c>
      <c r="BA380" s="34" t="s">
        <v>156</v>
      </c>
      <c r="BB380" s="34" t="s">
        <v>156</v>
      </c>
      <c r="BC380" s="34" t="s">
        <v>156</v>
      </c>
      <c r="BD380" s="34" t="s">
        <v>156</v>
      </c>
      <c r="BE380" s="34" t="s">
        <v>156</v>
      </c>
      <c r="BF380" s="34" t="s">
        <v>156</v>
      </c>
      <c r="BG380" s="34" t="s">
        <v>156</v>
      </c>
      <c r="BH380" s="34" t="s">
        <v>156</v>
      </c>
      <c r="BI380" s="34" t="s">
        <v>156</v>
      </c>
      <c r="BJ380" s="34" t="s">
        <v>156</v>
      </c>
      <c r="BK380" s="34" t="s">
        <v>156</v>
      </c>
      <c r="BL380" s="34" t="s">
        <v>156</v>
      </c>
      <c r="BM380" s="34" t="s">
        <v>156</v>
      </c>
      <c r="BN380" s="34" t="s">
        <v>156</v>
      </c>
      <c r="BO380" s="34" t="s">
        <v>156</v>
      </c>
      <c r="BP380" s="34" t="s">
        <v>156</v>
      </c>
      <c r="BQ380" s="34" t="s">
        <v>156</v>
      </c>
      <c r="BR380" s="35"/>
      <c r="BS380" s="20" t="s">
        <v>157</v>
      </c>
    </row>
    <row r="381" ht="16.5" hidden="1" spans="1:71">
      <c r="A381" s="20" t="s">
        <v>50</v>
      </c>
      <c r="B381" s="21"/>
      <c r="C381" s="45"/>
      <c r="D381" s="59" t="s">
        <v>263</v>
      </c>
      <c r="E381" s="55">
        <v>27.6</v>
      </c>
      <c r="F381" s="24">
        <v>39.99</v>
      </c>
      <c r="G381" s="25">
        <f t="shared" si="428"/>
        <v>33.9915</v>
      </c>
      <c r="H381" s="25">
        <f t="shared" si="429"/>
        <v>28.32625</v>
      </c>
      <c r="I381" s="25">
        <f t="shared" si="430"/>
        <v>1.37592025565389</v>
      </c>
      <c r="J381" s="26">
        <f t="shared" si="431"/>
        <v>0.0498521831758655</v>
      </c>
      <c r="K381" s="27">
        <f t="shared" si="432"/>
        <v>33.325</v>
      </c>
      <c r="L381" s="28">
        <f t="shared" si="433"/>
        <v>0.171792948237059</v>
      </c>
      <c r="M381" s="25">
        <f t="shared" si="434"/>
        <v>5.725</v>
      </c>
      <c r="N381" s="27">
        <f t="shared" si="447"/>
        <v>87.646017699115</v>
      </c>
      <c r="O381" s="27">
        <f t="shared" si="435"/>
        <v>0.298333333333333</v>
      </c>
      <c r="P381" s="21">
        <v>30</v>
      </c>
      <c r="Q381" s="29">
        <v>9</v>
      </c>
      <c r="R381" s="30">
        <f t="shared" si="436"/>
        <v>0.181159420289855</v>
      </c>
      <c r="S381" s="26">
        <f t="shared" si="437"/>
        <v>0.125031257814454</v>
      </c>
      <c r="T381" s="30">
        <f t="shared" si="438"/>
        <v>0.217336956521739</v>
      </c>
      <c r="U381" s="30">
        <v>0.01</v>
      </c>
      <c r="V381" s="30">
        <f t="shared" si="439"/>
        <v>0.352842261268579</v>
      </c>
      <c r="W381" s="30">
        <f t="shared" si="440"/>
        <v>0.0108091787439613</v>
      </c>
      <c r="X381" s="31">
        <v>0.178</v>
      </c>
      <c r="Y381" s="32">
        <v>5</v>
      </c>
      <c r="Z381" s="32">
        <f>F381*0.15</f>
        <v>5.9985</v>
      </c>
      <c r="AA381" s="32">
        <f t="shared" si="441"/>
        <v>0.276</v>
      </c>
      <c r="AB381" s="27">
        <f t="shared" si="442"/>
        <v>4.9128</v>
      </c>
      <c r="AC381" s="27">
        <v>90</v>
      </c>
      <c r="AD381" s="33">
        <f t="shared" si="443"/>
        <v>79.646017699115</v>
      </c>
      <c r="AE381" s="29">
        <f t="shared" si="448"/>
        <v>0.888888888888889</v>
      </c>
      <c r="AF381" s="30">
        <f t="shared" si="444"/>
        <v>0.320636142105938</v>
      </c>
      <c r="AG381" s="30">
        <f t="shared" si="445"/>
        <v>0.00357845768473788</v>
      </c>
      <c r="AH381" s="29">
        <v>8</v>
      </c>
      <c r="AI381" s="30">
        <f t="shared" si="446"/>
        <v>0.199075062883368</v>
      </c>
      <c r="AJ381" s="30"/>
      <c r="AK381" s="30"/>
      <c r="AL381" s="30"/>
      <c r="AM381" s="30"/>
      <c r="AN381" s="34"/>
      <c r="AO381" s="34"/>
      <c r="AP381" s="34"/>
      <c r="AQ381" s="34"/>
      <c r="AR381" s="34"/>
      <c r="AS381" s="34"/>
      <c r="AT381" s="34" t="s">
        <v>156</v>
      </c>
      <c r="AU381" s="34" t="s">
        <v>156</v>
      </c>
      <c r="AV381" s="34" t="s">
        <v>156</v>
      </c>
      <c r="AW381" s="34" t="s">
        <v>156</v>
      </c>
      <c r="AX381" s="34" t="s">
        <v>156</v>
      </c>
      <c r="AY381" s="34" t="s">
        <v>156</v>
      </c>
      <c r="AZ381" s="34" t="s">
        <v>156</v>
      </c>
      <c r="BA381" s="34" t="s">
        <v>156</v>
      </c>
      <c r="BB381" s="34" t="s">
        <v>156</v>
      </c>
      <c r="BC381" s="34" t="s">
        <v>156</v>
      </c>
      <c r="BD381" s="34" t="s">
        <v>156</v>
      </c>
      <c r="BE381" s="34" t="s">
        <v>156</v>
      </c>
      <c r="BF381" s="34" t="s">
        <v>156</v>
      </c>
      <c r="BG381" s="34" t="s">
        <v>156</v>
      </c>
      <c r="BH381" s="34" t="s">
        <v>156</v>
      </c>
      <c r="BI381" s="34" t="s">
        <v>156</v>
      </c>
      <c r="BJ381" s="34" t="s">
        <v>156</v>
      </c>
      <c r="BK381" s="34" t="s">
        <v>156</v>
      </c>
      <c r="BL381" s="34" t="s">
        <v>156</v>
      </c>
      <c r="BM381" s="34" t="s">
        <v>156</v>
      </c>
      <c r="BN381" s="34" t="s">
        <v>156</v>
      </c>
      <c r="BO381" s="34" t="s">
        <v>156</v>
      </c>
      <c r="BP381" s="34" t="s">
        <v>156</v>
      </c>
      <c r="BQ381" s="34" t="s">
        <v>156</v>
      </c>
      <c r="BR381" s="35"/>
      <c r="BS381" s="20" t="s">
        <v>157</v>
      </c>
    </row>
    <row r="382" ht="16.5" hidden="1" spans="1:71">
      <c r="A382" s="21" t="s">
        <v>37</v>
      </c>
      <c r="B382" s="21"/>
      <c r="C382" s="45"/>
      <c r="D382" s="59" t="s">
        <v>261</v>
      </c>
      <c r="E382" s="55">
        <v>31</v>
      </c>
      <c r="F382" s="38">
        <v>44.99</v>
      </c>
      <c r="G382" s="25">
        <f t="shared" si="428"/>
        <v>44.99</v>
      </c>
      <c r="H382" s="25">
        <f t="shared" si="429"/>
        <v>37.4916666666667</v>
      </c>
      <c r="I382" s="25">
        <f t="shared" si="430"/>
        <v>8.64791445427729</v>
      </c>
      <c r="J382" s="26">
        <f t="shared" si="431"/>
        <v>0.278964982396042</v>
      </c>
      <c r="K382" s="27">
        <f t="shared" si="432"/>
        <v>37.4916666666667</v>
      </c>
      <c r="L382" s="28">
        <f t="shared" si="433"/>
        <v>0.173149588797511</v>
      </c>
      <c r="M382" s="25">
        <f t="shared" si="434"/>
        <v>6.49166666666667</v>
      </c>
      <c r="N382" s="27">
        <f>AD382+AH383</f>
        <v>87.646017699115</v>
      </c>
      <c r="O382" s="27">
        <f t="shared" si="435"/>
        <v>0.258333333333333</v>
      </c>
      <c r="P382" s="21">
        <v>30</v>
      </c>
      <c r="Q382" s="29">
        <v>8</v>
      </c>
      <c r="R382" s="30">
        <f t="shared" si="436"/>
        <v>0.161290322580645</v>
      </c>
      <c r="S382" s="26">
        <f t="shared" si="437"/>
        <v>0.111135807957324</v>
      </c>
      <c r="T382" s="30">
        <f t="shared" si="438"/>
        <v>0</v>
      </c>
      <c r="U382" s="30">
        <v>0.01</v>
      </c>
      <c r="V382" s="30">
        <f t="shared" si="439"/>
        <v>0.35341136168998</v>
      </c>
      <c r="W382" s="30">
        <f t="shared" si="440"/>
        <v>0.00833333333333333</v>
      </c>
      <c r="X382" s="31">
        <v>0.188</v>
      </c>
      <c r="Y382" s="32">
        <v>5</v>
      </c>
      <c r="Z382" s="32">
        <v>0</v>
      </c>
      <c r="AA382" s="32">
        <f t="shared" si="441"/>
        <v>0.31</v>
      </c>
      <c r="AB382" s="27">
        <f t="shared" si="442"/>
        <v>5.828</v>
      </c>
      <c r="AC382" s="27">
        <v>90</v>
      </c>
      <c r="AD382" s="33">
        <f t="shared" si="443"/>
        <v>79.646017699115</v>
      </c>
      <c r="AE382" s="29">
        <f>AH383/Q382</f>
        <v>1</v>
      </c>
      <c r="AF382" s="30">
        <f t="shared" si="444"/>
        <v>0.321153297173851</v>
      </c>
      <c r="AG382" s="30">
        <f t="shared" si="445"/>
        <v>0.00403225806451613</v>
      </c>
      <c r="AH382" s="29">
        <v>8</v>
      </c>
      <c r="AI382" s="30">
        <f t="shared" si="446"/>
        <v>0.328597466103579</v>
      </c>
      <c r="AJ382" s="30"/>
      <c r="AK382" s="30"/>
      <c r="AL382" s="30"/>
      <c r="AM382" s="30"/>
      <c r="AN382" s="34"/>
      <c r="AO382" s="34"/>
      <c r="AP382" s="34"/>
      <c r="AQ382" s="34"/>
      <c r="AR382" s="34"/>
      <c r="AS382" s="34"/>
      <c r="AT382" s="34" t="s">
        <v>156</v>
      </c>
      <c r="AU382" s="34" t="s">
        <v>156</v>
      </c>
      <c r="AV382" s="34" t="s">
        <v>156</v>
      </c>
      <c r="AW382" s="34" t="s">
        <v>156</v>
      </c>
      <c r="AX382" s="34" t="s">
        <v>156</v>
      </c>
      <c r="AY382" s="34" t="s">
        <v>156</v>
      </c>
      <c r="AZ382" s="34" t="s">
        <v>156</v>
      </c>
      <c r="BA382" s="34" t="s">
        <v>156</v>
      </c>
      <c r="BB382" s="34" t="s">
        <v>156</v>
      </c>
      <c r="BC382" s="34" t="s">
        <v>156</v>
      </c>
      <c r="BD382" s="34" t="s">
        <v>156</v>
      </c>
      <c r="BE382" s="34" t="s">
        <v>156</v>
      </c>
      <c r="BF382" s="34" t="s">
        <v>156</v>
      </c>
      <c r="BG382" s="34" t="s">
        <v>156</v>
      </c>
      <c r="BH382" s="34" t="s">
        <v>156</v>
      </c>
      <c r="BI382" s="34" t="s">
        <v>156</v>
      </c>
      <c r="BJ382" s="34" t="s">
        <v>156</v>
      </c>
      <c r="BK382" s="34" t="s">
        <v>156</v>
      </c>
      <c r="BL382" s="34" t="s">
        <v>156</v>
      </c>
      <c r="BM382" s="34" t="s">
        <v>156</v>
      </c>
      <c r="BN382" s="34" t="s">
        <v>156</v>
      </c>
      <c r="BO382" s="34" t="s">
        <v>156</v>
      </c>
      <c r="BP382" s="34" t="s">
        <v>156</v>
      </c>
      <c r="BQ382" s="34" t="s">
        <v>156</v>
      </c>
      <c r="BR382" s="35"/>
      <c r="BS382" s="20" t="s">
        <v>157</v>
      </c>
    </row>
    <row r="383" ht="16.5" hidden="1" spans="1:71">
      <c r="A383" s="21" t="s">
        <v>37</v>
      </c>
      <c r="B383" s="21"/>
      <c r="C383" s="45"/>
      <c r="D383" s="59" t="s">
        <v>262</v>
      </c>
      <c r="E383" s="55">
        <v>31</v>
      </c>
      <c r="F383" s="24">
        <v>44.99</v>
      </c>
      <c r="G383" s="25">
        <f t="shared" si="428"/>
        <v>40.491</v>
      </c>
      <c r="H383" s="25">
        <f t="shared" si="429"/>
        <v>33.7425</v>
      </c>
      <c r="I383" s="36">
        <f t="shared" si="430"/>
        <v>4.14891445427729</v>
      </c>
      <c r="J383" s="26">
        <f t="shared" si="431"/>
        <v>0.133835950137977</v>
      </c>
      <c r="K383" s="27">
        <f t="shared" si="432"/>
        <v>37.4916666666667</v>
      </c>
      <c r="L383" s="28">
        <f t="shared" si="433"/>
        <v>0.173149588797511</v>
      </c>
      <c r="M383" s="25">
        <f t="shared" si="434"/>
        <v>6.49166666666667</v>
      </c>
      <c r="N383" s="27">
        <f t="shared" si="447"/>
        <v>87.646017699115</v>
      </c>
      <c r="O383" s="27">
        <f t="shared" si="435"/>
        <v>0.258333333333333</v>
      </c>
      <c r="P383" s="21">
        <v>30</v>
      </c>
      <c r="Q383" s="29">
        <v>8</v>
      </c>
      <c r="R383" s="30">
        <f t="shared" si="436"/>
        <v>0.161290322580645</v>
      </c>
      <c r="S383" s="26">
        <f t="shared" si="437"/>
        <v>0.111135807957324</v>
      </c>
      <c r="T383" s="30">
        <f t="shared" si="438"/>
        <v>0.145129032258065</v>
      </c>
      <c r="U383" s="30">
        <v>0.01</v>
      </c>
      <c r="V383" s="30">
        <f t="shared" si="439"/>
        <v>0.35341136168998</v>
      </c>
      <c r="W383" s="30">
        <f t="shared" si="440"/>
        <v>0.00833333333333333</v>
      </c>
      <c r="X383" s="31">
        <v>0.188</v>
      </c>
      <c r="Y383" s="32">
        <v>5</v>
      </c>
      <c r="Z383" s="32">
        <f>F383*0.1</f>
        <v>4.499</v>
      </c>
      <c r="AA383" s="32">
        <f t="shared" si="441"/>
        <v>0.31</v>
      </c>
      <c r="AB383" s="27">
        <f t="shared" si="442"/>
        <v>5.828</v>
      </c>
      <c r="AC383" s="27">
        <v>90</v>
      </c>
      <c r="AD383" s="33">
        <f t="shared" si="443"/>
        <v>79.646017699115</v>
      </c>
      <c r="AE383" s="29">
        <f t="shared" si="448"/>
        <v>1</v>
      </c>
      <c r="AF383" s="30">
        <f t="shared" si="444"/>
        <v>0.321153297173851</v>
      </c>
      <c r="AG383" s="30">
        <f t="shared" si="445"/>
        <v>0.00403225806451613</v>
      </c>
      <c r="AH383" s="29">
        <v>8</v>
      </c>
      <c r="AI383" s="30">
        <f t="shared" si="446"/>
        <v>0.253997184559532</v>
      </c>
      <c r="AJ383" s="30"/>
      <c r="AK383" s="30"/>
      <c r="AL383" s="30"/>
      <c r="AM383" s="30"/>
      <c r="AN383" s="34"/>
      <c r="AO383" s="34"/>
      <c r="AP383" s="34"/>
      <c r="AQ383" s="34"/>
      <c r="AR383" s="34"/>
      <c r="AS383" s="34"/>
      <c r="AT383" s="34" t="s">
        <v>156</v>
      </c>
      <c r="AU383" s="34" t="s">
        <v>156</v>
      </c>
      <c r="AV383" s="34" t="s">
        <v>156</v>
      </c>
      <c r="AW383" s="34" t="s">
        <v>156</v>
      </c>
      <c r="AX383" s="34" t="s">
        <v>156</v>
      </c>
      <c r="AY383" s="34" t="s">
        <v>156</v>
      </c>
      <c r="AZ383" s="34" t="s">
        <v>156</v>
      </c>
      <c r="BA383" s="34" t="s">
        <v>156</v>
      </c>
      <c r="BB383" s="34" t="s">
        <v>156</v>
      </c>
      <c r="BC383" s="34" t="s">
        <v>156</v>
      </c>
      <c r="BD383" s="34" t="s">
        <v>156</v>
      </c>
      <c r="BE383" s="34" t="s">
        <v>156</v>
      </c>
      <c r="BF383" s="34" t="s">
        <v>156</v>
      </c>
      <c r="BG383" s="34" t="s">
        <v>156</v>
      </c>
      <c r="BH383" s="34" t="s">
        <v>156</v>
      </c>
      <c r="BI383" s="34" t="s">
        <v>156</v>
      </c>
      <c r="BJ383" s="34" t="s">
        <v>156</v>
      </c>
      <c r="BK383" s="34" t="s">
        <v>156</v>
      </c>
      <c r="BL383" s="34" t="s">
        <v>156</v>
      </c>
      <c r="BM383" s="34" t="s">
        <v>156</v>
      </c>
      <c r="BN383" s="34" t="s">
        <v>156</v>
      </c>
      <c r="BO383" s="34" t="s">
        <v>156</v>
      </c>
      <c r="BP383" s="34" t="s">
        <v>156</v>
      </c>
      <c r="BQ383" s="34" t="s">
        <v>156</v>
      </c>
      <c r="BR383" s="35"/>
      <c r="BS383" s="20" t="s">
        <v>157</v>
      </c>
    </row>
    <row r="384" ht="16.5" hidden="1" spans="1:71">
      <c r="A384" s="21" t="s">
        <v>37</v>
      </c>
      <c r="B384" s="21"/>
      <c r="C384" s="45"/>
      <c r="D384" s="59" t="s">
        <v>263</v>
      </c>
      <c r="E384" s="55">
        <v>31</v>
      </c>
      <c r="F384" s="24">
        <v>44.99</v>
      </c>
      <c r="G384" s="25">
        <f t="shared" si="428"/>
        <v>38.2415</v>
      </c>
      <c r="H384" s="25">
        <f t="shared" si="429"/>
        <v>31.8679166666667</v>
      </c>
      <c r="I384" s="25">
        <f t="shared" si="430"/>
        <v>1.89941445427729</v>
      </c>
      <c r="J384" s="26">
        <f t="shared" si="431"/>
        <v>0.0612714340089447</v>
      </c>
      <c r="K384" s="27">
        <f t="shared" si="432"/>
        <v>37.4916666666667</v>
      </c>
      <c r="L384" s="28">
        <f t="shared" si="433"/>
        <v>0.173149588797511</v>
      </c>
      <c r="M384" s="25">
        <f t="shared" si="434"/>
        <v>6.49166666666667</v>
      </c>
      <c r="N384" s="27">
        <f t="shared" si="447"/>
        <v>87.646017699115</v>
      </c>
      <c r="O384" s="27">
        <f t="shared" si="435"/>
        <v>0.258333333333333</v>
      </c>
      <c r="P384" s="21">
        <v>30</v>
      </c>
      <c r="Q384" s="29">
        <v>8</v>
      </c>
      <c r="R384" s="30">
        <f t="shared" si="436"/>
        <v>0.161290322580645</v>
      </c>
      <c r="S384" s="26">
        <f t="shared" si="437"/>
        <v>0.111135807957324</v>
      </c>
      <c r="T384" s="30">
        <f t="shared" si="438"/>
        <v>0.217693548387097</v>
      </c>
      <c r="U384" s="30">
        <v>0.01</v>
      </c>
      <c r="V384" s="30">
        <f t="shared" si="439"/>
        <v>0.35341136168998</v>
      </c>
      <c r="W384" s="30">
        <f t="shared" si="440"/>
        <v>0.00833333333333333</v>
      </c>
      <c r="X384" s="31">
        <v>0.188</v>
      </c>
      <c r="Y384" s="32">
        <v>5</v>
      </c>
      <c r="Z384" s="32">
        <f>F384*0.15</f>
        <v>6.7485</v>
      </c>
      <c r="AA384" s="32">
        <f t="shared" si="441"/>
        <v>0.31</v>
      </c>
      <c r="AB384" s="27">
        <f t="shared" si="442"/>
        <v>5.828</v>
      </c>
      <c r="AC384" s="27">
        <v>90</v>
      </c>
      <c r="AD384" s="33">
        <f t="shared" si="443"/>
        <v>79.646017699115</v>
      </c>
      <c r="AE384" s="29">
        <f t="shared" si="448"/>
        <v>1</v>
      </c>
      <c r="AF384" s="30">
        <f t="shared" si="444"/>
        <v>0.321153297173851</v>
      </c>
      <c r="AG384" s="30">
        <f t="shared" si="445"/>
        <v>0.00403225806451613</v>
      </c>
      <c r="AH384" s="29">
        <v>8</v>
      </c>
      <c r="AI384" s="30">
        <f t="shared" si="446"/>
        <v>0.21011466600421</v>
      </c>
      <c r="AJ384" s="30"/>
      <c r="AK384" s="30"/>
      <c r="AL384" s="30"/>
      <c r="AM384" s="30"/>
      <c r="AN384" s="34"/>
      <c r="AO384" s="34"/>
      <c r="AP384" s="34"/>
      <c r="AQ384" s="34"/>
      <c r="AR384" s="34"/>
      <c r="AS384" s="34"/>
      <c r="AT384" s="34" t="s">
        <v>156</v>
      </c>
      <c r="AU384" s="34" t="s">
        <v>156</v>
      </c>
      <c r="AV384" s="34" t="s">
        <v>156</v>
      </c>
      <c r="AW384" s="34" t="s">
        <v>156</v>
      </c>
      <c r="AX384" s="34" t="s">
        <v>156</v>
      </c>
      <c r="AY384" s="34" t="s">
        <v>156</v>
      </c>
      <c r="AZ384" s="34" t="s">
        <v>156</v>
      </c>
      <c r="BA384" s="34" t="s">
        <v>156</v>
      </c>
      <c r="BB384" s="34" t="s">
        <v>156</v>
      </c>
      <c r="BC384" s="34" t="s">
        <v>156</v>
      </c>
      <c r="BD384" s="34" t="s">
        <v>156</v>
      </c>
      <c r="BE384" s="34" t="s">
        <v>156</v>
      </c>
      <c r="BF384" s="34" t="s">
        <v>156</v>
      </c>
      <c r="BG384" s="34" t="s">
        <v>156</v>
      </c>
      <c r="BH384" s="34" t="s">
        <v>156</v>
      </c>
      <c r="BI384" s="34" t="s">
        <v>156</v>
      </c>
      <c r="BJ384" s="34" t="s">
        <v>156</v>
      </c>
      <c r="BK384" s="34" t="s">
        <v>156</v>
      </c>
      <c r="BL384" s="34" t="s">
        <v>156</v>
      </c>
      <c r="BM384" s="34" t="s">
        <v>156</v>
      </c>
      <c r="BN384" s="34" t="s">
        <v>156</v>
      </c>
      <c r="BO384" s="34" t="s">
        <v>156</v>
      </c>
      <c r="BP384" s="34" t="s">
        <v>156</v>
      </c>
      <c r="BQ384" s="34" t="s">
        <v>156</v>
      </c>
      <c r="BR384" s="35"/>
      <c r="BS384" s="20" t="s">
        <v>157</v>
      </c>
    </row>
    <row r="385" ht="16.5" hidden="1" spans="1:71">
      <c r="A385" s="21" t="s">
        <v>43</v>
      </c>
      <c r="B385" s="21"/>
      <c r="C385" s="45"/>
      <c r="D385" s="59" t="s">
        <v>261</v>
      </c>
      <c r="E385" s="55">
        <v>31</v>
      </c>
      <c r="F385" s="24">
        <v>44.99</v>
      </c>
      <c r="G385" s="25">
        <f t="shared" si="428"/>
        <v>44.99</v>
      </c>
      <c r="H385" s="25">
        <f t="shared" si="429"/>
        <v>37.4916666666667</v>
      </c>
      <c r="I385" s="25">
        <f t="shared" si="430"/>
        <v>8.43124778761062</v>
      </c>
      <c r="J385" s="26">
        <f t="shared" si="431"/>
        <v>0.271975735084214</v>
      </c>
      <c r="K385" s="27">
        <f t="shared" si="432"/>
        <v>37.4916666666667</v>
      </c>
      <c r="L385" s="28">
        <f t="shared" si="433"/>
        <v>0.173149588797511</v>
      </c>
      <c r="M385" s="25">
        <f t="shared" si="434"/>
        <v>6.49166666666667</v>
      </c>
      <c r="N385" s="27">
        <f t="shared" si="447"/>
        <v>87.646017699115</v>
      </c>
      <c r="O385" s="27">
        <f t="shared" si="435"/>
        <v>0.475</v>
      </c>
      <c r="P385" s="21">
        <v>30</v>
      </c>
      <c r="Q385" s="29">
        <v>8</v>
      </c>
      <c r="R385" s="30">
        <f t="shared" si="436"/>
        <v>0.161290322580645</v>
      </c>
      <c r="S385" s="26">
        <f t="shared" si="437"/>
        <v>0.111135807957324</v>
      </c>
      <c r="T385" s="30">
        <f t="shared" si="438"/>
        <v>0</v>
      </c>
      <c r="U385" s="30">
        <v>0.01</v>
      </c>
      <c r="V385" s="30">
        <f t="shared" si="439"/>
        <v>0.35341136168998</v>
      </c>
      <c r="W385" s="30">
        <f t="shared" si="440"/>
        <v>0.0153225806451613</v>
      </c>
      <c r="X385" s="31">
        <v>0.188</v>
      </c>
      <c r="Y385" s="32">
        <v>5</v>
      </c>
      <c r="Z385" s="32">
        <v>0</v>
      </c>
      <c r="AA385" s="32">
        <f t="shared" si="441"/>
        <v>0.31</v>
      </c>
      <c r="AB385" s="27">
        <f t="shared" si="442"/>
        <v>5.828</v>
      </c>
      <c r="AC385" s="27">
        <v>90</v>
      </c>
      <c r="AD385" s="33">
        <f t="shared" si="443"/>
        <v>79.646017699115</v>
      </c>
      <c r="AE385" s="29">
        <f t="shared" si="448"/>
        <v>1</v>
      </c>
      <c r="AF385" s="30">
        <f t="shared" si="444"/>
        <v>0.321153297173851</v>
      </c>
      <c r="AG385" s="30">
        <f t="shared" si="445"/>
        <v>0.00403225806451613</v>
      </c>
      <c r="AH385" s="29">
        <v>8</v>
      </c>
      <c r="AI385" s="30">
        <f t="shared" si="446"/>
        <v>0.328597466103579</v>
      </c>
      <c r="AJ385" s="30"/>
      <c r="AK385" s="30"/>
      <c r="AL385" s="30"/>
      <c r="AM385" s="30"/>
      <c r="AN385" s="34"/>
      <c r="AO385" s="34"/>
      <c r="AP385" s="34"/>
      <c r="AQ385" s="34"/>
      <c r="AR385" s="34"/>
      <c r="AS385" s="34"/>
      <c r="AT385" s="34" t="s">
        <v>156</v>
      </c>
      <c r="AU385" s="34" t="s">
        <v>156</v>
      </c>
      <c r="AV385" s="34" t="s">
        <v>156</v>
      </c>
      <c r="AW385" s="34" t="s">
        <v>156</v>
      </c>
      <c r="AX385" s="34" t="s">
        <v>156</v>
      </c>
      <c r="AY385" s="34" t="s">
        <v>156</v>
      </c>
      <c r="AZ385" s="34" t="s">
        <v>156</v>
      </c>
      <c r="BA385" s="34" t="s">
        <v>156</v>
      </c>
      <c r="BB385" s="34" t="s">
        <v>156</v>
      </c>
      <c r="BC385" s="34" t="s">
        <v>156</v>
      </c>
      <c r="BD385" s="34" t="s">
        <v>156</v>
      </c>
      <c r="BE385" s="34" t="s">
        <v>156</v>
      </c>
      <c r="BF385" s="34" t="s">
        <v>156</v>
      </c>
      <c r="BG385" s="34" t="s">
        <v>156</v>
      </c>
      <c r="BH385" s="34" t="s">
        <v>156</v>
      </c>
      <c r="BI385" s="34" t="s">
        <v>156</v>
      </c>
      <c r="BJ385" s="34" t="s">
        <v>156</v>
      </c>
      <c r="BK385" s="34" t="s">
        <v>156</v>
      </c>
      <c r="BL385" s="34" t="s">
        <v>156</v>
      </c>
      <c r="BM385" s="34" t="s">
        <v>156</v>
      </c>
      <c r="BN385" s="34" t="s">
        <v>156</v>
      </c>
      <c r="BO385" s="34" t="s">
        <v>156</v>
      </c>
      <c r="BP385" s="34" t="s">
        <v>156</v>
      </c>
      <c r="BQ385" s="34" t="s">
        <v>156</v>
      </c>
      <c r="BR385" s="35"/>
      <c r="BS385" s="20" t="s">
        <v>157</v>
      </c>
    </row>
    <row r="386" ht="16.5" hidden="1" spans="1:71">
      <c r="A386" s="21" t="s">
        <v>43</v>
      </c>
      <c r="B386" s="21"/>
      <c r="C386" s="45"/>
      <c r="D386" s="59" t="s">
        <v>262</v>
      </c>
      <c r="E386" s="55">
        <v>31</v>
      </c>
      <c r="F386" s="24">
        <v>44.99</v>
      </c>
      <c r="G386" s="25">
        <f t="shared" si="428"/>
        <v>40.491</v>
      </c>
      <c r="H386" s="25">
        <f t="shared" si="429"/>
        <v>33.7425</v>
      </c>
      <c r="I386" s="36">
        <f t="shared" si="430"/>
        <v>3.93224778761062</v>
      </c>
      <c r="J386" s="26">
        <f t="shared" si="431"/>
        <v>0.126846702826149</v>
      </c>
      <c r="K386" s="27">
        <f t="shared" si="432"/>
        <v>37.4916666666667</v>
      </c>
      <c r="L386" s="28">
        <f t="shared" si="433"/>
        <v>0.173149588797511</v>
      </c>
      <c r="M386" s="25">
        <f t="shared" si="434"/>
        <v>6.49166666666667</v>
      </c>
      <c r="N386" s="27">
        <f t="shared" si="447"/>
        <v>87.646017699115</v>
      </c>
      <c r="O386" s="27">
        <f t="shared" si="435"/>
        <v>0.475</v>
      </c>
      <c r="P386" s="21">
        <v>30</v>
      </c>
      <c r="Q386" s="29">
        <v>8</v>
      </c>
      <c r="R386" s="30">
        <f t="shared" si="436"/>
        <v>0.161290322580645</v>
      </c>
      <c r="S386" s="26">
        <f t="shared" si="437"/>
        <v>0.111135807957324</v>
      </c>
      <c r="T386" s="30">
        <f t="shared" si="438"/>
        <v>0.145129032258065</v>
      </c>
      <c r="U386" s="30">
        <v>0.01</v>
      </c>
      <c r="V386" s="30">
        <f t="shared" si="439"/>
        <v>0.35341136168998</v>
      </c>
      <c r="W386" s="30">
        <f t="shared" si="440"/>
        <v>0.0153225806451613</v>
      </c>
      <c r="X386" s="31">
        <v>0.188</v>
      </c>
      <c r="Y386" s="32">
        <v>5</v>
      </c>
      <c r="Z386" s="32">
        <f>F386*0.1</f>
        <v>4.499</v>
      </c>
      <c r="AA386" s="32">
        <f t="shared" si="441"/>
        <v>0.31</v>
      </c>
      <c r="AB386" s="27">
        <f t="shared" si="442"/>
        <v>5.828</v>
      </c>
      <c r="AC386" s="27">
        <v>90</v>
      </c>
      <c r="AD386" s="33">
        <f t="shared" si="443"/>
        <v>79.646017699115</v>
      </c>
      <c r="AE386" s="29">
        <f t="shared" si="448"/>
        <v>1</v>
      </c>
      <c r="AF386" s="30">
        <f t="shared" si="444"/>
        <v>0.321153297173851</v>
      </c>
      <c r="AG386" s="30">
        <f t="shared" si="445"/>
        <v>0.00403225806451613</v>
      </c>
      <c r="AH386" s="29">
        <v>8</v>
      </c>
      <c r="AI386" s="30">
        <f t="shared" si="446"/>
        <v>0.253997184559532</v>
      </c>
      <c r="AJ386" s="30"/>
      <c r="AK386" s="30"/>
      <c r="AL386" s="30"/>
      <c r="AM386" s="30"/>
      <c r="AN386" s="34"/>
      <c r="AO386" s="34"/>
      <c r="AP386" s="34"/>
      <c r="AQ386" s="34"/>
      <c r="AR386" s="34"/>
      <c r="AS386" s="34"/>
      <c r="AT386" s="34" t="s">
        <v>156</v>
      </c>
      <c r="AU386" s="34" t="s">
        <v>156</v>
      </c>
      <c r="AV386" s="34" t="s">
        <v>156</v>
      </c>
      <c r="AW386" s="34" t="s">
        <v>156</v>
      </c>
      <c r="AX386" s="34" t="s">
        <v>156</v>
      </c>
      <c r="AY386" s="34" t="s">
        <v>156</v>
      </c>
      <c r="AZ386" s="34" t="s">
        <v>156</v>
      </c>
      <c r="BA386" s="34" t="s">
        <v>156</v>
      </c>
      <c r="BB386" s="34" t="s">
        <v>156</v>
      </c>
      <c r="BC386" s="34" t="s">
        <v>156</v>
      </c>
      <c r="BD386" s="34" t="s">
        <v>156</v>
      </c>
      <c r="BE386" s="34" t="s">
        <v>156</v>
      </c>
      <c r="BF386" s="34" t="s">
        <v>156</v>
      </c>
      <c r="BG386" s="34" t="s">
        <v>156</v>
      </c>
      <c r="BH386" s="34" t="s">
        <v>156</v>
      </c>
      <c r="BI386" s="34" t="s">
        <v>156</v>
      </c>
      <c r="BJ386" s="34" t="s">
        <v>156</v>
      </c>
      <c r="BK386" s="34" t="s">
        <v>156</v>
      </c>
      <c r="BL386" s="34" t="s">
        <v>156</v>
      </c>
      <c r="BM386" s="34" t="s">
        <v>156</v>
      </c>
      <c r="BN386" s="34" t="s">
        <v>156</v>
      </c>
      <c r="BO386" s="34" t="s">
        <v>156</v>
      </c>
      <c r="BP386" s="34" t="s">
        <v>156</v>
      </c>
      <c r="BQ386" s="34" t="s">
        <v>156</v>
      </c>
      <c r="BR386" s="35"/>
      <c r="BS386" s="20" t="s">
        <v>157</v>
      </c>
    </row>
    <row r="387" ht="16.5" hidden="1" spans="1:71">
      <c r="A387" s="21" t="s">
        <v>43</v>
      </c>
      <c r="B387" s="21"/>
      <c r="C387" s="45"/>
      <c r="D387" s="59" t="s">
        <v>263</v>
      </c>
      <c r="E387" s="55">
        <v>31</v>
      </c>
      <c r="F387" s="24">
        <v>44.99</v>
      </c>
      <c r="G387" s="25">
        <f t="shared" si="428"/>
        <v>38.2415</v>
      </c>
      <c r="H387" s="25">
        <f t="shared" si="429"/>
        <v>31.8679166666667</v>
      </c>
      <c r="I387" s="25">
        <f t="shared" si="430"/>
        <v>1.68274778761062</v>
      </c>
      <c r="J387" s="26">
        <f t="shared" si="431"/>
        <v>0.0542821866971168</v>
      </c>
      <c r="K387" s="27">
        <f t="shared" si="432"/>
        <v>37.4916666666667</v>
      </c>
      <c r="L387" s="28">
        <f t="shared" si="433"/>
        <v>0.173149588797511</v>
      </c>
      <c r="M387" s="25">
        <f t="shared" si="434"/>
        <v>6.49166666666667</v>
      </c>
      <c r="N387" s="27">
        <f t="shared" si="447"/>
        <v>87.646017699115</v>
      </c>
      <c r="O387" s="27">
        <f t="shared" si="435"/>
        <v>0.475</v>
      </c>
      <c r="P387" s="21">
        <v>30</v>
      </c>
      <c r="Q387" s="29">
        <v>8</v>
      </c>
      <c r="R387" s="30">
        <f t="shared" si="436"/>
        <v>0.161290322580645</v>
      </c>
      <c r="S387" s="26">
        <f t="shared" si="437"/>
        <v>0.111135807957324</v>
      </c>
      <c r="T387" s="30">
        <f t="shared" si="438"/>
        <v>0.217693548387097</v>
      </c>
      <c r="U387" s="30">
        <v>0.01</v>
      </c>
      <c r="V387" s="30">
        <f t="shared" si="439"/>
        <v>0.35341136168998</v>
      </c>
      <c r="W387" s="30">
        <f t="shared" si="440"/>
        <v>0.0153225806451613</v>
      </c>
      <c r="X387" s="31">
        <v>0.188</v>
      </c>
      <c r="Y387" s="32">
        <v>5</v>
      </c>
      <c r="Z387" s="32">
        <f>F387*0.15</f>
        <v>6.7485</v>
      </c>
      <c r="AA387" s="32">
        <f t="shared" si="441"/>
        <v>0.31</v>
      </c>
      <c r="AB387" s="27">
        <f t="shared" si="442"/>
        <v>5.828</v>
      </c>
      <c r="AC387" s="27">
        <v>90</v>
      </c>
      <c r="AD387" s="33">
        <f t="shared" si="443"/>
        <v>79.646017699115</v>
      </c>
      <c r="AE387" s="29">
        <f t="shared" si="448"/>
        <v>1</v>
      </c>
      <c r="AF387" s="30">
        <f t="shared" si="444"/>
        <v>0.321153297173851</v>
      </c>
      <c r="AG387" s="30">
        <f t="shared" si="445"/>
        <v>0.00403225806451613</v>
      </c>
      <c r="AH387" s="29">
        <v>8</v>
      </c>
      <c r="AI387" s="30">
        <f t="shared" si="446"/>
        <v>0.21011466600421</v>
      </c>
      <c r="AJ387" s="30"/>
      <c r="AK387" s="30"/>
      <c r="AL387" s="30"/>
      <c r="AM387" s="30"/>
      <c r="AN387" s="34"/>
      <c r="AO387" s="34"/>
      <c r="AP387" s="34"/>
      <c r="AQ387" s="34"/>
      <c r="AR387" s="34"/>
      <c r="AS387" s="34"/>
      <c r="AT387" s="34" t="s">
        <v>156</v>
      </c>
      <c r="AU387" s="34" t="s">
        <v>156</v>
      </c>
      <c r="AV387" s="34" t="s">
        <v>156</v>
      </c>
      <c r="AW387" s="34" t="s">
        <v>156</v>
      </c>
      <c r="AX387" s="34" t="s">
        <v>156</v>
      </c>
      <c r="AY387" s="34" t="s">
        <v>156</v>
      </c>
      <c r="AZ387" s="34" t="s">
        <v>156</v>
      </c>
      <c r="BA387" s="34" t="s">
        <v>156</v>
      </c>
      <c r="BB387" s="34" t="s">
        <v>156</v>
      </c>
      <c r="BC387" s="34" t="s">
        <v>156</v>
      </c>
      <c r="BD387" s="34" t="s">
        <v>156</v>
      </c>
      <c r="BE387" s="34" t="s">
        <v>156</v>
      </c>
      <c r="BF387" s="34" t="s">
        <v>156</v>
      </c>
      <c r="BG387" s="34" t="s">
        <v>156</v>
      </c>
      <c r="BH387" s="34" t="s">
        <v>156</v>
      </c>
      <c r="BI387" s="34" t="s">
        <v>156</v>
      </c>
      <c r="BJ387" s="34" t="s">
        <v>156</v>
      </c>
      <c r="BK387" s="34" t="s">
        <v>156</v>
      </c>
      <c r="BL387" s="34" t="s">
        <v>156</v>
      </c>
      <c r="BM387" s="34" t="s">
        <v>156</v>
      </c>
      <c r="BN387" s="34" t="s">
        <v>156</v>
      </c>
      <c r="BO387" s="34" t="s">
        <v>156</v>
      </c>
      <c r="BP387" s="34" t="s">
        <v>156</v>
      </c>
      <c r="BQ387" s="34" t="s">
        <v>156</v>
      </c>
      <c r="BR387" s="35"/>
      <c r="BS387" s="20" t="s">
        <v>157</v>
      </c>
    </row>
    <row r="388" ht="16.5" hidden="1" spans="1:71">
      <c r="A388" s="21" t="s">
        <v>45</v>
      </c>
      <c r="B388" s="21"/>
      <c r="C388" s="45"/>
      <c r="D388" s="59" t="s">
        <v>261</v>
      </c>
      <c r="E388" s="55">
        <v>31</v>
      </c>
      <c r="F388" s="24">
        <v>44.99</v>
      </c>
      <c r="G388" s="25">
        <f t="shared" si="428"/>
        <v>44.99</v>
      </c>
      <c r="H388" s="25">
        <f t="shared" si="429"/>
        <v>37.4916666666667</v>
      </c>
      <c r="I388" s="25">
        <f t="shared" si="430"/>
        <v>8.39791445427729</v>
      </c>
      <c r="J388" s="26">
        <f t="shared" si="431"/>
        <v>0.270900466267009</v>
      </c>
      <c r="K388" s="27">
        <f t="shared" si="432"/>
        <v>37.4916666666667</v>
      </c>
      <c r="L388" s="28">
        <f t="shared" si="433"/>
        <v>0.173149588797511</v>
      </c>
      <c r="M388" s="25">
        <f t="shared" si="434"/>
        <v>6.49166666666667</v>
      </c>
      <c r="N388" s="27">
        <f t="shared" si="447"/>
        <v>87.646017699115</v>
      </c>
      <c r="O388" s="27">
        <f t="shared" si="435"/>
        <v>0.508333333333333</v>
      </c>
      <c r="P388" s="21">
        <v>30</v>
      </c>
      <c r="Q388" s="29">
        <v>8</v>
      </c>
      <c r="R388" s="30">
        <f t="shared" si="436"/>
        <v>0.161290322580645</v>
      </c>
      <c r="S388" s="26">
        <f t="shared" si="437"/>
        <v>0.111135807957324</v>
      </c>
      <c r="T388" s="30">
        <f t="shared" si="438"/>
        <v>0</v>
      </c>
      <c r="U388" s="30">
        <v>0.01</v>
      </c>
      <c r="V388" s="30">
        <f t="shared" si="439"/>
        <v>0.35341136168998</v>
      </c>
      <c r="W388" s="30">
        <f t="shared" si="440"/>
        <v>0.0163978494623656</v>
      </c>
      <c r="X388" s="31">
        <v>0.188</v>
      </c>
      <c r="Y388" s="32">
        <v>5</v>
      </c>
      <c r="Z388" s="32">
        <v>0</v>
      </c>
      <c r="AA388" s="32">
        <f t="shared" si="441"/>
        <v>0.31</v>
      </c>
      <c r="AB388" s="27">
        <f t="shared" si="442"/>
        <v>5.828</v>
      </c>
      <c r="AC388" s="27">
        <v>90</v>
      </c>
      <c r="AD388" s="33">
        <f t="shared" si="443"/>
        <v>79.646017699115</v>
      </c>
      <c r="AE388" s="29">
        <f t="shared" si="448"/>
        <v>1</v>
      </c>
      <c r="AF388" s="30">
        <f t="shared" si="444"/>
        <v>0.321153297173851</v>
      </c>
      <c r="AG388" s="30">
        <f t="shared" si="445"/>
        <v>0.00403225806451613</v>
      </c>
      <c r="AH388" s="29">
        <v>8</v>
      </c>
      <c r="AI388" s="26">
        <f t="shared" si="446"/>
        <v>0.328597466103579</v>
      </c>
      <c r="AJ388" s="26"/>
      <c r="AK388" s="26"/>
      <c r="AL388" s="26"/>
      <c r="AM388" s="26"/>
      <c r="AN388" s="34"/>
      <c r="AO388" s="34"/>
      <c r="AP388" s="34"/>
      <c r="AQ388" s="34"/>
      <c r="AR388" s="34"/>
      <c r="AS388" s="34"/>
      <c r="AT388" s="34" t="s">
        <v>156</v>
      </c>
      <c r="AU388" s="34" t="s">
        <v>156</v>
      </c>
      <c r="AV388" s="34" t="s">
        <v>156</v>
      </c>
      <c r="AW388" s="34" t="s">
        <v>156</v>
      </c>
      <c r="AX388" s="34" t="s">
        <v>156</v>
      </c>
      <c r="AY388" s="34" t="s">
        <v>156</v>
      </c>
      <c r="AZ388" s="34" t="s">
        <v>156</v>
      </c>
      <c r="BA388" s="34" t="s">
        <v>156</v>
      </c>
      <c r="BB388" s="34" t="s">
        <v>156</v>
      </c>
      <c r="BC388" s="34" t="s">
        <v>156</v>
      </c>
      <c r="BD388" s="34" t="s">
        <v>156</v>
      </c>
      <c r="BE388" s="34" t="s">
        <v>156</v>
      </c>
      <c r="BF388" s="34" t="s">
        <v>156</v>
      </c>
      <c r="BG388" s="34" t="s">
        <v>156</v>
      </c>
      <c r="BH388" s="34" t="s">
        <v>156</v>
      </c>
      <c r="BI388" s="34" t="s">
        <v>156</v>
      </c>
      <c r="BJ388" s="34" t="s">
        <v>156</v>
      </c>
      <c r="BK388" s="34" t="s">
        <v>156</v>
      </c>
      <c r="BL388" s="34" t="s">
        <v>156</v>
      </c>
      <c r="BM388" s="34" t="s">
        <v>156</v>
      </c>
      <c r="BN388" s="34" t="s">
        <v>156</v>
      </c>
      <c r="BO388" s="34" t="s">
        <v>156</v>
      </c>
      <c r="BP388" s="34" t="s">
        <v>156</v>
      </c>
      <c r="BQ388" s="34" t="s">
        <v>156</v>
      </c>
      <c r="BR388" s="35"/>
      <c r="BS388" s="20" t="s">
        <v>157</v>
      </c>
    </row>
    <row r="389" ht="16.5" hidden="1" spans="1:71">
      <c r="A389" s="21" t="s">
        <v>45</v>
      </c>
      <c r="B389" s="21"/>
      <c r="C389" s="45"/>
      <c r="D389" s="59" t="s">
        <v>262</v>
      </c>
      <c r="E389" s="55">
        <v>31</v>
      </c>
      <c r="F389" s="24">
        <v>44.99</v>
      </c>
      <c r="G389" s="25">
        <f t="shared" si="428"/>
        <v>40.491</v>
      </c>
      <c r="H389" s="25">
        <f t="shared" si="429"/>
        <v>33.7425</v>
      </c>
      <c r="I389" s="36">
        <f t="shared" si="430"/>
        <v>3.89891445427729</v>
      </c>
      <c r="J389" s="26">
        <f t="shared" si="431"/>
        <v>0.125771434008945</v>
      </c>
      <c r="K389" s="27">
        <f t="shared" si="432"/>
        <v>37.4916666666667</v>
      </c>
      <c r="L389" s="28">
        <f t="shared" si="433"/>
        <v>0.173149588797511</v>
      </c>
      <c r="M389" s="25">
        <f t="shared" si="434"/>
        <v>6.49166666666667</v>
      </c>
      <c r="N389" s="27">
        <f t="shared" si="447"/>
        <v>87.646017699115</v>
      </c>
      <c r="O389" s="27">
        <f t="shared" si="435"/>
        <v>0.508333333333333</v>
      </c>
      <c r="P389" s="21">
        <v>30</v>
      </c>
      <c r="Q389" s="29">
        <v>8</v>
      </c>
      <c r="R389" s="30">
        <f t="shared" si="436"/>
        <v>0.161290322580645</v>
      </c>
      <c r="S389" s="26">
        <f t="shared" si="437"/>
        <v>0.111135807957324</v>
      </c>
      <c r="T389" s="30">
        <f t="shared" si="438"/>
        <v>0.145129032258065</v>
      </c>
      <c r="U389" s="30">
        <v>0.01</v>
      </c>
      <c r="V389" s="30">
        <f t="shared" si="439"/>
        <v>0.35341136168998</v>
      </c>
      <c r="W389" s="30">
        <f t="shared" si="440"/>
        <v>0.0163978494623656</v>
      </c>
      <c r="X389" s="31">
        <v>0.188</v>
      </c>
      <c r="Y389" s="32">
        <v>5</v>
      </c>
      <c r="Z389" s="32">
        <f>F389*0.1</f>
        <v>4.499</v>
      </c>
      <c r="AA389" s="32">
        <f t="shared" si="441"/>
        <v>0.31</v>
      </c>
      <c r="AB389" s="27">
        <f t="shared" si="442"/>
        <v>5.828</v>
      </c>
      <c r="AC389" s="27">
        <v>90</v>
      </c>
      <c r="AD389" s="33">
        <f t="shared" si="443"/>
        <v>79.646017699115</v>
      </c>
      <c r="AE389" s="29">
        <f t="shared" si="448"/>
        <v>1</v>
      </c>
      <c r="AF389" s="30">
        <f t="shared" si="444"/>
        <v>0.321153297173851</v>
      </c>
      <c r="AG389" s="30">
        <f t="shared" si="445"/>
        <v>0.00403225806451613</v>
      </c>
      <c r="AH389" s="29">
        <v>8</v>
      </c>
      <c r="AI389" s="26">
        <f t="shared" si="446"/>
        <v>0.253997184559532</v>
      </c>
      <c r="AJ389" s="26"/>
      <c r="AK389" s="26"/>
      <c r="AL389" s="26"/>
      <c r="AM389" s="26"/>
      <c r="AN389" s="34"/>
      <c r="AO389" s="34"/>
      <c r="AP389" s="34"/>
      <c r="AQ389" s="34"/>
      <c r="AR389" s="34"/>
      <c r="AS389" s="34"/>
      <c r="AT389" s="34" t="s">
        <v>156</v>
      </c>
      <c r="AU389" s="34" t="s">
        <v>156</v>
      </c>
      <c r="AV389" s="34" t="s">
        <v>156</v>
      </c>
      <c r="AW389" s="34" t="s">
        <v>156</v>
      </c>
      <c r="AX389" s="34" t="s">
        <v>156</v>
      </c>
      <c r="AY389" s="34" t="s">
        <v>156</v>
      </c>
      <c r="AZ389" s="34" t="s">
        <v>156</v>
      </c>
      <c r="BA389" s="34" t="s">
        <v>156</v>
      </c>
      <c r="BB389" s="34" t="s">
        <v>156</v>
      </c>
      <c r="BC389" s="34" t="s">
        <v>156</v>
      </c>
      <c r="BD389" s="34" t="s">
        <v>156</v>
      </c>
      <c r="BE389" s="34" t="s">
        <v>156</v>
      </c>
      <c r="BF389" s="34" t="s">
        <v>156</v>
      </c>
      <c r="BG389" s="34" t="s">
        <v>156</v>
      </c>
      <c r="BH389" s="34" t="s">
        <v>156</v>
      </c>
      <c r="BI389" s="34" t="s">
        <v>156</v>
      </c>
      <c r="BJ389" s="34" t="s">
        <v>156</v>
      </c>
      <c r="BK389" s="34" t="s">
        <v>156</v>
      </c>
      <c r="BL389" s="34" t="s">
        <v>156</v>
      </c>
      <c r="BM389" s="34" t="s">
        <v>156</v>
      </c>
      <c r="BN389" s="34" t="s">
        <v>156</v>
      </c>
      <c r="BO389" s="34" t="s">
        <v>156</v>
      </c>
      <c r="BP389" s="34" t="s">
        <v>156</v>
      </c>
      <c r="BQ389" s="34" t="s">
        <v>156</v>
      </c>
      <c r="BR389" s="35"/>
      <c r="BS389" s="20" t="s">
        <v>157</v>
      </c>
    </row>
    <row r="390" ht="16.5" hidden="1" spans="1:71">
      <c r="A390" s="21" t="s">
        <v>45</v>
      </c>
      <c r="B390" s="21"/>
      <c r="C390" s="45"/>
      <c r="D390" s="59" t="s">
        <v>263</v>
      </c>
      <c r="E390" s="55">
        <v>31</v>
      </c>
      <c r="F390" s="24">
        <v>44.99</v>
      </c>
      <c r="G390" s="25">
        <f t="shared" si="428"/>
        <v>38.2415</v>
      </c>
      <c r="H390" s="25">
        <f t="shared" si="429"/>
        <v>31.8679166666667</v>
      </c>
      <c r="I390" s="25">
        <f t="shared" si="430"/>
        <v>1.64941445427729</v>
      </c>
      <c r="J390" s="26">
        <f t="shared" si="431"/>
        <v>0.0532069178799125</v>
      </c>
      <c r="K390" s="27">
        <f t="shared" si="432"/>
        <v>37.4916666666667</v>
      </c>
      <c r="L390" s="28">
        <f t="shared" si="433"/>
        <v>0.173149588797511</v>
      </c>
      <c r="M390" s="25">
        <f t="shared" si="434"/>
        <v>6.49166666666667</v>
      </c>
      <c r="N390" s="27">
        <f t="shared" si="447"/>
        <v>87.646017699115</v>
      </c>
      <c r="O390" s="27">
        <f t="shared" si="435"/>
        <v>0.508333333333333</v>
      </c>
      <c r="P390" s="21">
        <v>30</v>
      </c>
      <c r="Q390" s="29">
        <v>8</v>
      </c>
      <c r="R390" s="30">
        <f t="shared" si="436"/>
        <v>0.161290322580645</v>
      </c>
      <c r="S390" s="26">
        <f t="shared" si="437"/>
        <v>0.111135807957324</v>
      </c>
      <c r="T390" s="30">
        <f t="shared" si="438"/>
        <v>0.217693548387097</v>
      </c>
      <c r="U390" s="30">
        <v>0.01</v>
      </c>
      <c r="V390" s="30">
        <f t="shared" si="439"/>
        <v>0.35341136168998</v>
      </c>
      <c r="W390" s="30">
        <f t="shared" si="440"/>
        <v>0.0163978494623656</v>
      </c>
      <c r="X390" s="31">
        <v>0.188</v>
      </c>
      <c r="Y390" s="32">
        <v>5</v>
      </c>
      <c r="Z390" s="32">
        <f>F390*0.15</f>
        <v>6.7485</v>
      </c>
      <c r="AA390" s="32">
        <f t="shared" si="441"/>
        <v>0.31</v>
      </c>
      <c r="AB390" s="27">
        <f t="shared" si="442"/>
        <v>5.828</v>
      </c>
      <c r="AC390" s="27">
        <v>90</v>
      </c>
      <c r="AD390" s="33">
        <f t="shared" si="443"/>
        <v>79.646017699115</v>
      </c>
      <c r="AE390" s="29">
        <f t="shared" si="448"/>
        <v>1</v>
      </c>
      <c r="AF390" s="30">
        <f t="shared" si="444"/>
        <v>0.321153297173851</v>
      </c>
      <c r="AG390" s="30">
        <f t="shared" si="445"/>
        <v>0.00403225806451613</v>
      </c>
      <c r="AH390" s="29">
        <v>8</v>
      </c>
      <c r="AI390" s="26">
        <f t="shared" si="446"/>
        <v>0.21011466600421</v>
      </c>
      <c r="AJ390" s="26"/>
      <c r="AK390" s="26"/>
      <c r="AL390" s="26"/>
      <c r="AM390" s="26"/>
      <c r="AN390" s="34"/>
      <c r="AO390" s="34"/>
      <c r="AP390" s="34"/>
      <c r="AQ390" s="34"/>
      <c r="AR390" s="34"/>
      <c r="AS390" s="34"/>
      <c r="AT390" s="34" t="s">
        <v>156</v>
      </c>
      <c r="AU390" s="34" t="s">
        <v>156</v>
      </c>
      <c r="AV390" s="34" t="s">
        <v>156</v>
      </c>
      <c r="AW390" s="34" t="s">
        <v>156</v>
      </c>
      <c r="AX390" s="34" t="s">
        <v>156</v>
      </c>
      <c r="AY390" s="34" t="s">
        <v>156</v>
      </c>
      <c r="AZ390" s="34" t="s">
        <v>156</v>
      </c>
      <c r="BA390" s="34" t="s">
        <v>156</v>
      </c>
      <c r="BB390" s="34" t="s">
        <v>156</v>
      </c>
      <c r="BC390" s="34" t="s">
        <v>156</v>
      </c>
      <c r="BD390" s="34" t="s">
        <v>156</v>
      </c>
      <c r="BE390" s="34" t="s">
        <v>156</v>
      </c>
      <c r="BF390" s="34" t="s">
        <v>156</v>
      </c>
      <c r="BG390" s="34" t="s">
        <v>156</v>
      </c>
      <c r="BH390" s="34" t="s">
        <v>156</v>
      </c>
      <c r="BI390" s="34" t="s">
        <v>156</v>
      </c>
      <c r="BJ390" s="34" t="s">
        <v>156</v>
      </c>
      <c r="BK390" s="34" t="s">
        <v>156</v>
      </c>
      <c r="BL390" s="34" t="s">
        <v>156</v>
      </c>
      <c r="BM390" s="34" t="s">
        <v>156</v>
      </c>
      <c r="BN390" s="34" t="s">
        <v>156</v>
      </c>
      <c r="BO390" s="34" t="s">
        <v>156</v>
      </c>
      <c r="BP390" s="34" t="s">
        <v>156</v>
      </c>
      <c r="BQ390" s="34" t="s">
        <v>156</v>
      </c>
      <c r="BR390" s="35"/>
      <c r="BS390" s="20" t="s">
        <v>157</v>
      </c>
    </row>
    <row r="391" ht="16.5" hidden="1" spans="1:71">
      <c r="A391" s="21" t="s">
        <v>48</v>
      </c>
      <c r="B391" s="21"/>
      <c r="C391" s="45"/>
      <c r="D391" s="59" t="s">
        <v>261</v>
      </c>
      <c r="E391" s="55">
        <v>31</v>
      </c>
      <c r="F391" s="24">
        <v>44.99</v>
      </c>
      <c r="G391" s="25">
        <f t="shared" si="428"/>
        <v>44.99</v>
      </c>
      <c r="H391" s="25">
        <f t="shared" si="429"/>
        <v>37.4916666666667</v>
      </c>
      <c r="I391" s="25">
        <f t="shared" si="430"/>
        <v>8.26458112094395</v>
      </c>
      <c r="J391" s="26">
        <f t="shared" si="431"/>
        <v>0.266599390998192</v>
      </c>
      <c r="K391" s="27">
        <f t="shared" si="432"/>
        <v>37.4916666666667</v>
      </c>
      <c r="L391" s="28">
        <f t="shared" si="433"/>
        <v>0.173149588797511</v>
      </c>
      <c r="M391" s="25">
        <f t="shared" si="434"/>
        <v>6.49166666666667</v>
      </c>
      <c r="N391" s="27">
        <f t="shared" si="447"/>
        <v>87.646017699115</v>
      </c>
      <c r="O391" s="27">
        <f t="shared" si="435"/>
        <v>0.641666666666667</v>
      </c>
      <c r="P391" s="21">
        <v>30</v>
      </c>
      <c r="Q391" s="29">
        <v>8</v>
      </c>
      <c r="R391" s="30">
        <f t="shared" si="436"/>
        <v>0.161290322580645</v>
      </c>
      <c r="S391" s="26">
        <f t="shared" si="437"/>
        <v>0.111135807957324</v>
      </c>
      <c r="T391" s="30">
        <f t="shared" si="438"/>
        <v>0</v>
      </c>
      <c r="U391" s="30">
        <v>0.01</v>
      </c>
      <c r="V391" s="30">
        <f t="shared" si="439"/>
        <v>0.35341136168998</v>
      </c>
      <c r="W391" s="30">
        <f t="shared" si="440"/>
        <v>0.0206989247311828</v>
      </c>
      <c r="X391" s="31">
        <v>0.188</v>
      </c>
      <c r="Y391" s="32">
        <v>5</v>
      </c>
      <c r="Z391" s="32">
        <v>0</v>
      </c>
      <c r="AA391" s="32">
        <f t="shared" si="441"/>
        <v>0.31</v>
      </c>
      <c r="AB391" s="27">
        <f t="shared" si="442"/>
        <v>5.828</v>
      </c>
      <c r="AC391" s="27">
        <v>90</v>
      </c>
      <c r="AD391" s="33">
        <f t="shared" si="443"/>
        <v>79.646017699115</v>
      </c>
      <c r="AE391" s="29">
        <f t="shared" si="448"/>
        <v>1</v>
      </c>
      <c r="AF391" s="30">
        <f t="shared" si="444"/>
        <v>0.321153297173851</v>
      </c>
      <c r="AG391" s="30">
        <f t="shared" si="445"/>
        <v>0.00403225806451613</v>
      </c>
      <c r="AH391" s="29">
        <v>8</v>
      </c>
      <c r="AI391" s="30">
        <f t="shared" si="446"/>
        <v>0.328597466103579</v>
      </c>
      <c r="AJ391" s="30"/>
      <c r="AK391" s="30"/>
      <c r="AL391" s="30"/>
      <c r="AM391" s="30"/>
      <c r="AN391" s="34"/>
      <c r="AO391" s="34"/>
      <c r="AP391" s="34"/>
      <c r="AQ391" s="34"/>
      <c r="AR391" s="34"/>
      <c r="AS391" s="34"/>
      <c r="AT391" s="34" t="s">
        <v>156</v>
      </c>
      <c r="AU391" s="34" t="s">
        <v>156</v>
      </c>
      <c r="AV391" s="34" t="s">
        <v>156</v>
      </c>
      <c r="AW391" s="34" t="s">
        <v>156</v>
      </c>
      <c r="AX391" s="34" t="s">
        <v>156</v>
      </c>
      <c r="AY391" s="34" t="s">
        <v>156</v>
      </c>
      <c r="AZ391" s="34" t="s">
        <v>156</v>
      </c>
      <c r="BA391" s="34" t="s">
        <v>156</v>
      </c>
      <c r="BB391" s="34" t="s">
        <v>156</v>
      </c>
      <c r="BC391" s="34" t="s">
        <v>156</v>
      </c>
      <c r="BD391" s="34" t="s">
        <v>156</v>
      </c>
      <c r="BE391" s="34" t="s">
        <v>156</v>
      </c>
      <c r="BF391" s="34" t="s">
        <v>156</v>
      </c>
      <c r="BG391" s="34" t="s">
        <v>156</v>
      </c>
      <c r="BH391" s="34" t="s">
        <v>156</v>
      </c>
      <c r="BI391" s="34" t="s">
        <v>156</v>
      </c>
      <c r="BJ391" s="34" t="s">
        <v>156</v>
      </c>
      <c r="BK391" s="34" t="s">
        <v>156</v>
      </c>
      <c r="BL391" s="34" t="s">
        <v>156</v>
      </c>
      <c r="BM391" s="34" t="s">
        <v>156</v>
      </c>
      <c r="BN391" s="34" t="s">
        <v>156</v>
      </c>
      <c r="BO391" s="34" t="s">
        <v>156</v>
      </c>
      <c r="BP391" s="34" t="s">
        <v>156</v>
      </c>
      <c r="BQ391" s="34" t="s">
        <v>156</v>
      </c>
      <c r="BR391" s="35"/>
      <c r="BS391" s="20" t="s">
        <v>157</v>
      </c>
    </row>
    <row r="392" ht="16.5" hidden="1" spans="1:71">
      <c r="A392" s="21" t="s">
        <v>48</v>
      </c>
      <c r="B392" s="21"/>
      <c r="C392" s="45"/>
      <c r="D392" s="59" t="s">
        <v>262</v>
      </c>
      <c r="E392" s="55">
        <v>31</v>
      </c>
      <c r="F392" s="24">
        <v>44.99</v>
      </c>
      <c r="G392" s="25">
        <f t="shared" si="428"/>
        <v>40.491</v>
      </c>
      <c r="H392" s="25">
        <f t="shared" si="429"/>
        <v>33.7425</v>
      </c>
      <c r="I392" s="36">
        <f t="shared" si="430"/>
        <v>3.76558112094395</v>
      </c>
      <c r="J392" s="26">
        <f t="shared" si="431"/>
        <v>0.121470358740127</v>
      </c>
      <c r="K392" s="27">
        <f t="shared" si="432"/>
        <v>37.4916666666667</v>
      </c>
      <c r="L392" s="28">
        <f t="shared" si="433"/>
        <v>0.173149588797511</v>
      </c>
      <c r="M392" s="25">
        <f t="shared" si="434"/>
        <v>6.49166666666667</v>
      </c>
      <c r="N392" s="27">
        <f t="shared" si="447"/>
        <v>87.646017699115</v>
      </c>
      <c r="O392" s="27">
        <f t="shared" si="435"/>
        <v>0.641666666666667</v>
      </c>
      <c r="P392" s="21">
        <v>30</v>
      </c>
      <c r="Q392" s="29">
        <v>8</v>
      </c>
      <c r="R392" s="30">
        <f t="shared" si="436"/>
        <v>0.161290322580645</v>
      </c>
      <c r="S392" s="26">
        <f t="shared" si="437"/>
        <v>0.111135807957324</v>
      </c>
      <c r="T392" s="30">
        <f t="shared" si="438"/>
        <v>0.145129032258065</v>
      </c>
      <c r="U392" s="30">
        <v>0.01</v>
      </c>
      <c r="V392" s="30">
        <f t="shared" si="439"/>
        <v>0.35341136168998</v>
      </c>
      <c r="W392" s="30">
        <f t="shared" si="440"/>
        <v>0.0206989247311828</v>
      </c>
      <c r="X392" s="31">
        <v>0.188</v>
      </c>
      <c r="Y392" s="32">
        <v>5</v>
      </c>
      <c r="Z392" s="32">
        <f>F392*0.1</f>
        <v>4.499</v>
      </c>
      <c r="AA392" s="32">
        <f t="shared" si="441"/>
        <v>0.31</v>
      </c>
      <c r="AB392" s="27">
        <f t="shared" si="442"/>
        <v>5.828</v>
      </c>
      <c r="AC392" s="27">
        <v>90</v>
      </c>
      <c r="AD392" s="33">
        <f t="shared" si="443"/>
        <v>79.646017699115</v>
      </c>
      <c r="AE392" s="29">
        <f t="shared" si="448"/>
        <v>1</v>
      </c>
      <c r="AF392" s="30">
        <f t="shared" si="444"/>
        <v>0.321153297173851</v>
      </c>
      <c r="AG392" s="30">
        <f t="shared" si="445"/>
        <v>0.00403225806451613</v>
      </c>
      <c r="AH392" s="29">
        <v>8</v>
      </c>
      <c r="AI392" s="30">
        <f t="shared" si="446"/>
        <v>0.253997184559532</v>
      </c>
      <c r="AJ392" s="30"/>
      <c r="AK392" s="30"/>
      <c r="AL392" s="30"/>
      <c r="AM392" s="30"/>
      <c r="AN392" s="34"/>
      <c r="AO392" s="34"/>
      <c r="AP392" s="34"/>
      <c r="AQ392" s="34"/>
      <c r="AR392" s="34"/>
      <c r="AS392" s="34"/>
      <c r="AT392" s="34" t="s">
        <v>156</v>
      </c>
      <c r="AU392" s="34" t="s">
        <v>156</v>
      </c>
      <c r="AV392" s="34" t="s">
        <v>156</v>
      </c>
      <c r="AW392" s="34" t="s">
        <v>156</v>
      </c>
      <c r="AX392" s="34" t="s">
        <v>156</v>
      </c>
      <c r="AY392" s="34" t="s">
        <v>156</v>
      </c>
      <c r="AZ392" s="34" t="s">
        <v>156</v>
      </c>
      <c r="BA392" s="34" t="s">
        <v>156</v>
      </c>
      <c r="BB392" s="34" t="s">
        <v>156</v>
      </c>
      <c r="BC392" s="34" t="s">
        <v>156</v>
      </c>
      <c r="BD392" s="34" t="s">
        <v>156</v>
      </c>
      <c r="BE392" s="34" t="s">
        <v>156</v>
      </c>
      <c r="BF392" s="34" t="s">
        <v>156</v>
      </c>
      <c r="BG392" s="34" t="s">
        <v>156</v>
      </c>
      <c r="BH392" s="34" t="s">
        <v>156</v>
      </c>
      <c r="BI392" s="34" t="s">
        <v>156</v>
      </c>
      <c r="BJ392" s="34" t="s">
        <v>156</v>
      </c>
      <c r="BK392" s="34" t="s">
        <v>156</v>
      </c>
      <c r="BL392" s="34" t="s">
        <v>156</v>
      </c>
      <c r="BM392" s="34" t="s">
        <v>156</v>
      </c>
      <c r="BN392" s="34" t="s">
        <v>156</v>
      </c>
      <c r="BO392" s="34" t="s">
        <v>156</v>
      </c>
      <c r="BP392" s="34" t="s">
        <v>156</v>
      </c>
      <c r="BQ392" s="34" t="s">
        <v>156</v>
      </c>
      <c r="BR392" s="35"/>
      <c r="BS392" s="20" t="s">
        <v>157</v>
      </c>
    </row>
    <row r="393" ht="16.5" hidden="1" spans="1:71">
      <c r="A393" s="21" t="s">
        <v>48</v>
      </c>
      <c r="B393" s="21"/>
      <c r="C393" s="45"/>
      <c r="D393" s="59" t="s">
        <v>263</v>
      </c>
      <c r="E393" s="55">
        <v>31</v>
      </c>
      <c r="F393" s="24">
        <v>44.99</v>
      </c>
      <c r="G393" s="25">
        <f t="shared" si="428"/>
        <v>38.2415</v>
      </c>
      <c r="H393" s="25">
        <f t="shared" si="429"/>
        <v>31.8679166666667</v>
      </c>
      <c r="I393" s="25">
        <f t="shared" si="430"/>
        <v>1.51608112094395</v>
      </c>
      <c r="J393" s="26">
        <f t="shared" si="431"/>
        <v>0.0489058426110952</v>
      </c>
      <c r="K393" s="27">
        <f t="shared" si="432"/>
        <v>37.4916666666667</v>
      </c>
      <c r="L393" s="28">
        <f t="shared" si="433"/>
        <v>0.173149588797511</v>
      </c>
      <c r="M393" s="25">
        <f t="shared" si="434"/>
        <v>6.49166666666667</v>
      </c>
      <c r="N393" s="27">
        <f t="shared" si="447"/>
        <v>87.646017699115</v>
      </c>
      <c r="O393" s="27">
        <f t="shared" si="435"/>
        <v>0.641666666666667</v>
      </c>
      <c r="P393" s="21">
        <v>30</v>
      </c>
      <c r="Q393" s="29">
        <v>8</v>
      </c>
      <c r="R393" s="30">
        <f t="shared" si="436"/>
        <v>0.161290322580645</v>
      </c>
      <c r="S393" s="26">
        <f t="shared" si="437"/>
        <v>0.111135807957324</v>
      </c>
      <c r="T393" s="30">
        <f t="shared" si="438"/>
        <v>0.217693548387097</v>
      </c>
      <c r="U393" s="30">
        <v>0.01</v>
      </c>
      <c r="V393" s="30">
        <f t="shared" si="439"/>
        <v>0.35341136168998</v>
      </c>
      <c r="W393" s="30">
        <f t="shared" si="440"/>
        <v>0.0206989247311828</v>
      </c>
      <c r="X393" s="31">
        <v>0.188</v>
      </c>
      <c r="Y393" s="32">
        <v>5</v>
      </c>
      <c r="Z393" s="32">
        <f>F393*0.15</f>
        <v>6.7485</v>
      </c>
      <c r="AA393" s="32">
        <f t="shared" si="441"/>
        <v>0.31</v>
      </c>
      <c r="AB393" s="27">
        <f t="shared" si="442"/>
        <v>5.828</v>
      </c>
      <c r="AC393" s="27">
        <v>90</v>
      </c>
      <c r="AD393" s="33">
        <f t="shared" si="443"/>
        <v>79.646017699115</v>
      </c>
      <c r="AE393" s="29">
        <f t="shared" si="448"/>
        <v>1</v>
      </c>
      <c r="AF393" s="30">
        <f t="shared" si="444"/>
        <v>0.321153297173851</v>
      </c>
      <c r="AG393" s="30">
        <f t="shared" si="445"/>
        <v>0.00403225806451613</v>
      </c>
      <c r="AH393" s="29">
        <v>8</v>
      </c>
      <c r="AI393" s="30">
        <f t="shared" si="446"/>
        <v>0.21011466600421</v>
      </c>
      <c r="AJ393" s="30"/>
      <c r="AK393" s="30"/>
      <c r="AL393" s="30"/>
      <c r="AM393" s="30"/>
      <c r="AN393" s="34"/>
      <c r="AO393" s="34"/>
      <c r="AP393" s="34"/>
      <c r="AQ393" s="34"/>
      <c r="AR393" s="34"/>
      <c r="AS393" s="34"/>
      <c r="AT393" s="34" t="s">
        <v>156</v>
      </c>
      <c r="AU393" s="34" t="s">
        <v>156</v>
      </c>
      <c r="AV393" s="34" t="s">
        <v>156</v>
      </c>
      <c r="AW393" s="34" t="s">
        <v>156</v>
      </c>
      <c r="AX393" s="34" t="s">
        <v>156</v>
      </c>
      <c r="AY393" s="34" t="s">
        <v>156</v>
      </c>
      <c r="AZ393" s="34" t="s">
        <v>156</v>
      </c>
      <c r="BA393" s="34" t="s">
        <v>156</v>
      </c>
      <c r="BB393" s="34" t="s">
        <v>156</v>
      </c>
      <c r="BC393" s="34" t="s">
        <v>156</v>
      </c>
      <c r="BD393" s="34" t="s">
        <v>156</v>
      </c>
      <c r="BE393" s="34" t="s">
        <v>156</v>
      </c>
      <c r="BF393" s="34" t="s">
        <v>156</v>
      </c>
      <c r="BG393" s="34" t="s">
        <v>156</v>
      </c>
      <c r="BH393" s="34" t="s">
        <v>156</v>
      </c>
      <c r="BI393" s="34" t="s">
        <v>156</v>
      </c>
      <c r="BJ393" s="34" t="s">
        <v>156</v>
      </c>
      <c r="BK393" s="34" t="s">
        <v>156</v>
      </c>
      <c r="BL393" s="34" t="s">
        <v>156</v>
      </c>
      <c r="BM393" s="34" t="s">
        <v>156</v>
      </c>
      <c r="BN393" s="34" t="s">
        <v>156</v>
      </c>
      <c r="BO393" s="34" t="s">
        <v>156</v>
      </c>
      <c r="BP393" s="34" t="s">
        <v>156</v>
      </c>
      <c r="BQ393" s="34" t="s">
        <v>156</v>
      </c>
      <c r="BR393" s="35"/>
      <c r="BS393" s="20" t="s">
        <v>157</v>
      </c>
    </row>
    <row r="394" ht="16.5" hidden="1" spans="1:71">
      <c r="A394" s="21" t="s">
        <v>161</v>
      </c>
      <c r="B394" s="21"/>
      <c r="C394" s="45"/>
      <c r="D394" s="42" t="s">
        <v>264</v>
      </c>
      <c r="E394" s="55">
        <v>34.5</v>
      </c>
      <c r="F394" s="24">
        <v>49.99</v>
      </c>
      <c r="G394" s="25">
        <f t="shared" si="428"/>
        <v>49.99</v>
      </c>
      <c r="H394" s="25">
        <f t="shared" si="429"/>
        <v>41.6583333333333</v>
      </c>
      <c r="I394" s="25">
        <f t="shared" si="430"/>
        <v>16.1549144542773</v>
      </c>
      <c r="J394" s="26">
        <f t="shared" si="431"/>
        <v>0.468258389979052</v>
      </c>
      <c r="K394" s="27">
        <f t="shared" si="432"/>
        <v>41.6583333333333</v>
      </c>
      <c r="L394" s="28">
        <f t="shared" si="433"/>
        <v>0.171834366873375</v>
      </c>
      <c r="M394" s="25">
        <f t="shared" si="434"/>
        <v>7.15833333333334</v>
      </c>
      <c r="N394" s="27">
        <f t="shared" si="447"/>
        <v>87.646017699115</v>
      </c>
      <c r="O394" s="27">
        <f t="shared" si="435"/>
        <v>0.558333333333333</v>
      </c>
      <c r="P394" s="21">
        <v>30</v>
      </c>
      <c r="Q394" s="29">
        <v>8</v>
      </c>
      <c r="R394" s="30">
        <f t="shared" si="436"/>
        <v>0</v>
      </c>
      <c r="S394" s="26">
        <f t="shared" si="437"/>
        <v>0</v>
      </c>
      <c r="T394" s="30">
        <f t="shared" si="438"/>
        <v>0</v>
      </c>
      <c r="U394" s="30">
        <v>0.01</v>
      </c>
      <c r="V394" s="30">
        <f t="shared" si="439"/>
        <v>0.317558035141721</v>
      </c>
      <c r="W394" s="30">
        <f t="shared" si="440"/>
        <v>0.0161835748792271</v>
      </c>
      <c r="X394" s="31">
        <v>0.188</v>
      </c>
      <c r="Y394" s="32">
        <v>0</v>
      </c>
      <c r="Z394" s="32">
        <f t="shared" ref="Z394:Z397" si="449">F394*0</f>
        <v>0</v>
      </c>
      <c r="AA394" s="32">
        <f t="shared" si="441"/>
        <v>0.345</v>
      </c>
      <c r="AB394" s="27">
        <f t="shared" si="442"/>
        <v>6.486</v>
      </c>
      <c r="AC394" s="27">
        <v>90</v>
      </c>
      <c r="AD394" s="33">
        <f t="shared" si="443"/>
        <v>79.646017699115</v>
      </c>
      <c r="AE394" s="29">
        <f t="shared" si="448"/>
        <v>1</v>
      </c>
      <c r="AF394" s="30">
        <f t="shared" si="444"/>
        <v>0.288572527895344</v>
      </c>
      <c r="AG394" s="30">
        <f t="shared" si="445"/>
        <v>0.0036231884057971</v>
      </c>
      <c r="AH394" s="29">
        <v>8</v>
      </c>
      <c r="AI394" s="30">
        <f t="shared" si="446"/>
        <v>0.32752950590118</v>
      </c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 t="s">
        <v>156</v>
      </c>
      <c r="AU394" s="34" t="s">
        <v>156</v>
      </c>
      <c r="AV394" s="34" t="s">
        <v>156</v>
      </c>
      <c r="AW394" s="34" t="s">
        <v>156</v>
      </c>
      <c r="AX394" s="34" t="s">
        <v>156</v>
      </c>
      <c r="AY394" s="34" t="s">
        <v>156</v>
      </c>
      <c r="AZ394" s="34" t="s">
        <v>156</v>
      </c>
      <c r="BA394" s="34" t="s">
        <v>156</v>
      </c>
      <c r="BB394" s="34" t="s">
        <v>156</v>
      </c>
      <c r="BC394" s="34" t="s">
        <v>156</v>
      </c>
      <c r="BD394" s="34" t="s">
        <v>156</v>
      </c>
      <c r="BE394" s="34" t="s">
        <v>156</v>
      </c>
      <c r="BF394" s="34" t="s">
        <v>156</v>
      </c>
      <c r="BG394" s="34" t="s">
        <v>156</v>
      </c>
      <c r="BH394" s="34" t="s">
        <v>156</v>
      </c>
      <c r="BI394" s="34" t="s">
        <v>156</v>
      </c>
      <c r="BJ394" s="34" t="s">
        <v>156</v>
      </c>
      <c r="BK394" s="34" t="s">
        <v>156</v>
      </c>
      <c r="BL394" s="34" t="s">
        <v>156</v>
      </c>
      <c r="BM394" s="34" t="s">
        <v>156</v>
      </c>
      <c r="BN394" s="34" t="s">
        <v>156</v>
      </c>
      <c r="BO394" s="34" t="s">
        <v>156</v>
      </c>
      <c r="BP394" s="34" t="s">
        <v>156</v>
      </c>
      <c r="BQ394" s="34" t="s">
        <v>156</v>
      </c>
      <c r="BR394" s="44" t="e">
        <f>IF(E394&lt;#REF!,1,0)</f>
        <v>#REF!</v>
      </c>
      <c r="BS394" s="20" t="s">
        <v>157</v>
      </c>
    </row>
    <row r="395" ht="16.5" hidden="1" spans="1:71">
      <c r="A395" s="21" t="s">
        <v>163</v>
      </c>
      <c r="B395" s="21"/>
      <c r="C395" s="45"/>
      <c r="D395" s="42" t="s">
        <v>265</v>
      </c>
      <c r="E395" s="55">
        <v>34.5</v>
      </c>
      <c r="F395" s="24">
        <v>49.99</v>
      </c>
      <c r="G395" s="25">
        <f t="shared" si="428"/>
        <v>49.99</v>
      </c>
      <c r="H395" s="25">
        <f t="shared" si="429"/>
        <v>41.6583333333333</v>
      </c>
      <c r="I395" s="25">
        <f t="shared" si="430"/>
        <v>16.2449144542773</v>
      </c>
      <c r="J395" s="26">
        <f t="shared" si="431"/>
        <v>0.470867085631226</v>
      </c>
      <c r="K395" s="27">
        <f t="shared" si="432"/>
        <v>41.6583333333333</v>
      </c>
      <c r="L395" s="28">
        <f t="shared" si="433"/>
        <v>0.171834366873375</v>
      </c>
      <c r="M395" s="25">
        <f t="shared" si="434"/>
        <v>7.15833333333334</v>
      </c>
      <c r="N395" s="27">
        <f t="shared" si="447"/>
        <v>87.646017699115</v>
      </c>
      <c r="O395" s="27">
        <f t="shared" si="435"/>
        <v>0.468333333333333</v>
      </c>
      <c r="P395" s="21">
        <v>30</v>
      </c>
      <c r="Q395" s="29">
        <v>8</v>
      </c>
      <c r="R395" s="30">
        <f t="shared" si="436"/>
        <v>0</v>
      </c>
      <c r="S395" s="26">
        <f t="shared" si="437"/>
        <v>0</v>
      </c>
      <c r="T395" s="30">
        <f t="shared" si="438"/>
        <v>0</v>
      </c>
      <c r="U395" s="30">
        <v>0.01</v>
      </c>
      <c r="V395" s="30">
        <f t="shared" si="439"/>
        <v>0.317558035141721</v>
      </c>
      <c r="W395" s="30">
        <f t="shared" si="440"/>
        <v>0.0135748792270531</v>
      </c>
      <c r="X395" s="31">
        <v>0.188</v>
      </c>
      <c r="Y395" s="32">
        <v>0</v>
      </c>
      <c r="Z395" s="32">
        <f t="shared" si="449"/>
        <v>0</v>
      </c>
      <c r="AA395" s="32">
        <f t="shared" si="441"/>
        <v>0.345</v>
      </c>
      <c r="AB395" s="27">
        <f t="shared" si="442"/>
        <v>6.486</v>
      </c>
      <c r="AC395" s="27">
        <v>90</v>
      </c>
      <c r="AD395" s="33">
        <f t="shared" si="443"/>
        <v>79.646017699115</v>
      </c>
      <c r="AE395" s="29">
        <f t="shared" si="448"/>
        <v>1</v>
      </c>
      <c r="AF395" s="30">
        <f t="shared" si="444"/>
        <v>0.288572527895344</v>
      </c>
      <c r="AG395" s="30">
        <f t="shared" si="445"/>
        <v>0.0036231884057971</v>
      </c>
      <c r="AH395" s="29">
        <v>8</v>
      </c>
      <c r="AI395" s="30">
        <f t="shared" si="446"/>
        <v>0.32752950590118</v>
      </c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 t="s">
        <v>156</v>
      </c>
      <c r="AU395" s="34" t="s">
        <v>156</v>
      </c>
      <c r="AV395" s="34" t="s">
        <v>156</v>
      </c>
      <c r="AW395" s="34" t="s">
        <v>156</v>
      </c>
      <c r="AX395" s="34" t="s">
        <v>156</v>
      </c>
      <c r="AY395" s="34" t="s">
        <v>156</v>
      </c>
      <c r="AZ395" s="34" t="s">
        <v>156</v>
      </c>
      <c r="BA395" s="34" t="s">
        <v>156</v>
      </c>
      <c r="BB395" s="34" t="s">
        <v>156</v>
      </c>
      <c r="BC395" s="34" t="s">
        <v>156</v>
      </c>
      <c r="BD395" s="34" t="s">
        <v>156</v>
      </c>
      <c r="BE395" s="34" t="s">
        <v>156</v>
      </c>
      <c r="BF395" s="34" t="s">
        <v>156</v>
      </c>
      <c r="BG395" s="34" t="s">
        <v>156</v>
      </c>
      <c r="BH395" s="34" t="s">
        <v>156</v>
      </c>
      <c r="BI395" s="34" t="s">
        <v>156</v>
      </c>
      <c r="BJ395" s="34" t="s">
        <v>156</v>
      </c>
      <c r="BK395" s="34" t="s">
        <v>156</v>
      </c>
      <c r="BL395" s="34" t="s">
        <v>156</v>
      </c>
      <c r="BM395" s="34" t="s">
        <v>156</v>
      </c>
      <c r="BN395" s="34" t="s">
        <v>156</v>
      </c>
      <c r="BO395" s="34" t="s">
        <v>156</v>
      </c>
      <c r="BP395" s="34" t="s">
        <v>156</v>
      </c>
      <c r="BQ395" s="34" t="s">
        <v>156</v>
      </c>
      <c r="BR395" s="44" t="e">
        <f>IF(E395&lt;#REF!,1,0)</f>
        <v>#REF!</v>
      </c>
      <c r="BS395" s="20" t="s">
        <v>157</v>
      </c>
    </row>
    <row r="396" ht="16.5" hidden="1" spans="1:71">
      <c r="A396" s="21" t="s">
        <v>165</v>
      </c>
      <c r="B396" s="21"/>
      <c r="C396" s="45"/>
      <c r="D396" s="42" t="s">
        <v>266</v>
      </c>
      <c r="E396" s="55">
        <v>34.5</v>
      </c>
      <c r="F396" s="24">
        <v>49.99</v>
      </c>
      <c r="G396" s="25">
        <f t="shared" si="428"/>
        <v>49.99</v>
      </c>
      <c r="H396" s="25">
        <f t="shared" si="429"/>
        <v>41.6583333333333</v>
      </c>
      <c r="I396" s="25">
        <f t="shared" si="430"/>
        <v>16.1049144542773</v>
      </c>
      <c r="J396" s="26">
        <f t="shared" si="431"/>
        <v>0.466809114616733</v>
      </c>
      <c r="K396" s="27">
        <f t="shared" si="432"/>
        <v>41.6583333333333</v>
      </c>
      <c r="L396" s="28">
        <f t="shared" si="433"/>
        <v>0.171834366873375</v>
      </c>
      <c r="M396" s="25">
        <f t="shared" si="434"/>
        <v>7.15833333333334</v>
      </c>
      <c r="N396" s="27">
        <f t="shared" si="447"/>
        <v>87.646017699115</v>
      </c>
      <c r="O396" s="27">
        <f t="shared" si="435"/>
        <v>0.608333333333333</v>
      </c>
      <c r="P396" s="21">
        <v>30</v>
      </c>
      <c r="Q396" s="29">
        <v>8</v>
      </c>
      <c r="R396" s="30">
        <f t="shared" si="436"/>
        <v>0</v>
      </c>
      <c r="S396" s="26">
        <f t="shared" si="437"/>
        <v>0</v>
      </c>
      <c r="T396" s="30">
        <f t="shared" si="438"/>
        <v>0</v>
      </c>
      <c r="U396" s="30">
        <v>0.01</v>
      </c>
      <c r="V396" s="30">
        <f t="shared" si="439"/>
        <v>0.317558035141721</v>
      </c>
      <c r="W396" s="30">
        <f t="shared" si="440"/>
        <v>0.0176328502415459</v>
      </c>
      <c r="X396" s="31">
        <v>0.188</v>
      </c>
      <c r="Y396" s="32">
        <v>0</v>
      </c>
      <c r="Z396" s="32">
        <f t="shared" si="449"/>
        <v>0</v>
      </c>
      <c r="AA396" s="32">
        <f t="shared" si="441"/>
        <v>0.345</v>
      </c>
      <c r="AB396" s="27">
        <f t="shared" si="442"/>
        <v>6.486</v>
      </c>
      <c r="AC396" s="27">
        <v>90</v>
      </c>
      <c r="AD396" s="33">
        <f t="shared" si="443"/>
        <v>79.646017699115</v>
      </c>
      <c r="AE396" s="29">
        <f t="shared" si="448"/>
        <v>1</v>
      </c>
      <c r="AF396" s="30">
        <f t="shared" si="444"/>
        <v>0.288572527895344</v>
      </c>
      <c r="AG396" s="30">
        <f t="shared" si="445"/>
        <v>0.0036231884057971</v>
      </c>
      <c r="AH396" s="29">
        <v>8</v>
      </c>
      <c r="AI396" s="30">
        <f t="shared" si="446"/>
        <v>0.32752950590118</v>
      </c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 t="s">
        <v>156</v>
      </c>
      <c r="AU396" s="34" t="s">
        <v>156</v>
      </c>
      <c r="AV396" s="34" t="s">
        <v>156</v>
      </c>
      <c r="AW396" s="34" t="s">
        <v>156</v>
      </c>
      <c r="AX396" s="34" t="s">
        <v>156</v>
      </c>
      <c r="AY396" s="34" t="s">
        <v>156</v>
      </c>
      <c r="AZ396" s="34" t="s">
        <v>156</v>
      </c>
      <c r="BA396" s="34" t="s">
        <v>156</v>
      </c>
      <c r="BB396" s="34" t="s">
        <v>156</v>
      </c>
      <c r="BC396" s="34" t="s">
        <v>156</v>
      </c>
      <c r="BD396" s="34" t="s">
        <v>156</v>
      </c>
      <c r="BE396" s="34" t="s">
        <v>156</v>
      </c>
      <c r="BF396" s="34" t="s">
        <v>156</v>
      </c>
      <c r="BG396" s="34" t="s">
        <v>156</v>
      </c>
      <c r="BH396" s="34" t="s">
        <v>156</v>
      </c>
      <c r="BI396" s="34" t="s">
        <v>156</v>
      </c>
      <c r="BJ396" s="34" t="s">
        <v>156</v>
      </c>
      <c r="BK396" s="34" t="s">
        <v>156</v>
      </c>
      <c r="BL396" s="34" t="s">
        <v>156</v>
      </c>
      <c r="BM396" s="34" t="s">
        <v>156</v>
      </c>
      <c r="BN396" s="34" t="s">
        <v>156</v>
      </c>
      <c r="BO396" s="34" t="s">
        <v>156</v>
      </c>
      <c r="BP396" s="34" t="s">
        <v>156</v>
      </c>
      <c r="BQ396" s="34" t="s">
        <v>156</v>
      </c>
      <c r="BR396" s="44" t="e">
        <f>IF(E396&lt;#REF!,1,0)</f>
        <v>#REF!</v>
      </c>
      <c r="BS396" s="20" t="s">
        <v>157</v>
      </c>
    </row>
    <row r="397" ht="16.5" hidden="1" spans="1:71">
      <c r="A397" s="21" t="s">
        <v>167</v>
      </c>
      <c r="B397" s="21"/>
      <c r="C397" s="45"/>
      <c r="D397" s="42" t="s">
        <v>267</v>
      </c>
      <c r="E397" s="55">
        <v>34.5</v>
      </c>
      <c r="F397" s="24">
        <v>49.99</v>
      </c>
      <c r="G397" s="25">
        <f t="shared" si="428"/>
        <v>49.99</v>
      </c>
      <c r="H397" s="25">
        <f t="shared" si="429"/>
        <v>41.6583333333333</v>
      </c>
      <c r="I397" s="25">
        <f t="shared" si="430"/>
        <v>16.2382477876106</v>
      </c>
      <c r="J397" s="26">
        <f t="shared" si="431"/>
        <v>0.47067384891625</v>
      </c>
      <c r="K397" s="27">
        <f t="shared" si="432"/>
        <v>41.6583333333333</v>
      </c>
      <c r="L397" s="28">
        <f t="shared" si="433"/>
        <v>0.171834366873375</v>
      </c>
      <c r="M397" s="25">
        <f t="shared" si="434"/>
        <v>7.15833333333334</v>
      </c>
      <c r="N397" s="27">
        <f t="shared" si="447"/>
        <v>87.646017699115</v>
      </c>
      <c r="O397" s="27">
        <f t="shared" si="435"/>
        <v>0.475</v>
      </c>
      <c r="P397" s="21">
        <v>30</v>
      </c>
      <c r="Q397" s="29">
        <v>8</v>
      </c>
      <c r="R397" s="30">
        <f t="shared" si="436"/>
        <v>0</v>
      </c>
      <c r="S397" s="26">
        <f t="shared" si="437"/>
        <v>0</v>
      </c>
      <c r="T397" s="30">
        <f t="shared" si="438"/>
        <v>0</v>
      </c>
      <c r="U397" s="30">
        <v>0.01</v>
      </c>
      <c r="V397" s="30">
        <f t="shared" si="439"/>
        <v>0.317558035141721</v>
      </c>
      <c r="W397" s="30">
        <f t="shared" si="440"/>
        <v>0.013768115942029</v>
      </c>
      <c r="X397" s="31">
        <v>0.188</v>
      </c>
      <c r="Y397" s="32">
        <v>0</v>
      </c>
      <c r="Z397" s="32">
        <f t="shared" si="449"/>
        <v>0</v>
      </c>
      <c r="AA397" s="32">
        <f t="shared" si="441"/>
        <v>0.345</v>
      </c>
      <c r="AB397" s="27">
        <f t="shared" si="442"/>
        <v>6.486</v>
      </c>
      <c r="AC397" s="27">
        <v>90</v>
      </c>
      <c r="AD397" s="33">
        <f t="shared" si="443"/>
        <v>79.646017699115</v>
      </c>
      <c r="AE397" s="29">
        <f t="shared" si="448"/>
        <v>1</v>
      </c>
      <c r="AF397" s="30">
        <f t="shared" si="444"/>
        <v>0.288572527895344</v>
      </c>
      <c r="AG397" s="30">
        <f t="shared" si="445"/>
        <v>0.0036231884057971</v>
      </c>
      <c r="AH397" s="29">
        <v>8</v>
      </c>
      <c r="AI397" s="30">
        <f t="shared" si="446"/>
        <v>0.32752950590118</v>
      </c>
      <c r="AJ397" s="30"/>
      <c r="AK397" s="30"/>
      <c r="AL397" s="30"/>
      <c r="AM397" s="30"/>
      <c r="AN397" s="34"/>
      <c r="AO397" s="34"/>
      <c r="AP397" s="34"/>
      <c r="AQ397" s="34"/>
      <c r="AR397" s="34"/>
      <c r="AS397" s="34"/>
      <c r="AT397" s="34" t="s">
        <v>156</v>
      </c>
      <c r="AU397" s="34" t="s">
        <v>156</v>
      </c>
      <c r="AV397" s="34" t="s">
        <v>156</v>
      </c>
      <c r="AW397" s="34" t="s">
        <v>156</v>
      </c>
      <c r="AX397" s="34" t="s">
        <v>156</v>
      </c>
      <c r="AY397" s="34" t="s">
        <v>156</v>
      </c>
      <c r="AZ397" s="34" t="s">
        <v>156</v>
      </c>
      <c r="BA397" s="34" t="s">
        <v>156</v>
      </c>
      <c r="BB397" s="34" t="s">
        <v>156</v>
      </c>
      <c r="BC397" s="34" t="s">
        <v>156</v>
      </c>
      <c r="BD397" s="34" t="s">
        <v>156</v>
      </c>
      <c r="BE397" s="34" t="s">
        <v>156</v>
      </c>
      <c r="BF397" s="34" t="s">
        <v>156</v>
      </c>
      <c r="BG397" s="34" t="s">
        <v>156</v>
      </c>
      <c r="BH397" s="34" t="s">
        <v>156</v>
      </c>
      <c r="BI397" s="34" t="s">
        <v>156</v>
      </c>
      <c r="BJ397" s="34" t="s">
        <v>156</v>
      </c>
      <c r="BK397" s="34" t="s">
        <v>156</v>
      </c>
      <c r="BL397" s="34" t="s">
        <v>156</v>
      </c>
      <c r="BM397" s="34" t="s">
        <v>156</v>
      </c>
      <c r="BN397" s="34" t="s">
        <v>156</v>
      </c>
      <c r="BO397" s="34" t="s">
        <v>156</v>
      </c>
      <c r="BP397" s="34" t="s">
        <v>156</v>
      </c>
      <c r="BQ397" s="34" t="s">
        <v>156</v>
      </c>
      <c r="BR397" s="44" t="e">
        <f>IF(E397&lt;#REF!,1,0)</f>
        <v>#REF!</v>
      </c>
      <c r="BS397" s="20" t="s">
        <v>157</v>
      </c>
    </row>
    <row r="398" hidden="1"/>
    <row r="399" ht="16.5" hidden="1" spans="1:71">
      <c r="A399" s="20" t="s">
        <v>50</v>
      </c>
      <c r="B399" s="21"/>
      <c r="C399" s="51"/>
      <c r="D399" s="59" t="s">
        <v>268</v>
      </c>
      <c r="E399" s="55">
        <v>15.2</v>
      </c>
      <c r="F399" s="38">
        <v>21.99</v>
      </c>
      <c r="G399" s="25">
        <f t="shared" ref="G399:G417" si="450">(F399-Z399)</f>
        <v>21.99</v>
      </c>
      <c r="H399" s="25">
        <f t="shared" ref="H399:H417" si="451">(F399-Z399)/1.2</f>
        <v>18.325</v>
      </c>
      <c r="I399" s="25">
        <f t="shared" ref="I399:I417" si="452">E399-N399/Q399-AB399-Y399-O399-Z399-AA399</f>
        <v>3.79509665683382</v>
      </c>
      <c r="J399" s="26">
        <f t="shared" ref="J399:J417" si="453">I399/E399</f>
        <v>0.249677411633804</v>
      </c>
      <c r="K399" s="27">
        <f t="shared" ref="K399:K417" si="454">F399/1.2</f>
        <v>18.325</v>
      </c>
      <c r="L399" s="28">
        <f t="shared" ref="L399:L417" si="455">(K399-E399)/K399</f>
        <v>0.170532060027285</v>
      </c>
      <c r="M399" s="25">
        <f t="shared" ref="M399:M417" si="456">F399/1.2-E399</f>
        <v>3.125</v>
      </c>
      <c r="N399" s="27">
        <f>AD399+AH400</f>
        <v>41.3982300884956</v>
      </c>
      <c r="O399" s="27">
        <f t="shared" ref="O399:O417" si="457">IFERROR(IF(A399="UK",8.95/P399,IF(A399="DE",7.75/P399,IF(A399="FR",14.25/P399,IF(A399="IT",15.25/P399,IF(A399="ES",19.25/P399,IF(A399="NL",16.75/P399,IF(A399="PL",14.05/P399,IF(A399="SE",18.25/P399,IF(A399="BE",14.25/P399))))))))),0)</f>
        <v>0.4475</v>
      </c>
      <c r="P399" s="20">
        <v>20</v>
      </c>
      <c r="Q399" s="29">
        <v>9</v>
      </c>
      <c r="R399" s="30">
        <f t="shared" ref="R399:R417" si="458">Y399/E399</f>
        <v>0.230263157894737</v>
      </c>
      <c r="S399" s="26">
        <f t="shared" ref="S399:S417" si="459">Y399/F399</f>
        <v>0.159163256025466</v>
      </c>
      <c r="T399" s="30">
        <f t="shared" ref="T399:T417" si="460">Z399/E399</f>
        <v>0</v>
      </c>
      <c r="U399" s="30">
        <v>0.01</v>
      </c>
      <c r="V399" s="30">
        <f t="shared" ref="V399:V417" si="461">N399/(E399*Q399)</f>
        <v>0.302618640997775</v>
      </c>
      <c r="W399" s="30">
        <f t="shared" ref="W399:W417" si="462">O399/E399</f>
        <v>0.0294407894736842</v>
      </c>
      <c r="X399" s="31">
        <v>0.178</v>
      </c>
      <c r="Y399" s="32">
        <v>3.5</v>
      </c>
      <c r="Z399" s="32">
        <v>0</v>
      </c>
      <c r="AA399" s="32">
        <f t="shared" ref="AA399:AA417" si="463">E399*U399</f>
        <v>0.152</v>
      </c>
      <c r="AB399" s="27">
        <f t="shared" ref="AB399:AB417" si="464">E399*X399</f>
        <v>2.7056</v>
      </c>
      <c r="AC399" s="27">
        <v>40</v>
      </c>
      <c r="AD399" s="33">
        <f t="shared" ref="AD399:AD417" si="465">AC399/1.13</f>
        <v>35.3982300884956</v>
      </c>
      <c r="AE399" s="29">
        <f>AH400/Q399</f>
        <v>0.666666666666667</v>
      </c>
      <c r="AF399" s="30">
        <f t="shared" ref="AF399:AF417" si="466">AD399/(E399*Q399)</f>
        <v>0.258758991874968</v>
      </c>
      <c r="AG399" s="30">
        <f t="shared" ref="AG399:AG417" si="467">AE399/Q399/E399</f>
        <v>0.00487329434697856</v>
      </c>
      <c r="AH399" s="29">
        <v>6</v>
      </c>
      <c r="AI399" s="30">
        <f t="shared" ref="AI399:AI417" si="468">(H399-E399+AB399)/H399</f>
        <v>0.318177353342428</v>
      </c>
      <c r="AJ399" s="30"/>
      <c r="AK399" s="30"/>
      <c r="AL399" s="30"/>
      <c r="AM399" s="30"/>
      <c r="AN399" s="34"/>
      <c r="AO399" s="34"/>
      <c r="AP399" s="34"/>
      <c r="AQ399" s="34"/>
      <c r="AR399" s="34"/>
      <c r="AS399" s="34"/>
      <c r="AT399" s="34" t="s">
        <v>156</v>
      </c>
      <c r="AU399" s="34" t="s">
        <v>156</v>
      </c>
      <c r="AV399" s="34" t="s">
        <v>156</v>
      </c>
      <c r="AW399" s="34" t="s">
        <v>156</v>
      </c>
      <c r="AX399" s="34" t="s">
        <v>156</v>
      </c>
      <c r="AY399" s="34" t="s">
        <v>156</v>
      </c>
      <c r="AZ399" s="34" t="s">
        <v>156</v>
      </c>
      <c r="BA399" s="34" t="s">
        <v>156</v>
      </c>
      <c r="BB399" s="34" t="s">
        <v>156</v>
      </c>
      <c r="BC399" s="34" t="s">
        <v>156</v>
      </c>
      <c r="BD399" s="34" t="s">
        <v>156</v>
      </c>
      <c r="BE399" s="34" t="s">
        <v>156</v>
      </c>
      <c r="BF399" s="34" t="s">
        <v>156</v>
      </c>
      <c r="BG399" s="34" t="s">
        <v>156</v>
      </c>
      <c r="BH399" s="34" t="s">
        <v>156</v>
      </c>
      <c r="BI399" s="34" t="s">
        <v>156</v>
      </c>
      <c r="BJ399" s="34" t="s">
        <v>156</v>
      </c>
      <c r="BK399" s="34" t="s">
        <v>156</v>
      </c>
      <c r="BL399" s="34" t="s">
        <v>156</v>
      </c>
      <c r="BM399" s="34" t="s">
        <v>156</v>
      </c>
      <c r="BN399" s="34" t="s">
        <v>156</v>
      </c>
      <c r="BO399" s="34" t="s">
        <v>156</v>
      </c>
      <c r="BP399" s="34" t="s">
        <v>156</v>
      </c>
      <c r="BQ399" s="34" t="s">
        <v>156</v>
      </c>
      <c r="BR399" s="35"/>
      <c r="BS399" s="20" t="s">
        <v>157</v>
      </c>
    </row>
    <row r="400" ht="16.5" hidden="1" spans="1:71">
      <c r="A400" s="20" t="s">
        <v>50</v>
      </c>
      <c r="B400" s="21"/>
      <c r="C400" s="45"/>
      <c r="D400" s="59" t="s">
        <v>269</v>
      </c>
      <c r="E400" s="55">
        <v>15.2</v>
      </c>
      <c r="F400" s="24">
        <v>21.99</v>
      </c>
      <c r="G400" s="25">
        <f t="shared" si="450"/>
        <v>19.791</v>
      </c>
      <c r="H400" s="25">
        <f t="shared" si="451"/>
        <v>16.4925</v>
      </c>
      <c r="I400" s="36">
        <f t="shared" si="452"/>
        <v>1.59609665683382</v>
      </c>
      <c r="J400" s="26">
        <f t="shared" si="453"/>
        <v>0.105006359002225</v>
      </c>
      <c r="K400" s="27">
        <f t="shared" si="454"/>
        <v>18.325</v>
      </c>
      <c r="L400" s="28">
        <f t="shared" si="455"/>
        <v>0.170532060027285</v>
      </c>
      <c r="M400" s="25">
        <f t="shared" si="456"/>
        <v>3.125</v>
      </c>
      <c r="N400" s="27">
        <f t="shared" ref="N400:N417" si="469">AD400+AH400</f>
        <v>41.3982300884956</v>
      </c>
      <c r="O400" s="27">
        <f t="shared" si="457"/>
        <v>0.4475</v>
      </c>
      <c r="P400" s="21">
        <v>20</v>
      </c>
      <c r="Q400" s="29">
        <v>9</v>
      </c>
      <c r="R400" s="30">
        <f t="shared" si="458"/>
        <v>0.230263157894737</v>
      </c>
      <c r="S400" s="26">
        <f t="shared" si="459"/>
        <v>0.159163256025466</v>
      </c>
      <c r="T400" s="30">
        <f t="shared" si="460"/>
        <v>0.144671052631579</v>
      </c>
      <c r="U400" s="30">
        <v>0.01</v>
      </c>
      <c r="V400" s="30">
        <f t="shared" si="461"/>
        <v>0.302618640997775</v>
      </c>
      <c r="W400" s="30">
        <f t="shared" si="462"/>
        <v>0.0294407894736842</v>
      </c>
      <c r="X400" s="31">
        <v>0.178</v>
      </c>
      <c r="Y400" s="32">
        <v>3.5</v>
      </c>
      <c r="Z400" s="32">
        <f>F400*0.1</f>
        <v>2.199</v>
      </c>
      <c r="AA400" s="32">
        <f t="shared" si="463"/>
        <v>0.152</v>
      </c>
      <c r="AB400" s="27">
        <f t="shared" si="464"/>
        <v>2.7056</v>
      </c>
      <c r="AC400" s="27">
        <v>40</v>
      </c>
      <c r="AD400" s="33">
        <f t="shared" si="465"/>
        <v>35.3982300884956</v>
      </c>
      <c r="AE400" s="29">
        <f t="shared" ref="AE400:AE417" si="470">AH400/Q400</f>
        <v>0.666666666666667</v>
      </c>
      <c r="AF400" s="30">
        <f t="shared" si="466"/>
        <v>0.258758991874968</v>
      </c>
      <c r="AG400" s="30">
        <f t="shared" si="467"/>
        <v>0.00487329434697856</v>
      </c>
      <c r="AH400" s="29">
        <v>6</v>
      </c>
      <c r="AI400" s="30">
        <f t="shared" si="468"/>
        <v>0.242419281491587</v>
      </c>
      <c r="AJ400" s="30"/>
      <c r="AK400" s="30"/>
      <c r="AL400" s="30"/>
      <c r="AM400" s="30"/>
      <c r="AN400" s="34"/>
      <c r="AO400" s="34"/>
      <c r="AP400" s="34"/>
      <c r="AQ400" s="34"/>
      <c r="AR400" s="34"/>
      <c r="AS400" s="34"/>
      <c r="AT400" s="34" t="s">
        <v>156</v>
      </c>
      <c r="AU400" s="34" t="s">
        <v>156</v>
      </c>
      <c r="AV400" s="34" t="s">
        <v>156</v>
      </c>
      <c r="AW400" s="34" t="s">
        <v>156</v>
      </c>
      <c r="AX400" s="34" t="s">
        <v>156</v>
      </c>
      <c r="AY400" s="34" t="s">
        <v>156</v>
      </c>
      <c r="AZ400" s="34" t="s">
        <v>156</v>
      </c>
      <c r="BA400" s="34" t="s">
        <v>156</v>
      </c>
      <c r="BB400" s="34" t="s">
        <v>156</v>
      </c>
      <c r="BC400" s="34" t="s">
        <v>156</v>
      </c>
      <c r="BD400" s="34" t="s">
        <v>156</v>
      </c>
      <c r="BE400" s="34" t="s">
        <v>156</v>
      </c>
      <c r="BF400" s="34" t="s">
        <v>156</v>
      </c>
      <c r="BG400" s="34" t="s">
        <v>156</v>
      </c>
      <c r="BH400" s="34" t="s">
        <v>156</v>
      </c>
      <c r="BI400" s="34" t="s">
        <v>156</v>
      </c>
      <c r="BJ400" s="34" t="s">
        <v>156</v>
      </c>
      <c r="BK400" s="34" t="s">
        <v>156</v>
      </c>
      <c r="BL400" s="34" t="s">
        <v>156</v>
      </c>
      <c r="BM400" s="34" t="s">
        <v>156</v>
      </c>
      <c r="BN400" s="34" t="s">
        <v>156</v>
      </c>
      <c r="BO400" s="34" t="s">
        <v>156</v>
      </c>
      <c r="BP400" s="34" t="s">
        <v>156</v>
      </c>
      <c r="BQ400" s="34" t="s">
        <v>156</v>
      </c>
      <c r="BR400" s="35"/>
      <c r="BS400" s="20" t="s">
        <v>157</v>
      </c>
    </row>
    <row r="401" ht="16.5" hidden="1" spans="1:71">
      <c r="A401" s="20" t="s">
        <v>50</v>
      </c>
      <c r="B401" s="21"/>
      <c r="C401" s="45"/>
      <c r="D401" s="59" t="s">
        <v>270</v>
      </c>
      <c r="E401" s="55">
        <v>15.2</v>
      </c>
      <c r="F401" s="24">
        <v>21.99</v>
      </c>
      <c r="G401" s="25">
        <f t="shared" si="450"/>
        <v>18.6915</v>
      </c>
      <c r="H401" s="25">
        <f t="shared" si="451"/>
        <v>15.57625</v>
      </c>
      <c r="I401" s="25">
        <f t="shared" si="452"/>
        <v>0.496596656833824</v>
      </c>
      <c r="J401" s="26">
        <f t="shared" si="453"/>
        <v>0.0326708326864358</v>
      </c>
      <c r="K401" s="27">
        <f t="shared" si="454"/>
        <v>18.325</v>
      </c>
      <c r="L401" s="28">
        <f t="shared" si="455"/>
        <v>0.170532060027285</v>
      </c>
      <c r="M401" s="25">
        <f t="shared" si="456"/>
        <v>3.125</v>
      </c>
      <c r="N401" s="27">
        <f t="shared" si="469"/>
        <v>41.3982300884956</v>
      </c>
      <c r="O401" s="27">
        <f t="shared" si="457"/>
        <v>0.4475</v>
      </c>
      <c r="P401" s="21">
        <v>20</v>
      </c>
      <c r="Q401" s="29">
        <v>9</v>
      </c>
      <c r="R401" s="30">
        <f t="shared" si="458"/>
        <v>0.230263157894737</v>
      </c>
      <c r="S401" s="26">
        <f t="shared" si="459"/>
        <v>0.159163256025466</v>
      </c>
      <c r="T401" s="30">
        <f t="shared" si="460"/>
        <v>0.217006578947368</v>
      </c>
      <c r="U401" s="30">
        <v>0.01</v>
      </c>
      <c r="V401" s="30">
        <f t="shared" si="461"/>
        <v>0.302618640997775</v>
      </c>
      <c r="W401" s="30">
        <f t="shared" si="462"/>
        <v>0.0294407894736842</v>
      </c>
      <c r="X401" s="31">
        <v>0.178</v>
      </c>
      <c r="Y401" s="32">
        <v>3.5</v>
      </c>
      <c r="Z401" s="32">
        <f>F401*0.15</f>
        <v>3.2985</v>
      </c>
      <c r="AA401" s="32">
        <f t="shared" si="463"/>
        <v>0.152</v>
      </c>
      <c r="AB401" s="27">
        <f t="shared" si="464"/>
        <v>2.7056</v>
      </c>
      <c r="AC401" s="27">
        <v>40</v>
      </c>
      <c r="AD401" s="33">
        <f t="shared" si="465"/>
        <v>35.3982300884956</v>
      </c>
      <c r="AE401" s="29">
        <f t="shared" si="470"/>
        <v>0.666666666666667</v>
      </c>
      <c r="AF401" s="30">
        <f t="shared" si="466"/>
        <v>0.258758991874968</v>
      </c>
      <c r="AG401" s="30">
        <f t="shared" si="467"/>
        <v>0.00487329434697856</v>
      </c>
      <c r="AH401" s="29">
        <v>6</v>
      </c>
      <c r="AI401" s="30">
        <f t="shared" si="468"/>
        <v>0.197855709814622</v>
      </c>
      <c r="AJ401" s="30"/>
      <c r="AK401" s="30"/>
      <c r="AL401" s="30"/>
      <c r="AM401" s="30"/>
      <c r="AN401" s="34"/>
      <c r="AO401" s="34"/>
      <c r="AP401" s="34"/>
      <c r="AQ401" s="34"/>
      <c r="AR401" s="34"/>
      <c r="AS401" s="34"/>
      <c r="AT401" s="34" t="s">
        <v>156</v>
      </c>
      <c r="AU401" s="34" t="s">
        <v>156</v>
      </c>
      <c r="AV401" s="34" t="s">
        <v>156</v>
      </c>
      <c r="AW401" s="34" t="s">
        <v>156</v>
      </c>
      <c r="AX401" s="34" t="s">
        <v>156</v>
      </c>
      <c r="AY401" s="34" t="s">
        <v>156</v>
      </c>
      <c r="AZ401" s="34" t="s">
        <v>156</v>
      </c>
      <c r="BA401" s="34" t="s">
        <v>156</v>
      </c>
      <c r="BB401" s="34" t="s">
        <v>156</v>
      </c>
      <c r="BC401" s="34" t="s">
        <v>156</v>
      </c>
      <c r="BD401" s="34" t="s">
        <v>156</v>
      </c>
      <c r="BE401" s="34" t="s">
        <v>156</v>
      </c>
      <c r="BF401" s="34" t="s">
        <v>156</v>
      </c>
      <c r="BG401" s="34" t="s">
        <v>156</v>
      </c>
      <c r="BH401" s="34" t="s">
        <v>156</v>
      </c>
      <c r="BI401" s="34" t="s">
        <v>156</v>
      </c>
      <c r="BJ401" s="34" t="s">
        <v>156</v>
      </c>
      <c r="BK401" s="34" t="s">
        <v>156</v>
      </c>
      <c r="BL401" s="34" t="s">
        <v>156</v>
      </c>
      <c r="BM401" s="34" t="s">
        <v>156</v>
      </c>
      <c r="BN401" s="34" t="s">
        <v>156</v>
      </c>
      <c r="BO401" s="34" t="s">
        <v>156</v>
      </c>
      <c r="BP401" s="34" t="s">
        <v>156</v>
      </c>
      <c r="BQ401" s="34" t="s">
        <v>156</v>
      </c>
      <c r="BR401" s="35"/>
      <c r="BS401" s="20" t="s">
        <v>157</v>
      </c>
    </row>
    <row r="402" ht="16.5" hidden="1" spans="1:71">
      <c r="A402" s="21" t="s">
        <v>37</v>
      </c>
      <c r="B402" s="21"/>
      <c r="C402" s="45"/>
      <c r="D402" s="59" t="s">
        <v>268</v>
      </c>
      <c r="E402" s="55">
        <v>17.2</v>
      </c>
      <c r="F402" s="38">
        <v>24.99</v>
      </c>
      <c r="G402" s="25">
        <f t="shared" si="450"/>
        <v>24.99</v>
      </c>
      <c r="H402" s="25">
        <f t="shared" si="451"/>
        <v>20.825</v>
      </c>
      <c r="I402" s="25">
        <f t="shared" si="452"/>
        <v>4.73212123893805</v>
      </c>
      <c r="J402" s="26">
        <f t="shared" si="453"/>
        <v>0.275123327845236</v>
      </c>
      <c r="K402" s="27">
        <f t="shared" si="454"/>
        <v>20.825</v>
      </c>
      <c r="L402" s="28">
        <f t="shared" si="455"/>
        <v>0.17406962785114</v>
      </c>
      <c r="M402" s="25">
        <f t="shared" si="456"/>
        <v>3.625</v>
      </c>
      <c r="N402" s="27">
        <f>AD402+AH403</f>
        <v>41.3982300884956</v>
      </c>
      <c r="O402" s="27">
        <f t="shared" si="457"/>
        <v>0.3875</v>
      </c>
      <c r="P402" s="21">
        <v>20</v>
      </c>
      <c r="Q402" s="29">
        <v>8</v>
      </c>
      <c r="R402" s="30">
        <f t="shared" si="458"/>
        <v>0.203488372093023</v>
      </c>
      <c r="S402" s="26">
        <f t="shared" si="459"/>
        <v>0.140056022408964</v>
      </c>
      <c r="T402" s="30">
        <f t="shared" si="460"/>
        <v>0</v>
      </c>
      <c r="U402" s="30">
        <v>0.01</v>
      </c>
      <c r="V402" s="30">
        <f t="shared" si="461"/>
        <v>0.300859230294299</v>
      </c>
      <c r="W402" s="30">
        <f t="shared" si="462"/>
        <v>0.0225290697674419</v>
      </c>
      <c r="X402" s="31">
        <v>0.188</v>
      </c>
      <c r="Y402" s="32">
        <v>3.5</v>
      </c>
      <c r="Z402" s="32">
        <v>0</v>
      </c>
      <c r="AA402" s="32">
        <f t="shared" si="463"/>
        <v>0.172</v>
      </c>
      <c r="AB402" s="27">
        <f t="shared" si="464"/>
        <v>3.2336</v>
      </c>
      <c r="AC402" s="27">
        <v>40</v>
      </c>
      <c r="AD402" s="33">
        <f t="shared" si="465"/>
        <v>35.3982300884956</v>
      </c>
      <c r="AE402" s="29">
        <f>AH403/Q402</f>
        <v>0.75</v>
      </c>
      <c r="AF402" s="30">
        <f t="shared" si="466"/>
        <v>0.257254579131509</v>
      </c>
      <c r="AG402" s="30">
        <f t="shared" si="467"/>
        <v>0.00545058139534884</v>
      </c>
      <c r="AH402" s="29">
        <v>6</v>
      </c>
      <c r="AI402" s="30">
        <f t="shared" si="468"/>
        <v>0.329344537815126</v>
      </c>
      <c r="AJ402" s="30"/>
      <c r="AK402" s="30"/>
      <c r="AL402" s="30"/>
      <c r="AM402" s="30"/>
      <c r="AN402" s="34"/>
      <c r="AO402" s="34"/>
      <c r="AP402" s="34"/>
      <c r="AQ402" s="34"/>
      <c r="AR402" s="34"/>
      <c r="AS402" s="34"/>
      <c r="AT402" s="34" t="s">
        <v>156</v>
      </c>
      <c r="AU402" s="34" t="s">
        <v>156</v>
      </c>
      <c r="AV402" s="34" t="s">
        <v>156</v>
      </c>
      <c r="AW402" s="34" t="s">
        <v>156</v>
      </c>
      <c r="AX402" s="34" t="s">
        <v>156</v>
      </c>
      <c r="AY402" s="34" t="s">
        <v>156</v>
      </c>
      <c r="AZ402" s="34" t="s">
        <v>156</v>
      </c>
      <c r="BA402" s="34" t="s">
        <v>156</v>
      </c>
      <c r="BB402" s="34" t="s">
        <v>156</v>
      </c>
      <c r="BC402" s="34" t="s">
        <v>156</v>
      </c>
      <c r="BD402" s="34" t="s">
        <v>156</v>
      </c>
      <c r="BE402" s="34" t="s">
        <v>156</v>
      </c>
      <c r="BF402" s="34" t="s">
        <v>156</v>
      </c>
      <c r="BG402" s="34" t="s">
        <v>156</v>
      </c>
      <c r="BH402" s="34" t="s">
        <v>156</v>
      </c>
      <c r="BI402" s="34" t="s">
        <v>156</v>
      </c>
      <c r="BJ402" s="34" t="s">
        <v>156</v>
      </c>
      <c r="BK402" s="34" t="s">
        <v>156</v>
      </c>
      <c r="BL402" s="34" t="s">
        <v>156</v>
      </c>
      <c r="BM402" s="34" t="s">
        <v>156</v>
      </c>
      <c r="BN402" s="34" t="s">
        <v>156</v>
      </c>
      <c r="BO402" s="34" t="s">
        <v>156</v>
      </c>
      <c r="BP402" s="34" t="s">
        <v>156</v>
      </c>
      <c r="BQ402" s="34" t="s">
        <v>156</v>
      </c>
      <c r="BR402" s="35"/>
      <c r="BS402" s="20" t="s">
        <v>157</v>
      </c>
    </row>
    <row r="403" ht="16.5" hidden="1" spans="1:71">
      <c r="A403" s="21" t="s">
        <v>37</v>
      </c>
      <c r="B403" s="21"/>
      <c r="C403" s="45"/>
      <c r="D403" s="59" t="s">
        <v>269</v>
      </c>
      <c r="E403" s="55">
        <v>17.2</v>
      </c>
      <c r="F403" s="24">
        <v>24.99</v>
      </c>
      <c r="G403" s="25">
        <f t="shared" si="450"/>
        <v>22.491</v>
      </c>
      <c r="H403" s="25">
        <f t="shared" si="451"/>
        <v>18.7425</v>
      </c>
      <c r="I403" s="36">
        <f t="shared" si="452"/>
        <v>2.23312123893805</v>
      </c>
      <c r="J403" s="26">
        <f t="shared" si="453"/>
        <v>0.129832630170817</v>
      </c>
      <c r="K403" s="27">
        <f t="shared" si="454"/>
        <v>20.825</v>
      </c>
      <c r="L403" s="28">
        <f t="shared" si="455"/>
        <v>0.17406962785114</v>
      </c>
      <c r="M403" s="25">
        <f t="shared" si="456"/>
        <v>3.625</v>
      </c>
      <c r="N403" s="27">
        <f t="shared" si="469"/>
        <v>41.3982300884956</v>
      </c>
      <c r="O403" s="27">
        <f t="shared" si="457"/>
        <v>0.3875</v>
      </c>
      <c r="P403" s="21">
        <v>20</v>
      </c>
      <c r="Q403" s="29">
        <v>8</v>
      </c>
      <c r="R403" s="30">
        <f t="shared" si="458"/>
        <v>0.203488372093023</v>
      </c>
      <c r="S403" s="26">
        <f t="shared" si="459"/>
        <v>0.140056022408964</v>
      </c>
      <c r="T403" s="30">
        <f t="shared" si="460"/>
        <v>0.145290697674419</v>
      </c>
      <c r="U403" s="30">
        <v>0.01</v>
      </c>
      <c r="V403" s="30">
        <f t="shared" si="461"/>
        <v>0.300859230294299</v>
      </c>
      <c r="W403" s="30">
        <f t="shared" si="462"/>
        <v>0.0225290697674419</v>
      </c>
      <c r="X403" s="31">
        <v>0.188</v>
      </c>
      <c r="Y403" s="32">
        <v>3.5</v>
      </c>
      <c r="Z403" s="32">
        <f>F403*0.1</f>
        <v>2.499</v>
      </c>
      <c r="AA403" s="32">
        <f t="shared" si="463"/>
        <v>0.172</v>
      </c>
      <c r="AB403" s="27">
        <f t="shared" si="464"/>
        <v>3.2336</v>
      </c>
      <c r="AC403" s="27">
        <v>40</v>
      </c>
      <c r="AD403" s="33">
        <f t="shared" si="465"/>
        <v>35.3982300884956</v>
      </c>
      <c r="AE403" s="29">
        <f t="shared" si="470"/>
        <v>0.75</v>
      </c>
      <c r="AF403" s="30">
        <f t="shared" si="466"/>
        <v>0.257254579131509</v>
      </c>
      <c r="AG403" s="30">
        <f t="shared" si="467"/>
        <v>0.00545058139534884</v>
      </c>
      <c r="AH403" s="29">
        <v>6</v>
      </c>
      <c r="AI403" s="30">
        <f t="shared" si="468"/>
        <v>0.254827264239029</v>
      </c>
      <c r="AJ403" s="30"/>
      <c r="AK403" s="30"/>
      <c r="AL403" s="30"/>
      <c r="AM403" s="30"/>
      <c r="AN403" s="34"/>
      <c r="AO403" s="34"/>
      <c r="AP403" s="34"/>
      <c r="AQ403" s="34"/>
      <c r="AR403" s="34"/>
      <c r="AS403" s="34"/>
      <c r="AT403" s="34" t="s">
        <v>156</v>
      </c>
      <c r="AU403" s="34" t="s">
        <v>156</v>
      </c>
      <c r="AV403" s="34" t="s">
        <v>156</v>
      </c>
      <c r="AW403" s="34" t="s">
        <v>156</v>
      </c>
      <c r="AX403" s="34" t="s">
        <v>156</v>
      </c>
      <c r="AY403" s="34" t="s">
        <v>156</v>
      </c>
      <c r="AZ403" s="34" t="s">
        <v>156</v>
      </c>
      <c r="BA403" s="34" t="s">
        <v>156</v>
      </c>
      <c r="BB403" s="34" t="s">
        <v>156</v>
      </c>
      <c r="BC403" s="34" t="s">
        <v>156</v>
      </c>
      <c r="BD403" s="34" t="s">
        <v>156</v>
      </c>
      <c r="BE403" s="34" t="s">
        <v>156</v>
      </c>
      <c r="BF403" s="34" t="s">
        <v>156</v>
      </c>
      <c r="BG403" s="34" t="s">
        <v>156</v>
      </c>
      <c r="BH403" s="34" t="s">
        <v>156</v>
      </c>
      <c r="BI403" s="34" t="s">
        <v>156</v>
      </c>
      <c r="BJ403" s="34" t="s">
        <v>156</v>
      </c>
      <c r="BK403" s="34" t="s">
        <v>156</v>
      </c>
      <c r="BL403" s="34" t="s">
        <v>156</v>
      </c>
      <c r="BM403" s="34" t="s">
        <v>156</v>
      </c>
      <c r="BN403" s="34" t="s">
        <v>156</v>
      </c>
      <c r="BO403" s="34" t="s">
        <v>156</v>
      </c>
      <c r="BP403" s="34" t="s">
        <v>156</v>
      </c>
      <c r="BQ403" s="34" t="s">
        <v>156</v>
      </c>
      <c r="BR403" s="35"/>
      <c r="BS403" s="20" t="s">
        <v>157</v>
      </c>
    </row>
    <row r="404" ht="16.5" hidden="1" spans="1:71">
      <c r="A404" s="21" t="s">
        <v>37</v>
      </c>
      <c r="B404" s="21"/>
      <c r="C404" s="45"/>
      <c r="D404" s="59" t="s">
        <v>270</v>
      </c>
      <c r="E404" s="55">
        <v>17.2</v>
      </c>
      <c r="F404" s="24">
        <v>24.99</v>
      </c>
      <c r="G404" s="25">
        <f t="shared" si="450"/>
        <v>21.2415</v>
      </c>
      <c r="H404" s="25">
        <f t="shared" si="451"/>
        <v>17.70125</v>
      </c>
      <c r="I404" s="25">
        <f t="shared" si="452"/>
        <v>0.983621238938053</v>
      </c>
      <c r="J404" s="26">
        <f t="shared" si="453"/>
        <v>0.0571872813336077</v>
      </c>
      <c r="K404" s="27">
        <f t="shared" si="454"/>
        <v>20.825</v>
      </c>
      <c r="L404" s="28">
        <f t="shared" si="455"/>
        <v>0.17406962785114</v>
      </c>
      <c r="M404" s="25">
        <f t="shared" si="456"/>
        <v>3.625</v>
      </c>
      <c r="N404" s="27">
        <f t="shared" si="469"/>
        <v>41.3982300884956</v>
      </c>
      <c r="O404" s="27">
        <f t="shared" si="457"/>
        <v>0.3875</v>
      </c>
      <c r="P404" s="21">
        <v>20</v>
      </c>
      <c r="Q404" s="29">
        <v>8</v>
      </c>
      <c r="R404" s="30">
        <f t="shared" si="458"/>
        <v>0.203488372093023</v>
      </c>
      <c r="S404" s="26">
        <f t="shared" si="459"/>
        <v>0.140056022408964</v>
      </c>
      <c r="T404" s="30">
        <f t="shared" si="460"/>
        <v>0.217936046511628</v>
      </c>
      <c r="U404" s="30">
        <v>0.01</v>
      </c>
      <c r="V404" s="30">
        <f t="shared" si="461"/>
        <v>0.300859230294299</v>
      </c>
      <c r="W404" s="30">
        <f t="shared" si="462"/>
        <v>0.0225290697674419</v>
      </c>
      <c r="X404" s="31">
        <v>0.188</v>
      </c>
      <c r="Y404" s="32">
        <v>3.5</v>
      </c>
      <c r="Z404" s="32">
        <f>F404*0.15</f>
        <v>3.7485</v>
      </c>
      <c r="AA404" s="32">
        <f t="shared" si="463"/>
        <v>0.172</v>
      </c>
      <c r="AB404" s="27">
        <f t="shared" si="464"/>
        <v>3.2336</v>
      </c>
      <c r="AC404" s="27">
        <v>40</v>
      </c>
      <c r="AD404" s="33">
        <f t="shared" si="465"/>
        <v>35.3982300884956</v>
      </c>
      <c r="AE404" s="29">
        <f t="shared" si="470"/>
        <v>0.75</v>
      </c>
      <c r="AF404" s="30">
        <f t="shared" si="466"/>
        <v>0.257254579131509</v>
      </c>
      <c r="AG404" s="30">
        <f t="shared" si="467"/>
        <v>0.00545058139534884</v>
      </c>
      <c r="AH404" s="29">
        <v>6</v>
      </c>
      <c r="AI404" s="30">
        <f t="shared" si="468"/>
        <v>0.210993573900148</v>
      </c>
      <c r="AJ404" s="30"/>
      <c r="AK404" s="30"/>
      <c r="AL404" s="30"/>
      <c r="AM404" s="30"/>
      <c r="AN404" s="34"/>
      <c r="AO404" s="34"/>
      <c r="AP404" s="34"/>
      <c r="AQ404" s="34"/>
      <c r="AR404" s="34"/>
      <c r="AS404" s="34"/>
      <c r="AT404" s="34" t="s">
        <v>156</v>
      </c>
      <c r="AU404" s="34" t="s">
        <v>156</v>
      </c>
      <c r="AV404" s="34" t="s">
        <v>156</v>
      </c>
      <c r="AW404" s="34" t="s">
        <v>156</v>
      </c>
      <c r="AX404" s="34" t="s">
        <v>156</v>
      </c>
      <c r="AY404" s="34" t="s">
        <v>156</v>
      </c>
      <c r="AZ404" s="34" t="s">
        <v>156</v>
      </c>
      <c r="BA404" s="34" t="s">
        <v>156</v>
      </c>
      <c r="BB404" s="34" t="s">
        <v>156</v>
      </c>
      <c r="BC404" s="34" t="s">
        <v>156</v>
      </c>
      <c r="BD404" s="34" t="s">
        <v>156</v>
      </c>
      <c r="BE404" s="34" t="s">
        <v>156</v>
      </c>
      <c r="BF404" s="34" t="s">
        <v>156</v>
      </c>
      <c r="BG404" s="34" t="s">
        <v>156</v>
      </c>
      <c r="BH404" s="34" t="s">
        <v>156</v>
      </c>
      <c r="BI404" s="34" t="s">
        <v>156</v>
      </c>
      <c r="BJ404" s="34" t="s">
        <v>156</v>
      </c>
      <c r="BK404" s="34" t="s">
        <v>156</v>
      </c>
      <c r="BL404" s="34" t="s">
        <v>156</v>
      </c>
      <c r="BM404" s="34" t="s">
        <v>156</v>
      </c>
      <c r="BN404" s="34" t="s">
        <v>156</v>
      </c>
      <c r="BO404" s="34" t="s">
        <v>156</v>
      </c>
      <c r="BP404" s="34" t="s">
        <v>156</v>
      </c>
      <c r="BQ404" s="34" t="s">
        <v>156</v>
      </c>
      <c r="BR404" s="35"/>
      <c r="BS404" s="20" t="s">
        <v>157</v>
      </c>
    </row>
    <row r="405" ht="16.5" hidden="1" spans="1:71">
      <c r="A405" s="21" t="s">
        <v>43</v>
      </c>
      <c r="B405" s="21"/>
      <c r="C405" s="45"/>
      <c r="D405" s="59" t="s">
        <v>268</v>
      </c>
      <c r="E405" s="55">
        <v>17.2</v>
      </c>
      <c r="F405" s="24">
        <v>24.99</v>
      </c>
      <c r="G405" s="25">
        <f t="shared" si="450"/>
        <v>24.99</v>
      </c>
      <c r="H405" s="25">
        <f t="shared" si="451"/>
        <v>20.825</v>
      </c>
      <c r="I405" s="25">
        <f t="shared" si="452"/>
        <v>4.40712123893805</v>
      </c>
      <c r="J405" s="26">
        <f t="shared" si="453"/>
        <v>0.256227979008026</v>
      </c>
      <c r="K405" s="27">
        <f t="shared" si="454"/>
        <v>20.825</v>
      </c>
      <c r="L405" s="28">
        <f t="shared" si="455"/>
        <v>0.17406962785114</v>
      </c>
      <c r="M405" s="25">
        <f t="shared" si="456"/>
        <v>3.625</v>
      </c>
      <c r="N405" s="27">
        <f t="shared" si="469"/>
        <v>41.3982300884956</v>
      </c>
      <c r="O405" s="27">
        <f t="shared" si="457"/>
        <v>0.7125</v>
      </c>
      <c r="P405" s="21">
        <v>20</v>
      </c>
      <c r="Q405" s="29">
        <v>8</v>
      </c>
      <c r="R405" s="30">
        <f t="shared" si="458"/>
        <v>0.203488372093023</v>
      </c>
      <c r="S405" s="26">
        <f t="shared" si="459"/>
        <v>0.140056022408964</v>
      </c>
      <c r="T405" s="30">
        <f t="shared" si="460"/>
        <v>0</v>
      </c>
      <c r="U405" s="30">
        <v>0.01</v>
      </c>
      <c r="V405" s="30">
        <f t="shared" si="461"/>
        <v>0.300859230294299</v>
      </c>
      <c r="W405" s="30">
        <f t="shared" si="462"/>
        <v>0.0414244186046512</v>
      </c>
      <c r="X405" s="31">
        <v>0.188</v>
      </c>
      <c r="Y405" s="32">
        <v>3.5</v>
      </c>
      <c r="Z405" s="32">
        <v>0</v>
      </c>
      <c r="AA405" s="32">
        <f t="shared" si="463"/>
        <v>0.172</v>
      </c>
      <c r="AB405" s="27">
        <f t="shared" si="464"/>
        <v>3.2336</v>
      </c>
      <c r="AC405" s="27">
        <v>40</v>
      </c>
      <c r="AD405" s="33">
        <f t="shared" si="465"/>
        <v>35.3982300884956</v>
      </c>
      <c r="AE405" s="29">
        <f t="shared" si="470"/>
        <v>0.75</v>
      </c>
      <c r="AF405" s="30">
        <f t="shared" si="466"/>
        <v>0.257254579131509</v>
      </c>
      <c r="AG405" s="30">
        <f t="shared" si="467"/>
        <v>0.00545058139534884</v>
      </c>
      <c r="AH405" s="29">
        <v>6</v>
      </c>
      <c r="AI405" s="30">
        <f t="shared" si="468"/>
        <v>0.329344537815126</v>
      </c>
      <c r="AJ405" s="30"/>
      <c r="AK405" s="30"/>
      <c r="AL405" s="30"/>
      <c r="AM405" s="30"/>
      <c r="AN405" s="34"/>
      <c r="AO405" s="34"/>
      <c r="AP405" s="34"/>
      <c r="AQ405" s="34"/>
      <c r="AR405" s="34"/>
      <c r="AS405" s="34"/>
      <c r="AT405" s="34" t="s">
        <v>156</v>
      </c>
      <c r="AU405" s="34" t="s">
        <v>156</v>
      </c>
      <c r="AV405" s="34" t="s">
        <v>156</v>
      </c>
      <c r="AW405" s="34" t="s">
        <v>156</v>
      </c>
      <c r="AX405" s="34" t="s">
        <v>156</v>
      </c>
      <c r="AY405" s="34" t="s">
        <v>156</v>
      </c>
      <c r="AZ405" s="34" t="s">
        <v>156</v>
      </c>
      <c r="BA405" s="34" t="s">
        <v>156</v>
      </c>
      <c r="BB405" s="34" t="s">
        <v>156</v>
      </c>
      <c r="BC405" s="34" t="s">
        <v>156</v>
      </c>
      <c r="BD405" s="34" t="s">
        <v>156</v>
      </c>
      <c r="BE405" s="34" t="s">
        <v>156</v>
      </c>
      <c r="BF405" s="34" t="s">
        <v>156</v>
      </c>
      <c r="BG405" s="34" t="s">
        <v>156</v>
      </c>
      <c r="BH405" s="34" t="s">
        <v>156</v>
      </c>
      <c r="BI405" s="34" t="s">
        <v>156</v>
      </c>
      <c r="BJ405" s="34" t="s">
        <v>156</v>
      </c>
      <c r="BK405" s="34" t="s">
        <v>156</v>
      </c>
      <c r="BL405" s="34" t="s">
        <v>156</v>
      </c>
      <c r="BM405" s="34" t="s">
        <v>156</v>
      </c>
      <c r="BN405" s="34" t="s">
        <v>156</v>
      </c>
      <c r="BO405" s="34" t="s">
        <v>156</v>
      </c>
      <c r="BP405" s="34" t="s">
        <v>156</v>
      </c>
      <c r="BQ405" s="34" t="s">
        <v>156</v>
      </c>
      <c r="BR405" s="35"/>
      <c r="BS405" s="20" t="s">
        <v>157</v>
      </c>
    </row>
    <row r="406" ht="16.5" hidden="1" spans="1:71">
      <c r="A406" s="21" t="s">
        <v>43</v>
      </c>
      <c r="B406" s="21"/>
      <c r="C406" s="45"/>
      <c r="D406" s="59" t="s">
        <v>269</v>
      </c>
      <c r="E406" s="55">
        <v>17.2</v>
      </c>
      <c r="F406" s="24">
        <v>24.99</v>
      </c>
      <c r="G406" s="25">
        <f t="shared" si="450"/>
        <v>22.491</v>
      </c>
      <c r="H406" s="25">
        <f t="shared" si="451"/>
        <v>18.7425</v>
      </c>
      <c r="I406" s="36">
        <f t="shared" si="452"/>
        <v>1.90812123893805</v>
      </c>
      <c r="J406" s="26">
        <f t="shared" si="453"/>
        <v>0.110937281333608</v>
      </c>
      <c r="K406" s="27">
        <f t="shared" si="454"/>
        <v>20.825</v>
      </c>
      <c r="L406" s="28">
        <f t="shared" si="455"/>
        <v>0.17406962785114</v>
      </c>
      <c r="M406" s="25">
        <f t="shared" si="456"/>
        <v>3.625</v>
      </c>
      <c r="N406" s="27">
        <f t="shared" si="469"/>
        <v>41.3982300884956</v>
      </c>
      <c r="O406" s="27">
        <f t="shared" si="457"/>
        <v>0.7125</v>
      </c>
      <c r="P406" s="21">
        <v>20</v>
      </c>
      <c r="Q406" s="29">
        <v>8</v>
      </c>
      <c r="R406" s="30">
        <f t="shared" si="458"/>
        <v>0.203488372093023</v>
      </c>
      <c r="S406" s="26">
        <f t="shared" si="459"/>
        <v>0.140056022408964</v>
      </c>
      <c r="T406" s="30">
        <f t="shared" si="460"/>
        <v>0.145290697674419</v>
      </c>
      <c r="U406" s="30">
        <v>0.01</v>
      </c>
      <c r="V406" s="30">
        <f t="shared" si="461"/>
        <v>0.300859230294299</v>
      </c>
      <c r="W406" s="30">
        <f t="shared" si="462"/>
        <v>0.0414244186046512</v>
      </c>
      <c r="X406" s="31">
        <v>0.188</v>
      </c>
      <c r="Y406" s="32">
        <v>3.5</v>
      </c>
      <c r="Z406" s="32">
        <f>F406*0.1</f>
        <v>2.499</v>
      </c>
      <c r="AA406" s="32">
        <f t="shared" si="463"/>
        <v>0.172</v>
      </c>
      <c r="AB406" s="27">
        <f t="shared" si="464"/>
        <v>3.2336</v>
      </c>
      <c r="AC406" s="27">
        <v>40</v>
      </c>
      <c r="AD406" s="33">
        <f t="shared" si="465"/>
        <v>35.3982300884956</v>
      </c>
      <c r="AE406" s="29">
        <f t="shared" si="470"/>
        <v>0.75</v>
      </c>
      <c r="AF406" s="30">
        <f t="shared" si="466"/>
        <v>0.257254579131509</v>
      </c>
      <c r="AG406" s="30">
        <f t="shared" si="467"/>
        <v>0.00545058139534884</v>
      </c>
      <c r="AH406" s="29">
        <v>6</v>
      </c>
      <c r="AI406" s="30">
        <f t="shared" si="468"/>
        <v>0.254827264239029</v>
      </c>
      <c r="AJ406" s="30"/>
      <c r="AK406" s="30"/>
      <c r="AL406" s="30"/>
      <c r="AM406" s="30"/>
      <c r="AN406" s="34"/>
      <c r="AO406" s="34"/>
      <c r="AP406" s="34"/>
      <c r="AQ406" s="34"/>
      <c r="AR406" s="34"/>
      <c r="AS406" s="34"/>
      <c r="AT406" s="34" t="s">
        <v>156</v>
      </c>
      <c r="AU406" s="34" t="s">
        <v>156</v>
      </c>
      <c r="AV406" s="34" t="s">
        <v>156</v>
      </c>
      <c r="AW406" s="34" t="s">
        <v>156</v>
      </c>
      <c r="AX406" s="34" t="s">
        <v>156</v>
      </c>
      <c r="AY406" s="34" t="s">
        <v>156</v>
      </c>
      <c r="AZ406" s="34" t="s">
        <v>156</v>
      </c>
      <c r="BA406" s="34" t="s">
        <v>156</v>
      </c>
      <c r="BB406" s="34" t="s">
        <v>156</v>
      </c>
      <c r="BC406" s="34" t="s">
        <v>156</v>
      </c>
      <c r="BD406" s="34" t="s">
        <v>156</v>
      </c>
      <c r="BE406" s="34" t="s">
        <v>156</v>
      </c>
      <c r="BF406" s="34" t="s">
        <v>156</v>
      </c>
      <c r="BG406" s="34" t="s">
        <v>156</v>
      </c>
      <c r="BH406" s="34" t="s">
        <v>156</v>
      </c>
      <c r="BI406" s="34" t="s">
        <v>156</v>
      </c>
      <c r="BJ406" s="34" t="s">
        <v>156</v>
      </c>
      <c r="BK406" s="34" t="s">
        <v>156</v>
      </c>
      <c r="BL406" s="34" t="s">
        <v>156</v>
      </c>
      <c r="BM406" s="34" t="s">
        <v>156</v>
      </c>
      <c r="BN406" s="34" t="s">
        <v>156</v>
      </c>
      <c r="BO406" s="34" t="s">
        <v>156</v>
      </c>
      <c r="BP406" s="34" t="s">
        <v>156</v>
      </c>
      <c r="BQ406" s="34" t="s">
        <v>156</v>
      </c>
      <c r="BR406" s="35"/>
      <c r="BS406" s="20" t="s">
        <v>157</v>
      </c>
    </row>
    <row r="407" ht="16.5" hidden="1" spans="1:71">
      <c r="A407" s="21" t="s">
        <v>43</v>
      </c>
      <c r="B407" s="21"/>
      <c r="C407" s="45"/>
      <c r="D407" s="59" t="s">
        <v>270</v>
      </c>
      <c r="E407" s="55">
        <v>17.2</v>
      </c>
      <c r="F407" s="24">
        <v>24.99</v>
      </c>
      <c r="G407" s="25">
        <f t="shared" si="450"/>
        <v>21.2415</v>
      </c>
      <c r="H407" s="25">
        <f t="shared" si="451"/>
        <v>17.70125</v>
      </c>
      <c r="I407" s="25">
        <f t="shared" si="452"/>
        <v>0.658621238938053</v>
      </c>
      <c r="J407" s="26">
        <f t="shared" si="453"/>
        <v>0.0382919324963984</v>
      </c>
      <c r="K407" s="27">
        <f t="shared" si="454"/>
        <v>20.825</v>
      </c>
      <c r="L407" s="28">
        <f t="shared" si="455"/>
        <v>0.17406962785114</v>
      </c>
      <c r="M407" s="25">
        <f t="shared" si="456"/>
        <v>3.625</v>
      </c>
      <c r="N407" s="27">
        <f t="shared" si="469"/>
        <v>41.3982300884956</v>
      </c>
      <c r="O407" s="27">
        <f t="shared" si="457"/>
        <v>0.7125</v>
      </c>
      <c r="P407" s="21">
        <v>20</v>
      </c>
      <c r="Q407" s="29">
        <v>8</v>
      </c>
      <c r="R407" s="30">
        <f t="shared" si="458"/>
        <v>0.203488372093023</v>
      </c>
      <c r="S407" s="26">
        <f t="shared" si="459"/>
        <v>0.140056022408964</v>
      </c>
      <c r="T407" s="30">
        <f t="shared" si="460"/>
        <v>0.217936046511628</v>
      </c>
      <c r="U407" s="30">
        <v>0.01</v>
      </c>
      <c r="V407" s="30">
        <f t="shared" si="461"/>
        <v>0.300859230294299</v>
      </c>
      <c r="W407" s="30">
        <f t="shared" si="462"/>
        <v>0.0414244186046512</v>
      </c>
      <c r="X407" s="31">
        <v>0.188</v>
      </c>
      <c r="Y407" s="32">
        <v>3.5</v>
      </c>
      <c r="Z407" s="32">
        <f>F407*0.15</f>
        <v>3.7485</v>
      </c>
      <c r="AA407" s="32">
        <f t="shared" si="463"/>
        <v>0.172</v>
      </c>
      <c r="AB407" s="27">
        <f t="shared" si="464"/>
        <v>3.2336</v>
      </c>
      <c r="AC407" s="27">
        <v>40</v>
      </c>
      <c r="AD407" s="33">
        <f t="shared" si="465"/>
        <v>35.3982300884956</v>
      </c>
      <c r="AE407" s="29">
        <f t="shared" si="470"/>
        <v>0.75</v>
      </c>
      <c r="AF407" s="30">
        <f t="shared" si="466"/>
        <v>0.257254579131509</v>
      </c>
      <c r="AG407" s="30">
        <f t="shared" si="467"/>
        <v>0.00545058139534884</v>
      </c>
      <c r="AH407" s="29">
        <v>6</v>
      </c>
      <c r="AI407" s="30">
        <f t="shared" si="468"/>
        <v>0.210993573900148</v>
      </c>
      <c r="AJ407" s="30"/>
      <c r="AK407" s="30"/>
      <c r="AL407" s="30"/>
      <c r="AM407" s="30"/>
      <c r="AN407" s="34"/>
      <c r="AO407" s="34"/>
      <c r="AP407" s="34"/>
      <c r="AQ407" s="34"/>
      <c r="AR407" s="34"/>
      <c r="AS407" s="34"/>
      <c r="AT407" s="34" t="s">
        <v>156</v>
      </c>
      <c r="AU407" s="34" t="s">
        <v>156</v>
      </c>
      <c r="AV407" s="34" t="s">
        <v>156</v>
      </c>
      <c r="AW407" s="34" t="s">
        <v>156</v>
      </c>
      <c r="AX407" s="34" t="s">
        <v>156</v>
      </c>
      <c r="AY407" s="34" t="s">
        <v>156</v>
      </c>
      <c r="AZ407" s="34" t="s">
        <v>156</v>
      </c>
      <c r="BA407" s="34" t="s">
        <v>156</v>
      </c>
      <c r="BB407" s="34" t="s">
        <v>156</v>
      </c>
      <c r="BC407" s="34" t="s">
        <v>156</v>
      </c>
      <c r="BD407" s="34" t="s">
        <v>156</v>
      </c>
      <c r="BE407" s="34" t="s">
        <v>156</v>
      </c>
      <c r="BF407" s="34" t="s">
        <v>156</v>
      </c>
      <c r="BG407" s="34" t="s">
        <v>156</v>
      </c>
      <c r="BH407" s="34" t="s">
        <v>156</v>
      </c>
      <c r="BI407" s="34" t="s">
        <v>156</v>
      </c>
      <c r="BJ407" s="34" t="s">
        <v>156</v>
      </c>
      <c r="BK407" s="34" t="s">
        <v>156</v>
      </c>
      <c r="BL407" s="34" t="s">
        <v>156</v>
      </c>
      <c r="BM407" s="34" t="s">
        <v>156</v>
      </c>
      <c r="BN407" s="34" t="s">
        <v>156</v>
      </c>
      <c r="BO407" s="34" t="s">
        <v>156</v>
      </c>
      <c r="BP407" s="34" t="s">
        <v>156</v>
      </c>
      <c r="BQ407" s="34" t="s">
        <v>156</v>
      </c>
      <c r="BR407" s="35"/>
      <c r="BS407" s="20" t="s">
        <v>157</v>
      </c>
    </row>
    <row r="408" ht="16.5" hidden="1" spans="1:71">
      <c r="A408" s="21" t="s">
        <v>45</v>
      </c>
      <c r="B408" s="21"/>
      <c r="C408" s="45"/>
      <c r="D408" s="59" t="s">
        <v>268</v>
      </c>
      <c r="E408" s="55">
        <v>17.2</v>
      </c>
      <c r="F408" s="24">
        <v>24.99</v>
      </c>
      <c r="G408" s="25">
        <f t="shared" si="450"/>
        <v>24.99</v>
      </c>
      <c r="H408" s="25">
        <f t="shared" si="451"/>
        <v>20.825</v>
      </c>
      <c r="I408" s="25">
        <f t="shared" si="452"/>
        <v>4.35712123893805</v>
      </c>
      <c r="J408" s="26">
        <f t="shared" si="453"/>
        <v>0.25332100226384</v>
      </c>
      <c r="K408" s="27">
        <f t="shared" si="454"/>
        <v>20.825</v>
      </c>
      <c r="L408" s="28">
        <f t="shared" si="455"/>
        <v>0.17406962785114</v>
      </c>
      <c r="M408" s="25">
        <f t="shared" si="456"/>
        <v>3.625</v>
      </c>
      <c r="N408" s="27">
        <f t="shared" si="469"/>
        <v>41.3982300884956</v>
      </c>
      <c r="O408" s="27">
        <f t="shared" si="457"/>
        <v>0.7625</v>
      </c>
      <c r="P408" s="21">
        <v>20</v>
      </c>
      <c r="Q408" s="29">
        <v>8</v>
      </c>
      <c r="R408" s="30">
        <f t="shared" si="458"/>
        <v>0.203488372093023</v>
      </c>
      <c r="S408" s="26">
        <f t="shared" si="459"/>
        <v>0.140056022408964</v>
      </c>
      <c r="T408" s="30">
        <f t="shared" si="460"/>
        <v>0</v>
      </c>
      <c r="U408" s="30">
        <v>0.01</v>
      </c>
      <c r="V408" s="30">
        <f t="shared" si="461"/>
        <v>0.300859230294299</v>
      </c>
      <c r="W408" s="30">
        <f t="shared" si="462"/>
        <v>0.0443313953488372</v>
      </c>
      <c r="X408" s="31">
        <v>0.188</v>
      </c>
      <c r="Y408" s="32">
        <v>3.5</v>
      </c>
      <c r="Z408" s="32">
        <v>0</v>
      </c>
      <c r="AA408" s="32">
        <f t="shared" si="463"/>
        <v>0.172</v>
      </c>
      <c r="AB408" s="27">
        <f t="shared" si="464"/>
        <v>3.2336</v>
      </c>
      <c r="AC408" s="27">
        <v>40</v>
      </c>
      <c r="AD408" s="33">
        <f t="shared" si="465"/>
        <v>35.3982300884956</v>
      </c>
      <c r="AE408" s="29">
        <f t="shared" si="470"/>
        <v>0.75</v>
      </c>
      <c r="AF408" s="30">
        <f t="shared" si="466"/>
        <v>0.257254579131509</v>
      </c>
      <c r="AG408" s="30">
        <f t="shared" si="467"/>
        <v>0.00545058139534884</v>
      </c>
      <c r="AH408" s="29">
        <v>6</v>
      </c>
      <c r="AI408" s="26">
        <f t="shared" si="468"/>
        <v>0.329344537815126</v>
      </c>
      <c r="AJ408" s="26"/>
      <c r="AK408" s="26"/>
      <c r="AL408" s="26"/>
      <c r="AM408" s="26"/>
      <c r="AN408" s="34"/>
      <c r="AO408" s="34"/>
      <c r="AP408" s="34"/>
      <c r="AQ408" s="34"/>
      <c r="AR408" s="34"/>
      <c r="AS408" s="34"/>
      <c r="AT408" s="34" t="s">
        <v>156</v>
      </c>
      <c r="AU408" s="34" t="s">
        <v>156</v>
      </c>
      <c r="AV408" s="34" t="s">
        <v>156</v>
      </c>
      <c r="AW408" s="34" t="s">
        <v>156</v>
      </c>
      <c r="AX408" s="34" t="s">
        <v>156</v>
      </c>
      <c r="AY408" s="34" t="s">
        <v>156</v>
      </c>
      <c r="AZ408" s="34" t="s">
        <v>156</v>
      </c>
      <c r="BA408" s="34" t="s">
        <v>156</v>
      </c>
      <c r="BB408" s="34" t="s">
        <v>156</v>
      </c>
      <c r="BC408" s="34" t="s">
        <v>156</v>
      </c>
      <c r="BD408" s="34" t="s">
        <v>156</v>
      </c>
      <c r="BE408" s="34" t="s">
        <v>156</v>
      </c>
      <c r="BF408" s="34" t="s">
        <v>156</v>
      </c>
      <c r="BG408" s="34" t="s">
        <v>156</v>
      </c>
      <c r="BH408" s="34" t="s">
        <v>156</v>
      </c>
      <c r="BI408" s="34" t="s">
        <v>156</v>
      </c>
      <c r="BJ408" s="34" t="s">
        <v>156</v>
      </c>
      <c r="BK408" s="34" t="s">
        <v>156</v>
      </c>
      <c r="BL408" s="34" t="s">
        <v>156</v>
      </c>
      <c r="BM408" s="34" t="s">
        <v>156</v>
      </c>
      <c r="BN408" s="34" t="s">
        <v>156</v>
      </c>
      <c r="BO408" s="34" t="s">
        <v>156</v>
      </c>
      <c r="BP408" s="34" t="s">
        <v>156</v>
      </c>
      <c r="BQ408" s="34" t="s">
        <v>156</v>
      </c>
      <c r="BR408" s="35"/>
      <c r="BS408" s="20" t="s">
        <v>157</v>
      </c>
    </row>
    <row r="409" ht="16.5" hidden="1" spans="1:71">
      <c r="A409" s="21" t="s">
        <v>45</v>
      </c>
      <c r="B409" s="21"/>
      <c r="C409" s="45"/>
      <c r="D409" s="59" t="s">
        <v>269</v>
      </c>
      <c r="E409" s="55">
        <v>17.2</v>
      </c>
      <c r="F409" s="24">
        <v>24.99</v>
      </c>
      <c r="G409" s="25">
        <f t="shared" si="450"/>
        <v>22.491</v>
      </c>
      <c r="H409" s="25">
        <f t="shared" si="451"/>
        <v>18.7425</v>
      </c>
      <c r="I409" s="36">
        <f t="shared" si="452"/>
        <v>1.85812123893805</v>
      </c>
      <c r="J409" s="26">
        <f t="shared" si="453"/>
        <v>0.108030304589422</v>
      </c>
      <c r="K409" s="27">
        <f t="shared" si="454"/>
        <v>20.825</v>
      </c>
      <c r="L409" s="28">
        <f t="shared" si="455"/>
        <v>0.17406962785114</v>
      </c>
      <c r="M409" s="25">
        <f t="shared" si="456"/>
        <v>3.625</v>
      </c>
      <c r="N409" s="27">
        <f t="shared" si="469"/>
        <v>41.3982300884956</v>
      </c>
      <c r="O409" s="27">
        <f t="shared" si="457"/>
        <v>0.7625</v>
      </c>
      <c r="P409" s="21">
        <v>20</v>
      </c>
      <c r="Q409" s="29">
        <v>8</v>
      </c>
      <c r="R409" s="30">
        <f t="shared" si="458"/>
        <v>0.203488372093023</v>
      </c>
      <c r="S409" s="26">
        <f t="shared" si="459"/>
        <v>0.140056022408964</v>
      </c>
      <c r="T409" s="30">
        <f t="shared" si="460"/>
        <v>0.145290697674419</v>
      </c>
      <c r="U409" s="30">
        <v>0.01</v>
      </c>
      <c r="V409" s="30">
        <f t="shared" si="461"/>
        <v>0.300859230294299</v>
      </c>
      <c r="W409" s="30">
        <f t="shared" si="462"/>
        <v>0.0443313953488372</v>
      </c>
      <c r="X409" s="31">
        <v>0.188</v>
      </c>
      <c r="Y409" s="32">
        <v>3.5</v>
      </c>
      <c r="Z409" s="32">
        <f>F409*0.1</f>
        <v>2.499</v>
      </c>
      <c r="AA409" s="32">
        <f t="shared" si="463"/>
        <v>0.172</v>
      </c>
      <c r="AB409" s="27">
        <f t="shared" si="464"/>
        <v>3.2336</v>
      </c>
      <c r="AC409" s="27">
        <v>40</v>
      </c>
      <c r="AD409" s="33">
        <f t="shared" si="465"/>
        <v>35.3982300884956</v>
      </c>
      <c r="AE409" s="29">
        <f t="shared" si="470"/>
        <v>0.75</v>
      </c>
      <c r="AF409" s="30">
        <f t="shared" si="466"/>
        <v>0.257254579131509</v>
      </c>
      <c r="AG409" s="30">
        <f t="shared" si="467"/>
        <v>0.00545058139534884</v>
      </c>
      <c r="AH409" s="29">
        <v>6</v>
      </c>
      <c r="AI409" s="26">
        <f t="shared" si="468"/>
        <v>0.254827264239029</v>
      </c>
      <c r="AJ409" s="26"/>
      <c r="AK409" s="26"/>
      <c r="AL409" s="26"/>
      <c r="AM409" s="26"/>
      <c r="AN409" s="34"/>
      <c r="AO409" s="34"/>
      <c r="AP409" s="34"/>
      <c r="AQ409" s="34"/>
      <c r="AR409" s="34"/>
      <c r="AS409" s="34"/>
      <c r="AT409" s="34" t="s">
        <v>156</v>
      </c>
      <c r="AU409" s="34" t="s">
        <v>156</v>
      </c>
      <c r="AV409" s="34" t="s">
        <v>156</v>
      </c>
      <c r="AW409" s="34" t="s">
        <v>156</v>
      </c>
      <c r="AX409" s="34" t="s">
        <v>156</v>
      </c>
      <c r="AY409" s="34" t="s">
        <v>156</v>
      </c>
      <c r="AZ409" s="34" t="s">
        <v>156</v>
      </c>
      <c r="BA409" s="34" t="s">
        <v>156</v>
      </c>
      <c r="BB409" s="34" t="s">
        <v>156</v>
      </c>
      <c r="BC409" s="34" t="s">
        <v>156</v>
      </c>
      <c r="BD409" s="34" t="s">
        <v>156</v>
      </c>
      <c r="BE409" s="34" t="s">
        <v>156</v>
      </c>
      <c r="BF409" s="34" t="s">
        <v>156</v>
      </c>
      <c r="BG409" s="34" t="s">
        <v>156</v>
      </c>
      <c r="BH409" s="34" t="s">
        <v>156</v>
      </c>
      <c r="BI409" s="34" t="s">
        <v>156</v>
      </c>
      <c r="BJ409" s="34" t="s">
        <v>156</v>
      </c>
      <c r="BK409" s="34" t="s">
        <v>156</v>
      </c>
      <c r="BL409" s="34" t="s">
        <v>156</v>
      </c>
      <c r="BM409" s="34" t="s">
        <v>156</v>
      </c>
      <c r="BN409" s="34" t="s">
        <v>156</v>
      </c>
      <c r="BO409" s="34" t="s">
        <v>156</v>
      </c>
      <c r="BP409" s="34" t="s">
        <v>156</v>
      </c>
      <c r="BQ409" s="34" t="s">
        <v>156</v>
      </c>
      <c r="BR409" s="35"/>
      <c r="BS409" s="20" t="s">
        <v>157</v>
      </c>
    </row>
    <row r="410" ht="16.5" hidden="1" spans="1:71">
      <c r="A410" s="21" t="s">
        <v>45</v>
      </c>
      <c r="B410" s="21"/>
      <c r="C410" s="45"/>
      <c r="D410" s="59" t="s">
        <v>270</v>
      </c>
      <c r="E410" s="55">
        <v>17.2</v>
      </c>
      <c r="F410" s="24">
        <v>24.99</v>
      </c>
      <c r="G410" s="25">
        <f t="shared" si="450"/>
        <v>21.2415</v>
      </c>
      <c r="H410" s="25">
        <f t="shared" si="451"/>
        <v>17.70125</v>
      </c>
      <c r="I410" s="25">
        <f t="shared" si="452"/>
        <v>0.608621238938053</v>
      </c>
      <c r="J410" s="26">
        <f t="shared" si="453"/>
        <v>0.0353849557522124</v>
      </c>
      <c r="K410" s="27">
        <f t="shared" si="454"/>
        <v>20.825</v>
      </c>
      <c r="L410" s="28">
        <f t="shared" si="455"/>
        <v>0.17406962785114</v>
      </c>
      <c r="M410" s="25">
        <f t="shared" si="456"/>
        <v>3.625</v>
      </c>
      <c r="N410" s="27">
        <f t="shared" si="469"/>
        <v>41.3982300884956</v>
      </c>
      <c r="O410" s="27">
        <f t="shared" si="457"/>
        <v>0.7625</v>
      </c>
      <c r="P410" s="21">
        <v>20</v>
      </c>
      <c r="Q410" s="29">
        <v>8</v>
      </c>
      <c r="R410" s="30">
        <f t="shared" si="458"/>
        <v>0.203488372093023</v>
      </c>
      <c r="S410" s="26">
        <f t="shared" si="459"/>
        <v>0.140056022408964</v>
      </c>
      <c r="T410" s="30">
        <f t="shared" si="460"/>
        <v>0.217936046511628</v>
      </c>
      <c r="U410" s="30">
        <v>0.01</v>
      </c>
      <c r="V410" s="30">
        <f t="shared" si="461"/>
        <v>0.300859230294299</v>
      </c>
      <c r="W410" s="30">
        <f t="shared" si="462"/>
        <v>0.0443313953488372</v>
      </c>
      <c r="X410" s="31">
        <v>0.188</v>
      </c>
      <c r="Y410" s="32">
        <v>3.5</v>
      </c>
      <c r="Z410" s="32">
        <f>F410*0.15</f>
        <v>3.7485</v>
      </c>
      <c r="AA410" s="32">
        <f t="shared" si="463"/>
        <v>0.172</v>
      </c>
      <c r="AB410" s="27">
        <f t="shared" si="464"/>
        <v>3.2336</v>
      </c>
      <c r="AC410" s="27">
        <v>40</v>
      </c>
      <c r="AD410" s="33">
        <f t="shared" si="465"/>
        <v>35.3982300884956</v>
      </c>
      <c r="AE410" s="29">
        <f t="shared" si="470"/>
        <v>0.75</v>
      </c>
      <c r="AF410" s="30">
        <f t="shared" si="466"/>
        <v>0.257254579131509</v>
      </c>
      <c r="AG410" s="30">
        <f t="shared" si="467"/>
        <v>0.00545058139534884</v>
      </c>
      <c r="AH410" s="29">
        <v>6</v>
      </c>
      <c r="AI410" s="26">
        <f t="shared" si="468"/>
        <v>0.210993573900148</v>
      </c>
      <c r="AJ410" s="26"/>
      <c r="AK410" s="26"/>
      <c r="AL410" s="26"/>
      <c r="AM410" s="26"/>
      <c r="AN410" s="34"/>
      <c r="AO410" s="34"/>
      <c r="AP410" s="34"/>
      <c r="AQ410" s="34"/>
      <c r="AR410" s="34"/>
      <c r="AS410" s="34"/>
      <c r="AT410" s="34" t="s">
        <v>156</v>
      </c>
      <c r="AU410" s="34" t="s">
        <v>156</v>
      </c>
      <c r="AV410" s="34" t="s">
        <v>156</v>
      </c>
      <c r="AW410" s="34" t="s">
        <v>156</v>
      </c>
      <c r="AX410" s="34" t="s">
        <v>156</v>
      </c>
      <c r="AY410" s="34" t="s">
        <v>156</v>
      </c>
      <c r="AZ410" s="34" t="s">
        <v>156</v>
      </c>
      <c r="BA410" s="34" t="s">
        <v>156</v>
      </c>
      <c r="BB410" s="34" t="s">
        <v>156</v>
      </c>
      <c r="BC410" s="34" t="s">
        <v>156</v>
      </c>
      <c r="BD410" s="34" t="s">
        <v>156</v>
      </c>
      <c r="BE410" s="34" t="s">
        <v>156</v>
      </c>
      <c r="BF410" s="34" t="s">
        <v>156</v>
      </c>
      <c r="BG410" s="34" t="s">
        <v>156</v>
      </c>
      <c r="BH410" s="34" t="s">
        <v>156</v>
      </c>
      <c r="BI410" s="34" t="s">
        <v>156</v>
      </c>
      <c r="BJ410" s="34" t="s">
        <v>156</v>
      </c>
      <c r="BK410" s="34" t="s">
        <v>156</v>
      </c>
      <c r="BL410" s="34" t="s">
        <v>156</v>
      </c>
      <c r="BM410" s="34" t="s">
        <v>156</v>
      </c>
      <c r="BN410" s="34" t="s">
        <v>156</v>
      </c>
      <c r="BO410" s="34" t="s">
        <v>156</v>
      </c>
      <c r="BP410" s="34" t="s">
        <v>156</v>
      </c>
      <c r="BQ410" s="34" t="s">
        <v>156</v>
      </c>
      <c r="BR410" s="35"/>
      <c r="BS410" s="20" t="s">
        <v>157</v>
      </c>
    </row>
    <row r="411" ht="16.5" hidden="1" spans="1:71">
      <c r="A411" s="21" t="s">
        <v>48</v>
      </c>
      <c r="B411" s="21"/>
      <c r="C411" s="45"/>
      <c r="D411" s="59" t="s">
        <v>268</v>
      </c>
      <c r="E411" s="55">
        <v>17.2</v>
      </c>
      <c r="F411" s="24">
        <v>24.99</v>
      </c>
      <c r="G411" s="25">
        <f t="shared" si="450"/>
        <v>24.99</v>
      </c>
      <c r="H411" s="25">
        <f t="shared" si="451"/>
        <v>20.825</v>
      </c>
      <c r="I411" s="25">
        <f t="shared" si="452"/>
        <v>4.15712123893805</v>
      </c>
      <c r="J411" s="26">
        <f t="shared" si="453"/>
        <v>0.241693095287096</v>
      </c>
      <c r="K411" s="27">
        <f t="shared" si="454"/>
        <v>20.825</v>
      </c>
      <c r="L411" s="28">
        <f t="shared" si="455"/>
        <v>0.17406962785114</v>
      </c>
      <c r="M411" s="25">
        <f t="shared" si="456"/>
        <v>3.625</v>
      </c>
      <c r="N411" s="27">
        <f t="shared" si="469"/>
        <v>41.3982300884956</v>
      </c>
      <c r="O411" s="27">
        <f t="shared" si="457"/>
        <v>0.9625</v>
      </c>
      <c r="P411" s="21">
        <v>20</v>
      </c>
      <c r="Q411" s="29">
        <v>8</v>
      </c>
      <c r="R411" s="30">
        <f t="shared" si="458"/>
        <v>0.203488372093023</v>
      </c>
      <c r="S411" s="26">
        <f t="shared" si="459"/>
        <v>0.140056022408964</v>
      </c>
      <c r="T411" s="30">
        <f t="shared" si="460"/>
        <v>0</v>
      </c>
      <c r="U411" s="30">
        <v>0.01</v>
      </c>
      <c r="V411" s="30">
        <f t="shared" si="461"/>
        <v>0.300859230294299</v>
      </c>
      <c r="W411" s="30">
        <f t="shared" si="462"/>
        <v>0.0559593023255814</v>
      </c>
      <c r="X411" s="31">
        <v>0.188</v>
      </c>
      <c r="Y411" s="32">
        <v>3.5</v>
      </c>
      <c r="Z411" s="32">
        <v>0</v>
      </c>
      <c r="AA411" s="32">
        <f t="shared" si="463"/>
        <v>0.172</v>
      </c>
      <c r="AB411" s="27">
        <f t="shared" si="464"/>
        <v>3.2336</v>
      </c>
      <c r="AC411" s="27">
        <v>40</v>
      </c>
      <c r="AD411" s="33">
        <f t="shared" si="465"/>
        <v>35.3982300884956</v>
      </c>
      <c r="AE411" s="29">
        <f t="shared" si="470"/>
        <v>0.75</v>
      </c>
      <c r="AF411" s="30">
        <f t="shared" si="466"/>
        <v>0.257254579131509</v>
      </c>
      <c r="AG411" s="30">
        <f t="shared" si="467"/>
        <v>0.00545058139534884</v>
      </c>
      <c r="AH411" s="29">
        <v>6</v>
      </c>
      <c r="AI411" s="30">
        <f t="shared" si="468"/>
        <v>0.329344537815126</v>
      </c>
      <c r="AJ411" s="30"/>
      <c r="AK411" s="30"/>
      <c r="AL411" s="30"/>
      <c r="AM411" s="30"/>
      <c r="AN411" s="34"/>
      <c r="AO411" s="34"/>
      <c r="AP411" s="34"/>
      <c r="AQ411" s="34"/>
      <c r="AR411" s="34"/>
      <c r="AS411" s="34"/>
      <c r="AT411" s="34" t="s">
        <v>156</v>
      </c>
      <c r="AU411" s="34" t="s">
        <v>156</v>
      </c>
      <c r="AV411" s="34" t="s">
        <v>156</v>
      </c>
      <c r="AW411" s="34" t="s">
        <v>156</v>
      </c>
      <c r="AX411" s="34" t="s">
        <v>156</v>
      </c>
      <c r="AY411" s="34" t="s">
        <v>156</v>
      </c>
      <c r="AZ411" s="34" t="s">
        <v>156</v>
      </c>
      <c r="BA411" s="34" t="s">
        <v>156</v>
      </c>
      <c r="BB411" s="34" t="s">
        <v>156</v>
      </c>
      <c r="BC411" s="34" t="s">
        <v>156</v>
      </c>
      <c r="BD411" s="34" t="s">
        <v>156</v>
      </c>
      <c r="BE411" s="34" t="s">
        <v>156</v>
      </c>
      <c r="BF411" s="34" t="s">
        <v>156</v>
      </c>
      <c r="BG411" s="34" t="s">
        <v>156</v>
      </c>
      <c r="BH411" s="34" t="s">
        <v>156</v>
      </c>
      <c r="BI411" s="34" t="s">
        <v>156</v>
      </c>
      <c r="BJ411" s="34" t="s">
        <v>156</v>
      </c>
      <c r="BK411" s="34" t="s">
        <v>156</v>
      </c>
      <c r="BL411" s="34" t="s">
        <v>156</v>
      </c>
      <c r="BM411" s="34" t="s">
        <v>156</v>
      </c>
      <c r="BN411" s="34" t="s">
        <v>156</v>
      </c>
      <c r="BO411" s="34" t="s">
        <v>156</v>
      </c>
      <c r="BP411" s="34" t="s">
        <v>156</v>
      </c>
      <c r="BQ411" s="34" t="s">
        <v>156</v>
      </c>
      <c r="BR411" s="35"/>
      <c r="BS411" s="20" t="s">
        <v>157</v>
      </c>
    </row>
    <row r="412" ht="16.5" hidden="1" spans="1:71">
      <c r="A412" s="21" t="s">
        <v>48</v>
      </c>
      <c r="B412" s="21"/>
      <c r="C412" s="45"/>
      <c r="D412" s="59" t="s">
        <v>269</v>
      </c>
      <c r="E412" s="55">
        <v>17.2</v>
      </c>
      <c r="F412" s="24">
        <v>24.99</v>
      </c>
      <c r="G412" s="25">
        <f t="shared" si="450"/>
        <v>22.491</v>
      </c>
      <c r="H412" s="25">
        <f t="shared" si="451"/>
        <v>18.7425</v>
      </c>
      <c r="I412" s="36">
        <f t="shared" si="452"/>
        <v>1.65812123893805</v>
      </c>
      <c r="J412" s="26">
        <f t="shared" si="453"/>
        <v>0.0964023976126775</v>
      </c>
      <c r="K412" s="27">
        <f t="shared" si="454"/>
        <v>20.825</v>
      </c>
      <c r="L412" s="28">
        <f t="shared" si="455"/>
        <v>0.17406962785114</v>
      </c>
      <c r="M412" s="25">
        <f t="shared" si="456"/>
        <v>3.625</v>
      </c>
      <c r="N412" s="27">
        <f t="shared" si="469"/>
        <v>41.3982300884956</v>
      </c>
      <c r="O412" s="27">
        <f t="shared" si="457"/>
        <v>0.9625</v>
      </c>
      <c r="P412" s="21">
        <v>20</v>
      </c>
      <c r="Q412" s="29">
        <v>8</v>
      </c>
      <c r="R412" s="30">
        <f t="shared" si="458"/>
        <v>0.203488372093023</v>
      </c>
      <c r="S412" s="26">
        <f t="shared" si="459"/>
        <v>0.140056022408964</v>
      </c>
      <c r="T412" s="30">
        <f t="shared" si="460"/>
        <v>0.145290697674419</v>
      </c>
      <c r="U412" s="30">
        <v>0.01</v>
      </c>
      <c r="V412" s="30">
        <f t="shared" si="461"/>
        <v>0.300859230294299</v>
      </c>
      <c r="W412" s="30">
        <f t="shared" si="462"/>
        <v>0.0559593023255814</v>
      </c>
      <c r="X412" s="31">
        <v>0.188</v>
      </c>
      <c r="Y412" s="32">
        <v>3.5</v>
      </c>
      <c r="Z412" s="32">
        <f>F412*0.1</f>
        <v>2.499</v>
      </c>
      <c r="AA412" s="32">
        <f t="shared" si="463"/>
        <v>0.172</v>
      </c>
      <c r="AB412" s="27">
        <f t="shared" si="464"/>
        <v>3.2336</v>
      </c>
      <c r="AC412" s="27">
        <v>40</v>
      </c>
      <c r="AD412" s="33">
        <f t="shared" si="465"/>
        <v>35.3982300884956</v>
      </c>
      <c r="AE412" s="29">
        <f t="shared" si="470"/>
        <v>0.75</v>
      </c>
      <c r="AF412" s="30">
        <f t="shared" si="466"/>
        <v>0.257254579131509</v>
      </c>
      <c r="AG412" s="30">
        <f t="shared" si="467"/>
        <v>0.00545058139534884</v>
      </c>
      <c r="AH412" s="29">
        <v>6</v>
      </c>
      <c r="AI412" s="30">
        <f t="shared" si="468"/>
        <v>0.254827264239029</v>
      </c>
      <c r="AJ412" s="30"/>
      <c r="AK412" s="30"/>
      <c r="AL412" s="30"/>
      <c r="AM412" s="30"/>
      <c r="AN412" s="34"/>
      <c r="AO412" s="34"/>
      <c r="AP412" s="34"/>
      <c r="AQ412" s="34"/>
      <c r="AR412" s="34"/>
      <c r="AS412" s="34"/>
      <c r="AT412" s="34" t="s">
        <v>156</v>
      </c>
      <c r="AU412" s="34" t="s">
        <v>156</v>
      </c>
      <c r="AV412" s="34" t="s">
        <v>156</v>
      </c>
      <c r="AW412" s="34" t="s">
        <v>156</v>
      </c>
      <c r="AX412" s="34" t="s">
        <v>156</v>
      </c>
      <c r="AY412" s="34" t="s">
        <v>156</v>
      </c>
      <c r="AZ412" s="34" t="s">
        <v>156</v>
      </c>
      <c r="BA412" s="34" t="s">
        <v>156</v>
      </c>
      <c r="BB412" s="34" t="s">
        <v>156</v>
      </c>
      <c r="BC412" s="34" t="s">
        <v>156</v>
      </c>
      <c r="BD412" s="34" t="s">
        <v>156</v>
      </c>
      <c r="BE412" s="34" t="s">
        <v>156</v>
      </c>
      <c r="BF412" s="34" t="s">
        <v>156</v>
      </c>
      <c r="BG412" s="34" t="s">
        <v>156</v>
      </c>
      <c r="BH412" s="34" t="s">
        <v>156</v>
      </c>
      <c r="BI412" s="34" t="s">
        <v>156</v>
      </c>
      <c r="BJ412" s="34" t="s">
        <v>156</v>
      </c>
      <c r="BK412" s="34" t="s">
        <v>156</v>
      </c>
      <c r="BL412" s="34" t="s">
        <v>156</v>
      </c>
      <c r="BM412" s="34" t="s">
        <v>156</v>
      </c>
      <c r="BN412" s="34" t="s">
        <v>156</v>
      </c>
      <c r="BO412" s="34" t="s">
        <v>156</v>
      </c>
      <c r="BP412" s="34" t="s">
        <v>156</v>
      </c>
      <c r="BQ412" s="34" t="s">
        <v>156</v>
      </c>
      <c r="BR412" s="35"/>
      <c r="BS412" s="20" t="s">
        <v>157</v>
      </c>
    </row>
    <row r="413" ht="16.5" hidden="1" spans="1:71">
      <c r="A413" s="21" t="s">
        <v>48</v>
      </c>
      <c r="B413" s="21"/>
      <c r="C413" s="45"/>
      <c r="D413" s="59" t="s">
        <v>270</v>
      </c>
      <c r="E413" s="55">
        <v>17.2</v>
      </c>
      <c r="F413" s="24">
        <v>24.99</v>
      </c>
      <c r="G413" s="25">
        <f t="shared" si="450"/>
        <v>21.2415</v>
      </c>
      <c r="H413" s="25">
        <f t="shared" si="451"/>
        <v>17.70125</v>
      </c>
      <c r="I413" s="25">
        <f t="shared" si="452"/>
        <v>0.408621238938053</v>
      </c>
      <c r="J413" s="26">
        <f t="shared" si="453"/>
        <v>0.0237570487754682</v>
      </c>
      <c r="K413" s="27">
        <f t="shared" si="454"/>
        <v>20.825</v>
      </c>
      <c r="L413" s="28">
        <f t="shared" si="455"/>
        <v>0.17406962785114</v>
      </c>
      <c r="M413" s="25">
        <f t="shared" si="456"/>
        <v>3.625</v>
      </c>
      <c r="N413" s="27">
        <f t="shared" si="469"/>
        <v>41.3982300884956</v>
      </c>
      <c r="O413" s="27">
        <f t="shared" si="457"/>
        <v>0.9625</v>
      </c>
      <c r="P413" s="21">
        <v>20</v>
      </c>
      <c r="Q413" s="29">
        <v>8</v>
      </c>
      <c r="R413" s="30">
        <f t="shared" si="458"/>
        <v>0.203488372093023</v>
      </c>
      <c r="S413" s="26">
        <f t="shared" si="459"/>
        <v>0.140056022408964</v>
      </c>
      <c r="T413" s="30">
        <f t="shared" si="460"/>
        <v>0.217936046511628</v>
      </c>
      <c r="U413" s="30">
        <v>0.01</v>
      </c>
      <c r="V413" s="30">
        <f t="shared" si="461"/>
        <v>0.300859230294299</v>
      </c>
      <c r="W413" s="30">
        <f t="shared" si="462"/>
        <v>0.0559593023255814</v>
      </c>
      <c r="X413" s="31">
        <v>0.188</v>
      </c>
      <c r="Y413" s="32">
        <v>3.5</v>
      </c>
      <c r="Z413" s="32">
        <f>F413*0.15</f>
        <v>3.7485</v>
      </c>
      <c r="AA413" s="32">
        <f t="shared" si="463"/>
        <v>0.172</v>
      </c>
      <c r="AB413" s="27">
        <f t="shared" si="464"/>
        <v>3.2336</v>
      </c>
      <c r="AC413" s="27">
        <v>40</v>
      </c>
      <c r="AD413" s="33">
        <f t="shared" si="465"/>
        <v>35.3982300884956</v>
      </c>
      <c r="AE413" s="29">
        <f t="shared" si="470"/>
        <v>0.75</v>
      </c>
      <c r="AF413" s="30">
        <f t="shared" si="466"/>
        <v>0.257254579131509</v>
      </c>
      <c r="AG413" s="30">
        <f t="shared" si="467"/>
        <v>0.00545058139534884</v>
      </c>
      <c r="AH413" s="29">
        <v>6</v>
      </c>
      <c r="AI413" s="30">
        <f t="shared" si="468"/>
        <v>0.210993573900148</v>
      </c>
      <c r="AJ413" s="30"/>
      <c r="AK413" s="30"/>
      <c r="AL413" s="30"/>
      <c r="AM413" s="30"/>
      <c r="AN413" s="34"/>
      <c r="AO413" s="34"/>
      <c r="AP413" s="34"/>
      <c r="AQ413" s="34"/>
      <c r="AR413" s="34"/>
      <c r="AS413" s="34"/>
      <c r="AT413" s="34" t="s">
        <v>156</v>
      </c>
      <c r="AU413" s="34" t="s">
        <v>156</v>
      </c>
      <c r="AV413" s="34" t="s">
        <v>156</v>
      </c>
      <c r="AW413" s="34" t="s">
        <v>156</v>
      </c>
      <c r="AX413" s="34" t="s">
        <v>156</v>
      </c>
      <c r="AY413" s="34" t="s">
        <v>156</v>
      </c>
      <c r="AZ413" s="34" t="s">
        <v>156</v>
      </c>
      <c r="BA413" s="34" t="s">
        <v>156</v>
      </c>
      <c r="BB413" s="34" t="s">
        <v>156</v>
      </c>
      <c r="BC413" s="34" t="s">
        <v>156</v>
      </c>
      <c r="BD413" s="34" t="s">
        <v>156</v>
      </c>
      <c r="BE413" s="34" t="s">
        <v>156</v>
      </c>
      <c r="BF413" s="34" t="s">
        <v>156</v>
      </c>
      <c r="BG413" s="34" t="s">
        <v>156</v>
      </c>
      <c r="BH413" s="34" t="s">
        <v>156</v>
      </c>
      <c r="BI413" s="34" t="s">
        <v>156</v>
      </c>
      <c r="BJ413" s="34" t="s">
        <v>156</v>
      </c>
      <c r="BK413" s="34" t="s">
        <v>156</v>
      </c>
      <c r="BL413" s="34" t="s">
        <v>156</v>
      </c>
      <c r="BM413" s="34" t="s">
        <v>156</v>
      </c>
      <c r="BN413" s="34" t="s">
        <v>156</v>
      </c>
      <c r="BO413" s="34" t="s">
        <v>156</v>
      </c>
      <c r="BP413" s="34" t="s">
        <v>156</v>
      </c>
      <c r="BQ413" s="34" t="s">
        <v>156</v>
      </c>
      <c r="BR413" s="35"/>
      <c r="BS413" s="20" t="s">
        <v>157</v>
      </c>
    </row>
    <row r="414" ht="16.5" hidden="1" spans="1:71">
      <c r="A414" s="21" t="s">
        <v>161</v>
      </c>
      <c r="B414" s="21"/>
      <c r="C414" s="45"/>
      <c r="D414" s="42" t="s">
        <v>271</v>
      </c>
      <c r="E414" s="55">
        <v>17.2</v>
      </c>
      <c r="F414" s="24">
        <v>24.99</v>
      </c>
      <c r="G414" s="25">
        <f t="shared" si="450"/>
        <v>24.99</v>
      </c>
      <c r="H414" s="25">
        <f t="shared" si="451"/>
        <v>20.825</v>
      </c>
      <c r="I414" s="25">
        <f t="shared" si="452"/>
        <v>4.28212123893805</v>
      </c>
      <c r="J414" s="26">
        <f t="shared" si="453"/>
        <v>0.248960537147561</v>
      </c>
      <c r="K414" s="27">
        <f t="shared" si="454"/>
        <v>20.825</v>
      </c>
      <c r="L414" s="28">
        <f t="shared" si="455"/>
        <v>0.17406962785114</v>
      </c>
      <c r="M414" s="25">
        <f t="shared" si="456"/>
        <v>3.625</v>
      </c>
      <c r="N414" s="27">
        <f t="shared" si="469"/>
        <v>41.3982300884956</v>
      </c>
      <c r="O414" s="27">
        <f t="shared" si="457"/>
        <v>0.8375</v>
      </c>
      <c r="P414" s="21">
        <v>20</v>
      </c>
      <c r="Q414" s="29">
        <v>8</v>
      </c>
      <c r="R414" s="30">
        <f t="shared" si="458"/>
        <v>0.203488372093023</v>
      </c>
      <c r="S414" s="26">
        <f t="shared" si="459"/>
        <v>0.140056022408964</v>
      </c>
      <c r="T414" s="30">
        <f t="shared" si="460"/>
        <v>0</v>
      </c>
      <c r="U414" s="30">
        <v>0.01</v>
      </c>
      <c r="V414" s="30">
        <f t="shared" si="461"/>
        <v>0.300859230294299</v>
      </c>
      <c r="W414" s="30">
        <f t="shared" si="462"/>
        <v>0.0486918604651163</v>
      </c>
      <c r="X414" s="31">
        <v>0.188</v>
      </c>
      <c r="Y414" s="32">
        <v>3.5</v>
      </c>
      <c r="Z414" s="32">
        <f t="shared" ref="Z414:Z417" si="471">F414*0</f>
        <v>0</v>
      </c>
      <c r="AA414" s="32">
        <f t="shared" si="463"/>
        <v>0.172</v>
      </c>
      <c r="AB414" s="27">
        <f t="shared" si="464"/>
        <v>3.2336</v>
      </c>
      <c r="AC414" s="27">
        <v>40</v>
      </c>
      <c r="AD414" s="33">
        <f t="shared" si="465"/>
        <v>35.3982300884956</v>
      </c>
      <c r="AE414" s="29">
        <f t="shared" si="470"/>
        <v>0.75</v>
      </c>
      <c r="AF414" s="30">
        <f t="shared" si="466"/>
        <v>0.257254579131509</v>
      </c>
      <c r="AG414" s="30">
        <f t="shared" si="467"/>
        <v>0.00545058139534884</v>
      </c>
      <c r="AH414" s="29">
        <v>6</v>
      </c>
      <c r="AI414" s="30">
        <f t="shared" si="468"/>
        <v>0.329344537815126</v>
      </c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 t="s">
        <v>156</v>
      </c>
      <c r="AU414" s="34" t="s">
        <v>156</v>
      </c>
      <c r="AV414" s="34" t="s">
        <v>156</v>
      </c>
      <c r="AW414" s="34" t="s">
        <v>156</v>
      </c>
      <c r="AX414" s="34" t="s">
        <v>156</v>
      </c>
      <c r="AY414" s="34" t="s">
        <v>156</v>
      </c>
      <c r="AZ414" s="34" t="s">
        <v>156</v>
      </c>
      <c r="BA414" s="34" t="s">
        <v>156</v>
      </c>
      <c r="BB414" s="34" t="s">
        <v>156</v>
      </c>
      <c r="BC414" s="34" t="s">
        <v>156</v>
      </c>
      <c r="BD414" s="34" t="s">
        <v>156</v>
      </c>
      <c r="BE414" s="34" t="s">
        <v>156</v>
      </c>
      <c r="BF414" s="34" t="s">
        <v>156</v>
      </c>
      <c r="BG414" s="34" t="s">
        <v>156</v>
      </c>
      <c r="BH414" s="34" t="s">
        <v>156</v>
      </c>
      <c r="BI414" s="34" t="s">
        <v>156</v>
      </c>
      <c r="BJ414" s="34" t="s">
        <v>156</v>
      </c>
      <c r="BK414" s="34" t="s">
        <v>156</v>
      </c>
      <c r="BL414" s="34" t="s">
        <v>156</v>
      </c>
      <c r="BM414" s="34" t="s">
        <v>156</v>
      </c>
      <c r="BN414" s="34" t="s">
        <v>156</v>
      </c>
      <c r="BO414" s="34" t="s">
        <v>156</v>
      </c>
      <c r="BP414" s="34" t="s">
        <v>156</v>
      </c>
      <c r="BQ414" s="34" t="s">
        <v>156</v>
      </c>
      <c r="BR414" s="44" t="e">
        <f>IF(E414&lt;#REF!,1,0)</f>
        <v>#REF!</v>
      </c>
      <c r="BS414" s="20" t="s">
        <v>157</v>
      </c>
    </row>
    <row r="415" ht="16.5" hidden="1" spans="1:71">
      <c r="A415" s="21" t="s">
        <v>163</v>
      </c>
      <c r="B415" s="21"/>
      <c r="C415" s="45"/>
      <c r="D415" s="42" t="s">
        <v>272</v>
      </c>
      <c r="E415" s="55">
        <v>17.2</v>
      </c>
      <c r="F415" s="24">
        <v>24.99</v>
      </c>
      <c r="G415" s="25">
        <f t="shared" si="450"/>
        <v>24.99</v>
      </c>
      <c r="H415" s="25">
        <f t="shared" si="451"/>
        <v>20.825</v>
      </c>
      <c r="I415" s="25">
        <f t="shared" si="452"/>
        <v>4.41712123893805</v>
      </c>
      <c r="J415" s="26">
        <f t="shared" si="453"/>
        <v>0.256809374356864</v>
      </c>
      <c r="K415" s="27">
        <f t="shared" si="454"/>
        <v>20.825</v>
      </c>
      <c r="L415" s="28">
        <f t="shared" si="455"/>
        <v>0.17406962785114</v>
      </c>
      <c r="M415" s="25">
        <f t="shared" si="456"/>
        <v>3.625</v>
      </c>
      <c r="N415" s="27">
        <f t="shared" si="469"/>
        <v>41.3982300884956</v>
      </c>
      <c r="O415" s="27">
        <f t="shared" si="457"/>
        <v>0.7025</v>
      </c>
      <c r="P415" s="21">
        <v>20</v>
      </c>
      <c r="Q415" s="29">
        <v>8</v>
      </c>
      <c r="R415" s="30">
        <f t="shared" si="458"/>
        <v>0.203488372093023</v>
      </c>
      <c r="S415" s="26">
        <f t="shared" si="459"/>
        <v>0.140056022408964</v>
      </c>
      <c r="T415" s="30">
        <f t="shared" si="460"/>
        <v>0</v>
      </c>
      <c r="U415" s="30">
        <v>0.01</v>
      </c>
      <c r="V415" s="30">
        <f t="shared" si="461"/>
        <v>0.300859230294299</v>
      </c>
      <c r="W415" s="30">
        <f t="shared" si="462"/>
        <v>0.040843023255814</v>
      </c>
      <c r="X415" s="31">
        <v>0.188</v>
      </c>
      <c r="Y415" s="32">
        <v>3.5</v>
      </c>
      <c r="Z415" s="32">
        <f t="shared" si="471"/>
        <v>0</v>
      </c>
      <c r="AA415" s="32">
        <f t="shared" si="463"/>
        <v>0.172</v>
      </c>
      <c r="AB415" s="27">
        <f t="shared" si="464"/>
        <v>3.2336</v>
      </c>
      <c r="AC415" s="27">
        <v>40</v>
      </c>
      <c r="AD415" s="33">
        <f t="shared" si="465"/>
        <v>35.3982300884956</v>
      </c>
      <c r="AE415" s="29">
        <f t="shared" si="470"/>
        <v>0.75</v>
      </c>
      <c r="AF415" s="30">
        <f t="shared" si="466"/>
        <v>0.257254579131509</v>
      </c>
      <c r="AG415" s="30">
        <f t="shared" si="467"/>
        <v>0.00545058139534884</v>
      </c>
      <c r="AH415" s="29">
        <v>6</v>
      </c>
      <c r="AI415" s="30">
        <f t="shared" si="468"/>
        <v>0.329344537815126</v>
      </c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 t="s">
        <v>156</v>
      </c>
      <c r="AU415" s="34" t="s">
        <v>156</v>
      </c>
      <c r="AV415" s="34" t="s">
        <v>156</v>
      </c>
      <c r="AW415" s="34" t="s">
        <v>156</v>
      </c>
      <c r="AX415" s="34" t="s">
        <v>156</v>
      </c>
      <c r="AY415" s="34" t="s">
        <v>156</v>
      </c>
      <c r="AZ415" s="34" t="s">
        <v>156</v>
      </c>
      <c r="BA415" s="34" t="s">
        <v>156</v>
      </c>
      <c r="BB415" s="34" t="s">
        <v>156</v>
      </c>
      <c r="BC415" s="34" t="s">
        <v>156</v>
      </c>
      <c r="BD415" s="34" t="s">
        <v>156</v>
      </c>
      <c r="BE415" s="34" t="s">
        <v>156</v>
      </c>
      <c r="BF415" s="34" t="s">
        <v>156</v>
      </c>
      <c r="BG415" s="34" t="s">
        <v>156</v>
      </c>
      <c r="BH415" s="34" t="s">
        <v>156</v>
      </c>
      <c r="BI415" s="34" t="s">
        <v>156</v>
      </c>
      <c r="BJ415" s="34" t="s">
        <v>156</v>
      </c>
      <c r="BK415" s="34" t="s">
        <v>156</v>
      </c>
      <c r="BL415" s="34" t="s">
        <v>156</v>
      </c>
      <c r="BM415" s="34" t="s">
        <v>156</v>
      </c>
      <c r="BN415" s="34" t="s">
        <v>156</v>
      </c>
      <c r="BO415" s="34" t="s">
        <v>156</v>
      </c>
      <c r="BP415" s="34" t="s">
        <v>156</v>
      </c>
      <c r="BQ415" s="34" t="s">
        <v>156</v>
      </c>
      <c r="BR415" s="44" t="e">
        <f>IF(E415&lt;#REF!,1,0)</f>
        <v>#REF!</v>
      </c>
      <c r="BS415" s="20" t="s">
        <v>157</v>
      </c>
    </row>
    <row r="416" ht="16.5" hidden="1" spans="1:71">
      <c r="A416" s="21" t="s">
        <v>165</v>
      </c>
      <c r="B416" s="21"/>
      <c r="C416" s="45"/>
      <c r="D416" s="42" t="s">
        <v>273</v>
      </c>
      <c r="E416" s="55">
        <v>17.2</v>
      </c>
      <c r="F416" s="24">
        <v>24.99</v>
      </c>
      <c r="G416" s="25">
        <f t="shared" si="450"/>
        <v>24.99</v>
      </c>
      <c r="H416" s="25">
        <f t="shared" si="451"/>
        <v>20.825</v>
      </c>
      <c r="I416" s="25">
        <f t="shared" si="452"/>
        <v>4.20712123893805</v>
      </c>
      <c r="J416" s="26">
        <f t="shared" si="453"/>
        <v>0.244600072031282</v>
      </c>
      <c r="K416" s="27">
        <f t="shared" si="454"/>
        <v>20.825</v>
      </c>
      <c r="L416" s="28">
        <f t="shared" si="455"/>
        <v>0.17406962785114</v>
      </c>
      <c r="M416" s="25">
        <f t="shared" si="456"/>
        <v>3.625</v>
      </c>
      <c r="N416" s="27">
        <f t="shared" si="469"/>
        <v>41.3982300884956</v>
      </c>
      <c r="O416" s="27">
        <f t="shared" si="457"/>
        <v>0.9125</v>
      </c>
      <c r="P416" s="21">
        <v>20</v>
      </c>
      <c r="Q416" s="29">
        <v>8</v>
      </c>
      <c r="R416" s="30">
        <f t="shared" si="458"/>
        <v>0.203488372093023</v>
      </c>
      <c r="S416" s="26">
        <f t="shared" si="459"/>
        <v>0.140056022408964</v>
      </c>
      <c r="T416" s="30">
        <f t="shared" si="460"/>
        <v>0</v>
      </c>
      <c r="U416" s="30">
        <v>0.01</v>
      </c>
      <c r="V416" s="30">
        <f t="shared" si="461"/>
        <v>0.300859230294299</v>
      </c>
      <c r="W416" s="30">
        <f t="shared" si="462"/>
        <v>0.0530523255813954</v>
      </c>
      <c r="X416" s="31">
        <v>0.188</v>
      </c>
      <c r="Y416" s="32">
        <v>3.5</v>
      </c>
      <c r="Z416" s="32">
        <f t="shared" si="471"/>
        <v>0</v>
      </c>
      <c r="AA416" s="32">
        <f t="shared" si="463"/>
        <v>0.172</v>
      </c>
      <c r="AB416" s="27">
        <f t="shared" si="464"/>
        <v>3.2336</v>
      </c>
      <c r="AC416" s="27">
        <v>40</v>
      </c>
      <c r="AD416" s="33">
        <f t="shared" si="465"/>
        <v>35.3982300884956</v>
      </c>
      <c r="AE416" s="29">
        <f t="shared" si="470"/>
        <v>0.75</v>
      </c>
      <c r="AF416" s="30">
        <f t="shared" si="466"/>
        <v>0.257254579131509</v>
      </c>
      <c r="AG416" s="30">
        <f t="shared" si="467"/>
        <v>0.00545058139534884</v>
      </c>
      <c r="AH416" s="29">
        <v>6</v>
      </c>
      <c r="AI416" s="30">
        <f t="shared" si="468"/>
        <v>0.329344537815126</v>
      </c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 t="s">
        <v>156</v>
      </c>
      <c r="AU416" s="34" t="s">
        <v>156</v>
      </c>
      <c r="AV416" s="34" t="s">
        <v>156</v>
      </c>
      <c r="AW416" s="34" t="s">
        <v>156</v>
      </c>
      <c r="AX416" s="34" t="s">
        <v>156</v>
      </c>
      <c r="AY416" s="34" t="s">
        <v>156</v>
      </c>
      <c r="AZ416" s="34" t="s">
        <v>156</v>
      </c>
      <c r="BA416" s="34" t="s">
        <v>156</v>
      </c>
      <c r="BB416" s="34" t="s">
        <v>156</v>
      </c>
      <c r="BC416" s="34" t="s">
        <v>156</v>
      </c>
      <c r="BD416" s="34" t="s">
        <v>156</v>
      </c>
      <c r="BE416" s="34" t="s">
        <v>156</v>
      </c>
      <c r="BF416" s="34" t="s">
        <v>156</v>
      </c>
      <c r="BG416" s="34" t="s">
        <v>156</v>
      </c>
      <c r="BH416" s="34" t="s">
        <v>156</v>
      </c>
      <c r="BI416" s="34" t="s">
        <v>156</v>
      </c>
      <c r="BJ416" s="34" t="s">
        <v>156</v>
      </c>
      <c r="BK416" s="34" t="s">
        <v>156</v>
      </c>
      <c r="BL416" s="34" t="s">
        <v>156</v>
      </c>
      <c r="BM416" s="34" t="s">
        <v>156</v>
      </c>
      <c r="BN416" s="34" t="s">
        <v>156</v>
      </c>
      <c r="BO416" s="34" t="s">
        <v>156</v>
      </c>
      <c r="BP416" s="34" t="s">
        <v>156</v>
      </c>
      <c r="BQ416" s="34" t="s">
        <v>156</v>
      </c>
      <c r="BR416" s="44" t="e">
        <f>IF(E416&lt;#REF!,1,0)</f>
        <v>#REF!</v>
      </c>
      <c r="BS416" s="20" t="s">
        <v>157</v>
      </c>
    </row>
    <row r="417" ht="16.5" hidden="1" spans="1:71">
      <c r="A417" s="21" t="s">
        <v>167</v>
      </c>
      <c r="B417" s="21"/>
      <c r="C417" s="45"/>
      <c r="D417" s="42" t="s">
        <v>274</v>
      </c>
      <c r="E417" s="55">
        <v>17.2</v>
      </c>
      <c r="F417" s="24">
        <v>24.99</v>
      </c>
      <c r="G417" s="25">
        <f t="shared" si="450"/>
        <v>24.99</v>
      </c>
      <c r="H417" s="25">
        <f t="shared" si="451"/>
        <v>20.825</v>
      </c>
      <c r="I417" s="25">
        <f t="shared" si="452"/>
        <v>4.40712123893805</v>
      </c>
      <c r="J417" s="26">
        <f t="shared" si="453"/>
        <v>0.256227979008026</v>
      </c>
      <c r="K417" s="27">
        <f t="shared" si="454"/>
        <v>20.825</v>
      </c>
      <c r="L417" s="28">
        <f t="shared" si="455"/>
        <v>0.17406962785114</v>
      </c>
      <c r="M417" s="25">
        <f t="shared" si="456"/>
        <v>3.625</v>
      </c>
      <c r="N417" s="27">
        <f t="shared" si="469"/>
        <v>41.3982300884956</v>
      </c>
      <c r="O417" s="27">
        <f t="shared" si="457"/>
        <v>0.7125</v>
      </c>
      <c r="P417" s="21">
        <v>20</v>
      </c>
      <c r="Q417" s="29">
        <v>8</v>
      </c>
      <c r="R417" s="30">
        <f t="shared" si="458"/>
        <v>0.203488372093023</v>
      </c>
      <c r="S417" s="26">
        <f t="shared" si="459"/>
        <v>0.140056022408964</v>
      </c>
      <c r="T417" s="30">
        <f t="shared" si="460"/>
        <v>0</v>
      </c>
      <c r="U417" s="30">
        <v>0.01</v>
      </c>
      <c r="V417" s="30">
        <f t="shared" si="461"/>
        <v>0.300859230294299</v>
      </c>
      <c r="W417" s="30">
        <f t="shared" si="462"/>
        <v>0.0414244186046512</v>
      </c>
      <c r="X417" s="31">
        <v>0.188</v>
      </c>
      <c r="Y417" s="32">
        <v>3.5</v>
      </c>
      <c r="Z417" s="32">
        <f t="shared" si="471"/>
        <v>0</v>
      </c>
      <c r="AA417" s="32">
        <f t="shared" si="463"/>
        <v>0.172</v>
      </c>
      <c r="AB417" s="27">
        <f t="shared" si="464"/>
        <v>3.2336</v>
      </c>
      <c r="AC417" s="27">
        <v>40</v>
      </c>
      <c r="AD417" s="33">
        <f t="shared" si="465"/>
        <v>35.3982300884956</v>
      </c>
      <c r="AE417" s="29">
        <f t="shared" si="470"/>
        <v>0.75</v>
      </c>
      <c r="AF417" s="30">
        <f t="shared" si="466"/>
        <v>0.257254579131509</v>
      </c>
      <c r="AG417" s="30">
        <f t="shared" si="467"/>
        <v>0.00545058139534884</v>
      </c>
      <c r="AH417" s="29">
        <v>6</v>
      </c>
      <c r="AI417" s="30">
        <f t="shared" si="468"/>
        <v>0.329344537815126</v>
      </c>
      <c r="AJ417" s="30"/>
      <c r="AK417" s="30"/>
      <c r="AL417" s="30"/>
      <c r="AM417" s="30"/>
      <c r="AN417" s="34"/>
      <c r="AO417" s="34"/>
      <c r="AP417" s="34"/>
      <c r="AQ417" s="34"/>
      <c r="AR417" s="34"/>
      <c r="AS417" s="34"/>
      <c r="AT417" s="34" t="s">
        <v>156</v>
      </c>
      <c r="AU417" s="34" t="s">
        <v>156</v>
      </c>
      <c r="AV417" s="34" t="s">
        <v>156</v>
      </c>
      <c r="AW417" s="34" t="s">
        <v>156</v>
      </c>
      <c r="AX417" s="34" t="s">
        <v>156</v>
      </c>
      <c r="AY417" s="34" t="s">
        <v>156</v>
      </c>
      <c r="AZ417" s="34" t="s">
        <v>156</v>
      </c>
      <c r="BA417" s="34" t="s">
        <v>156</v>
      </c>
      <c r="BB417" s="34" t="s">
        <v>156</v>
      </c>
      <c r="BC417" s="34" t="s">
        <v>156</v>
      </c>
      <c r="BD417" s="34" t="s">
        <v>156</v>
      </c>
      <c r="BE417" s="34" t="s">
        <v>156</v>
      </c>
      <c r="BF417" s="34" t="s">
        <v>156</v>
      </c>
      <c r="BG417" s="34" t="s">
        <v>156</v>
      </c>
      <c r="BH417" s="34" t="s">
        <v>156</v>
      </c>
      <c r="BI417" s="34" t="s">
        <v>156</v>
      </c>
      <c r="BJ417" s="34" t="s">
        <v>156</v>
      </c>
      <c r="BK417" s="34" t="s">
        <v>156</v>
      </c>
      <c r="BL417" s="34" t="s">
        <v>156</v>
      </c>
      <c r="BM417" s="34" t="s">
        <v>156</v>
      </c>
      <c r="BN417" s="34" t="s">
        <v>156</v>
      </c>
      <c r="BO417" s="34" t="s">
        <v>156</v>
      </c>
      <c r="BP417" s="34" t="s">
        <v>156</v>
      </c>
      <c r="BQ417" s="34" t="s">
        <v>156</v>
      </c>
      <c r="BR417" s="44" t="e">
        <f>IF(E417&lt;#REF!,1,0)</f>
        <v>#REF!</v>
      </c>
      <c r="BS417" s="20" t="s">
        <v>157</v>
      </c>
    </row>
    <row r="419" ht="16.5" spans="1:71">
      <c r="A419" s="21" t="s">
        <v>50</v>
      </c>
      <c r="B419" s="21"/>
      <c r="C419" s="51"/>
      <c r="D419" s="39" t="s">
        <v>275</v>
      </c>
      <c r="E419" s="27">
        <v>69</v>
      </c>
      <c r="F419" s="43">
        <v>99.99</v>
      </c>
      <c r="G419" s="25">
        <f t="shared" ref="G419:G437" si="472">(F419-Z419)</f>
        <v>99.99</v>
      </c>
      <c r="H419" s="25">
        <f t="shared" ref="H419:H437" si="473">(F419-Z419)/1.2</f>
        <v>83.325</v>
      </c>
      <c r="I419" s="25">
        <f t="shared" ref="I419:I437" si="474">E419-N419/Q419-AB419-Y419-O419-Z419-AA419</f>
        <v>16.6680688298918</v>
      </c>
      <c r="J419" s="26">
        <f t="shared" ref="J419:J437" si="475">I419/E419</f>
        <v>0.241566214925969</v>
      </c>
      <c r="K419" s="27">
        <f t="shared" ref="K419:K437" si="476">F419/1.2</f>
        <v>83.325</v>
      </c>
      <c r="L419" s="28">
        <f t="shared" ref="L419:L437" si="477">(K419-E419)/K419</f>
        <v>0.171917191719172</v>
      </c>
      <c r="M419" s="25">
        <f t="shared" ref="M419:M437" si="478">F419/1.2-E419</f>
        <v>14.325</v>
      </c>
      <c r="N419" s="27">
        <f t="shared" ref="N419:N437" si="479">AD419+AH419</f>
        <v>237.389380530973</v>
      </c>
      <c r="O419" s="27">
        <f t="shared" ref="O419:O437" si="480">IFERROR(IF(A419="UK",8.95/P419,IF(A419="DE",7.75/P419,IF(A419="FR",14.25/P419,IF(A419="IT",15.25/P419,IF(A419="ES",19.25/P419,IF(A419="NL",16.75/P419,IF(A419="PL",14.05/P419,IF(A419="SE",18.25/P419,IF(A419="BE",14.25/P419))))))))),0)</f>
        <v>2.98333333333333</v>
      </c>
      <c r="P419" s="20">
        <v>3</v>
      </c>
      <c r="Q419" s="29">
        <v>9</v>
      </c>
      <c r="R419" s="30">
        <f t="shared" ref="R419:R437" si="481">Y419/E419</f>
        <v>0.144927536231884</v>
      </c>
      <c r="S419" s="26">
        <f t="shared" ref="S419:S437" si="482">Y419/F419</f>
        <v>0.1000100010001</v>
      </c>
      <c r="T419" s="30">
        <f t="shared" ref="T419:T437" si="483">Z419/E419</f>
        <v>0</v>
      </c>
      <c r="U419" s="30">
        <v>0.01</v>
      </c>
      <c r="V419" s="30">
        <f t="shared" ref="V419:V437" si="484">N419/(E419*Q419)</f>
        <v>0.382269533866302</v>
      </c>
      <c r="W419" s="30">
        <f t="shared" ref="W419:W437" si="485">O419/E419</f>
        <v>0.0432367149758454</v>
      </c>
      <c r="X419" s="31">
        <v>0.178</v>
      </c>
      <c r="Y419" s="32">
        <v>10</v>
      </c>
      <c r="Z419" s="32">
        <v>0</v>
      </c>
      <c r="AA419" s="32">
        <f t="shared" ref="AA419:AA437" si="486">E419*U419</f>
        <v>0.69</v>
      </c>
      <c r="AB419" s="27">
        <f t="shared" ref="AB419:AB437" si="487">E419*X419</f>
        <v>12.282</v>
      </c>
      <c r="AC419" s="27">
        <v>240</v>
      </c>
      <c r="AD419" s="33">
        <f t="shared" ref="AD419:AD437" si="488">AC419/1.13</f>
        <v>212.389380530973</v>
      </c>
      <c r="AE419" s="29">
        <f t="shared" ref="AE419:AE421" si="489">11.1/8.5</f>
        <v>1.30588235294118</v>
      </c>
      <c r="AF419" s="30">
        <f t="shared" ref="AF419:AF437" si="490">AD419/(E419*Q419)</f>
        <v>0.342011884913001</v>
      </c>
      <c r="AG419" s="30">
        <f t="shared" ref="AG419:AG437" si="491">AE419/Q419/E419</f>
        <v>0.00210287013356067</v>
      </c>
      <c r="AH419" s="29">
        <v>25</v>
      </c>
      <c r="AI419" s="26">
        <f t="shared" ref="AI419:AI437" si="492">(K419-E419+AB419)/(K419-Z419)</f>
        <v>0.319315931593159</v>
      </c>
      <c r="AJ419" s="30"/>
      <c r="AK419" s="30"/>
      <c r="AL419" s="30"/>
      <c r="AM419" s="30"/>
      <c r="AN419" s="34"/>
      <c r="AO419" s="34"/>
      <c r="AP419" s="34"/>
      <c r="AQ419" s="34"/>
      <c r="AR419" s="34"/>
      <c r="AS419" s="34"/>
      <c r="AT419" s="34" t="s">
        <v>156</v>
      </c>
      <c r="AU419" s="34" t="s">
        <v>156</v>
      </c>
      <c r="AV419" s="34" t="s">
        <v>156</v>
      </c>
      <c r="AW419" s="34" t="s">
        <v>156</v>
      </c>
      <c r="AX419" s="34" t="s">
        <v>156</v>
      </c>
      <c r="AY419" s="34" t="s">
        <v>156</v>
      </c>
      <c r="AZ419" s="34" t="s">
        <v>156</v>
      </c>
      <c r="BA419" s="34" t="s">
        <v>156</v>
      </c>
      <c r="BB419" s="34" t="s">
        <v>156</v>
      </c>
      <c r="BC419" s="34" t="s">
        <v>156</v>
      </c>
      <c r="BD419" s="34" t="s">
        <v>156</v>
      </c>
      <c r="BE419" s="34" t="s">
        <v>156</v>
      </c>
      <c r="BF419" s="34" t="s">
        <v>156</v>
      </c>
      <c r="BG419" s="34" t="s">
        <v>156</v>
      </c>
      <c r="BH419" s="34" t="s">
        <v>156</v>
      </c>
      <c r="BI419" s="34" t="s">
        <v>156</v>
      </c>
      <c r="BJ419" s="34" t="s">
        <v>156</v>
      </c>
      <c r="BK419" s="34" t="s">
        <v>156</v>
      </c>
      <c r="BL419" s="34" t="s">
        <v>156</v>
      </c>
      <c r="BM419" s="34" t="s">
        <v>156</v>
      </c>
      <c r="BN419" s="34" t="s">
        <v>156</v>
      </c>
      <c r="BO419" s="34" t="s">
        <v>156</v>
      </c>
      <c r="BP419" s="34" t="s">
        <v>156</v>
      </c>
      <c r="BQ419" s="34" t="s">
        <v>156</v>
      </c>
      <c r="BR419" s="44" t="e">
        <f>IF(E419&lt;#REF!,1,0)</f>
        <v>#REF!</v>
      </c>
      <c r="BS419" s="20" t="s">
        <v>157</v>
      </c>
    </row>
    <row r="420" ht="16.5" spans="1:71">
      <c r="A420" s="21" t="s">
        <v>50</v>
      </c>
      <c r="B420" s="21"/>
      <c r="C420" s="45"/>
      <c r="D420" s="39" t="s">
        <v>276</v>
      </c>
      <c r="E420" s="27">
        <v>69</v>
      </c>
      <c r="F420" s="43">
        <v>99.99</v>
      </c>
      <c r="G420" s="25">
        <f t="shared" si="472"/>
        <v>89.991</v>
      </c>
      <c r="H420" s="25">
        <f t="shared" si="473"/>
        <v>74.9925</v>
      </c>
      <c r="I420" s="25">
        <f t="shared" si="474"/>
        <v>6.66906882989183</v>
      </c>
      <c r="J420" s="26">
        <f t="shared" si="475"/>
        <v>0.0966531714477077</v>
      </c>
      <c r="K420" s="27">
        <f t="shared" si="476"/>
        <v>83.325</v>
      </c>
      <c r="L420" s="28">
        <f t="shared" si="477"/>
        <v>0.171917191719172</v>
      </c>
      <c r="M420" s="25">
        <f t="shared" si="478"/>
        <v>14.325</v>
      </c>
      <c r="N420" s="27">
        <f t="shared" si="479"/>
        <v>237.389380530973</v>
      </c>
      <c r="O420" s="27">
        <f t="shared" si="480"/>
        <v>2.98333333333333</v>
      </c>
      <c r="P420" s="21">
        <v>3</v>
      </c>
      <c r="Q420" s="29">
        <v>9</v>
      </c>
      <c r="R420" s="30">
        <f t="shared" si="481"/>
        <v>0.144927536231884</v>
      </c>
      <c r="S420" s="26">
        <f t="shared" si="482"/>
        <v>0.1000100010001</v>
      </c>
      <c r="T420" s="30">
        <f t="shared" si="483"/>
        <v>0.144913043478261</v>
      </c>
      <c r="U420" s="30">
        <v>0.01</v>
      </c>
      <c r="V420" s="30">
        <f t="shared" si="484"/>
        <v>0.382269533866302</v>
      </c>
      <c r="W420" s="30">
        <f t="shared" si="485"/>
        <v>0.0432367149758454</v>
      </c>
      <c r="X420" s="31">
        <v>0.178</v>
      </c>
      <c r="Y420" s="32">
        <v>10</v>
      </c>
      <c r="Z420" s="32">
        <f>F420*0.1</f>
        <v>9.999</v>
      </c>
      <c r="AA420" s="32">
        <f t="shared" si="486"/>
        <v>0.69</v>
      </c>
      <c r="AB420" s="27">
        <f t="shared" si="487"/>
        <v>12.282</v>
      </c>
      <c r="AC420" s="27">
        <v>240</v>
      </c>
      <c r="AD420" s="33">
        <f t="shared" si="488"/>
        <v>212.389380530973</v>
      </c>
      <c r="AE420" s="29">
        <f t="shared" si="489"/>
        <v>1.30588235294118</v>
      </c>
      <c r="AF420" s="30">
        <f t="shared" si="490"/>
        <v>0.342011884913001</v>
      </c>
      <c r="AG420" s="30">
        <f t="shared" si="491"/>
        <v>0.00210287013356067</v>
      </c>
      <c r="AH420" s="29">
        <v>25</v>
      </c>
      <c r="AI420" s="26">
        <f t="shared" si="492"/>
        <v>0.362859013174045</v>
      </c>
      <c r="AJ420" s="30"/>
      <c r="AK420" s="30"/>
      <c r="AL420" s="30"/>
      <c r="AM420" s="30"/>
      <c r="AN420" s="34"/>
      <c r="AO420" s="34"/>
      <c r="AP420" s="34"/>
      <c r="AQ420" s="34"/>
      <c r="AR420" s="34"/>
      <c r="AS420" s="34"/>
      <c r="AT420" s="34" t="s">
        <v>156</v>
      </c>
      <c r="AU420" s="34" t="s">
        <v>156</v>
      </c>
      <c r="AV420" s="34" t="s">
        <v>156</v>
      </c>
      <c r="AW420" s="34" t="s">
        <v>156</v>
      </c>
      <c r="AX420" s="34" t="s">
        <v>156</v>
      </c>
      <c r="AY420" s="34" t="s">
        <v>156</v>
      </c>
      <c r="AZ420" s="34" t="s">
        <v>156</v>
      </c>
      <c r="BA420" s="34" t="s">
        <v>156</v>
      </c>
      <c r="BB420" s="34" t="s">
        <v>156</v>
      </c>
      <c r="BC420" s="34" t="s">
        <v>156</v>
      </c>
      <c r="BD420" s="34" t="s">
        <v>156</v>
      </c>
      <c r="BE420" s="34" t="s">
        <v>156</v>
      </c>
      <c r="BF420" s="34" t="s">
        <v>156</v>
      </c>
      <c r="BG420" s="34" t="s">
        <v>156</v>
      </c>
      <c r="BH420" s="34" t="s">
        <v>156</v>
      </c>
      <c r="BI420" s="34" t="s">
        <v>156</v>
      </c>
      <c r="BJ420" s="34" t="s">
        <v>156</v>
      </c>
      <c r="BK420" s="34" t="s">
        <v>156</v>
      </c>
      <c r="BL420" s="34" t="s">
        <v>156</v>
      </c>
      <c r="BM420" s="34" t="s">
        <v>156</v>
      </c>
      <c r="BN420" s="34" t="s">
        <v>156</v>
      </c>
      <c r="BO420" s="34" t="s">
        <v>156</v>
      </c>
      <c r="BP420" s="34" t="s">
        <v>156</v>
      </c>
      <c r="BQ420" s="34" t="s">
        <v>156</v>
      </c>
      <c r="BR420" s="44" t="e">
        <f>IF(E420&lt;#REF!,1,0)</f>
        <v>#REF!</v>
      </c>
      <c r="BS420" s="20" t="s">
        <v>157</v>
      </c>
    </row>
    <row r="421" ht="16.5" spans="1:71">
      <c r="A421" s="21" t="s">
        <v>50</v>
      </c>
      <c r="B421" s="21"/>
      <c r="C421" s="45"/>
      <c r="D421" s="39" t="s">
        <v>277</v>
      </c>
      <c r="E421" s="27">
        <v>69</v>
      </c>
      <c r="F421" s="43">
        <v>99.99</v>
      </c>
      <c r="G421" s="25">
        <f t="shared" si="472"/>
        <v>84.9915</v>
      </c>
      <c r="H421" s="25">
        <f t="shared" si="473"/>
        <v>70.82625</v>
      </c>
      <c r="I421" s="25">
        <f t="shared" si="474"/>
        <v>1.66956882989183</v>
      </c>
      <c r="J421" s="26">
        <f t="shared" si="475"/>
        <v>0.0241966497085773</v>
      </c>
      <c r="K421" s="27">
        <f t="shared" si="476"/>
        <v>83.325</v>
      </c>
      <c r="L421" s="28">
        <f t="shared" si="477"/>
        <v>0.171917191719172</v>
      </c>
      <c r="M421" s="25">
        <f t="shared" si="478"/>
        <v>14.325</v>
      </c>
      <c r="N421" s="27">
        <f t="shared" si="479"/>
        <v>237.389380530973</v>
      </c>
      <c r="O421" s="27">
        <f t="shared" si="480"/>
        <v>2.98333333333333</v>
      </c>
      <c r="P421" s="21">
        <v>3</v>
      </c>
      <c r="Q421" s="29">
        <v>9</v>
      </c>
      <c r="R421" s="30">
        <f t="shared" si="481"/>
        <v>0.144927536231884</v>
      </c>
      <c r="S421" s="26">
        <f t="shared" si="482"/>
        <v>0.1000100010001</v>
      </c>
      <c r="T421" s="30">
        <f t="shared" si="483"/>
        <v>0.217369565217391</v>
      </c>
      <c r="U421" s="30">
        <v>0.01</v>
      </c>
      <c r="V421" s="30">
        <f t="shared" si="484"/>
        <v>0.382269533866302</v>
      </c>
      <c r="W421" s="30">
        <f t="shared" si="485"/>
        <v>0.0432367149758454</v>
      </c>
      <c r="X421" s="31">
        <v>0.178</v>
      </c>
      <c r="Y421" s="32">
        <v>10</v>
      </c>
      <c r="Z421" s="32">
        <f>F421*0.15</f>
        <v>14.9985</v>
      </c>
      <c r="AA421" s="32">
        <f t="shared" si="486"/>
        <v>0.69</v>
      </c>
      <c r="AB421" s="27">
        <f t="shared" si="487"/>
        <v>12.282</v>
      </c>
      <c r="AC421" s="27">
        <v>240</v>
      </c>
      <c r="AD421" s="33">
        <f t="shared" si="488"/>
        <v>212.389380530973</v>
      </c>
      <c r="AE421" s="29">
        <f t="shared" si="489"/>
        <v>1.30588235294118</v>
      </c>
      <c r="AF421" s="30">
        <f t="shared" si="490"/>
        <v>0.342011884913001</v>
      </c>
      <c r="AG421" s="30">
        <f t="shared" si="491"/>
        <v>0.00210287013356067</v>
      </c>
      <c r="AH421" s="29">
        <v>25</v>
      </c>
      <c r="AI421" s="26">
        <f t="shared" si="492"/>
        <v>0.389409672674585</v>
      </c>
      <c r="AJ421" s="30"/>
      <c r="AK421" s="30"/>
      <c r="AL421" s="30"/>
      <c r="AM421" s="30"/>
      <c r="AN421" s="34"/>
      <c r="AO421" s="34"/>
      <c r="AP421" s="34"/>
      <c r="AQ421" s="34"/>
      <c r="AR421" s="34"/>
      <c r="AS421" s="34"/>
      <c r="AT421" s="34" t="s">
        <v>156</v>
      </c>
      <c r="AU421" s="34" t="s">
        <v>156</v>
      </c>
      <c r="AV421" s="34" t="s">
        <v>156</v>
      </c>
      <c r="AW421" s="34" t="s">
        <v>156</v>
      </c>
      <c r="AX421" s="34" t="s">
        <v>156</v>
      </c>
      <c r="AY421" s="34" t="s">
        <v>156</v>
      </c>
      <c r="AZ421" s="34" t="s">
        <v>156</v>
      </c>
      <c r="BA421" s="34" t="s">
        <v>156</v>
      </c>
      <c r="BB421" s="34" t="s">
        <v>156</v>
      </c>
      <c r="BC421" s="34" t="s">
        <v>156</v>
      </c>
      <c r="BD421" s="34" t="s">
        <v>156</v>
      </c>
      <c r="BE421" s="34" t="s">
        <v>156</v>
      </c>
      <c r="BF421" s="34" t="s">
        <v>156</v>
      </c>
      <c r="BG421" s="34" t="s">
        <v>156</v>
      </c>
      <c r="BH421" s="34" t="s">
        <v>156</v>
      </c>
      <c r="BI421" s="34" t="s">
        <v>156</v>
      </c>
      <c r="BJ421" s="34" t="s">
        <v>156</v>
      </c>
      <c r="BK421" s="34" t="s">
        <v>156</v>
      </c>
      <c r="BL421" s="34" t="s">
        <v>156</v>
      </c>
      <c r="BM421" s="34" t="s">
        <v>156</v>
      </c>
      <c r="BN421" s="34" t="s">
        <v>156</v>
      </c>
      <c r="BO421" s="34" t="s">
        <v>156</v>
      </c>
      <c r="BP421" s="34" t="s">
        <v>156</v>
      </c>
      <c r="BQ421" s="34" t="s">
        <v>156</v>
      </c>
      <c r="BR421" s="44" t="e">
        <f>IF(E421&lt;#REF!,1,0)</f>
        <v>#REF!</v>
      </c>
      <c r="BS421" s="20" t="s">
        <v>157</v>
      </c>
    </row>
    <row r="422" ht="16.5" spans="1:71">
      <c r="A422" s="21" t="s">
        <v>37</v>
      </c>
      <c r="B422" s="21"/>
      <c r="C422" s="45"/>
      <c r="D422" s="37" t="s">
        <v>275</v>
      </c>
      <c r="E422" s="27">
        <v>76</v>
      </c>
      <c r="F422" s="43">
        <v>109.99</v>
      </c>
      <c r="G422" s="25">
        <f t="shared" si="472"/>
        <v>109.99</v>
      </c>
      <c r="H422" s="25">
        <f t="shared" si="473"/>
        <v>91.6583333333333</v>
      </c>
      <c r="I422" s="25">
        <f t="shared" si="474"/>
        <v>18.694994100295</v>
      </c>
      <c r="J422" s="26">
        <f t="shared" si="475"/>
        <v>0.245986764477565</v>
      </c>
      <c r="K422" s="27">
        <f t="shared" si="476"/>
        <v>91.6583333333333</v>
      </c>
      <c r="L422" s="28">
        <f t="shared" si="477"/>
        <v>0.17083371215565</v>
      </c>
      <c r="M422" s="25">
        <f t="shared" si="478"/>
        <v>15.6583333333333</v>
      </c>
      <c r="N422" s="27">
        <f t="shared" si="479"/>
        <v>237.389380530973</v>
      </c>
      <c r="O422" s="27">
        <f t="shared" si="480"/>
        <v>2.58333333333333</v>
      </c>
      <c r="P422" s="21">
        <v>3</v>
      </c>
      <c r="Q422" s="29">
        <v>8</v>
      </c>
      <c r="R422" s="30">
        <f t="shared" si="481"/>
        <v>0.131578947368421</v>
      </c>
      <c r="S422" s="26">
        <f t="shared" si="482"/>
        <v>0.0909173561232839</v>
      </c>
      <c r="T422" s="30">
        <f t="shared" si="483"/>
        <v>0</v>
      </c>
      <c r="U422" s="30">
        <v>0.01</v>
      </c>
      <c r="V422" s="30">
        <f t="shared" si="484"/>
        <v>0.390443060083838</v>
      </c>
      <c r="W422" s="30">
        <f t="shared" si="485"/>
        <v>0.0339912280701754</v>
      </c>
      <c r="X422" s="31">
        <v>0.188</v>
      </c>
      <c r="Y422" s="32">
        <v>10</v>
      </c>
      <c r="Z422" s="32">
        <v>0</v>
      </c>
      <c r="AA422" s="32">
        <f t="shared" si="486"/>
        <v>0.76</v>
      </c>
      <c r="AB422" s="27">
        <f t="shared" si="487"/>
        <v>14.288</v>
      </c>
      <c r="AC422" s="27">
        <v>240</v>
      </c>
      <c r="AD422" s="33">
        <f t="shared" si="488"/>
        <v>212.389380530973</v>
      </c>
      <c r="AE422" s="29">
        <f t="shared" ref="AE422:AE437" si="493">11.1/7.4</f>
        <v>1.5</v>
      </c>
      <c r="AF422" s="30">
        <f t="shared" si="490"/>
        <v>0.349324639031206</v>
      </c>
      <c r="AG422" s="30">
        <f t="shared" si="491"/>
        <v>0.00246710526315789</v>
      </c>
      <c r="AH422" s="29">
        <v>25</v>
      </c>
      <c r="AI422" s="26">
        <f t="shared" si="492"/>
        <v>0.326716974270388</v>
      </c>
      <c r="AJ422" s="30"/>
      <c r="AK422" s="30"/>
      <c r="AL422" s="30"/>
      <c r="AM422" s="30"/>
      <c r="AN422" s="34"/>
      <c r="AO422" s="34"/>
      <c r="AP422" s="34"/>
      <c r="AQ422" s="34"/>
      <c r="AR422" s="34"/>
      <c r="AS422" s="34"/>
      <c r="AT422" s="34" t="s">
        <v>156</v>
      </c>
      <c r="AU422" s="34" t="s">
        <v>156</v>
      </c>
      <c r="AV422" s="34" t="s">
        <v>156</v>
      </c>
      <c r="AW422" s="34" t="s">
        <v>156</v>
      </c>
      <c r="AX422" s="34" t="s">
        <v>156</v>
      </c>
      <c r="AY422" s="34" t="s">
        <v>156</v>
      </c>
      <c r="AZ422" s="34" t="s">
        <v>156</v>
      </c>
      <c r="BA422" s="34" t="s">
        <v>156</v>
      </c>
      <c r="BB422" s="34" t="s">
        <v>156</v>
      </c>
      <c r="BC422" s="34" t="s">
        <v>156</v>
      </c>
      <c r="BD422" s="34" t="s">
        <v>156</v>
      </c>
      <c r="BE422" s="34" t="s">
        <v>156</v>
      </c>
      <c r="BF422" s="34" t="s">
        <v>156</v>
      </c>
      <c r="BG422" s="34" t="s">
        <v>156</v>
      </c>
      <c r="BH422" s="34" t="s">
        <v>156</v>
      </c>
      <c r="BI422" s="34" t="s">
        <v>156</v>
      </c>
      <c r="BJ422" s="34" t="s">
        <v>156</v>
      </c>
      <c r="BK422" s="34" t="s">
        <v>156</v>
      </c>
      <c r="BL422" s="34" t="s">
        <v>156</v>
      </c>
      <c r="BM422" s="34" t="s">
        <v>156</v>
      </c>
      <c r="BN422" s="34" t="s">
        <v>156</v>
      </c>
      <c r="BO422" s="34" t="s">
        <v>156</v>
      </c>
      <c r="BP422" s="34" t="s">
        <v>156</v>
      </c>
      <c r="BQ422" s="34" t="s">
        <v>156</v>
      </c>
      <c r="BR422" s="44" t="e">
        <f>IF(E422&lt;#REF!,1,0)</f>
        <v>#REF!</v>
      </c>
      <c r="BS422" s="20" t="s">
        <v>157</v>
      </c>
    </row>
    <row r="423" ht="16.5" spans="1:71">
      <c r="A423" s="21" t="s">
        <v>37</v>
      </c>
      <c r="B423" s="21"/>
      <c r="C423" s="45"/>
      <c r="D423" s="37" t="s">
        <v>276</v>
      </c>
      <c r="E423" s="27">
        <v>76</v>
      </c>
      <c r="F423" s="43">
        <v>109.99</v>
      </c>
      <c r="G423" s="25">
        <f t="shared" si="472"/>
        <v>98.991</v>
      </c>
      <c r="H423" s="25">
        <f t="shared" si="473"/>
        <v>82.4925</v>
      </c>
      <c r="I423" s="25">
        <f t="shared" si="474"/>
        <v>7.69599410029498</v>
      </c>
      <c r="J423" s="26">
        <f t="shared" si="475"/>
        <v>0.101263080267039</v>
      </c>
      <c r="K423" s="27">
        <f t="shared" si="476"/>
        <v>91.6583333333333</v>
      </c>
      <c r="L423" s="28">
        <f t="shared" si="477"/>
        <v>0.17083371215565</v>
      </c>
      <c r="M423" s="25">
        <f t="shared" si="478"/>
        <v>15.6583333333333</v>
      </c>
      <c r="N423" s="27">
        <f t="shared" si="479"/>
        <v>237.389380530973</v>
      </c>
      <c r="O423" s="27">
        <f t="shared" si="480"/>
        <v>2.58333333333333</v>
      </c>
      <c r="P423" s="21">
        <v>3</v>
      </c>
      <c r="Q423" s="29">
        <v>8</v>
      </c>
      <c r="R423" s="30">
        <f t="shared" si="481"/>
        <v>0.131578947368421</v>
      </c>
      <c r="S423" s="26">
        <f t="shared" si="482"/>
        <v>0.0909173561232839</v>
      </c>
      <c r="T423" s="30">
        <f t="shared" si="483"/>
        <v>0.144723684210526</v>
      </c>
      <c r="U423" s="30">
        <v>0.01</v>
      </c>
      <c r="V423" s="30">
        <f t="shared" si="484"/>
        <v>0.390443060083838</v>
      </c>
      <c r="W423" s="30">
        <f t="shared" si="485"/>
        <v>0.0339912280701754</v>
      </c>
      <c r="X423" s="31">
        <v>0.188</v>
      </c>
      <c r="Y423" s="32">
        <v>10</v>
      </c>
      <c r="Z423" s="32">
        <f>F423*0.1</f>
        <v>10.999</v>
      </c>
      <c r="AA423" s="32">
        <f t="shared" si="486"/>
        <v>0.76</v>
      </c>
      <c r="AB423" s="27">
        <f t="shared" si="487"/>
        <v>14.288</v>
      </c>
      <c r="AC423" s="27">
        <v>240</v>
      </c>
      <c r="AD423" s="33">
        <f t="shared" si="488"/>
        <v>212.389380530973</v>
      </c>
      <c r="AE423" s="29">
        <f t="shared" si="493"/>
        <v>1.5</v>
      </c>
      <c r="AF423" s="30">
        <f t="shared" si="490"/>
        <v>0.349324639031206</v>
      </c>
      <c r="AG423" s="30">
        <f t="shared" si="491"/>
        <v>0.00246710526315789</v>
      </c>
      <c r="AH423" s="29">
        <v>25</v>
      </c>
      <c r="AI423" s="26">
        <f t="shared" si="492"/>
        <v>0.371269288943623</v>
      </c>
      <c r="AJ423" s="30"/>
      <c r="AK423" s="30"/>
      <c r="AL423" s="30"/>
      <c r="AM423" s="30"/>
      <c r="AN423" s="34"/>
      <c r="AO423" s="34"/>
      <c r="AP423" s="34"/>
      <c r="AQ423" s="34"/>
      <c r="AR423" s="34"/>
      <c r="AS423" s="34"/>
      <c r="AT423" s="34" t="s">
        <v>156</v>
      </c>
      <c r="AU423" s="34" t="s">
        <v>156</v>
      </c>
      <c r="AV423" s="34" t="s">
        <v>156</v>
      </c>
      <c r="AW423" s="34" t="s">
        <v>156</v>
      </c>
      <c r="AX423" s="34" t="s">
        <v>156</v>
      </c>
      <c r="AY423" s="34" t="s">
        <v>156</v>
      </c>
      <c r="AZ423" s="34" t="s">
        <v>156</v>
      </c>
      <c r="BA423" s="34" t="s">
        <v>156</v>
      </c>
      <c r="BB423" s="34" t="s">
        <v>156</v>
      </c>
      <c r="BC423" s="34" t="s">
        <v>156</v>
      </c>
      <c r="BD423" s="34" t="s">
        <v>156</v>
      </c>
      <c r="BE423" s="34" t="s">
        <v>156</v>
      </c>
      <c r="BF423" s="34" t="s">
        <v>156</v>
      </c>
      <c r="BG423" s="34" t="s">
        <v>156</v>
      </c>
      <c r="BH423" s="34" t="s">
        <v>156</v>
      </c>
      <c r="BI423" s="34" t="s">
        <v>156</v>
      </c>
      <c r="BJ423" s="34" t="s">
        <v>156</v>
      </c>
      <c r="BK423" s="34" t="s">
        <v>156</v>
      </c>
      <c r="BL423" s="34" t="s">
        <v>156</v>
      </c>
      <c r="BM423" s="34" t="s">
        <v>156</v>
      </c>
      <c r="BN423" s="34" t="s">
        <v>156</v>
      </c>
      <c r="BO423" s="34" t="s">
        <v>156</v>
      </c>
      <c r="BP423" s="34" t="s">
        <v>156</v>
      </c>
      <c r="BQ423" s="34" t="s">
        <v>156</v>
      </c>
      <c r="BR423" s="44" t="e">
        <f>IF(E423&lt;#REF!,1,0)</f>
        <v>#REF!</v>
      </c>
      <c r="BS423" s="20" t="s">
        <v>157</v>
      </c>
    </row>
    <row r="424" ht="16.5" spans="1:71">
      <c r="A424" s="21" t="s">
        <v>37</v>
      </c>
      <c r="B424" s="21"/>
      <c r="C424" s="45"/>
      <c r="D424" s="37" t="s">
        <v>277</v>
      </c>
      <c r="E424" s="27">
        <v>76</v>
      </c>
      <c r="F424" s="43">
        <v>109.99</v>
      </c>
      <c r="G424" s="25">
        <f t="shared" si="472"/>
        <v>93.4915</v>
      </c>
      <c r="H424" s="25">
        <f t="shared" si="473"/>
        <v>77.9095833333333</v>
      </c>
      <c r="I424" s="25">
        <f t="shared" si="474"/>
        <v>2.19649410029498</v>
      </c>
      <c r="J424" s="26">
        <f t="shared" si="475"/>
        <v>0.028901238161776</v>
      </c>
      <c r="K424" s="27">
        <f t="shared" si="476"/>
        <v>91.6583333333333</v>
      </c>
      <c r="L424" s="28">
        <f t="shared" si="477"/>
        <v>0.17083371215565</v>
      </c>
      <c r="M424" s="25">
        <f t="shared" si="478"/>
        <v>15.6583333333333</v>
      </c>
      <c r="N424" s="27">
        <f t="shared" si="479"/>
        <v>237.389380530973</v>
      </c>
      <c r="O424" s="27">
        <f t="shared" si="480"/>
        <v>2.58333333333333</v>
      </c>
      <c r="P424" s="21">
        <v>3</v>
      </c>
      <c r="Q424" s="29">
        <v>8</v>
      </c>
      <c r="R424" s="30">
        <f t="shared" si="481"/>
        <v>0.131578947368421</v>
      </c>
      <c r="S424" s="26">
        <f t="shared" si="482"/>
        <v>0.0909173561232839</v>
      </c>
      <c r="T424" s="30">
        <f t="shared" si="483"/>
        <v>0.217085526315789</v>
      </c>
      <c r="U424" s="30">
        <v>0.01</v>
      </c>
      <c r="V424" s="30">
        <f t="shared" si="484"/>
        <v>0.390443060083838</v>
      </c>
      <c r="W424" s="30">
        <f t="shared" si="485"/>
        <v>0.0339912280701754</v>
      </c>
      <c r="X424" s="31">
        <v>0.188</v>
      </c>
      <c r="Y424" s="32">
        <v>10</v>
      </c>
      <c r="Z424" s="32">
        <f>F424*0.15</f>
        <v>16.4985</v>
      </c>
      <c r="AA424" s="32">
        <f t="shared" si="486"/>
        <v>0.76</v>
      </c>
      <c r="AB424" s="27">
        <f t="shared" si="487"/>
        <v>14.288</v>
      </c>
      <c r="AC424" s="27">
        <v>240</v>
      </c>
      <c r="AD424" s="33">
        <f t="shared" si="488"/>
        <v>212.389380530973</v>
      </c>
      <c r="AE424" s="29">
        <f t="shared" si="493"/>
        <v>1.5</v>
      </c>
      <c r="AF424" s="30">
        <f t="shared" si="490"/>
        <v>0.349324639031206</v>
      </c>
      <c r="AG424" s="30">
        <f t="shared" si="491"/>
        <v>0.00246710526315789</v>
      </c>
      <c r="AH424" s="29">
        <v>25</v>
      </c>
      <c r="AI424" s="26">
        <f t="shared" si="492"/>
        <v>0.398435334476083</v>
      </c>
      <c r="AJ424" s="30"/>
      <c r="AK424" s="30"/>
      <c r="AL424" s="30"/>
      <c r="AM424" s="30"/>
      <c r="AN424" s="34"/>
      <c r="AO424" s="34"/>
      <c r="AP424" s="34"/>
      <c r="AQ424" s="34"/>
      <c r="AR424" s="34"/>
      <c r="AS424" s="34"/>
      <c r="AT424" s="34" t="s">
        <v>156</v>
      </c>
      <c r="AU424" s="34" t="s">
        <v>156</v>
      </c>
      <c r="AV424" s="34" t="s">
        <v>156</v>
      </c>
      <c r="AW424" s="34" t="s">
        <v>156</v>
      </c>
      <c r="AX424" s="34" t="s">
        <v>156</v>
      </c>
      <c r="AY424" s="34" t="s">
        <v>156</v>
      </c>
      <c r="AZ424" s="34" t="s">
        <v>156</v>
      </c>
      <c r="BA424" s="34" t="s">
        <v>156</v>
      </c>
      <c r="BB424" s="34" t="s">
        <v>156</v>
      </c>
      <c r="BC424" s="34" t="s">
        <v>156</v>
      </c>
      <c r="BD424" s="34" t="s">
        <v>156</v>
      </c>
      <c r="BE424" s="34" t="s">
        <v>156</v>
      </c>
      <c r="BF424" s="34" t="s">
        <v>156</v>
      </c>
      <c r="BG424" s="34" t="s">
        <v>156</v>
      </c>
      <c r="BH424" s="34" t="s">
        <v>156</v>
      </c>
      <c r="BI424" s="34" t="s">
        <v>156</v>
      </c>
      <c r="BJ424" s="34" t="s">
        <v>156</v>
      </c>
      <c r="BK424" s="34" t="s">
        <v>156</v>
      </c>
      <c r="BL424" s="34" t="s">
        <v>156</v>
      </c>
      <c r="BM424" s="34" t="s">
        <v>156</v>
      </c>
      <c r="BN424" s="34" t="s">
        <v>156</v>
      </c>
      <c r="BO424" s="34" t="s">
        <v>156</v>
      </c>
      <c r="BP424" s="34" t="s">
        <v>156</v>
      </c>
      <c r="BQ424" s="34" t="s">
        <v>156</v>
      </c>
      <c r="BR424" s="44" t="e">
        <f>IF(E424&lt;#REF!,1,0)</f>
        <v>#REF!</v>
      </c>
      <c r="BS424" s="20" t="s">
        <v>157</v>
      </c>
    </row>
    <row r="425" ht="16.5" spans="1:71">
      <c r="A425" s="21" t="s">
        <v>43</v>
      </c>
      <c r="B425" s="21"/>
      <c r="C425" s="45"/>
      <c r="D425" s="37" t="s">
        <v>275</v>
      </c>
      <c r="E425" s="27">
        <v>79</v>
      </c>
      <c r="F425" s="43">
        <v>114.99</v>
      </c>
      <c r="G425" s="25">
        <f t="shared" si="472"/>
        <v>114.99</v>
      </c>
      <c r="H425" s="25">
        <f t="shared" si="473"/>
        <v>95.825</v>
      </c>
      <c r="I425" s="25">
        <f t="shared" si="474"/>
        <v>18.9343274336283</v>
      </c>
      <c r="J425" s="26">
        <f t="shared" si="475"/>
        <v>0.239675030805422</v>
      </c>
      <c r="K425" s="27">
        <f t="shared" si="476"/>
        <v>95.825</v>
      </c>
      <c r="L425" s="28">
        <f t="shared" si="477"/>
        <v>0.175580485259588</v>
      </c>
      <c r="M425" s="25">
        <f t="shared" si="478"/>
        <v>16.825</v>
      </c>
      <c r="N425" s="27">
        <f t="shared" si="479"/>
        <v>237.389380530973</v>
      </c>
      <c r="O425" s="27">
        <f t="shared" si="480"/>
        <v>4.75</v>
      </c>
      <c r="P425" s="21">
        <v>3</v>
      </c>
      <c r="Q425" s="29">
        <v>8</v>
      </c>
      <c r="R425" s="30">
        <f t="shared" si="481"/>
        <v>0.126582278481013</v>
      </c>
      <c r="S425" s="26">
        <f t="shared" si="482"/>
        <v>0.0869640838333768</v>
      </c>
      <c r="T425" s="30">
        <f t="shared" si="483"/>
        <v>0</v>
      </c>
      <c r="U425" s="30">
        <v>0.01</v>
      </c>
      <c r="V425" s="30">
        <f t="shared" si="484"/>
        <v>0.375616108435085</v>
      </c>
      <c r="W425" s="30">
        <f t="shared" si="485"/>
        <v>0.060126582278481</v>
      </c>
      <c r="X425" s="31">
        <v>0.188</v>
      </c>
      <c r="Y425" s="32">
        <v>10</v>
      </c>
      <c r="Z425" s="32">
        <v>0</v>
      </c>
      <c r="AA425" s="32">
        <f t="shared" si="486"/>
        <v>0.79</v>
      </c>
      <c r="AB425" s="27">
        <f t="shared" si="487"/>
        <v>14.852</v>
      </c>
      <c r="AC425" s="27">
        <v>240</v>
      </c>
      <c r="AD425" s="33">
        <f t="shared" si="488"/>
        <v>212.389380530973</v>
      </c>
      <c r="AE425" s="29">
        <f t="shared" si="493"/>
        <v>1.5</v>
      </c>
      <c r="AF425" s="30">
        <f t="shared" si="490"/>
        <v>0.336059146409768</v>
      </c>
      <c r="AG425" s="30">
        <f t="shared" si="491"/>
        <v>0.00237341772151899</v>
      </c>
      <c r="AH425" s="29">
        <v>25</v>
      </c>
      <c r="AI425" s="26">
        <f t="shared" si="492"/>
        <v>0.330571354030785</v>
      </c>
      <c r="AJ425" s="30"/>
      <c r="AK425" s="30"/>
      <c r="AL425" s="30"/>
      <c r="AM425" s="30"/>
      <c r="AN425" s="34"/>
      <c r="AO425" s="34"/>
      <c r="AP425" s="34"/>
      <c r="AQ425" s="34"/>
      <c r="AR425" s="34"/>
      <c r="AS425" s="34"/>
      <c r="AT425" s="34" t="s">
        <v>156</v>
      </c>
      <c r="AU425" s="34" t="s">
        <v>156</v>
      </c>
      <c r="AV425" s="34" t="s">
        <v>156</v>
      </c>
      <c r="AW425" s="34" t="s">
        <v>156</v>
      </c>
      <c r="AX425" s="34" t="s">
        <v>156</v>
      </c>
      <c r="AY425" s="34" t="s">
        <v>156</v>
      </c>
      <c r="AZ425" s="34" t="s">
        <v>156</v>
      </c>
      <c r="BA425" s="34" t="s">
        <v>156</v>
      </c>
      <c r="BB425" s="34" t="s">
        <v>156</v>
      </c>
      <c r="BC425" s="34" t="s">
        <v>156</v>
      </c>
      <c r="BD425" s="34" t="s">
        <v>156</v>
      </c>
      <c r="BE425" s="34" t="s">
        <v>156</v>
      </c>
      <c r="BF425" s="34" t="s">
        <v>156</v>
      </c>
      <c r="BG425" s="34" t="s">
        <v>156</v>
      </c>
      <c r="BH425" s="34" t="s">
        <v>156</v>
      </c>
      <c r="BI425" s="34" t="s">
        <v>156</v>
      </c>
      <c r="BJ425" s="34" t="s">
        <v>156</v>
      </c>
      <c r="BK425" s="34" t="s">
        <v>156</v>
      </c>
      <c r="BL425" s="34" t="s">
        <v>156</v>
      </c>
      <c r="BM425" s="34" t="s">
        <v>156</v>
      </c>
      <c r="BN425" s="34" t="s">
        <v>156</v>
      </c>
      <c r="BO425" s="34" t="s">
        <v>156</v>
      </c>
      <c r="BP425" s="34" t="s">
        <v>156</v>
      </c>
      <c r="BQ425" s="34" t="s">
        <v>156</v>
      </c>
      <c r="BR425" s="44" t="e">
        <f>IF(E425&lt;#REF!,1,0)</f>
        <v>#REF!</v>
      </c>
      <c r="BS425" s="20" t="s">
        <v>157</v>
      </c>
    </row>
    <row r="426" ht="16.5" spans="1:71">
      <c r="A426" s="21" t="s">
        <v>43</v>
      </c>
      <c r="B426" s="21"/>
      <c r="C426" s="45"/>
      <c r="D426" s="37" t="s">
        <v>276</v>
      </c>
      <c r="E426" s="27">
        <v>79</v>
      </c>
      <c r="F426" s="43">
        <v>114.99</v>
      </c>
      <c r="G426" s="25">
        <f t="shared" si="472"/>
        <v>103.491</v>
      </c>
      <c r="H426" s="25">
        <f t="shared" si="473"/>
        <v>86.2425</v>
      </c>
      <c r="I426" s="25">
        <f t="shared" si="474"/>
        <v>7.43532743362832</v>
      </c>
      <c r="J426" s="26">
        <f t="shared" si="475"/>
        <v>0.0941180687801053</v>
      </c>
      <c r="K426" s="27">
        <f t="shared" si="476"/>
        <v>95.825</v>
      </c>
      <c r="L426" s="28">
        <f t="shared" si="477"/>
        <v>0.175580485259588</v>
      </c>
      <c r="M426" s="25">
        <f t="shared" si="478"/>
        <v>16.825</v>
      </c>
      <c r="N426" s="27">
        <f t="shared" si="479"/>
        <v>237.389380530973</v>
      </c>
      <c r="O426" s="27">
        <f t="shared" si="480"/>
        <v>4.75</v>
      </c>
      <c r="P426" s="21">
        <v>3</v>
      </c>
      <c r="Q426" s="29">
        <v>8</v>
      </c>
      <c r="R426" s="30">
        <f t="shared" si="481"/>
        <v>0.126582278481013</v>
      </c>
      <c r="S426" s="26">
        <f t="shared" si="482"/>
        <v>0.0869640838333768</v>
      </c>
      <c r="T426" s="30">
        <f t="shared" si="483"/>
        <v>0.145556962025316</v>
      </c>
      <c r="U426" s="30">
        <v>0.01</v>
      </c>
      <c r="V426" s="30">
        <f t="shared" si="484"/>
        <v>0.375616108435085</v>
      </c>
      <c r="W426" s="30">
        <f t="shared" si="485"/>
        <v>0.060126582278481</v>
      </c>
      <c r="X426" s="31">
        <v>0.188</v>
      </c>
      <c r="Y426" s="32">
        <v>10</v>
      </c>
      <c r="Z426" s="32">
        <f>F426*0.1</f>
        <v>11.499</v>
      </c>
      <c r="AA426" s="32">
        <f t="shared" si="486"/>
        <v>0.79</v>
      </c>
      <c r="AB426" s="27">
        <f t="shared" si="487"/>
        <v>14.852</v>
      </c>
      <c r="AC426" s="27">
        <v>240</v>
      </c>
      <c r="AD426" s="33">
        <f t="shared" si="488"/>
        <v>212.389380530973</v>
      </c>
      <c r="AE426" s="29">
        <f t="shared" si="493"/>
        <v>1.5</v>
      </c>
      <c r="AF426" s="30">
        <f t="shared" si="490"/>
        <v>0.336059146409768</v>
      </c>
      <c r="AG426" s="30">
        <f t="shared" si="491"/>
        <v>0.00237341772151899</v>
      </c>
      <c r="AH426" s="29">
        <v>25</v>
      </c>
      <c r="AI426" s="26">
        <f t="shared" si="492"/>
        <v>0.375649265944074</v>
      </c>
      <c r="AJ426" s="30"/>
      <c r="AK426" s="30"/>
      <c r="AL426" s="30"/>
      <c r="AM426" s="30"/>
      <c r="AN426" s="34"/>
      <c r="AO426" s="34"/>
      <c r="AP426" s="34"/>
      <c r="AQ426" s="34"/>
      <c r="AR426" s="34"/>
      <c r="AS426" s="34"/>
      <c r="AT426" s="34" t="s">
        <v>156</v>
      </c>
      <c r="AU426" s="34" t="s">
        <v>156</v>
      </c>
      <c r="AV426" s="34" t="s">
        <v>156</v>
      </c>
      <c r="AW426" s="34" t="s">
        <v>156</v>
      </c>
      <c r="AX426" s="34" t="s">
        <v>156</v>
      </c>
      <c r="AY426" s="34" t="s">
        <v>156</v>
      </c>
      <c r="AZ426" s="34" t="s">
        <v>156</v>
      </c>
      <c r="BA426" s="34" t="s">
        <v>156</v>
      </c>
      <c r="BB426" s="34" t="s">
        <v>156</v>
      </c>
      <c r="BC426" s="34" t="s">
        <v>156</v>
      </c>
      <c r="BD426" s="34" t="s">
        <v>156</v>
      </c>
      <c r="BE426" s="34" t="s">
        <v>156</v>
      </c>
      <c r="BF426" s="34" t="s">
        <v>156</v>
      </c>
      <c r="BG426" s="34" t="s">
        <v>156</v>
      </c>
      <c r="BH426" s="34" t="s">
        <v>156</v>
      </c>
      <c r="BI426" s="34" t="s">
        <v>156</v>
      </c>
      <c r="BJ426" s="34" t="s">
        <v>156</v>
      </c>
      <c r="BK426" s="34" t="s">
        <v>156</v>
      </c>
      <c r="BL426" s="34" t="s">
        <v>156</v>
      </c>
      <c r="BM426" s="34" t="s">
        <v>156</v>
      </c>
      <c r="BN426" s="34" t="s">
        <v>156</v>
      </c>
      <c r="BO426" s="34" t="s">
        <v>156</v>
      </c>
      <c r="BP426" s="34" t="s">
        <v>156</v>
      </c>
      <c r="BQ426" s="34" t="s">
        <v>156</v>
      </c>
      <c r="BR426" s="44" t="e">
        <f>IF(E426&lt;#REF!,1,0)</f>
        <v>#REF!</v>
      </c>
      <c r="BS426" s="20" t="s">
        <v>157</v>
      </c>
    </row>
    <row r="427" ht="16.5" spans="1:71">
      <c r="A427" s="21" t="s">
        <v>43</v>
      </c>
      <c r="B427" s="21"/>
      <c r="C427" s="45"/>
      <c r="D427" s="37" t="s">
        <v>277</v>
      </c>
      <c r="E427" s="27">
        <v>79</v>
      </c>
      <c r="F427" s="43">
        <v>114.99</v>
      </c>
      <c r="G427" s="25">
        <f t="shared" si="472"/>
        <v>97.7415</v>
      </c>
      <c r="H427" s="25">
        <f t="shared" si="473"/>
        <v>81.45125</v>
      </c>
      <c r="I427" s="25">
        <f t="shared" si="474"/>
        <v>1.68582743362832</v>
      </c>
      <c r="J427" s="26">
        <f t="shared" si="475"/>
        <v>0.0213395877674471</v>
      </c>
      <c r="K427" s="27">
        <f t="shared" si="476"/>
        <v>95.825</v>
      </c>
      <c r="L427" s="28">
        <f t="shared" si="477"/>
        <v>0.175580485259588</v>
      </c>
      <c r="M427" s="25">
        <f t="shared" si="478"/>
        <v>16.825</v>
      </c>
      <c r="N427" s="27">
        <f t="shared" si="479"/>
        <v>237.389380530973</v>
      </c>
      <c r="O427" s="27">
        <f t="shared" si="480"/>
        <v>4.75</v>
      </c>
      <c r="P427" s="21">
        <v>3</v>
      </c>
      <c r="Q427" s="29">
        <v>8</v>
      </c>
      <c r="R427" s="30">
        <f t="shared" si="481"/>
        <v>0.126582278481013</v>
      </c>
      <c r="S427" s="26">
        <f t="shared" si="482"/>
        <v>0.0869640838333768</v>
      </c>
      <c r="T427" s="30">
        <f t="shared" si="483"/>
        <v>0.218335443037975</v>
      </c>
      <c r="U427" s="30">
        <v>0.01</v>
      </c>
      <c r="V427" s="30">
        <f t="shared" si="484"/>
        <v>0.375616108435085</v>
      </c>
      <c r="W427" s="30">
        <f t="shared" si="485"/>
        <v>0.060126582278481</v>
      </c>
      <c r="X427" s="31">
        <v>0.188</v>
      </c>
      <c r="Y427" s="32">
        <v>10</v>
      </c>
      <c r="Z427" s="32">
        <f>F427*0.15</f>
        <v>17.2485</v>
      </c>
      <c r="AA427" s="32">
        <f t="shared" si="486"/>
        <v>0.79</v>
      </c>
      <c r="AB427" s="27">
        <f t="shared" si="487"/>
        <v>14.852</v>
      </c>
      <c r="AC427" s="27">
        <v>240</v>
      </c>
      <c r="AD427" s="33">
        <f t="shared" si="488"/>
        <v>212.389380530973</v>
      </c>
      <c r="AE427" s="29">
        <f t="shared" si="493"/>
        <v>1.5</v>
      </c>
      <c r="AF427" s="30">
        <f t="shared" si="490"/>
        <v>0.336059146409768</v>
      </c>
      <c r="AG427" s="30">
        <f t="shared" si="491"/>
        <v>0.00237341772151899</v>
      </c>
      <c r="AH427" s="29">
        <v>25</v>
      </c>
      <c r="AI427" s="26">
        <f t="shared" si="492"/>
        <v>0.403135797598519</v>
      </c>
      <c r="AJ427" s="30"/>
      <c r="AK427" s="30"/>
      <c r="AL427" s="30"/>
      <c r="AM427" s="30"/>
      <c r="AN427" s="34"/>
      <c r="AO427" s="34"/>
      <c r="AP427" s="34"/>
      <c r="AQ427" s="34"/>
      <c r="AR427" s="34"/>
      <c r="AS427" s="34"/>
      <c r="AT427" s="34" t="s">
        <v>156</v>
      </c>
      <c r="AU427" s="34" t="s">
        <v>156</v>
      </c>
      <c r="AV427" s="34" t="s">
        <v>156</v>
      </c>
      <c r="AW427" s="34" t="s">
        <v>156</v>
      </c>
      <c r="AX427" s="34" t="s">
        <v>156</v>
      </c>
      <c r="AY427" s="34" t="s">
        <v>156</v>
      </c>
      <c r="AZ427" s="34" t="s">
        <v>156</v>
      </c>
      <c r="BA427" s="34" t="s">
        <v>156</v>
      </c>
      <c r="BB427" s="34" t="s">
        <v>156</v>
      </c>
      <c r="BC427" s="34" t="s">
        <v>156</v>
      </c>
      <c r="BD427" s="34" t="s">
        <v>156</v>
      </c>
      <c r="BE427" s="34" t="s">
        <v>156</v>
      </c>
      <c r="BF427" s="34" t="s">
        <v>156</v>
      </c>
      <c r="BG427" s="34" t="s">
        <v>156</v>
      </c>
      <c r="BH427" s="34" t="s">
        <v>156</v>
      </c>
      <c r="BI427" s="34" t="s">
        <v>156</v>
      </c>
      <c r="BJ427" s="34" t="s">
        <v>156</v>
      </c>
      <c r="BK427" s="34" t="s">
        <v>156</v>
      </c>
      <c r="BL427" s="34" t="s">
        <v>156</v>
      </c>
      <c r="BM427" s="34" t="s">
        <v>156</v>
      </c>
      <c r="BN427" s="34" t="s">
        <v>156</v>
      </c>
      <c r="BO427" s="34" t="s">
        <v>156</v>
      </c>
      <c r="BP427" s="34" t="s">
        <v>156</v>
      </c>
      <c r="BQ427" s="34" t="s">
        <v>156</v>
      </c>
      <c r="BR427" s="44" t="e">
        <f>IF(E427&lt;#REF!,1,0)</f>
        <v>#REF!</v>
      </c>
      <c r="BS427" s="20" t="s">
        <v>157</v>
      </c>
    </row>
    <row r="428" ht="16.5" spans="1:71">
      <c r="A428" s="21" t="s">
        <v>45</v>
      </c>
      <c r="B428" s="21"/>
      <c r="C428" s="45"/>
      <c r="D428" s="37" t="s">
        <v>275</v>
      </c>
      <c r="E428" s="27">
        <v>79</v>
      </c>
      <c r="F428" s="43">
        <v>114.99</v>
      </c>
      <c r="G428" s="25">
        <f t="shared" si="472"/>
        <v>114.99</v>
      </c>
      <c r="H428" s="25">
        <f t="shared" si="473"/>
        <v>95.825</v>
      </c>
      <c r="I428" s="25">
        <f t="shared" si="474"/>
        <v>18.600994100295</v>
      </c>
      <c r="J428" s="26">
        <f t="shared" si="475"/>
        <v>0.235455621522721</v>
      </c>
      <c r="K428" s="27">
        <f t="shared" si="476"/>
        <v>95.825</v>
      </c>
      <c r="L428" s="28">
        <f t="shared" si="477"/>
        <v>0.175580485259588</v>
      </c>
      <c r="M428" s="25">
        <f t="shared" si="478"/>
        <v>16.825</v>
      </c>
      <c r="N428" s="27">
        <f t="shared" si="479"/>
        <v>237.389380530973</v>
      </c>
      <c r="O428" s="27">
        <f t="shared" si="480"/>
        <v>5.08333333333333</v>
      </c>
      <c r="P428" s="21">
        <v>3</v>
      </c>
      <c r="Q428" s="29">
        <v>8</v>
      </c>
      <c r="R428" s="30">
        <f t="shared" si="481"/>
        <v>0.126582278481013</v>
      </c>
      <c r="S428" s="26">
        <f t="shared" si="482"/>
        <v>0.0869640838333768</v>
      </c>
      <c r="T428" s="30">
        <f t="shared" si="483"/>
        <v>0</v>
      </c>
      <c r="U428" s="30">
        <v>0.01</v>
      </c>
      <c r="V428" s="30">
        <f t="shared" si="484"/>
        <v>0.375616108435085</v>
      </c>
      <c r="W428" s="30">
        <f t="shared" si="485"/>
        <v>0.0643459915611814</v>
      </c>
      <c r="X428" s="31">
        <v>0.188</v>
      </c>
      <c r="Y428" s="32">
        <v>10</v>
      </c>
      <c r="Z428" s="32">
        <v>0</v>
      </c>
      <c r="AA428" s="32">
        <f t="shared" si="486"/>
        <v>0.79</v>
      </c>
      <c r="AB428" s="27">
        <f t="shared" si="487"/>
        <v>14.852</v>
      </c>
      <c r="AC428" s="27">
        <v>240</v>
      </c>
      <c r="AD428" s="33">
        <f t="shared" si="488"/>
        <v>212.389380530973</v>
      </c>
      <c r="AE428" s="29">
        <f t="shared" si="493"/>
        <v>1.5</v>
      </c>
      <c r="AF428" s="30">
        <f t="shared" si="490"/>
        <v>0.336059146409768</v>
      </c>
      <c r="AG428" s="30">
        <f t="shared" si="491"/>
        <v>0.00237341772151899</v>
      </c>
      <c r="AH428" s="29">
        <v>25</v>
      </c>
      <c r="AI428" s="26">
        <f t="shared" si="492"/>
        <v>0.330571354030785</v>
      </c>
      <c r="AJ428" s="30"/>
      <c r="AK428" s="30"/>
      <c r="AL428" s="30"/>
      <c r="AM428" s="30"/>
      <c r="AN428" s="34"/>
      <c r="AO428" s="34"/>
      <c r="AP428" s="34"/>
      <c r="AQ428" s="34"/>
      <c r="AR428" s="34"/>
      <c r="AS428" s="34"/>
      <c r="AT428" s="34" t="s">
        <v>156</v>
      </c>
      <c r="AU428" s="34" t="s">
        <v>156</v>
      </c>
      <c r="AV428" s="34" t="s">
        <v>156</v>
      </c>
      <c r="AW428" s="34" t="s">
        <v>156</v>
      </c>
      <c r="AX428" s="34" t="s">
        <v>156</v>
      </c>
      <c r="AY428" s="34" t="s">
        <v>156</v>
      </c>
      <c r="AZ428" s="34" t="s">
        <v>156</v>
      </c>
      <c r="BA428" s="34" t="s">
        <v>156</v>
      </c>
      <c r="BB428" s="34" t="s">
        <v>156</v>
      </c>
      <c r="BC428" s="34" t="s">
        <v>156</v>
      </c>
      <c r="BD428" s="34" t="s">
        <v>156</v>
      </c>
      <c r="BE428" s="34" t="s">
        <v>156</v>
      </c>
      <c r="BF428" s="34" t="s">
        <v>156</v>
      </c>
      <c r="BG428" s="34" t="s">
        <v>156</v>
      </c>
      <c r="BH428" s="34" t="s">
        <v>156</v>
      </c>
      <c r="BI428" s="34" t="s">
        <v>156</v>
      </c>
      <c r="BJ428" s="34" t="s">
        <v>156</v>
      </c>
      <c r="BK428" s="34" t="s">
        <v>156</v>
      </c>
      <c r="BL428" s="34" t="s">
        <v>156</v>
      </c>
      <c r="BM428" s="34" t="s">
        <v>156</v>
      </c>
      <c r="BN428" s="34" t="s">
        <v>156</v>
      </c>
      <c r="BO428" s="34" t="s">
        <v>156</v>
      </c>
      <c r="BP428" s="34" t="s">
        <v>156</v>
      </c>
      <c r="BQ428" s="34" t="s">
        <v>156</v>
      </c>
      <c r="BR428" s="44" t="e">
        <f>IF(E428&lt;#REF!,1,0)</f>
        <v>#REF!</v>
      </c>
      <c r="BS428" s="20" t="s">
        <v>157</v>
      </c>
    </row>
    <row r="429" ht="16.5" spans="1:71">
      <c r="A429" s="21" t="s">
        <v>45</v>
      </c>
      <c r="B429" s="21"/>
      <c r="C429" s="45"/>
      <c r="D429" s="37" t="s">
        <v>276</v>
      </c>
      <c r="E429" s="27">
        <v>79</v>
      </c>
      <c r="F429" s="43">
        <v>114.99</v>
      </c>
      <c r="G429" s="25">
        <f t="shared" si="472"/>
        <v>103.491</v>
      </c>
      <c r="H429" s="25">
        <f t="shared" si="473"/>
        <v>86.2425</v>
      </c>
      <c r="I429" s="25">
        <f t="shared" si="474"/>
        <v>7.10199410029499</v>
      </c>
      <c r="J429" s="26">
        <f t="shared" si="475"/>
        <v>0.0898986594974049</v>
      </c>
      <c r="K429" s="27">
        <f t="shared" si="476"/>
        <v>95.825</v>
      </c>
      <c r="L429" s="28">
        <f t="shared" si="477"/>
        <v>0.175580485259588</v>
      </c>
      <c r="M429" s="25">
        <f t="shared" si="478"/>
        <v>16.825</v>
      </c>
      <c r="N429" s="27">
        <f t="shared" si="479"/>
        <v>237.389380530973</v>
      </c>
      <c r="O429" s="27">
        <f t="shared" si="480"/>
        <v>5.08333333333333</v>
      </c>
      <c r="P429" s="21">
        <v>3</v>
      </c>
      <c r="Q429" s="29">
        <v>8</v>
      </c>
      <c r="R429" s="30">
        <f t="shared" si="481"/>
        <v>0.126582278481013</v>
      </c>
      <c r="S429" s="26">
        <f t="shared" si="482"/>
        <v>0.0869640838333768</v>
      </c>
      <c r="T429" s="30">
        <f t="shared" si="483"/>
        <v>0.145556962025316</v>
      </c>
      <c r="U429" s="30">
        <v>0.01</v>
      </c>
      <c r="V429" s="30">
        <f t="shared" si="484"/>
        <v>0.375616108435085</v>
      </c>
      <c r="W429" s="30">
        <f t="shared" si="485"/>
        <v>0.0643459915611814</v>
      </c>
      <c r="X429" s="31">
        <v>0.188</v>
      </c>
      <c r="Y429" s="32">
        <v>10</v>
      </c>
      <c r="Z429" s="32">
        <f>F429*0.1</f>
        <v>11.499</v>
      </c>
      <c r="AA429" s="32">
        <f t="shared" si="486"/>
        <v>0.79</v>
      </c>
      <c r="AB429" s="27">
        <f t="shared" si="487"/>
        <v>14.852</v>
      </c>
      <c r="AC429" s="27">
        <v>240</v>
      </c>
      <c r="AD429" s="33">
        <f t="shared" si="488"/>
        <v>212.389380530973</v>
      </c>
      <c r="AE429" s="29">
        <f t="shared" si="493"/>
        <v>1.5</v>
      </c>
      <c r="AF429" s="30">
        <f t="shared" si="490"/>
        <v>0.336059146409768</v>
      </c>
      <c r="AG429" s="30">
        <f t="shared" si="491"/>
        <v>0.00237341772151899</v>
      </c>
      <c r="AH429" s="29">
        <v>25</v>
      </c>
      <c r="AI429" s="26">
        <f t="shared" si="492"/>
        <v>0.375649265944074</v>
      </c>
      <c r="AJ429" s="30"/>
      <c r="AK429" s="30"/>
      <c r="AL429" s="30"/>
      <c r="AM429" s="30"/>
      <c r="AN429" s="34"/>
      <c r="AO429" s="34"/>
      <c r="AP429" s="34"/>
      <c r="AQ429" s="34"/>
      <c r="AR429" s="34"/>
      <c r="AS429" s="34"/>
      <c r="AT429" s="34" t="s">
        <v>156</v>
      </c>
      <c r="AU429" s="34" t="s">
        <v>156</v>
      </c>
      <c r="AV429" s="34" t="s">
        <v>156</v>
      </c>
      <c r="AW429" s="34" t="s">
        <v>156</v>
      </c>
      <c r="AX429" s="34" t="s">
        <v>156</v>
      </c>
      <c r="AY429" s="34" t="s">
        <v>156</v>
      </c>
      <c r="AZ429" s="34" t="s">
        <v>156</v>
      </c>
      <c r="BA429" s="34" t="s">
        <v>156</v>
      </c>
      <c r="BB429" s="34" t="s">
        <v>156</v>
      </c>
      <c r="BC429" s="34" t="s">
        <v>156</v>
      </c>
      <c r="BD429" s="34" t="s">
        <v>156</v>
      </c>
      <c r="BE429" s="34" t="s">
        <v>156</v>
      </c>
      <c r="BF429" s="34" t="s">
        <v>156</v>
      </c>
      <c r="BG429" s="34" t="s">
        <v>156</v>
      </c>
      <c r="BH429" s="34" t="s">
        <v>156</v>
      </c>
      <c r="BI429" s="34" t="s">
        <v>156</v>
      </c>
      <c r="BJ429" s="34" t="s">
        <v>156</v>
      </c>
      <c r="BK429" s="34" t="s">
        <v>156</v>
      </c>
      <c r="BL429" s="34" t="s">
        <v>156</v>
      </c>
      <c r="BM429" s="34" t="s">
        <v>156</v>
      </c>
      <c r="BN429" s="34" t="s">
        <v>156</v>
      </c>
      <c r="BO429" s="34" t="s">
        <v>156</v>
      </c>
      <c r="BP429" s="34" t="s">
        <v>156</v>
      </c>
      <c r="BQ429" s="34" t="s">
        <v>156</v>
      </c>
      <c r="BR429" s="44" t="e">
        <f>IF(E429&lt;#REF!,1,0)</f>
        <v>#REF!</v>
      </c>
      <c r="BS429" s="20" t="s">
        <v>157</v>
      </c>
    </row>
    <row r="430" ht="16.5" spans="1:71">
      <c r="A430" s="21" t="s">
        <v>45</v>
      </c>
      <c r="B430" s="21"/>
      <c r="C430" s="45"/>
      <c r="D430" s="37" t="s">
        <v>277</v>
      </c>
      <c r="E430" s="27">
        <v>79</v>
      </c>
      <c r="F430" s="43">
        <v>114.99</v>
      </c>
      <c r="G430" s="25">
        <f t="shared" si="472"/>
        <v>97.7415</v>
      </c>
      <c r="H430" s="25">
        <f t="shared" si="473"/>
        <v>81.45125</v>
      </c>
      <c r="I430" s="25">
        <f t="shared" si="474"/>
        <v>1.35249410029499</v>
      </c>
      <c r="J430" s="26">
        <f t="shared" si="475"/>
        <v>0.0171201784847467</v>
      </c>
      <c r="K430" s="27">
        <f t="shared" si="476"/>
        <v>95.825</v>
      </c>
      <c r="L430" s="28">
        <f t="shared" si="477"/>
        <v>0.175580485259588</v>
      </c>
      <c r="M430" s="25">
        <f t="shared" si="478"/>
        <v>16.825</v>
      </c>
      <c r="N430" s="27">
        <f t="shared" si="479"/>
        <v>237.389380530973</v>
      </c>
      <c r="O430" s="27">
        <f t="shared" si="480"/>
        <v>5.08333333333333</v>
      </c>
      <c r="P430" s="21">
        <v>3</v>
      </c>
      <c r="Q430" s="29">
        <v>8</v>
      </c>
      <c r="R430" s="30">
        <f t="shared" si="481"/>
        <v>0.126582278481013</v>
      </c>
      <c r="S430" s="26">
        <f t="shared" si="482"/>
        <v>0.0869640838333768</v>
      </c>
      <c r="T430" s="30">
        <f t="shared" si="483"/>
        <v>0.218335443037975</v>
      </c>
      <c r="U430" s="30">
        <v>0.01</v>
      </c>
      <c r="V430" s="30">
        <f t="shared" si="484"/>
        <v>0.375616108435085</v>
      </c>
      <c r="W430" s="30">
        <f t="shared" si="485"/>
        <v>0.0643459915611814</v>
      </c>
      <c r="X430" s="31">
        <v>0.188</v>
      </c>
      <c r="Y430" s="32">
        <v>10</v>
      </c>
      <c r="Z430" s="32">
        <f>F430*0.15</f>
        <v>17.2485</v>
      </c>
      <c r="AA430" s="32">
        <f t="shared" si="486"/>
        <v>0.79</v>
      </c>
      <c r="AB430" s="27">
        <f t="shared" si="487"/>
        <v>14.852</v>
      </c>
      <c r="AC430" s="27">
        <v>240</v>
      </c>
      <c r="AD430" s="33">
        <f t="shared" si="488"/>
        <v>212.389380530973</v>
      </c>
      <c r="AE430" s="29">
        <f t="shared" si="493"/>
        <v>1.5</v>
      </c>
      <c r="AF430" s="30">
        <f t="shared" si="490"/>
        <v>0.336059146409768</v>
      </c>
      <c r="AG430" s="30">
        <f t="shared" si="491"/>
        <v>0.00237341772151899</v>
      </c>
      <c r="AH430" s="29">
        <v>25</v>
      </c>
      <c r="AI430" s="26">
        <f t="shared" si="492"/>
        <v>0.403135797598519</v>
      </c>
      <c r="AJ430" s="30"/>
      <c r="AK430" s="30"/>
      <c r="AL430" s="30"/>
      <c r="AM430" s="30"/>
      <c r="AN430" s="34"/>
      <c r="AO430" s="34"/>
      <c r="AP430" s="34"/>
      <c r="AQ430" s="34"/>
      <c r="AR430" s="34"/>
      <c r="AS430" s="34"/>
      <c r="AT430" s="34" t="s">
        <v>156</v>
      </c>
      <c r="AU430" s="34" t="s">
        <v>156</v>
      </c>
      <c r="AV430" s="34" t="s">
        <v>156</v>
      </c>
      <c r="AW430" s="34" t="s">
        <v>156</v>
      </c>
      <c r="AX430" s="34" t="s">
        <v>156</v>
      </c>
      <c r="AY430" s="34" t="s">
        <v>156</v>
      </c>
      <c r="AZ430" s="34" t="s">
        <v>156</v>
      </c>
      <c r="BA430" s="34" t="s">
        <v>156</v>
      </c>
      <c r="BB430" s="34" t="s">
        <v>156</v>
      </c>
      <c r="BC430" s="34" t="s">
        <v>156</v>
      </c>
      <c r="BD430" s="34" t="s">
        <v>156</v>
      </c>
      <c r="BE430" s="34" t="s">
        <v>156</v>
      </c>
      <c r="BF430" s="34" t="s">
        <v>156</v>
      </c>
      <c r="BG430" s="34" t="s">
        <v>156</v>
      </c>
      <c r="BH430" s="34" t="s">
        <v>156</v>
      </c>
      <c r="BI430" s="34" t="s">
        <v>156</v>
      </c>
      <c r="BJ430" s="34" t="s">
        <v>156</v>
      </c>
      <c r="BK430" s="34" t="s">
        <v>156</v>
      </c>
      <c r="BL430" s="34" t="s">
        <v>156</v>
      </c>
      <c r="BM430" s="34" t="s">
        <v>156</v>
      </c>
      <c r="BN430" s="34" t="s">
        <v>156</v>
      </c>
      <c r="BO430" s="34" t="s">
        <v>156</v>
      </c>
      <c r="BP430" s="34" t="s">
        <v>156</v>
      </c>
      <c r="BQ430" s="34" t="s">
        <v>156</v>
      </c>
      <c r="BR430" s="44" t="e">
        <f>IF(E430&lt;#REF!,1,0)</f>
        <v>#REF!</v>
      </c>
      <c r="BS430" s="20" t="s">
        <v>157</v>
      </c>
    </row>
    <row r="431" ht="16.5" spans="1:71">
      <c r="A431" s="21" t="s">
        <v>48</v>
      </c>
      <c r="B431" s="21"/>
      <c r="C431" s="45"/>
      <c r="D431" s="37" t="s">
        <v>275</v>
      </c>
      <c r="E431" s="27">
        <v>79</v>
      </c>
      <c r="F431" s="43">
        <v>114.99</v>
      </c>
      <c r="G431" s="25">
        <f t="shared" si="472"/>
        <v>114.99</v>
      </c>
      <c r="H431" s="25">
        <f t="shared" si="473"/>
        <v>95.825</v>
      </c>
      <c r="I431" s="25">
        <f t="shared" si="474"/>
        <v>17.2676607669617</v>
      </c>
      <c r="J431" s="26">
        <f t="shared" si="475"/>
        <v>0.21857798439192</v>
      </c>
      <c r="K431" s="27">
        <f t="shared" si="476"/>
        <v>95.825</v>
      </c>
      <c r="L431" s="28">
        <f t="shared" si="477"/>
        <v>0.175580485259588</v>
      </c>
      <c r="M431" s="25">
        <f t="shared" si="478"/>
        <v>16.825</v>
      </c>
      <c r="N431" s="27">
        <f t="shared" si="479"/>
        <v>237.389380530973</v>
      </c>
      <c r="O431" s="27">
        <f t="shared" si="480"/>
        <v>6.41666666666667</v>
      </c>
      <c r="P431" s="21">
        <v>3</v>
      </c>
      <c r="Q431" s="29">
        <v>8</v>
      </c>
      <c r="R431" s="30">
        <f t="shared" si="481"/>
        <v>0.126582278481013</v>
      </c>
      <c r="S431" s="26">
        <f t="shared" si="482"/>
        <v>0.0869640838333768</v>
      </c>
      <c r="T431" s="30">
        <f t="shared" si="483"/>
        <v>0</v>
      </c>
      <c r="U431" s="30">
        <v>0.01</v>
      </c>
      <c r="V431" s="30">
        <f t="shared" si="484"/>
        <v>0.375616108435085</v>
      </c>
      <c r="W431" s="30">
        <f t="shared" si="485"/>
        <v>0.0812236286919831</v>
      </c>
      <c r="X431" s="31">
        <v>0.188</v>
      </c>
      <c r="Y431" s="32">
        <v>10</v>
      </c>
      <c r="Z431" s="32">
        <v>0</v>
      </c>
      <c r="AA431" s="32">
        <f t="shared" si="486"/>
        <v>0.79</v>
      </c>
      <c r="AB431" s="27">
        <f t="shared" si="487"/>
        <v>14.852</v>
      </c>
      <c r="AC431" s="27">
        <v>240</v>
      </c>
      <c r="AD431" s="33">
        <f t="shared" si="488"/>
        <v>212.389380530973</v>
      </c>
      <c r="AE431" s="29">
        <f t="shared" si="493"/>
        <v>1.5</v>
      </c>
      <c r="AF431" s="30">
        <f t="shared" si="490"/>
        <v>0.336059146409768</v>
      </c>
      <c r="AG431" s="30">
        <f t="shared" si="491"/>
        <v>0.00237341772151899</v>
      </c>
      <c r="AH431" s="29">
        <v>25</v>
      </c>
      <c r="AI431" s="26">
        <f t="shared" si="492"/>
        <v>0.330571354030785</v>
      </c>
      <c r="AJ431" s="30"/>
      <c r="AK431" s="30"/>
      <c r="AL431" s="30"/>
      <c r="AM431" s="30"/>
      <c r="AN431" s="34"/>
      <c r="AO431" s="34"/>
      <c r="AP431" s="34"/>
      <c r="AQ431" s="34"/>
      <c r="AR431" s="34"/>
      <c r="AS431" s="34"/>
      <c r="AT431" s="34" t="s">
        <v>156</v>
      </c>
      <c r="AU431" s="34" t="s">
        <v>156</v>
      </c>
      <c r="AV431" s="34" t="s">
        <v>156</v>
      </c>
      <c r="AW431" s="34" t="s">
        <v>156</v>
      </c>
      <c r="AX431" s="34" t="s">
        <v>156</v>
      </c>
      <c r="AY431" s="34" t="s">
        <v>156</v>
      </c>
      <c r="AZ431" s="34" t="s">
        <v>156</v>
      </c>
      <c r="BA431" s="34" t="s">
        <v>156</v>
      </c>
      <c r="BB431" s="34" t="s">
        <v>156</v>
      </c>
      <c r="BC431" s="34" t="s">
        <v>156</v>
      </c>
      <c r="BD431" s="34" t="s">
        <v>156</v>
      </c>
      <c r="BE431" s="34" t="s">
        <v>156</v>
      </c>
      <c r="BF431" s="34" t="s">
        <v>156</v>
      </c>
      <c r="BG431" s="34" t="s">
        <v>156</v>
      </c>
      <c r="BH431" s="34" t="s">
        <v>156</v>
      </c>
      <c r="BI431" s="34" t="s">
        <v>156</v>
      </c>
      <c r="BJ431" s="34" t="s">
        <v>156</v>
      </c>
      <c r="BK431" s="34" t="s">
        <v>156</v>
      </c>
      <c r="BL431" s="34" t="s">
        <v>156</v>
      </c>
      <c r="BM431" s="34" t="s">
        <v>156</v>
      </c>
      <c r="BN431" s="34" t="s">
        <v>156</v>
      </c>
      <c r="BO431" s="34" t="s">
        <v>156</v>
      </c>
      <c r="BP431" s="34" t="s">
        <v>156</v>
      </c>
      <c r="BQ431" s="34" t="s">
        <v>156</v>
      </c>
      <c r="BR431" s="44" t="e">
        <f>IF(E431&lt;#REF!,1,0)</f>
        <v>#REF!</v>
      </c>
      <c r="BS431" s="20" t="s">
        <v>157</v>
      </c>
    </row>
    <row r="432" ht="16.5" spans="1:71">
      <c r="A432" s="21" t="s">
        <v>48</v>
      </c>
      <c r="B432" s="21"/>
      <c r="C432" s="45"/>
      <c r="D432" s="37" t="s">
        <v>276</v>
      </c>
      <c r="E432" s="27">
        <v>79</v>
      </c>
      <c r="F432" s="43">
        <v>114.99</v>
      </c>
      <c r="G432" s="25">
        <f t="shared" si="472"/>
        <v>103.491</v>
      </c>
      <c r="H432" s="25">
        <f t="shared" si="473"/>
        <v>86.2425</v>
      </c>
      <c r="I432" s="25">
        <f t="shared" si="474"/>
        <v>5.76866076696165</v>
      </c>
      <c r="J432" s="26">
        <f t="shared" si="475"/>
        <v>0.0730210223666032</v>
      </c>
      <c r="K432" s="27">
        <f t="shared" si="476"/>
        <v>95.825</v>
      </c>
      <c r="L432" s="28">
        <f t="shared" si="477"/>
        <v>0.175580485259588</v>
      </c>
      <c r="M432" s="25">
        <f t="shared" si="478"/>
        <v>16.825</v>
      </c>
      <c r="N432" s="27">
        <f t="shared" si="479"/>
        <v>237.389380530973</v>
      </c>
      <c r="O432" s="27">
        <f t="shared" si="480"/>
        <v>6.41666666666667</v>
      </c>
      <c r="P432" s="21">
        <v>3</v>
      </c>
      <c r="Q432" s="29">
        <v>8</v>
      </c>
      <c r="R432" s="30">
        <f t="shared" si="481"/>
        <v>0.126582278481013</v>
      </c>
      <c r="S432" s="26">
        <f t="shared" si="482"/>
        <v>0.0869640838333768</v>
      </c>
      <c r="T432" s="30">
        <f t="shared" si="483"/>
        <v>0.145556962025316</v>
      </c>
      <c r="U432" s="30">
        <v>0.01</v>
      </c>
      <c r="V432" s="30">
        <f t="shared" si="484"/>
        <v>0.375616108435085</v>
      </c>
      <c r="W432" s="30">
        <f t="shared" si="485"/>
        <v>0.0812236286919831</v>
      </c>
      <c r="X432" s="31">
        <v>0.188</v>
      </c>
      <c r="Y432" s="32">
        <v>10</v>
      </c>
      <c r="Z432" s="32">
        <f>F432*0.1</f>
        <v>11.499</v>
      </c>
      <c r="AA432" s="32">
        <f t="shared" si="486"/>
        <v>0.79</v>
      </c>
      <c r="AB432" s="27">
        <f t="shared" si="487"/>
        <v>14.852</v>
      </c>
      <c r="AC432" s="27">
        <v>240</v>
      </c>
      <c r="AD432" s="33">
        <f t="shared" si="488"/>
        <v>212.389380530973</v>
      </c>
      <c r="AE432" s="29">
        <f t="shared" si="493"/>
        <v>1.5</v>
      </c>
      <c r="AF432" s="30">
        <f t="shared" si="490"/>
        <v>0.336059146409768</v>
      </c>
      <c r="AG432" s="30">
        <f t="shared" si="491"/>
        <v>0.00237341772151899</v>
      </c>
      <c r="AH432" s="29">
        <v>25</v>
      </c>
      <c r="AI432" s="26">
        <f t="shared" si="492"/>
        <v>0.375649265944074</v>
      </c>
      <c r="AJ432" s="30"/>
      <c r="AK432" s="30"/>
      <c r="AL432" s="30"/>
      <c r="AM432" s="30"/>
      <c r="AN432" s="34"/>
      <c r="AO432" s="34"/>
      <c r="AP432" s="34"/>
      <c r="AQ432" s="34"/>
      <c r="AR432" s="34"/>
      <c r="AS432" s="34"/>
      <c r="AT432" s="34" t="s">
        <v>156</v>
      </c>
      <c r="AU432" s="34" t="s">
        <v>156</v>
      </c>
      <c r="AV432" s="34" t="s">
        <v>156</v>
      </c>
      <c r="AW432" s="34" t="s">
        <v>156</v>
      </c>
      <c r="AX432" s="34" t="s">
        <v>156</v>
      </c>
      <c r="AY432" s="34" t="s">
        <v>156</v>
      </c>
      <c r="AZ432" s="34" t="s">
        <v>156</v>
      </c>
      <c r="BA432" s="34" t="s">
        <v>156</v>
      </c>
      <c r="BB432" s="34" t="s">
        <v>156</v>
      </c>
      <c r="BC432" s="34" t="s">
        <v>156</v>
      </c>
      <c r="BD432" s="34" t="s">
        <v>156</v>
      </c>
      <c r="BE432" s="34" t="s">
        <v>156</v>
      </c>
      <c r="BF432" s="34" t="s">
        <v>156</v>
      </c>
      <c r="BG432" s="34" t="s">
        <v>156</v>
      </c>
      <c r="BH432" s="34" t="s">
        <v>156</v>
      </c>
      <c r="BI432" s="34" t="s">
        <v>156</v>
      </c>
      <c r="BJ432" s="34" t="s">
        <v>156</v>
      </c>
      <c r="BK432" s="34" t="s">
        <v>156</v>
      </c>
      <c r="BL432" s="34" t="s">
        <v>156</v>
      </c>
      <c r="BM432" s="34" t="s">
        <v>156</v>
      </c>
      <c r="BN432" s="34" t="s">
        <v>156</v>
      </c>
      <c r="BO432" s="34" t="s">
        <v>156</v>
      </c>
      <c r="BP432" s="34" t="s">
        <v>156</v>
      </c>
      <c r="BQ432" s="34" t="s">
        <v>156</v>
      </c>
      <c r="BR432" s="44" t="e">
        <f>IF(E432&lt;#REF!,1,0)</f>
        <v>#REF!</v>
      </c>
      <c r="BS432" s="20" t="s">
        <v>157</v>
      </c>
    </row>
    <row r="433" ht="16.5" spans="1:71">
      <c r="A433" s="21" t="s">
        <v>48</v>
      </c>
      <c r="B433" s="21"/>
      <c r="C433" s="45"/>
      <c r="D433" s="37" t="s">
        <v>277</v>
      </c>
      <c r="E433" s="27">
        <v>79</v>
      </c>
      <c r="F433" s="43">
        <v>114.99</v>
      </c>
      <c r="G433" s="25">
        <f t="shared" si="472"/>
        <v>97.7415</v>
      </c>
      <c r="H433" s="25">
        <f t="shared" si="473"/>
        <v>81.45125</v>
      </c>
      <c r="I433" s="25">
        <f t="shared" si="474"/>
        <v>0.01916076696165</v>
      </c>
      <c r="J433" s="26">
        <f t="shared" si="475"/>
        <v>0.000242541353944937</v>
      </c>
      <c r="K433" s="27">
        <f t="shared" si="476"/>
        <v>95.825</v>
      </c>
      <c r="L433" s="28">
        <f t="shared" si="477"/>
        <v>0.175580485259588</v>
      </c>
      <c r="M433" s="25">
        <f t="shared" si="478"/>
        <v>16.825</v>
      </c>
      <c r="N433" s="27">
        <f t="shared" si="479"/>
        <v>237.389380530973</v>
      </c>
      <c r="O433" s="27">
        <f t="shared" si="480"/>
        <v>6.41666666666667</v>
      </c>
      <c r="P433" s="21">
        <v>3</v>
      </c>
      <c r="Q433" s="29">
        <v>8</v>
      </c>
      <c r="R433" s="30">
        <f t="shared" si="481"/>
        <v>0.126582278481013</v>
      </c>
      <c r="S433" s="26">
        <f t="shared" si="482"/>
        <v>0.0869640838333768</v>
      </c>
      <c r="T433" s="30">
        <f t="shared" si="483"/>
        <v>0.218335443037975</v>
      </c>
      <c r="U433" s="30">
        <v>0.01</v>
      </c>
      <c r="V433" s="30">
        <f t="shared" si="484"/>
        <v>0.375616108435085</v>
      </c>
      <c r="W433" s="30">
        <f t="shared" si="485"/>
        <v>0.0812236286919831</v>
      </c>
      <c r="X433" s="31">
        <v>0.188</v>
      </c>
      <c r="Y433" s="32">
        <v>10</v>
      </c>
      <c r="Z433" s="32">
        <f>F433*0.15</f>
        <v>17.2485</v>
      </c>
      <c r="AA433" s="32">
        <f t="shared" si="486"/>
        <v>0.79</v>
      </c>
      <c r="AB433" s="27">
        <f t="shared" si="487"/>
        <v>14.852</v>
      </c>
      <c r="AC433" s="27">
        <v>240</v>
      </c>
      <c r="AD433" s="33">
        <f t="shared" si="488"/>
        <v>212.389380530973</v>
      </c>
      <c r="AE433" s="29">
        <f t="shared" si="493"/>
        <v>1.5</v>
      </c>
      <c r="AF433" s="30">
        <f t="shared" si="490"/>
        <v>0.336059146409768</v>
      </c>
      <c r="AG433" s="30">
        <f t="shared" si="491"/>
        <v>0.00237341772151899</v>
      </c>
      <c r="AH433" s="29">
        <v>25</v>
      </c>
      <c r="AI433" s="26">
        <f t="shared" si="492"/>
        <v>0.403135797598519</v>
      </c>
      <c r="AJ433" s="30"/>
      <c r="AK433" s="30"/>
      <c r="AL433" s="30"/>
      <c r="AM433" s="30"/>
      <c r="AN433" s="34"/>
      <c r="AO433" s="34"/>
      <c r="AP433" s="34"/>
      <c r="AQ433" s="34"/>
      <c r="AR433" s="34"/>
      <c r="AS433" s="34"/>
      <c r="AT433" s="34" t="s">
        <v>156</v>
      </c>
      <c r="AU433" s="34" t="s">
        <v>156</v>
      </c>
      <c r="AV433" s="34" t="s">
        <v>156</v>
      </c>
      <c r="AW433" s="34" t="s">
        <v>156</v>
      </c>
      <c r="AX433" s="34" t="s">
        <v>156</v>
      </c>
      <c r="AY433" s="34" t="s">
        <v>156</v>
      </c>
      <c r="AZ433" s="34" t="s">
        <v>156</v>
      </c>
      <c r="BA433" s="34" t="s">
        <v>156</v>
      </c>
      <c r="BB433" s="34" t="s">
        <v>156</v>
      </c>
      <c r="BC433" s="34" t="s">
        <v>156</v>
      </c>
      <c r="BD433" s="34" t="s">
        <v>156</v>
      </c>
      <c r="BE433" s="34" t="s">
        <v>156</v>
      </c>
      <c r="BF433" s="34" t="s">
        <v>156</v>
      </c>
      <c r="BG433" s="34" t="s">
        <v>156</v>
      </c>
      <c r="BH433" s="34" t="s">
        <v>156</v>
      </c>
      <c r="BI433" s="34" t="s">
        <v>156</v>
      </c>
      <c r="BJ433" s="34" t="s">
        <v>156</v>
      </c>
      <c r="BK433" s="34" t="s">
        <v>156</v>
      </c>
      <c r="BL433" s="34" t="s">
        <v>156</v>
      </c>
      <c r="BM433" s="34" t="s">
        <v>156</v>
      </c>
      <c r="BN433" s="34" t="s">
        <v>156</v>
      </c>
      <c r="BO433" s="34" t="s">
        <v>156</v>
      </c>
      <c r="BP433" s="34" t="s">
        <v>156</v>
      </c>
      <c r="BQ433" s="34" t="s">
        <v>156</v>
      </c>
      <c r="BR433" s="44" t="e">
        <f>IF(E433&lt;#REF!,1,0)</f>
        <v>#REF!</v>
      </c>
      <c r="BS433" s="20" t="s">
        <v>157</v>
      </c>
    </row>
    <row r="434" ht="16.5" spans="1:71">
      <c r="A434" s="21" t="s">
        <v>161</v>
      </c>
      <c r="B434" s="21"/>
      <c r="C434" s="45"/>
      <c r="D434" s="39" t="s">
        <v>278</v>
      </c>
      <c r="E434" s="27">
        <v>82</v>
      </c>
      <c r="F434" s="43">
        <v>119.99</v>
      </c>
      <c r="G434" s="25">
        <f t="shared" si="472"/>
        <v>119.99</v>
      </c>
      <c r="H434" s="25">
        <f t="shared" si="473"/>
        <v>99.9916666666667</v>
      </c>
      <c r="I434" s="25">
        <f t="shared" si="474"/>
        <v>20.506994100295</v>
      </c>
      <c r="J434" s="26">
        <f t="shared" si="475"/>
        <v>0.250085293906036</v>
      </c>
      <c r="K434" s="27">
        <f t="shared" si="476"/>
        <v>99.9916666666667</v>
      </c>
      <c r="L434" s="28">
        <f t="shared" si="477"/>
        <v>0.179931660971748</v>
      </c>
      <c r="M434" s="25">
        <f t="shared" si="478"/>
        <v>17.9916666666667</v>
      </c>
      <c r="N434" s="27">
        <f t="shared" si="479"/>
        <v>237.389380530973</v>
      </c>
      <c r="O434" s="27">
        <f t="shared" si="480"/>
        <v>5.58333333333333</v>
      </c>
      <c r="P434" s="21">
        <v>3</v>
      </c>
      <c r="Q434" s="29">
        <v>8</v>
      </c>
      <c r="R434" s="30">
        <f t="shared" si="481"/>
        <v>0.121951219512195</v>
      </c>
      <c r="S434" s="26">
        <f t="shared" si="482"/>
        <v>0.0833402783565297</v>
      </c>
      <c r="T434" s="30">
        <f t="shared" si="483"/>
        <v>0</v>
      </c>
      <c r="U434" s="30">
        <v>0.01</v>
      </c>
      <c r="V434" s="30">
        <f t="shared" si="484"/>
        <v>0.36187405568746</v>
      </c>
      <c r="W434" s="30">
        <f t="shared" si="485"/>
        <v>0.0680894308943089</v>
      </c>
      <c r="X434" s="31">
        <v>0.188</v>
      </c>
      <c r="Y434" s="32">
        <v>10</v>
      </c>
      <c r="Z434" s="32">
        <v>0</v>
      </c>
      <c r="AA434" s="32">
        <f t="shared" si="486"/>
        <v>0.82</v>
      </c>
      <c r="AB434" s="27">
        <f t="shared" si="487"/>
        <v>15.416</v>
      </c>
      <c r="AC434" s="27">
        <v>240</v>
      </c>
      <c r="AD434" s="33">
        <f t="shared" si="488"/>
        <v>212.389380530973</v>
      </c>
      <c r="AE434" s="29">
        <f t="shared" si="493"/>
        <v>1.5</v>
      </c>
      <c r="AF434" s="30">
        <f t="shared" si="490"/>
        <v>0.323764299589899</v>
      </c>
      <c r="AG434" s="30">
        <f t="shared" si="491"/>
        <v>0.00228658536585366</v>
      </c>
      <c r="AH434" s="29">
        <v>25</v>
      </c>
      <c r="AI434" s="26">
        <f t="shared" si="492"/>
        <v>0.334104508709059</v>
      </c>
      <c r="AJ434" s="30"/>
      <c r="AK434" s="30"/>
      <c r="AL434" s="30"/>
      <c r="AM434" s="30"/>
      <c r="AN434" s="34"/>
      <c r="AO434" s="34"/>
      <c r="AP434" s="34"/>
      <c r="AQ434" s="34"/>
      <c r="AR434" s="34"/>
      <c r="AS434" s="34"/>
      <c r="AT434" s="34" t="s">
        <v>156</v>
      </c>
      <c r="AU434" s="34" t="s">
        <v>156</v>
      </c>
      <c r="AV434" s="34" t="s">
        <v>156</v>
      </c>
      <c r="AW434" s="34" t="s">
        <v>156</v>
      </c>
      <c r="AX434" s="34" t="s">
        <v>156</v>
      </c>
      <c r="AY434" s="34" t="s">
        <v>156</v>
      </c>
      <c r="AZ434" s="34" t="s">
        <v>156</v>
      </c>
      <c r="BA434" s="34" t="s">
        <v>156</v>
      </c>
      <c r="BB434" s="34" t="s">
        <v>156</v>
      </c>
      <c r="BC434" s="34" t="s">
        <v>156</v>
      </c>
      <c r="BD434" s="34" t="s">
        <v>156</v>
      </c>
      <c r="BE434" s="34" t="s">
        <v>156</v>
      </c>
      <c r="BF434" s="34" t="s">
        <v>156</v>
      </c>
      <c r="BG434" s="34" t="s">
        <v>156</v>
      </c>
      <c r="BH434" s="34" t="s">
        <v>156</v>
      </c>
      <c r="BI434" s="34" t="s">
        <v>156</v>
      </c>
      <c r="BJ434" s="34" t="s">
        <v>156</v>
      </c>
      <c r="BK434" s="34" t="s">
        <v>156</v>
      </c>
      <c r="BL434" s="34" t="s">
        <v>156</v>
      </c>
      <c r="BM434" s="34" t="s">
        <v>156</v>
      </c>
      <c r="BN434" s="34" t="s">
        <v>156</v>
      </c>
      <c r="BO434" s="34" t="s">
        <v>156</v>
      </c>
      <c r="BP434" s="34" t="s">
        <v>156</v>
      </c>
      <c r="BQ434" s="34" t="s">
        <v>156</v>
      </c>
      <c r="BR434" s="44" t="e">
        <f>IF(E434&lt;#REF!,1,0)</f>
        <v>#REF!</v>
      </c>
      <c r="BS434" s="20" t="s">
        <v>157</v>
      </c>
    </row>
    <row r="435" ht="16.5" spans="1:71">
      <c r="A435" s="21" t="s">
        <v>163</v>
      </c>
      <c r="B435" s="21"/>
      <c r="C435" s="45"/>
      <c r="D435" s="37" t="s">
        <v>278</v>
      </c>
      <c r="E435" s="27">
        <v>82</v>
      </c>
      <c r="F435" s="43">
        <v>119.99</v>
      </c>
      <c r="G435" s="25">
        <f t="shared" si="472"/>
        <v>119.99</v>
      </c>
      <c r="H435" s="25">
        <f t="shared" si="473"/>
        <v>99.9916666666667</v>
      </c>
      <c r="I435" s="25">
        <f t="shared" si="474"/>
        <v>21.406994100295</v>
      </c>
      <c r="J435" s="26">
        <f t="shared" si="475"/>
        <v>0.261060903662134</v>
      </c>
      <c r="K435" s="27">
        <f t="shared" si="476"/>
        <v>99.9916666666667</v>
      </c>
      <c r="L435" s="28">
        <f t="shared" si="477"/>
        <v>0.179931660971748</v>
      </c>
      <c r="M435" s="25">
        <f t="shared" si="478"/>
        <v>17.9916666666667</v>
      </c>
      <c r="N435" s="27">
        <f t="shared" si="479"/>
        <v>237.389380530973</v>
      </c>
      <c r="O435" s="27">
        <f t="shared" si="480"/>
        <v>4.68333333333333</v>
      </c>
      <c r="P435" s="21">
        <v>3</v>
      </c>
      <c r="Q435" s="29">
        <v>8</v>
      </c>
      <c r="R435" s="30">
        <f t="shared" si="481"/>
        <v>0.121951219512195</v>
      </c>
      <c r="S435" s="26">
        <f t="shared" si="482"/>
        <v>0.0833402783565297</v>
      </c>
      <c r="T435" s="30">
        <f t="shared" si="483"/>
        <v>0</v>
      </c>
      <c r="U435" s="30">
        <v>0.01</v>
      </c>
      <c r="V435" s="30">
        <f t="shared" si="484"/>
        <v>0.36187405568746</v>
      </c>
      <c r="W435" s="30">
        <f t="shared" si="485"/>
        <v>0.0571138211382114</v>
      </c>
      <c r="X435" s="31">
        <v>0.188</v>
      </c>
      <c r="Y435" s="32">
        <v>10</v>
      </c>
      <c r="Z435" s="32">
        <v>0</v>
      </c>
      <c r="AA435" s="32">
        <f t="shared" si="486"/>
        <v>0.82</v>
      </c>
      <c r="AB435" s="27">
        <f t="shared" si="487"/>
        <v>15.416</v>
      </c>
      <c r="AC435" s="27">
        <v>240</v>
      </c>
      <c r="AD435" s="33">
        <f t="shared" si="488"/>
        <v>212.389380530973</v>
      </c>
      <c r="AE435" s="29">
        <f t="shared" si="493"/>
        <v>1.5</v>
      </c>
      <c r="AF435" s="30">
        <f t="shared" si="490"/>
        <v>0.323764299589899</v>
      </c>
      <c r="AG435" s="30">
        <f t="shared" si="491"/>
        <v>0.00228658536585366</v>
      </c>
      <c r="AH435" s="29">
        <v>25</v>
      </c>
      <c r="AI435" s="26">
        <f t="shared" si="492"/>
        <v>0.334104508709059</v>
      </c>
      <c r="AJ435" s="30"/>
      <c r="AK435" s="30"/>
      <c r="AL435" s="30"/>
      <c r="AM435" s="30"/>
      <c r="AN435" s="34"/>
      <c r="AO435" s="34"/>
      <c r="AP435" s="34"/>
      <c r="AQ435" s="34"/>
      <c r="AR435" s="34"/>
      <c r="AS435" s="34"/>
      <c r="AT435" s="34" t="s">
        <v>156</v>
      </c>
      <c r="AU435" s="34" t="s">
        <v>156</v>
      </c>
      <c r="AV435" s="34" t="s">
        <v>156</v>
      </c>
      <c r="AW435" s="34" t="s">
        <v>156</v>
      </c>
      <c r="AX435" s="34" t="s">
        <v>156</v>
      </c>
      <c r="AY435" s="34" t="s">
        <v>156</v>
      </c>
      <c r="AZ435" s="34" t="s">
        <v>156</v>
      </c>
      <c r="BA435" s="34" t="s">
        <v>156</v>
      </c>
      <c r="BB435" s="34" t="s">
        <v>156</v>
      </c>
      <c r="BC435" s="34" t="s">
        <v>156</v>
      </c>
      <c r="BD435" s="34" t="s">
        <v>156</v>
      </c>
      <c r="BE435" s="34" t="s">
        <v>156</v>
      </c>
      <c r="BF435" s="34" t="s">
        <v>156</v>
      </c>
      <c r="BG435" s="34" t="s">
        <v>156</v>
      </c>
      <c r="BH435" s="34" t="s">
        <v>156</v>
      </c>
      <c r="BI435" s="34" t="s">
        <v>156</v>
      </c>
      <c r="BJ435" s="34" t="s">
        <v>156</v>
      </c>
      <c r="BK435" s="34" t="s">
        <v>156</v>
      </c>
      <c r="BL435" s="34" t="s">
        <v>156</v>
      </c>
      <c r="BM435" s="34" t="s">
        <v>156</v>
      </c>
      <c r="BN435" s="34" t="s">
        <v>156</v>
      </c>
      <c r="BO435" s="34" t="s">
        <v>156</v>
      </c>
      <c r="BP435" s="34" t="s">
        <v>156</v>
      </c>
      <c r="BQ435" s="34" t="s">
        <v>156</v>
      </c>
      <c r="BR435" s="44" t="e">
        <f>IF(E435&lt;#REF!,1,0)</f>
        <v>#REF!</v>
      </c>
      <c r="BS435" s="20" t="s">
        <v>157</v>
      </c>
    </row>
    <row r="436" ht="16.5" spans="1:71">
      <c r="A436" s="21" t="s">
        <v>165</v>
      </c>
      <c r="B436" s="21"/>
      <c r="C436" s="45"/>
      <c r="D436" s="37" t="s">
        <v>278</v>
      </c>
      <c r="E436" s="27">
        <v>82</v>
      </c>
      <c r="F436" s="43">
        <v>119.99</v>
      </c>
      <c r="G436" s="25">
        <f t="shared" si="472"/>
        <v>119.99</v>
      </c>
      <c r="H436" s="25">
        <f t="shared" si="473"/>
        <v>99.9916666666667</v>
      </c>
      <c r="I436" s="25">
        <f t="shared" si="474"/>
        <v>20.006994100295</v>
      </c>
      <c r="J436" s="26">
        <f t="shared" si="475"/>
        <v>0.243987732930427</v>
      </c>
      <c r="K436" s="27">
        <f t="shared" si="476"/>
        <v>99.9916666666667</v>
      </c>
      <c r="L436" s="28">
        <f t="shared" si="477"/>
        <v>0.179931660971748</v>
      </c>
      <c r="M436" s="25">
        <f t="shared" si="478"/>
        <v>17.9916666666667</v>
      </c>
      <c r="N436" s="27">
        <f t="shared" si="479"/>
        <v>237.389380530973</v>
      </c>
      <c r="O436" s="27">
        <f t="shared" si="480"/>
        <v>6.08333333333333</v>
      </c>
      <c r="P436" s="21">
        <v>3</v>
      </c>
      <c r="Q436" s="29">
        <v>8</v>
      </c>
      <c r="R436" s="30">
        <f t="shared" si="481"/>
        <v>0.121951219512195</v>
      </c>
      <c r="S436" s="26">
        <f t="shared" si="482"/>
        <v>0.0833402783565297</v>
      </c>
      <c r="T436" s="30">
        <f t="shared" si="483"/>
        <v>0</v>
      </c>
      <c r="U436" s="30">
        <v>0.01</v>
      </c>
      <c r="V436" s="30">
        <f t="shared" si="484"/>
        <v>0.36187405568746</v>
      </c>
      <c r="W436" s="30">
        <f t="shared" si="485"/>
        <v>0.0741869918699187</v>
      </c>
      <c r="X436" s="31">
        <v>0.188</v>
      </c>
      <c r="Y436" s="32">
        <v>10</v>
      </c>
      <c r="Z436" s="32">
        <v>0</v>
      </c>
      <c r="AA436" s="32">
        <f t="shared" si="486"/>
        <v>0.82</v>
      </c>
      <c r="AB436" s="27">
        <f t="shared" si="487"/>
        <v>15.416</v>
      </c>
      <c r="AC436" s="27">
        <v>240</v>
      </c>
      <c r="AD436" s="33">
        <f t="shared" si="488"/>
        <v>212.389380530973</v>
      </c>
      <c r="AE436" s="29">
        <f t="shared" si="493"/>
        <v>1.5</v>
      </c>
      <c r="AF436" s="30">
        <f t="shared" si="490"/>
        <v>0.323764299589899</v>
      </c>
      <c r="AG436" s="30">
        <f t="shared" si="491"/>
        <v>0.00228658536585366</v>
      </c>
      <c r="AH436" s="29">
        <v>25</v>
      </c>
      <c r="AI436" s="26">
        <f t="shared" si="492"/>
        <v>0.334104508709059</v>
      </c>
      <c r="AJ436" s="30"/>
      <c r="AK436" s="30"/>
      <c r="AL436" s="30"/>
      <c r="AM436" s="30"/>
      <c r="AN436" s="34"/>
      <c r="AO436" s="34"/>
      <c r="AP436" s="34"/>
      <c r="AQ436" s="34"/>
      <c r="AR436" s="34"/>
      <c r="AS436" s="34"/>
      <c r="AT436" s="34" t="s">
        <v>156</v>
      </c>
      <c r="AU436" s="34" t="s">
        <v>156</v>
      </c>
      <c r="AV436" s="34" t="s">
        <v>156</v>
      </c>
      <c r="AW436" s="34" t="s">
        <v>156</v>
      </c>
      <c r="AX436" s="34" t="s">
        <v>156</v>
      </c>
      <c r="AY436" s="34" t="s">
        <v>156</v>
      </c>
      <c r="AZ436" s="34" t="s">
        <v>156</v>
      </c>
      <c r="BA436" s="34" t="s">
        <v>156</v>
      </c>
      <c r="BB436" s="34" t="s">
        <v>156</v>
      </c>
      <c r="BC436" s="34" t="s">
        <v>156</v>
      </c>
      <c r="BD436" s="34" t="s">
        <v>156</v>
      </c>
      <c r="BE436" s="34" t="s">
        <v>156</v>
      </c>
      <c r="BF436" s="34" t="s">
        <v>156</v>
      </c>
      <c r="BG436" s="34" t="s">
        <v>156</v>
      </c>
      <c r="BH436" s="34" t="s">
        <v>156</v>
      </c>
      <c r="BI436" s="34" t="s">
        <v>156</v>
      </c>
      <c r="BJ436" s="34" t="s">
        <v>156</v>
      </c>
      <c r="BK436" s="34" t="s">
        <v>156</v>
      </c>
      <c r="BL436" s="34" t="s">
        <v>156</v>
      </c>
      <c r="BM436" s="34" t="s">
        <v>156</v>
      </c>
      <c r="BN436" s="34" t="s">
        <v>156</v>
      </c>
      <c r="BO436" s="34" t="s">
        <v>156</v>
      </c>
      <c r="BP436" s="34" t="s">
        <v>156</v>
      </c>
      <c r="BQ436" s="34" t="s">
        <v>156</v>
      </c>
      <c r="BR436" s="44" t="e">
        <f>IF(E436&lt;#REF!,1,0)</f>
        <v>#REF!</v>
      </c>
      <c r="BS436" s="20" t="s">
        <v>157</v>
      </c>
    </row>
    <row r="437" ht="16.5" spans="1:71">
      <c r="A437" s="21" t="s">
        <v>167</v>
      </c>
      <c r="B437" s="21"/>
      <c r="C437" s="45"/>
      <c r="D437" s="37" t="s">
        <v>278</v>
      </c>
      <c r="E437" s="27">
        <v>82</v>
      </c>
      <c r="F437" s="43">
        <v>119.99</v>
      </c>
      <c r="G437" s="25">
        <f t="shared" si="472"/>
        <v>119.99</v>
      </c>
      <c r="H437" s="25">
        <f t="shared" si="473"/>
        <v>99.9916666666667</v>
      </c>
      <c r="I437" s="25">
        <f t="shared" si="474"/>
        <v>21.3403274336283</v>
      </c>
      <c r="J437" s="26">
        <f t="shared" si="475"/>
        <v>0.260247895532053</v>
      </c>
      <c r="K437" s="27">
        <f t="shared" si="476"/>
        <v>99.9916666666667</v>
      </c>
      <c r="L437" s="28">
        <f t="shared" si="477"/>
        <v>0.179931660971748</v>
      </c>
      <c r="M437" s="25">
        <f t="shared" si="478"/>
        <v>17.9916666666667</v>
      </c>
      <c r="N437" s="27">
        <f t="shared" si="479"/>
        <v>237.389380530973</v>
      </c>
      <c r="O437" s="27">
        <f t="shared" si="480"/>
        <v>4.75</v>
      </c>
      <c r="P437" s="21">
        <v>3</v>
      </c>
      <c r="Q437" s="29">
        <v>8</v>
      </c>
      <c r="R437" s="30">
        <f t="shared" si="481"/>
        <v>0.121951219512195</v>
      </c>
      <c r="S437" s="26">
        <f t="shared" si="482"/>
        <v>0.0833402783565297</v>
      </c>
      <c r="T437" s="30">
        <f t="shared" si="483"/>
        <v>0</v>
      </c>
      <c r="U437" s="30">
        <v>0.01</v>
      </c>
      <c r="V437" s="30">
        <f t="shared" si="484"/>
        <v>0.36187405568746</v>
      </c>
      <c r="W437" s="30">
        <f t="shared" si="485"/>
        <v>0.0579268292682927</v>
      </c>
      <c r="X437" s="31">
        <v>0.188</v>
      </c>
      <c r="Y437" s="32">
        <v>10</v>
      </c>
      <c r="Z437" s="32">
        <v>0</v>
      </c>
      <c r="AA437" s="32">
        <f t="shared" si="486"/>
        <v>0.82</v>
      </c>
      <c r="AB437" s="27">
        <f t="shared" si="487"/>
        <v>15.416</v>
      </c>
      <c r="AC437" s="27">
        <v>240</v>
      </c>
      <c r="AD437" s="33">
        <f t="shared" si="488"/>
        <v>212.389380530973</v>
      </c>
      <c r="AE437" s="29">
        <f t="shared" si="493"/>
        <v>1.5</v>
      </c>
      <c r="AF437" s="30">
        <f t="shared" si="490"/>
        <v>0.323764299589899</v>
      </c>
      <c r="AG437" s="30">
        <f t="shared" si="491"/>
        <v>0.00228658536585366</v>
      </c>
      <c r="AH437" s="29">
        <v>25</v>
      </c>
      <c r="AI437" s="26">
        <f t="shared" si="492"/>
        <v>0.334104508709059</v>
      </c>
      <c r="AJ437" s="30"/>
      <c r="AK437" s="30"/>
      <c r="AL437" s="30"/>
      <c r="AM437" s="30"/>
      <c r="AN437" s="34"/>
      <c r="AO437" s="34"/>
      <c r="AP437" s="34"/>
      <c r="AQ437" s="34"/>
      <c r="AR437" s="34"/>
      <c r="AS437" s="34"/>
      <c r="AT437" s="34" t="s">
        <v>156</v>
      </c>
      <c r="AU437" s="34" t="s">
        <v>156</v>
      </c>
      <c r="AV437" s="34" t="s">
        <v>156</v>
      </c>
      <c r="AW437" s="34" t="s">
        <v>156</v>
      </c>
      <c r="AX437" s="34" t="s">
        <v>156</v>
      </c>
      <c r="AY437" s="34" t="s">
        <v>156</v>
      </c>
      <c r="AZ437" s="34" t="s">
        <v>156</v>
      </c>
      <c r="BA437" s="34" t="s">
        <v>156</v>
      </c>
      <c r="BB437" s="34" t="s">
        <v>156</v>
      </c>
      <c r="BC437" s="34" t="s">
        <v>156</v>
      </c>
      <c r="BD437" s="34" t="s">
        <v>156</v>
      </c>
      <c r="BE437" s="34" t="s">
        <v>156</v>
      </c>
      <c r="BF437" s="34" t="s">
        <v>156</v>
      </c>
      <c r="BG437" s="34" t="s">
        <v>156</v>
      </c>
      <c r="BH437" s="34" t="s">
        <v>156</v>
      </c>
      <c r="BI437" s="34" t="s">
        <v>156</v>
      </c>
      <c r="BJ437" s="34" t="s">
        <v>156</v>
      </c>
      <c r="BK437" s="34" t="s">
        <v>156</v>
      </c>
      <c r="BL437" s="34" t="s">
        <v>156</v>
      </c>
      <c r="BM437" s="34" t="s">
        <v>156</v>
      </c>
      <c r="BN437" s="34" t="s">
        <v>156</v>
      </c>
      <c r="BO437" s="34" t="s">
        <v>156</v>
      </c>
      <c r="BP437" s="34" t="s">
        <v>156</v>
      </c>
      <c r="BQ437" s="34" t="s">
        <v>156</v>
      </c>
      <c r="BR437" s="44" t="e">
        <f>IF(E437&lt;#REF!,1,0)</f>
        <v>#REF!</v>
      </c>
      <c r="BS437" s="20" t="s">
        <v>157</v>
      </c>
    </row>
  </sheetData>
  <conditionalFormatting sqref="G1:J1 N1:O1 Y1">
    <cfRule type="cellIs" dxfId="0" priority="7" operator="lessThanOrEqual">
      <formula>0</formula>
    </cfRule>
  </conditionalFormatting>
  <conditionalFormatting sqref="G2:I100 G102:G212 G214:I237 G239:I297 G299:I317 G319:I337 G339:I357 G359:I377 G379:I397 G399:I417 G419:J437 H102:I205 H207:J212 J22:J26 J47:J76 J97:J100 J122:J126 J139:J143 J159:J163 J176:J180 J196:J205 J234:J237 J254:J257 J274:J277 J294:J297 J314:J317 J334:J337 J354:J357 J374:J377 J394:J397 J414:J417 Y26:Z26 Y51:Y76 Y126:Z126 Y143:Z143 Y163:Z163 Y180:Z180 Y200:Z205 Y207:AA212 Y419:Y437 Z51 Z76 AA22:AA26 AA47:AA76 AA97:AA100 AA122:AA126 AA139:AA143 AA159:AA163 AA176:AA180 AA196:AA205 AA234:AA237 AA254:AA257 AA274:AA277 AA294:AA297 AA314:AA317 AA334:AA337 AA354:AA357 AA374:AA377 AA394:AA397 AA414:AA417 AA419:AA437">
    <cfRule type="cellIs" dxfId="0" priority="6" operator="lessThanOrEqual">
      <formula>0</formula>
    </cfRule>
  </conditionalFormatting>
  <conditionalFormatting sqref="J2:J5 J27:J30 J77:J80 J102:J105 J181:J183 J214:J217 Y2:Z25 Y27:Z50 Y77:Z100 Y102:Z125 Y127:Z142 Y144:Z162 Y164:Z179 Y181:Z199 Y214:Z237 Y239:Z297 Y299:Z317 Y319:Z337 Y339:Z357 Y359:Z377 Y379:Z397 Y399:Z417 Z52:Z75 Z419:Z437 AA2:AA5 AA27:AA30 AA77:AA80 AA102:AA105 AA181:AA183 AA214:AA217">
    <cfRule type="cellIs" dxfId="0" priority="8" operator="lessThanOrEqual">
      <formula>0</formula>
    </cfRule>
  </conditionalFormatting>
  <conditionalFormatting sqref="J2:J5 J27:J30 J77:J80 J102:J105 J181:J183 J214:J217">
    <cfRule type="cellIs" dxfId="0" priority="4" operator="lessThanOrEqual">
      <formula>0</formula>
    </cfRule>
  </conditionalFormatting>
  <conditionalFormatting sqref="J6:J21 J25:J26 J31:J46 J50:J76 J81:J96 J100 J106:J121 J125:J138 J142:J158 J162:J175 J179:J180 J184:J195 J199:J205 J207:J212 J218:J233 J237 J239:J253 J257:J273 J277:J293 J297 J299:J313 J317 J319:J333 J337 J339:J353 J357 J359:J373 J377 J379:J393 J397 J399:J413 J417 J419:J437 Y26:Z26 Y51:Y76 Y126:Z126 Y143:Z143 Y163:Z163 Y180:Z180 Y200:Z205 Y207:AA212 Y419:Y437 Z51 Z76 AA6:AA21 AA25:AA26 AA31:AA46 AA50:AA76 AA81:AA96 AA100 AA106:AA121 AA125:AA138 AA142:AA158 AA162:AA175 AA179:AA180 AA184:AA195 AA199:AA205 AA218:AA233 AA237 AA239:AA253 AA257:AA273 AA277:AA293 AA297 AA299:AA313 AA317 AA319:AA333 AA337 AA339:AA353 AA357 AA359:AA373 AA377 AA379:AA393 AA397 AA399:AA413 AA417 AA419:AA437">
    <cfRule type="cellIs" dxfId="0" priority="9" operator="lessThanOrEqual">
      <formula>0</formula>
    </cfRule>
  </conditionalFormatting>
  <conditionalFormatting sqref="J22:J26 J47:J76 J97:J100 J122:J126 J139:J143 J159:J163 J176:J180 J196:J205 J207:J212 J234:J237 J254:J257 J274:J277 J294:J297 J314:J317 J334:J337 J354:J357 J374:J377 J394:J397 J414:J417 J419:J437">
    <cfRule type="cellIs" dxfId="0" priority="5" operator="lessThanOrEqual">
      <formula>0</formula>
    </cfRule>
  </conditionalFormatting>
  <conditionalFormatting sqref="J22:J26 J47:J76 J97:J100 J122:J126 J139:J143 J159:J163 J176:J180 J196:J205 J207:J212 J234:J237 J254:J257 J274:J277 J294:J297 J314:J317 J334:J337 J354:J357 J374:J377 J394:J397 J414:J417 J419:J437 Y26:Z26 Y51:Y76 Y126:Z126 Y143:Z143 Y163:Z163 Y180:Z180 Y200:Z205 Y207:AA212 Y419:Y437 Z51 Z76 AA22:AA26 AA47:AA76 AA97:AA100 AA122:AA126 AA139:AA143 AA159:AA163 AA176:AA180 AA196:AA205 AA234:AA237 AA254:AA257 AA274:AA277 AA294:AA297 AA314:AA317 AA334:AA337 AA354:AA357 AA374:AA377 AA394:AA397 AA414:AA417 AA419:AA437">
    <cfRule type="cellIs" dxfId="0" priority="3" operator="lessThanOrEqual">
      <formula>0</formula>
    </cfRule>
  </conditionalFormatting>
  <conditionalFormatting sqref="J24:J26 J49:J76 J99:J100 J124:J126 J141:J143 J161:J163 J178:J180 J198:J205 J207:J212 J236:J237 J256:J257 J276:J277 J296:J297 J316:J317 J336:J337 J356:J357 J376:J377 J396:J397 J416:J417 J419:J437">
    <cfRule type="cellIs" dxfId="0" priority="2" operator="lessThanOrEqual">
      <formula>0</formula>
    </cfRule>
  </conditionalFormatting>
  <conditionalFormatting sqref="J24:J26 J49:J76 J99:J100 J124:J126 J141:J143 J161:J163 J178:J180 J198:J205 J207:J212 J236:J237 J256:J257 J276:J277 J296:J297 J316:J317 J336:J337 J356:J357 J376:J377 J396:J397 J416:J417 J419:J437 Y26:Z26 Y51:Y76 Y126:Z126 Y143:Z143 Y163:Z163 Y180:Z180 Y200:Z205 Y207:AA212 Y419:Y437 Z51 Z76 AA24:AA26 AA49:AA76 AA99:AA100 AA124:AA126 AA141:AA143 AA161:AA163 AA178:AA180 AA198:AA205 AA236:AA237 AA256:AA257 AA276:AA277 AA296:AA297 AA316:AA317 AA336:AA337 AA356:AA357 AA376:AA377 AA396:AA397 AA416:AA417 AA419:AA437">
    <cfRule type="cellIs" dxfId="0" priority="1" operator="lessThanOrEqual">
      <formula>0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欧洲SC毛利测算</vt:lpstr>
      <vt:lpstr>欧洲VC毛利测算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</dc:creator>
  <cp:lastModifiedBy>孤独不苦1416034621</cp:lastModifiedBy>
  <dcterms:created xsi:type="dcterms:W3CDTF">2026-06-24T04:13:51Z</dcterms:created>
  <dcterms:modified xsi:type="dcterms:W3CDTF">2026-06-24T04:16:32Z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9E02DEF82BA243CDABE152802914334F_11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