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标签汇总_看板" sheetId="1" r:id="rId1"/>
    <sheet name="关键词打标结果" sheetId="2" r:id="rId2"/>
    <sheet name="高机会词清单" sheetId="3" r:id="rId3"/>
    <sheet name="SIF需求词频统计" sheetId="4" r:id="rId4"/>
    <sheet name="需求供给匹配矩阵" sheetId="5" r:id="rId5"/>
    <sheet name="广告结构规划" sheetId="6" r:id="rId6"/>
    <sheet name="竞品ASIN汇总" sheetId="7" r:id="rId7"/>
    <sheet name="标签词典" sheetId="8" r:id="rId8"/>
    <sheet name="打标规则说明" sheetId="9" r:id="rId9"/>
    <sheet name="原始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<sst xmlns="http://schemas.openxmlformats.org/spreadsheetml/2006/main" count="1919" uniqueCount="581">
  <si>
    <t>英国布艺清洗机关键词打标结果</t>
  </si>
  <si>
    <t/>
  </si>
  <si>
    <t>生成时间</t>
  </si>
  <si>
    <t>2026-06-11 03:11</t>
  </si>
  <si>
    <t>方法</t>
  </si>
  <si>
    <t>SIF价值打法：词库→需求→词频→供给匹配→广告结构</t>
  </si>
  <si>
    <t>指标</t>
  </si>
  <si>
    <t>数值</t>
  </si>
  <si>
    <t>说明</t>
  </si>
  <si>
    <t>Top机会关键词</t>
  </si>
  <si>
    <t>搜索量</t>
  </si>
  <si>
    <t>价值分</t>
  </si>
  <si>
    <t>机会等级</t>
  </si>
  <si>
    <t>建议</t>
  </si>
  <si>
    <t>数量</t>
  </si>
  <si>
    <t>关键词总数</t>
  </si>
  <si>
    <t>商机探测搜索术语数量</t>
  </si>
  <si>
    <t>spot cleaner</t>
  </si>
  <si>
    <t>S-核心必打</t>
  </si>
  <si>
    <t>价值验证 Campaign：Spot/Upholstery核心词；独立预算</t>
  </si>
  <si>
    <t>A-高机会长尾</t>
  </si>
  <si>
    <t>总搜索量</t>
  </si>
  <si>
    <t>过去360天搜索量合计</t>
  </si>
  <si>
    <t>carpet spot cleaner</t>
  </si>
  <si>
    <t>C-低机会观察</t>
  </si>
  <si>
    <t>S核心必打</t>
  </si>
  <si>
    <t>最适合价值验证和独立预算</t>
  </si>
  <si>
    <t>spot wash</t>
  </si>
  <si>
    <t>长尾需求 Campaign：场景/形态/功能词分组</t>
  </si>
  <si>
    <t>B-中机会测试</t>
  </si>
  <si>
    <t>A高机会长尾</t>
  </si>
  <si>
    <t>与便携布艺/局部清洗强匹配</t>
  </si>
  <si>
    <t>spot wash carpet cleaner</t>
  </si>
  <si>
    <t>品牌/竞品词</t>
  </si>
  <si>
    <t>B中机会/泛词</t>
  </si>
  <si>
    <t>适合小预算测试/放量谨慎</t>
  </si>
  <si>
    <t>spot carpet cleaner</t>
  </si>
  <si>
    <t>C-低匹配谨慎</t>
  </si>
  <si>
    <t>VAX等竞品截流</t>
  </si>
  <si>
    <t>upholstery cleaner machine</t>
  </si>
  <si>
    <t>低匹配/观察</t>
  </si>
  <si>
    <t>否词候选或低预算观察</t>
  </si>
  <si>
    <t>spot washer</t>
  </si>
  <si>
    <t>B-泛词放量谨慎</t>
  </si>
  <si>
    <t>Top需求点</t>
  </si>
  <si>
    <t>局部污渍清洗 + 布艺沙发 + 手持便携</t>
  </si>
  <si>
    <t>优先承接Spot/Upholstery/Sofa/Handheld需求</t>
  </si>
  <si>
    <t>sofa cleaner machine</t>
  </si>
  <si>
    <t>核心广告建议</t>
  </si>
  <si>
    <t>先验证spot/upholstery，再扩展handheld/portable，泛carpet控量</t>
  </si>
  <si>
    <t>按SIF价值打法拆Campaign</t>
  </si>
  <si>
    <t>序号</t>
  </si>
  <si>
    <t>搜索词</t>
  </si>
  <si>
    <t>中文翻译</t>
  </si>
  <si>
    <t>90天增长</t>
  </si>
  <si>
    <t>180天增长</t>
  </si>
  <si>
    <t>点击份额</t>
  </si>
  <si>
    <t>搜索转化率</t>
  </si>
  <si>
    <t>Top点击ASIN1</t>
  </si>
  <si>
    <t>关键词角色</t>
  </si>
  <si>
    <t>搜索需求分类</t>
  </si>
  <si>
    <t>品类名称</t>
  </si>
  <si>
    <t>目标受众</t>
  </si>
  <si>
    <t>使用场景</t>
  </si>
  <si>
    <t>功能特征</t>
  </si>
  <si>
    <t>风格/形态</t>
  </si>
  <si>
    <t>尺寸/便携</t>
  </si>
  <si>
    <t>品牌/竞品</t>
  </si>
  <si>
    <t>配件/耗材</t>
  </si>
  <si>
    <t>痛点/需求</t>
  </si>
  <si>
    <t>购买意图</t>
  </si>
  <si>
    <t>组合标签</t>
  </si>
  <si>
    <t>供给匹配分</t>
  </si>
  <si>
    <t>需求分</t>
  </si>
  <si>
    <t>价值机会分</t>
  </si>
  <si>
    <t>广告结构建议</t>
  </si>
  <si>
    <t>推荐匹配模式</t>
  </si>
  <si>
    <t>Listing/视觉用途</t>
  </si>
  <si>
    <t>选品/产品建议</t>
  </si>
  <si>
    <t>风险备注</t>
  </si>
  <si>
    <t>代表竞品标题摘要</t>
  </si>
  <si>
    <t>局部污渍清洗机/Spot Cleaner</t>
  </si>
  <si>
    <t>B0DDKXF7NQ</t>
  </si>
  <si>
    <t>核心转化词/价值验证词</t>
  </si>
  <si>
    <t>spot cleaner / 局部污渍清洗机</t>
  </si>
  <si>
    <t>未显性</t>
  </si>
  <si>
    <t>未显性/泛场景</t>
  </si>
  <si>
    <t>spot/stain removal / 局部污渍清洁</t>
  </si>
  <si>
    <t>非品牌词</t>
  </si>
  <si>
    <t>无</t>
  </si>
  <si>
    <t>突发污渍、局部脏污、宠物mess、饮料洒漏</t>
  </si>
  <si>
    <t>痛点/功能型购买意图</t>
  </si>
  <si>
    <t>spot cleaner + 未显性 + spot</t>
  </si>
  <si>
    <t>Exact + Phrase</t>
  </si>
  <si>
    <t>核心视觉做污渍前后对比：咖啡/红酒/泥土/宠物污渍</t>
  </si>
  <si>
    <t>优先强化布艺/局部污渍清洗能力、刷头、吸力、双水箱、清洁液适配</t>
  </si>
  <si>
    <t>无明显风险</t>
  </si>
  <si>
    <t>Rivenara Carpet Spot Upholstery Cleaner - Handheld Sofa Stain Striker 450W Wet Washer Machines Vacuum Portable Compact Cleaning Machine Small Mini Messy Tool for Pets Home Rug Couch Car Seats</t>
  </si>
  <si>
    <t>布艺/软装清洗机</t>
  </si>
  <si>
    <t>upholstery cleaner / 布艺清洗机</t>
  </si>
  <si>
    <t>沙发/软包/汽车座椅/布艺</t>
  </si>
  <si>
    <t>cleaning / 清洁</t>
  </si>
  <si>
    <t>布艺污渍、异味、局部清洁</t>
  </si>
  <si>
    <t>场景型精准需求</t>
  </si>
  <si>
    <t>upholstery cleaner + 沙发 + cleaning</t>
  </si>
  <si>
    <t>Phrase + Exact</t>
  </si>
  <si>
    <t>主图/A+突出 sofa upholstery、布艺深层清洁与前后对比</t>
  </si>
  <si>
    <t>hand held carpet cleaner</t>
  </si>
  <si>
    <t>手持地毯清洗机</t>
  </si>
  <si>
    <t>B0CND95KY4</t>
  </si>
  <si>
    <t>品类名称 / 尺寸大小</t>
  </si>
  <si>
    <t>carpet cleaner / 地毯清洗</t>
  </si>
  <si>
    <t>地毯/地面织物</t>
  </si>
  <si>
    <t>easy carry / 手持便携</t>
  </si>
  <si>
    <t>handheld / 手持</t>
  </si>
  <si>
    <t>清洁效率、深层清洁、家庭卫生</t>
  </si>
  <si>
    <t>形态/便携型明确需求</t>
  </si>
  <si>
    <t>carpet cleaner + 地毯 + easy carry + handheld</t>
  </si>
  <si>
    <t>强调手持、收纳、楼梯/车内清洁</t>
  </si>
  <si>
    <t>泛地毯词需用局部污渍/小面积场景切入，避免与立式大机正面硬拼</t>
  </si>
  <si>
    <t>Vytronix SWASH450P Spot &amp; Stain Cleaner for Carpet Upholstery &amp; Car Seats Powerful 450W Portable Spot Washer with Self-Clean Function Dual Tanks Pet Tool &amp; Long Reach Hose Compact Stain Remover</t>
  </si>
  <si>
    <t>沙发清洗机</t>
  </si>
  <si>
    <t>B0FJFDG5PY</t>
  </si>
  <si>
    <t>sofa cleaner / 沙发清洗机</t>
  </si>
  <si>
    <t>沙发/客厅布艺</t>
  </si>
  <si>
    <t>沙发污渍、宠物痕迹、日常脏污</t>
  </si>
  <si>
    <t>sofa cleaner + 沙发 + cleaning</t>
  </si>
  <si>
    <t>增加沙发场景图、宠物爪印/饮料污渍对比</t>
  </si>
  <si>
    <t>Akitas X7 Spot Cleaner 600W Portable Carpet &amp; Upholstery Cleaner with Self-Cleaning Function Dual Water Tanks Lightweight Handheld Design Ideal for Pet Stains Sofas Rugs Cars &amp; Upholstery</t>
  </si>
  <si>
    <t>handheld carpet cleaner</t>
  </si>
  <si>
    <t>强化轻量化、软管长度、收纳、手持刷头、人机工学</t>
  </si>
  <si>
    <t>地毯局部污渍清洗机</t>
  </si>
  <si>
    <t>品类名称 / 功能特征</t>
  </si>
  <si>
    <t>carpet cleaner / 地毯清洗；spot cleaner / 局部污渍清洗机</t>
  </si>
  <si>
    <t>carpet cleaner + 地毯 + spot</t>
  </si>
  <si>
    <t>局部地毯清洗机</t>
  </si>
  <si>
    <t>spot cleaner carpet machine</t>
  </si>
  <si>
    <t>地毯局部清洗机</t>
  </si>
  <si>
    <t>局部湿洗/Spot Wash</t>
  </si>
  <si>
    <t>spot/stain removal / 局部污渍清洁；wet wash/extraction / 喷洗吸一体</t>
  </si>
  <si>
    <t>突发污渍、局部脏污、宠物mess、饮料洒漏；湿洗+吸污需求</t>
  </si>
  <si>
    <t>核心视觉做污渍前后对比：咖啡/红酒/泥土/宠物污渍；展示喷洒-刷洗-吸干/双水箱/吸力路径</t>
  </si>
  <si>
    <t>地毯局部湿洗清洗机</t>
  </si>
  <si>
    <t>B08HN2P55M</t>
  </si>
  <si>
    <t>VAX SpotWash Spot Cleaner For Stains Spills &amp; Pet Messes Suitable for Car Sofa Upholstery Carpet Stairs. Compact Powerful &amp; Handheld cleaning machine with 250ml Vax Solution CDCW-CSXS</t>
  </si>
  <si>
    <t>small carpet cleaner</t>
  </si>
  <si>
    <t>小型地毯清洗机</t>
  </si>
  <si>
    <t>类目泛词/放量词</t>
  </si>
  <si>
    <t>small/compact / 小型紧凑</t>
  </si>
  <si>
    <t>carpet cleaner + 地毯 + cleaning + small</t>
  </si>
  <si>
    <t>强化 compact、easy storage、small home</t>
  </si>
  <si>
    <t>局部湿洗机</t>
  </si>
  <si>
    <t>stair carpet cleaner</t>
  </si>
  <si>
    <t>楼梯地毯清洗机</t>
  </si>
  <si>
    <t>品类名称 / 使用场景</t>
  </si>
  <si>
    <t>地毯/地面织物；stairs / 楼梯</t>
  </si>
  <si>
    <t>楼梯边角、难移动、软管长度需求</t>
  </si>
  <si>
    <t>carpet cleaner + 地毯 + cleaning</t>
  </si>
  <si>
    <t>增加楼梯清洁场景，突出软管长度与手持刷头</t>
  </si>
  <si>
    <t>rug cleaner machine</t>
  </si>
  <si>
    <t>地毯/地垫清洗机</t>
  </si>
  <si>
    <t>长尾测试词</t>
  </si>
  <si>
    <t>rug cleaner / 地毯地垫清洗</t>
  </si>
  <si>
    <t>rug/地垫/小面积地毯</t>
  </si>
  <si>
    <t>rug cleaner + rug + cleaning</t>
  </si>
  <si>
    <t>低预算观察/否词候选</t>
  </si>
  <si>
    <t>Exact小预算/否定</t>
  </si>
  <si>
    <t>增加 rug/地垫局部清洗场景</t>
  </si>
  <si>
    <t>作为探索词观察</t>
  </si>
  <si>
    <t>portable carpet cleaner machine</t>
  </si>
  <si>
    <t>便携式地毯清洗机</t>
  </si>
  <si>
    <t>B07MWDYH1F</t>
  </si>
  <si>
    <t>portable / 便携</t>
  </si>
  <si>
    <t>carpet cleaner + 地毯 + cleaning + portable</t>
  </si>
  <si>
    <t>泛词/测试 Campaign：小预算验证搜索词</t>
  </si>
  <si>
    <t>Phrase + Broad + Auto挖词</t>
  </si>
  <si>
    <t>突出便携收纳、小户型、车内/楼梯场景</t>
  </si>
  <si>
    <t>Vax Compact Power Carpet Cleaner Machine Upright Portable Rug Shampooer Washer Included Solution Easy to Carry White 800W 5.5kg CWCPV011</t>
  </si>
  <si>
    <t>handheld carpet shampooer</t>
  </si>
  <si>
    <t>手持地毯洗涤机</t>
  </si>
  <si>
    <t>品类名称 / 功能特征 / 尺寸大小</t>
  </si>
  <si>
    <t>shampoo/deep cleaning / 深层洗涤；easy carry / 手持便携</t>
  </si>
  <si>
    <t>深层清洁、旧污渍、地毯纤维脏污</t>
  </si>
  <si>
    <t>carpet cleaner + 地毯 + shampoo + handheld</t>
  </si>
  <si>
    <t>强调深层清洁，但避免过度承诺杀菌/除螨；强调手持、收纳、楼梯/车内清洁</t>
  </si>
  <si>
    <t>cordless carpet cleaner</t>
  </si>
  <si>
    <t>无线地毯清洗机</t>
  </si>
  <si>
    <t>B0FMRRFJ2Z</t>
  </si>
  <si>
    <t>品类名称 / 技术/参数</t>
  </si>
  <si>
    <t>cordless / 无线</t>
  </si>
  <si>
    <t>高流量类目泛词</t>
  </si>
  <si>
    <t>carpet cleaner + 地毯 + cleaning + cordless</t>
  </si>
  <si>
    <t>低预算探索/否定候选</t>
  </si>
  <si>
    <t>Exact小预算或否定</t>
  </si>
  <si>
    <t>围绕清洁前后对比、喷吸一体、适用场景做视觉表达</t>
  </si>
  <si>
    <t>若非无线/非立式，不建议承接该需求</t>
  </si>
  <si>
    <t>如果产品不是无线，需否定或谨慎测试</t>
  </si>
  <si>
    <t>Shark StainForce Cordless Spot Cleaner Lightweight &amp; Portable Spot Stain &amp; Odour Eliminator for Carpets Upholstery with Storage Caddy Accessories and 2x 500ml Cleaning Solution HX100UKCP</t>
  </si>
  <si>
    <t>spotwash</t>
  </si>
  <si>
    <t>SpotWash局部湿洗机</t>
  </si>
  <si>
    <t>carpet spot cleaner machine</t>
  </si>
  <si>
    <t>handheld carpet cleaners</t>
  </si>
  <si>
    <t>carpet cleaner</t>
  </si>
  <si>
    <t>地毯清洗机/地毯清洁剂泛词</t>
  </si>
  <si>
    <t>B0B5713JZW</t>
  </si>
  <si>
    <t>Vax Dual Power Pet Advance Carpet Cleaner Carpet Cleaning Machine Carpet Washer Stain Remover Dual Rotating Brushbars Pre-treatment wand and Wash Hose 2.7L CDCW-DPXA Grey/Blue</t>
  </si>
  <si>
    <t>carpet cleaner machines</t>
  </si>
  <si>
    <t>地毯清洗机泛词</t>
  </si>
  <si>
    <t>B00HRWMG4W</t>
  </si>
  <si>
    <t>Vax Dual Power Carpet Cleaner Machine Upright Portable Carpet and Rug Shampooer Washer Included Solution Easy to Carry Orange 800W 5.8kg W86-DP-B</t>
  </si>
  <si>
    <t>vax carpet cleaner</t>
  </si>
  <si>
    <t>VAX地毯清洗机竞品词</t>
  </si>
  <si>
    <t>品类名称 / 品牌</t>
  </si>
  <si>
    <t>VAX / 竞品品牌</t>
  </si>
  <si>
    <t>品牌/竞品截流</t>
  </si>
  <si>
    <t>竞品截流 Campaign：VAX 相关词 + 商品投放 ASIN</t>
  </si>
  <si>
    <t>Product Targeting + Exact低价</t>
  </si>
  <si>
    <t>对标VAX SpotWash：强化价格、便携、配件、吸力/水箱差异</t>
  </si>
  <si>
    <t>竞品商标词，建议商品投放和低价精准测试，不建议写入Listing前台</t>
  </si>
  <si>
    <t>carpet washers</t>
  </si>
  <si>
    <t>地毯湿洗机泛词</t>
  </si>
  <si>
    <t>功能泛词/测试词</t>
  </si>
  <si>
    <t>wet wash/extraction / 喷洗吸一体</t>
  </si>
  <si>
    <t>湿洗+吸污需求</t>
  </si>
  <si>
    <t>carpet cleaner + 地毯 + wet wash</t>
  </si>
  <si>
    <t>展示喷洒-刷洗-吸干/双水箱/吸力路径</t>
  </si>
  <si>
    <t>carpet washer</t>
  </si>
  <si>
    <t>地毯湿洗机</t>
  </si>
  <si>
    <t>carpet cleaners</t>
  </si>
  <si>
    <t>地毯清洗机复数泛词</t>
  </si>
  <si>
    <t>carpet shampooer</t>
  </si>
  <si>
    <t>地毯洗涤机</t>
  </si>
  <si>
    <t>shampoo/deep cleaning / 深层洗涤</t>
  </si>
  <si>
    <t>泛需求/探索词</t>
  </si>
  <si>
    <t>carpet cleaner + 地毯 + shampoo</t>
  </si>
  <si>
    <t>强调深层清洁，但避免过度承诺杀菌/除螨</t>
  </si>
  <si>
    <t>rug cleaner</t>
  </si>
  <si>
    <t>地毯/地垫清洗词</t>
  </si>
  <si>
    <t>B00E9SK004</t>
  </si>
  <si>
    <t>Vanish Oxi Action Carpet Powder Spring Flowers 650g Eliminates Dirt Pet Messes and Odours Removes 3X More Dirt vs Vacuuming alone for a Deep Clean</t>
  </si>
  <si>
    <t>carpet cleaner machine</t>
  </si>
  <si>
    <t>地毯清洗机</t>
  </si>
  <si>
    <t>carpet shampooer machine</t>
  </si>
  <si>
    <t>vax carpet cleaner machines</t>
  </si>
  <si>
    <t>carpet and upholstery cleaner</t>
  </si>
  <si>
    <t>地毯和布艺清洗机</t>
  </si>
  <si>
    <t>B09RZPB79W</t>
  </si>
  <si>
    <t>使用场景 / 品类名称</t>
  </si>
  <si>
    <t>upholstery cleaner / 布艺清洗机；carpet cleaner / 地毯清洗</t>
  </si>
  <si>
    <t>沙发/软包/汽车座椅/布艺；地毯/地面织物</t>
  </si>
  <si>
    <t>VAX SpotWash Duo Spot Cleaner For Stains Spills &amp; Pet Messes Suitable for Car Sofa Upholstery Compact Handheld Cleaning Machine Includes Pet Tool &amp; Vax 250ml Solution CDCW-CSXA.</t>
  </si>
  <si>
    <t>carpet washers for the home</t>
  </si>
  <si>
    <t>家用地毯湿洗机</t>
  </si>
  <si>
    <t>品类名称 / 功能特征 / 目标受众</t>
  </si>
  <si>
    <t>home users / 家用消费者</t>
  </si>
  <si>
    <t>地毯/地面织物；home / 家庭</t>
  </si>
  <si>
    <t>carpet cleaning machine</t>
  </si>
  <si>
    <t>地毯清洁机器</t>
  </si>
  <si>
    <t>upright carpet cleaner machine</t>
  </si>
  <si>
    <t>立式地毯清洗机</t>
  </si>
  <si>
    <t>品类名称 / 外观/形态</t>
  </si>
  <si>
    <t>upright / 立式</t>
  </si>
  <si>
    <t>carpet cleaner + 地毯 + cleaning + upright</t>
  </si>
  <si>
    <t>立式机型意图，若产品为手持布艺清洗机则不匹配</t>
  </si>
  <si>
    <t>upright carpet cleaners</t>
  </si>
  <si>
    <t>立式地毯清洗机复数</t>
  </si>
  <si>
    <t>carpet cleaning</t>
  </si>
  <si>
    <t>地毯清洁/服务泛词</t>
  </si>
  <si>
    <t>B07N4PG4LX</t>
  </si>
  <si>
    <t>品类名称 / 其他需求</t>
  </si>
  <si>
    <t>服务/内容型泛词</t>
  </si>
  <si>
    <t>可能包含清洁服务意图，不建议主推</t>
  </si>
  <si>
    <t>Vax Original 1.5L Carpet Cleaner Solution Stain Remover Shampoo Rose Burst Scent Suitable for Everyday Cleaning 1-9-142055 White</t>
  </si>
  <si>
    <t>vax cleaner</t>
  </si>
  <si>
    <t>VAX清洁机竞品词</t>
  </si>
  <si>
    <t>品牌</t>
  </si>
  <si>
    <t>fabric/upholstery cleaner / 布艺清洗机</t>
  </si>
  <si>
    <t>未显性 + cleaning</t>
  </si>
  <si>
    <t>carpet cleaner vax</t>
  </si>
  <si>
    <t>lightweight carpet cleaner</t>
  </si>
  <si>
    <t>轻量地毯清洗机</t>
  </si>
  <si>
    <t>lightweight / 轻量</t>
  </si>
  <si>
    <t>carpet cleaner + 地毯 + cleaning + lightweight</t>
  </si>
  <si>
    <t>强化轻量可移动、女性/老人也易操作</t>
  </si>
  <si>
    <t>优先级</t>
  </si>
  <si>
    <t>核心需求</t>
  </si>
  <si>
    <t>广告动作</t>
  </si>
  <si>
    <t>Listing/视觉建议</t>
  </si>
  <si>
    <t>标签英文</t>
  </si>
  <si>
    <t>标签中文</t>
  </si>
  <si>
    <t>出现次数词频TF</t>
  </si>
  <si>
    <t>搜索量加权词频</t>
  </si>
  <si>
    <t>搜索量占比</t>
  </si>
  <si>
    <t>平均转化率</t>
  </si>
  <si>
    <t>90天平均增长</t>
  </si>
  <si>
    <t>代表关键词</t>
  </si>
  <si>
    <t>供给匹配建议</t>
  </si>
  <si>
    <t>carpet/rug</t>
  </si>
  <si>
    <t>地毯/地垫</t>
  </si>
  <si>
    <t>carpet cleaner；carpet cleaner machines；vax carpet cleaner；carpet washers；carpet washer</t>
  </si>
  <si>
    <t>弱匹配</t>
  </si>
  <si>
    <t>小预算泛词测试或放量谨慎</t>
  </si>
  <si>
    <t>carpet cleaner；carpet cleaner machines；vax carpet cleaner；handheld carpet cleaner；hand held carpet cleaner</t>
  </si>
  <si>
    <t>spot/stain removal</t>
  </si>
  <si>
    <t>局部污渍清洁</t>
  </si>
  <si>
    <t>spot cleaner；spot cleaner carpet machine；carpet spot cleaner；spot carpet cleaner；spot wash</t>
  </si>
  <si>
    <t>强匹配</t>
  </si>
  <si>
    <t>优先Exact/Phrase验证，已验证后拆独立Campaign</t>
  </si>
  <si>
    <t>局部污渍清洗机</t>
  </si>
  <si>
    <t>spot cleaner；spot cleaner carpet machine；carpet spot cleaner；spot wash；spot wash carpet cleaner</t>
  </si>
  <si>
    <t>VAX</t>
  </si>
  <si>
    <t>VAX竞品品牌</t>
  </si>
  <si>
    <t>vax carpet cleaner；vax carpet cleaner machines；carpet cleaner vax；vax cleaner</t>
  </si>
  <si>
    <t>竞品截流，不写Listing前台</t>
  </si>
  <si>
    <t>竞品商品投放/低价精准测试</t>
  </si>
  <si>
    <t>wet extraction wash</t>
  </si>
  <si>
    <t>喷洗吸一体/湿洗</t>
  </si>
  <si>
    <t>carpet washers；carpet washer；spot wash；spot wash carpet cleaner；carpet washers for the home</t>
  </si>
  <si>
    <t>sofa/upholstery</t>
  </si>
  <si>
    <t>沙发/布艺/软包</t>
  </si>
  <si>
    <t>upholstery cleaner machine；sofa cleaner machine；carpet and upholstery cleaner</t>
  </si>
  <si>
    <t>外观/形态</t>
  </si>
  <si>
    <t>handheld</t>
  </si>
  <si>
    <t>手持</t>
  </si>
  <si>
    <t>handheld carpet cleaner；hand held carpet cleaner；handheld carpet shampooer；handheld carpet cleaners</t>
  </si>
  <si>
    <t>upholstery cleaner</t>
  </si>
  <si>
    <t>布艺清洗机</t>
  </si>
  <si>
    <t>upholstery cleaner machine；carpet and upholstery cleaner</t>
  </si>
  <si>
    <t>carpet shampooer；carpet shampooer machine；handheld carpet shampooer</t>
  </si>
  <si>
    <t>deep shampoo cleaning</t>
  </si>
  <si>
    <t>深层洗涤</t>
  </si>
  <si>
    <t>地毯/地垫清洗</t>
  </si>
  <si>
    <t>rug cleaner；rug cleaner machine</t>
  </si>
  <si>
    <t>sofa cleaner</t>
  </si>
  <si>
    <t>small/compact</t>
  </si>
  <si>
    <t>小型紧凑</t>
  </si>
  <si>
    <t>home</t>
  </si>
  <si>
    <t>家庭</t>
  </si>
  <si>
    <t>upright</t>
  </si>
  <si>
    <t>立式</t>
  </si>
  <si>
    <t>upright carpet cleaner machine；upright carpet cleaners</t>
  </si>
  <si>
    <t>不匹配</t>
  </si>
  <si>
    <t>否定/谨慎测试</t>
  </si>
  <si>
    <t>stair</t>
  </si>
  <si>
    <t>楼梯</t>
  </si>
  <si>
    <t>技术/参数</t>
  </si>
  <si>
    <t>cordless</t>
  </si>
  <si>
    <t>无线</t>
  </si>
  <si>
    <t>portable</t>
  </si>
  <si>
    <t>便携</t>
  </si>
  <si>
    <t>lightweight</t>
  </si>
  <si>
    <t>轻量</t>
  </si>
  <si>
    <t>需求点</t>
  </si>
  <si>
    <t>英文标签</t>
  </si>
  <si>
    <t>关键词数</t>
  </si>
  <si>
    <t>平均供给匹配分</t>
  </si>
  <si>
    <t>打法说明</t>
  </si>
  <si>
    <t>地毯/地垫清洗需求</t>
  </si>
  <si>
    <t>Carpet/Rug</t>
  </si>
  <si>
    <t>泛词谨慎</t>
  </si>
  <si>
    <t>流量大但竞争混合，需要以局部/小面积切入</t>
  </si>
  <si>
    <t>局部污渍清洗需求</t>
  </si>
  <si>
    <t>Spot/局部污渍</t>
  </si>
  <si>
    <t>高优先级</t>
  </si>
  <si>
    <t>核心价值点，用户买的是突发污渍与小面积清洁</t>
  </si>
  <si>
    <t>VAX竞品需求</t>
  </si>
  <si>
    <t>竞品截流</t>
  </si>
  <si>
    <t>竞品截流，适合商品投放/低价Exact</t>
  </si>
  <si>
    <t>深层洗涤/湿洗需求</t>
  </si>
  <si>
    <t>Wet Wash/Shampoo</t>
  </si>
  <si>
    <t>carpet washers；carpet washer；carpet shampooer；spot wash；spot wash carpet cleaner</t>
  </si>
  <si>
    <t>说明喷洗吸/污水回收能力，不要只说清洁</t>
  </si>
  <si>
    <t>手持/便携/小型需求</t>
  </si>
  <si>
    <t>Handheld/Portable</t>
  </si>
  <si>
    <t>handheld carpet cleaner；hand held carpet cleaner；small carpet cleaner；handheld carpet shampooer；portable carpet cleaner machine</t>
  </si>
  <si>
    <t>符合布艺清洗机差异化，适合避开立式大机竞争</t>
  </si>
  <si>
    <t>布艺/沙发清洗需求</t>
  </si>
  <si>
    <t>Upholstery/Sofa</t>
  </si>
  <si>
    <t>高相关精准场景，适合主图和A+重点表达</t>
  </si>
  <si>
    <t>家用需求</t>
  </si>
  <si>
    <t>Home</t>
  </si>
  <si>
    <t>家庭清洁场景</t>
  </si>
  <si>
    <t>立式大机需求</t>
  </si>
  <si>
    <t>Upright</t>
  </si>
  <si>
    <t>低匹配</t>
  </si>
  <si>
    <t>如果产品是便携布艺机，意图不匹配</t>
  </si>
  <si>
    <t>楼梯/边角清洁需求</t>
  </si>
  <si>
    <t>Stair</t>
  </si>
  <si>
    <t>中高优先级</t>
  </si>
  <si>
    <t>场景长尾，强调软管长度和手持刷头</t>
  </si>
  <si>
    <t>无线需求</t>
  </si>
  <si>
    <t>Cordless</t>
  </si>
  <si>
    <t>若产品不是无线，需要否定或谨慎</t>
  </si>
  <si>
    <t>广告层级</t>
  </si>
  <si>
    <t>Campaign主题</t>
  </si>
  <si>
    <t>关键词池</t>
  </si>
  <si>
    <t>匹配模式</t>
  </si>
  <si>
    <t>预算建议</t>
  </si>
  <si>
    <t>目标指标</t>
  </si>
  <si>
    <t>否词/注意事项</t>
  </si>
  <si>
    <t>Listing承接要求</t>
  </si>
  <si>
    <t>价值验证</t>
  </si>
  <si>
    <t>Spot 局部污渍清洗核心词</t>
  </si>
  <si>
    <t>用户想解决局部污渍、宠物mess、饮料洒漏</t>
  </si>
  <si>
    <t>spot cleaner；carpet spot cleaner；spot wash；spot washer；spotwash</t>
  </si>
  <si>
    <t>首周最高预算组，优先吃精准转化</t>
  </si>
  <si>
    <t>CTR、CVR、CPA、ACOS、Search Term质量</t>
  </si>
  <si>
    <t>否掉服务意图/不相关清洁剂词</t>
  </si>
  <si>
    <t>主图必须有污渍前后对比，五点说明喷洗吸一体</t>
  </si>
  <si>
    <t>Upholstery/Sofa 布艺沙发词</t>
  </si>
  <si>
    <t>软装/沙发/布艺场景清洁</t>
  </si>
  <si>
    <t>中高预算，按转化逐步加价</t>
  </si>
  <si>
    <t>CVR、加购率、评论痛点匹配</t>
  </si>
  <si>
    <t>避免过度承诺杀菌/除螨，除非有认证</t>
  </si>
  <si>
    <t>A+做沙发、车座、床垫、地毯多场景</t>
  </si>
  <si>
    <t>长尾放大</t>
  </si>
  <si>
    <t>Handheld/Portable 便携形态词</t>
  </si>
  <si>
    <t>消费者想要小型、手持、易收纳</t>
  </si>
  <si>
    <t>handheld carpet cleaner；hand held carpet cleaner；portable carpet cleaner machine；small carpet cleaner；lightweight carpet cleaner</t>
  </si>
  <si>
    <t>中预算，适合长尾控ACOS</t>
  </si>
  <si>
    <t>CPC、转化率、自然排名变化</t>
  </si>
  <si>
    <t>若产品不够轻/不便携不要主推</t>
  </si>
  <si>
    <t>尺寸图、收纳图、手持使用图</t>
  </si>
  <si>
    <t>场景长尾</t>
  </si>
  <si>
    <t>Stair/Rug 楼梯地垫词</t>
  </si>
  <si>
    <t>楼梯、边角、小面积地垫清洁</t>
  </si>
  <si>
    <t>stair carpet cleaner；rug cleaner machine；rug cleaner</t>
  </si>
  <si>
    <t>Phrase + Exact小预算</t>
  </si>
  <si>
    <t>小预算验证，转化好再拆组</t>
  </si>
  <si>
    <t>长尾CVR、搜索词扩展</t>
  </si>
  <si>
    <t>rug cleaner可能含清洁剂/服务意图</t>
  </si>
  <si>
    <t>场景图突出软管长度、刷头和局部清洁</t>
  </si>
  <si>
    <t>泛词探索</t>
  </si>
  <si>
    <t>Carpet Cleaner 类目泛词</t>
  </si>
  <si>
    <t>高流量但意图混合，竞争包含立式大机/清洁剂/服务</t>
  </si>
  <si>
    <t>carpet cleaner；carpet cleaner machines；carpet cleaners；carpet cleaner machine</t>
  </si>
  <si>
    <t>Broad + Phrase + Auto</t>
  </si>
  <si>
    <t>低出价控量，主要挖词，不做初期主战场</t>
  </si>
  <si>
    <t>Search Term质量、无效点击、ACOS</t>
  </si>
  <si>
    <t>及时否掉upright/cordless/solution/service等不匹配词</t>
  </si>
  <si>
    <t>Listing标题可以收录carpet cleaner，但视觉要定位spot/upholstery</t>
  </si>
  <si>
    <t>VAX 竞品词/商品投放</t>
  </si>
  <si>
    <t>拦截VAX SpotWash/Carpet Cleaner流量</t>
  </si>
  <si>
    <t>vax carpet cleaner；vax cleaner；carpet cleaner vax；VAX ASIN商品投放</t>
  </si>
  <si>
    <t>小预算，单独看ROI</t>
  </si>
  <si>
    <t>CTR、CVR、转化ASIN、CPC</t>
  </si>
  <si>
    <t>竞品商标不写入Listing前台；搜索广告谨慎</t>
  </si>
  <si>
    <t>对比图做价格/便携/水箱/刷头，但不直接侵权表达</t>
  </si>
  <si>
    <t>否词候选</t>
  </si>
  <si>
    <t>低匹配词</t>
  </si>
  <si>
    <t>无线/立式/服务意图不符合便携布艺机</t>
  </si>
  <si>
    <t>cordless carpet cleaner；upright carpet cleaner machine；carpet cleaning</t>
  </si>
  <si>
    <t>Exact小预算或直接否定</t>
  </si>
  <si>
    <t>极低预算/否词</t>
  </si>
  <si>
    <t>是否产生转化</t>
  </si>
  <si>
    <t>若非无线/立式，建议否定；carpet cleaning可能是服务词</t>
  </si>
  <si>
    <t>不作为Listing核心卖点</t>
  </si>
  <si>
    <t>ASIN</t>
  </si>
  <si>
    <t>品牌推断</t>
  </si>
  <si>
    <t>出现次数</t>
  </si>
  <si>
    <t>搜索量加权覆盖</t>
  </si>
  <si>
    <t>Top标题摘要</t>
  </si>
  <si>
    <t>B07KBLRTGB</t>
  </si>
  <si>
    <t>Vax</t>
  </si>
  <si>
    <t>Vax Rapid Power Revive Carpet Cleaner Machine Rug Upholstery Car Stair Upright Shampooer Washer Handheld Spot Cleaning Wash Tool Solution 1200W Grey/Orange CWGRV011</t>
  </si>
  <si>
    <t>B006ZMNWYS</t>
  </si>
  <si>
    <t>Dr. Beckmann</t>
  </si>
  <si>
    <t>carpet cleaner；carpet spot cleaner；rug cleaner；carpet cleaning</t>
  </si>
  <si>
    <t>Dr. Beckmann Carpet Stain Remover | Works in 3 mins | 650 ml</t>
  </si>
  <si>
    <t>carpet cleaner machines；carpet washers；carpet washer；carpet cleaners；carpet shampooer</t>
  </si>
  <si>
    <t>spot cleaner；upholstery cleaner machine；sofa cleaner machine；spot cleaner carpet machine；handheld carpet cleaner</t>
  </si>
  <si>
    <t>Rivenara</t>
  </si>
  <si>
    <t>spot cleaner；upholstery cleaner machine；spot cleaner carpet machine；handheld carpet cleaner；spot carpet cleaner</t>
  </si>
  <si>
    <t>B0BHF3NKLK</t>
  </si>
  <si>
    <t>vax carpet cleaner；vax carpet cleaner machines；carpet cleaner vax</t>
  </si>
  <si>
    <t>Vax Platinum SmartWash Pet-Design Carpet Cleaner Machine Rug Upholstery Car Stair Upright Shampooer Washer Handheld Spot Cleaning SpinScrub and Wash Tools Solution 1200W 8.9kg CDCW-SWXP Grey</t>
  </si>
  <si>
    <t>Vytronix</t>
  </si>
  <si>
    <t>hand held carpet cleaner；spot wash；small carpet cleaner；spotwash；portable carpet cleaner machine</t>
  </si>
  <si>
    <t>carpet shampooer；carpet shampooer machine；carpet washers for the home；portable carpet cleaner machine；upright carpet cleaners</t>
  </si>
  <si>
    <t>Akitas</t>
  </si>
  <si>
    <t>rug cleaner；carpet cleaning</t>
  </si>
  <si>
    <t>B0CZRYCLNT</t>
  </si>
  <si>
    <t>stair carpet cleaner；handheld carpet shampooer；handheld carpet cleaners</t>
  </si>
  <si>
    <t>Daewoo Stairmaster Corded Spotwasher</t>
  </si>
  <si>
    <t>B082VWF2V9</t>
  </si>
  <si>
    <t>Vanish Gold Carpet Cleaner Foam Stain Remover 600ml Eliminates Dirt Pet Messes and Odours Removes 5X More Dirt vs Vacuuming alone for a Deep Clean</t>
  </si>
  <si>
    <t>B0CNXWKVGF</t>
  </si>
  <si>
    <t>Vax SpotWash 1L Spot Cleaning Solution Upholstery Carpet Stain Remover Shampoo Rose Burst Scent Neutralises Odours 1-9-143091 White</t>
  </si>
  <si>
    <t>carpet cleaner vax；vax cleaner；carpet cleaning</t>
  </si>
  <si>
    <t>B09Q42NQ5D</t>
  </si>
  <si>
    <t>Dr Beckmann Upholstery Stain Remover with Brush 400ml</t>
  </si>
  <si>
    <t>Shark</t>
  </si>
  <si>
    <t>B0FMRPX6P7</t>
  </si>
  <si>
    <t>Shark StainForce Cordless Spot Cleaner Lightweight &amp; Portable Spot Stain &amp; Odour Eliminator for Carpets Upholstery Cars with Storage Caddy Accessories and 500ml Cleaning Solution HX100UKT</t>
  </si>
  <si>
    <t>B0FDR3JV4D</t>
  </si>
  <si>
    <t>Daewoo Stairmaster Rechargeable Cordless Spotwasher Carpet and Upholstery Cleaner</t>
  </si>
  <si>
    <t>B08SWLD9TH</t>
  </si>
  <si>
    <t>VYTRONIX P800CW Upright Carpet Cleaner | Lightweight Deep Cleaning Carpet Washer Rug &amp; Carpet Shampooer | Stains Odours Allergens &amp; Pet Hair Remover | Powerful 800W Motor</t>
  </si>
  <si>
    <t>B01MSJEGL8</t>
  </si>
  <si>
    <t>Russell Hobbs RHCC5001 Lightweight 600w Carpet Washer &amp; Cleaner White &amp; Aqua</t>
  </si>
  <si>
    <t>一级分类</t>
  </si>
  <si>
    <t>典型词根/规则</t>
  </si>
  <si>
    <t>业务用途</t>
  </si>
  <si>
    <t>打标说明</t>
  </si>
  <si>
    <t>spot cleaner / spotwash / spot washer</t>
  </si>
  <si>
    <t>广告核心词、标题词</t>
  </si>
  <si>
    <t>英国布艺清洗机最相关的核心需求之一</t>
  </si>
  <si>
    <t>upholstery</t>
  </si>
  <si>
    <t>标题、五点、A+</t>
  </si>
  <si>
    <t>直接对应布艺/软装清洁场景</t>
  </si>
  <si>
    <t>sofa</t>
  </si>
  <si>
    <t>沙发</t>
  </si>
  <si>
    <t>主图/A+场景图</t>
  </si>
  <si>
    <t>场景强相关，适合做视觉卖点</t>
  </si>
  <si>
    <t>场景长尾广告</t>
  </si>
  <si>
    <t>突出软管、手持刷头、便携</t>
  </si>
  <si>
    <t>rug/carpet</t>
  </si>
  <si>
    <t>carpet / rug</t>
  </si>
  <si>
    <t>SEO收录、广告探索</t>
  </si>
  <si>
    <t>泛流量大，需和spot/upholstery组合使用</t>
  </si>
  <si>
    <t>局部去污</t>
  </si>
  <si>
    <t>spot / stain / mess</t>
  </si>
  <si>
    <t>主图、五点、广告</t>
  </si>
  <si>
    <t>表达突发污渍解决能力</t>
  </si>
  <si>
    <t>wet extraction</t>
  </si>
  <si>
    <t>喷洗吸一体</t>
  </si>
  <si>
    <t>wash / washer</t>
  </si>
  <si>
    <t>功能图、A+流程图</t>
  </si>
  <si>
    <t>说明工作流程：喷水-刷洗-吸干</t>
  </si>
  <si>
    <t>shampooer</t>
  </si>
  <si>
    <t>长尾广告、五点</t>
  </si>
  <si>
    <t>避免变成清洁剂词或过度承诺</t>
  </si>
  <si>
    <t>handheld / hand held</t>
  </si>
  <si>
    <t>便携卖点、广告组</t>
  </si>
  <si>
    <t>区别立式大机，适合小空间/楼梯/车内</t>
  </si>
  <si>
    <t>portable/small/lightweight</t>
  </si>
  <si>
    <t>便携小型轻量</t>
  </si>
  <si>
    <t>portable / small / lightweight</t>
  </si>
  <si>
    <t>视觉和选品</t>
  </si>
  <si>
    <t>增加收纳尺寸图、手持图</t>
  </si>
  <si>
    <t>风险词/否词</t>
  </si>
  <si>
    <t>非无线产品不承接</t>
  </si>
  <si>
    <t>便携布艺机与立式地毯机需求不同</t>
  </si>
  <si>
    <t>竞品品牌</t>
  </si>
  <si>
    <t>vax</t>
  </si>
  <si>
    <t>不写Listing前台，商品投放为主</t>
  </si>
  <si>
    <t>模块</t>
  </si>
  <si>
    <t>系统定位</t>
  </si>
  <si>
    <t>英国布艺清洗机关键词打标系统 = 关键词 → 消费者需求 → 词频统计 → 供给匹配 → 广告结构</t>
  </si>
  <si>
    <t>SIF核心</t>
  </si>
  <si>
    <t>投放核心不是关键词，而是关键词背后的消费者需求。</t>
  </si>
  <si>
    <t>Step 1</t>
  </si>
  <si>
    <t>搭建词库：读取商机探测搜索术语、搜索量、增长、点击份额、搜索转化率、Top点击ASIN。</t>
  </si>
  <si>
    <t>Step 2</t>
  </si>
  <si>
    <t>词频统计：统计标签出现次数TF与搜索量加权词频，判断消费者需求规模。</t>
  </si>
  <si>
    <t>Step 3</t>
  </si>
  <si>
    <t>供给匹配：假设产品为便携式布艺/spot cleaner，按0/1/3评分：0不匹配，1弱承接，3强匹配。</t>
  </si>
  <si>
    <t>Step 4</t>
  </si>
  <si>
    <t>机会评分：综合搜索量、转化率、点击份额、趋势、供给匹配和痛点强度。</t>
  </si>
  <si>
    <t>Step 5</t>
  </si>
  <si>
    <t>广告结构：按需求点搭建Campaign，不按单个关键词堆砌广告。</t>
  </si>
  <si>
    <t>Step 6</t>
  </si>
  <si>
    <t>关键词匹配模式：S级Exact+Phrase；A级Phrase+Exact；泛词Broad/Auto挖词；竞品词Product Targeting；低匹配词否定。</t>
  </si>
  <si>
    <t>TF公式</t>
  </si>
  <si>
    <t>出现次数词频TF_count = 包含某标签的关键词数量。</t>
  </si>
  <si>
    <t>搜索量加权TF</t>
  </si>
  <si>
    <t>TF_weighted = Σ 关键词搜索量 × 是否包含标签。</t>
  </si>
  <si>
    <t>3=强匹配；1=弱匹配/可间接承接；0=不匹配。</t>
  </si>
  <si>
    <t>风险说明</t>
  </si>
  <si>
    <t>VAX等品牌词用于竞品截流，不建议写入Listing前台；cordless/upright若产品不具备则建议否定。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</si>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</sst>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b/>
      <sz val="9"/>
      <color rgb="FFFFFFFF"/>
      <name val="Carlito"/>
      <charset val="134"/>
    </font>
    <font>
      <sz val="9"/>
      <name val="Carlito"/>
      <charset val="134"/>
    </font>
    <font>
      <sz val="9"/>
      <color rgb="FFFF0000"/>
      <name val="Carlito"/>
      <charset val="134"/>
    </font>
    <font>
      <b/>
      <sz val="16"/>
      <color rgb="FFFFFFFF"/>
      <name val="Carlito"/>
      <charset val="134"/>
    </font>
    <font>
      <sz val="10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vertical="top" wrapText="1"/>
    </xf>
    <xf numFmtId="3" fontId="2" fillId="0" borderId="0" xfId="49" applyNumberFormat="1" applyFont="1" applyFill="1" applyBorder="1" applyAlignment="1">
      <alignment vertical="top" wrapText="1"/>
    </xf>
    <xf numFmtId="1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3" fontId="2" fillId="0" borderId="0" xfId="49" applyNumberFormat="1" applyFont="1" applyFill="1" applyBorder="1" applyAlignment="1">
      <alignment vertical="top" wrapText="1"/>
    </xf>
    <xf numFmtId="1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 wrapText="1"/>
    </xf>
    <xf numFmtId="176" fontId="2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  <xf numFmtId="0" fontId="4" fillId="2" borderId="0" xfId="49" applyNumberFormat="1" applyFont="1" applyFill="1" applyBorder="1" applyAlignment="1">
      <alignment horizontal="center"/>
    </xf>
    <xf numFmtId="0" fontId="5" fillId="4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 wrapText="1"/>
    </xf>
    <xf numFmtId="0" fontId="6" fillId="5" borderId="0" xfId="49" applyNumberFormat="1" applyFont="1" applyFill="1" applyBorder="1" applyAlignment="1">
      <alignment horizontal="center" wrapText="1"/>
    </xf>
    <xf numFmtId="0" fontId="6" fillId="5" borderId="0" xfId="49" applyNumberFormat="1" applyFont="1" applyFill="1" applyBorder="1" applyAlignment="1">
      <alignment horizontal="center" wrapText="1"/>
    </xf>
    <xf numFmtId="0" fontId="6" fillId="5" borderId="0" xfId="49" applyNumberFormat="1" applyFont="1" applyFill="1" applyBorder="1" applyAlignment="1">
      <alignment horizontal="center" wrapText="1"/>
    </xf>
    <xf numFmtId="0" fontId="6" fillId="5" borderId="0" xfId="49" applyNumberFormat="1" applyFont="1" applyFill="1" applyBorder="1"/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DCFCE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机会等级分布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标签汇总_看板!$K$6:$K$12</c:f>
              <c:strCache>
                <c:ptCount val="7"/>
                <c:pt idx="0">
                  <c:v>A-高机会长尾</c:v>
                </c:pt>
                <c:pt idx="1">
                  <c:v>C-低机会观察</c:v>
                </c:pt>
                <c:pt idx="2">
                  <c:v>B-中机会测试</c:v>
                </c:pt>
                <c:pt idx="3">
                  <c:v>品牌/竞品词</c:v>
                </c:pt>
                <c:pt idx="4">
                  <c:v>C-低匹配谨慎</c:v>
                </c:pt>
                <c:pt idx="5">
                  <c:v>S-核心必打</c:v>
                </c:pt>
                <c:pt idx="6">
                  <c:v>B-泛词放量谨慎</c:v>
                </c:pt>
              </c:strCache>
            </c:strRef>
          </c:cat>
          <c:val>
            <c:numRef>
              <c:f>标签汇总_看板!$L$6:$L$12</c:f>
              <c:numCache>
                <c:formatCode>General</c:formatCode>
                <c:ptCount val="7"/>
                <c:pt idx="0">
                  <c:v>15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5ccb34-0e65-4edf-abc3-60f418801e4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Top标签搜索量加权词频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"标签中文"</c:f>
              <c:strCache>
                <c:ptCount val="1"/>
                <c:pt idx="0">
                  <c:v>标签中文</c:v>
                </c:pt>
              </c:strCache>
            </c:strRef>
          </c:tx>
          <c:invertIfNegative val="0"/>
          <c:dLbls>
            <c:delete val="1"/>
          </c:dLbls>
          <c:cat>
            <c:strRef>
              <c:f>SIF需求词频统计!$B$2:$B$12</c:f>
              <c:strCache>
                <c:ptCount val="11"/>
                <c:pt idx="0">
                  <c:v>carpet/rug</c:v>
                </c:pt>
                <c:pt idx="1">
                  <c:v>carpet cleaner</c:v>
                </c:pt>
                <c:pt idx="2">
                  <c:v>spot/stain removal</c:v>
                </c:pt>
                <c:pt idx="3">
                  <c:v>spot cleaner</c:v>
                </c:pt>
                <c:pt idx="4">
                  <c:v>VAX</c:v>
                </c:pt>
                <c:pt idx="5">
                  <c:v>wet extraction wash</c:v>
                </c:pt>
                <c:pt idx="6">
                  <c:v>carpet washer</c:v>
                </c:pt>
                <c:pt idx="7">
                  <c:v>sofa/upholstery</c:v>
                </c:pt>
                <c:pt idx="8">
                  <c:v>handheld</c:v>
                </c:pt>
                <c:pt idx="9">
                  <c:v>upholstery cleaner</c:v>
                </c:pt>
                <c:pt idx="10">
                  <c:v>carpet shampooer</c:v>
                </c:pt>
              </c:strCache>
            </c:strRef>
          </c:cat>
          <c:val>
            <c:numRef>
              <c:f>SIF需求词频统计!$C$2:$C$12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"出现次数词频TF"</c:f>
              <c:strCache>
                <c:ptCount val="1"/>
                <c:pt idx="0">
                  <c:v>出现次数词频TF</c:v>
                </c:pt>
              </c:strCache>
            </c:strRef>
          </c:tx>
          <c:invertIfNegative val="0"/>
          <c:dLbls>
            <c:delete val="1"/>
          </c:dLbls>
          <c:cat>
            <c:strRef>
              <c:f>SIF需求词频统计!$B$2:$B$12</c:f>
              <c:strCache>
                <c:ptCount val="11"/>
                <c:pt idx="0">
                  <c:v>carpet/rug</c:v>
                </c:pt>
                <c:pt idx="1">
                  <c:v>carpet cleaner</c:v>
                </c:pt>
                <c:pt idx="2">
                  <c:v>spot/stain removal</c:v>
                </c:pt>
                <c:pt idx="3">
                  <c:v>spot cleaner</c:v>
                </c:pt>
                <c:pt idx="4">
                  <c:v>VAX</c:v>
                </c:pt>
                <c:pt idx="5">
                  <c:v>wet extraction wash</c:v>
                </c:pt>
                <c:pt idx="6">
                  <c:v>carpet washer</c:v>
                </c:pt>
                <c:pt idx="7">
                  <c:v>sofa/upholstery</c:v>
                </c:pt>
                <c:pt idx="8">
                  <c:v>handheld</c:v>
                </c:pt>
                <c:pt idx="9">
                  <c:v>upholstery cleaner</c:v>
                </c:pt>
                <c:pt idx="10">
                  <c:v>carpet shampooer</c:v>
                </c:pt>
              </c:strCache>
            </c:strRef>
          </c:cat>
          <c:val>
            <c:numRef>
              <c:f>SIF需求词频统计!$D$2:$D$12</c:f>
              <c:numCache>
                <c:formatCode>#,##0</c:formatCode>
                <c:ptCount val="11"/>
                <c:pt idx="0">
                  <c:v>33</c:v>
                </c:pt>
                <c:pt idx="1">
                  <c:v>20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"搜索量加权词频"</c:f>
              <c:strCache>
                <c:ptCount val="1"/>
                <c:pt idx="0">
                  <c:v>搜索量加权词频</c:v>
                </c:pt>
              </c:strCache>
            </c:strRef>
          </c:tx>
          <c:invertIfNegative val="0"/>
          <c:dLbls>
            <c:delete val="1"/>
          </c:dLbls>
          <c:cat>
            <c:strRef>
              <c:f>SIF需求词频统计!$B$2:$B$12</c:f>
              <c:strCache>
                <c:ptCount val="11"/>
                <c:pt idx="0">
                  <c:v>carpet/rug</c:v>
                </c:pt>
                <c:pt idx="1">
                  <c:v>carpet cleaner</c:v>
                </c:pt>
                <c:pt idx="2">
                  <c:v>spot/stain removal</c:v>
                </c:pt>
                <c:pt idx="3">
                  <c:v>spot cleaner</c:v>
                </c:pt>
                <c:pt idx="4">
                  <c:v>VAX</c:v>
                </c:pt>
                <c:pt idx="5">
                  <c:v>wet extraction wash</c:v>
                </c:pt>
                <c:pt idx="6">
                  <c:v>carpet washer</c:v>
                </c:pt>
                <c:pt idx="7">
                  <c:v>sofa/upholstery</c:v>
                </c:pt>
                <c:pt idx="8">
                  <c:v>handheld</c:v>
                </c:pt>
                <c:pt idx="9">
                  <c:v>upholstery cleaner</c:v>
                </c:pt>
                <c:pt idx="10">
                  <c:v>carpet shampooer</c:v>
                </c:pt>
              </c:strCache>
            </c:strRef>
          </c:cat>
          <c:val>
            <c:numRef>
              <c:f>SIF需求词频统计!$E$2:$E$12</c:f>
              <c:numCache>
                <c:formatCode>#,##0</c:formatCode>
                <c:ptCount val="11"/>
                <c:pt idx="0">
                  <c:v>4524787</c:v>
                </c:pt>
                <c:pt idx="1">
                  <c:v>3975253</c:v>
                </c:pt>
                <c:pt idx="2">
                  <c:v>654975</c:v>
                </c:pt>
                <c:pt idx="3">
                  <c:v>601560</c:v>
                </c:pt>
                <c:pt idx="4">
                  <c:v>474956</c:v>
                </c:pt>
                <c:pt idx="5">
                  <c:v>335370</c:v>
                </c:pt>
                <c:pt idx="6">
                  <c:v>315064</c:v>
                </c:pt>
                <c:pt idx="7">
                  <c:v>179741</c:v>
                </c:pt>
                <c:pt idx="8">
                  <c:v>150736</c:v>
                </c:pt>
                <c:pt idx="9">
                  <c:v>115033</c:v>
                </c:pt>
                <c:pt idx="10">
                  <c:v>103205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b02f5c-d287-4078-b0eb-df0227a4b73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13</xdr:row>
      <xdr:rowOff>0</xdr:rowOff>
    </xdr:from>
    <xdr:to>
      <xdr:col>17</xdr:col>
      <xdr:colOff>0</xdr:colOff>
      <xdr:row>28</xdr:row>
      <xdr:rowOff>0</xdr:rowOff>
    </xdr:to>
    <xdr:graphicFrame>
      <xdr:nvGraphicFramePr>
        <xdr:cNvPr id="2" name="Chart"/>
        <xdr:cNvGraphicFramePr/>
      </xdr:nvGraphicFramePr>
      <xdr:xfrm>
        <a:off x="15849600" y="3257550"/>
        <a:ext cx="4800600" cy="3248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17220565" y="190500"/>
        <a:ext cx="54864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eywordTagTable" displayName="KeywordTagTable" ref="A1:AF41">
  <tableColumns count="32">
    <tableColumn id="1" name="序号"/>
    <tableColumn id="2" name="搜索词"/>
    <tableColumn id="3" name="中文翻译"/>
    <tableColumn id="4" name="搜索量"/>
    <tableColumn id="5" name="90天增长"/>
    <tableColumn id="6" name="180天增长"/>
    <tableColumn id="7" name="点击份额"/>
    <tableColumn id="8" name="搜索转化率"/>
    <tableColumn id="9" name="Top点击ASIN1"/>
    <tableColumn id="10" name="关键词角色"/>
    <tableColumn id="11" name="搜索需求分类"/>
    <tableColumn id="12" name="品类名称"/>
    <tableColumn id="13" name="目标受众"/>
    <tableColumn id="14" name="使用场景"/>
    <tableColumn id="15" name="功能特征"/>
    <tableColumn id="16" name="风格/形态"/>
    <tableColumn id="17" name="尺寸/便携"/>
    <tableColumn id="18" name="品牌/竞品"/>
    <tableColumn id="19" name="配件/耗材"/>
    <tableColumn id="20" name="痛点/需求"/>
    <tableColumn id="21" name="购买意图"/>
    <tableColumn id="22" name="组合标签"/>
    <tableColumn id="23" name="供给匹配分"/>
    <tableColumn id="24" name="需求分"/>
    <tableColumn id="25" name="价值机会分"/>
    <tableColumn id="26" name="机会等级"/>
    <tableColumn id="27" name="广告结构建议"/>
    <tableColumn id="28" name="推荐匹配模式"/>
    <tableColumn id="29" name="Listing/视觉用途"/>
    <tableColumn id="30" name="选品/产品建议"/>
    <tableColumn id="31" name="风险备注"/>
    <tableColumn id="32" name="代表竞品标题摘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OpportunityTable" displayName="HighOpportunityTable" ref="A1:N18">
  <tableColumns count="14">
    <tableColumn id="1" name="优先级"/>
    <tableColumn id="2" name="搜索词"/>
    <tableColumn id="3" name="中文翻译"/>
    <tableColumn id="4" name="搜索量"/>
    <tableColumn id="5" name="搜索转化率"/>
    <tableColumn id="6" name="90天增长"/>
    <tableColumn id="7" name="供给匹配分"/>
    <tableColumn id="8" name="需求分"/>
    <tableColumn id="9" name="价值机会分"/>
    <tableColumn id="10" name="机会等级"/>
    <tableColumn id="11" name="核心需求"/>
    <tableColumn id="12" name="广告动作"/>
    <tableColumn id="13" name="推荐匹配模式"/>
    <tableColumn id="14" name="Listing/视觉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FrequencyTable" displayName="TagFrequencyTable" ref="A1:K22">
  <tableColumns count="11">
    <tableColumn id="1" name="搜索需求分类"/>
    <tableColumn id="2" name="标签英文"/>
    <tableColumn id="3" name="标签中文"/>
    <tableColumn id="4" name="出现次数词频TF"/>
    <tableColumn id="5" name="搜索量加权词频"/>
    <tableColumn id="6" name="搜索量占比"/>
    <tableColumn id="7" name="平均转化率"/>
    <tableColumn id="8" name="90天平均增长"/>
    <tableColumn id="9" name="代表关键词"/>
    <tableColumn id="10" name="供给匹配建议"/>
    <tableColumn id="11" name="广告动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mandSupplyTable" displayName="DemandSupplyTable" ref="A1:I11">
  <tableColumns count="9">
    <tableColumn id="1" name="需求点"/>
    <tableColumn id="2" name="英文标签"/>
    <tableColumn id="3" name="关键词数"/>
    <tableColumn id="4" name="搜索量加权词频"/>
    <tableColumn id="5" name="平均转化率"/>
    <tableColumn id="6" name="平均供给匹配分"/>
    <tableColumn id="7" name="优先级"/>
    <tableColumn id="8" name="代表关键词"/>
    <tableColumn id="9" name="打法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StructureTable" displayName="AdStructureTable" ref="A1:I8">
  <tableColumns count="9">
    <tableColumn id="1" name="广告层级"/>
    <tableColumn id="2" name="Campaign主题"/>
    <tableColumn id="3" name="核心需求"/>
    <tableColumn id="4" name="关键词池"/>
    <tableColumn id="5" name="匹配模式"/>
    <tableColumn id="6" name="预算建议"/>
    <tableColumn id="7" name="目标指标"/>
    <tableColumn id="8" name="否词/注意事项"/>
    <tableColumn id="9" name="Listing承接要求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Table" displayName="CompetitorTable" ref="A1:F23">
  <tableColumns count="6">
    <tableColumn id="1" name="ASIN"/>
    <tableColumn id="2" name="品牌推断"/>
    <tableColumn id="3" name="出现次数"/>
    <tableColumn id="4" name="搜索量加权覆盖"/>
    <tableColumn id="5" name="代表关键词"/>
    <tableColumn id="6" name="Top标题摘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DictionaryTable" displayName="TagDictionaryTable" ref="A1:F14">
  <tableColumns count="6">
    <tableColumn id="1" name="一级分类"/>
    <tableColumn id="2" name="标签英文"/>
    <tableColumn id="3" name="标签中文"/>
    <tableColumn id="4" name="典型词根/规则"/>
    <tableColumn id="5" name="业务用途"/>
    <tableColumn id="6" name="打标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lesTable" displayName="RulesTable" ref="A1:B13">
  <tableColumns count="2">
    <tableColumn id="1" name="模块"/>
    <tableColumn id="2" name="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OriginalDataTable" displayName="OriginalDataTable" ref="A1:L41">
  <tableColumns count="12">
    <tableColumn id="1" name="搜索词"/>
    <tableColumn id="2" name="搜索量（过去 360 天）"/>
    <tableColumn id="3" name="搜索量增长（过去 90 天）"/>
    <tableColumn id="4" name="搜索量增长（过去 180 天）"/>
    <tableColumn id="5" name="点击份额（过去 360 天）"/>
    <tableColumn id="6" name="搜索转化率（过去 360 天）"/>
    <tableColumn id="7" name="点击率最高的商品1（标题）"/>
    <tableColumn id="8" name="点击率最高的商品1 (ASIN)"/>
    <tableColumn id="9" name="点击率最高的商品2（标题）"/>
    <tableColumn id="10" name="点击率最高的商品2 (ASIN)"/>
    <tableColumn id="11" name="点击率最高的商品3（标题）"/>
    <tableColumn id="12" name="点击率最高的商品3 (AS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opLeftCell="C1" workbookViewId="0">
      <selection activeCell="A1" sqref="A1:C1"/>
    </sheetView>
  </sheetViews>
  <sheetFormatPr defaultColWidth="9" defaultRowHeight="14.25"/>
  <cols>
    <col min="1" max="1" width="18" customWidth="1"/>
    <col min="2" max="2" width="20" customWidth="1"/>
    <col min="3" max="3" width="44" customWidth="1"/>
    <col min="5" max="5" width="28" customWidth="1"/>
    <col min="6" max="7" width="12" customWidth="1"/>
    <col min="8" max="8" width="14" customWidth="1"/>
    <col min="9" max="9" width="42" customWidth="1"/>
  </cols>
  <sheetData>
    <row r="1" ht="20.25" spans="1:12">
      <c r="A1" s="18" t="s">
        <v>0</v>
      </c>
      <c r="B1" t="s">
        <v>1</v>
      </c>
      <c r="C1" t="s">
        <v>1</v>
      </c>
    </row>
    <row r="2" spans="1:12">
      <c r="A2" s="19" t="s">
        <v>2</v>
      </c>
      <c r="B2" s="19" t="s">
        <v>3</v>
      </c>
      <c r="C2" s="19" t="s">
        <v>1</v>
      </c>
    </row>
    <row r="3" ht="37.5" spans="1:12">
      <c r="A3" s="19" t="s">
        <v>4</v>
      </c>
      <c r="B3" s="19" t="s">
        <v>5</v>
      </c>
      <c r="C3" s="19" t="s">
        <v>1</v>
      </c>
    </row>
    <row r="5" ht="15" spans="1:12">
      <c r="A5" s="20" t="s">
        <v>6</v>
      </c>
      <c r="B5" s="21" t="s">
        <v>7</v>
      </c>
      <c r="C5" s="22" t="s">
        <v>8</v>
      </c>
      <c r="E5" s="23" t="s">
        <v>9</v>
      </c>
      <c r="F5" s="23" t="s">
        <v>10</v>
      </c>
      <c r="G5" s="23" t="s">
        <v>11</v>
      </c>
      <c r="H5" s="23" t="s">
        <v>12</v>
      </c>
      <c r="I5" s="23" t="s">
        <v>13</v>
      </c>
      <c r="K5" s="24" t="s">
        <v>12</v>
      </c>
      <c r="L5" s="24" t="s">
        <v>14</v>
      </c>
    </row>
    <row r="6" ht="27.75" spans="1:12">
      <c r="A6" s="25" t="s">
        <v>15</v>
      </c>
      <c r="B6" s="26">
        <v>40</v>
      </c>
      <c r="C6" s="27" t="s">
        <v>16</v>
      </c>
      <c r="E6" s="28" t="s">
        <v>17</v>
      </c>
      <c r="F6" s="28">
        <v>326159</v>
      </c>
      <c r="G6" s="28">
        <v>77.7</v>
      </c>
      <c r="H6" s="28" t="s">
        <v>18</v>
      </c>
      <c r="I6" s="28" t="s">
        <v>19</v>
      </c>
      <c r="K6" t="s">
        <v>20</v>
      </c>
      <c r="L6">
        <v>15</v>
      </c>
    </row>
    <row r="7" ht="27.75" spans="1:12">
      <c r="A7" s="25" t="s">
        <v>21</v>
      </c>
      <c r="B7" s="26">
        <v>5106644</v>
      </c>
      <c r="C7" s="27" t="s">
        <v>22</v>
      </c>
      <c r="E7" s="28" t="s">
        <v>23</v>
      </c>
      <c r="F7" s="28">
        <v>60310</v>
      </c>
      <c r="G7" s="28">
        <v>71.3</v>
      </c>
      <c r="H7" s="28" t="s">
        <v>18</v>
      </c>
      <c r="I7" s="28" t="s">
        <v>19</v>
      </c>
      <c r="K7" t="s">
        <v>24</v>
      </c>
      <c r="L7">
        <v>10</v>
      </c>
    </row>
    <row r="8" spans="1:12">
      <c r="A8" s="25" t="s">
        <v>25</v>
      </c>
      <c r="B8" s="26">
        <v>2</v>
      </c>
      <c r="C8" s="27" t="s">
        <v>26</v>
      </c>
      <c r="E8" s="28" t="s">
        <v>27</v>
      </c>
      <c r="F8" s="28">
        <v>46642</v>
      </c>
      <c r="G8" s="28">
        <v>68.6</v>
      </c>
      <c r="H8" s="28" t="s">
        <v>20</v>
      </c>
      <c r="I8" s="28" t="s">
        <v>28</v>
      </c>
      <c r="K8" t="s">
        <v>29</v>
      </c>
      <c r="L8">
        <v>4</v>
      </c>
    </row>
    <row r="9" spans="1:12">
      <c r="A9" s="25" t="s">
        <v>30</v>
      </c>
      <c r="B9" s="26">
        <v>15</v>
      </c>
      <c r="C9" s="27" t="s">
        <v>31</v>
      </c>
      <c r="E9" s="28" t="s">
        <v>32</v>
      </c>
      <c r="F9" s="28">
        <v>43571</v>
      </c>
      <c r="G9" s="28">
        <v>68.5</v>
      </c>
      <c r="H9" s="28" t="s">
        <v>20</v>
      </c>
      <c r="I9" s="28" t="s">
        <v>28</v>
      </c>
      <c r="K9" t="s">
        <v>33</v>
      </c>
      <c r="L9">
        <v>4</v>
      </c>
    </row>
    <row r="10" spans="1:12">
      <c r="A10" s="25" t="s">
        <v>34</v>
      </c>
      <c r="B10" s="26">
        <v>6</v>
      </c>
      <c r="C10" s="27" t="s">
        <v>35</v>
      </c>
      <c r="E10" s="28" t="s">
        <v>36</v>
      </c>
      <c r="F10" s="28">
        <v>53415</v>
      </c>
      <c r="G10" s="28">
        <v>68.4</v>
      </c>
      <c r="H10" s="28" t="s">
        <v>20</v>
      </c>
      <c r="I10" s="28" t="s">
        <v>28</v>
      </c>
      <c r="K10" t="s">
        <v>37</v>
      </c>
      <c r="L10">
        <v>3</v>
      </c>
    </row>
    <row r="11" spans="1:12">
      <c r="A11" s="25" t="s">
        <v>33</v>
      </c>
      <c r="B11" s="26">
        <v>4</v>
      </c>
      <c r="C11" s="27" t="s">
        <v>38</v>
      </c>
      <c r="E11" s="28" t="s">
        <v>39</v>
      </c>
      <c r="F11" s="28">
        <v>82874</v>
      </c>
      <c r="G11" s="28">
        <v>68.2</v>
      </c>
      <c r="H11" s="28" t="s">
        <v>20</v>
      </c>
      <c r="I11" s="28" t="s">
        <v>28</v>
      </c>
      <c r="K11" t="s">
        <v>18</v>
      </c>
      <c r="L11">
        <v>2</v>
      </c>
    </row>
    <row r="12" spans="1:12">
      <c r="A12" s="25" t="s">
        <v>40</v>
      </c>
      <c r="B12" s="26">
        <v>13</v>
      </c>
      <c r="C12" s="27" t="s">
        <v>41</v>
      </c>
      <c r="E12" s="28" t="s">
        <v>42</v>
      </c>
      <c r="F12" s="28">
        <v>27601</v>
      </c>
      <c r="G12" s="28">
        <v>67.8</v>
      </c>
      <c r="H12" s="28" t="s">
        <v>20</v>
      </c>
      <c r="I12" s="28" t="s">
        <v>28</v>
      </c>
      <c r="K12" t="s">
        <v>43</v>
      </c>
      <c r="L12">
        <v>2</v>
      </c>
    </row>
    <row r="13" ht="28.5" spans="1:12">
      <c r="A13" s="25" t="s">
        <v>44</v>
      </c>
      <c r="B13" s="26" t="s">
        <v>45</v>
      </c>
      <c r="C13" s="27" t="s">
        <v>46</v>
      </c>
      <c r="E13" s="28" t="s">
        <v>47</v>
      </c>
      <c r="F13" s="28">
        <v>64708</v>
      </c>
      <c r="G13" s="28">
        <v>67.7</v>
      </c>
      <c r="H13" s="28" t="s">
        <v>20</v>
      </c>
      <c r="I13" s="28" t="s">
        <v>28</v>
      </c>
    </row>
    <row r="14" ht="56.25" spans="1:12">
      <c r="A14" s="29" t="s">
        <v>48</v>
      </c>
      <c r="B14" s="30" t="s">
        <v>49</v>
      </c>
      <c r="C14" s="31" t="s">
        <v>50</v>
      </c>
    </row>
  </sheetData>
  <mergeCells count="1">
    <mergeCell ref="A1:C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abSelected="1" workbookViewId="0">
      <selection activeCell="B3" sqref="B3"/>
    </sheetView>
  </sheetViews>
  <sheetFormatPr defaultColWidth="9" defaultRowHeight="14.25"/>
  <cols>
    <col min="1" max="1" width="6" customWidth="1"/>
    <col min="2" max="3" width="26" customWidth="1"/>
    <col min="4" max="4" width="10.5" customWidth="1"/>
    <col min="5" max="5" width="6.45833333333333" customWidth="1"/>
    <col min="6" max="6" width="7.26666666666667" customWidth="1"/>
    <col min="7" max="7" width="6.33333333333333" customWidth="1"/>
    <col min="8" max="8" width="7.94166666666667" customWidth="1"/>
    <col min="9" max="9" width="10.3583333333333" customWidth="1"/>
    <col min="10" max="10" width="20" customWidth="1"/>
    <col min="11" max="11" width="22" customWidth="1"/>
    <col min="12" max="12" width="34" customWidth="1"/>
    <col min="13" max="13" width="18" customWidth="1"/>
    <col min="14" max="14" width="28" customWidth="1"/>
    <col min="15" max="15" width="32" customWidth="1"/>
    <col min="16" max="17" width="22" customWidth="1"/>
    <col min="18" max="18" width="18" customWidth="1"/>
    <col min="19" max="19" width="7.13333333333333" customWidth="1"/>
    <col min="20" max="20" width="34" customWidth="1"/>
    <col min="21" max="21" width="22" customWidth="1"/>
    <col min="22" max="22" width="42" customWidth="1"/>
    <col min="23" max="23" width="7.94166666666667" customWidth="1"/>
    <col min="24" max="24" width="4.70833333333333" customWidth="1"/>
    <col min="25" max="25" width="7.94166666666667" customWidth="1"/>
    <col min="26" max="26" width="16" customWidth="1"/>
    <col min="27" max="27" width="38" customWidth="1"/>
    <col min="28" max="28" width="22" customWidth="1"/>
    <col min="29" max="30" width="46" customWidth="1"/>
    <col min="31" max="31" width="32" customWidth="1"/>
    <col min="32" max="32" width="44" customWidth="1"/>
  </cols>
  <sheetData>
    <row r="1" ht="15" customHeight="1" spans="1:32">
      <c r="A1" s="1" t="s">
        <v>51</v>
      </c>
      <c r="B1" s="2" t="s">
        <v>52</v>
      </c>
      <c r="C1" s="2" t="s">
        <v>53</v>
      </c>
      <c r="D1" s="2" t="s">
        <v>10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12</v>
      </c>
      <c r="AA1" s="2" t="s">
        <v>75</v>
      </c>
      <c r="AB1" s="2" t="s">
        <v>76</v>
      </c>
      <c r="AC1" s="2" t="s">
        <v>77</v>
      </c>
      <c r="AD1" s="2" t="s">
        <v>78</v>
      </c>
      <c r="AE1" s="2" t="s">
        <v>79</v>
      </c>
      <c r="AF1" s="3" t="s">
        <v>80</v>
      </c>
    </row>
    <row r="2" ht="15" customHeight="1" spans="1:32">
      <c r="A2" s="4">
        <v>1</v>
      </c>
      <c r="B2" s="16" t="s">
        <v>17</v>
      </c>
      <c r="C2" s="7" t="s">
        <v>81</v>
      </c>
      <c r="D2" s="5">
        <v>326159</v>
      </c>
      <c r="E2" s="6">
        <v>-0.0746</v>
      </c>
      <c r="F2" s="6">
        <v>-0.0804</v>
      </c>
      <c r="G2" s="6">
        <v>0.3544</v>
      </c>
      <c r="H2" s="6">
        <v>0.0194</v>
      </c>
      <c r="I2" s="7" t="s">
        <v>82</v>
      </c>
      <c r="J2" s="7" t="s">
        <v>83</v>
      </c>
      <c r="K2" s="7" t="s">
        <v>64</v>
      </c>
      <c r="L2" s="7" t="s">
        <v>84</v>
      </c>
      <c r="M2" s="7" t="s">
        <v>85</v>
      </c>
      <c r="N2" s="7" t="s">
        <v>86</v>
      </c>
      <c r="O2" s="7" t="s">
        <v>87</v>
      </c>
      <c r="P2" s="7" t="s">
        <v>85</v>
      </c>
      <c r="Q2" s="7" t="s">
        <v>85</v>
      </c>
      <c r="R2" s="7" t="s">
        <v>88</v>
      </c>
      <c r="S2" s="7" t="s">
        <v>89</v>
      </c>
      <c r="T2" s="7" t="s">
        <v>90</v>
      </c>
      <c r="U2" s="7" t="s">
        <v>91</v>
      </c>
      <c r="V2" s="7" t="s">
        <v>92</v>
      </c>
      <c r="W2" s="14">
        <v>3</v>
      </c>
      <c r="X2" s="14">
        <f t="shared" ref="X2:X41" si="0">ROUND(MIN(100,(LOG(D2+1)/LOG(MAX($D$2:$D$41)+1))*45+(H2/MAX($H$2:$H$41))*25+(G2/MAX($G$2:$G$41))*15+MAX(0,50+E2*100)*0.15),1)</f>
        <v>68.6</v>
      </c>
      <c r="Y2" s="14">
        <f t="shared" ref="Y2:Y41" si="1">ROUND(MAX(0,MIN(100,X2*0.55+(W2/3)*30+IF(ISNUMBER(SEARCH("spot",B2)),10,IF(OR(ISNUMBER(SEARCH("sofa",B2)),ISNUMBER(SEARCH("upholstery",B2))),8,5))-IF(ISNUMBER(SEARCH("vax",B2)),8,0)-IF(W2=0,18,0))),1)</f>
        <v>77.7</v>
      </c>
      <c r="Z2" s="7" t="s">
        <v>18</v>
      </c>
      <c r="AA2" s="7" t="s">
        <v>19</v>
      </c>
      <c r="AB2" s="7" t="s">
        <v>93</v>
      </c>
      <c r="AC2" s="7" t="s">
        <v>94</v>
      </c>
      <c r="AD2" s="7" t="s">
        <v>95</v>
      </c>
      <c r="AE2" s="7" t="s">
        <v>96</v>
      </c>
      <c r="AF2" s="8" t="s">
        <v>97</v>
      </c>
    </row>
    <row r="3" ht="15" customHeight="1" spans="1:32">
      <c r="A3" s="4">
        <v>2</v>
      </c>
      <c r="B3" s="16" t="s">
        <v>39</v>
      </c>
      <c r="C3" s="7" t="s">
        <v>98</v>
      </c>
      <c r="D3" s="5">
        <v>82874</v>
      </c>
      <c r="E3" s="6">
        <v>-0.3032</v>
      </c>
      <c r="F3" s="6">
        <v>-0.1813</v>
      </c>
      <c r="G3" s="6">
        <v>0.0666</v>
      </c>
      <c r="H3" s="6">
        <v>0.0192</v>
      </c>
      <c r="I3" s="7" t="s">
        <v>82</v>
      </c>
      <c r="J3" s="7" t="s">
        <v>83</v>
      </c>
      <c r="K3" s="7" t="s">
        <v>63</v>
      </c>
      <c r="L3" s="7" t="s">
        <v>99</v>
      </c>
      <c r="M3" s="7" t="s">
        <v>85</v>
      </c>
      <c r="N3" s="7" t="s">
        <v>100</v>
      </c>
      <c r="O3" s="7" t="s">
        <v>101</v>
      </c>
      <c r="P3" s="7" t="s">
        <v>85</v>
      </c>
      <c r="Q3" s="7" t="s">
        <v>85</v>
      </c>
      <c r="R3" s="7" t="s">
        <v>88</v>
      </c>
      <c r="S3" s="7" t="s">
        <v>89</v>
      </c>
      <c r="T3" s="7" t="s">
        <v>102</v>
      </c>
      <c r="U3" s="7" t="s">
        <v>103</v>
      </c>
      <c r="V3" s="7" t="s">
        <v>104</v>
      </c>
      <c r="W3" s="14">
        <v>3</v>
      </c>
      <c r="X3" s="14">
        <f t="shared" si="0"/>
        <v>51.3</v>
      </c>
      <c r="Y3" s="14">
        <f t="shared" si="1"/>
        <v>66.2</v>
      </c>
      <c r="Z3" s="7" t="s">
        <v>20</v>
      </c>
      <c r="AA3" s="7" t="s">
        <v>28</v>
      </c>
      <c r="AB3" s="7" t="s">
        <v>105</v>
      </c>
      <c r="AC3" s="7" t="s">
        <v>106</v>
      </c>
      <c r="AD3" s="7" t="s">
        <v>95</v>
      </c>
      <c r="AE3" s="7" t="s">
        <v>96</v>
      </c>
      <c r="AF3" s="8" t="s">
        <v>97</v>
      </c>
    </row>
    <row r="4" ht="15" customHeight="1" spans="1:32">
      <c r="A4" s="4">
        <v>3</v>
      </c>
      <c r="B4" s="16" t="s">
        <v>107</v>
      </c>
      <c r="C4" s="7" t="s">
        <v>108</v>
      </c>
      <c r="D4" s="5">
        <v>60609</v>
      </c>
      <c r="E4" s="6">
        <v>-0.2983</v>
      </c>
      <c r="F4" s="6">
        <v>0.1796</v>
      </c>
      <c r="G4" s="6">
        <v>0.056</v>
      </c>
      <c r="H4" s="6">
        <v>0.0202</v>
      </c>
      <c r="I4" s="7" t="s">
        <v>109</v>
      </c>
      <c r="J4" s="7" t="s">
        <v>83</v>
      </c>
      <c r="K4" s="7" t="s">
        <v>110</v>
      </c>
      <c r="L4" s="7" t="s">
        <v>111</v>
      </c>
      <c r="M4" s="7" t="s">
        <v>85</v>
      </c>
      <c r="N4" s="7" t="s">
        <v>112</v>
      </c>
      <c r="O4" s="7" t="s">
        <v>113</v>
      </c>
      <c r="P4" s="7" t="s">
        <v>114</v>
      </c>
      <c r="Q4" s="7" t="s">
        <v>114</v>
      </c>
      <c r="R4" s="7" t="s">
        <v>88</v>
      </c>
      <c r="S4" s="7" t="s">
        <v>89</v>
      </c>
      <c r="T4" s="7" t="s">
        <v>115</v>
      </c>
      <c r="U4" s="7" t="s">
        <v>116</v>
      </c>
      <c r="V4" s="7" t="s">
        <v>117</v>
      </c>
      <c r="W4" s="14">
        <v>3</v>
      </c>
      <c r="X4" s="14">
        <f t="shared" si="0"/>
        <v>50.6</v>
      </c>
      <c r="Y4" s="14">
        <f t="shared" si="1"/>
        <v>62.8</v>
      </c>
      <c r="Z4" s="7" t="s">
        <v>20</v>
      </c>
      <c r="AA4" s="7" t="s">
        <v>28</v>
      </c>
      <c r="AB4" s="7" t="s">
        <v>105</v>
      </c>
      <c r="AC4" s="7" t="s">
        <v>118</v>
      </c>
      <c r="AD4" s="7" t="s">
        <v>119</v>
      </c>
      <c r="AE4" s="7" t="s">
        <v>96</v>
      </c>
      <c r="AF4" s="8" t="s">
        <v>120</v>
      </c>
    </row>
    <row r="5" ht="15" customHeight="1" spans="1:32">
      <c r="A5" s="4">
        <v>4</v>
      </c>
      <c r="B5" s="16" t="s">
        <v>47</v>
      </c>
      <c r="C5" s="7" t="s">
        <v>121</v>
      </c>
      <c r="D5" s="5">
        <v>64708</v>
      </c>
      <c r="E5" s="6">
        <v>-0.2324</v>
      </c>
      <c r="F5" s="6">
        <v>-0.136</v>
      </c>
      <c r="G5" s="6">
        <v>0.0623</v>
      </c>
      <c r="H5" s="6">
        <v>0.0171</v>
      </c>
      <c r="I5" s="7" t="s">
        <v>122</v>
      </c>
      <c r="J5" s="7" t="s">
        <v>83</v>
      </c>
      <c r="K5" s="7" t="s">
        <v>63</v>
      </c>
      <c r="L5" s="7" t="s">
        <v>123</v>
      </c>
      <c r="M5" s="7" t="s">
        <v>85</v>
      </c>
      <c r="N5" s="7" t="s">
        <v>124</v>
      </c>
      <c r="O5" s="7" t="s">
        <v>101</v>
      </c>
      <c r="P5" s="7" t="s">
        <v>85</v>
      </c>
      <c r="Q5" s="7" t="s">
        <v>85</v>
      </c>
      <c r="R5" s="7" t="s">
        <v>88</v>
      </c>
      <c r="S5" s="7" t="s">
        <v>89</v>
      </c>
      <c r="T5" s="7" t="s">
        <v>125</v>
      </c>
      <c r="U5" s="7" t="s">
        <v>103</v>
      </c>
      <c r="V5" s="7" t="s">
        <v>126</v>
      </c>
      <c r="W5" s="14">
        <v>3</v>
      </c>
      <c r="X5" s="14">
        <f t="shared" si="0"/>
        <v>50.3</v>
      </c>
      <c r="Y5" s="14">
        <f t="shared" si="1"/>
        <v>65.7</v>
      </c>
      <c r="Z5" s="7" t="s">
        <v>20</v>
      </c>
      <c r="AA5" s="7" t="s">
        <v>28</v>
      </c>
      <c r="AB5" s="7" t="s">
        <v>105</v>
      </c>
      <c r="AC5" s="7" t="s">
        <v>127</v>
      </c>
      <c r="AD5" s="7" t="s">
        <v>95</v>
      </c>
      <c r="AE5" s="7" t="s">
        <v>96</v>
      </c>
      <c r="AF5" s="8" t="s">
        <v>128</v>
      </c>
    </row>
    <row r="6" ht="15" customHeight="1" spans="1:32">
      <c r="A6" s="4">
        <v>5</v>
      </c>
      <c r="B6" s="7" t="s">
        <v>129</v>
      </c>
      <c r="C6" s="7" t="s">
        <v>108</v>
      </c>
      <c r="D6" s="5">
        <v>61829</v>
      </c>
      <c r="E6" s="6">
        <v>-0.2435</v>
      </c>
      <c r="F6" s="6">
        <v>-0.1276</v>
      </c>
      <c r="G6" s="6">
        <v>0.0533</v>
      </c>
      <c r="H6" s="6">
        <v>0.0197</v>
      </c>
      <c r="I6" s="7" t="s">
        <v>82</v>
      </c>
      <c r="J6" s="7" t="s">
        <v>83</v>
      </c>
      <c r="K6" s="7" t="s">
        <v>110</v>
      </c>
      <c r="L6" s="7" t="s">
        <v>111</v>
      </c>
      <c r="M6" s="7" t="s">
        <v>85</v>
      </c>
      <c r="N6" s="7" t="s">
        <v>112</v>
      </c>
      <c r="O6" s="7" t="s">
        <v>113</v>
      </c>
      <c r="P6" s="7" t="s">
        <v>114</v>
      </c>
      <c r="Q6" s="7" t="s">
        <v>114</v>
      </c>
      <c r="R6" s="7" t="s">
        <v>88</v>
      </c>
      <c r="S6" s="7" t="s">
        <v>89</v>
      </c>
      <c r="T6" s="7" t="s">
        <v>115</v>
      </c>
      <c r="U6" s="7" t="s">
        <v>116</v>
      </c>
      <c r="V6" s="7" t="s">
        <v>117</v>
      </c>
      <c r="W6" s="14">
        <v>3</v>
      </c>
      <c r="X6" s="14">
        <f t="shared" si="0"/>
        <v>51.1</v>
      </c>
      <c r="Y6" s="14">
        <f t="shared" si="1"/>
        <v>63.1</v>
      </c>
      <c r="Z6" s="7" t="s">
        <v>20</v>
      </c>
      <c r="AA6" s="7" t="s">
        <v>28</v>
      </c>
      <c r="AB6" s="7" t="s">
        <v>105</v>
      </c>
      <c r="AC6" s="7" t="s">
        <v>118</v>
      </c>
      <c r="AD6" s="7" t="s">
        <v>130</v>
      </c>
      <c r="AE6" s="7" t="s">
        <v>96</v>
      </c>
      <c r="AF6" s="8" t="s">
        <v>97</v>
      </c>
    </row>
    <row r="7" ht="15" customHeight="1" spans="1:32">
      <c r="A7" s="4">
        <v>6</v>
      </c>
      <c r="B7" s="7" t="s">
        <v>23</v>
      </c>
      <c r="C7" s="7" t="s">
        <v>131</v>
      </c>
      <c r="D7" s="5">
        <v>60310</v>
      </c>
      <c r="E7" s="6">
        <v>-0.2343</v>
      </c>
      <c r="F7" s="6">
        <v>-0.1409</v>
      </c>
      <c r="G7" s="6">
        <v>0.0567</v>
      </c>
      <c r="H7" s="6">
        <v>0.0298</v>
      </c>
      <c r="I7" s="7" t="s">
        <v>82</v>
      </c>
      <c r="J7" s="7" t="s">
        <v>83</v>
      </c>
      <c r="K7" s="7" t="s">
        <v>132</v>
      </c>
      <c r="L7" s="7" t="s">
        <v>133</v>
      </c>
      <c r="M7" s="7" t="s">
        <v>85</v>
      </c>
      <c r="N7" s="7" t="s">
        <v>112</v>
      </c>
      <c r="O7" s="7" t="s">
        <v>87</v>
      </c>
      <c r="P7" s="7" t="s">
        <v>85</v>
      </c>
      <c r="Q7" s="7" t="s">
        <v>85</v>
      </c>
      <c r="R7" s="7" t="s">
        <v>88</v>
      </c>
      <c r="S7" s="7" t="s">
        <v>89</v>
      </c>
      <c r="T7" s="7" t="s">
        <v>90</v>
      </c>
      <c r="U7" s="7" t="s">
        <v>91</v>
      </c>
      <c r="V7" s="7" t="s">
        <v>134</v>
      </c>
      <c r="W7" s="14">
        <v>3</v>
      </c>
      <c r="X7" s="14">
        <f t="shared" si="0"/>
        <v>57</v>
      </c>
      <c r="Y7" s="14">
        <f t="shared" si="1"/>
        <v>71.4</v>
      </c>
      <c r="Z7" s="7" t="s">
        <v>18</v>
      </c>
      <c r="AA7" s="7" t="s">
        <v>19</v>
      </c>
      <c r="AB7" s="7" t="s">
        <v>93</v>
      </c>
      <c r="AC7" s="7" t="s">
        <v>94</v>
      </c>
      <c r="AD7" s="7" t="s">
        <v>95</v>
      </c>
      <c r="AE7" s="7" t="s">
        <v>96</v>
      </c>
      <c r="AF7" s="8" t="s">
        <v>97</v>
      </c>
    </row>
    <row r="8" ht="15" customHeight="1" spans="1:32">
      <c r="A8" s="4">
        <v>7</v>
      </c>
      <c r="B8" s="7" t="s">
        <v>36</v>
      </c>
      <c r="C8" s="7" t="s">
        <v>135</v>
      </c>
      <c r="D8" s="5">
        <v>53415</v>
      </c>
      <c r="E8" s="6">
        <v>-0.1814</v>
      </c>
      <c r="F8" s="6">
        <v>-0.1288</v>
      </c>
      <c r="G8" s="6">
        <v>0.0445</v>
      </c>
      <c r="H8" s="6">
        <v>0.0203</v>
      </c>
      <c r="I8" s="7" t="s">
        <v>82</v>
      </c>
      <c r="J8" s="7" t="s">
        <v>83</v>
      </c>
      <c r="K8" s="7" t="s">
        <v>132</v>
      </c>
      <c r="L8" s="7" t="s">
        <v>133</v>
      </c>
      <c r="M8" s="7" t="s">
        <v>85</v>
      </c>
      <c r="N8" s="7" t="s">
        <v>112</v>
      </c>
      <c r="O8" s="7" t="s">
        <v>87</v>
      </c>
      <c r="P8" s="7" t="s">
        <v>85</v>
      </c>
      <c r="Q8" s="7" t="s">
        <v>85</v>
      </c>
      <c r="R8" s="7" t="s">
        <v>88</v>
      </c>
      <c r="S8" s="7" t="s">
        <v>89</v>
      </c>
      <c r="T8" s="7" t="s">
        <v>90</v>
      </c>
      <c r="U8" s="7" t="s">
        <v>91</v>
      </c>
      <c r="V8" s="7" t="s">
        <v>134</v>
      </c>
      <c r="W8" s="14">
        <v>3</v>
      </c>
      <c r="X8" s="14">
        <f t="shared" si="0"/>
        <v>51.6</v>
      </c>
      <c r="Y8" s="14">
        <f t="shared" si="1"/>
        <v>68.4</v>
      </c>
      <c r="Z8" s="7" t="s">
        <v>20</v>
      </c>
      <c r="AA8" s="7" t="s">
        <v>28</v>
      </c>
      <c r="AB8" s="7" t="s">
        <v>105</v>
      </c>
      <c r="AC8" s="7" t="s">
        <v>94</v>
      </c>
      <c r="AD8" s="7" t="s">
        <v>95</v>
      </c>
      <c r="AE8" s="7" t="s">
        <v>96</v>
      </c>
      <c r="AF8" s="8" t="s">
        <v>97</v>
      </c>
    </row>
    <row r="9" ht="15" customHeight="1" spans="1:32">
      <c r="A9" s="4">
        <v>8</v>
      </c>
      <c r="B9" s="7" t="s">
        <v>136</v>
      </c>
      <c r="C9" s="7" t="s">
        <v>137</v>
      </c>
      <c r="D9" s="5">
        <v>62615</v>
      </c>
      <c r="E9" s="6">
        <v>-0.49</v>
      </c>
      <c r="F9" s="6">
        <v>0.0372</v>
      </c>
      <c r="G9" s="6">
        <v>0.0485</v>
      </c>
      <c r="H9" s="6">
        <v>0.0208</v>
      </c>
      <c r="I9" s="7" t="s">
        <v>82</v>
      </c>
      <c r="J9" s="7" t="s">
        <v>83</v>
      </c>
      <c r="K9" s="7" t="s">
        <v>132</v>
      </c>
      <c r="L9" s="7" t="s">
        <v>133</v>
      </c>
      <c r="M9" s="7" t="s">
        <v>85</v>
      </c>
      <c r="N9" s="7" t="s">
        <v>112</v>
      </c>
      <c r="O9" s="7" t="s">
        <v>87</v>
      </c>
      <c r="P9" s="7" t="s">
        <v>85</v>
      </c>
      <c r="Q9" s="7" t="s">
        <v>85</v>
      </c>
      <c r="R9" s="7" t="s">
        <v>88</v>
      </c>
      <c r="S9" s="7" t="s">
        <v>89</v>
      </c>
      <c r="T9" s="7" t="s">
        <v>90</v>
      </c>
      <c r="U9" s="7" t="s">
        <v>91</v>
      </c>
      <c r="V9" s="7" t="s">
        <v>134</v>
      </c>
      <c r="W9" s="14">
        <v>3</v>
      </c>
      <c r="X9" s="14">
        <f t="shared" si="0"/>
        <v>47.9</v>
      </c>
      <c r="Y9" s="14">
        <f t="shared" si="1"/>
        <v>66.3</v>
      </c>
      <c r="Z9" s="7" t="s">
        <v>20</v>
      </c>
      <c r="AA9" s="7" t="s">
        <v>28</v>
      </c>
      <c r="AB9" s="7" t="s">
        <v>105</v>
      </c>
      <c r="AC9" s="7" t="s">
        <v>94</v>
      </c>
      <c r="AD9" s="7" t="s">
        <v>95</v>
      </c>
      <c r="AE9" s="7" t="s">
        <v>96</v>
      </c>
      <c r="AF9" s="8" t="s">
        <v>97</v>
      </c>
    </row>
    <row r="10" ht="15" customHeight="1" spans="1:32">
      <c r="A10" s="4">
        <v>9</v>
      </c>
      <c r="B10" s="7" t="s">
        <v>27</v>
      </c>
      <c r="C10" s="7" t="s">
        <v>138</v>
      </c>
      <c r="D10" s="5">
        <v>46642</v>
      </c>
      <c r="E10" s="6">
        <v>-0.2314</v>
      </c>
      <c r="F10" s="6">
        <v>-0.227</v>
      </c>
      <c r="G10" s="6">
        <v>0.0463</v>
      </c>
      <c r="H10" s="6">
        <v>0.0229</v>
      </c>
      <c r="I10" s="7" t="s">
        <v>109</v>
      </c>
      <c r="J10" s="7" t="s">
        <v>83</v>
      </c>
      <c r="K10" s="7" t="s">
        <v>64</v>
      </c>
      <c r="L10" s="7" t="s">
        <v>84</v>
      </c>
      <c r="M10" s="7" t="s">
        <v>85</v>
      </c>
      <c r="N10" s="7" t="s">
        <v>86</v>
      </c>
      <c r="O10" s="7" t="s">
        <v>139</v>
      </c>
      <c r="P10" s="7" t="s">
        <v>85</v>
      </c>
      <c r="Q10" s="7" t="s">
        <v>85</v>
      </c>
      <c r="R10" s="7" t="s">
        <v>88</v>
      </c>
      <c r="S10" s="7" t="s">
        <v>89</v>
      </c>
      <c r="T10" s="7" t="s">
        <v>140</v>
      </c>
      <c r="U10" s="7" t="s">
        <v>91</v>
      </c>
      <c r="V10" s="7" t="s">
        <v>92</v>
      </c>
      <c r="W10" s="14">
        <v>3</v>
      </c>
      <c r="X10" s="14">
        <f t="shared" si="0"/>
        <v>52</v>
      </c>
      <c r="Y10" s="14">
        <f t="shared" si="1"/>
        <v>68.6</v>
      </c>
      <c r="Z10" s="7" t="s">
        <v>20</v>
      </c>
      <c r="AA10" s="7" t="s">
        <v>28</v>
      </c>
      <c r="AB10" s="7" t="s">
        <v>105</v>
      </c>
      <c r="AC10" s="7" t="s">
        <v>141</v>
      </c>
      <c r="AD10" s="7" t="s">
        <v>95</v>
      </c>
      <c r="AE10" s="7" t="s">
        <v>96</v>
      </c>
      <c r="AF10" s="8" t="s">
        <v>120</v>
      </c>
    </row>
    <row r="11" ht="15" customHeight="1" spans="1:32">
      <c r="A11" s="4">
        <v>10</v>
      </c>
      <c r="B11" s="7" t="s">
        <v>32</v>
      </c>
      <c r="C11" s="7" t="s">
        <v>142</v>
      </c>
      <c r="D11" s="5">
        <v>43571</v>
      </c>
      <c r="E11" s="6">
        <v>-0.2028</v>
      </c>
      <c r="F11" s="6">
        <v>-0.1725</v>
      </c>
      <c r="G11" s="6">
        <v>0.0372</v>
      </c>
      <c r="H11" s="6">
        <v>0.0228</v>
      </c>
      <c r="I11" s="7" t="s">
        <v>143</v>
      </c>
      <c r="J11" s="7" t="s">
        <v>83</v>
      </c>
      <c r="K11" s="7" t="s">
        <v>132</v>
      </c>
      <c r="L11" s="7" t="s">
        <v>133</v>
      </c>
      <c r="M11" s="7" t="s">
        <v>85</v>
      </c>
      <c r="N11" s="7" t="s">
        <v>112</v>
      </c>
      <c r="O11" s="7" t="s">
        <v>139</v>
      </c>
      <c r="P11" s="7" t="s">
        <v>85</v>
      </c>
      <c r="Q11" s="7" t="s">
        <v>85</v>
      </c>
      <c r="R11" s="7" t="s">
        <v>88</v>
      </c>
      <c r="S11" s="7" t="s">
        <v>89</v>
      </c>
      <c r="T11" s="7" t="s">
        <v>140</v>
      </c>
      <c r="U11" s="7" t="s">
        <v>91</v>
      </c>
      <c r="V11" s="7" t="s">
        <v>134</v>
      </c>
      <c r="W11" s="14">
        <v>3</v>
      </c>
      <c r="X11" s="14">
        <f t="shared" si="0"/>
        <v>51.9</v>
      </c>
      <c r="Y11" s="14">
        <f t="shared" si="1"/>
        <v>68.5</v>
      </c>
      <c r="Z11" s="7" t="s">
        <v>20</v>
      </c>
      <c r="AA11" s="7" t="s">
        <v>28</v>
      </c>
      <c r="AB11" s="7" t="s">
        <v>105</v>
      </c>
      <c r="AC11" s="7" t="s">
        <v>141</v>
      </c>
      <c r="AD11" s="7" t="s">
        <v>95</v>
      </c>
      <c r="AE11" s="7" t="s">
        <v>96</v>
      </c>
      <c r="AF11" s="8" t="s">
        <v>144</v>
      </c>
    </row>
    <row r="12" ht="15" customHeight="1" spans="1:32">
      <c r="A12" s="4">
        <v>11</v>
      </c>
      <c r="B12" s="7" t="s">
        <v>145</v>
      </c>
      <c r="C12" s="7" t="s">
        <v>146</v>
      </c>
      <c r="D12" s="5">
        <v>36238</v>
      </c>
      <c r="E12" s="6">
        <v>-0.1709</v>
      </c>
      <c r="F12" s="6">
        <v>-0.0924</v>
      </c>
      <c r="G12" s="6">
        <v>0.0273</v>
      </c>
      <c r="H12" s="6">
        <v>0.0152</v>
      </c>
      <c r="I12" s="7" t="s">
        <v>109</v>
      </c>
      <c r="J12" s="7" t="s">
        <v>147</v>
      </c>
      <c r="K12" s="7" t="s">
        <v>110</v>
      </c>
      <c r="L12" s="7" t="s">
        <v>111</v>
      </c>
      <c r="M12" s="7" t="s">
        <v>85</v>
      </c>
      <c r="N12" s="7" t="s">
        <v>112</v>
      </c>
      <c r="O12" s="7" t="s">
        <v>101</v>
      </c>
      <c r="P12" s="7" t="s">
        <v>148</v>
      </c>
      <c r="Q12" s="7" t="s">
        <v>148</v>
      </c>
      <c r="R12" s="7" t="s">
        <v>88</v>
      </c>
      <c r="S12" s="7" t="s">
        <v>89</v>
      </c>
      <c r="T12" s="7" t="s">
        <v>115</v>
      </c>
      <c r="U12" s="7" t="s">
        <v>116</v>
      </c>
      <c r="V12" s="7" t="s">
        <v>149</v>
      </c>
      <c r="W12" s="14">
        <v>3</v>
      </c>
      <c r="X12" s="14">
        <f t="shared" si="0"/>
        <v>47.1</v>
      </c>
      <c r="Y12" s="14">
        <f t="shared" si="1"/>
        <v>60.9</v>
      </c>
      <c r="Z12" s="7" t="s">
        <v>20</v>
      </c>
      <c r="AA12" s="7" t="s">
        <v>28</v>
      </c>
      <c r="AB12" s="7" t="s">
        <v>105</v>
      </c>
      <c r="AC12" s="7" t="s">
        <v>150</v>
      </c>
      <c r="AD12" s="7" t="s">
        <v>130</v>
      </c>
      <c r="AE12" s="7" t="s">
        <v>96</v>
      </c>
      <c r="AF12" s="8" t="s">
        <v>120</v>
      </c>
    </row>
    <row r="13" ht="15" customHeight="1" spans="1:32">
      <c r="A13" s="4">
        <v>12</v>
      </c>
      <c r="B13" s="7" t="s">
        <v>42</v>
      </c>
      <c r="C13" s="7" t="s">
        <v>151</v>
      </c>
      <c r="D13" s="5">
        <v>27601</v>
      </c>
      <c r="E13" s="6">
        <v>-0.0973</v>
      </c>
      <c r="F13" s="6">
        <v>-0.1352</v>
      </c>
      <c r="G13" s="6">
        <v>0.0274</v>
      </c>
      <c r="H13" s="6">
        <v>0.0209</v>
      </c>
      <c r="I13" s="7" t="s">
        <v>82</v>
      </c>
      <c r="J13" s="7" t="s">
        <v>83</v>
      </c>
      <c r="K13" s="7" t="s">
        <v>64</v>
      </c>
      <c r="L13" s="7" t="s">
        <v>84</v>
      </c>
      <c r="M13" s="7" t="s">
        <v>85</v>
      </c>
      <c r="N13" s="7" t="s">
        <v>86</v>
      </c>
      <c r="O13" s="7" t="s">
        <v>139</v>
      </c>
      <c r="P13" s="7" t="s">
        <v>85</v>
      </c>
      <c r="Q13" s="7" t="s">
        <v>85</v>
      </c>
      <c r="R13" s="7" t="s">
        <v>88</v>
      </c>
      <c r="S13" s="7" t="s">
        <v>89</v>
      </c>
      <c r="T13" s="7" t="s">
        <v>140</v>
      </c>
      <c r="U13" s="7" t="s">
        <v>91</v>
      </c>
      <c r="V13" s="7" t="s">
        <v>92</v>
      </c>
      <c r="W13" s="14">
        <v>3</v>
      </c>
      <c r="X13" s="14">
        <f t="shared" si="0"/>
        <v>50.6</v>
      </c>
      <c r="Y13" s="14">
        <f t="shared" si="1"/>
        <v>67.8</v>
      </c>
      <c r="Z13" s="7" t="s">
        <v>20</v>
      </c>
      <c r="AA13" s="7" t="s">
        <v>28</v>
      </c>
      <c r="AB13" s="7" t="s">
        <v>105</v>
      </c>
      <c r="AC13" s="7" t="s">
        <v>141</v>
      </c>
      <c r="AD13" s="7" t="s">
        <v>95</v>
      </c>
      <c r="AE13" s="7" t="s">
        <v>96</v>
      </c>
      <c r="AF13" s="8" t="s">
        <v>97</v>
      </c>
    </row>
    <row r="14" ht="15" customHeight="1" spans="1:32">
      <c r="A14" s="4">
        <v>13</v>
      </c>
      <c r="B14" s="7" t="s">
        <v>152</v>
      </c>
      <c r="C14" s="7" t="s">
        <v>153</v>
      </c>
      <c r="D14" s="5">
        <v>20424</v>
      </c>
      <c r="E14" s="6">
        <v>-0.0422</v>
      </c>
      <c r="F14" s="6">
        <v>-0.0936</v>
      </c>
      <c r="G14" s="6">
        <v>0.0173</v>
      </c>
      <c r="H14" s="6">
        <v>0.0138</v>
      </c>
      <c r="I14" s="7" t="s">
        <v>82</v>
      </c>
      <c r="J14" s="7" t="s">
        <v>147</v>
      </c>
      <c r="K14" s="7" t="s">
        <v>154</v>
      </c>
      <c r="L14" s="7" t="s">
        <v>111</v>
      </c>
      <c r="M14" s="7" t="s">
        <v>85</v>
      </c>
      <c r="N14" s="7" t="s">
        <v>155</v>
      </c>
      <c r="O14" s="7" t="s">
        <v>101</v>
      </c>
      <c r="P14" s="7" t="s">
        <v>85</v>
      </c>
      <c r="Q14" s="7" t="s">
        <v>85</v>
      </c>
      <c r="R14" s="7" t="s">
        <v>88</v>
      </c>
      <c r="S14" s="7" t="s">
        <v>89</v>
      </c>
      <c r="T14" s="7" t="s">
        <v>156</v>
      </c>
      <c r="U14" s="7" t="s">
        <v>103</v>
      </c>
      <c r="V14" s="7" t="s">
        <v>157</v>
      </c>
      <c r="W14" s="14">
        <v>3</v>
      </c>
      <c r="X14" s="14">
        <f t="shared" si="0"/>
        <v>46.2</v>
      </c>
      <c r="Y14" s="14">
        <f t="shared" si="1"/>
        <v>60.4</v>
      </c>
      <c r="Z14" s="7" t="s">
        <v>20</v>
      </c>
      <c r="AA14" s="7" t="s">
        <v>28</v>
      </c>
      <c r="AB14" s="7" t="s">
        <v>105</v>
      </c>
      <c r="AC14" s="7" t="s">
        <v>158</v>
      </c>
      <c r="AD14" s="7" t="s">
        <v>119</v>
      </c>
      <c r="AE14" s="7" t="s">
        <v>96</v>
      </c>
      <c r="AF14" s="8" t="s">
        <v>97</v>
      </c>
    </row>
    <row r="15" ht="15" customHeight="1" spans="1:32">
      <c r="A15" s="4">
        <v>14</v>
      </c>
      <c r="B15" s="7" t="s">
        <v>159</v>
      </c>
      <c r="C15" s="7" t="s">
        <v>160</v>
      </c>
      <c r="D15" s="5">
        <v>21060</v>
      </c>
      <c r="E15" s="6">
        <v>-0.2058</v>
      </c>
      <c r="F15" s="6">
        <v>-0.1234</v>
      </c>
      <c r="G15" s="6">
        <v>0.0125</v>
      </c>
      <c r="H15" s="6">
        <v>0.0105</v>
      </c>
      <c r="I15" s="7" t="s">
        <v>82</v>
      </c>
      <c r="J15" s="7" t="s">
        <v>161</v>
      </c>
      <c r="K15" s="7" t="s">
        <v>63</v>
      </c>
      <c r="L15" s="7" t="s">
        <v>162</v>
      </c>
      <c r="M15" s="7" t="s">
        <v>85</v>
      </c>
      <c r="N15" s="7" t="s">
        <v>163</v>
      </c>
      <c r="O15" s="7" t="s">
        <v>101</v>
      </c>
      <c r="P15" s="7" t="s">
        <v>85</v>
      </c>
      <c r="Q15" s="7" t="s">
        <v>85</v>
      </c>
      <c r="R15" s="7" t="s">
        <v>88</v>
      </c>
      <c r="S15" s="7" t="s">
        <v>89</v>
      </c>
      <c r="T15" s="7" t="s">
        <v>115</v>
      </c>
      <c r="U15" s="7" t="s">
        <v>103</v>
      </c>
      <c r="V15" s="7" t="s">
        <v>164</v>
      </c>
      <c r="W15" s="14">
        <v>1</v>
      </c>
      <c r="X15" s="14">
        <f t="shared" si="0"/>
        <v>41.8</v>
      </c>
      <c r="Y15" s="14">
        <f t="shared" si="1"/>
        <v>38</v>
      </c>
      <c r="Z15" s="7" t="s">
        <v>24</v>
      </c>
      <c r="AA15" s="7" t="s">
        <v>165</v>
      </c>
      <c r="AB15" s="7" t="s">
        <v>166</v>
      </c>
      <c r="AC15" s="7" t="s">
        <v>167</v>
      </c>
      <c r="AD15" s="7" t="s">
        <v>168</v>
      </c>
      <c r="AE15" s="7" t="s">
        <v>96</v>
      </c>
      <c r="AF15" s="8" t="s">
        <v>97</v>
      </c>
    </row>
    <row r="16" ht="15" customHeight="1" spans="1:32">
      <c r="A16" s="4">
        <v>15</v>
      </c>
      <c r="B16" s="7" t="s">
        <v>169</v>
      </c>
      <c r="C16" s="7" t="s">
        <v>170</v>
      </c>
      <c r="D16" s="5">
        <v>11015</v>
      </c>
      <c r="E16" s="6">
        <v>-0.1677</v>
      </c>
      <c r="F16" s="6">
        <v>5.483</v>
      </c>
      <c r="G16" s="6">
        <v>0.0131</v>
      </c>
      <c r="H16" s="6">
        <v>0.011</v>
      </c>
      <c r="I16" s="7" t="s">
        <v>171</v>
      </c>
      <c r="J16" s="7" t="s">
        <v>83</v>
      </c>
      <c r="K16" s="7" t="s">
        <v>110</v>
      </c>
      <c r="L16" s="7" t="s">
        <v>111</v>
      </c>
      <c r="M16" s="7" t="s">
        <v>85</v>
      </c>
      <c r="N16" s="7" t="s">
        <v>112</v>
      </c>
      <c r="O16" s="7" t="s">
        <v>101</v>
      </c>
      <c r="P16" s="7" t="s">
        <v>172</v>
      </c>
      <c r="Q16" s="7" t="s">
        <v>172</v>
      </c>
      <c r="R16" s="7" t="s">
        <v>88</v>
      </c>
      <c r="S16" s="7" t="s">
        <v>89</v>
      </c>
      <c r="T16" s="7" t="s">
        <v>115</v>
      </c>
      <c r="U16" s="7" t="s">
        <v>116</v>
      </c>
      <c r="V16" s="7" t="s">
        <v>173</v>
      </c>
      <c r="W16" s="14">
        <v>3</v>
      </c>
      <c r="X16" s="14">
        <f t="shared" si="0"/>
        <v>40.6</v>
      </c>
      <c r="Y16" s="14">
        <f t="shared" si="1"/>
        <v>57.3</v>
      </c>
      <c r="Z16" s="7" t="s">
        <v>29</v>
      </c>
      <c r="AA16" s="7" t="s">
        <v>174</v>
      </c>
      <c r="AB16" s="7" t="s">
        <v>175</v>
      </c>
      <c r="AC16" s="7" t="s">
        <v>176</v>
      </c>
      <c r="AD16" s="7" t="s">
        <v>130</v>
      </c>
      <c r="AE16" s="7" t="s">
        <v>96</v>
      </c>
      <c r="AF16" s="8" t="s">
        <v>177</v>
      </c>
    </row>
    <row r="17" ht="15" customHeight="1" spans="1:32">
      <c r="A17" s="4">
        <v>16</v>
      </c>
      <c r="B17" s="7" t="s">
        <v>178</v>
      </c>
      <c r="C17" s="7" t="s">
        <v>179</v>
      </c>
      <c r="D17" s="5">
        <v>18397</v>
      </c>
      <c r="E17" s="6">
        <v>-0.1962</v>
      </c>
      <c r="F17" s="6">
        <v>-0.0041</v>
      </c>
      <c r="G17" s="6">
        <v>0.0142</v>
      </c>
      <c r="H17" s="6">
        <v>0.0127</v>
      </c>
      <c r="I17" s="7" t="s">
        <v>82</v>
      </c>
      <c r="J17" s="7" t="s">
        <v>83</v>
      </c>
      <c r="K17" s="7" t="s">
        <v>180</v>
      </c>
      <c r="L17" s="7" t="s">
        <v>111</v>
      </c>
      <c r="M17" s="7" t="s">
        <v>85</v>
      </c>
      <c r="N17" s="7" t="s">
        <v>112</v>
      </c>
      <c r="O17" s="7" t="s">
        <v>181</v>
      </c>
      <c r="P17" s="7" t="s">
        <v>114</v>
      </c>
      <c r="Q17" s="7" t="s">
        <v>114</v>
      </c>
      <c r="R17" s="7" t="s">
        <v>88</v>
      </c>
      <c r="S17" s="7" t="s">
        <v>89</v>
      </c>
      <c r="T17" s="7" t="s">
        <v>182</v>
      </c>
      <c r="U17" s="7" t="s">
        <v>116</v>
      </c>
      <c r="V17" s="7" t="s">
        <v>183</v>
      </c>
      <c r="W17" s="14">
        <v>3</v>
      </c>
      <c r="X17" s="14">
        <f t="shared" si="0"/>
        <v>42.8</v>
      </c>
      <c r="Y17" s="14">
        <f t="shared" si="1"/>
        <v>58.5</v>
      </c>
      <c r="Z17" s="7" t="s">
        <v>29</v>
      </c>
      <c r="AA17" s="7" t="s">
        <v>174</v>
      </c>
      <c r="AB17" s="7" t="s">
        <v>175</v>
      </c>
      <c r="AC17" s="7" t="s">
        <v>184</v>
      </c>
      <c r="AD17" s="7" t="s">
        <v>130</v>
      </c>
      <c r="AE17" s="7" t="s">
        <v>96</v>
      </c>
      <c r="AF17" s="8" t="s">
        <v>97</v>
      </c>
    </row>
    <row r="18" ht="15" customHeight="1" spans="1:32">
      <c r="A18" s="4">
        <v>17</v>
      </c>
      <c r="B18" s="7" t="s">
        <v>185</v>
      </c>
      <c r="C18" s="7" t="s">
        <v>186</v>
      </c>
      <c r="D18" s="5">
        <v>18715</v>
      </c>
      <c r="E18" s="6">
        <v>-0.2467</v>
      </c>
      <c r="F18" s="6">
        <v>0.0052</v>
      </c>
      <c r="G18" s="6">
        <v>0.0088</v>
      </c>
      <c r="H18" s="6">
        <v>0.003</v>
      </c>
      <c r="I18" s="7" t="s">
        <v>187</v>
      </c>
      <c r="J18" s="7" t="s">
        <v>147</v>
      </c>
      <c r="K18" s="7" t="s">
        <v>188</v>
      </c>
      <c r="L18" s="7" t="s">
        <v>111</v>
      </c>
      <c r="M18" s="7" t="s">
        <v>85</v>
      </c>
      <c r="N18" s="7" t="s">
        <v>112</v>
      </c>
      <c r="O18" s="7" t="s">
        <v>101</v>
      </c>
      <c r="P18" s="7" t="s">
        <v>189</v>
      </c>
      <c r="Q18" s="7" t="s">
        <v>189</v>
      </c>
      <c r="R18" s="7" t="s">
        <v>88</v>
      </c>
      <c r="S18" s="7" t="s">
        <v>89</v>
      </c>
      <c r="T18" s="7" t="s">
        <v>115</v>
      </c>
      <c r="U18" s="7" t="s">
        <v>190</v>
      </c>
      <c r="V18" s="7" t="s">
        <v>191</v>
      </c>
      <c r="W18" s="14">
        <v>0</v>
      </c>
      <c r="X18" s="14">
        <f t="shared" si="0"/>
        <v>36.4</v>
      </c>
      <c r="Y18" s="14">
        <f t="shared" si="1"/>
        <v>7</v>
      </c>
      <c r="Z18" s="7" t="s">
        <v>37</v>
      </c>
      <c r="AA18" s="7" t="s">
        <v>192</v>
      </c>
      <c r="AB18" s="7" t="s">
        <v>193</v>
      </c>
      <c r="AC18" s="7" t="s">
        <v>194</v>
      </c>
      <c r="AD18" s="7" t="s">
        <v>195</v>
      </c>
      <c r="AE18" s="7" t="s">
        <v>196</v>
      </c>
      <c r="AF18" s="8" t="s">
        <v>197</v>
      </c>
    </row>
    <row r="19" ht="15" customHeight="1" spans="1:32">
      <c r="A19" s="4">
        <v>18</v>
      </c>
      <c r="B19" s="7" t="s">
        <v>198</v>
      </c>
      <c r="C19" s="7" t="s">
        <v>199</v>
      </c>
      <c r="D19" s="5">
        <v>20306</v>
      </c>
      <c r="E19" s="6">
        <v>-0.2344</v>
      </c>
      <c r="F19" s="6">
        <v>-0.2355</v>
      </c>
      <c r="G19" s="6">
        <v>0.0189</v>
      </c>
      <c r="H19" s="6">
        <v>0.0244</v>
      </c>
      <c r="I19" s="7" t="s">
        <v>109</v>
      </c>
      <c r="J19" s="7" t="s">
        <v>83</v>
      </c>
      <c r="K19" s="7" t="s">
        <v>64</v>
      </c>
      <c r="L19" s="7" t="s">
        <v>84</v>
      </c>
      <c r="M19" s="7" t="s">
        <v>85</v>
      </c>
      <c r="N19" s="7" t="s">
        <v>86</v>
      </c>
      <c r="O19" s="7" t="s">
        <v>139</v>
      </c>
      <c r="P19" s="7" t="s">
        <v>85</v>
      </c>
      <c r="Q19" s="7" t="s">
        <v>85</v>
      </c>
      <c r="R19" s="7" t="s">
        <v>88</v>
      </c>
      <c r="S19" s="7" t="s">
        <v>89</v>
      </c>
      <c r="T19" s="7" t="s">
        <v>140</v>
      </c>
      <c r="U19" s="7" t="s">
        <v>91</v>
      </c>
      <c r="V19" s="7" t="s">
        <v>92</v>
      </c>
      <c r="W19" s="14">
        <v>3</v>
      </c>
      <c r="X19" s="14">
        <f t="shared" si="0"/>
        <v>49.3</v>
      </c>
      <c r="Y19" s="14">
        <f t="shared" si="1"/>
        <v>67.1</v>
      </c>
      <c r="Z19" s="7" t="s">
        <v>20</v>
      </c>
      <c r="AA19" s="7" t="s">
        <v>28</v>
      </c>
      <c r="AB19" s="7" t="s">
        <v>105</v>
      </c>
      <c r="AC19" s="7" t="s">
        <v>141</v>
      </c>
      <c r="AD19" s="7" t="s">
        <v>95</v>
      </c>
      <c r="AE19" s="7" t="s">
        <v>96</v>
      </c>
      <c r="AF19" s="8" t="s">
        <v>120</v>
      </c>
    </row>
    <row r="20" ht="15" customHeight="1" spans="1:32">
      <c r="A20" s="4">
        <v>19</v>
      </c>
      <c r="B20" s="7" t="s">
        <v>200</v>
      </c>
      <c r="C20" s="7" t="s">
        <v>137</v>
      </c>
      <c r="D20" s="5">
        <v>14356</v>
      </c>
      <c r="E20" s="6">
        <v>-0.1847</v>
      </c>
      <c r="F20" s="6">
        <v>0.4377</v>
      </c>
      <c r="G20" s="6">
        <v>0.0173</v>
      </c>
      <c r="H20" s="6">
        <v>0.0228</v>
      </c>
      <c r="I20" s="7" t="s">
        <v>82</v>
      </c>
      <c r="J20" s="7" t="s">
        <v>83</v>
      </c>
      <c r="K20" s="7" t="s">
        <v>132</v>
      </c>
      <c r="L20" s="7" t="s">
        <v>133</v>
      </c>
      <c r="M20" s="7" t="s">
        <v>85</v>
      </c>
      <c r="N20" s="7" t="s">
        <v>112</v>
      </c>
      <c r="O20" s="7" t="s">
        <v>87</v>
      </c>
      <c r="P20" s="7" t="s">
        <v>85</v>
      </c>
      <c r="Q20" s="7" t="s">
        <v>85</v>
      </c>
      <c r="R20" s="7" t="s">
        <v>88</v>
      </c>
      <c r="S20" s="7" t="s">
        <v>89</v>
      </c>
      <c r="T20" s="7" t="s">
        <v>90</v>
      </c>
      <c r="U20" s="7" t="s">
        <v>91</v>
      </c>
      <c r="V20" s="7" t="s">
        <v>134</v>
      </c>
      <c r="W20" s="14">
        <v>3</v>
      </c>
      <c r="X20" s="14">
        <f t="shared" si="0"/>
        <v>48</v>
      </c>
      <c r="Y20" s="14">
        <f t="shared" si="1"/>
        <v>66.4</v>
      </c>
      <c r="Z20" s="7" t="s">
        <v>20</v>
      </c>
      <c r="AA20" s="7" t="s">
        <v>28</v>
      </c>
      <c r="AB20" s="7" t="s">
        <v>105</v>
      </c>
      <c r="AC20" s="7" t="s">
        <v>94</v>
      </c>
      <c r="AD20" s="7" t="s">
        <v>95</v>
      </c>
      <c r="AE20" s="7" t="s">
        <v>96</v>
      </c>
      <c r="AF20" s="8" t="s">
        <v>97</v>
      </c>
    </row>
    <row r="21" ht="15" customHeight="1" spans="1:32">
      <c r="A21" s="4">
        <v>20</v>
      </c>
      <c r="B21" s="7" t="s">
        <v>201</v>
      </c>
      <c r="C21" s="7" t="s">
        <v>108</v>
      </c>
      <c r="D21" s="5">
        <v>9901</v>
      </c>
      <c r="E21" s="6">
        <v>-0.0082</v>
      </c>
      <c r="F21" s="6">
        <v>2.1917</v>
      </c>
      <c r="G21" s="6">
        <v>0.0165</v>
      </c>
      <c r="H21" s="6">
        <v>0.0222</v>
      </c>
      <c r="I21" s="7" t="s">
        <v>82</v>
      </c>
      <c r="J21" s="7" t="s">
        <v>83</v>
      </c>
      <c r="K21" s="7" t="s">
        <v>110</v>
      </c>
      <c r="L21" s="7" t="s">
        <v>111</v>
      </c>
      <c r="M21" s="7" t="s">
        <v>85</v>
      </c>
      <c r="N21" s="7" t="s">
        <v>112</v>
      </c>
      <c r="O21" s="7" t="s">
        <v>113</v>
      </c>
      <c r="P21" s="7" t="s">
        <v>114</v>
      </c>
      <c r="Q21" s="7" t="s">
        <v>114</v>
      </c>
      <c r="R21" s="7" t="s">
        <v>88</v>
      </c>
      <c r="S21" s="7" t="s">
        <v>89</v>
      </c>
      <c r="T21" s="7" t="s">
        <v>115</v>
      </c>
      <c r="U21" s="7" t="s">
        <v>116</v>
      </c>
      <c r="V21" s="7" t="s">
        <v>117</v>
      </c>
      <c r="W21" s="14">
        <v>3</v>
      </c>
      <c r="X21" s="14">
        <f t="shared" si="0"/>
        <v>49.1</v>
      </c>
      <c r="Y21" s="14">
        <f t="shared" si="1"/>
        <v>62</v>
      </c>
      <c r="Z21" s="7" t="s">
        <v>20</v>
      </c>
      <c r="AA21" s="7" t="s">
        <v>28</v>
      </c>
      <c r="AB21" s="7" t="s">
        <v>105</v>
      </c>
      <c r="AC21" s="7" t="s">
        <v>118</v>
      </c>
      <c r="AD21" s="7" t="s">
        <v>130</v>
      </c>
      <c r="AE21" s="7" t="s">
        <v>96</v>
      </c>
      <c r="AF21" s="8" t="s">
        <v>97</v>
      </c>
    </row>
    <row r="22" ht="15" customHeight="1" spans="1:32">
      <c r="A22" s="4">
        <v>21</v>
      </c>
      <c r="B22" s="17" t="s">
        <v>202</v>
      </c>
      <c r="C22" s="7" t="s">
        <v>203</v>
      </c>
      <c r="D22" s="5">
        <v>1878901</v>
      </c>
      <c r="E22" s="6">
        <v>-0.0552</v>
      </c>
      <c r="F22" s="6">
        <v>-0.2049</v>
      </c>
      <c r="G22" s="6">
        <v>0.454</v>
      </c>
      <c r="H22" s="6">
        <v>0.0442</v>
      </c>
      <c r="I22" s="7" t="s">
        <v>204</v>
      </c>
      <c r="J22" s="7" t="s">
        <v>147</v>
      </c>
      <c r="K22" s="7" t="s">
        <v>61</v>
      </c>
      <c r="L22" s="7" t="s">
        <v>111</v>
      </c>
      <c r="M22" s="7" t="s">
        <v>85</v>
      </c>
      <c r="N22" s="7" t="s">
        <v>112</v>
      </c>
      <c r="O22" s="7" t="s">
        <v>101</v>
      </c>
      <c r="P22" s="7" t="s">
        <v>85</v>
      </c>
      <c r="Q22" s="7" t="s">
        <v>85</v>
      </c>
      <c r="R22" s="7" t="s">
        <v>88</v>
      </c>
      <c r="S22" s="7" t="s">
        <v>89</v>
      </c>
      <c r="T22" s="7" t="s">
        <v>115</v>
      </c>
      <c r="U22" s="7" t="s">
        <v>190</v>
      </c>
      <c r="V22" s="7" t="s">
        <v>157</v>
      </c>
      <c r="W22" s="14">
        <v>1</v>
      </c>
      <c r="X22" s="14">
        <f t="shared" si="0"/>
        <v>91.7</v>
      </c>
      <c r="Y22" s="14">
        <f t="shared" si="1"/>
        <v>65.4</v>
      </c>
      <c r="Z22" s="7" t="s">
        <v>43</v>
      </c>
      <c r="AA22" s="7" t="s">
        <v>174</v>
      </c>
      <c r="AB22" s="7" t="s">
        <v>175</v>
      </c>
      <c r="AC22" s="7" t="s">
        <v>194</v>
      </c>
      <c r="AD22" s="7" t="s">
        <v>119</v>
      </c>
      <c r="AE22" s="7" t="s">
        <v>96</v>
      </c>
      <c r="AF22" s="8" t="s">
        <v>205</v>
      </c>
    </row>
    <row r="23" ht="15" customHeight="1" spans="1:32">
      <c r="A23" s="4">
        <v>22</v>
      </c>
      <c r="B23" s="17" t="s">
        <v>206</v>
      </c>
      <c r="C23" s="7" t="s">
        <v>207</v>
      </c>
      <c r="D23" s="5">
        <v>1157690</v>
      </c>
      <c r="E23" s="6">
        <v>-0.2555</v>
      </c>
      <c r="F23" s="6">
        <v>-0.122</v>
      </c>
      <c r="G23" s="6">
        <v>0.2887</v>
      </c>
      <c r="H23" s="6">
        <v>0.0154</v>
      </c>
      <c r="I23" s="7" t="s">
        <v>208</v>
      </c>
      <c r="J23" s="7" t="s">
        <v>147</v>
      </c>
      <c r="K23" s="7" t="s">
        <v>61</v>
      </c>
      <c r="L23" s="7" t="s">
        <v>111</v>
      </c>
      <c r="M23" s="7" t="s">
        <v>85</v>
      </c>
      <c r="N23" s="7" t="s">
        <v>112</v>
      </c>
      <c r="O23" s="7" t="s">
        <v>101</v>
      </c>
      <c r="P23" s="7" t="s">
        <v>85</v>
      </c>
      <c r="Q23" s="7" t="s">
        <v>85</v>
      </c>
      <c r="R23" s="7" t="s">
        <v>88</v>
      </c>
      <c r="S23" s="7" t="s">
        <v>89</v>
      </c>
      <c r="T23" s="7" t="s">
        <v>115</v>
      </c>
      <c r="U23" s="7" t="s">
        <v>190</v>
      </c>
      <c r="V23" s="7" t="s">
        <v>157</v>
      </c>
      <c r="W23" s="14">
        <v>1</v>
      </c>
      <c r="X23" s="14">
        <f t="shared" si="0"/>
        <v>65.4</v>
      </c>
      <c r="Y23" s="14">
        <f t="shared" si="1"/>
        <v>51</v>
      </c>
      <c r="Z23" s="7" t="s">
        <v>43</v>
      </c>
      <c r="AA23" s="7" t="s">
        <v>174</v>
      </c>
      <c r="AB23" s="7" t="s">
        <v>175</v>
      </c>
      <c r="AC23" s="7" t="s">
        <v>194</v>
      </c>
      <c r="AD23" s="7" t="s">
        <v>119</v>
      </c>
      <c r="AE23" s="7" t="s">
        <v>96</v>
      </c>
      <c r="AF23" s="8" t="s">
        <v>209</v>
      </c>
    </row>
    <row r="24" ht="15" customHeight="1" spans="1:32">
      <c r="A24" s="4">
        <v>23</v>
      </c>
      <c r="B24" s="17" t="s">
        <v>210</v>
      </c>
      <c r="C24" s="7" t="s">
        <v>211</v>
      </c>
      <c r="D24" s="5">
        <v>396067</v>
      </c>
      <c r="E24" s="6">
        <v>-0.0488</v>
      </c>
      <c r="F24" s="6">
        <v>-0.3398</v>
      </c>
      <c r="G24" s="6">
        <v>0.1212</v>
      </c>
      <c r="H24" s="6">
        <v>0.0253</v>
      </c>
      <c r="I24" s="7" t="s">
        <v>204</v>
      </c>
      <c r="J24" s="7" t="s">
        <v>33</v>
      </c>
      <c r="K24" s="7" t="s">
        <v>212</v>
      </c>
      <c r="L24" s="7" t="s">
        <v>111</v>
      </c>
      <c r="M24" s="7" t="s">
        <v>85</v>
      </c>
      <c r="N24" s="7" t="s">
        <v>112</v>
      </c>
      <c r="O24" s="7" t="s">
        <v>101</v>
      </c>
      <c r="P24" s="7" t="s">
        <v>85</v>
      </c>
      <c r="Q24" s="7" t="s">
        <v>85</v>
      </c>
      <c r="R24" s="7" t="s">
        <v>213</v>
      </c>
      <c r="S24" s="7" t="s">
        <v>89</v>
      </c>
      <c r="T24" s="7" t="s">
        <v>115</v>
      </c>
      <c r="U24" s="7" t="s">
        <v>214</v>
      </c>
      <c r="V24" s="7" t="s">
        <v>157</v>
      </c>
      <c r="W24" s="14">
        <v>1</v>
      </c>
      <c r="X24" s="14">
        <f t="shared" si="0"/>
        <v>65.2</v>
      </c>
      <c r="Y24" s="14">
        <f t="shared" si="1"/>
        <v>42.9</v>
      </c>
      <c r="Z24" s="7" t="s">
        <v>33</v>
      </c>
      <c r="AA24" s="7" t="s">
        <v>215</v>
      </c>
      <c r="AB24" s="7" t="s">
        <v>216</v>
      </c>
      <c r="AC24" s="7" t="s">
        <v>194</v>
      </c>
      <c r="AD24" s="7" t="s">
        <v>217</v>
      </c>
      <c r="AE24" s="7" t="s">
        <v>218</v>
      </c>
      <c r="AF24" s="8" t="s">
        <v>205</v>
      </c>
    </row>
    <row r="25" ht="15" customHeight="1" spans="1:32">
      <c r="A25" s="4">
        <v>24</v>
      </c>
      <c r="B25" s="7" t="s">
        <v>219</v>
      </c>
      <c r="C25" s="7" t="s">
        <v>220</v>
      </c>
      <c r="D25" s="5">
        <v>92204</v>
      </c>
      <c r="E25" s="6">
        <v>-0.4201</v>
      </c>
      <c r="F25" s="6">
        <v>-0.1953</v>
      </c>
      <c r="G25" s="6">
        <v>0.0119</v>
      </c>
      <c r="H25" s="6">
        <v>0.0048</v>
      </c>
      <c r="I25" s="7" t="s">
        <v>208</v>
      </c>
      <c r="J25" s="7" t="s">
        <v>221</v>
      </c>
      <c r="K25" s="7" t="s">
        <v>132</v>
      </c>
      <c r="L25" s="7" t="s">
        <v>111</v>
      </c>
      <c r="M25" s="7" t="s">
        <v>85</v>
      </c>
      <c r="N25" s="7" t="s">
        <v>112</v>
      </c>
      <c r="O25" s="7" t="s">
        <v>222</v>
      </c>
      <c r="P25" s="7" t="s">
        <v>85</v>
      </c>
      <c r="Q25" s="7" t="s">
        <v>85</v>
      </c>
      <c r="R25" s="7" t="s">
        <v>88</v>
      </c>
      <c r="S25" s="7" t="s">
        <v>89</v>
      </c>
      <c r="T25" s="7" t="s">
        <v>223</v>
      </c>
      <c r="U25" s="7" t="s">
        <v>91</v>
      </c>
      <c r="V25" s="7" t="s">
        <v>224</v>
      </c>
      <c r="W25" s="14">
        <v>1</v>
      </c>
      <c r="X25" s="14">
        <f t="shared" si="0"/>
        <v>39.9</v>
      </c>
      <c r="Y25" s="14">
        <f t="shared" si="1"/>
        <v>36.9</v>
      </c>
      <c r="Z25" s="7" t="s">
        <v>24</v>
      </c>
      <c r="AA25" s="7" t="s">
        <v>165</v>
      </c>
      <c r="AB25" s="7" t="s">
        <v>166</v>
      </c>
      <c r="AC25" s="7" t="s">
        <v>225</v>
      </c>
      <c r="AD25" s="7" t="s">
        <v>119</v>
      </c>
      <c r="AE25" s="7" t="s">
        <v>96</v>
      </c>
      <c r="AF25" s="8" t="s">
        <v>209</v>
      </c>
    </row>
    <row r="26" ht="15" customHeight="1" spans="1:32">
      <c r="A26" s="4">
        <v>25</v>
      </c>
      <c r="B26" s="7" t="s">
        <v>226</v>
      </c>
      <c r="C26" s="7" t="s">
        <v>227</v>
      </c>
      <c r="D26" s="5">
        <v>75461</v>
      </c>
      <c r="E26" s="6">
        <v>-0.2404</v>
      </c>
      <c r="F26" s="6">
        <v>-0.1703</v>
      </c>
      <c r="G26" s="6">
        <v>0.0167</v>
      </c>
      <c r="H26" s="6">
        <v>0.0109</v>
      </c>
      <c r="I26" s="7" t="s">
        <v>208</v>
      </c>
      <c r="J26" s="7" t="s">
        <v>221</v>
      </c>
      <c r="K26" s="7" t="s">
        <v>132</v>
      </c>
      <c r="L26" s="7" t="s">
        <v>111</v>
      </c>
      <c r="M26" s="7" t="s">
        <v>85</v>
      </c>
      <c r="N26" s="7" t="s">
        <v>112</v>
      </c>
      <c r="O26" s="7" t="s">
        <v>222</v>
      </c>
      <c r="P26" s="7" t="s">
        <v>85</v>
      </c>
      <c r="Q26" s="7" t="s">
        <v>85</v>
      </c>
      <c r="R26" s="7" t="s">
        <v>88</v>
      </c>
      <c r="S26" s="7" t="s">
        <v>89</v>
      </c>
      <c r="T26" s="7" t="s">
        <v>223</v>
      </c>
      <c r="U26" s="7" t="s">
        <v>91</v>
      </c>
      <c r="V26" s="7" t="s">
        <v>224</v>
      </c>
      <c r="W26" s="14">
        <v>1</v>
      </c>
      <c r="X26" s="14">
        <f t="shared" si="0"/>
        <v>45.6</v>
      </c>
      <c r="Y26" s="14">
        <f t="shared" si="1"/>
        <v>40.1</v>
      </c>
      <c r="Z26" s="7" t="s">
        <v>24</v>
      </c>
      <c r="AA26" s="7" t="s">
        <v>165</v>
      </c>
      <c r="AB26" s="7" t="s">
        <v>166</v>
      </c>
      <c r="AC26" s="7" t="s">
        <v>225</v>
      </c>
      <c r="AD26" s="7" t="s">
        <v>119</v>
      </c>
      <c r="AE26" s="7" t="s">
        <v>96</v>
      </c>
      <c r="AF26" s="8" t="s">
        <v>209</v>
      </c>
    </row>
    <row r="27" ht="15" customHeight="1" spans="1:32">
      <c r="A27" s="4">
        <v>26</v>
      </c>
      <c r="B27" s="7" t="s">
        <v>228</v>
      </c>
      <c r="C27" s="7" t="s">
        <v>229</v>
      </c>
      <c r="D27" s="5">
        <v>60456</v>
      </c>
      <c r="E27" s="6">
        <v>-0.0934</v>
      </c>
      <c r="F27" s="6">
        <v>-0.0929</v>
      </c>
      <c r="G27" s="6">
        <v>0.014</v>
      </c>
      <c r="H27" s="6">
        <v>0.0139</v>
      </c>
      <c r="I27" s="7" t="s">
        <v>208</v>
      </c>
      <c r="J27" s="7" t="s">
        <v>147</v>
      </c>
      <c r="K27" s="7" t="s">
        <v>61</v>
      </c>
      <c r="L27" s="7" t="s">
        <v>111</v>
      </c>
      <c r="M27" s="7" t="s">
        <v>85</v>
      </c>
      <c r="N27" s="7" t="s">
        <v>112</v>
      </c>
      <c r="O27" s="7" t="s">
        <v>101</v>
      </c>
      <c r="P27" s="7" t="s">
        <v>85</v>
      </c>
      <c r="Q27" s="7" t="s">
        <v>85</v>
      </c>
      <c r="R27" s="7" t="s">
        <v>88</v>
      </c>
      <c r="S27" s="7" t="s">
        <v>89</v>
      </c>
      <c r="T27" s="7" t="s">
        <v>115</v>
      </c>
      <c r="U27" s="7" t="s">
        <v>190</v>
      </c>
      <c r="V27" s="7" t="s">
        <v>157</v>
      </c>
      <c r="W27" s="14">
        <v>1</v>
      </c>
      <c r="X27" s="14">
        <f t="shared" si="0"/>
        <v>48.7</v>
      </c>
      <c r="Y27" s="14">
        <f t="shared" si="1"/>
        <v>41.8</v>
      </c>
      <c r="Z27" s="7" t="s">
        <v>24</v>
      </c>
      <c r="AA27" s="7" t="s">
        <v>165</v>
      </c>
      <c r="AB27" s="7" t="s">
        <v>166</v>
      </c>
      <c r="AC27" s="7" t="s">
        <v>194</v>
      </c>
      <c r="AD27" s="7" t="s">
        <v>119</v>
      </c>
      <c r="AE27" s="7" t="s">
        <v>96</v>
      </c>
      <c r="AF27" s="8" t="s">
        <v>209</v>
      </c>
    </row>
    <row r="28" ht="15" customHeight="1" spans="1:32">
      <c r="A28" s="4">
        <v>27</v>
      </c>
      <c r="B28" s="7" t="s">
        <v>230</v>
      </c>
      <c r="C28" s="7" t="s">
        <v>231</v>
      </c>
      <c r="D28" s="5">
        <v>53436</v>
      </c>
      <c r="E28" s="6">
        <v>-0.2597</v>
      </c>
      <c r="F28" s="6">
        <v>-0.1741</v>
      </c>
      <c r="G28" s="6">
        <v>0.01</v>
      </c>
      <c r="H28" s="6">
        <v>0.0134</v>
      </c>
      <c r="I28" s="7" t="s">
        <v>208</v>
      </c>
      <c r="J28" s="7" t="s">
        <v>221</v>
      </c>
      <c r="K28" s="7" t="s">
        <v>132</v>
      </c>
      <c r="L28" s="7" t="s">
        <v>111</v>
      </c>
      <c r="M28" s="7" t="s">
        <v>85</v>
      </c>
      <c r="N28" s="7" t="s">
        <v>112</v>
      </c>
      <c r="O28" s="7" t="s">
        <v>232</v>
      </c>
      <c r="P28" s="7" t="s">
        <v>85</v>
      </c>
      <c r="Q28" s="7" t="s">
        <v>85</v>
      </c>
      <c r="R28" s="7" t="s">
        <v>88</v>
      </c>
      <c r="S28" s="7" t="s">
        <v>89</v>
      </c>
      <c r="T28" s="7" t="s">
        <v>182</v>
      </c>
      <c r="U28" s="7" t="s">
        <v>233</v>
      </c>
      <c r="V28" s="7" t="s">
        <v>234</v>
      </c>
      <c r="W28" s="14">
        <v>1</v>
      </c>
      <c r="X28" s="14">
        <f t="shared" si="0"/>
        <v>45.4</v>
      </c>
      <c r="Y28" s="14">
        <f t="shared" si="1"/>
        <v>40</v>
      </c>
      <c r="Z28" s="7" t="s">
        <v>24</v>
      </c>
      <c r="AA28" s="7" t="s">
        <v>165</v>
      </c>
      <c r="AB28" s="7" t="s">
        <v>166</v>
      </c>
      <c r="AC28" s="7" t="s">
        <v>235</v>
      </c>
      <c r="AD28" s="7" t="s">
        <v>119</v>
      </c>
      <c r="AE28" s="7" t="s">
        <v>96</v>
      </c>
      <c r="AF28" s="8" t="s">
        <v>209</v>
      </c>
    </row>
    <row r="29" ht="15" customHeight="1" spans="1:32">
      <c r="A29" s="4">
        <v>28</v>
      </c>
      <c r="B29" s="7" t="s">
        <v>236</v>
      </c>
      <c r="C29" s="7" t="s">
        <v>237</v>
      </c>
      <c r="D29" s="5">
        <v>46405</v>
      </c>
      <c r="E29" s="6">
        <v>-0.1958</v>
      </c>
      <c r="F29" s="6">
        <v>-0.1279</v>
      </c>
      <c r="G29" s="6">
        <v>0.0109</v>
      </c>
      <c r="H29" s="6">
        <v>0.0387</v>
      </c>
      <c r="I29" s="7" t="s">
        <v>238</v>
      </c>
      <c r="J29" s="7" t="s">
        <v>161</v>
      </c>
      <c r="K29" s="7" t="s">
        <v>63</v>
      </c>
      <c r="L29" s="7" t="s">
        <v>162</v>
      </c>
      <c r="M29" s="7" t="s">
        <v>85</v>
      </c>
      <c r="N29" s="7" t="s">
        <v>163</v>
      </c>
      <c r="O29" s="7" t="s">
        <v>101</v>
      </c>
      <c r="P29" s="7" t="s">
        <v>85</v>
      </c>
      <c r="Q29" s="7" t="s">
        <v>85</v>
      </c>
      <c r="R29" s="7" t="s">
        <v>88</v>
      </c>
      <c r="S29" s="7" t="s">
        <v>89</v>
      </c>
      <c r="T29" s="7" t="s">
        <v>115</v>
      </c>
      <c r="U29" s="7" t="s">
        <v>103</v>
      </c>
      <c r="V29" s="7" t="s">
        <v>164</v>
      </c>
      <c r="W29" s="14">
        <v>1</v>
      </c>
      <c r="X29" s="14">
        <f t="shared" si="0"/>
        <v>60.3</v>
      </c>
      <c r="Y29" s="14">
        <f t="shared" si="1"/>
        <v>48.2</v>
      </c>
      <c r="Z29" s="7" t="s">
        <v>29</v>
      </c>
      <c r="AA29" s="7" t="s">
        <v>174</v>
      </c>
      <c r="AB29" s="7" t="s">
        <v>175</v>
      </c>
      <c r="AC29" s="7" t="s">
        <v>167</v>
      </c>
      <c r="AD29" s="7" t="s">
        <v>168</v>
      </c>
      <c r="AE29" s="7" t="s">
        <v>96</v>
      </c>
      <c r="AF29" s="8" t="s">
        <v>239</v>
      </c>
    </row>
    <row r="30" ht="15" customHeight="1" spans="1:32">
      <c r="A30" s="4">
        <v>29</v>
      </c>
      <c r="B30" s="7" t="s">
        <v>240</v>
      </c>
      <c r="C30" s="7" t="s">
        <v>241</v>
      </c>
      <c r="D30" s="5">
        <v>40581</v>
      </c>
      <c r="E30" s="6">
        <v>-0.2721</v>
      </c>
      <c r="F30" s="6">
        <v>-0.0451</v>
      </c>
      <c r="G30" s="6">
        <v>0.009</v>
      </c>
      <c r="H30" s="6">
        <v>0.0127</v>
      </c>
      <c r="I30" s="7" t="s">
        <v>208</v>
      </c>
      <c r="J30" s="7" t="s">
        <v>147</v>
      </c>
      <c r="K30" s="7" t="s">
        <v>61</v>
      </c>
      <c r="L30" s="7" t="s">
        <v>111</v>
      </c>
      <c r="M30" s="7" t="s">
        <v>85</v>
      </c>
      <c r="N30" s="7" t="s">
        <v>112</v>
      </c>
      <c r="O30" s="7" t="s">
        <v>101</v>
      </c>
      <c r="P30" s="7" t="s">
        <v>85</v>
      </c>
      <c r="Q30" s="7" t="s">
        <v>85</v>
      </c>
      <c r="R30" s="7" t="s">
        <v>88</v>
      </c>
      <c r="S30" s="7" t="s">
        <v>89</v>
      </c>
      <c r="T30" s="7" t="s">
        <v>115</v>
      </c>
      <c r="U30" s="7" t="s">
        <v>190</v>
      </c>
      <c r="V30" s="7" t="s">
        <v>157</v>
      </c>
      <c r="W30" s="14">
        <v>1</v>
      </c>
      <c r="X30" s="14">
        <f t="shared" si="0"/>
        <v>44</v>
      </c>
      <c r="Y30" s="14">
        <f t="shared" si="1"/>
        <v>39.2</v>
      </c>
      <c r="Z30" s="7" t="s">
        <v>24</v>
      </c>
      <c r="AA30" s="7" t="s">
        <v>165</v>
      </c>
      <c r="AB30" s="7" t="s">
        <v>166</v>
      </c>
      <c r="AC30" s="7" t="s">
        <v>194</v>
      </c>
      <c r="AD30" s="7" t="s">
        <v>119</v>
      </c>
      <c r="AE30" s="7" t="s">
        <v>96</v>
      </c>
      <c r="AF30" s="8" t="s">
        <v>209</v>
      </c>
    </row>
    <row r="31" ht="15" customHeight="1" spans="1:32">
      <c r="A31" s="4">
        <v>30</v>
      </c>
      <c r="B31" s="7" t="s">
        <v>242</v>
      </c>
      <c r="C31" s="7" t="s">
        <v>231</v>
      </c>
      <c r="D31" s="5">
        <v>31372</v>
      </c>
      <c r="E31" s="6">
        <v>0.0443</v>
      </c>
      <c r="F31" s="6">
        <v>-0.0008</v>
      </c>
      <c r="G31" s="6">
        <v>0.0083</v>
      </c>
      <c r="H31" s="6">
        <v>0.0163</v>
      </c>
      <c r="I31" s="7" t="s">
        <v>208</v>
      </c>
      <c r="J31" s="7" t="s">
        <v>221</v>
      </c>
      <c r="K31" s="7" t="s">
        <v>132</v>
      </c>
      <c r="L31" s="7" t="s">
        <v>111</v>
      </c>
      <c r="M31" s="7" t="s">
        <v>85</v>
      </c>
      <c r="N31" s="7" t="s">
        <v>112</v>
      </c>
      <c r="O31" s="7" t="s">
        <v>232</v>
      </c>
      <c r="P31" s="7" t="s">
        <v>85</v>
      </c>
      <c r="Q31" s="7" t="s">
        <v>85</v>
      </c>
      <c r="R31" s="7" t="s">
        <v>88</v>
      </c>
      <c r="S31" s="7" t="s">
        <v>89</v>
      </c>
      <c r="T31" s="7" t="s">
        <v>182</v>
      </c>
      <c r="U31" s="7" t="s">
        <v>233</v>
      </c>
      <c r="V31" s="7" t="s">
        <v>234</v>
      </c>
      <c r="W31" s="14">
        <v>1</v>
      </c>
      <c r="X31" s="14">
        <f t="shared" si="0"/>
        <v>49.9</v>
      </c>
      <c r="Y31" s="14">
        <f t="shared" si="1"/>
        <v>42.4</v>
      </c>
      <c r="Z31" s="7" t="s">
        <v>24</v>
      </c>
      <c r="AA31" s="7" t="s">
        <v>165</v>
      </c>
      <c r="AB31" s="7" t="s">
        <v>166</v>
      </c>
      <c r="AC31" s="7" t="s">
        <v>235</v>
      </c>
      <c r="AD31" s="7" t="s">
        <v>119</v>
      </c>
      <c r="AE31" s="7" t="s">
        <v>96</v>
      </c>
      <c r="AF31" s="8" t="s">
        <v>209</v>
      </c>
    </row>
    <row r="32" ht="15" customHeight="1" spans="1:32">
      <c r="A32" s="4">
        <v>31</v>
      </c>
      <c r="B32" s="7" t="s">
        <v>243</v>
      </c>
      <c r="C32" s="7" t="s">
        <v>211</v>
      </c>
      <c r="D32" s="5">
        <v>50332</v>
      </c>
      <c r="E32" s="6">
        <v>-0.5773</v>
      </c>
      <c r="F32" s="6">
        <v>-0.098</v>
      </c>
      <c r="G32" s="6">
        <v>0.0121</v>
      </c>
      <c r="H32" s="6">
        <v>0.0245</v>
      </c>
      <c r="I32" s="7" t="s">
        <v>204</v>
      </c>
      <c r="J32" s="7" t="s">
        <v>33</v>
      </c>
      <c r="K32" s="7" t="s">
        <v>212</v>
      </c>
      <c r="L32" s="7" t="s">
        <v>111</v>
      </c>
      <c r="M32" s="7" t="s">
        <v>85</v>
      </c>
      <c r="N32" s="7" t="s">
        <v>112</v>
      </c>
      <c r="O32" s="7" t="s">
        <v>101</v>
      </c>
      <c r="P32" s="7" t="s">
        <v>85</v>
      </c>
      <c r="Q32" s="7" t="s">
        <v>85</v>
      </c>
      <c r="R32" s="7" t="s">
        <v>213</v>
      </c>
      <c r="S32" s="7" t="s">
        <v>89</v>
      </c>
      <c r="T32" s="7" t="s">
        <v>115</v>
      </c>
      <c r="U32" s="7" t="s">
        <v>214</v>
      </c>
      <c r="V32" s="7" t="s">
        <v>157</v>
      </c>
      <c r="W32" s="14">
        <v>1</v>
      </c>
      <c r="X32" s="14">
        <f t="shared" si="0"/>
        <v>48</v>
      </c>
      <c r="Y32" s="14">
        <f t="shared" si="1"/>
        <v>33.4</v>
      </c>
      <c r="Z32" s="7" t="s">
        <v>33</v>
      </c>
      <c r="AA32" s="7" t="s">
        <v>215</v>
      </c>
      <c r="AB32" s="7" t="s">
        <v>216</v>
      </c>
      <c r="AC32" s="7" t="s">
        <v>194</v>
      </c>
      <c r="AD32" s="7" t="s">
        <v>217</v>
      </c>
      <c r="AE32" s="7" t="s">
        <v>218</v>
      </c>
      <c r="AF32" s="8" t="s">
        <v>205</v>
      </c>
    </row>
    <row r="33" ht="15" customHeight="1" spans="1:32">
      <c r="A33" s="4">
        <v>32</v>
      </c>
      <c r="B33" s="7" t="s">
        <v>244</v>
      </c>
      <c r="C33" s="7" t="s">
        <v>245</v>
      </c>
      <c r="D33" s="5">
        <v>32159</v>
      </c>
      <c r="E33" s="6">
        <v>-0.1778</v>
      </c>
      <c r="F33" s="6">
        <v>-0.1414</v>
      </c>
      <c r="G33" s="6">
        <v>0.0068</v>
      </c>
      <c r="H33" s="6">
        <v>0.0138</v>
      </c>
      <c r="I33" s="7" t="s">
        <v>246</v>
      </c>
      <c r="J33" s="7" t="s">
        <v>83</v>
      </c>
      <c r="K33" s="7" t="s">
        <v>247</v>
      </c>
      <c r="L33" s="7" t="s">
        <v>248</v>
      </c>
      <c r="M33" s="7" t="s">
        <v>85</v>
      </c>
      <c r="N33" s="7" t="s">
        <v>249</v>
      </c>
      <c r="O33" s="7" t="s">
        <v>101</v>
      </c>
      <c r="P33" s="7" t="s">
        <v>85</v>
      </c>
      <c r="Q33" s="7" t="s">
        <v>85</v>
      </c>
      <c r="R33" s="7" t="s">
        <v>88</v>
      </c>
      <c r="S33" s="7" t="s">
        <v>89</v>
      </c>
      <c r="T33" s="7" t="s">
        <v>102</v>
      </c>
      <c r="U33" s="7" t="s">
        <v>103</v>
      </c>
      <c r="V33" s="7" t="s">
        <v>104</v>
      </c>
      <c r="W33" s="14">
        <v>3</v>
      </c>
      <c r="X33" s="14">
        <f t="shared" si="0"/>
        <v>45.2</v>
      </c>
      <c r="Y33" s="14">
        <f t="shared" si="1"/>
        <v>62.9</v>
      </c>
      <c r="Z33" s="7" t="s">
        <v>20</v>
      </c>
      <c r="AA33" s="7" t="s">
        <v>28</v>
      </c>
      <c r="AB33" s="7" t="s">
        <v>105</v>
      </c>
      <c r="AC33" s="7" t="s">
        <v>106</v>
      </c>
      <c r="AD33" s="7" t="s">
        <v>95</v>
      </c>
      <c r="AE33" s="7" t="s">
        <v>96</v>
      </c>
      <c r="AF33" s="8" t="s">
        <v>250</v>
      </c>
    </row>
    <row r="34" ht="15" customHeight="1" spans="1:32">
      <c r="A34" s="4">
        <v>33</v>
      </c>
      <c r="B34" s="7" t="s">
        <v>251</v>
      </c>
      <c r="C34" s="7" t="s">
        <v>252</v>
      </c>
      <c r="D34" s="5">
        <v>29585</v>
      </c>
      <c r="E34" s="6">
        <v>-0.1538</v>
      </c>
      <c r="F34" s="6">
        <v>-0.1919</v>
      </c>
      <c r="G34" s="6">
        <v>0.0067</v>
      </c>
      <c r="H34" s="6">
        <v>0.0127</v>
      </c>
      <c r="I34" s="7" t="s">
        <v>208</v>
      </c>
      <c r="J34" s="7" t="s">
        <v>221</v>
      </c>
      <c r="K34" s="7" t="s">
        <v>253</v>
      </c>
      <c r="L34" s="7" t="s">
        <v>111</v>
      </c>
      <c r="M34" s="7" t="s">
        <v>254</v>
      </c>
      <c r="N34" s="7" t="s">
        <v>255</v>
      </c>
      <c r="O34" s="7" t="s">
        <v>222</v>
      </c>
      <c r="P34" s="7" t="s">
        <v>85</v>
      </c>
      <c r="Q34" s="7" t="s">
        <v>85</v>
      </c>
      <c r="R34" s="7" t="s">
        <v>88</v>
      </c>
      <c r="S34" s="7" t="s">
        <v>89</v>
      </c>
      <c r="T34" s="7" t="s">
        <v>223</v>
      </c>
      <c r="U34" s="7" t="s">
        <v>91</v>
      </c>
      <c r="V34" s="7" t="s">
        <v>224</v>
      </c>
      <c r="W34" s="14">
        <v>1</v>
      </c>
      <c r="X34" s="14">
        <f t="shared" si="0"/>
        <v>44.7</v>
      </c>
      <c r="Y34" s="14">
        <f t="shared" si="1"/>
        <v>39.6</v>
      </c>
      <c r="Z34" s="7" t="s">
        <v>24</v>
      </c>
      <c r="AA34" s="7" t="s">
        <v>165</v>
      </c>
      <c r="AB34" s="7" t="s">
        <v>166</v>
      </c>
      <c r="AC34" s="7" t="s">
        <v>225</v>
      </c>
      <c r="AD34" s="7" t="s">
        <v>119</v>
      </c>
      <c r="AE34" s="7" t="s">
        <v>96</v>
      </c>
      <c r="AF34" s="8" t="s">
        <v>209</v>
      </c>
    </row>
    <row r="35" ht="15" customHeight="1" spans="1:32">
      <c r="A35" s="4">
        <v>34</v>
      </c>
      <c r="B35" s="7" t="s">
        <v>256</v>
      </c>
      <c r="C35" s="7" t="s">
        <v>257</v>
      </c>
      <c r="D35" s="5">
        <v>23461</v>
      </c>
      <c r="E35" s="6">
        <v>-0.1361</v>
      </c>
      <c r="F35" s="6">
        <v>-0.0833</v>
      </c>
      <c r="G35" s="6">
        <v>0.0052</v>
      </c>
      <c r="H35" s="6">
        <v>0.0113</v>
      </c>
      <c r="I35" s="7" t="s">
        <v>204</v>
      </c>
      <c r="J35" s="7" t="s">
        <v>161</v>
      </c>
      <c r="K35" s="7" t="s">
        <v>61</v>
      </c>
      <c r="L35" s="7" t="s">
        <v>111</v>
      </c>
      <c r="M35" s="7" t="s">
        <v>85</v>
      </c>
      <c r="N35" s="7" t="s">
        <v>112</v>
      </c>
      <c r="O35" s="7" t="s">
        <v>101</v>
      </c>
      <c r="P35" s="7" t="s">
        <v>85</v>
      </c>
      <c r="Q35" s="7" t="s">
        <v>85</v>
      </c>
      <c r="R35" s="7" t="s">
        <v>88</v>
      </c>
      <c r="S35" s="7" t="s">
        <v>89</v>
      </c>
      <c r="T35" s="7" t="s">
        <v>115</v>
      </c>
      <c r="U35" s="7" t="s">
        <v>233</v>
      </c>
      <c r="V35" s="7" t="s">
        <v>157</v>
      </c>
      <c r="W35" s="14">
        <v>1</v>
      </c>
      <c r="X35" s="14">
        <f t="shared" si="0"/>
        <v>43.4</v>
      </c>
      <c r="Y35" s="14">
        <f t="shared" si="1"/>
        <v>38.9</v>
      </c>
      <c r="Z35" s="7" t="s">
        <v>24</v>
      </c>
      <c r="AA35" s="7" t="s">
        <v>165</v>
      </c>
      <c r="AB35" s="7" t="s">
        <v>166</v>
      </c>
      <c r="AC35" s="7" t="s">
        <v>194</v>
      </c>
      <c r="AD35" s="7" t="s">
        <v>119</v>
      </c>
      <c r="AE35" s="7" t="s">
        <v>96</v>
      </c>
      <c r="AF35" s="8" t="s">
        <v>205</v>
      </c>
    </row>
    <row r="36" ht="15" customHeight="1" spans="1:32">
      <c r="A36" s="4">
        <v>35</v>
      </c>
      <c r="B36" s="7" t="s">
        <v>258</v>
      </c>
      <c r="C36" s="7" t="s">
        <v>259</v>
      </c>
      <c r="D36" s="5">
        <v>16495</v>
      </c>
      <c r="E36" s="6">
        <v>-0.4287</v>
      </c>
      <c r="F36" s="6">
        <v>3.4727</v>
      </c>
      <c r="G36" s="6">
        <v>0.0072</v>
      </c>
      <c r="H36" s="6">
        <v>0.0231</v>
      </c>
      <c r="I36" s="7" t="s">
        <v>208</v>
      </c>
      <c r="J36" s="7" t="s">
        <v>147</v>
      </c>
      <c r="K36" s="7" t="s">
        <v>260</v>
      </c>
      <c r="L36" s="7" t="s">
        <v>111</v>
      </c>
      <c r="M36" s="7" t="s">
        <v>85</v>
      </c>
      <c r="N36" s="7" t="s">
        <v>112</v>
      </c>
      <c r="O36" s="7" t="s">
        <v>101</v>
      </c>
      <c r="P36" s="7" t="s">
        <v>261</v>
      </c>
      <c r="Q36" s="7" t="s">
        <v>261</v>
      </c>
      <c r="R36" s="7" t="s">
        <v>88</v>
      </c>
      <c r="S36" s="7" t="s">
        <v>89</v>
      </c>
      <c r="T36" s="7" t="s">
        <v>115</v>
      </c>
      <c r="U36" s="7" t="s">
        <v>190</v>
      </c>
      <c r="V36" s="7" t="s">
        <v>262</v>
      </c>
      <c r="W36" s="14">
        <v>0</v>
      </c>
      <c r="X36" s="14">
        <f t="shared" si="0"/>
        <v>44.6</v>
      </c>
      <c r="Y36" s="14">
        <f t="shared" si="1"/>
        <v>11.5</v>
      </c>
      <c r="Z36" s="7" t="s">
        <v>37</v>
      </c>
      <c r="AA36" s="7" t="s">
        <v>192</v>
      </c>
      <c r="AB36" s="7" t="s">
        <v>193</v>
      </c>
      <c r="AC36" s="7" t="s">
        <v>194</v>
      </c>
      <c r="AD36" s="7" t="s">
        <v>195</v>
      </c>
      <c r="AE36" s="7" t="s">
        <v>263</v>
      </c>
      <c r="AF36" s="8" t="s">
        <v>209</v>
      </c>
    </row>
    <row r="37" ht="15" customHeight="1" spans="1:32">
      <c r="A37" s="4">
        <v>36</v>
      </c>
      <c r="B37" s="7" t="s">
        <v>264</v>
      </c>
      <c r="C37" s="7" t="s">
        <v>265</v>
      </c>
      <c r="D37" s="5">
        <v>10610</v>
      </c>
      <c r="E37" s="6">
        <v>-0.1562</v>
      </c>
      <c r="F37" s="6">
        <v>1.8001</v>
      </c>
      <c r="G37" s="6">
        <v>0.0052</v>
      </c>
      <c r="H37" s="6">
        <v>0.0225</v>
      </c>
      <c r="I37" s="7" t="s">
        <v>208</v>
      </c>
      <c r="J37" s="7" t="s">
        <v>147</v>
      </c>
      <c r="K37" s="7" t="s">
        <v>260</v>
      </c>
      <c r="L37" s="7" t="s">
        <v>111</v>
      </c>
      <c r="M37" s="7" t="s">
        <v>85</v>
      </c>
      <c r="N37" s="7" t="s">
        <v>112</v>
      </c>
      <c r="O37" s="7" t="s">
        <v>101</v>
      </c>
      <c r="P37" s="7" t="s">
        <v>261</v>
      </c>
      <c r="Q37" s="7" t="s">
        <v>261</v>
      </c>
      <c r="R37" s="7" t="s">
        <v>88</v>
      </c>
      <c r="S37" s="7" t="s">
        <v>89</v>
      </c>
      <c r="T37" s="7" t="s">
        <v>115</v>
      </c>
      <c r="U37" s="7" t="s">
        <v>190</v>
      </c>
      <c r="V37" s="7" t="s">
        <v>262</v>
      </c>
      <c r="W37" s="14">
        <v>0</v>
      </c>
      <c r="X37" s="14">
        <f t="shared" si="0"/>
        <v>46.9</v>
      </c>
      <c r="Y37" s="14">
        <f t="shared" si="1"/>
        <v>12.8</v>
      </c>
      <c r="Z37" s="7" t="s">
        <v>37</v>
      </c>
      <c r="AA37" s="7" t="s">
        <v>192</v>
      </c>
      <c r="AB37" s="7" t="s">
        <v>193</v>
      </c>
      <c r="AC37" s="7" t="s">
        <v>194</v>
      </c>
      <c r="AD37" s="7" t="s">
        <v>195</v>
      </c>
      <c r="AE37" s="7" t="s">
        <v>263</v>
      </c>
      <c r="AF37" s="8" t="s">
        <v>209</v>
      </c>
    </row>
    <row r="38" ht="15" customHeight="1" spans="1:32">
      <c r="A38" s="4">
        <v>37</v>
      </c>
      <c r="B38" s="7" t="s">
        <v>266</v>
      </c>
      <c r="C38" s="7" t="s">
        <v>267</v>
      </c>
      <c r="D38" s="5">
        <v>12174</v>
      </c>
      <c r="E38" s="6">
        <v>-0.0433</v>
      </c>
      <c r="F38" s="6">
        <v>-0.132</v>
      </c>
      <c r="G38" s="6">
        <v>0.0024</v>
      </c>
      <c r="H38" s="6">
        <v>0.0359</v>
      </c>
      <c r="I38" s="7" t="s">
        <v>268</v>
      </c>
      <c r="J38" s="7" t="s">
        <v>161</v>
      </c>
      <c r="K38" s="7" t="s">
        <v>269</v>
      </c>
      <c r="L38" s="7" t="s">
        <v>111</v>
      </c>
      <c r="M38" s="7" t="s">
        <v>85</v>
      </c>
      <c r="N38" s="7" t="s">
        <v>112</v>
      </c>
      <c r="O38" s="7" t="s">
        <v>101</v>
      </c>
      <c r="P38" s="7" t="s">
        <v>85</v>
      </c>
      <c r="Q38" s="7" t="s">
        <v>85</v>
      </c>
      <c r="R38" s="7" t="s">
        <v>88</v>
      </c>
      <c r="S38" s="7" t="s">
        <v>89</v>
      </c>
      <c r="T38" s="7" t="s">
        <v>115</v>
      </c>
      <c r="U38" s="7" t="s">
        <v>270</v>
      </c>
      <c r="V38" s="7" t="s">
        <v>157</v>
      </c>
      <c r="W38" s="14">
        <v>1</v>
      </c>
      <c r="X38" s="14">
        <f t="shared" si="0"/>
        <v>56.5</v>
      </c>
      <c r="Y38" s="14">
        <f t="shared" si="1"/>
        <v>46.1</v>
      </c>
      <c r="Z38" s="7" t="s">
        <v>24</v>
      </c>
      <c r="AA38" s="7" t="s">
        <v>165</v>
      </c>
      <c r="AB38" s="7" t="s">
        <v>166</v>
      </c>
      <c r="AC38" s="7" t="s">
        <v>194</v>
      </c>
      <c r="AD38" s="7" t="s">
        <v>119</v>
      </c>
      <c r="AE38" s="7" t="s">
        <v>271</v>
      </c>
      <c r="AF38" s="8" t="s">
        <v>272</v>
      </c>
    </row>
    <row r="39" ht="15" customHeight="1" spans="1:32">
      <c r="A39" s="4">
        <v>38</v>
      </c>
      <c r="B39" s="7" t="s">
        <v>273</v>
      </c>
      <c r="C39" s="7" t="s">
        <v>274</v>
      </c>
      <c r="D39" s="5">
        <v>13567</v>
      </c>
      <c r="E39" s="6">
        <v>-0.1967</v>
      </c>
      <c r="F39" s="6">
        <v>-0.2102</v>
      </c>
      <c r="G39" s="6">
        <v>0.0028</v>
      </c>
      <c r="H39" s="6">
        <v>0.0272</v>
      </c>
      <c r="I39" s="7" t="s">
        <v>268</v>
      </c>
      <c r="J39" s="7" t="s">
        <v>33</v>
      </c>
      <c r="K39" s="7" t="s">
        <v>275</v>
      </c>
      <c r="L39" s="7" t="s">
        <v>276</v>
      </c>
      <c r="M39" s="7" t="s">
        <v>85</v>
      </c>
      <c r="N39" s="7" t="s">
        <v>86</v>
      </c>
      <c r="O39" s="7" t="s">
        <v>101</v>
      </c>
      <c r="P39" s="7" t="s">
        <v>85</v>
      </c>
      <c r="Q39" s="7" t="s">
        <v>85</v>
      </c>
      <c r="R39" s="7" t="s">
        <v>213</v>
      </c>
      <c r="S39" s="7" t="s">
        <v>89</v>
      </c>
      <c r="T39" s="7" t="s">
        <v>115</v>
      </c>
      <c r="U39" s="7" t="s">
        <v>214</v>
      </c>
      <c r="V39" s="7" t="s">
        <v>277</v>
      </c>
      <c r="W39" s="14">
        <v>1</v>
      </c>
      <c r="X39" s="14">
        <f t="shared" si="0"/>
        <v>49.7</v>
      </c>
      <c r="Y39" s="14">
        <f t="shared" si="1"/>
        <v>34.3</v>
      </c>
      <c r="Z39" s="7" t="s">
        <v>33</v>
      </c>
      <c r="AA39" s="7" t="s">
        <v>215</v>
      </c>
      <c r="AB39" s="7" t="s">
        <v>216</v>
      </c>
      <c r="AC39" s="7" t="s">
        <v>194</v>
      </c>
      <c r="AD39" s="7" t="s">
        <v>217</v>
      </c>
      <c r="AE39" s="7" t="s">
        <v>218</v>
      </c>
      <c r="AF39" s="8" t="s">
        <v>272</v>
      </c>
    </row>
    <row r="40" ht="15" customHeight="1" spans="1:32">
      <c r="A40" s="4">
        <v>39</v>
      </c>
      <c r="B40" s="7" t="s">
        <v>278</v>
      </c>
      <c r="C40" s="7" t="s">
        <v>211</v>
      </c>
      <c r="D40" s="5">
        <v>14990</v>
      </c>
      <c r="E40" s="6">
        <v>-0.3362</v>
      </c>
      <c r="F40" s="6">
        <v>-0.2679</v>
      </c>
      <c r="G40" s="6">
        <v>0.0036</v>
      </c>
      <c r="H40" s="6">
        <v>0.0292</v>
      </c>
      <c r="I40" s="7" t="s">
        <v>268</v>
      </c>
      <c r="J40" s="7" t="s">
        <v>33</v>
      </c>
      <c r="K40" s="7" t="s">
        <v>212</v>
      </c>
      <c r="L40" s="7" t="s">
        <v>111</v>
      </c>
      <c r="M40" s="7" t="s">
        <v>85</v>
      </c>
      <c r="N40" s="7" t="s">
        <v>112</v>
      </c>
      <c r="O40" s="7" t="s">
        <v>101</v>
      </c>
      <c r="P40" s="7" t="s">
        <v>85</v>
      </c>
      <c r="Q40" s="7" t="s">
        <v>85</v>
      </c>
      <c r="R40" s="7" t="s">
        <v>213</v>
      </c>
      <c r="S40" s="7" t="s">
        <v>89</v>
      </c>
      <c r="T40" s="7" t="s">
        <v>115</v>
      </c>
      <c r="U40" s="7" t="s">
        <v>214</v>
      </c>
      <c r="V40" s="7" t="s">
        <v>157</v>
      </c>
      <c r="W40" s="14">
        <v>1</v>
      </c>
      <c r="X40" s="14">
        <f t="shared" si="0"/>
        <v>49</v>
      </c>
      <c r="Y40" s="14">
        <f t="shared" si="1"/>
        <v>34</v>
      </c>
      <c r="Z40" s="7" t="s">
        <v>33</v>
      </c>
      <c r="AA40" s="7" t="s">
        <v>215</v>
      </c>
      <c r="AB40" s="7" t="s">
        <v>216</v>
      </c>
      <c r="AC40" s="7" t="s">
        <v>194</v>
      </c>
      <c r="AD40" s="7" t="s">
        <v>217</v>
      </c>
      <c r="AE40" s="7" t="s">
        <v>218</v>
      </c>
      <c r="AF40" s="8" t="s">
        <v>272</v>
      </c>
    </row>
    <row r="41" ht="15" customHeight="1" spans="1:32">
      <c r="A41" s="9">
        <v>40</v>
      </c>
      <c r="B41" s="12" t="s">
        <v>279</v>
      </c>
      <c r="C41" s="12" t="s">
        <v>280</v>
      </c>
      <c r="D41" s="10">
        <v>9953</v>
      </c>
      <c r="E41" s="11">
        <v>0.0017</v>
      </c>
      <c r="F41" s="11">
        <v>-0.1132</v>
      </c>
      <c r="G41" s="11">
        <v>0.0025</v>
      </c>
      <c r="H41" s="11">
        <v>0.0094</v>
      </c>
      <c r="I41" s="12" t="s">
        <v>208</v>
      </c>
      <c r="J41" s="12" t="s">
        <v>147</v>
      </c>
      <c r="K41" s="12" t="s">
        <v>110</v>
      </c>
      <c r="L41" s="12" t="s">
        <v>111</v>
      </c>
      <c r="M41" s="12" t="s">
        <v>85</v>
      </c>
      <c r="N41" s="12" t="s">
        <v>112</v>
      </c>
      <c r="O41" s="12" t="s">
        <v>101</v>
      </c>
      <c r="P41" s="12" t="s">
        <v>281</v>
      </c>
      <c r="Q41" s="12" t="s">
        <v>281</v>
      </c>
      <c r="R41" s="12" t="s">
        <v>88</v>
      </c>
      <c r="S41" s="12" t="s">
        <v>89</v>
      </c>
      <c r="T41" s="12" t="s">
        <v>115</v>
      </c>
      <c r="U41" s="12" t="s">
        <v>116</v>
      </c>
      <c r="V41" s="12" t="s">
        <v>282</v>
      </c>
      <c r="W41" s="15">
        <v>3</v>
      </c>
      <c r="X41" s="15">
        <f t="shared" si="0"/>
        <v>41.6</v>
      </c>
      <c r="Y41" s="15">
        <f t="shared" si="1"/>
        <v>57.9</v>
      </c>
      <c r="Z41" s="12" t="s">
        <v>29</v>
      </c>
      <c r="AA41" s="12" t="s">
        <v>174</v>
      </c>
      <c r="AB41" s="12" t="s">
        <v>175</v>
      </c>
      <c r="AC41" s="12" t="s">
        <v>283</v>
      </c>
      <c r="AD41" s="12" t="s">
        <v>130</v>
      </c>
      <c r="AE41" s="12" t="s">
        <v>96</v>
      </c>
      <c r="AF41" s="13" t="s">
        <v>209</v>
      </c>
    </row>
  </sheetData>
  <conditionalFormatting sqref="D2:D41"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{7ce3bd3e-7446-4be5-8d49-0b34f68240df}</x14:id>
        </ext>
      </extLst>
    </cfRule>
  </conditionalFormatting>
  <conditionalFormatting sqref="Z2:Z41">
    <cfRule type="expression" dxfId="0" priority="1">
      <formula>$Z2="S-核心必打"</formula>
    </cfRule>
    <cfRule type="expression" dxfId="1" priority="2">
      <formula>$Z2="A-高机会长尾"</formula>
    </cfRule>
    <cfRule type="expression" dxfId="2" priority="3">
      <formula>ISNUMBER(SEARCH("低匹配",$Z2))</formula>
    </cfRule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e3bd3e-7446-4be5-8d49-0b34f68240d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D2:D41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4.25"/>
  <cols>
    <col min="1" max="1" width="4.70833333333333" customWidth="1"/>
    <col min="2" max="2" width="30" customWidth="1"/>
    <col min="3" max="3" width="26" customWidth="1"/>
    <col min="4" max="4" width="4.85" customWidth="1"/>
    <col min="5" max="5" width="7.94166666666667" customWidth="1"/>
    <col min="6" max="6" width="6.45833333333333" customWidth="1"/>
    <col min="7" max="7" width="7.94166666666667" customWidth="1"/>
    <col min="8" max="8" width="4.70833333333333" customWidth="1"/>
    <col min="9" max="9" width="7.94166666666667" customWidth="1"/>
    <col min="10" max="10" width="9.41666666666667" customWidth="1"/>
    <col min="11" max="11" width="40" customWidth="1"/>
    <col min="12" max="12" width="42" customWidth="1"/>
    <col min="13" max="13" width="24" customWidth="1"/>
    <col min="14" max="14" width="46" customWidth="1"/>
  </cols>
  <sheetData>
    <row r="1" ht="15" customHeight="1" spans="1:14">
      <c r="A1" s="1" t="s">
        <v>284</v>
      </c>
      <c r="B1" s="2" t="s">
        <v>52</v>
      </c>
      <c r="C1" s="2" t="s">
        <v>53</v>
      </c>
      <c r="D1" s="2" t="s">
        <v>10</v>
      </c>
      <c r="E1" s="2" t="s">
        <v>57</v>
      </c>
      <c r="F1" s="2" t="s">
        <v>54</v>
      </c>
      <c r="G1" s="2" t="s">
        <v>72</v>
      </c>
      <c r="H1" s="2" t="s">
        <v>73</v>
      </c>
      <c r="I1" s="2" t="s">
        <v>74</v>
      </c>
      <c r="J1" s="2" t="s">
        <v>12</v>
      </c>
      <c r="K1" s="2" t="s">
        <v>285</v>
      </c>
      <c r="L1" s="2" t="s">
        <v>286</v>
      </c>
      <c r="M1" s="2" t="s">
        <v>76</v>
      </c>
      <c r="N1" s="3" t="s">
        <v>287</v>
      </c>
    </row>
    <row r="2" ht="15" customHeight="1" spans="1:14">
      <c r="A2" s="4">
        <v>1</v>
      </c>
      <c r="B2" s="7" t="s">
        <v>17</v>
      </c>
      <c r="C2" s="7" t="s">
        <v>81</v>
      </c>
      <c r="D2" s="5">
        <v>326159</v>
      </c>
      <c r="E2" s="6">
        <v>0.0194</v>
      </c>
      <c r="F2" s="6">
        <v>-0.0746</v>
      </c>
      <c r="G2" s="7">
        <v>3</v>
      </c>
      <c r="H2" s="14">
        <v>68.6</v>
      </c>
      <c r="I2" s="14">
        <v>77.7</v>
      </c>
      <c r="J2" s="7" t="s">
        <v>18</v>
      </c>
      <c r="K2" s="7" t="s">
        <v>90</v>
      </c>
      <c r="L2" s="7" t="s">
        <v>19</v>
      </c>
      <c r="M2" s="7" t="s">
        <v>93</v>
      </c>
      <c r="N2" s="8" t="s">
        <v>94</v>
      </c>
    </row>
    <row r="3" ht="15" customHeight="1" spans="1:14">
      <c r="A3" s="4">
        <v>2</v>
      </c>
      <c r="B3" s="7" t="s">
        <v>23</v>
      </c>
      <c r="C3" s="7" t="s">
        <v>131</v>
      </c>
      <c r="D3" s="5">
        <v>60310</v>
      </c>
      <c r="E3" s="6">
        <v>0.0298</v>
      </c>
      <c r="F3" s="6">
        <v>-0.2343</v>
      </c>
      <c r="G3" s="7">
        <v>3</v>
      </c>
      <c r="H3" s="14">
        <v>57</v>
      </c>
      <c r="I3" s="14">
        <v>71.3</v>
      </c>
      <c r="J3" s="7" t="s">
        <v>18</v>
      </c>
      <c r="K3" s="7" t="s">
        <v>90</v>
      </c>
      <c r="L3" s="7" t="s">
        <v>19</v>
      </c>
      <c r="M3" s="7" t="s">
        <v>93</v>
      </c>
      <c r="N3" s="8" t="s">
        <v>94</v>
      </c>
    </row>
    <row r="4" ht="15" customHeight="1" spans="1:14">
      <c r="A4" s="4">
        <v>3</v>
      </c>
      <c r="B4" s="7" t="s">
        <v>27</v>
      </c>
      <c r="C4" s="7" t="s">
        <v>138</v>
      </c>
      <c r="D4" s="5">
        <v>46642</v>
      </c>
      <c r="E4" s="6">
        <v>0.0229</v>
      </c>
      <c r="F4" s="6">
        <v>-0.2314</v>
      </c>
      <c r="G4" s="7">
        <v>3</v>
      </c>
      <c r="H4" s="14">
        <v>52</v>
      </c>
      <c r="I4" s="14">
        <v>68.6</v>
      </c>
      <c r="J4" s="7" t="s">
        <v>20</v>
      </c>
      <c r="K4" s="7" t="s">
        <v>140</v>
      </c>
      <c r="L4" s="7" t="s">
        <v>28</v>
      </c>
      <c r="M4" s="7" t="s">
        <v>105</v>
      </c>
      <c r="N4" s="8" t="s">
        <v>141</v>
      </c>
    </row>
    <row r="5" ht="15" customHeight="1" spans="1:14">
      <c r="A5" s="4">
        <v>4</v>
      </c>
      <c r="B5" s="7" t="s">
        <v>32</v>
      </c>
      <c r="C5" s="7" t="s">
        <v>142</v>
      </c>
      <c r="D5" s="5">
        <v>43571</v>
      </c>
      <c r="E5" s="6">
        <v>0.0228</v>
      </c>
      <c r="F5" s="6">
        <v>-0.2028</v>
      </c>
      <c r="G5" s="7">
        <v>3</v>
      </c>
      <c r="H5" s="14">
        <v>51.9</v>
      </c>
      <c r="I5" s="14">
        <v>68.5</v>
      </c>
      <c r="J5" s="7" t="s">
        <v>20</v>
      </c>
      <c r="K5" s="7" t="s">
        <v>140</v>
      </c>
      <c r="L5" s="7" t="s">
        <v>28</v>
      </c>
      <c r="M5" s="7" t="s">
        <v>105</v>
      </c>
      <c r="N5" s="8" t="s">
        <v>141</v>
      </c>
    </row>
    <row r="6" ht="15" customHeight="1" spans="1:14">
      <c r="A6" s="4">
        <v>5</v>
      </c>
      <c r="B6" s="7" t="s">
        <v>36</v>
      </c>
      <c r="C6" s="7" t="s">
        <v>135</v>
      </c>
      <c r="D6" s="5">
        <v>53415</v>
      </c>
      <c r="E6" s="6">
        <v>0.0203</v>
      </c>
      <c r="F6" s="6">
        <v>-0.1814</v>
      </c>
      <c r="G6" s="7">
        <v>3</v>
      </c>
      <c r="H6" s="14">
        <v>51.6</v>
      </c>
      <c r="I6" s="14">
        <v>68.4</v>
      </c>
      <c r="J6" s="7" t="s">
        <v>20</v>
      </c>
      <c r="K6" s="7" t="s">
        <v>90</v>
      </c>
      <c r="L6" s="7" t="s">
        <v>28</v>
      </c>
      <c r="M6" s="7" t="s">
        <v>105</v>
      </c>
      <c r="N6" s="8" t="s">
        <v>94</v>
      </c>
    </row>
    <row r="7" ht="15" customHeight="1" spans="1:14">
      <c r="A7" s="4">
        <v>6</v>
      </c>
      <c r="B7" s="7" t="s">
        <v>39</v>
      </c>
      <c r="C7" s="7" t="s">
        <v>98</v>
      </c>
      <c r="D7" s="5">
        <v>82874</v>
      </c>
      <c r="E7" s="6">
        <v>0.0192</v>
      </c>
      <c r="F7" s="6">
        <v>-0.3032</v>
      </c>
      <c r="G7" s="7">
        <v>3</v>
      </c>
      <c r="H7" s="14">
        <v>51.3</v>
      </c>
      <c r="I7" s="14">
        <v>68.2</v>
      </c>
      <c r="J7" s="7" t="s">
        <v>20</v>
      </c>
      <c r="K7" s="7" t="s">
        <v>102</v>
      </c>
      <c r="L7" s="7" t="s">
        <v>28</v>
      </c>
      <c r="M7" s="7" t="s">
        <v>105</v>
      </c>
      <c r="N7" s="8" t="s">
        <v>106</v>
      </c>
    </row>
    <row r="8" ht="15" customHeight="1" spans="1:14">
      <c r="A8" s="4">
        <v>7</v>
      </c>
      <c r="B8" s="7" t="s">
        <v>42</v>
      </c>
      <c r="C8" s="7" t="s">
        <v>151</v>
      </c>
      <c r="D8" s="5">
        <v>27601</v>
      </c>
      <c r="E8" s="6">
        <v>0.0209</v>
      </c>
      <c r="F8" s="6">
        <v>-0.0973</v>
      </c>
      <c r="G8" s="7">
        <v>3</v>
      </c>
      <c r="H8" s="14">
        <v>50.6</v>
      </c>
      <c r="I8" s="14">
        <v>67.8</v>
      </c>
      <c r="J8" s="7" t="s">
        <v>20</v>
      </c>
      <c r="K8" s="7" t="s">
        <v>140</v>
      </c>
      <c r="L8" s="7" t="s">
        <v>28</v>
      </c>
      <c r="M8" s="7" t="s">
        <v>105</v>
      </c>
      <c r="N8" s="8" t="s">
        <v>141</v>
      </c>
    </row>
    <row r="9" ht="15" customHeight="1" spans="1:14">
      <c r="A9" s="4">
        <v>8</v>
      </c>
      <c r="B9" s="7" t="s">
        <v>47</v>
      </c>
      <c r="C9" s="7" t="s">
        <v>121</v>
      </c>
      <c r="D9" s="5">
        <v>64708</v>
      </c>
      <c r="E9" s="6">
        <v>0.0171</v>
      </c>
      <c r="F9" s="6">
        <v>-0.2324</v>
      </c>
      <c r="G9" s="7">
        <v>3</v>
      </c>
      <c r="H9" s="14">
        <v>50.3</v>
      </c>
      <c r="I9" s="14">
        <v>67.7</v>
      </c>
      <c r="J9" s="7" t="s">
        <v>20</v>
      </c>
      <c r="K9" s="7" t="s">
        <v>125</v>
      </c>
      <c r="L9" s="7" t="s">
        <v>28</v>
      </c>
      <c r="M9" s="7" t="s">
        <v>105</v>
      </c>
      <c r="N9" s="8" t="s">
        <v>127</v>
      </c>
    </row>
    <row r="10" ht="15" customHeight="1" spans="1:14">
      <c r="A10" s="4">
        <v>9</v>
      </c>
      <c r="B10" s="7" t="s">
        <v>198</v>
      </c>
      <c r="C10" s="7" t="s">
        <v>199</v>
      </c>
      <c r="D10" s="5">
        <v>20306</v>
      </c>
      <c r="E10" s="6">
        <v>0.0244</v>
      </c>
      <c r="F10" s="6">
        <v>-0.2344</v>
      </c>
      <c r="G10" s="7">
        <v>3</v>
      </c>
      <c r="H10" s="14">
        <v>49.3</v>
      </c>
      <c r="I10" s="14">
        <v>67.1</v>
      </c>
      <c r="J10" s="7" t="s">
        <v>20</v>
      </c>
      <c r="K10" s="7" t="s">
        <v>140</v>
      </c>
      <c r="L10" s="7" t="s">
        <v>28</v>
      </c>
      <c r="M10" s="7" t="s">
        <v>105</v>
      </c>
      <c r="N10" s="8" t="s">
        <v>141</v>
      </c>
    </row>
    <row r="11" ht="15" customHeight="1" spans="1:14">
      <c r="A11" s="4">
        <v>10</v>
      </c>
      <c r="B11" s="7" t="s">
        <v>200</v>
      </c>
      <c r="C11" s="7" t="s">
        <v>137</v>
      </c>
      <c r="D11" s="5">
        <v>14356</v>
      </c>
      <c r="E11" s="6">
        <v>0.0228</v>
      </c>
      <c r="F11" s="6">
        <v>-0.1847</v>
      </c>
      <c r="G11" s="7">
        <v>3</v>
      </c>
      <c r="H11" s="14">
        <v>48</v>
      </c>
      <c r="I11" s="14">
        <v>66.4</v>
      </c>
      <c r="J11" s="7" t="s">
        <v>20</v>
      </c>
      <c r="K11" s="7" t="s">
        <v>90</v>
      </c>
      <c r="L11" s="7" t="s">
        <v>28</v>
      </c>
      <c r="M11" s="7" t="s">
        <v>105</v>
      </c>
      <c r="N11" s="8" t="s">
        <v>94</v>
      </c>
    </row>
    <row r="12" ht="15" customHeight="1" spans="1:14">
      <c r="A12" s="4">
        <v>11</v>
      </c>
      <c r="B12" s="7" t="s">
        <v>136</v>
      </c>
      <c r="C12" s="7" t="s">
        <v>137</v>
      </c>
      <c r="D12" s="5">
        <v>62615</v>
      </c>
      <c r="E12" s="6">
        <v>0.0208</v>
      </c>
      <c r="F12" s="6">
        <v>-0.49</v>
      </c>
      <c r="G12" s="7">
        <v>3</v>
      </c>
      <c r="H12" s="14">
        <v>47.9</v>
      </c>
      <c r="I12" s="14">
        <v>66.3</v>
      </c>
      <c r="J12" s="7" t="s">
        <v>20</v>
      </c>
      <c r="K12" s="7" t="s">
        <v>90</v>
      </c>
      <c r="L12" s="7" t="s">
        <v>28</v>
      </c>
      <c r="M12" s="7" t="s">
        <v>105</v>
      </c>
      <c r="N12" s="8" t="s">
        <v>94</v>
      </c>
    </row>
    <row r="13" ht="15" customHeight="1" spans="1:14">
      <c r="A13" s="4">
        <v>12</v>
      </c>
      <c r="B13" s="7" t="s">
        <v>152</v>
      </c>
      <c r="C13" s="7" t="s">
        <v>153</v>
      </c>
      <c r="D13" s="5">
        <v>20424</v>
      </c>
      <c r="E13" s="6">
        <v>0.0138</v>
      </c>
      <c r="F13" s="6">
        <v>-0.0422</v>
      </c>
      <c r="G13" s="7">
        <v>3</v>
      </c>
      <c r="H13" s="14">
        <v>46.2</v>
      </c>
      <c r="I13" s="14">
        <v>65.4</v>
      </c>
      <c r="J13" s="7" t="s">
        <v>20</v>
      </c>
      <c r="K13" s="7" t="s">
        <v>156</v>
      </c>
      <c r="L13" s="7" t="s">
        <v>28</v>
      </c>
      <c r="M13" s="7" t="s">
        <v>105</v>
      </c>
      <c r="N13" s="8" t="s">
        <v>158</v>
      </c>
    </row>
    <row r="14" ht="15" customHeight="1" spans="1:14">
      <c r="A14" s="4">
        <v>13</v>
      </c>
      <c r="B14" s="7" t="s">
        <v>244</v>
      </c>
      <c r="C14" s="7" t="s">
        <v>245</v>
      </c>
      <c r="D14" s="5">
        <v>32159</v>
      </c>
      <c r="E14" s="6">
        <v>0.0138</v>
      </c>
      <c r="F14" s="6">
        <v>-0.1778</v>
      </c>
      <c r="G14" s="7">
        <v>3</v>
      </c>
      <c r="H14" s="14">
        <v>45.2</v>
      </c>
      <c r="I14" s="14">
        <v>64.9</v>
      </c>
      <c r="J14" s="7" t="s">
        <v>20</v>
      </c>
      <c r="K14" s="7" t="s">
        <v>102</v>
      </c>
      <c r="L14" s="7" t="s">
        <v>28</v>
      </c>
      <c r="M14" s="7" t="s">
        <v>105</v>
      </c>
      <c r="N14" s="8" t="s">
        <v>106</v>
      </c>
    </row>
    <row r="15" ht="15" customHeight="1" spans="1:14">
      <c r="A15" s="4">
        <v>14</v>
      </c>
      <c r="B15" s="7" t="s">
        <v>129</v>
      </c>
      <c r="C15" s="7" t="s">
        <v>108</v>
      </c>
      <c r="D15" s="5">
        <v>61829</v>
      </c>
      <c r="E15" s="6">
        <v>0.0197</v>
      </c>
      <c r="F15" s="6">
        <v>-0.2435</v>
      </c>
      <c r="G15" s="7">
        <v>3</v>
      </c>
      <c r="H15" s="14">
        <v>51.1</v>
      </c>
      <c r="I15" s="14">
        <v>61.4</v>
      </c>
      <c r="J15" s="7" t="s">
        <v>20</v>
      </c>
      <c r="K15" s="7" t="s">
        <v>115</v>
      </c>
      <c r="L15" s="7" t="s">
        <v>28</v>
      </c>
      <c r="M15" s="7" t="s">
        <v>105</v>
      </c>
      <c r="N15" s="8" t="s">
        <v>118</v>
      </c>
    </row>
    <row r="16" ht="15" customHeight="1" spans="1:14">
      <c r="A16" s="4">
        <v>15</v>
      </c>
      <c r="B16" s="7" t="s">
        <v>107</v>
      </c>
      <c r="C16" s="7" t="s">
        <v>108</v>
      </c>
      <c r="D16" s="5">
        <v>60609</v>
      </c>
      <c r="E16" s="6">
        <v>0.0202</v>
      </c>
      <c r="F16" s="6">
        <v>-0.2983</v>
      </c>
      <c r="G16" s="7">
        <v>3</v>
      </c>
      <c r="H16" s="14">
        <v>50.6</v>
      </c>
      <c r="I16" s="14">
        <v>61.2</v>
      </c>
      <c r="J16" s="7" t="s">
        <v>20</v>
      </c>
      <c r="K16" s="7" t="s">
        <v>115</v>
      </c>
      <c r="L16" s="7" t="s">
        <v>28</v>
      </c>
      <c r="M16" s="7" t="s">
        <v>105</v>
      </c>
      <c r="N16" s="8" t="s">
        <v>118</v>
      </c>
    </row>
    <row r="17" ht="15" customHeight="1" spans="1:14">
      <c r="A17" s="4">
        <v>16</v>
      </c>
      <c r="B17" s="7" t="s">
        <v>201</v>
      </c>
      <c r="C17" s="7" t="s">
        <v>108</v>
      </c>
      <c r="D17" s="5">
        <v>9901</v>
      </c>
      <c r="E17" s="6">
        <v>0.0222</v>
      </c>
      <c r="F17" s="6">
        <v>-0.0082</v>
      </c>
      <c r="G17" s="7">
        <v>3</v>
      </c>
      <c r="H17" s="14">
        <v>49.1</v>
      </c>
      <c r="I17" s="14">
        <v>60.3</v>
      </c>
      <c r="J17" s="7" t="s">
        <v>20</v>
      </c>
      <c r="K17" s="7" t="s">
        <v>115</v>
      </c>
      <c r="L17" s="7" t="s">
        <v>28</v>
      </c>
      <c r="M17" s="7" t="s">
        <v>105</v>
      </c>
      <c r="N17" s="8" t="s">
        <v>118</v>
      </c>
    </row>
    <row r="18" ht="15" customHeight="1" spans="1:14">
      <c r="A18" s="9">
        <v>17</v>
      </c>
      <c r="B18" s="12" t="s">
        <v>145</v>
      </c>
      <c r="C18" s="12" t="s">
        <v>146</v>
      </c>
      <c r="D18" s="10">
        <v>36238</v>
      </c>
      <c r="E18" s="11">
        <v>0.0152</v>
      </c>
      <c r="F18" s="11">
        <v>-0.1709</v>
      </c>
      <c r="G18" s="12">
        <v>3</v>
      </c>
      <c r="H18" s="15">
        <v>47.1</v>
      </c>
      <c r="I18" s="15">
        <v>59.2</v>
      </c>
      <c r="J18" s="12" t="s">
        <v>20</v>
      </c>
      <c r="K18" s="12" t="s">
        <v>115</v>
      </c>
      <c r="L18" s="12" t="s">
        <v>28</v>
      </c>
      <c r="M18" s="12" t="s">
        <v>105</v>
      </c>
      <c r="N18" s="13" t="s">
        <v>150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25"/>
  <cols>
    <col min="1" max="1" width="16" customWidth="1"/>
    <col min="2" max="2" width="24" customWidth="1"/>
    <col min="3" max="3" width="22" customWidth="1"/>
    <col min="4" max="5" width="11.1666666666667" customWidth="1"/>
    <col min="6" max="7" width="8.48333333333333" customWidth="1"/>
    <col min="8" max="8" width="9.69166666666667" customWidth="1"/>
    <col min="9" max="9" width="48" customWidth="1"/>
    <col min="10" max="10" width="18" customWidth="1"/>
    <col min="11" max="11" width="40" customWidth="1"/>
  </cols>
  <sheetData>
    <row r="1" ht="15" customHeight="1" spans="1:11">
      <c r="A1" s="1" t="s">
        <v>60</v>
      </c>
      <c r="B1" s="2" t="s">
        <v>288</v>
      </c>
      <c r="C1" s="2" t="s">
        <v>289</v>
      </c>
      <c r="D1" s="2" t="s">
        <v>290</v>
      </c>
      <c r="E1" s="2" t="s">
        <v>291</v>
      </c>
      <c r="F1" s="2" t="s">
        <v>292</v>
      </c>
      <c r="G1" s="2" t="s">
        <v>293</v>
      </c>
      <c r="H1" s="2" t="s">
        <v>294</v>
      </c>
      <c r="I1" s="2" t="s">
        <v>295</v>
      </c>
      <c r="J1" s="2" t="s">
        <v>296</v>
      </c>
      <c r="K1" s="3" t="s">
        <v>286</v>
      </c>
    </row>
    <row r="2" ht="15" customHeight="1" spans="1:11">
      <c r="A2" s="4" t="s">
        <v>63</v>
      </c>
      <c r="B2" s="7" t="s">
        <v>297</v>
      </c>
      <c r="C2" s="7" t="s">
        <v>298</v>
      </c>
      <c r="D2" s="5">
        <v>33</v>
      </c>
      <c r="E2" s="5">
        <v>4524787</v>
      </c>
      <c r="F2" s="6">
        <v>0.886058828459552</v>
      </c>
      <c r="G2" s="6">
        <v>0.0188727272727273</v>
      </c>
      <c r="H2" s="6">
        <v>-0.202336363636364</v>
      </c>
      <c r="I2" s="7" t="s">
        <v>299</v>
      </c>
      <c r="J2" s="7" t="s">
        <v>300</v>
      </c>
      <c r="K2" s="8" t="s">
        <v>301</v>
      </c>
    </row>
    <row r="3" ht="15" customHeight="1" spans="1:11">
      <c r="A3" s="4" t="s">
        <v>61</v>
      </c>
      <c r="B3" s="7" t="s">
        <v>202</v>
      </c>
      <c r="C3" s="7" t="s">
        <v>241</v>
      </c>
      <c r="D3" s="5">
        <v>20</v>
      </c>
      <c r="E3" s="5">
        <v>3975253</v>
      </c>
      <c r="F3" s="6">
        <v>0.778447254204523</v>
      </c>
      <c r="G3" s="6">
        <v>0.018985</v>
      </c>
      <c r="H3" s="6">
        <v>-0.195975</v>
      </c>
      <c r="I3" s="7" t="s">
        <v>302</v>
      </c>
      <c r="J3" s="7" t="s">
        <v>300</v>
      </c>
      <c r="K3" s="8" t="s">
        <v>301</v>
      </c>
    </row>
    <row r="4" ht="15" customHeight="1" spans="1:11">
      <c r="A4" s="4" t="s">
        <v>64</v>
      </c>
      <c r="B4" s="7" t="s">
        <v>303</v>
      </c>
      <c r="C4" s="7" t="s">
        <v>304</v>
      </c>
      <c r="D4" s="5">
        <v>9</v>
      </c>
      <c r="E4" s="5">
        <v>654975</v>
      </c>
      <c r="F4" s="6">
        <v>0.128259381307959</v>
      </c>
      <c r="G4" s="6">
        <v>0.0226777777777778</v>
      </c>
      <c r="H4" s="6">
        <v>-0.214544444444444</v>
      </c>
      <c r="I4" s="7" t="s">
        <v>305</v>
      </c>
      <c r="J4" s="7" t="s">
        <v>306</v>
      </c>
      <c r="K4" s="8" t="s">
        <v>307</v>
      </c>
    </row>
    <row r="5" ht="15" customHeight="1" spans="1:11">
      <c r="A5" s="4" t="s">
        <v>61</v>
      </c>
      <c r="B5" s="7" t="s">
        <v>17</v>
      </c>
      <c r="C5" s="7" t="s">
        <v>308</v>
      </c>
      <c r="D5" s="5">
        <v>8</v>
      </c>
      <c r="E5" s="5">
        <v>601560</v>
      </c>
      <c r="F5" s="6">
        <v>0.117799478483325</v>
      </c>
      <c r="G5" s="6">
        <v>0.022975</v>
      </c>
      <c r="H5" s="6">
        <v>-0.2186875</v>
      </c>
      <c r="I5" s="7" t="s">
        <v>309</v>
      </c>
      <c r="J5" s="7" t="s">
        <v>306</v>
      </c>
      <c r="K5" s="8" t="s">
        <v>307</v>
      </c>
    </row>
    <row r="6" ht="15" customHeight="1" spans="1:11">
      <c r="A6" s="4" t="s">
        <v>275</v>
      </c>
      <c r="B6" s="7" t="s">
        <v>310</v>
      </c>
      <c r="C6" s="7" t="s">
        <v>311</v>
      </c>
      <c r="D6" s="5">
        <v>4</v>
      </c>
      <c r="E6" s="5">
        <v>474956</v>
      </c>
      <c r="F6" s="6">
        <v>0.0930074624352119</v>
      </c>
      <c r="G6" s="6">
        <v>0.02655</v>
      </c>
      <c r="H6" s="6">
        <v>-0.28975</v>
      </c>
      <c r="I6" s="7" t="s">
        <v>312</v>
      </c>
      <c r="J6" s="7" t="s">
        <v>313</v>
      </c>
      <c r="K6" s="8" t="s">
        <v>314</v>
      </c>
    </row>
    <row r="7" ht="15" customHeight="1" spans="1:11">
      <c r="A7" s="4" t="s">
        <v>64</v>
      </c>
      <c r="B7" s="7" t="s">
        <v>315</v>
      </c>
      <c r="C7" s="7" t="s">
        <v>316</v>
      </c>
      <c r="D7" s="5">
        <v>7</v>
      </c>
      <c r="E7" s="5">
        <v>335370</v>
      </c>
      <c r="F7" s="6">
        <v>0.0656732680014507</v>
      </c>
      <c r="G7" s="6">
        <v>0.0170571428571429</v>
      </c>
      <c r="H7" s="6">
        <v>-0.225742857142857</v>
      </c>
      <c r="I7" s="7" t="s">
        <v>317</v>
      </c>
      <c r="J7" s="7" t="s">
        <v>300</v>
      </c>
      <c r="K7" s="8" t="s">
        <v>301</v>
      </c>
    </row>
    <row r="8" ht="15" customHeight="1" spans="1:11">
      <c r="A8" s="4" t="s">
        <v>61</v>
      </c>
      <c r="B8" s="7" t="s">
        <v>226</v>
      </c>
      <c r="C8" s="7" t="s">
        <v>227</v>
      </c>
      <c r="D8" s="5">
        <v>6</v>
      </c>
      <c r="E8" s="5">
        <v>315064</v>
      </c>
      <c r="F8" s="6">
        <v>0.0616968795945047</v>
      </c>
      <c r="G8" s="6">
        <v>0.0158333333333333</v>
      </c>
      <c r="H8" s="6">
        <v>-0.2243</v>
      </c>
      <c r="I8" s="7" t="s">
        <v>317</v>
      </c>
      <c r="J8" s="7" t="s">
        <v>300</v>
      </c>
      <c r="K8" s="8" t="s">
        <v>301</v>
      </c>
    </row>
    <row r="9" ht="15" customHeight="1" spans="1:11">
      <c r="A9" s="4" t="s">
        <v>63</v>
      </c>
      <c r="B9" s="7" t="s">
        <v>318</v>
      </c>
      <c r="C9" s="7" t="s">
        <v>319</v>
      </c>
      <c r="D9" s="5">
        <v>3</v>
      </c>
      <c r="E9" s="5">
        <v>179741</v>
      </c>
      <c r="F9" s="6">
        <v>0.0351974799888146</v>
      </c>
      <c r="G9" s="6">
        <v>0.0167</v>
      </c>
      <c r="H9" s="6">
        <v>-0.2378</v>
      </c>
      <c r="I9" s="7" t="s">
        <v>320</v>
      </c>
      <c r="J9" s="7" t="s">
        <v>306</v>
      </c>
      <c r="K9" s="8" t="s">
        <v>307</v>
      </c>
    </row>
    <row r="10" ht="15" customHeight="1" spans="1:11">
      <c r="A10" s="4" t="s">
        <v>321</v>
      </c>
      <c r="B10" s="7" t="s">
        <v>322</v>
      </c>
      <c r="C10" s="7" t="s">
        <v>323</v>
      </c>
      <c r="D10" s="5">
        <v>4</v>
      </c>
      <c r="E10" s="5">
        <v>150736</v>
      </c>
      <c r="F10" s="6">
        <v>0.0295176244907614</v>
      </c>
      <c r="G10" s="6">
        <v>0.0187</v>
      </c>
      <c r="H10" s="6">
        <v>-0.18655</v>
      </c>
      <c r="I10" s="7" t="s">
        <v>324</v>
      </c>
      <c r="J10" s="7" t="s">
        <v>306</v>
      </c>
      <c r="K10" s="8" t="s">
        <v>307</v>
      </c>
    </row>
    <row r="11" ht="15" customHeight="1" spans="1:11">
      <c r="A11" s="4" t="s">
        <v>61</v>
      </c>
      <c r="B11" s="7" t="s">
        <v>325</v>
      </c>
      <c r="C11" s="7" t="s">
        <v>326</v>
      </c>
      <c r="D11" s="5">
        <v>2</v>
      </c>
      <c r="E11" s="5">
        <v>115033</v>
      </c>
      <c r="F11" s="6">
        <v>0.0225261443719202</v>
      </c>
      <c r="G11" s="6">
        <v>0.0165</v>
      </c>
      <c r="H11" s="6">
        <v>-0.2405</v>
      </c>
      <c r="I11" s="7" t="s">
        <v>327</v>
      </c>
      <c r="J11" s="7" t="s">
        <v>306</v>
      </c>
      <c r="K11" s="8" t="s">
        <v>307</v>
      </c>
    </row>
    <row r="12" ht="15" customHeight="1" spans="1:11">
      <c r="A12" s="4" t="s">
        <v>61</v>
      </c>
      <c r="B12" s="7" t="s">
        <v>230</v>
      </c>
      <c r="C12" s="7" t="s">
        <v>231</v>
      </c>
      <c r="D12" s="5">
        <v>3</v>
      </c>
      <c r="E12" s="5">
        <v>103205</v>
      </c>
      <c r="F12" s="6">
        <v>0.0202099461015884</v>
      </c>
      <c r="G12" s="6">
        <v>0.0141333333333333</v>
      </c>
      <c r="H12" s="6">
        <v>-0.1372</v>
      </c>
      <c r="I12" s="7" t="s">
        <v>328</v>
      </c>
      <c r="J12" s="7" t="s">
        <v>300</v>
      </c>
      <c r="K12" s="8" t="s">
        <v>301</v>
      </c>
    </row>
    <row r="13" ht="15" customHeight="1" spans="1:11">
      <c r="A13" s="4" t="s">
        <v>64</v>
      </c>
      <c r="B13" s="7" t="s">
        <v>329</v>
      </c>
      <c r="C13" s="7" t="s">
        <v>330</v>
      </c>
      <c r="D13" s="5">
        <v>3</v>
      </c>
      <c r="E13" s="5">
        <v>103205</v>
      </c>
      <c r="F13" s="6">
        <v>0.0202099461015884</v>
      </c>
      <c r="G13" s="6">
        <v>0.0141333333333333</v>
      </c>
      <c r="H13" s="6">
        <v>-0.1372</v>
      </c>
      <c r="I13" s="7" t="s">
        <v>328</v>
      </c>
      <c r="J13" s="7" t="s">
        <v>300</v>
      </c>
      <c r="K13" s="8" t="s">
        <v>301</v>
      </c>
    </row>
    <row r="14" ht="15" customHeight="1" spans="1:11">
      <c r="A14" s="4" t="s">
        <v>61</v>
      </c>
      <c r="B14" s="7" t="s">
        <v>236</v>
      </c>
      <c r="C14" s="7" t="s">
        <v>331</v>
      </c>
      <c r="D14" s="5">
        <v>2</v>
      </c>
      <c r="E14" s="5">
        <v>67465</v>
      </c>
      <c r="F14" s="6">
        <v>0.0132112205197778</v>
      </c>
      <c r="G14" s="6">
        <v>0.0246</v>
      </c>
      <c r="H14" s="6">
        <v>-0.2008</v>
      </c>
      <c r="I14" s="7" t="s">
        <v>332</v>
      </c>
      <c r="J14" s="7" t="s">
        <v>300</v>
      </c>
      <c r="K14" s="8" t="s">
        <v>301</v>
      </c>
    </row>
    <row r="15" ht="15" customHeight="1" spans="1:11">
      <c r="A15" s="4" t="s">
        <v>61</v>
      </c>
      <c r="B15" s="7" t="s">
        <v>333</v>
      </c>
      <c r="C15" s="7" t="s">
        <v>121</v>
      </c>
      <c r="D15" s="5">
        <v>1</v>
      </c>
      <c r="E15" s="5">
        <v>64708</v>
      </c>
      <c r="F15" s="6">
        <v>0.0126713356168944</v>
      </c>
      <c r="G15" s="6">
        <v>0.0171</v>
      </c>
      <c r="H15" s="6">
        <v>-0.2324</v>
      </c>
      <c r="I15" s="7" t="s">
        <v>47</v>
      </c>
      <c r="J15" s="7" t="s">
        <v>306</v>
      </c>
      <c r="K15" s="8" t="s">
        <v>307</v>
      </c>
    </row>
    <row r="16" ht="15" customHeight="1" spans="1:11">
      <c r="A16" s="4" t="s">
        <v>321</v>
      </c>
      <c r="B16" s="7" t="s">
        <v>334</v>
      </c>
      <c r="C16" s="7" t="s">
        <v>335</v>
      </c>
      <c r="D16" s="5">
        <v>1</v>
      </c>
      <c r="E16" s="5">
        <v>36238</v>
      </c>
      <c r="F16" s="6">
        <v>0.00709624559691257</v>
      </c>
      <c r="G16" s="6">
        <v>0.0152</v>
      </c>
      <c r="H16" s="6">
        <v>-0.1709</v>
      </c>
      <c r="I16" s="7" t="s">
        <v>145</v>
      </c>
      <c r="J16" s="7" t="s">
        <v>306</v>
      </c>
      <c r="K16" s="8" t="s">
        <v>307</v>
      </c>
    </row>
    <row r="17" ht="15" customHeight="1" spans="1:11">
      <c r="A17" s="4" t="s">
        <v>63</v>
      </c>
      <c r="B17" s="7" t="s">
        <v>336</v>
      </c>
      <c r="C17" s="7" t="s">
        <v>337</v>
      </c>
      <c r="D17" s="5">
        <v>1</v>
      </c>
      <c r="E17" s="5">
        <v>29585</v>
      </c>
      <c r="F17" s="6">
        <v>0.00579343302568184</v>
      </c>
      <c r="G17" s="6">
        <v>0.0127</v>
      </c>
      <c r="H17" s="6">
        <v>-0.1538</v>
      </c>
      <c r="I17" s="7" t="s">
        <v>251</v>
      </c>
      <c r="J17" s="7" t="s">
        <v>300</v>
      </c>
      <c r="K17" s="8" t="s">
        <v>301</v>
      </c>
    </row>
    <row r="18" ht="15" customHeight="1" spans="1:11">
      <c r="A18" s="4" t="s">
        <v>321</v>
      </c>
      <c r="B18" s="7" t="s">
        <v>338</v>
      </c>
      <c r="C18" s="7" t="s">
        <v>339</v>
      </c>
      <c r="D18" s="5">
        <v>2</v>
      </c>
      <c r="E18" s="5">
        <v>27105</v>
      </c>
      <c r="F18" s="6">
        <v>0.00530779118340734</v>
      </c>
      <c r="G18" s="6">
        <v>0.0228</v>
      </c>
      <c r="H18" s="6">
        <v>-0.29245</v>
      </c>
      <c r="I18" s="7" t="s">
        <v>340</v>
      </c>
      <c r="J18" s="7" t="s">
        <v>341</v>
      </c>
      <c r="K18" s="8" t="s">
        <v>342</v>
      </c>
    </row>
    <row r="19" ht="15" customHeight="1" spans="1:11">
      <c r="A19" s="4" t="s">
        <v>63</v>
      </c>
      <c r="B19" s="7" t="s">
        <v>343</v>
      </c>
      <c r="C19" s="7" t="s">
        <v>344</v>
      </c>
      <c r="D19" s="5">
        <v>1</v>
      </c>
      <c r="E19" s="5">
        <v>20424</v>
      </c>
      <c r="F19" s="6">
        <v>0.00399949555911867</v>
      </c>
      <c r="G19" s="6">
        <v>0.0138</v>
      </c>
      <c r="H19" s="6">
        <v>-0.0422</v>
      </c>
      <c r="I19" s="7" t="s">
        <v>152</v>
      </c>
      <c r="J19" s="7" t="s">
        <v>306</v>
      </c>
      <c r="K19" s="8" t="s">
        <v>307</v>
      </c>
    </row>
    <row r="20" ht="15" customHeight="1" spans="1:11">
      <c r="A20" s="4" t="s">
        <v>345</v>
      </c>
      <c r="B20" s="7" t="s">
        <v>346</v>
      </c>
      <c r="C20" s="7" t="s">
        <v>347</v>
      </c>
      <c r="D20" s="5">
        <v>1</v>
      </c>
      <c r="E20" s="5">
        <v>18715</v>
      </c>
      <c r="F20" s="6">
        <v>0.00366483349926096</v>
      </c>
      <c r="G20" s="6">
        <v>0.003</v>
      </c>
      <c r="H20" s="6">
        <v>-0.2467</v>
      </c>
      <c r="I20" s="7" t="s">
        <v>185</v>
      </c>
      <c r="J20" s="7" t="s">
        <v>341</v>
      </c>
      <c r="K20" s="8" t="s">
        <v>342</v>
      </c>
    </row>
    <row r="21" ht="15" customHeight="1" spans="1:11">
      <c r="A21" s="4" t="s">
        <v>321</v>
      </c>
      <c r="B21" s="7" t="s">
        <v>348</v>
      </c>
      <c r="C21" s="7" t="s">
        <v>349</v>
      </c>
      <c r="D21" s="5">
        <v>1</v>
      </c>
      <c r="E21" s="5">
        <v>11015</v>
      </c>
      <c r="F21" s="6">
        <v>0.00215699390832805</v>
      </c>
      <c r="G21" s="6">
        <v>0.011</v>
      </c>
      <c r="H21" s="6">
        <v>-0.1677</v>
      </c>
      <c r="I21" s="7" t="s">
        <v>169</v>
      </c>
      <c r="J21" s="7" t="s">
        <v>306</v>
      </c>
      <c r="K21" s="8" t="s">
        <v>307</v>
      </c>
    </row>
    <row r="22" ht="15" customHeight="1" spans="1:11">
      <c r="A22" s="9" t="s">
        <v>321</v>
      </c>
      <c r="B22" s="12" t="s">
        <v>350</v>
      </c>
      <c r="C22" s="12" t="s">
        <v>351</v>
      </c>
      <c r="D22" s="10">
        <v>1</v>
      </c>
      <c r="E22" s="10">
        <v>9953</v>
      </c>
      <c r="F22" s="11">
        <v>0.00194902953877341</v>
      </c>
      <c r="G22" s="11">
        <v>0.0094</v>
      </c>
      <c r="H22" s="11">
        <v>0.0017</v>
      </c>
      <c r="I22" s="12" t="s">
        <v>279</v>
      </c>
      <c r="J22" s="12" t="s">
        <v>306</v>
      </c>
      <c r="K22" s="13" t="s">
        <v>307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1" width="22" customWidth="1"/>
    <col min="2" max="2" width="18" customWidth="1"/>
    <col min="3" max="3" width="6.33333333333333" customWidth="1"/>
    <col min="4" max="4" width="11.1666666666667" customWidth="1"/>
    <col min="5" max="5" width="8.48333333333333" customWidth="1"/>
    <col min="6" max="6" width="11.1666666666667" customWidth="1"/>
    <col min="7" max="7" width="7.94166666666667" customWidth="1"/>
    <col min="8" max="8" width="58" customWidth="1"/>
    <col min="9" max="9" width="48" customWidth="1"/>
  </cols>
  <sheetData>
    <row r="1" ht="15" customHeight="1" spans="1:9">
      <c r="A1" s="1" t="s">
        <v>352</v>
      </c>
      <c r="B1" s="2" t="s">
        <v>353</v>
      </c>
      <c r="C1" s="2" t="s">
        <v>354</v>
      </c>
      <c r="D1" s="2" t="s">
        <v>291</v>
      </c>
      <c r="E1" s="2" t="s">
        <v>293</v>
      </c>
      <c r="F1" s="2" t="s">
        <v>355</v>
      </c>
      <c r="G1" s="2" t="s">
        <v>284</v>
      </c>
      <c r="H1" s="2" t="s">
        <v>295</v>
      </c>
      <c r="I1" s="3" t="s">
        <v>356</v>
      </c>
    </row>
    <row r="2" ht="15" customHeight="1" spans="1:9">
      <c r="A2" s="4" t="s">
        <v>357</v>
      </c>
      <c r="B2" s="7" t="s">
        <v>358</v>
      </c>
      <c r="C2" s="7">
        <v>33</v>
      </c>
      <c r="D2" s="5">
        <v>4524787</v>
      </c>
      <c r="E2" s="6">
        <v>0.0188727272727273</v>
      </c>
      <c r="F2" s="14">
        <v>1.75757575757576</v>
      </c>
      <c r="G2" s="7" t="s">
        <v>359</v>
      </c>
      <c r="H2" s="7" t="s">
        <v>299</v>
      </c>
      <c r="I2" s="8" t="s">
        <v>360</v>
      </c>
    </row>
    <row r="3" ht="15" customHeight="1" spans="1:9">
      <c r="A3" s="4" t="s">
        <v>361</v>
      </c>
      <c r="B3" s="7" t="s">
        <v>362</v>
      </c>
      <c r="C3" s="7">
        <v>9</v>
      </c>
      <c r="D3" s="5">
        <v>654975</v>
      </c>
      <c r="E3" s="6">
        <v>0.0226777777777778</v>
      </c>
      <c r="F3" s="14">
        <v>3</v>
      </c>
      <c r="G3" s="7" t="s">
        <v>363</v>
      </c>
      <c r="H3" s="7" t="s">
        <v>305</v>
      </c>
      <c r="I3" s="8" t="s">
        <v>364</v>
      </c>
    </row>
    <row r="4" ht="15" customHeight="1" spans="1:9">
      <c r="A4" s="4" t="s">
        <v>365</v>
      </c>
      <c r="B4" s="7" t="s">
        <v>310</v>
      </c>
      <c r="C4" s="7">
        <v>4</v>
      </c>
      <c r="D4" s="5">
        <v>474956</v>
      </c>
      <c r="E4" s="6">
        <v>0.02655</v>
      </c>
      <c r="F4" s="14">
        <v>1</v>
      </c>
      <c r="G4" s="7" t="s">
        <v>366</v>
      </c>
      <c r="H4" s="7" t="s">
        <v>312</v>
      </c>
      <c r="I4" s="8" t="s">
        <v>367</v>
      </c>
    </row>
    <row r="5" ht="15" customHeight="1" spans="1:9">
      <c r="A5" s="4" t="s">
        <v>368</v>
      </c>
      <c r="B5" s="7" t="s">
        <v>369</v>
      </c>
      <c r="C5" s="7">
        <v>10</v>
      </c>
      <c r="D5" s="5">
        <v>438575</v>
      </c>
      <c r="E5" s="6">
        <v>0.01618</v>
      </c>
      <c r="F5" s="14">
        <v>2</v>
      </c>
      <c r="G5" s="7" t="s">
        <v>359</v>
      </c>
      <c r="H5" s="7" t="s">
        <v>370</v>
      </c>
      <c r="I5" s="8" t="s">
        <v>371</v>
      </c>
    </row>
    <row r="6" ht="15" customHeight="1" spans="1:9">
      <c r="A6" s="4" t="s">
        <v>372</v>
      </c>
      <c r="B6" s="7" t="s">
        <v>373</v>
      </c>
      <c r="C6" s="7">
        <v>7</v>
      </c>
      <c r="D6" s="5">
        <v>207942</v>
      </c>
      <c r="E6" s="6">
        <v>0.0157714285714286</v>
      </c>
      <c r="F6" s="14">
        <v>3</v>
      </c>
      <c r="G6" s="7" t="s">
        <v>363</v>
      </c>
      <c r="H6" s="7" t="s">
        <v>374</v>
      </c>
      <c r="I6" s="8" t="s">
        <v>375</v>
      </c>
    </row>
    <row r="7" ht="15" customHeight="1" spans="1:9">
      <c r="A7" s="4" t="s">
        <v>376</v>
      </c>
      <c r="B7" s="7" t="s">
        <v>377</v>
      </c>
      <c r="C7" s="7">
        <v>3</v>
      </c>
      <c r="D7" s="5">
        <v>179741</v>
      </c>
      <c r="E7" s="6">
        <v>0.0167</v>
      </c>
      <c r="F7" s="14">
        <v>3</v>
      </c>
      <c r="G7" s="7" t="s">
        <v>363</v>
      </c>
      <c r="H7" s="7" t="s">
        <v>320</v>
      </c>
      <c r="I7" s="8" t="s">
        <v>378</v>
      </c>
    </row>
    <row r="8" ht="15" customHeight="1" spans="1:9">
      <c r="A8" s="4" t="s">
        <v>379</v>
      </c>
      <c r="B8" s="7" t="s">
        <v>380</v>
      </c>
      <c r="C8" s="7">
        <v>1</v>
      </c>
      <c r="D8" s="5">
        <v>29585</v>
      </c>
      <c r="E8" s="6">
        <v>0.0127</v>
      </c>
      <c r="F8" s="14">
        <v>1</v>
      </c>
      <c r="G8" s="7" t="s">
        <v>359</v>
      </c>
      <c r="H8" s="7" t="s">
        <v>251</v>
      </c>
      <c r="I8" s="8" t="s">
        <v>381</v>
      </c>
    </row>
    <row r="9" ht="15" customHeight="1" spans="1:9">
      <c r="A9" s="4" t="s">
        <v>382</v>
      </c>
      <c r="B9" s="7" t="s">
        <v>383</v>
      </c>
      <c r="C9" s="7">
        <v>2</v>
      </c>
      <c r="D9" s="5">
        <v>27105</v>
      </c>
      <c r="E9" s="6">
        <v>0.0228</v>
      </c>
      <c r="F9" s="14">
        <v>0</v>
      </c>
      <c r="G9" s="7" t="s">
        <v>384</v>
      </c>
      <c r="H9" s="7" t="s">
        <v>340</v>
      </c>
      <c r="I9" s="8" t="s">
        <v>385</v>
      </c>
    </row>
    <row r="10" ht="15" customHeight="1" spans="1:9">
      <c r="A10" s="4" t="s">
        <v>386</v>
      </c>
      <c r="B10" s="7" t="s">
        <v>387</v>
      </c>
      <c r="C10" s="7">
        <v>1</v>
      </c>
      <c r="D10" s="5">
        <v>20424</v>
      </c>
      <c r="E10" s="6">
        <v>0.0138</v>
      </c>
      <c r="F10" s="14">
        <v>3</v>
      </c>
      <c r="G10" s="7" t="s">
        <v>388</v>
      </c>
      <c r="H10" s="7" t="s">
        <v>152</v>
      </c>
      <c r="I10" s="8" t="s">
        <v>389</v>
      </c>
    </row>
    <row r="11" ht="15" customHeight="1" spans="1:9">
      <c r="A11" s="9" t="s">
        <v>390</v>
      </c>
      <c r="B11" s="12" t="s">
        <v>391</v>
      </c>
      <c r="C11" s="12">
        <v>1</v>
      </c>
      <c r="D11" s="10">
        <v>18715</v>
      </c>
      <c r="E11" s="11">
        <v>0.003</v>
      </c>
      <c r="F11" s="15">
        <v>0</v>
      </c>
      <c r="G11" s="12" t="s">
        <v>384</v>
      </c>
      <c r="H11" s="12" t="s">
        <v>185</v>
      </c>
      <c r="I11" s="13" t="s">
        <v>392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A1"/>
    </sheetView>
  </sheetViews>
  <sheetFormatPr defaultColWidth="9" defaultRowHeight="14.25" outlineLevelRow="7"/>
  <cols>
    <col min="1" max="1" width="12" customWidth="1"/>
    <col min="2" max="2" width="26" customWidth="1"/>
    <col min="3" max="3" width="34" customWidth="1"/>
    <col min="4" max="4" width="52" customWidth="1"/>
    <col min="5" max="5" width="22" customWidth="1"/>
    <col min="6" max="6" width="24" customWidth="1"/>
    <col min="7" max="7" width="32" customWidth="1"/>
    <col min="8" max="9" width="44" customWidth="1"/>
  </cols>
  <sheetData>
    <row r="1" ht="15" customHeight="1" spans="1:9">
      <c r="A1" s="1" t="s">
        <v>393</v>
      </c>
      <c r="B1" s="2" t="s">
        <v>394</v>
      </c>
      <c r="C1" s="2" t="s">
        <v>285</v>
      </c>
      <c r="D1" s="2" t="s">
        <v>395</v>
      </c>
      <c r="E1" s="2" t="s">
        <v>396</v>
      </c>
      <c r="F1" s="2" t="s">
        <v>397</v>
      </c>
      <c r="G1" s="2" t="s">
        <v>398</v>
      </c>
      <c r="H1" s="2" t="s">
        <v>399</v>
      </c>
      <c r="I1" s="3" t="s">
        <v>400</v>
      </c>
    </row>
    <row r="2" ht="15" customHeight="1" spans="1:9">
      <c r="A2" s="4" t="s">
        <v>401</v>
      </c>
      <c r="B2" s="7" t="s">
        <v>402</v>
      </c>
      <c r="C2" s="7" t="s">
        <v>403</v>
      </c>
      <c r="D2" s="7" t="s">
        <v>404</v>
      </c>
      <c r="E2" s="7" t="s">
        <v>93</v>
      </c>
      <c r="F2" s="7" t="s">
        <v>405</v>
      </c>
      <c r="G2" s="7" t="s">
        <v>406</v>
      </c>
      <c r="H2" s="7" t="s">
        <v>407</v>
      </c>
      <c r="I2" s="8" t="s">
        <v>408</v>
      </c>
    </row>
    <row r="3" ht="15" customHeight="1" spans="1:9">
      <c r="A3" s="4" t="s">
        <v>401</v>
      </c>
      <c r="B3" s="7" t="s">
        <v>409</v>
      </c>
      <c r="C3" s="7" t="s">
        <v>410</v>
      </c>
      <c r="D3" s="7" t="s">
        <v>320</v>
      </c>
      <c r="E3" s="7" t="s">
        <v>93</v>
      </c>
      <c r="F3" s="7" t="s">
        <v>411</v>
      </c>
      <c r="G3" s="7" t="s">
        <v>412</v>
      </c>
      <c r="H3" s="7" t="s">
        <v>413</v>
      </c>
      <c r="I3" s="8" t="s">
        <v>414</v>
      </c>
    </row>
    <row r="4" ht="15" customHeight="1" spans="1:9">
      <c r="A4" s="4" t="s">
        <v>415</v>
      </c>
      <c r="B4" s="7" t="s">
        <v>416</v>
      </c>
      <c r="C4" s="7" t="s">
        <v>417</v>
      </c>
      <c r="D4" s="7" t="s">
        <v>418</v>
      </c>
      <c r="E4" s="7" t="s">
        <v>105</v>
      </c>
      <c r="F4" s="7" t="s">
        <v>419</v>
      </c>
      <c r="G4" s="7" t="s">
        <v>420</v>
      </c>
      <c r="H4" s="7" t="s">
        <v>421</v>
      </c>
      <c r="I4" s="8" t="s">
        <v>422</v>
      </c>
    </row>
    <row r="5" ht="15" customHeight="1" spans="1:9">
      <c r="A5" s="4" t="s">
        <v>423</v>
      </c>
      <c r="B5" s="7" t="s">
        <v>424</v>
      </c>
      <c r="C5" s="7" t="s">
        <v>425</v>
      </c>
      <c r="D5" s="7" t="s">
        <v>426</v>
      </c>
      <c r="E5" s="7" t="s">
        <v>427</v>
      </c>
      <c r="F5" s="7" t="s">
        <v>428</v>
      </c>
      <c r="G5" s="7" t="s">
        <v>429</v>
      </c>
      <c r="H5" s="7" t="s">
        <v>430</v>
      </c>
      <c r="I5" s="8" t="s">
        <v>431</v>
      </c>
    </row>
    <row r="6" ht="15" customHeight="1" spans="1:9">
      <c r="A6" s="4" t="s">
        <v>432</v>
      </c>
      <c r="B6" s="7" t="s">
        <v>433</v>
      </c>
      <c r="C6" s="7" t="s">
        <v>434</v>
      </c>
      <c r="D6" s="7" t="s">
        <v>435</v>
      </c>
      <c r="E6" s="7" t="s">
        <v>436</v>
      </c>
      <c r="F6" s="7" t="s">
        <v>437</v>
      </c>
      <c r="G6" s="7" t="s">
        <v>438</v>
      </c>
      <c r="H6" s="7" t="s">
        <v>439</v>
      </c>
      <c r="I6" s="8" t="s">
        <v>440</v>
      </c>
    </row>
    <row r="7" ht="15" customHeight="1" spans="1:9">
      <c r="A7" s="4" t="s">
        <v>366</v>
      </c>
      <c r="B7" s="7" t="s">
        <v>441</v>
      </c>
      <c r="C7" s="7" t="s">
        <v>442</v>
      </c>
      <c r="D7" s="7" t="s">
        <v>443</v>
      </c>
      <c r="E7" s="7" t="s">
        <v>216</v>
      </c>
      <c r="F7" s="7" t="s">
        <v>444</v>
      </c>
      <c r="G7" s="7" t="s">
        <v>445</v>
      </c>
      <c r="H7" s="7" t="s">
        <v>446</v>
      </c>
      <c r="I7" s="8" t="s">
        <v>447</v>
      </c>
    </row>
    <row r="8" ht="15" customHeight="1" spans="1:9">
      <c r="A8" s="9" t="s">
        <v>448</v>
      </c>
      <c r="B8" s="12" t="s">
        <v>449</v>
      </c>
      <c r="C8" s="12" t="s">
        <v>450</v>
      </c>
      <c r="D8" s="12" t="s">
        <v>451</v>
      </c>
      <c r="E8" s="12" t="s">
        <v>452</v>
      </c>
      <c r="F8" s="12" t="s">
        <v>453</v>
      </c>
      <c r="G8" s="12" t="s">
        <v>454</v>
      </c>
      <c r="H8" s="12" t="s">
        <v>455</v>
      </c>
      <c r="I8" s="13" t="s">
        <v>456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4.25" outlineLevelCol="5"/>
  <cols>
    <col min="1" max="1" width="16" customWidth="1"/>
    <col min="2" max="2" width="14" customWidth="1"/>
    <col min="3" max="3" width="6.33333333333333" customWidth="1"/>
    <col min="4" max="4" width="11.1666666666667" customWidth="1"/>
    <col min="5" max="5" width="46" customWidth="1"/>
    <col min="6" max="6" width="80" customWidth="1"/>
  </cols>
  <sheetData>
    <row r="1" ht="15" customHeight="1" spans="1:6">
      <c r="A1" s="1" t="s">
        <v>457</v>
      </c>
      <c r="B1" s="2" t="s">
        <v>458</v>
      </c>
      <c r="C1" s="2" t="s">
        <v>459</v>
      </c>
      <c r="D1" s="2" t="s">
        <v>460</v>
      </c>
      <c r="E1" s="2" t="s">
        <v>295</v>
      </c>
      <c r="F1" s="3" t="s">
        <v>461</v>
      </c>
    </row>
    <row r="2" ht="15" customHeight="1" spans="1:6">
      <c r="A2" s="4" t="s">
        <v>462</v>
      </c>
      <c r="B2" s="7" t="s">
        <v>463</v>
      </c>
      <c r="C2" s="7">
        <v>12</v>
      </c>
      <c r="D2" s="5">
        <v>3859744</v>
      </c>
      <c r="E2" s="7" t="s">
        <v>299</v>
      </c>
      <c r="F2" s="8" t="s">
        <v>464</v>
      </c>
    </row>
    <row r="3" ht="15" customHeight="1" spans="1:6">
      <c r="A3" s="4" t="s">
        <v>204</v>
      </c>
      <c r="B3" s="7" t="s">
        <v>463</v>
      </c>
      <c r="C3" s="7">
        <v>13</v>
      </c>
      <c r="D3" s="5">
        <v>3859688</v>
      </c>
      <c r="E3" s="7" t="s">
        <v>299</v>
      </c>
      <c r="F3" s="8" t="s">
        <v>205</v>
      </c>
    </row>
    <row r="4" ht="15" customHeight="1" spans="1:6">
      <c r="A4" s="4" t="s">
        <v>465</v>
      </c>
      <c r="B4" s="7" t="s">
        <v>466</v>
      </c>
      <c r="C4" s="7">
        <v>4</v>
      </c>
      <c r="D4" s="5">
        <v>1997790</v>
      </c>
      <c r="E4" s="7" t="s">
        <v>467</v>
      </c>
      <c r="F4" s="8" t="s">
        <v>468</v>
      </c>
    </row>
    <row r="5" ht="15" customHeight="1" spans="1:6">
      <c r="A5" s="4" t="s">
        <v>208</v>
      </c>
      <c r="B5" s="7" t="s">
        <v>463</v>
      </c>
      <c r="C5" s="7">
        <v>11</v>
      </c>
      <c r="D5" s="5">
        <v>1577843</v>
      </c>
      <c r="E5" s="7" t="s">
        <v>469</v>
      </c>
      <c r="F5" s="8" t="s">
        <v>209</v>
      </c>
    </row>
    <row r="6" ht="15" customHeight="1" spans="1:6">
      <c r="A6" s="4" t="s">
        <v>246</v>
      </c>
      <c r="B6" s="7" t="s">
        <v>463</v>
      </c>
      <c r="C6" s="7">
        <v>21</v>
      </c>
      <c r="D6" s="5">
        <v>1100202</v>
      </c>
      <c r="E6" s="7" t="s">
        <v>470</v>
      </c>
      <c r="F6" s="8" t="s">
        <v>250</v>
      </c>
    </row>
    <row r="7" ht="15" customHeight="1" spans="1:6">
      <c r="A7" s="4" t="s">
        <v>82</v>
      </c>
      <c r="B7" s="7" t="s">
        <v>471</v>
      </c>
      <c r="C7" s="7">
        <v>17</v>
      </c>
      <c r="D7" s="5">
        <v>972092</v>
      </c>
      <c r="E7" s="7" t="s">
        <v>470</v>
      </c>
      <c r="F7" s="8" t="s">
        <v>97</v>
      </c>
    </row>
    <row r="8" ht="15" customHeight="1" spans="1:6">
      <c r="A8" s="4" t="s">
        <v>143</v>
      </c>
      <c r="B8" s="7" t="s">
        <v>463</v>
      </c>
      <c r="C8" s="7">
        <v>11</v>
      </c>
      <c r="D8" s="5">
        <v>752935</v>
      </c>
      <c r="E8" s="7" t="s">
        <v>472</v>
      </c>
      <c r="F8" s="8" t="s">
        <v>144</v>
      </c>
    </row>
    <row r="9" ht="15" customHeight="1" spans="1:6">
      <c r="A9" s="4" t="s">
        <v>473</v>
      </c>
      <c r="B9" s="7" t="s">
        <v>463</v>
      </c>
      <c r="C9" s="7">
        <v>3</v>
      </c>
      <c r="D9" s="5">
        <v>461389</v>
      </c>
      <c r="E9" s="7" t="s">
        <v>474</v>
      </c>
      <c r="F9" s="8" t="s">
        <v>475</v>
      </c>
    </row>
    <row r="10" ht="15" customHeight="1" spans="1:6">
      <c r="A10" s="4" t="s">
        <v>109</v>
      </c>
      <c r="B10" s="7" t="s">
        <v>476</v>
      </c>
      <c r="C10" s="7">
        <v>5</v>
      </c>
      <c r="D10" s="5">
        <v>174810</v>
      </c>
      <c r="E10" s="7" t="s">
        <v>477</v>
      </c>
      <c r="F10" s="8" t="s">
        <v>120</v>
      </c>
    </row>
    <row r="11" ht="15" customHeight="1" spans="1:6">
      <c r="A11" s="4" t="s">
        <v>171</v>
      </c>
      <c r="B11" s="7" t="s">
        <v>463</v>
      </c>
      <c r="C11" s="7">
        <v>6</v>
      </c>
      <c r="D11" s="5">
        <v>145971</v>
      </c>
      <c r="E11" s="7" t="s">
        <v>478</v>
      </c>
      <c r="F11" s="8" t="s">
        <v>177</v>
      </c>
    </row>
    <row r="12" ht="15" customHeight="1" spans="1:6">
      <c r="A12" s="4" t="s">
        <v>122</v>
      </c>
      <c r="B12" s="7" t="s">
        <v>479</v>
      </c>
      <c r="C12" s="7">
        <v>1</v>
      </c>
      <c r="D12" s="5">
        <v>64708</v>
      </c>
      <c r="E12" s="7" t="s">
        <v>47</v>
      </c>
      <c r="F12" s="8" t="s">
        <v>128</v>
      </c>
    </row>
    <row r="13" ht="15" customHeight="1" spans="1:6">
      <c r="A13" s="4" t="s">
        <v>238</v>
      </c>
      <c r="B13" s="7" t="s">
        <v>1</v>
      </c>
      <c r="C13" s="7">
        <v>2</v>
      </c>
      <c r="D13" s="5">
        <v>58579</v>
      </c>
      <c r="E13" s="7" t="s">
        <v>480</v>
      </c>
      <c r="F13" s="8" t="s">
        <v>239</v>
      </c>
    </row>
    <row r="14" ht="15" customHeight="1" spans="1:6">
      <c r="A14" s="4" t="s">
        <v>481</v>
      </c>
      <c r="B14" s="7" t="s">
        <v>1</v>
      </c>
      <c r="C14" s="7">
        <v>3</v>
      </c>
      <c r="D14" s="5">
        <v>48722</v>
      </c>
      <c r="E14" s="7" t="s">
        <v>482</v>
      </c>
      <c r="F14" s="8" t="s">
        <v>483</v>
      </c>
    </row>
    <row r="15" ht="15" customHeight="1" spans="1:6">
      <c r="A15" s="4" t="s">
        <v>484</v>
      </c>
      <c r="B15" s="7" t="s">
        <v>1</v>
      </c>
      <c r="C15" s="7">
        <v>1</v>
      </c>
      <c r="D15" s="5">
        <v>46405</v>
      </c>
      <c r="E15" s="7" t="s">
        <v>236</v>
      </c>
      <c r="F15" s="8" t="s">
        <v>485</v>
      </c>
    </row>
    <row r="16" ht="15" customHeight="1" spans="1:6">
      <c r="A16" s="4" t="s">
        <v>486</v>
      </c>
      <c r="B16" s="7" t="s">
        <v>463</v>
      </c>
      <c r="C16" s="7">
        <v>1</v>
      </c>
      <c r="D16" s="5">
        <v>43571</v>
      </c>
      <c r="E16" s="7" t="s">
        <v>32</v>
      </c>
      <c r="F16" s="8" t="s">
        <v>487</v>
      </c>
    </row>
    <row r="17" ht="15" customHeight="1" spans="1:6">
      <c r="A17" s="4" t="s">
        <v>268</v>
      </c>
      <c r="B17" s="7" t="s">
        <v>463</v>
      </c>
      <c r="C17" s="7">
        <v>3</v>
      </c>
      <c r="D17" s="5">
        <v>40731</v>
      </c>
      <c r="E17" s="7" t="s">
        <v>488</v>
      </c>
      <c r="F17" s="8" t="s">
        <v>272</v>
      </c>
    </row>
    <row r="18" ht="15" customHeight="1" spans="1:6">
      <c r="A18" s="4" t="s">
        <v>489</v>
      </c>
      <c r="B18" s="7" t="s">
        <v>1</v>
      </c>
      <c r="C18" s="7">
        <v>1</v>
      </c>
      <c r="D18" s="5">
        <v>32159</v>
      </c>
      <c r="E18" s="7" t="s">
        <v>244</v>
      </c>
      <c r="F18" s="8" t="s">
        <v>490</v>
      </c>
    </row>
    <row r="19" ht="15" customHeight="1" spans="1:6">
      <c r="A19" s="4" t="s">
        <v>187</v>
      </c>
      <c r="B19" s="7" t="s">
        <v>491</v>
      </c>
      <c r="C19" s="7">
        <v>1</v>
      </c>
      <c r="D19" s="5">
        <v>18715</v>
      </c>
      <c r="E19" s="7" t="s">
        <v>185</v>
      </c>
      <c r="F19" s="8" t="s">
        <v>197</v>
      </c>
    </row>
    <row r="20" ht="15" customHeight="1" spans="1:6">
      <c r="A20" s="4" t="s">
        <v>492</v>
      </c>
      <c r="B20" s="7" t="s">
        <v>491</v>
      </c>
      <c r="C20" s="7">
        <v>1</v>
      </c>
      <c r="D20" s="5">
        <v>18715</v>
      </c>
      <c r="E20" s="7" t="s">
        <v>185</v>
      </c>
      <c r="F20" s="8" t="s">
        <v>493</v>
      </c>
    </row>
    <row r="21" ht="15" customHeight="1" spans="1:6">
      <c r="A21" s="4" t="s">
        <v>494</v>
      </c>
      <c r="B21" s="7" t="s">
        <v>1</v>
      </c>
      <c r="C21" s="7">
        <v>1</v>
      </c>
      <c r="D21" s="5">
        <v>18715</v>
      </c>
      <c r="E21" s="7" t="s">
        <v>185</v>
      </c>
      <c r="F21" s="8" t="s">
        <v>495</v>
      </c>
    </row>
    <row r="22" ht="15" customHeight="1" spans="1:6">
      <c r="A22" s="4" t="s">
        <v>496</v>
      </c>
      <c r="B22" s="7" t="s">
        <v>476</v>
      </c>
      <c r="C22" s="7">
        <v>1</v>
      </c>
      <c r="D22" s="5">
        <v>16495</v>
      </c>
      <c r="E22" s="7" t="s">
        <v>258</v>
      </c>
      <c r="F22" s="8" t="s">
        <v>497</v>
      </c>
    </row>
    <row r="23" ht="15" customHeight="1" spans="1:6">
      <c r="A23" s="9" t="s">
        <v>498</v>
      </c>
      <c r="B23" s="12" t="s">
        <v>1</v>
      </c>
      <c r="C23" s="12">
        <v>1</v>
      </c>
      <c r="D23" s="10">
        <v>9953</v>
      </c>
      <c r="E23" s="12" t="s">
        <v>279</v>
      </c>
      <c r="F23" s="13" t="s">
        <v>499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4.25" outlineLevelCol="5"/>
  <cols>
    <col min="1" max="1" width="16" customWidth="1"/>
    <col min="2" max="2" width="24" customWidth="1"/>
    <col min="3" max="3" width="22" customWidth="1"/>
    <col min="4" max="4" width="34" customWidth="1"/>
    <col min="5" max="5" width="24" customWidth="1"/>
    <col min="6" max="6" width="46" customWidth="1"/>
  </cols>
  <sheetData>
    <row r="1" ht="15" customHeight="1" spans="1:6">
      <c r="A1" s="1" t="s">
        <v>500</v>
      </c>
      <c r="B1" s="2" t="s">
        <v>288</v>
      </c>
      <c r="C1" s="2" t="s">
        <v>289</v>
      </c>
      <c r="D1" s="2" t="s">
        <v>501</v>
      </c>
      <c r="E1" s="2" t="s">
        <v>502</v>
      </c>
      <c r="F1" s="3" t="s">
        <v>503</v>
      </c>
    </row>
    <row r="2" ht="15" customHeight="1" spans="1:6">
      <c r="A2" s="4" t="s">
        <v>61</v>
      </c>
      <c r="B2" s="7" t="s">
        <v>17</v>
      </c>
      <c r="C2" s="7" t="s">
        <v>308</v>
      </c>
      <c r="D2" s="7" t="s">
        <v>504</v>
      </c>
      <c r="E2" s="7" t="s">
        <v>505</v>
      </c>
      <c r="F2" s="8" t="s">
        <v>506</v>
      </c>
    </row>
    <row r="3" ht="15" customHeight="1" spans="1:6">
      <c r="A3" s="4" t="s">
        <v>61</v>
      </c>
      <c r="B3" s="7" t="s">
        <v>325</v>
      </c>
      <c r="C3" s="7" t="s">
        <v>326</v>
      </c>
      <c r="D3" s="7" t="s">
        <v>507</v>
      </c>
      <c r="E3" s="7" t="s">
        <v>508</v>
      </c>
      <c r="F3" s="8" t="s">
        <v>509</v>
      </c>
    </row>
    <row r="4" ht="15" customHeight="1" spans="1:6">
      <c r="A4" s="4" t="s">
        <v>63</v>
      </c>
      <c r="B4" s="7" t="s">
        <v>510</v>
      </c>
      <c r="C4" s="7" t="s">
        <v>511</v>
      </c>
      <c r="D4" s="7" t="s">
        <v>510</v>
      </c>
      <c r="E4" s="7" t="s">
        <v>512</v>
      </c>
      <c r="F4" s="8" t="s">
        <v>513</v>
      </c>
    </row>
    <row r="5" ht="15" customHeight="1" spans="1:6">
      <c r="A5" s="4" t="s">
        <v>63</v>
      </c>
      <c r="B5" s="7" t="s">
        <v>343</v>
      </c>
      <c r="C5" s="7" t="s">
        <v>344</v>
      </c>
      <c r="D5" s="7" t="s">
        <v>343</v>
      </c>
      <c r="E5" s="7" t="s">
        <v>514</v>
      </c>
      <c r="F5" s="8" t="s">
        <v>515</v>
      </c>
    </row>
    <row r="6" ht="15" customHeight="1" spans="1:6">
      <c r="A6" s="4" t="s">
        <v>63</v>
      </c>
      <c r="B6" s="7" t="s">
        <v>516</v>
      </c>
      <c r="C6" s="7" t="s">
        <v>298</v>
      </c>
      <c r="D6" s="7" t="s">
        <v>517</v>
      </c>
      <c r="E6" s="7" t="s">
        <v>518</v>
      </c>
      <c r="F6" s="8" t="s">
        <v>519</v>
      </c>
    </row>
    <row r="7" ht="15" customHeight="1" spans="1:6">
      <c r="A7" s="4" t="s">
        <v>64</v>
      </c>
      <c r="B7" s="7" t="s">
        <v>303</v>
      </c>
      <c r="C7" s="7" t="s">
        <v>520</v>
      </c>
      <c r="D7" s="7" t="s">
        <v>521</v>
      </c>
      <c r="E7" s="7" t="s">
        <v>522</v>
      </c>
      <c r="F7" s="8" t="s">
        <v>523</v>
      </c>
    </row>
    <row r="8" ht="15" customHeight="1" spans="1:6">
      <c r="A8" s="4" t="s">
        <v>64</v>
      </c>
      <c r="B8" s="7" t="s">
        <v>524</v>
      </c>
      <c r="C8" s="7" t="s">
        <v>525</v>
      </c>
      <c r="D8" s="7" t="s">
        <v>526</v>
      </c>
      <c r="E8" s="7" t="s">
        <v>527</v>
      </c>
      <c r="F8" s="8" t="s">
        <v>528</v>
      </c>
    </row>
    <row r="9" ht="15" customHeight="1" spans="1:6">
      <c r="A9" s="4" t="s">
        <v>64</v>
      </c>
      <c r="B9" s="7" t="s">
        <v>329</v>
      </c>
      <c r="C9" s="7" t="s">
        <v>330</v>
      </c>
      <c r="D9" s="7" t="s">
        <v>529</v>
      </c>
      <c r="E9" s="7" t="s">
        <v>530</v>
      </c>
      <c r="F9" s="8" t="s">
        <v>531</v>
      </c>
    </row>
    <row r="10" ht="15" customHeight="1" spans="1:6">
      <c r="A10" s="4" t="s">
        <v>321</v>
      </c>
      <c r="B10" s="7" t="s">
        <v>322</v>
      </c>
      <c r="C10" s="7" t="s">
        <v>323</v>
      </c>
      <c r="D10" s="7" t="s">
        <v>532</v>
      </c>
      <c r="E10" s="7" t="s">
        <v>533</v>
      </c>
      <c r="F10" s="8" t="s">
        <v>534</v>
      </c>
    </row>
    <row r="11" ht="15" customHeight="1" spans="1:6">
      <c r="A11" s="4" t="s">
        <v>321</v>
      </c>
      <c r="B11" s="7" t="s">
        <v>535</v>
      </c>
      <c r="C11" s="7" t="s">
        <v>536</v>
      </c>
      <c r="D11" s="7" t="s">
        <v>537</v>
      </c>
      <c r="E11" s="7" t="s">
        <v>538</v>
      </c>
      <c r="F11" s="8" t="s">
        <v>539</v>
      </c>
    </row>
    <row r="12" ht="15" customHeight="1" spans="1:6">
      <c r="A12" s="4" t="s">
        <v>345</v>
      </c>
      <c r="B12" s="7" t="s">
        <v>346</v>
      </c>
      <c r="C12" s="7" t="s">
        <v>347</v>
      </c>
      <c r="D12" s="7" t="s">
        <v>346</v>
      </c>
      <c r="E12" s="7" t="s">
        <v>540</v>
      </c>
      <c r="F12" s="8" t="s">
        <v>541</v>
      </c>
    </row>
    <row r="13" ht="15" customHeight="1" spans="1:6">
      <c r="A13" s="4" t="s">
        <v>321</v>
      </c>
      <c r="B13" s="7" t="s">
        <v>338</v>
      </c>
      <c r="C13" s="7" t="s">
        <v>339</v>
      </c>
      <c r="D13" s="7" t="s">
        <v>338</v>
      </c>
      <c r="E13" s="7" t="s">
        <v>540</v>
      </c>
      <c r="F13" s="8" t="s">
        <v>542</v>
      </c>
    </row>
    <row r="14" ht="15" customHeight="1" spans="1:6">
      <c r="A14" s="9" t="s">
        <v>275</v>
      </c>
      <c r="B14" s="12" t="s">
        <v>310</v>
      </c>
      <c r="C14" s="12" t="s">
        <v>543</v>
      </c>
      <c r="D14" s="12" t="s">
        <v>544</v>
      </c>
      <c r="E14" s="12" t="s">
        <v>366</v>
      </c>
      <c r="F14" s="13" t="s">
        <v>545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4.25" outlineLevelCol="1"/>
  <cols>
    <col min="1" max="1" width="24" customWidth="1"/>
    <col min="2" max="2" width="90" customWidth="1"/>
  </cols>
  <sheetData>
    <row r="1" ht="15" customHeight="1" spans="1:2">
      <c r="A1" s="1" t="s">
        <v>546</v>
      </c>
      <c r="B1" s="3" t="s">
        <v>8</v>
      </c>
    </row>
    <row r="2" ht="15" customHeight="1" spans="1:2">
      <c r="A2" s="4" t="s">
        <v>547</v>
      </c>
      <c r="B2" s="8" t="s">
        <v>548</v>
      </c>
    </row>
    <row r="3" ht="15" customHeight="1" spans="1:2">
      <c r="A3" s="4" t="s">
        <v>549</v>
      </c>
      <c r="B3" s="8" t="s">
        <v>550</v>
      </c>
    </row>
    <row r="4" ht="15" customHeight="1" spans="1:2">
      <c r="A4" s="4" t="s">
        <v>551</v>
      </c>
      <c r="B4" s="8" t="s">
        <v>552</v>
      </c>
    </row>
    <row r="5" ht="15" customHeight="1" spans="1:2">
      <c r="A5" s="4" t="s">
        <v>553</v>
      </c>
      <c r="B5" s="8" t="s">
        <v>554</v>
      </c>
    </row>
    <row r="6" ht="15" customHeight="1" spans="1:2">
      <c r="A6" s="4" t="s">
        <v>555</v>
      </c>
      <c r="B6" s="8" t="s">
        <v>556</v>
      </c>
    </row>
    <row r="7" ht="15" customHeight="1" spans="1:2">
      <c r="A7" s="4" t="s">
        <v>557</v>
      </c>
      <c r="B7" s="8" t="s">
        <v>558</v>
      </c>
    </row>
    <row r="8" ht="15" customHeight="1" spans="1:2">
      <c r="A8" s="4" t="s">
        <v>559</v>
      </c>
      <c r="B8" s="8" t="s">
        <v>560</v>
      </c>
    </row>
    <row r="9" ht="15" customHeight="1" spans="1:2">
      <c r="A9" s="4" t="s">
        <v>561</v>
      </c>
      <c r="B9" s="8" t="s">
        <v>562</v>
      </c>
    </row>
    <row r="10" ht="15" customHeight="1" spans="1:2">
      <c r="A10" s="4" t="s">
        <v>563</v>
      </c>
      <c r="B10" s="8" t="s">
        <v>564</v>
      </c>
    </row>
    <row r="11" ht="15" customHeight="1" spans="1:2">
      <c r="A11" s="4" t="s">
        <v>565</v>
      </c>
      <c r="B11" s="8" t="s">
        <v>566</v>
      </c>
    </row>
    <row r="12" ht="15" customHeight="1" spans="1:2">
      <c r="A12" s="4" t="s">
        <v>72</v>
      </c>
      <c r="B12" s="8" t="s">
        <v>567</v>
      </c>
    </row>
    <row r="13" ht="15" customHeight="1" spans="1:2">
      <c r="A13" s="9" t="s">
        <v>568</v>
      </c>
      <c r="B13" s="13" t="s">
        <v>569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A1" sqref="A1"/>
    </sheetView>
  </sheetViews>
  <sheetFormatPr defaultColWidth="9" defaultRowHeight="14.25"/>
  <cols>
    <col min="1" max="1" width="30" customWidth="1"/>
    <col min="2" max="2" width="16.0166666666667" customWidth="1"/>
    <col min="3" max="3" width="18.4416666666667" customWidth="1"/>
    <col min="4" max="4" width="19.25" customWidth="1"/>
    <col min="5" max="5" width="17.6333333333333" customWidth="1"/>
    <col min="6" max="6" width="19.25" customWidth="1"/>
    <col min="7" max="7" width="70" customWidth="1"/>
    <col min="8" max="8" width="18.3" customWidth="1"/>
    <col min="9" max="9" width="70" customWidth="1"/>
    <col min="10" max="10" width="18.3" customWidth="1"/>
    <col min="11" max="11" width="70" customWidth="1"/>
    <col min="12" max="12" width="18.3" customWidth="1"/>
  </cols>
  <sheetData>
    <row r="1" ht="15" customHeight="1" spans="1:12">
      <c r="A1" s="1" t="s">
        <v>52</v>
      </c>
      <c r="B1" s="2" t="s">
        <v>570</v>
      </c>
      <c r="C1" s="2" t="s">
        <v>571</v>
      </c>
      <c r="D1" s="2" t="s">
        <v>572</v>
      </c>
      <c r="E1" s="2" t="s">
        <v>573</v>
      </c>
      <c r="F1" s="2" t="s">
        <v>574</v>
      </c>
      <c r="G1" s="2" t="s">
        <v>575</v>
      </c>
      <c r="H1" s="2" t="s">
        <v>576</v>
      </c>
      <c r="I1" s="2" t="s">
        <v>577</v>
      </c>
      <c r="J1" s="2" t="s">
        <v>578</v>
      </c>
      <c r="K1" s="2" t="s">
        <v>579</v>
      </c>
      <c r="L1" s="3" t="s">
        <v>580</v>
      </c>
    </row>
    <row r="2" ht="15" customHeight="1" spans="1:12">
      <c r="A2" s="4" t="s">
        <v>17</v>
      </c>
      <c r="B2" s="5">
        <v>326159</v>
      </c>
      <c r="C2" s="6">
        <v>-0.0746</v>
      </c>
      <c r="D2" s="6">
        <v>-0.0804</v>
      </c>
      <c r="E2" s="6">
        <v>0.3544</v>
      </c>
      <c r="F2" s="6">
        <v>0.0194</v>
      </c>
      <c r="G2" s="7" t="s">
        <v>97</v>
      </c>
      <c r="H2" s="7" t="s">
        <v>82</v>
      </c>
      <c r="I2" s="7" t="s">
        <v>144</v>
      </c>
      <c r="J2" s="7" t="s">
        <v>143</v>
      </c>
      <c r="K2" s="7" t="s">
        <v>250</v>
      </c>
      <c r="L2" s="8" t="s">
        <v>246</v>
      </c>
    </row>
    <row r="3" ht="15" customHeight="1" spans="1:12">
      <c r="A3" s="4" t="s">
        <v>39</v>
      </c>
      <c r="B3" s="5">
        <v>82874</v>
      </c>
      <c r="C3" s="6">
        <v>-0.3032</v>
      </c>
      <c r="D3" s="6">
        <v>-0.1813</v>
      </c>
      <c r="E3" s="6">
        <v>0.0666</v>
      </c>
      <c r="F3" s="6">
        <v>0.0192</v>
      </c>
      <c r="G3" s="7" t="s">
        <v>97</v>
      </c>
      <c r="H3" s="7" t="s">
        <v>82</v>
      </c>
      <c r="I3" s="7" t="s">
        <v>144</v>
      </c>
      <c r="J3" s="7" t="s">
        <v>143</v>
      </c>
      <c r="K3" s="7" t="s">
        <v>250</v>
      </c>
      <c r="L3" s="8" t="s">
        <v>246</v>
      </c>
    </row>
    <row r="4" ht="15" customHeight="1" spans="1:12">
      <c r="A4" s="4" t="s">
        <v>107</v>
      </c>
      <c r="B4" s="5">
        <v>60609</v>
      </c>
      <c r="C4" s="6">
        <v>-0.2983</v>
      </c>
      <c r="D4" s="6">
        <v>0.1796</v>
      </c>
      <c r="E4" s="6">
        <v>0.056</v>
      </c>
      <c r="F4" s="6">
        <v>0.0202</v>
      </c>
      <c r="G4" s="7" t="s">
        <v>120</v>
      </c>
      <c r="H4" s="7" t="s">
        <v>109</v>
      </c>
      <c r="I4" s="7" t="s">
        <v>97</v>
      </c>
      <c r="J4" s="7" t="s">
        <v>82</v>
      </c>
      <c r="K4" s="7" t="s">
        <v>250</v>
      </c>
      <c r="L4" s="8" t="s">
        <v>246</v>
      </c>
    </row>
    <row r="5" ht="15" customHeight="1" spans="1:12">
      <c r="A5" s="4" t="s">
        <v>47</v>
      </c>
      <c r="B5" s="5">
        <v>64708</v>
      </c>
      <c r="C5" s="6">
        <v>-0.2324</v>
      </c>
      <c r="D5" s="6">
        <v>-0.136</v>
      </c>
      <c r="E5" s="6">
        <v>0.0623</v>
      </c>
      <c r="F5" s="6">
        <v>0.0171</v>
      </c>
      <c r="G5" s="7" t="s">
        <v>128</v>
      </c>
      <c r="H5" s="7" t="s">
        <v>122</v>
      </c>
      <c r="I5" s="7" t="s">
        <v>97</v>
      </c>
      <c r="J5" s="7" t="s">
        <v>82</v>
      </c>
      <c r="K5" s="7" t="s">
        <v>250</v>
      </c>
      <c r="L5" s="8" t="s">
        <v>246</v>
      </c>
    </row>
    <row r="6" ht="15" customHeight="1" spans="1:12">
      <c r="A6" s="4" t="s">
        <v>129</v>
      </c>
      <c r="B6" s="5">
        <v>61829</v>
      </c>
      <c r="C6" s="6">
        <v>-0.2435</v>
      </c>
      <c r="D6" s="6">
        <v>-0.1276</v>
      </c>
      <c r="E6" s="6">
        <v>0.0533</v>
      </c>
      <c r="F6" s="6">
        <v>0.0197</v>
      </c>
      <c r="G6" s="7" t="s">
        <v>97</v>
      </c>
      <c r="H6" s="7" t="s">
        <v>82</v>
      </c>
      <c r="I6" s="7" t="s">
        <v>144</v>
      </c>
      <c r="J6" s="7" t="s">
        <v>143</v>
      </c>
      <c r="K6" s="7" t="s">
        <v>250</v>
      </c>
      <c r="L6" s="8" t="s">
        <v>246</v>
      </c>
    </row>
    <row r="7" ht="15" customHeight="1" spans="1:12">
      <c r="A7" s="4" t="s">
        <v>23</v>
      </c>
      <c r="B7" s="5">
        <v>60310</v>
      </c>
      <c r="C7" s="6">
        <v>-0.2343</v>
      </c>
      <c r="D7" s="6">
        <v>-0.1409</v>
      </c>
      <c r="E7" s="6">
        <v>0.0567</v>
      </c>
      <c r="F7" s="6">
        <v>0.0298</v>
      </c>
      <c r="G7" s="7" t="s">
        <v>97</v>
      </c>
      <c r="H7" s="7" t="s">
        <v>82</v>
      </c>
      <c r="I7" s="7" t="s">
        <v>250</v>
      </c>
      <c r="J7" s="7" t="s">
        <v>246</v>
      </c>
      <c r="K7" s="7" t="s">
        <v>468</v>
      </c>
      <c r="L7" s="8" t="s">
        <v>465</v>
      </c>
    </row>
    <row r="8" ht="15" customHeight="1" spans="1:12">
      <c r="A8" s="4" t="s">
        <v>36</v>
      </c>
      <c r="B8" s="5">
        <v>53415</v>
      </c>
      <c r="C8" s="6">
        <v>-0.1814</v>
      </c>
      <c r="D8" s="6">
        <v>-0.1288</v>
      </c>
      <c r="E8" s="6">
        <v>0.0445</v>
      </c>
      <c r="F8" s="6">
        <v>0.0203</v>
      </c>
      <c r="G8" s="7" t="s">
        <v>97</v>
      </c>
      <c r="H8" s="7" t="s">
        <v>82</v>
      </c>
      <c r="I8" s="7" t="s">
        <v>144</v>
      </c>
      <c r="J8" s="7" t="s">
        <v>143</v>
      </c>
      <c r="K8" s="7" t="s">
        <v>250</v>
      </c>
      <c r="L8" s="8" t="s">
        <v>246</v>
      </c>
    </row>
    <row r="9" ht="15" customHeight="1" spans="1:12">
      <c r="A9" s="4" t="s">
        <v>136</v>
      </c>
      <c r="B9" s="5">
        <v>62615</v>
      </c>
      <c r="C9" s="6">
        <v>-0.49</v>
      </c>
      <c r="D9" s="6">
        <v>0.0372</v>
      </c>
      <c r="E9" s="6">
        <v>0.0485</v>
      </c>
      <c r="F9" s="6">
        <v>0.0208</v>
      </c>
      <c r="G9" s="7" t="s">
        <v>97</v>
      </c>
      <c r="H9" s="7" t="s">
        <v>82</v>
      </c>
      <c r="I9" s="7" t="s">
        <v>144</v>
      </c>
      <c r="J9" s="7" t="s">
        <v>143</v>
      </c>
      <c r="K9" s="7" t="s">
        <v>250</v>
      </c>
      <c r="L9" s="8" t="s">
        <v>246</v>
      </c>
    </row>
    <row r="10" ht="15" customHeight="1" spans="1:12">
      <c r="A10" s="4" t="s">
        <v>27</v>
      </c>
      <c r="B10" s="5">
        <v>46642</v>
      </c>
      <c r="C10" s="6">
        <v>-0.2314</v>
      </c>
      <c r="D10" s="6">
        <v>-0.227</v>
      </c>
      <c r="E10" s="6">
        <v>0.0463</v>
      </c>
      <c r="F10" s="6">
        <v>0.0229</v>
      </c>
      <c r="G10" s="7" t="s">
        <v>120</v>
      </c>
      <c r="H10" s="7" t="s">
        <v>109</v>
      </c>
      <c r="I10" s="7" t="s">
        <v>144</v>
      </c>
      <c r="J10" s="7" t="s">
        <v>143</v>
      </c>
      <c r="K10" s="7" t="s">
        <v>250</v>
      </c>
      <c r="L10" s="8" t="s">
        <v>246</v>
      </c>
    </row>
    <row r="11" ht="15" customHeight="1" spans="1:12">
      <c r="A11" s="4" t="s">
        <v>32</v>
      </c>
      <c r="B11" s="5">
        <v>43571</v>
      </c>
      <c r="C11" s="6">
        <v>-0.2028</v>
      </c>
      <c r="D11" s="6">
        <v>-0.1725</v>
      </c>
      <c r="E11" s="6">
        <v>0.0372</v>
      </c>
      <c r="F11" s="6">
        <v>0.0228</v>
      </c>
      <c r="G11" s="7" t="s">
        <v>144</v>
      </c>
      <c r="H11" s="7" t="s">
        <v>143</v>
      </c>
      <c r="I11" s="7" t="s">
        <v>250</v>
      </c>
      <c r="J11" s="7" t="s">
        <v>246</v>
      </c>
      <c r="K11" s="7" t="s">
        <v>487</v>
      </c>
      <c r="L11" s="8" t="s">
        <v>486</v>
      </c>
    </row>
    <row r="12" ht="15" customHeight="1" spans="1:12">
      <c r="A12" s="4" t="s">
        <v>145</v>
      </c>
      <c r="B12" s="5">
        <v>36238</v>
      </c>
      <c r="C12" s="6">
        <v>-0.1709</v>
      </c>
      <c r="D12" s="6">
        <v>-0.0924</v>
      </c>
      <c r="E12" s="6">
        <v>0.0273</v>
      </c>
      <c r="F12" s="6">
        <v>0.0152</v>
      </c>
      <c r="G12" s="7" t="s">
        <v>120</v>
      </c>
      <c r="H12" s="7" t="s">
        <v>109</v>
      </c>
      <c r="I12" s="7" t="s">
        <v>97</v>
      </c>
      <c r="J12" s="7" t="s">
        <v>82</v>
      </c>
      <c r="K12" s="7" t="s">
        <v>250</v>
      </c>
      <c r="L12" s="8" t="s">
        <v>246</v>
      </c>
    </row>
    <row r="13" ht="15" customHeight="1" spans="1:12">
      <c r="A13" s="4" t="s">
        <v>42</v>
      </c>
      <c r="B13" s="5">
        <v>27601</v>
      </c>
      <c r="C13" s="6">
        <v>-0.0973</v>
      </c>
      <c r="D13" s="6">
        <v>-0.1352</v>
      </c>
      <c r="E13" s="6">
        <v>0.0274</v>
      </c>
      <c r="F13" s="6">
        <v>0.0209</v>
      </c>
      <c r="G13" s="7" t="s">
        <v>97</v>
      </c>
      <c r="H13" s="7" t="s">
        <v>82</v>
      </c>
      <c r="I13" s="7" t="s">
        <v>144</v>
      </c>
      <c r="J13" s="7" t="s">
        <v>143</v>
      </c>
      <c r="K13" s="7" t="s">
        <v>250</v>
      </c>
      <c r="L13" s="8" t="s">
        <v>246</v>
      </c>
    </row>
    <row r="14" ht="15" customHeight="1" spans="1:12">
      <c r="A14" s="4" t="s">
        <v>152</v>
      </c>
      <c r="B14" s="5">
        <v>20424</v>
      </c>
      <c r="C14" s="6">
        <v>-0.0422</v>
      </c>
      <c r="D14" s="6">
        <v>-0.0936</v>
      </c>
      <c r="E14" s="6">
        <v>0.0173</v>
      </c>
      <c r="F14" s="6">
        <v>0.0138</v>
      </c>
      <c r="G14" s="7" t="s">
        <v>97</v>
      </c>
      <c r="H14" s="7" t="s">
        <v>82</v>
      </c>
      <c r="I14" s="7" t="s">
        <v>250</v>
      </c>
      <c r="J14" s="7" t="s">
        <v>246</v>
      </c>
      <c r="K14" s="7" t="s">
        <v>483</v>
      </c>
      <c r="L14" s="8" t="s">
        <v>481</v>
      </c>
    </row>
    <row r="15" ht="15" customHeight="1" spans="1:12">
      <c r="A15" s="4" t="s">
        <v>159</v>
      </c>
      <c r="B15" s="5">
        <v>21060</v>
      </c>
      <c r="C15" s="6">
        <v>-0.2058</v>
      </c>
      <c r="D15" s="6">
        <v>-0.1234</v>
      </c>
      <c r="E15" s="6">
        <v>0.0125</v>
      </c>
      <c r="F15" s="6">
        <v>0.0105</v>
      </c>
      <c r="G15" s="7" t="s">
        <v>97</v>
      </c>
      <c r="H15" s="7" t="s">
        <v>82</v>
      </c>
      <c r="I15" s="7" t="s">
        <v>250</v>
      </c>
      <c r="J15" s="7" t="s">
        <v>246</v>
      </c>
      <c r="K15" s="7" t="s">
        <v>464</v>
      </c>
      <c r="L15" s="8" t="s">
        <v>462</v>
      </c>
    </row>
    <row r="16" ht="15" customHeight="1" spans="1:12">
      <c r="A16" s="4" t="s">
        <v>169</v>
      </c>
      <c r="B16" s="5">
        <v>11015</v>
      </c>
      <c r="C16" s="6">
        <v>-0.1677</v>
      </c>
      <c r="D16" s="6">
        <v>5.483</v>
      </c>
      <c r="E16" s="6">
        <v>0.0131</v>
      </c>
      <c r="F16" s="6">
        <v>0.011</v>
      </c>
      <c r="G16" s="7" t="s">
        <v>177</v>
      </c>
      <c r="H16" s="7" t="s">
        <v>171</v>
      </c>
      <c r="I16" s="7" t="s">
        <v>120</v>
      </c>
      <c r="J16" s="7" t="s">
        <v>109</v>
      </c>
      <c r="K16" s="7" t="s">
        <v>97</v>
      </c>
      <c r="L16" s="8" t="s">
        <v>82</v>
      </c>
    </row>
    <row r="17" ht="15" customHeight="1" spans="1:12">
      <c r="A17" s="4" t="s">
        <v>178</v>
      </c>
      <c r="B17" s="5">
        <v>18397</v>
      </c>
      <c r="C17" s="6">
        <v>-0.1962</v>
      </c>
      <c r="D17" s="6">
        <v>-0.0041</v>
      </c>
      <c r="E17" s="6">
        <v>0.0142</v>
      </c>
      <c r="F17" s="6">
        <v>0.0127</v>
      </c>
      <c r="G17" s="7" t="s">
        <v>97</v>
      </c>
      <c r="H17" s="7" t="s">
        <v>82</v>
      </c>
      <c r="I17" s="7" t="s">
        <v>250</v>
      </c>
      <c r="J17" s="7" t="s">
        <v>246</v>
      </c>
      <c r="K17" s="7" t="s">
        <v>483</v>
      </c>
      <c r="L17" s="8" t="s">
        <v>481</v>
      </c>
    </row>
    <row r="18" ht="15" customHeight="1" spans="1:12">
      <c r="A18" s="4" t="s">
        <v>185</v>
      </c>
      <c r="B18" s="5">
        <v>18715</v>
      </c>
      <c r="C18" s="6">
        <v>-0.2467</v>
      </c>
      <c r="D18" s="6">
        <v>0.0052</v>
      </c>
      <c r="E18" s="6">
        <v>0.0088</v>
      </c>
      <c r="F18" s="6">
        <v>0.003</v>
      </c>
      <c r="G18" s="7" t="s">
        <v>197</v>
      </c>
      <c r="H18" s="7" t="s">
        <v>187</v>
      </c>
      <c r="I18" s="7" t="s">
        <v>493</v>
      </c>
      <c r="J18" s="7" t="s">
        <v>492</v>
      </c>
      <c r="K18" s="7" t="s">
        <v>495</v>
      </c>
      <c r="L18" s="8" t="s">
        <v>494</v>
      </c>
    </row>
    <row r="19" ht="15" customHeight="1" spans="1:12">
      <c r="A19" s="4" t="s">
        <v>198</v>
      </c>
      <c r="B19" s="5">
        <v>20306</v>
      </c>
      <c r="C19" s="6">
        <v>-0.2344</v>
      </c>
      <c r="D19" s="6">
        <v>-0.2355</v>
      </c>
      <c r="E19" s="6">
        <v>0.0189</v>
      </c>
      <c r="F19" s="6">
        <v>0.0244</v>
      </c>
      <c r="G19" s="7" t="s">
        <v>120</v>
      </c>
      <c r="H19" s="7" t="s">
        <v>109</v>
      </c>
      <c r="I19" s="7" t="s">
        <v>144</v>
      </c>
      <c r="J19" s="7" t="s">
        <v>143</v>
      </c>
      <c r="K19" s="7" t="s">
        <v>250</v>
      </c>
      <c r="L19" s="8" t="s">
        <v>246</v>
      </c>
    </row>
    <row r="20" ht="15" customHeight="1" spans="1:12">
      <c r="A20" s="4" t="s">
        <v>200</v>
      </c>
      <c r="B20" s="5">
        <v>14356</v>
      </c>
      <c r="C20" s="6">
        <v>-0.1847</v>
      </c>
      <c r="D20" s="6">
        <v>0.4377</v>
      </c>
      <c r="E20" s="6">
        <v>0.0173</v>
      </c>
      <c r="F20" s="6">
        <v>0.0228</v>
      </c>
      <c r="G20" s="7" t="s">
        <v>97</v>
      </c>
      <c r="H20" s="7" t="s">
        <v>82</v>
      </c>
      <c r="I20" s="7" t="s">
        <v>144</v>
      </c>
      <c r="J20" s="7" t="s">
        <v>143</v>
      </c>
      <c r="K20" s="7" t="s">
        <v>250</v>
      </c>
      <c r="L20" s="8" t="s">
        <v>246</v>
      </c>
    </row>
    <row r="21" ht="15" customHeight="1" spans="1:12">
      <c r="A21" s="4" t="s">
        <v>201</v>
      </c>
      <c r="B21" s="5">
        <v>9901</v>
      </c>
      <c r="C21" s="6">
        <v>-0.0082</v>
      </c>
      <c r="D21" s="6">
        <v>2.1917</v>
      </c>
      <c r="E21" s="6">
        <v>0.0165</v>
      </c>
      <c r="F21" s="6">
        <v>0.0222</v>
      </c>
      <c r="G21" s="7" t="s">
        <v>97</v>
      </c>
      <c r="H21" s="7" t="s">
        <v>82</v>
      </c>
      <c r="I21" s="7" t="s">
        <v>250</v>
      </c>
      <c r="J21" s="7" t="s">
        <v>246</v>
      </c>
      <c r="K21" s="7" t="s">
        <v>483</v>
      </c>
      <c r="L21" s="8" t="s">
        <v>481</v>
      </c>
    </row>
    <row r="22" ht="15" customHeight="1" spans="1:12">
      <c r="A22" s="4" t="s">
        <v>202</v>
      </c>
      <c r="B22" s="5">
        <v>1878901</v>
      </c>
      <c r="C22" s="6">
        <v>-0.0552</v>
      </c>
      <c r="D22" s="6">
        <v>-0.2049</v>
      </c>
      <c r="E22" s="6">
        <v>0.454</v>
      </c>
      <c r="F22" s="6">
        <v>0.0442</v>
      </c>
      <c r="G22" s="7" t="s">
        <v>205</v>
      </c>
      <c r="H22" s="7" t="s">
        <v>204</v>
      </c>
      <c r="I22" s="7" t="s">
        <v>468</v>
      </c>
      <c r="J22" s="7" t="s">
        <v>465</v>
      </c>
      <c r="K22" s="7" t="s">
        <v>464</v>
      </c>
      <c r="L22" s="8" t="s">
        <v>462</v>
      </c>
    </row>
    <row r="23" ht="15" customHeight="1" spans="1:12">
      <c r="A23" s="4" t="s">
        <v>206</v>
      </c>
      <c r="B23" s="5">
        <v>1157690</v>
      </c>
      <c r="C23" s="6">
        <v>-0.2555</v>
      </c>
      <c r="D23" s="6">
        <v>-0.122</v>
      </c>
      <c r="E23" s="6">
        <v>0.2887</v>
      </c>
      <c r="F23" s="6">
        <v>0.0154</v>
      </c>
      <c r="G23" s="7" t="s">
        <v>209</v>
      </c>
      <c r="H23" s="7" t="s">
        <v>208</v>
      </c>
      <c r="I23" s="7" t="s">
        <v>205</v>
      </c>
      <c r="J23" s="7" t="s">
        <v>204</v>
      </c>
      <c r="K23" s="7" t="s">
        <v>464</v>
      </c>
      <c r="L23" s="8" t="s">
        <v>462</v>
      </c>
    </row>
    <row r="24" ht="15" customHeight="1" spans="1:12">
      <c r="A24" s="4" t="s">
        <v>210</v>
      </c>
      <c r="B24" s="5">
        <v>396067</v>
      </c>
      <c r="C24" s="6">
        <v>-0.0488</v>
      </c>
      <c r="D24" s="6">
        <v>-0.3398</v>
      </c>
      <c r="E24" s="6">
        <v>0.1212</v>
      </c>
      <c r="F24" s="6">
        <v>0.0253</v>
      </c>
      <c r="G24" s="7" t="s">
        <v>205</v>
      </c>
      <c r="H24" s="7" t="s">
        <v>204</v>
      </c>
      <c r="I24" s="7" t="s">
        <v>475</v>
      </c>
      <c r="J24" s="7" t="s">
        <v>473</v>
      </c>
      <c r="K24" s="7" t="s">
        <v>464</v>
      </c>
      <c r="L24" s="8" t="s">
        <v>462</v>
      </c>
    </row>
    <row r="25" ht="15" customHeight="1" spans="1:12">
      <c r="A25" s="4" t="s">
        <v>219</v>
      </c>
      <c r="B25" s="5">
        <v>92204</v>
      </c>
      <c r="C25" s="6">
        <v>-0.4201</v>
      </c>
      <c r="D25" s="6">
        <v>-0.1953</v>
      </c>
      <c r="E25" s="6">
        <v>0.0119</v>
      </c>
      <c r="F25" s="6">
        <v>0.0048</v>
      </c>
      <c r="G25" s="7" t="s">
        <v>209</v>
      </c>
      <c r="H25" s="7" t="s">
        <v>208</v>
      </c>
      <c r="I25" s="7" t="s">
        <v>205</v>
      </c>
      <c r="J25" s="7" t="s">
        <v>204</v>
      </c>
      <c r="K25" s="7" t="s">
        <v>464</v>
      </c>
      <c r="L25" s="8" t="s">
        <v>462</v>
      </c>
    </row>
    <row r="26" ht="15" customHeight="1" spans="1:12">
      <c r="A26" s="4" t="s">
        <v>226</v>
      </c>
      <c r="B26" s="5">
        <v>75461</v>
      </c>
      <c r="C26" s="6">
        <v>-0.2404</v>
      </c>
      <c r="D26" s="6">
        <v>-0.1703</v>
      </c>
      <c r="E26" s="6">
        <v>0.0167</v>
      </c>
      <c r="F26" s="6">
        <v>0.0109</v>
      </c>
      <c r="G26" s="7" t="s">
        <v>209</v>
      </c>
      <c r="H26" s="7" t="s">
        <v>208</v>
      </c>
      <c r="I26" s="7" t="s">
        <v>205</v>
      </c>
      <c r="J26" s="7" t="s">
        <v>204</v>
      </c>
      <c r="K26" s="7" t="s">
        <v>464</v>
      </c>
      <c r="L26" s="8" t="s">
        <v>462</v>
      </c>
    </row>
    <row r="27" ht="15" customHeight="1" spans="1:12">
      <c r="A27" s="4" t="s">
        <v>228</v>
      </c>
      <c r="B27" s="5">
        <v>60456</v>
      </c>
      <c r="C27" s="6">
        <v>-0.0934</v>
      </c>
      <c r="D27" s="6">
        <v>-0.0929</v>
      </c>
      <c r="E27" s="6">
        <v>0.014</v>
      </c>
      <c r="F27" s="6">
        <v>0.0139</v>
      </c>
      <c r="G27" s="7" t="s">
        <v>209</v>
      </c>
      <c r="H27" s="7" t="s">
        <v>208</v>
      </c>
      <c r="I27" s="7" t="s">
        <v>205</v>
      </c>
      <c r="J27" s="7" t="s">
        <v>204</v>
      </c>
      <c r="K27" s="7" t="s">
        <v>464</v>
      </c>
      <c r="L27" s="8" t="s">
        <v>462</v>
      </c>
    </row>
    <row r="28" ht="15" customHeight="1" spans="1:12">
      <c r="A28" s="4" t="s">
        <v>230</v>
      </c>
      <c r="B28" s="5">
        <v>53436</v>
      </c>
      <c r="C28" s="6">
        <v>-0.2597</v>
      </c>
      <c r="D28" s="6">
        <v>-0.1741</v>
      </c>
      <c r="E28" s="6">
        <v>0.01</v>
      </c>
      <c r="F28" s="6">
        <v>0.0134</v>
      </c>
      <c r="G28" s="7" t="s">
        <v>209</v>
      </c>
      <c r="H28" s="7" t="s">
        <v>208</v>
      </c>
      <c r="I28" s="7" t="s">
        <v>205</v>
      </c>
      <c r="J28" s="7" t="s">
        <v>204</v>
      </c>
      <c r="K28" s="7" t="s">
        <v>177</v>
      </c>
      <c r="L28" s="8" t="s">
        <v>171</v>
      </c>
    </row>
    <row r="29" ht="15" customHeight="1" spans="1:12">
      <c r="A29" s="4" t="s">
        <v>236</v>
      </c>
      <c r="B29" s="5">
        <v>46405</v>
      </c>
      <c r="C29" s="6">
        <v>-0.1958</v>
      </c>
      <c r="D29" s="6">
        <v>-0.1279</v>
      </c>
      <c r="E29" s="6">
        <v>0.0109</v>
      </c>
      <c r="F29" s="6">
        <v>0.0387</v>
      </c>
      <c r="G29" s="7" t="s">
        <v>239</v>
      </c>
      <c r="H29" s="7" t="s">
        <v>238</v>
      </c>
      <c r="I29" s="7" t="s">
        <v>468</v>
      </c>
      <c r="J29" s="7" t="s">
        <v>465</v>
      </c>
      <c r="K29" s="7" t="s">
        <v>485</v>
      </c>
      <c r="L29" s="8" t="s">
        <v>484</v>
      </c>
    </row>
    <row r="30" ht="15" customHeight="1" spans="1:12">
      <c r="A30" s="4" t="s">
        <v>240</v>
      </c>
      <c r="B30" s="5">
        <v>40581</v>
      </c>
      <c r="C30" s="6">
        <v>-0.2721</v>
      </c>
      <c r="D30" s="6">
        <v>-0.0451</v>
      </c>
      <c r="E30" s="6">
        <v>0.009</v>
      </c>
      <c r="F30" s="6">
        <v>0.0127</v>
      </c>
      <c r="G30" s="7" t="s">
        <v>209</v>
      </c>
      <c r="H30" s="7" t="s">
        <v>208</v>
      </c>
      <c r="I30" s="7" t="s">
        <v>97</v>
      </c>
      <c r="J30" s="7" t="s">
        <v>82</v>
      </c>
      <c r="K30" s="7" t="s">
        <v>464</v>
      </c>
      <c r="L30" s="8" t="s">
        <v>462</v>
      </c>
    </row>
    <row r="31" ht="15" customHeight="1" spans="1:12">
      <c r="A31" s="4" t="s">
        <v>242</v>
      </c>
      <c r="B31" s="5">
        <v>31372</v>
      </c>
      <c r="C31" s="6">
        <v>0.0443</v>
      </c>
      <c r="D31" s="6">
        <v>-0.0008</v>
      </c>
      <c r="E31" s="6">
        <v>0.0083</v>
      </c>
      <c r="F31" s="6">
        <v>0.0163</v>
      </c>
      <c r="G31" s="7" t="s">
        <v>209</v>
      </c>
      <c r="H31" s="7" t="s">
        <v>208</v>
      </c>
      <c r="I31" s="7" t="s">
        <v>177</v>
      </c>
      <c r="J31" s="7" t="s">
        <v>171</v>
      </c>
      <c r="K31" s="7" t="s">
        <v>464</v>
      </c>
      <c r="L31" s="8" t="s">
        <v>462</v>
      </c>
    </row>
    <row r="32" ht="15" customHeight="1" spans="1:12">
      <c r="A32" s="4" t="s">
        <v>243</v>
      </c>
      <c r="B32" s="5">
        <v>50332</v>
      </c>
      <c r="C32" s="6">
        <v>-0.5773</v>
      </c>
      <c r="D32" s="6">
        <v>-0.098</v>
      </c>
      <c r="E32" s="6">
        <v>0.0121</v>
      </c>
      <c r="F32" s="6">
        <v>0.0245</v>
      </c>
      <c r="G32" s="7" t="s">
        <v>205</v>
      </c>
      <c r="H32" s="7" t="s">
        <v>204</v>
      </c>
      <c r="I32" s="7" t="s">
        <v>475</v>
      </c>
      <c r="J32" s="7" t="s">
        <v>473</v>
      </c>
      <c r="K32" s="7" t="s">
        <v>464</v>
      </c>
      <c r="L32" s="8" t="s">
        <v>462</v>
      </c>
    </row>
    <row r="33" ht="15" customHeight="1" spans="1:12">
      <c r="A33" s="4" t="s">
        <v>244</v>
      </c>
      <c r="B33" s="5">
        <v>32159</v>
      </c>
      <c r="C33" s="6">
        <v>-0.1778</v>
      </c>
      <c r="D33" s="6">
        <v>-0.1414</v>
      </c>
      <c r="E33" s="6">
        <v>0.0068</v>
      </c>
      <c r="F33" s="6">
        <v>0.0138</v>
      </c>
      <c r="G33" s="7" t="s">
        <v>250</v>
      </c>
      <c r="H33" s="7" t="s">
        <v>246</v>
      </c>
      <c r="I33" s="7" t="s">
        <v>490</v>
      </c>
      <c r="J33" s="7" t="s">
        <v>489</v>
      </c>
      <c r="K33" s="7" t="s">
        <v>464</v>
      </c>
      <c r="L33" s="8" t="s">
        <v>462</v>
      </c>
    </row>
    <row r="34" ht="15" customHeight="1" spans="1:12">
      <c r="A34" s="4" t="s">
        <v>251</v>
      </c>
      <c r="B34" s="5">
        <v>29585</v>
      </c>
      <c r="C34" s="6">
        <v>-0.1538</v>
      </c>
      <c r="D34" s="6">
        <v>-0.1919</v>
      </c>
      <c r="E34" s="6">
        <v>0.0067</v>
      </c>
      <c r="F34" s="6">
        <v>0.0127</v>
      </c>
      <c r="G34" s="7" t="s">
        <v>209</v>
      </c>
      <c r="H34" s="7" t="s">
        <v>208</v>
      </c>
      <c r="I34" s="7" t="s">
        <v>205</v>
      </c>
      <c r="J34" s="7" t="s">
        <v>204</v>
      </c>
      <c r="K34" s="7" t="s">
        <v>177</v>
      </c>
      <c r="L34" s="8" t="s">
        <v>171</v>
      </c>
    </row>
    <row r="35" ht="15" customHeight="1" spans="1:12">
      <c r="A35" s="4" t="s">
        <v>256</v>
      </c>
      <c r="B35" s="5">
        <v>23461</v>
      </c>
      <c r="C35" s="6">
        <v>-0.1361</v>
      </c>
      <c r="D35" s="6">
        <v>-0.0833</v>
      </c>
      <c r="E35" s="6">
        <v>0.0052</v>
      </c>
      <c r="F35" s="6">
        <v>0.0113</v>
      </c>
      <c r="G35" s="7" t="s">
        <v>205</v>
      </c>
      <c r="H35" s="7" t="s">
        <v>204</v>
      </c>
      <c r="I35" s="7" t="s">
        <v>250</v>
      </c>
      <c r="J35" s="7" t="s">
        <v>246</v>
      </c>
      <c r="K35" s="7" t="s">
        <v>464</v>
      </c>
      <c r="L35" s="8" t="s">
        <v>462</v>
      </c>
    </row>
    <row r="36" ht="15" customHeight="1" spans="1:12">
      <c r="A36" s="4" t="s">
        <v>258</v>
      </c>
      <c r="B36" s="5">
        <v>16495</v>
      </c>
      <c r="C36" s="6">
        <v>-0.4287</v>
      </c>
      <c r="D36" s="6">
        <v>3.4727</v>
      </c>
      <c r="E36" s="6">
        <v>0.0072</v>
      </c>
      <c r="F36" s="6">
        <v>0.0231</v>
      </c>
      <c r="G36" s="7" t="s">
        <v>209</v>
      </c>
      <c r="H36" s="7" t="s">
        <v>208</v>
      </c>
      <c r="I36" s="7" t="s">
        <v>205</v>
      </c>
      <c r="J36" s="7" t="s">
        <v>204</v>
      </c>
      <c r="K36" s="7" t="s">
        <v>497</v>
      </c>
      <c r="L36" s="8" t="s">
        <v>496</v>
      </c>
    </row>
    <row r="37" ht="15" customHeight="1" spans="1:12">
      <c r="A37" s="4" t="s">
        <v>264</v>
      </c>
      <c r="B37" s="5">
        <v>10610</v>
      </c>
      <c r="C37" s="6">
        <v>-0.1562</v>
      </c>
      <c r="D37" s="6">
        <v>1.8001</v>
      </c>
      <c r="E37" s="6">
        <v>0.0052</v>
      </c>
      <c r="F37" s="6">
        <v>0.0225</v>
      </c>
      <c r="G37" s="7" t="s">
        <v>209</v>
      </c>
      <c r="H37" s="7" t="s">
        <v>208</v>
      </c>
      <c r="I37" s="7" t="s">
        <v>205</v>
      </c>
      <c r="J37" s="7" t="s">
        <v>204</v>
      </c>
      <c r="K37" s="7" t="s">
        <v>177</v>
      </c>
      <c r="L37" s="8" t="s">
        <v>171</v>
      </c>
    </row>
    <row r="38" ht="15" customHeight="1" spans="1:12">
      <c r="A38" s="4" t="s">
        <v>266</v>
      </c>
      <c r="B38" s="5">
        <v>12174</v>
      </c>
      <c r="C38" s="6">
        <v>-0.0433</v>
      </c>
      <c r="D38" s="6">
        <v>-0.132</v>
      </c>
      <c r="E38" s="6">
        <v>0.0024</v>
      </c>
      <c r="F38" s="6">
        <v>0.0359</v>
      </c>
      <c r="G38" s="7" t="s">
        <v>272</v>
      </c>
      <c r="H38" s="7" t="s">
        <v>268</v>
      </c>
      <c r="I38" s="7" t="s">
        <v>239</v>
      </c>
      <c r="J38" s="7" t="s">
        <v>238</v>
      </c>
      <c r="K38" s="7" t="s">
        <v>468</v>
      </c>
      <c r="L38" s="8" t="s">
        <v>465</v>
      </c>
    </row>
    <row r="39" ht="15" customHeight="1" spans="1:12">
      <c r="A39" s="4" t="s">
        <v>273</v>
      </c>
      <c r="B39" s="5">
        <v>13567</v>
      </c>
      <c r="C39" s="6">
        <v>-0.1967</v>
      </c>
      <c r="D39" s="6">
        <v>-0.2102</v>
      </c>
      <c r="E39" s="6">
        <v>0.0028</v>
      </c>
      <c r="F39" s="6">
        <v>0.0272</v>
      </c>
      <c r="G39" s="7" t="s">
        <v>272</v>
      </c>
      <c r="H39" s="7" t="s">
        <v>268</v>
      </c>
      <c r="I39" s="7" t="s">
        <v>144</v>
      </c>
      <c r="J39" s="7" t="s">
        <v>143</v>
      </c>
      <c r="K39" s="7" t="s">
        <v>250</v>
      </c>
      <c r="L39" s="8" t="s">
        <v>246</v>
      </c>
    </row>
    <row r="40" ht="15" customHeight="1" spans="1:12">
      <c r="A40" s="4" t="s">
        <v>278</v>
      </c>
      <c r="B40" s="5">
        <v>14990</v>
      </c>
      <c r="C40" s="6">
        <v>-0.3362</v>
      </c>
      <c r="D40" s="6">
        <v>-0.2679</v>
      </c>
      <c r="E40" s="6">
        <v>0.0036</v>
      </c>
      <c r="F40" s="6">
        <v>0.0292</v>
      </c>
      <c r="G40" s="7" t="s">
        <v>272</v>
      </c>
      <c r="H40" s="7" t="s">
        <v>268</v>
      </c>
      <c r="I40" s="7" t="s">
        <v>205</v>
      </c>
      <c r="J40" s="7" t="s">
        <v>204</v>
      </c>
      <c r="K40" s="7" t="s">
        <v>475</v>
      </c>
      <c r="L40" s="8" t="s">
        <v>473</v>
      </c>
    </row>
    <row r="41" ht="15" customHeight="1" spans="1:12">
      <c r="A41" s="9" t="s">
        <v>279</v>
      </c>
      <c r="B41" s="10">
        <v>9953</v>
      </c>
      <c r="C41" s="11">
        <v>0.0017</v>
      </c>
      <c r="D41" s="11">
        <v>-0.1132</v>
      </c>
      <c r="E41" s="11">
        <v>0.0025</v>
      </c>
      <c r="F41" s="11">
        <v>0.0094</v>
      </c>
      <c r="G41" s="12" t="s">
        <v>209</v>
      </c>
      <c r="H41" s="12" t="s">
        <v>208</v>
      </c>
      <c r="I41" s="12" t="s">
        <v>177</v>
      </c>
      <c r="J41" s="12" t="s">
        <v>171</v>
      </c>
      <c r="K41" s="12" t="s">
        <v>499</v>
      </c>
      <c r="L41" s="13" t="s">
        <v>498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关键词打标结果</vt:lpstr>
      <vt:lpstr>高机会词清单</vt:lpstr>
      <vt:lpstr>SIF需求词频统计</vt:lpstr>
      <vt:lpstr>需求供给匹配矩阵</vt:lpstr>
      <vt:lpstr>广告结构规划</vt:lpstr>
      <vt:lpstr>竞品ASIN汇总</vt:lpstr>
      <vt:lpstr>标签词典</vt:lpstr>
      <vt:lpstr>打标规则说明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2026-06-11T06:36:08Z</dcterms:created>
  <dcterms:modified xsi:type="dcterms:W3CDTF">2026-06-11T07:44:47Z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D9B20529BD73414BB3C4F8D8981A04DD_12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