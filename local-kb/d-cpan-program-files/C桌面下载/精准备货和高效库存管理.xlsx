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备货时间点" sheetId="1" r:id="rId1"/>
    <sheet name="补货数量" sheetId="3" r:id="rId2"/>
    <sheet name="库存周转率" sheetId="4" r:id="rId3"/>
    <sheet name="Sheet2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<sst xmlns="http://schemas.openxmlformats.org/spreadsheetml/2006/main" count="73" uniqueCount="55">
  <si>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平均日销量</t>
  </si>
  <si>
    <t>库存可售情况</t>
  </si>
  <si>
    <t>下单备货、海运发货规划</t>
  </si>
  <si>
    <t>产品名称</t>
  </si>
  <si>
    <t>近7天销量</t>
  </si>
  <si>
    <t>近14天销量</t>
  </si>
  <si>
    <t>近30天销量</t>
  </si>
  <si>
    <t>统计日期</t>
  </si>
  <si>
    <t>FBA库存</t>
  </si>
  <si>
    <t>FBA库存可售天数</t>
  </si>
  <si>
    <t>FBA库存
售完日期</t>
  </si>
  <si>
    <t>在途库存</t>
  </si>
  <si>
    <t>在途库存的
开船日期</t>
  </si>
  <si>
    <t>开船到入仓总时长</t>
  </si>
  <si>
    <t>预估入仓时间</t>
  </si>
  <si>
    <t>总库存
【FBA库存+在途库存】</t>
  </si>
  <si>
    <t>总库存
可售天数</t>
  </si>
  <si>
    <t>总库存
售完日期</t>
  </si>
  <si>
    <t>开船到入仓
总时长</t>
  </si>
  <si>
    <t>最迟发货日期
（保证不断货）</t>
  </si>
  <si>
    <t>最迟发货日期前一周的船期</t>
  </si>
  <si>
    <t>该船期对应的截单时间</t>
  </si>
  <si>
    <t>工厂交期</t>
  </si>
  <si>
    <t>国内运输
时长</t>
  </si>
  <si>
    <t>货物处理时长</t>
  </si>
  <si>
    <t>最迟补单日期</t>
  </si>
  <si>
    <t>产品1</t>
  </si>
  <si>
    <t>产品2</t>
  </si>
  <si>
    <t>日均销量</t>
  </si>
  <si>
    <t>国内运输时长</t>
  </si>
  <si>
    <t>安全库存天数1
（亚马逊上架问题）</t>
  </si>
  <si>
    <t>安全库存天数2
（工厂交期或海运查验问题）</t>
  </si>
  <si>
    <t>安全库存天数3（销量涨幅问题）</t>
  </si>
  <si>
    <t>其他推广需要的额外库存
（Deal，Prime Day，站外）</t>
  </si>
  <si>
    <t>总补货数量</t>
  </si>
  <si>
    <t>备注</t>
  </si>
  <si>
    <t>绿色背景的列数据是函数，不需要更改，是自动生成的</t>
  </si>
  <si>
    <t>G列到J列的数据是根据自己的实际情况，手动填写的</t>
  </si>
  <si>
    <t>工厂采购货本（RMB）</t>
  </si>
  <si>
    <t>头程运费（RMB）</t>
  </si>
  <si>
    <t>计算周期（天）</t>
  </si>
  <si>
    <t>计算周期的期初库存数量</t>
  </si>
  <si>
    <t>FBA仓库所有库存</t>
  </si>
  <si>
    <t>已发出的在途库存</t>
  </si>
  <si>
    <t>库存周转率
（库存周转次数）</t>
  </si>
  <si>
    <t>库存周转天数</t>
  </si>
  <si>
    <t>库存周转率=销售成本/平均库存=（日均销量*计算周期*（工厂采购成本+头程运费））/（（(期初库存+FBA仓库所有库存+已发出的在途库存)*（工厂采购成本+头程运费））/2）</t>
  </si>
  <si>
    <t>库存周转率=（2*（日均销量*计算周期））/（期初库存+总库存）</t>
  </si>
  <si>
    <t>C列到F列的数据是根据自己的实际情况，手动填写的</t>
  </si>
  <si>
    <t>总库存售完日期</t>
  </si>
  <si>
    <t>最低可售天数要求</t>
  </si>
  <si>
    <t>最低库存数要求</t>
  </si>
  <si>
    <t>总库存可售天数</t>
  </si>
  <si>
    <t>总库存</t>
  </si>
  <si>
    <t>今天日期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</si>
</sst>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.00_ "/>
    <numFmt numFmtId="179" formatCode="[$-804]aaaa;@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0" applyNumberFormat="0" applyAlignment="0" applyProtection="0">
      <alignment vertical="center"/>
    </xf>
    <xf numFmtId="0" fontId="12" fillId="6" borderId="21" applyNumberFormat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7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vertical="center" wrapText="1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177" fontId="1" fillId="2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7" fontId="2" fillId="3" borderId="14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9" fontId="2" fillId="3" borderId="5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7" fontId="1" fillId="2" borderId="6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 wrapText="1"/>
    </xf>
    <xf numFmtId="179" fontId="1" fillId="2" borderId="5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9" fontId="1" fillId="2" borderId="12" xfId="0" applyNumberFormat="1" applyFont="1" applyFill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179" fontId="1" fillId="0" borderId="1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重要时间点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3990739152804"/>
          <c:y val="0.266654823236809"/>
          <c:w val="0.891733836391699"/>
          <c:h val="0.659868537928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总库存售完日期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Sheet2!$B$1:$D$1</c:f>
              <c:strCache>
                <c:ptCount val="3"/>
                <c:pt idx="0" c:formatCode="yyyy/m/d;@">
                  <c:v>产品1</c:v>
                </c:pt>
                <c:pt idx="1" c:formatCode="yyyy/m/d;@">
                  <c:v>产品2</c:v>
                </c:pt>
              </c:strCache>
            </c:strRef>
          </c:cat>
          <c:val>
            <c:numRef>
              <c:f>Sheet2!$B$2:$D$2</c:f>
              <c:numCache>
                <c:formatCode>yyyy/m/d;@</c:formatCode>
                <c:ptCount val="3"/>
                <c:pt idx="0">
                  <c:v>46174.9285714286</c:v>
                </c:pt>
                <c:pt idx="1">
                  <c:v>46162.0465116279</c:v>
                </c:pt>
              </c:numCache>
            </c:numRef>
          </c:val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最迟发货日期
（保证不断货）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Sheet2!$B$1:$D$1</c:f>
              <c:strCache>
                <c:ptCount val="3"/>
                <c:pt idx="0" c:formatCode="yyyy/m/d;@">
                  <c:v>产品1</c:v>
                </c:pt>
                <c:pt idx="1" c:formatCode="yyyy/m/d;@">
                  <c:v>产品2</c:v>
                </c:pt>
              </c:strCache>
            </c:strRef>
          </c:cat>
          <c:val>
            <c:numRef>
              <c:f>Sheet2!$B$3:$D$3</c:f>
              <c:numCache>
                <c:formatCode>yyyy/m/d;@</c:formatCode>
                <c:ptCount val="3"/>
                <c:pt idx="0">
                  <c:v>46134.9285714286</c:v>
                </c:pt>
                <c:pt idx="1">
                  <c:v>46122.0465116279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94593057"/>
        <c:axId val="791356400"/>
      </c:barChart>
      <c:catAx>
        <c:axId val="59459305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356400"/>
        <c:crosses val="autoZero"/>
        <c:auto val="1"/>
        <c:lblAlgn val="ctr"/>
        <c:lblOffset val="100"/>
        <c:noMultiLvlLbl val="0"/>
      </c:catAx>
      <c:valAx>
        <c:axId val="7913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/m/d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0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283096-c1e1-4b89-b303-e6556eb899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销售天数情况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最低可售天数要求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Sheet2!$K$1:$L$1</c:f>
              <c:strCache>
                <c:ptCount val="2"/>
                <c:pt idx="0" c:formatCode="0_ 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Sheet2!$K$2:$L$2</c:f>
              <c:numCache>
                <c:formatCode>0_ </c:formatCode>
                <c:ptCount val="2"/>
                <c:pt idx="0">
                  <c:v>59</c:v>
                </c:pt>
                <c:pt idx="1">
                  <c:v>59</c:v>
                </c:pt>
              </c:numCache>
            </c:numRef>
          </c:val>
        </c:ser>
        <c:ser>
          <c:idx val="1"/>
          <c:order val="1"/>
          <c:tx>
            <c:strRef>
              <c:f>Sheet2!$J$3</c:f>
              <c:strCache>
                <c:ptCount val="1"/>
                <c:pt idx="0">
                  <c:v>总库存可售天数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Sheet2!$K$1:$L$1</c:f>
              <c:strCache>
                <c:ptCount val="2"/>
                <c:pt idx="0" c:formatCode="0_ 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Sheet2!$K$3:$L$3</c:f>
              <c:numCache>
                <c:formatCode>0_ </c:formatCode>
                <c:ptCount val="2"/>
                <c:pt idx="0">
                  <c:v>62.9285714285714</c:v>
                </c:pt>
                <c:pt idx="1">
                  <c:v>50.046511627907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75691797"/>
        <c:axId val="847914251"/>
      </c:barChart>
      <c:catAx>
        <c:axId val="4756917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914251"/>
        <c:crosses val="autoZero"/>
        <c:auto val="1"/>
        <c:lblAlgn val="ctr"/>
        <c:lblOffset val="100"/>
        <c:noMultiLvlLbl val="0"/>
      </c:catAx>
      <c:valAx>
        <c:axId val="8479142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6917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cd759f-3060-4ac4-afc4-7b4c829775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库存数量情况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Sheet2!$S$2</c:f>
              <c:strCache>
                <c:ptCount val="1"/>
                <c:pt idx="0">
                  <c:v>最低库存数要求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Sheet2!$T$1:$U$1</c:f>
              <c:strCache>
                <c:ptCount val="2"/>
                <c:pt idx="0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Sheet2!$T$2:$U$2</c:f>
              <c:numCache>
                <c:formatCode>General</c:formatCode>
                <c:ptCount val="2"/>
                <c:pt idx="0">
                  <c:v>1652</c:v>
                </c:pt>
                <c:pt idx="1">
                  <c:v>2537</c:v>
                </c:pt>
              </c:numCache>
            </c:numRef>
          </c:val>
        </c:ser>
        <c:ser>
          <c:idx val="1"/>
          <c:order val="1"/>
          <c:tx>
            <c:strRef>
              <c:f>Sheet2!$S$3</c:f>
              <c:strCache>
                <c:ptCount val="1"/>
                <c:pt idx="0">
                  <c:v>总库存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Sheet2!$T$1:$U$1</c:f>
              <c:strCache>
                <c:ptCount val="2"/>
                <c:pt idx="0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Sheet2!$T$3:$U$3</c:f>
              <c:numCache>
                <c:formatCode>General</c:formatCode>
                <c:ptCount val="2"/>
                <c:pt idx="0">
                  <c:v>1762</c:v>
                </c:pt>
                <c:pt idx="1">
                  <c:v>2152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7095261"/>
        <c:axId val="547312215"/>
      </c:barChart>
      <c:catAx>
        <c:axId val="870952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312215"/>
        <c:crosses val="autoZero"/>
        <c:auto val="1"/>
        <c:lblAlgn val="ctr"/>
        <c:lblOffset val="100"/>
        <c:noMultiLvlLbl val="0"/>
      </c:catAx>
      <c:valAx>
        <c:axId val="54731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95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dcb927-2b4a-46c7-9905-3ce145bd17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库存周转情况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库存周转率!$I$1</c:f>
              <c:strCache>
                <c:ptCount val="1"/>
                <c:pt idx="0">
                  <c:v>库存周转率
（库存周转次数）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库存周转率!$A$2:$A$3</c:f>
              <c:strCache>
                <c:ptCount val="2"/>
                <c:pt idx="0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库存周转率!$I$2:$I$3</c:f>
              <c:numCache>
                <c:formatCode>0.00_ </c:formatCode>
                <c:ptCount val="2"/>
                <c:pt idx="0">
                  <c:v>1.89331329827198</c:v>
                </c:pt>
                <c:pt idx="1">
                  <c:v>2.38007380073801</c:v>
                </c:pt>
              </c:numCache>
            </c:numRef>
          </c:val>
        </c:ser>
        <c:ser>
          <c:idx val="8"/>
          <c:order val="8"/>
          <c:tx>
            <c:strRef>
              <c:f>库存周转率!$J$1</c:f>
              <c:strCache>
                <c:ptCount val="1"/>
                <c:pt idx="0">
                  <c:v>库存周转天数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库存周转率!$A$2:$A$3</c:f>
              <c:strCache>
                <c:ptCount val="2"/>
                <c:pt idx="0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库存周转率!$J$2:$J$3</c:f>
              <c:numCache>
                <c:formatCode>0_ </c:formatCode>
                <c:ptCount val="2"/>
                <c:pt idx="0">
                  <c:v>47.5357142857143</c:v>
                </c:pt>
                <c:pt idx="1">
                  <c:v>37.8139534883721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62269290"/>
        <c:axId val="5041425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库存周转率!$B$1</c15:sqref>
                        </c15:formulaRef>
                      </c:ext>
                    </c:extLst>
                    <c:strCache>
                      <c:ptCount val="1"/>
                      <c:pt idx="0">
                        <c:v>日均销量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库存周转率!$B$2:$B$3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28</c:v>
                      </c:pt>
                      <c:pt idx="1">
                        <c:v>43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库存周转率!$C$1</c15:sqref>
                        </c15:formulaRef>
                      </c:ext>
                    </c:extLst>
                    <c:strCache>
                      <c:ptCount val="1"/>
                      <c:pt idx="0">
                        <c:v>工厂采购货本（RMB）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库存周转率!$C$2:$C$3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60</c:v>
                      </c:pt>
                      <c:pt idx="1">
                        <c:v>65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库存周转率!$D$1</c15:sqref>
                        </c15:formulaRef>
                      </c:ext>
                    </c:extLst>
                    <c:strCache>
                      <c:ptCount val="1"/>
                      <c:pt idx="0">
                        <c:v>头程运费（RMB）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库存周转率!$D$2:$D$3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18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库存周转率!$E$1</c15:sqref>
                        </c15:formulaRef>
                      </c:ext>
                    </c:extLst>
                    <c:strCache>
                      <c:ptCount val="1"/>
                      <c:pt idx="0">
                        <c:v>计算周期（天）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库存周转率!$E$2:$E$3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90</c:v>
                      </c:pt>
                      <c:pt idx="1">
                        <c:v>90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库存周转率!$F$1</c15:sqref>
                        </c15:formulaRef>
                      </c:ext>
                    </c:extLst>
                    <c:strCache>
                      <c:ptCount val="1"/>
                      <c:pt idx="0">
                        <c:v>计算周期的期初库存数量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库存周转率!$F$2:$F$3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900</c:v>
                      </c:pt>
                      <c:pt idx="1">
                        <c:v>1100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库存周转率!$G$1</c15:sqref>
                        </c15:formulaRef>
                      </c:ext>
                    </c:extLst>
                    <c:strCache>
                      <c:ptCount val="1"/>
                      <c:pt idx="0">
                        <c:v>FBA仓库所有库存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库存周转率!$G$2:$G$3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762</c:v>
                      </c:pt>
                      <c:pt idx="1">
                        <c:v>1152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库存周转率!$H$1</c15:sqref>
                        </c15:formulaRef>
                      </c:ext>
                    </c:extLst>
                    <c:strCache>
                      <c:ptCount val="1"/>
                      <c:pt idx="0">
                        <c:v>已发出的在途库存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库存周转率!$A$2:$A$3</c15:sqref>
                        </c15:formulaRef>
                      </c:ext>
                    </c:extLst>
                    <c:strCache>
                      <c:ptCount val="2"/>
                      <c:pt idx="0">
                        <c:v>产品1</c:v>
                      </c:pt>
                      <c:pt idx="1">
                        <c:v>产品2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库存周转率!$H$2:$H$3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1000</c:v>
                      </c:pt>
                      <c:pt idx="1">
                        <c:v>1000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6226929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142524"/>
        <c:crosses val="autoZero"/>
        <c:auto val="1"/>
        <c:lblAlgn val="ctr"/>
        <c:lblOffset val="100"/>
        <c:noMultiLvlLbl val="0"/>
      </c:catAx>
      <c:valAx>
        <c:axId val="5041425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2692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2a326c-0821-4623-9ac5-d973430722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销售天数情况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最低可售天数要求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Sheet2!$K$1:$L$1</c:f>
              <c:strCache>
                <c:ptCount val="2"/>
                <c:pt idx="0" c:formatCode="0_ 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Sheet2!$K$2:$L$2</c:f>
              <c:numCache>
                <c:formatCode>0_ </c:formatCode>
                <c:ptCount val="2"/>
                <c:pt idx="0">
                  <c:v>59</c:v>
                </c:pt>
                <c:pt idx="1">
                  <c:v>59</c:v>
                </c:pt>
              </c:numCache>
            </c:numRef>
          </c:val>
        </c:ser>
        <c:ser>
          <c:idx val="1"/>
          <c:order val="1"/>
          <c:tx>
            <c:strRef>
              <c:f>Sheet2!$J$3</c:f>
              <c:strCache>
                <c:ptCount val="1"/>
                <c:pt idx="0">
                  <c:v>总库存可售天数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Sheet2!$K$1:$L$1</c:f>
              <c:strCache>
                <c:ptCount val="2"/>
                <c:pt idx="0" c:formatCode="0_ 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Sheet2!$K$3:$L$3</c:f>
              <c:numCache>
                <c:formatCode>0_ </c:formatCode>
                <c:ptCount val="2"/>
                <c:pt idx="0">
                  <c:v>62.9285714285714</c:v>
                </c:pt>
                <c:pt idx="1">
                  <c:v>50.046511627907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75691797"/>
        <c:axId val="847914251"/>
      </c:barChart>
      <c:catAx>
        <c:axId val="4756917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914251"/>
        <c:crosses val="autoZero"/>
        <c:auto val="1"/>
        <c:lblAlgn val="ctr"/>
        <c:lblOffset val="100"/>
        <c:noMultiLvlLbl val="0"/>
      </c:catAx>
      <c:valAx>
        <c:axId val="8479142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6917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e2c98c-072b-482d-99c9-8911eb229e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库存数量情况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Sheet2!$S$2</c:f>
              <c:strCache>
                <c:ptCount val="1"/>
                <c:pt idx="0">
                  <c:v>最低库存数要求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Sheet2!$T$1:$U$1</c:f>
              <c:strCache>
                <c:ptCount val="2"/>
                <c:pt idx="0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Sheet2!$T$2:$U$2</c:f>
              <c:numCache>
                <c:formatCode>General</c:formatCode>
                <c:ptCount val="2"/>
                <c:pt idx="0">
                  <c:v>1652</c:v>
                </c:pt>
                <c:pt idx="1">
                  <c:v>2537</c:v>
                </c:pt>
              </c:numCache>
            </c:numRef>
          </c:val>
        </c:ser>
        <c:ser>
          <c:idx val="1"/>
          <c:order val="1"/>
          <c:tx>
            <c:strRef>
              <c:f>Sheet2!$S$3</c:f>
              <c:strCache>
                <c:ptCount val="1"/>
                <c:pt idx="0">
                  <c:v>总库存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Sheet2!$T$1:$U$1</c:f>
              <c:strCache>
                <c:ptCount val="2"/>
                <c:pt idx="0">
                  <c:v>产品1</c:v>
                </c:pt>
                <c:pt idx="1">
                  <c:v>产品2</c:v>
                </c:pt>
              </c:strCache>
            </c:strRef>
          </c:cat>
          <c:val>
            <c:numRef>
              <c:f>Sheet2!$T$3:$U$3</c:f>
              <c:numCache>
                <c:formatCode>General</c:formatCode>
                <c:ptCount val="2"/>
                <c:pt idx="0">
                  <c:v>1762</c:v>
                </c:pt>
                <c:pt idx="1">
                  <c:v>2152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7095261"/>
        <c:axId val="547312215"/>
      </c:barChart>
      <c:catAx>
        <c:axId val="870952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312215"/>
        <c:crosses val="autoZero"/>
        <c:auto val="1"/>
        <c:lblAlgn val="ctr"/>
        <c:lblOffset val="100"/>
        <c:noMultiLvlLbl val="0"/>
      </c:catAx>
      <c:valAx>
        <c:axId val="54731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95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183125-11ca-49a0-9956-98d45a8cdc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重要时间点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总库存售完日期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Sheet2!$B$1:$C$1</c:f>
              <c:strCache>
                <c:ptCount val="2"/>
                <c:pt idx="0" c:formatCode="yyyy/m/d;@">
                  <c:v>产品1</c:v>
                </c:pt>
                <c:pt idx="1" c:formatCode="yyyy/m/d;@">
                  <c:v>产品2</c:v>
                </c:pt>
              </c:strCache>
            </c:strRef>
          </c:cat>
          <c:val>
            <c:numRef>
              <c:f>Sheet2!$B$2:$C$2</c:f>
              <c:numCache>
                <c:formatCode>yyyy/m/d;@</c:formatCode>
                <c:ptCount val="2"/>
                <c:pt idx="0">
                  <c:v>46174.9285714286</c:v>
                </c:pt>
                <c:pt idx="1">
                  <c:v>46162.0465116279</c:v>
                </c:pt>
              </c:numCache>
            </c:numRef>
          </c:val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最迟发货日期
（保证不断货）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Sheet2!$B$1:$C$1</c:f>
              <c:strCache>
                <c:ptCount val="2"/>
                <c:pt idx="0" c:formatCode="yyyy/m/d;@">
                  <c:v>产品1</c:v>
                </c:pt>
                <c:pt idx="1" c:formatCode="yyyy/m/d;@">
                  <c:v>产品2</c:v>
                </c:pt>
              </c:strCache>
            </c:strRef>
          </c:cat>
          <c:val>
            <c:numRef>
              <c:f>Sheet2!$B$3:$C$3</c:f>
              <c:numCache>
                <c:formatCode>yyyy/m/d;@</c:formatCode>
                <c:ptCount val="2"/>
                <c:pt idx="0">
                  <c:v>46134.9285714286</c:v>
                </c:pt>
                <c:pt idx="1">
                  <c:v>46122.0465116279</c:v>
                </c:pt>
              </c:numCache>
            </c:numRef>
          </c:val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最迟补单日期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Sheet2!$B$1:$C$1</c:f>
              <c:strCache>
                <c:ptCount val="2"/>
                <c:pt idx="0" c:formatCode="yyyy/m/d;@">
                  <c:v>产品1</c:v>
                </c:pt>
                <c:pt idx="1" c:formatCode="yyyy/m/d;@">
                  <c:v>产品2</c:v>
                </c:pt>
              </c:strCache>
            </c:strRef>
          </c:cat>
          <c:val>
            <c:numRef>
              <c:f>Sheet2!$B$4:$C$4</c:f>
              <c:numCache>
                <c:formatCode>yyyy/m/d;@</c:formatCode>
                <c:ptCount val="2"/>
                <c:pt idx="0">
                  <c:v>45539</c:v>
                </c:pt>
                <c:pt idx="1">
                  <c:v>45539</c:v>
                </c:pt>
              </c:numCache>
            </c:numRef>
          </c:val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今天日期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Sheet2!$B$1:$C$1</c:f>
              <c:strCache>
                <c:ptCount val="2"/>
                <c:pt idx="0" c:formatCode="yyyy/m/d;@">
                  <c:v>产品1</c:v>
                </c:pt>
                <c:pt idx="1" c:formatCode="yyyy/m/d;@">
                  <c:v>产品2</c:v>
                </c:pt>
              </c:strCache>
            </c:strRef>
          </c:cat>
          <c:val>
            <c:numRef>
              <c:f>Sheet2!$B$5:$C$5</c:f>
              <c:numCache>
                <c:formatCode>yyyy/m/d;@</c:formatCode>
                <c:ptCount val="2"/>
                <c:pt idx="0">
                  <c:v>46112</c:v>
                </c:pt>
                <c:pt idx="1">
                  <c:v>46112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42328445"/>
        <c:axId val="252965809"/>
      </c:barChart>
      <c:catAx>
        <c:axId val="7423284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965809"/>
        <c:crosses val="autoZero"/>
        <c:auto val="1"/>
        <c:lblAlgn val="ctr"/>
        <c:lblOffset val="100"/>
        <c:noMultiLvlLbl val="0"/>
      </c:catAx>
      <c:valAx>
        <c:axId val="252965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/m/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23284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a57e10-7983-420f-8fec-434df39269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906145</xdr:colOff>
      <xdr:row>10</xdr:row>
      <xdr:rowOff>113030</xdr:rowOff>
    </xdr:from>
    <xdr:to>
      <xdr:col>10</xdr:col>
      <xdr:colOff>877570</xdr:colOff>
      <xdr:row>23</xdr:row>
      <xdr:rowOff>96520</xdr:rowOff>
    </xdr:to>
    <xdr:graphicFrame>
      <xdr:nvGraphicFramePr>
        <xdr:cNvPr id="3" name="图表 2"/>
        <xdr:cNvGraphicFramePr/>
      </xdr:nvGraphicFramePr>
      <xdr:xfrm>
        <a:off x="826770" y="3323590"/>
        <a:ext cx="6717665" cy="3615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10</xdr:row>
      <xdr:rowOff>116205</xdr:rowOff>
    </xdr:from>
    <xdr:to>
      <xdr:col>16</xdr:col>
      <xdr:colOff>866775</xdr:colOff>
      <xdr:row>23</xdr:row>
      <xdr:rowOff>108585</xdr:rowOff>
    </xdr:to>
    <xdr:graphicFrame>
      <xdr:nvGraphicFramePr>
        <xdr:cNvPr id="4" name="图表 3"/>
        <xdr:cNvGraphicFramePr/>
      </xdr:nvGraphicFramePr>
      <xdr:xfrm>
        <a:off x="7557135" y="3326765"/>
        <a:ext cx="4709795" cy="362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60960</xdr:colOff>
      <xdr:row>10</xdr:row>
      <xdr:rowOff>114300</xdr:rowOff>
    </xdr:from>
    <xdr:to>
      <xdr:col>23</xdr:col>
      <xdr:colOff>112395</xdr:colOff>
      <xdr:row>23</xdr:row>
      <xdr:rowOff>107315</xdr:rowOff>
    </xdr:to>
    <xdr:graphicFrame>
      <xdr:nvGraphicFramePr>
        <xdr:cNvPr id="5" name="图表 4"/>
        <xdr:cNvGraphicFramePr/>
      </xdr:nvGraphicFramePr>
      <xdr:xfrm>
        <a:off x="12327890" y="3324860"/>
        <a:ext cx="5082540" cy="3625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43180</xdr:colOff>
      <xdr:row>11</xdr:row>
      <xdr:rowOff>76835</xdr:rowOff>
    </xdr:from>
    <xdr:to>
      <xdr:col>10</xdr:col>
      <xdr:colOff>160020</xdr:colOff>
      <xdr:row>34</xdr:row>
      <xdr:rowOff>38735</xdr:rowOff>
    </xdr:to>
    <xdr:graphicFrame>
      <xdr:nvGraphicFramePr>
        <xdr:cNvPr id="3" name="图表 2"/>
        <xdr:cNvGraphicFramePr/>
      </xdr:nvGraphicFramePr>
      <xdr:xfrm>
        <a:off x="652780" y="2418080"/>
        <a:ext cx="7226300" cy="4168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26</xdr:row>
      <xdr:rowOff>88900</xdr:rowOff>
    </xdr:from>
    <xdr:to>
      <xdr:col>5</xdr:col>
      <xdr:colOff>454025</xdr:colOff>
      <xdr:row>42</xdr:row>
      <xdr:rowOff>88900</xdr:rowOff>
    </xdr:to>
    <xdr:graphicFrame>
      <xdr:nvGraphicFramePr>
        <xdr:cNvPr id="4" name="图表 3"/>
        <xdr:cNvGraphicFramePr/>
      </xdr:nvGraphicFramePr>
      <xdr:xfrm>
        <a:off x="19050" y="5834380"/>
        <a:ext cx="5029835" cy="31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117475</xdr:rowOff>
    </xdr:from>
    <xdr:to>
      <xdr:col>12</xdr:col>
      <xdr:colOff>158750</xdr:colOff>
      <xdr:row>42</xdr:row>
      <xdr:rowOff>117475</xdr:rowOff>
    </xdr:to>
    <xdr:graphicFrame>
      <xdr:nvGraphicFramePr>
        <xdr:cNvPr id="5" name="图表 4"/>
        <xdr:cNvGraphicFramePr/>
      </xdr:nvGraphicFramePr>
      <xdr:xfrm>
        <a:off x="5289550" y="5862955"/>
        <a:ext cx="4839970" cy="31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5</xdr:row>
      <xdr:rowOff>60325</xdr:rowOff>
    </xdr:from>
    <xdr:to>
      <xdr:col>8</xdr:col>
      <xdr:colOff>436245</xdr:colOff>
      <xdr:row>25</xdr:row>
      <xdr:rowOff>127635</xdr:rowOff>
    </xdr:to>
    <xdr:graphicFrame>
      <xdr:nvGraphicFramePr>
        <xdr:cNvPr id="8" name="图表 7"/>
        <xdr:cNvGraphicFramePr/>
      </xdr:nvGraphicFramePr>
      <xdr:xfrm>
        <a:off x="9525" y="1645285"/>
        <a:ext cx="6950710" cy="4029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B6" sqref="B6"/>
    </sheetView>
  </sheetViews>
  <sheetFormatPr defaultColWidth="12.0555555555556" defaultRowHeight="15.6"/>
  <cols>
    <col min="1" max="1" width="12.0555555555556" style="28" customWidth="1"/>
    <col min="2" max="2" width="6.02777777777778" style="41" customWidth="1"/>
    <col min="3" max="3" width="7.05555555555556" style="28" customWidth="1"/>
    <col min="4" max="4" width="7.05555555555556" style="42" customWidth="1"/>
    <col min="5" max="5" width="12.0555555555556" style="21" customWidth="1"/>
    <col min="6" max="6" width="11.5092592592593" style="42" customWidth="1"/>
    <col min="7" max="7" width="8.52777777777778" style="28" customWidth="1"/>
    <col min="8" max="8" width="8.67592592592593" style="30" customWidth="1"/>
    <col min="9" max="9" width="12.9351851851852" style="3" customWidth="1"/>
    <col min="10" max="11" width="12.0555555555556" style="28" customWidth="1"/>
    <col min="12" max="12" width="10.2962962962963" style="28" customWidth="1"/>
    <col min="13" max="14" width="12.0555555555556" style="28" customWidth="1"/>
    <col min="15" max="15" width="10.1481481481481" style="30" customWidth="1"/>
    <col min="16" max="16" width="12.8055555555556" style="43" customWidth="1"/>
    <col min="17" max="17" width="11.5" style="41" customWidth="1"/>
    <col min="18" max="18" width="13.3796296296296" style="3" customWidth="1"/>
    <col min="19" max="19" width="13.6759259259259" style="44" customWidth="1"/>
    <col min="20" max="21" width="12.0555555555556" style="3" customWidth="1"/>
    <col min="22" max="22" width="12.0555555555556" style="44" customWidth="1"/>
    <col min="23" max="24" width="10.1388888888889" style="28" customWidth="1"/>
    <col min="25" max="25" width="12.0555555555556" style="28" customWidth="1"/>
    <col min="26" max="26" width="12.0555555555556" style="3" customWidth="1"/>
    <col min="27" max="27" width="12.0555555555556" style="45" customWidth="1"/>
    <col min="28" max="28" width="12.0555555555556" style="28" customWidth="1"/>
    <col min="29" max="16381" width="12.0555555555556" style="46" customWidth="1"/>
  </cols>
  <sheetData>
    <row r="1" ht="30" customHeight="1" spans="1:28">
      <c r="A1" s="47"/>
      <c r="B1" s="48" t="s">
        <v>0</v>
      </c>
      <c r="C1" s="49"/>
      <c r="D1" s="49"/>
      <c r="E1" s="50"/>
      <c r="F1" s="51" t="s">
        <v>1</v>
      </c>
      <c r="G1" s="51"/>
      <c r="H1" s="51"/>
      <c r="I1" s="51"/>
      <c r="J1" s="51"/>
      <c r="K1" s="51"/>
      <c r="L1" s="51"/>
      <c r="M1" s="51"/>
      <c r="N1" s="51"/>
      <c r="O1" s="51"/>
      <c r="P1" s="52"/>
      <c r="Q1" s="53" t="s">
        <v>2</v>
      </c>
      <c r="R1" s="54"/>
      <c r="S1" s="54"/>
      <c r="T1" s="55"/>
      <c r="U1" s="55"/>
      <c r="V1" s="56"/>
      <c r="W1" s="54"/>
      <c r="X1" s="54"/>
      <c r="Y1" s="54"/>
      <c r="Z1" s="54"/>
      <c r="AA1" s="57"/>
    </row>
    <row r="2" s="40" customFormat="1" ht="46.8" spans="1:28">
      <c r="A2" s="58" t="s">
        <v>3</v>
      </c>
      <c r="B2" s="59" t="s">
        <v>4</v>
      </c>
      <c r="C2" s="60" t="s">
        <v>5</v>
      </c>
      <c r="D2" s="58" t="s">
        <v>6</v>
      </c>
      <c r="E2" s="61" t="s">
        <v>0</v>
      </c>
      <c r="F2" s="62" t="s">
        <v>7</v>
      </c>
      <c r="G2" s="60" t="s">
        <v>8</v>
      </c>
      <c r="H2" s="63" t="s">
        <v>9</v>
      </c>
      <c r="I2" s="64" t="s">
        <v>10</v>
      </c>
      <c r="J2" s="60" t="s">
        <v>11</v>
      </c>
      <c r="K2" s="60" t="s">
        <v>12</v>
      </c>
      <c r="L2" s="60" t="s">
        <v>13</v>
      </c>
      <c r="M2" s="65" t="s">
        <v>14</v>
      </c>
      <c r="N2" s="65" t="s">
        <v>15</v>
      </c>
      <c r="O2" s="63" t="s">
        <v>16</v>
      </c>
      <c r="P2" s="66" t="s">
        <v>17</v>
      </c>
      <c r="Q2" s="59" t="s">
        <v>18</v>
      </c>
      <c r="R2" s="64" t="s">
        <v>19</v>
      </c>
      <c r="S2" s="67" t="s">
        <v>19</v>
      </c>
      <c r="T2" s="68" t="s">
        <v>20</v>
      </c>
      <c r="U2" s="64" t="s">
        <v>21</v>
      </c>
      <c r="V2" s="67" t="s">
        <v>21</v>
      </c>
      <c r="W2" s="60" t="s">
        <v>22</v>
      </c>
      <c r="X2" s="60" t="s">
        <v>23</v>
      </c>
      <c r="Y2" s="60" t="s">
        <v>24</v>
      </c>
      <c r="Z2" s="64" t="s">
        <v>25</v>
      </c>
      <c r="AA2" s="69" t="s">
        <v>25</v>
      </c>
      <c r="AB2" s="27"/>
    </row>
    <row r="3" ht="22" customHeight="1" spans="1:28">
      <c r="A3" s="47" t="s">
        <v>26</v>
      </c>
      <c r="B3" s="17">
        <v>208</v>
      </c>
      <c r="C3" s="18">
        <v>362</v>
      </c>
      <c r="D3" s="47">
        <v>648</v>
      </c>
      <c r="E3" s="21">
        <f>ROUND(B3/7*65%+C3/14*20%+D3/30*15%,0)</f>
        <v>28</v>
      </c>
      <c r="F3" s="70">
        <f ca="1">TODAY()</f>
        <v>46112</v>
      </c>
      <c r="G3" s="18">
        <v>762</v>
      </c>
      <c r="H3" s="36">
        <f>G3/E3</f>
        <v>27.2142857142857</v>
      </c>
      <c r="I3" s="71">
        <f ca="1">F3+H3</f>
        <v>46139.2142857143</v>
      </c>
      <c r="J3" s="18">
        <v>1000</v>
      </c>
      <c r="K3" s="72">
        <v>45545</v>
      </c>
      <c r="L3" s="18">
        <v>35</v>
      </c>
      <c r="M3" s="72">
        <f>K3+L3</f>
        <v>45580</v>
      </c>
      <c r="N3" s="18">
        <f>G3+J3</f>
        <v>1762</v>
      </c>
      <c r="O3" s="36">
        <f>N3/E3</f>
        <v>62.9285714285714</v>
      </c>
      <c r="P3" s="73">
        <f ca="1">F3+O3</f>
        <v>46174.9285714286</v>
      </c>
      <c r="Q3" s="17">
        <v>35</v>
      </c>
      <c r="R3" s="71">
        <f ca="1">P3-Q3-5</f>
        <v>46134.9285714286</v>
      </c>
      <c r="S3" s="74">
        <f ca="1">WEEKDAY(R3)</f>
        <v>4</v>
      </c>
      <c r="T3" s="71">
        <v>45568</v>
      </c>
      <c r="U3" s="71">
        <f>T3-5</f>
        <v>45563</v>
      </c>
      <c r="V3" s="74">
        <f>WEEKDAY(U3)</f>
        <v>7</v>
      </c>
      <c r="W3" s="18">
        <v>20</v>
      </c>
      <c r="X3" s="18">
        <v>3</v>
      </c>
      <c r="Y3" s="18">
        <v>1</v>
      </c>
      <c r="Z3" s="71">
        <f>U3-W3-X3-Y3</f>
        <v>45539</v>
      </c>
      <c r="AA3" s="75">
        <f>WEEKDAY(Z3)</f>
        <v>4</v>
      </c>
    </row>
    <row r="4" ht="22" customHeight="1" spans="1:28">
      <c r="A4" s="47" t="s">
        <v>27</v>
      </c>
      <c r="B4" s="17">
        <v>325</v>
      </c>
      <c r="C4" s="18">
        <v>554</v>
      </c>
      <c r="D4" s="47">
        <v>1028</v>
      </c>
      <c r="E4" s="21">
        <f>ROUND(B4/7*65%+C4/14*20%+D4/30*15%,0)</f>
        <v>43</v>
      </c>
      <c r="F4" s="70">
        <f ca="1">TODAY()</f>
        <v>46112</v>
      </c>
      <c r="G4" s="18">
        <v>1152</v>
      </c>
      <c r="H4" s="36">
        <f>G4/E4</f>
        <v>26.7906976744186</v>
      </c>
      <c r="I4" s="71">
        <f ca="1">F4+H4</f>
        <v>46138.7906976744</v>
      </c>
      <c r="J4" s="18">
        <v>1000</v>
      </c>
      <c r="K4" s="72">
        <v>45545</v>
      </c>
      <c r="L4" s="18">
        <v>35</v>
      </c>
      <c r="M4" s="72">
        <f>K4+L4</f>
        <v>45580</v>
      </c>
      <c r="N4" s="18">
        <f>G4+J4</f>
        <v>2152</v>
      </c>
      <c r="O4" s="36">
        <f>N4/E4</f>
        <v>50.046511627907</v>
      </c>
      <c r="P4" s="73">
        <f ca="1">F4+O4</f>
        <v>46162.0465116279</v>
      </c>
      <c r="Q4" s="17">
        <v>35</v>
      </c>
      <c r="R4" s="71">
        <f ca="1">P4-Q4-5</f>
        <v>46122.0465116279</v>
      </c>
      <c r="S4" s="74">
        <f ca="1">WEEKDAY(R4)</f>
        <v>6</v>
      </c>
      <c r="T4" s="71">
        <v>45568</v>
      </c>
      <c r="U4" s="71">
        <f>T4-5</f>
        <v>45563</v>
      </c>
      <c r="V4" s="74">
        <f>WEEKDAY(U4)</f>
        <v>7</v>
      </c>
      <c r="W4" s="18">
        <v>20</v>
      </c>
      <c r="X4" s="18">
        <v>3</v>
      </c>
      <c r="Y4" s="18">
        <v>1</v>
      </c>
      <c r="Z4" s="71">
        <f>U4-W4-X4-Y4</f>
        <v>45539</v>
      </c>
      <c r="AA4" s="75">
        <f>WEEKDAY(Z4)</f>
        <v>4</v>
      </c>
    </row>
    <row r="5" ht="22" customHeight="1" spans="1:28">
      <c r="A5" s="47"/>
      <c r="B5" s="17"/>
      <c r="C5" s="18"/>
      <c r="D5" s="47"/>
      <c r="F5" s="70"/>
      <c r="G5" s="18"/>
      <c r="H5" s="36"/>
      <c r="I5" s="71"/>
      <c r="J5" s="18"/>
      <c r="K5" s="72"/>
      <c r="L5" s="18"/>
      <c r="M5" s="72"/>
      <c r="N5" s="18"/>
      <c r="O5" s="36"/>
      <c r="P5" s="73"/>
      <c r="Q5" s="17"/>
      <c r="R5" s="71"/>
      <c r="S5" s="74"/>
      <c r="T5" s="71"/>
      <c r="U5" s="71"/>
      <c r="V5" s="74"/>
      <c r="W5" s="18"/>
      <c r="X5" s="18"/>
      <c r="Y5" s="18"/>
      <c r="Z5" s="71"/>
      <c r="AA5" s="75"/>
    </row>
    <row r="6" ht="22" customHeight="1" spans="1:28">
      <c r="A6" s="47"/>
      <c r="B6" s="17"/>
      <c r="C6" s="18"/>
      <c r="D6" s="47"/>
      <c r="F6" s="70"/>
      <c r="G6" s="18"/>
      <c r="H6" s="36"/>
      <c r="I6" s="71"/>
      <c r="J6" s="18"/>
      <c r="K6" s="72"/>
      <c r="L6" s="18"/>
      <c r="M6" s="72"/>
      <c r="N6" s="18"/>
      <c r="O6" s="36"/>
      <c r="P6" s="73"/>
      <c r="Q6" s="17"/>
      <c r="R6" s="71"/>
      <c r="S6" s="74"/>
      <c r="T6" s="71"/>
      <c r="U6" s="71"/>
      <c r="V6" s="74"/>
      <c r="W6" s="18"/>
      <c r="X6" s="18"/>
      <c r="Y6" s="18"/>
      <c r="Z6" s="71"/>
      <c r="AA6" s="75"/>
    </row>
    <row r="7" ht="22" customHeight="1" spans="1:28">
      <c r="A7" s="47"/>
      <c r="B7" s="17"/>
      <c r="C7" s="18"/>
      <c r="D7" s="47"/>
      <c r="F7" s="70"/>
      <c r="G7" s="18"/>
      <c r="H7" s="36"/>
      <c r="I7" s="71"/>
      <c r="J7" s="18"/>
      <c r="K7" s="72"/>
      <c r="L7" s="18"/>
      <c r="M7" s="72"/>
      <c r="N7" s="18"/>
      <c r="O7" s="36"/>
      <c r="P7" s="73"/>
      <c r="Q7" s="17"/>
      <c r="R7" s="71"/>
      <c r="S7" s="74"/>
      <c r="T7" s="71"/>
      <c r="U7" s="71"/>
      <c r="V7" s="74"/>
      <c r="W7" s="18"/>
      <c r="X7" s="18"/>
      <c r="Y7" s="18"/>
      <c r="Z7" s="71"/>
      <c r="AA7" s="75"/>
    </row>
    <row r="8" ht="22" customHeight="1" spans="1:28">
      <c r="A8" s="47"/>
      <c r="B8" s="17"/>
      <c r="C8" s="18"/>
      <c r="D8" s="47"/>
      <c r="F8" s="70"/>
      <c r="G8" s="18"/>
      <c r="H8" s="36"/>
      <c r="I8" s="71"/>
      <c r="J8" s="18"/>
      <c r="K8" s="72"/>
      <c r="L8" s="18"/>
      <c r="M8" s="72"/>
      <c r="N8" s="18"/>
      <c r="O8" s="36"/>
      <c r="P8" s="73"/>
      <c r="Q8" s="17"/>
      <c r="R8" s="71"/>
      <c r="S8" s="74"/>
      <c r="T8" s="71"/>
      <c r="U8" s="71"/>
      <c r="V8" s="74"/>
      <c r="W8" s="18"/>
      <c r="X8" s="18"/>
      <c r="Y8" s="18"/>
      <c r="Z8" s="71"/>
      <c r="AA8" s="75"/>
    </row>
    <row r="9" ht="22" customHeight="1" spans="1:28">
      <c r="A9" s="47"/>
      <c r="B9" s="17"/>
      <c r="C9" s="18"/>
      <c r="D9" s="47"/>
      <c r="F9" s="70"/>
      <c r="G9" s="18"/>
      <c r="H9" s="36"/>
      <c r="I9" s="71"/>
      <c r="J9" s="18"/>
      <c r="K9" s="18"/>
      <c r="L9" s="18"/>
      <c r="M9" s="72"/>
      <c r="N9" s="18"/>
      <c r="O9" s="36"/>
      <c r="P9" s="73"/>
      <c r="Q9" s="17"/>
      <c r="R9" s="71"/>
      <c r="S9" s="74"/>
      <c r="T9" s="71"/>
      <c r="U9" s="71"/>
      <c r="V9" s="74"/>
      <c r="W9" s="18"/>
      <c r="X9" s="18"/>
      <c r="Y9" s="18"/>
      <c r="Z9" s="71"/>
      <c r="AA9" s="75"/>
    </row>
    <row r="10" ht="22" customHeight="1" spans="1:28">
      <c r="A10" s="47"/>
      <c r="B10" s="17"/>
      <c r="C10" s="18"/>
      <c r="D10" s="47"/>
      <c r="F10" s="70"/>
      <c r="G10" s="18"/>
      <c r="H10" s="36"/>
      <c r="I10" s="71"/>
      <c r="J10" s="18"/>
      <c r="K10" s="72"/>
      <c r="L10" s="18"/>
      <c r="M10" s="72"/>
      <c r="N10" s="18"/>
      <c r="O10" s="36"/>
      <c r="P10" s="73"/>
      <c r="Q10" s="17"/>
      <c r="R10" s="71"/>
      <c r="S10" s="74"/>
      <c r="T10" s="71"/>
      <c r="U10" s="71"/>
      <c r="V10" s="74"/>
      <c r="W10" s="18"/>
      <c r="X10" s="18"/>
      <c r="Y10" s="18"/>
      <c r="Z10" s="71"/>
      <c r="AA10" s="75"/>
    </row>
    <row r="11" ht="22" customHeight="1" spans="1:28">
      <c r="A11" s="47"/>
      <c r="B11" s="17"/>
      <c r="C11" s="18"/>
      <c r="D11" s="47"/>
      <c r="F11" s="70"/>
      <c r="G11" s="18"/>
      <c r="H11" s="36"/>
      <c r="I11" s="71"/>
      <c r="J11" s="18"/>
      <c r="K11" s="72"/>
      <c r="L11" s="18"/>
      <c r="M11" s="72"/>
      <c r="N11" s="18"/>
      <c r="O11" s="36"/>
      <c r="P11" s="73"/>
      <c r="Q11" s="17"/>
      <c r="R11" s="71"/>
      <c r="S11" s="74"/>
      <c r="T11" s="71"/>
      <c r="U11" s="71"/>
      <c r="V11" s="74"/>
      <c r="W11" s="18"/>
      <c r="X11" s="18"/>
      <c r="Y11" s="18"/>
      <c r="Z11" s="71"/>
      <c r="AA11" s="75"/>
    </row>
    <row r="12" ht="22" customHeight="1" spans="1:28">
      <c r="A12" s="47"/>
      <c r="B12" s="17"/>
      <c r="C12" s="18"/>
      <c r="D12" s="47"/>
      <c r="F12" s="70"/>
      <c r="G12" s="18"/>
      <c r="H12" s="36"/>
      <c r="I12" s="71"/>
      <c r="J12" s="18"/>
      <c r="K12" s="18"/>
      <c r="L12" s="18"/>
      <c r="M12" s="72"/>
      <c r="N12" s="18"/>
      <c r="O12" s="36"/>
      <c r="P12" s="73"/>
      <c r="Q12" s="17"/>
      <c r="R12" s="71"/>
      <c r="S12" s="74"/>
      <c r="T12" s="71"/>
      <c r="U12" s="71"/>
      <c r="V12" s="74"/>
      <c r="W12" s="18"/>
      <c r="X12" s="18"/>
      <c r="Y12" s="18"/>
      <c r="Z12" s="71"/>
      <c r="AA12" s="75"/>
    </row>
    <row r="13" ht="22" customHeight="1" spans="1:28">
      <c r="A13" s="47"/>
      <c r="B13" s="17"/>
      <c r="C13" s="18"/>
      <c r="D13" s="47"/>
      <c r="F13" s="70"/>
      <c r="G13" s="18"/>
      <c r="H13" s="36"/>
      <c r="I13" s="71"/>
      <c r="J13" s="18"/>
      <c r="K13" s="18"/>
      <c r="L13" s="18"/>
      <c r="M13" s="72"/>
      <c r="N13" s="18"/>
      <c r="O13" s="36"/>
      <c r="P13" s="73"/>
      <c r="Q13" s="17"/>
      <c r="R13" s="71"/>
      <c r="S13" s="74"/>
      <c r="T13" s="71"/>
      <c r="U13" s="71"/>
      <c r="V13" s="74"/>
      <c r="W13" s="18"/>
      <c r="X13" s="18"/>
      <c r="Y13" s="18"/>
      <c r="Z13" s="71"/>
      <c r="AA13" s="75"/>
    </row>
    <row r="14" ht="22" customHeight="1" spans="1:28">
      <c r="A14" s="47"/>
      <c r="B14" s="17"/>
      <c r="C14" s="18"/>
      <c r="D14" s="47"/>
      <c r="F14" s="70"/>
      <c r="G14" s="18"/>
      <c r="H14" s="36"/>
      <c r="I14" s="71"/>
      <c r="J14" s="18"/>
      <c r="K14" s="18"/>
      <c r="L14" s="18"/>
      <c r="M14" s="72"/>
      <c r="N14" s="18"/>
      <c r="O14" s="36"/>
      <c r="P14" s="73"/>
      <c r="Q14" s="17"/>
      <c r="R14" s="71"/>
      <c r="S14" s="74"/>
      <c r="T14" s="71"/>
      <c r="U14" s="71"/>
      <c r="V14" s="74"/>
      <c r="W14" s="18"/>
      <c r="X14" s="18"/>
      <c r="Y14" s="18"/>
      <c r="Z14" s="71"/>
      <c r="AA14" s="75"/>
    </row>
    <row r="15" ht="22" customHeight="1" spans="1:28">
      <c r="A15" s="47"/>
      <c r="B15" s="17"/>
      <c r="C15" s="18"/>
      <c r="D15" s="47"/>
      <c r="F15" s="70"/>
      <c r="G15" s="18"/>
      <c r="H15" s="36"/>
      <c r="I15" s="71"/>
      <c r="J15" s="18"/>
      <c r="K15" s="18"/>
      <c r="L15" s="18"/>
      <c r="M15" s="72"/>
      <c r="N15" s="18"/>
      <c r="O15" s="36"/>
      <c r="P15" s="73"/>
      <c r="Q15" s="17"/>
      <c r="R15" s="71"/>
      <c r="S15" s="74"/>
      <c r="T15" s="71"/>
      <c r="U15" s="71"/>
      <c r="V15" s="74"/>
      <c r="W15" s="18"/>
      <c r="X15" s="18"/>
      <c r="Y15" s="18"/>
      <c r="Z15" s="71"/>
      <c r="AA15" s="75"/>
    </row>
    <row r="16" ht="22" customHeight="1" spans="1:28">
      <c r="A16" s="47"/>
      <c r="B16" s="17"/>
      <c r="C16" s="18"/>
      <c r="D16" s="47"/>
      <c r="F16" s="70"/>
      <c r="G16" s="18"/>
      <c r="H16" s="36"/>
      <c r="I16" s="71"/>
      <c r="J16" s="18"/>
      <c r="K16" s="18"/>
      <c r="L16" s="18"/>
      <c r="M16" s="72"/>
      <c r="N16" s="18"/>
      <c r="O16" s="36"/>
      <c r="P16" s="73"/>
      <c r="Q16" s="17"/>
      <c r="R16" s="71"/>
      <c r="S16" s="74"/>
      <c r="T16" s="71"/>
      <c r="U16" s="71"/>
      <c r="V16" s="74"/>
      <c r="W16" s="18"/>
      <c r="X16" s="18"/>
      <c r="Y16" s="18"/>
      <c r="Z16" s="71"/>
      <c r="AA16" s="75"/>
    </row>
    <row r="17" ht="22" customHeight="1" spans="1:27">
      <c r="A17" s="47"/>
      <c r="B17" s="17"/>
      <c r="C17" s="18"/>
      <c r="D17" s="47"/>
      <c r="F17" s="70"/>
      <c r="G17" s="18"/>
      <c r="H17" s="36"/>
      <c r="I17" s="71"/>
      <c r="J17" s="18"/>
      <c r="K17" s="18"/>
      <c r="L17" s="18"/>
      <c r="M17" s="72"/>
      <c r="N17" s="18"/>
      <c r="O17" s="36"/>
      <c r="P17" s="73"/>
      <c r="Q17" s="17"/>
      <c r="R17" s="71"/>
      <c r="S17" s="74"/>
      <c r="T17" s="71"/>
      <c r="U17" s="71"/>
      <c r="V17" s="74"/>
      <c r="W17" s="18"/>
      <c r="X17" s="18"/>
      <c r="Y17" s="18"/>
      <c r="Z17" s="71"/>
      <c r="AA17" s="75"/>
    </row>
    <row r="18" ht="22" customHeight="1" spans="1:27">
      <c r="A18" s="47"/>
      <c r="B18" s="17"/>
      <c r="C18" s="18"/>
      <c r="D18" s="47"/>
      <c r="F18" s="70"/>
      <c r="G18" s="18"/>
      <c r="H18" s="36"/>
      <c r="I18" s="71"/>
      <c r="J18" s="18"/>
      <c r="K18" s="18"/>
      <c r="L18" s="18"/>
      <c r="M18" s="72"/>
      <c r="N18" s="18"/>
      <c r="O18" s="36"/>
      <c r="P18" s="73"/>
      <c r="Q18" s="17"/>
      <c r="R18" s="71"/>
      <c r="S18" s="74"/>
      <c r="T18" s="71"/>
      <c r="U18" s="71"/>
      <c r="V18" s="74"/>
      <c r="W18" s="18"/>
      <c r="X18" s="18"/>
      <c r="Y18" s="18"/>
      <c r="Z18" s="71"/>
      <c r="AA18" s="75"/>
    </row>
    <row r="19" ht="22" customHeight="1" spans="1:27">
      <c r="A19" s="47"/>
      <c r="B19" s="17"/>
      <c r="C19" s="18"/>
      <c r="D19" s="47"/>
      <c r="F19" s="70"/>
      <c r="G19" s="18"/>
      <c r="H19" s="36"/>
      <c r="I19" s="71"/>
      <c r="J19" s="18"/>
      <c r="K19" s="18"/>
      <c r="L19" s="18"/>
      <c r="M19" s="72"/>
      <c r="N19" s="18"/>
      <c r="O19" s="36"/>
      <c r="P19" s="73"/>
      <c r="Q19" s="17"/>
      <c r="R19" s="71"/>
      <c r="S19" s="74"/>
      <c r="T19" s="71"/>
      <c r="U19" s="71"/>
      <c r="V19" s="74"/>
      <c r="W19" s="18"/>
      <c r="X19" s="18"/>
      <c r="Y19" s="18"/>
      <c r="Z19" s="71"/>
      <c r="AA19" s="75"/>
    </row>
    <row r="20" ht="22" customHeight="1" spans="1:27">
      <c r="A20" s="47"/>
      <c r="B20" s="17"/>
      <c r="C20" s="18"/>
      <c r="D20" s="47"/>
      <c r="F20" s="70"/>
      <c r="G20" s="18"/>
      <c r="H20" s="36"/>
      <c r="I20" s="71"/>
      <c r="J20" s="18"/>
      <c r="K20" s="18"/>
      <c r="L20" s="18"/>
      <c r="M20" s="72"/>
      <c r="N20" s="18"/>
      <c r="O20" s="36"/>
      <c r="P20" s="73"/>
      <c r="Q20" s="17"/>
      <c r="R20" s="71"/>
      <c r="S20" s="74"/>
      <c r="T20" s="71"/>
      <c r="U20" s="71"/>
      <c r="V20" s="74"/>
      <c r="W20" s="18"/>
      <c r="X20" s="18"/>
      <c r="Y20" s="18"/>
      <c r="Z20" s="71"/>
      <c r="AA20" s="75"/>
    </row>
    <row r="21" ht="22" customHeight="1" spans="1:27">
      <c r="A21" s="47"/>
      <c r="B21" s="17"/>
      <c r="C21" s="18"/>
      <c r="D21" s="47"/>
      <c r="F21" s="70"/>
      <c r="G21" s="18"/>
      <c r="H21" s="36"/>
      <c r="I21" s="71"/>
      <c r="J21" s="18"/>
      <c r="K21" s="18"/>
      <c r="L21" s="18"/>
      <c r="M21" s="72"/>
      <c r="N21" s="18"/>
      <c r="O21" s="36"/>
      <c r="P21" s="73"/>
      <c r="Q21" s="17"/>
      <c r="R21" s="71"/>
      <c r="S21" s="74"/>
      <c r="T21" s="71"/>
      <c r="U21" s="71"/>
      <c r="V21" s="74"/>
      <c r="W21" s="18"/>
      <c r="X21" s="18"/>
      <c r="Y21" s="18"/>
      <c r="Z21" s="71"/>
      <c r="AA21" s="75"/>
    </row>
    <row r="22" ht="22" customHeight="1" spans="1:27">
      <c r="A22" s="47"/>
      <c r="B22" s="17"/>
      <c r="C22" s="18"/>
      <c r="D22" s="47"/>
      <c r="F22" s="70"/>
      <c r="G22" s="18"/>
      <c r="H22" s="36"/>
      <c r="I22" s="71"/>
      <c r="J22" s="18"/>
      <c r="K22" s="18"/>
      <c r="L22" s="18"/>
      <c r="M22" s="72"/>
      <c r="N22" s="18"/>
      <c r="O22" s="36"/>
      <c r="P22" s="73"/>
      <c r="Q22" s="17"/>
      <c r="R22" s="71"/>
      <c r="S22" s="74"/>
      <c r="T22" s="71"/>
      <c r="U22" s="71"/>
      <c r="V22" s="74"/>
      <c r="W22" s="18"/>
      <c r="X22" s="18"/>
      <c r="Y22" s="18"/>
      <c r="Z22" s="71"/>
      <c r="AA22" s="75"/>
    </row>
    <row r="23" ht="22" customHeight="1" spans="1:27">
      <c r="A23" s="47"/>
      <c r="B23" s="17"/>
      <c r="C23" s="18"/>
      <c r="D23" s="47"/>
      <c r="F23" s="70"/>
      <c r="G23" s="18"/>
      <c r="H23" s="36"/>
      <c r="I23" s="71"/>
      <c r="J23" s="18"/>
      <c r="K23" s="18"/>
      <c r="L23" s="18"/>
      <c r="M23" s="72"/>
      <c r="N23" s="18"/>
      <c r="O23" s="36"/>
      <c r="P23" s="73"/>
      <c r="Q23" s="17"/>
      <c r="R23" s="71"/>
      <c r="S23" s="74"/>
      <c r="T23" s="71"/>
      <c r="U23" s="71"/>
      <c r="V23" s="74"/>
      <c r="W23" s="18"/>
      <c r="X23" s="18"/>
      <c r="Y23" s="18"/>
      <c r="Z23" s="71"/>
      <c r="AA23" s="75"/>
    </row>
    <row r="24" ht="22" customHeight="1" spans="1:27">
      <c r="A24" s="47"/>
      <c r="B24" s="17"/>
      <c r="C24" s="18"/>
      <c r="D24" s="47"/>
      <c r="F24" s="70"/>
      <c r="G24" s="18"/>
      <c r="H24" s="36"/>
      <c r="I24" s="71"/>
      <c r="J24" s="18"/>
      <c r="K24" s="18"/>
      <c r="L24" s="18"/>
      <c r="M24" s="72"/>
      <c r="N24" s="18"/>
      <c r="O24" s="36"/>
      <c r="P24" s="73"/>
      <c r="Q24" s="17"/>
      <c r="R24" s="71"/>
      <c r="S24" s="74"/>
      <c r="T24" s="71"/>
      <c r="U24" s="71"/>
      <c r="V24" s="74"/>
      <c r="W24" s="18"/>
      <c r="X24" s="18"/>
      <c r="Y24" s="18"/>
      <c r="Z24" s="71"/>
      <c r="AA24" s="75"/>
    </row>
    <row r="25" ht="22" customHeight="1" spans="1:27">
      <c r="A25" s="47"/>
      <c r="B25" s="17"/>
      <c r="C25" s="18"/>
      <c r="D25" s="47"/>
      <c r="F25" s="70"/>
      <c r="G25" s="18"/>
      <c r="H25" s="36"/>
      <c r="I25" s="71"/>
      <c r="J25" s="18"/>
      <c r="K25" s="18"/>
      <c r="L25" s="18"/>
      <c r="M25" s="72"/>
      <c r="N25" s="18"/>
      <c r="O25" s="36"/>
      <c r="P25" s="73"/>
      <c r="Q25" s="17"/>
      <c r="R25" s="71"/>
      <c r="S25" s="74"/>
      <c r="T25" s="71"/>
      <c r="U25" s="71"/>
      <c r="V25" s="74"/>
      <c r="W25" s="18"/>
      <c r="X25" s="18"/>
      <c r="Y25" s="18"/>
      <c r="Z25" s="71"/>
      <c r="AA25" s="75"/>
    </row>
    <row r="26" ht="22" customHeight="1" spans="1:27">
      <c r="A26" s="47"/>
      <c r="B26" s="17"/>
      <c r="C26" s="18"/>
      <c r="D26" s="47"/>
      <c r="F26" s="70"/>
      <c r="G26" s="18"/>
      <c r="H26" s="36"/>
      <c r="I26" s="71"/>
      <c r="J26" s="18"/>
      <c r="K26" s="18"/>
      <c r="L26" s="18"/>
      <c r="M26" s="72"/>
      <c r="N26" s="18"/>
      <c r="O26" s="36"/>
      <c r="P26" s="73"/>
      <c r="Q26" s="17"/>
      <c r="R26" s="71"/>
      <c r="S26" s="74"/>
      <c r="T26" s="71"/>
      <c r="U26" s="71"/>
      <c r="V26" s="74"/>
      <c r="W26" s="18"/>
      <c r="X26" s="18"/>
      <c r="Y26" s="18"/>
      <c r="Z26" s="71"/>
      <c r="AA26" s="75"/>
    </row>
    <row r="27" ht="22" customHeight="1" spans="1:27">
      <c r="A27" s="47"/>
      <c r="B27" s="17"/>
      <c r="C27" s="18"/>
      <c r="D27" s="47"/>
      <c r="F27" s="70"/>
      <c r="G27" s="18"/>
      <c r="H27" s="36"/>
      <c r="I27" s="71"/>
      <c r="J27" s="18"/>
      <c r="K27" s="18"/>
      <c r="L27" s="18"/>
      <c r="M27" s="72"/>
      <c r="N27" s="18"/>
      <c r="O27" s="36"/>
      <c r="P27" s="73"/>
      <c r="Q27" s="17"/>
      <c r="R27" s="71"/>
      <c r="S27" s="74"/>
      <c r="T27" s="71"/>
      <c r="U27" s="71"/>
      <c r="V27" s="74"/>
      <c r="W27" s="18"/>
      <c r="X27" s="18"/>
      <c r="Y27" s="18"/>
      <c r="Z27" s="71"/>
      <c r="AA27" s="75"/>
    </row>
    <row r="28" ht="22" customHeight="1" spans="1:27">
      <c r="A28" s="47"/>
      <c r="B28" s="17"/>
      <c r="C28" s="18"/>
      <c r="D28" s="47"/>
      <c r="F28" s="70"/>
      <c r="G28" s="18"/>
      <c r="H28" s="36"/>
      <c r="I28" s="71"/>
      <c r="J28" s="18"/>
      <c r="K28" s="18"/>
      <c r="L28" s="18"/>
      <c r="M28" s="72"/>
      <c r="N28" s="18"/>
      <c r="O28" s="36"/>
      <c r="P28" s="73"/>
      <c r="Q28" s="17"/>
      <c r="R28" s="71"/>
      <c r="S28" s="74"/>
      <c r="T28" s="71"/>
      <c r="U28" s="71"/>
      <c r="V28" s="74"/>
      <c r="W28" s="18"/>
      <c r="X28" s="18"/>
      <c r="Y28" s="18"/>
      <c r="Z28" s="71"/>
      <c r="AA28" s="75"/>
    </row>
  </sheetData>
  <mergeCells count="3">
    <mergeCell ref="B1:E1"/>
    <mergeCell ref="F1:P1"/>
    <mergeCell ref="Q1:AA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G23" sqref="G23"/>
    </sheetView>
  </sheetViews>
  <sheetFormatPr defaultColWidth="9" defaultRowHeight="15.6" outlineLevelRow="7"/>
  <cols>
    <col min="1" max="2" width="9" style="2"/>
    <col min="3" max="3" width="10" style="29" customWidth="1"/>
    <col min="4" max="4" width="9.11111111111111" style="29" customWidth="1"/>
    <col min="5" max="5" width="9.33333333333333" style="30" customWidth="1"/>
    <col min="6" max="6" width="10.7777777777778" style="29" customWidth="1"/>
    <col min="7" max="7" width="19.2222222222222" style="29" customWidth="1"/>
    <col min="8" max="8" width="17.1111111111111" style="29" customWidth="1"/>
    <col min="9" max="9" width="17.1111111111111" style="2" customWidth="1"/>
    <col min="10" max="10" width="16.2222222222222" style="2" customWidth="1"/>
    <col min="11" max="11" width="11.1111111111111" style="2" customWidth="1"/>
    <col min="12" max="16384" width="9" style="2"/>
  </cols>
  <sheetData>
    <row r="1" s="27" customFormat="1" ht="62.4" spans="1:11">
      <c r="A1" s="11" t="s">
        <v>3</v>
      </c>
      <c r="B1" s="12" t="s">
        <v>28</v>
      </c>
      <c r="C1" s="14" t="s">
        <v>22</v>
      </c>
      <c r="D1" s="14" t="s">
        <v>29</v>
      </c>
      <c r="E1" s="31" t="s">
        <v>24</v>
      </c>
      <c r="F1" s="14" t="s">
        <v>13</v>
      </c>
      <c r="G1" s="32" t="s">
        <v>30</v>
      </c>
      <c r="H1" s="32" t="s">
        <v>31</v>
      </c>
      <c r="I1" s="33" t="s">
        <v>32</v>
      </c>
      <c r="J1" s="34" t="s">
        <v>33</v>
      </c>
      <c r="K1" s="35" t="s">
        <v>34</v>
      </c>
    </row>
    <row r="2" s="28" customFormat="1" spans="1:11">
      <c r="A2" s="17" t="s">
        <v>26</v>
      </c>
      <c r="B2" s="18">
        <f>备货时间点!E3</f>
        <v>28</v>
      </c>
      <c r="C2" s="19">
        <f>备货时间点!W3</f>
        <v>20</v>
      </c>
      <c r="D2" s="19">
        <f>备货时间点!X3</f>
        <v>3</v>
      </c>
      <c r="E2" s="36">
        <f>备货时间点!Y3</f>
        <v>1</v>
      </c>
      <c r="F2" s="19">
        <f>备货时间点!Q3</f>
        <v>35</v>
      </c>
      <c r="G2" s="19">
        <v>8</v>
      </c>
      <c r="H2" s="19">
        <v>5</v>
      </c>
      <c r="I2" s="18">
        <v>5</v>
      </c>
      <c r="J2" s="18">
        <v>200</v>
      </c>
      <c r="K2" s="37">
        <f>B2*(C2+D2+E2+F2+G2+H2+I2)+J2</f>
        <v>2356</v>
      </c>
    </row>
    <row r="3" s="28" customFormat="1" ht="16.35" spans="1:11">
      <c r="A3" s="22" t="s">
        <v>27</v>
      </c>
      <c r="B3" s="23">
        <f>备货时间点!E4</f>
        <v>43</v>
      </c>
      <c r="C3" s="24">
        <f>备货时间点!W4</f>
        <v>20</v>
      </c>
      <c r="D3" s="24">
        <f>备货时间点!X4</f>
        <v>3</v>
      </c>
      <c r="E3" s="38">
        <f>备货时间点!Y4</f>
        <v>1</v>
      </c>
      <c r="F3" s="24">
        <f>备货时间点!Q4</f>
        <v>35</v>
      </c>
      <c r="G3" s="24">
        <v>8</v>
      </c>
      <c r="H3" s="24">
        <v>5</v>
      </c>
      <c r="I3" s="23">
        <v>5</v>
      </c>
      <c r="J3" s="23">
        <v>300</v>
      </c>
      <c r="K3" s="39">
        <f>B3*(C3+D3+E3+F3+G3+H3+I3)+J3</f>
        <v>3611</v>
      </c>
    </row>
    <row r="6" spans="1:11">
      <c r="B6" s="2" t="s">
        <v>35</v>
      </c>
    </row>
    <row r="7" spans="1:11">
      <c r="B7" s="2" t="s">
        <v>36</v>
      </c>
    </row>
    <row r="8" spans="1:11">
      <c r="B8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110" zoomScaleNormal="110" topLeftCell="A4" workbookViewId="0">
      <selection activeCell="D9" sqref="D9"/>
    </sheetView>
  </sheetViews>
  <sheetFormatPr defaultColWidth="8.88888888888889" defaultRowHeight="14.4"/>
  <cols>
    <col min="3" max="3" width="11.6666666666667" customWidth="1"/>
    <col min="4" max="4" width="10" customWidth="1"/>
    <col min="5" max="5" width="10.2222222222222" customWidth="1"/>
    <col min="6" max="6" width="15" customWidth="1"/>
    <col min="9" max="9" width="17" style="9" customWidth="1"/>
    <col min="10" max="10" width="13.1111111111111" style="10" customWidth="1"/>
  </cols>
  <sheetData>
    <row r="1" ht="31.2" spans="1:10">
      <c r="A1" s="11" t="s">
        <v>3</v>
      </c>
      <c r="B1" s="12" t="s">
        <v>28</v>
      </c>
      <c r="C1" s="13" t="s">
        <v>38</v>
      </c>
      <c r="D1" s="13" t="s">
        <v>39</v>
      </c>
      <c r="E1" s="13" t="s">
        <v>40</v>
      </c>
      <c r="F1" s="13" t="s">
        <v>41</v>
      </c>
      <c r="G1" s="14" t="s">
        <v>42</v>
      </c>
      <c r="H1" s="14" t="s">
        <v>43</v>
      </c>
      <c r="I1" s="15" t="s">
        <v>44</v>
      </c>
      <c r="J1" s="16" t="s">
        <v>45</v>
      </c>
    </row>
    <row r="2" ht="15.6" spans="1:10">
      <c r="A2" s="17" t="s">
        <v>26</v>
      </c>
      <c r="B2" s="18">
        <f>备货时间点!E3</f>
        <v>28</v>
      </c>
      <c r="C2" s="19">
        <v>60</v>
      </c>
      <c r="D2" s="19">
        <v>15</v>
      </c>
      <c r="E2" s="19">
        <v>90</v>
      </c>
      <c r="F2" s="19">
        <v>900</v>
      </c>
      <c r="G2" s="19">
        <f>备货时间点!G3</f>
        <v>762</v>
      </c>
      <c r="H2" s="19">
        <f>备货时间点!J3</f>
        <v>1000</v>
      </c>
      <c r="I2" s="20">
        <f>2*(B2*E2)/(F2+G2+H2)</f>
        <v>1.89331329827198</v>
      </c>
      <c r="J2" s="21">
        <f>E2/I2</f>
        <v>47.5357142857143</v>
      </c>
    </row>
    <row r="3" ht="16.35" spans="1:10">
      <c r="A3" s="22" t="s">
        <v>27</v>
      </c>
      <c r="B3" s="23">
        <f>备货时间点!E4</f>
        <v>43</v>
      </c>
      <c r="C3" s="24">
        <v>65</v>
      </c>
      <c r="D3" s="24">
        <v>18</v>
      </c>
      <c r="E3" s="24">
        <v>90</v>
      </c>
      <c r="F3" s="24">
        <v>1100</v>
      </c>
      <c r="G3" s="24">
        <f>备货时间点!G4</f>
        <v>1152</v>
      </c>
      <c r="H3" s="24">
        <f>备货时间点!J4</f>
        <v>1000</v>
      </c>
      <c r="I3" s="25">
        <f>2*(B3*E3)/(F3+G3+H3)</f>
        <v>2.38007380073801</v>
      </c>
      <c r="J3" s="26">
        <f>E3/I3</f>
        <v>37.8139534883721</v>
      </c>
    </row>
    <row r="6" ht="15.6" spans="1:10">
      <c r="B6" s="2" t="s">
        <v>46</v>
      </c>
    </row>
    <row r="7" ht="15.6" spans="1:10">
      <c r="B7" s="2" t="s">
        <v>47</v>
      </c>
    </row>
    <row r="9" ht="15.6" spans="1:10">
      <c r="B9" s="2" t="s">
        <v>35</v>
      </c>
    </row>
    <row r="10" ht="15.6" spans="1:10">
      <c r="B10" s="2" t="s">
        <v>36</v>
      </c>
    </row>
    <row r="11" ht="15.6" spans="1:10">
      <c r="B11" s="2" t="s">
        <v>48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N16" sqref="N16"/>
    </sheetView>
  </sheetViews>
  <sheetFormatPr defaultColWidth="9" defaultRowHeight="15.6" outlineLevelRow="4"/>
  <cols>
    <col min="1" max="1" width="14.75" style="2" customWidth="1"/>
    <col min="2" max="4" width="13.25" style="3" customWidth="1"/>
    <col min="5" max="5" width="12.5" style="4" customWidth="1"/>
    <col min="6" max="6" width="10.1296296296296" style="4" customWidth="1"/>
    <col min="7" max="7" width="9" style="4"/>
    <col min="8" max="9" width="9" style="2"/>
    <col min="10" max="10" width="16" style="2" customWidth="1"/>
    <col min="11" max="12" width="12.6296296296296" style="5"/>
    <col min="13" max="19" width="9" style="2"/>
    <col min="20" max="21" width="12.6296296296296" style="2"/>
    <col min="22" max="16384" width="9" style="2"/>
  </cols>
  <sheetData>
    <row r="1" s="1" customFormat="1" spans="1:21">
      <c r="B1" s="6" t="str">
        <f>备货时间点!A3</f>
        <v>产品1</v>
      </c>
      <c r="C1" s="6" t="str">
        <f>备货时间点!A4</f>
        <v>产品2</v>
      </c>
      <c r="D1" s="6"/>
      <c r="E1" s="7"/>
      <c r="F1" s="7"/>
      <c r="G1" s="7"/>
      <c r="K1" s="8" t="str">
        <f>备货时间点!A3</f>
        <v>产品1</v>
      </c>
      <c r="L1" s="1" t="str">
        <f>备货时间点!A4</f>
        <v>产品2</v>
      </c>
      <c r="T1" s="1" t="str">
        <f>备货时间点!A3</f>
        <v>产品1</v>
      </c>
      <c r="U1" s="1" t="str">
        <f>备货时间点!A4</f>
        <v>产品2</v>
      </c>
    </row>
    <row r="2" ht="31.2" spans="1:21">
      <c r="A2" s="2" t="s">
        <v>49</v>
      </c>
      <c r="B2" s="3">
        <f ca="1">备货时间点!P3</f>
        <v>46174.9285714286</v>
      </c>
      <c r="C2" s="3">
        <f ca="1">备货时间点!P4</f>
        <v>46162.0465116279</v>
      </c>
      <c r="J2" s="1" t="s">
        <v>50</v>
      </c>
      <c r="K2" s="5">
        <f>备货时间点!W3+备货时间点!X3+备货时间点!Y3+备货时间点!L3</f>
        <v>59</v>
      </c>
      <c r="L2" s="5">
        <f>备货时间点!W4+备货时间点!X4+备货时间点!Y4+备货时间点!L4</f>
        <v>59</v>
      </c>
      <c r="S2" s="1" t="s">
        <v>51</v>
      </c>
      <c r="T2" s="2">
        <f>K2*备货时间点!E3</f>
        <v>1652</v>
      </c>
      <c r="U2" s="2">
        <f>L2*备货时间点!E4</f>
        <v>2537</v>
      </c>
    </row>
    <row r="3" ht="46.8" spans="1:21">
      <c r="A3" s="1" t="s">
        <v>19</v>
      </c>
      <c r="B3" s="3">
        <f ca="1">备货时间点!R3</f>
        <v>46134.9285714286</v>
      </c>
      <c r="C3" s="3">
        <f ca="1">备货时间点!R4</f>
        <v>46122.0465116279</v>
      </c>
      <c r="J3" s="1" t="s">
        <v>52</v>
      </c>
      <c r="K3" s="5">
        <f>备货时间点!O3</f>
        <v>62.9285714285714</v>
      </c>
      <c r="L3" s="5">
        <f>备货时间点!O4</f>
        <v>50.046511627907</v>
      </c>
      <c r="S3" s="1" t="s">
        <v>53</v>
      </c>
      <c r="T3" s="2">
        <f>备货时间点!N3</f>
        <v>1762</v>
      </c>
      <c r="U3" s="2">
        <f>备货时间点!N4</f>
        <v>2152</v>
      </c>
    </row>
    <row r="4" spans="1:21">
      <c r="A4" s="2" t="s">
        <v>25</v>
      </c>
      <c r="B4" s="3">
        <f>备货时间点!Z3</f>
        <v>45539</v>
      </c>
      <c r="C4" s="3">
        <f>备货时间点!Z4</f>
        <v>45539</v>
      </c>
    </row>
    <row r="5" spans="1:21">
      <c r="A5" s="2" t="s">
        <v>54</v>
      </c>
      <c r="B5" s="3">
        <f ca="1">TODAY()</f>
        <v>46112</v>
      </c>
      <c r="C5" s="3">
        <f ca="1">TODAY()</f>
        <v>46112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备货时间点</vt:lpstr>
      <vt:lpstr>补货数量</vt:lpstr>
      <vt:lpstr>库存周转率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ouyan</cp:lastModifiedBy>
  <dcterms:created xsi:type="dcterms:W3CDTF">2022-03-15T08:47:00Z</dcterms:created>
  <dcterms:modified xsi:type="dcterms:W3CDTF">2026-03-31T07:09:07Z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B688B9F5907F4C058ADF9D57C57BEBBE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